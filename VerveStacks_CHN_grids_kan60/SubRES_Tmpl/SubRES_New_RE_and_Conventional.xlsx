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kan60\SubRES_Tmpl\"/>
    </mc:Choice>
  </mc:AlternateContent>
  <xr:revisionPtr revIDLastSave="0" documentId="13_ncr:1_{E7CA9678-B276-4D82-A3FD-5B91C026F720}" xr6:coauthVersionLast="47" xr6:coauthVersionMax="47" xr10:uidLastSave="{00000000-0000-0000-0000-000000000000}"/>
  <bookViews>
    <workbookView xWindow="1103" yWindow="1103" windowWidth="21600" windowHeight="12772" activeTab="6" xr2:uid="{00000000-000D-0000-FFFF-FFFF00000000}"/>
  </bookViews>
  <sheets>
    <sheet name="misc" sheetId="7" r:id="rId1"/>
    <sheet name="EV Battery" sheetId="10" r:id="rId2"/>
    <sheet name="H2 prod" sheetId="11" r:id="rId3"/>
    <sheet name="solar" sheetId="12" r:id="rId4"/>
    <sheet name="wind" sheetId="13" r:id="rId5"/>
    <sheet name="conventional" sheetId="14" r:id="rId6"/>
    <sheet name="co2_network" sheetId="15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<sst xmlns="http://schemas.openxmlformats.org/spreadsheetml/2006/main" count="8662" uniqueCount="2176">
  <si>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</si>
  <si>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</si>
  <si>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</si>
  <si>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</si>
  <si>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</si>
  <si>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</si>
  <si>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</si>
  <si>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</si>
  <si>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</si>
  <si>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</si>
  <si>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</si>
  <si>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</si>
  <si>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</si>
  <si>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</si>
  <si>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</si>
  <si>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</si>
  <si>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</si>
  <si>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</si>
  <si>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ELC</t>
  </si>
  <si>
    <t>DMD</t>
  </si>
  <si>
    <t>TWh</t>
  </si>
  <si>
    <t>elc_buildings,elc_industry,elc_transport</t>
  </si>
  <si>
    <t>~FI_Comm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</si>
  <si>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</si>
  <si>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</si>
  <si>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</si>
  <si>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</si>
  <si>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</si>
  <si>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</si>
  <si>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</si>
  <si>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</si>
  <si>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</si>
  <si>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</si>
  <si>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</si>
  <si>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</si>
  <si>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</si>
  <si>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</si>
  <si>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</si>
  <si>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</si>
  <si>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</si>
  <si>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</si>
  <si>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</si>
  <si>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</si>
  <si>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</si>
  <si>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</si>
  <si>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</si>
  <si>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AuxStoOUT</t>
  </si>
  <si>
    <t>Aux commodity for storage discharging</t>
  </si>
  <si>
    <t>Tact</t>
  </si>
  <si>
    <t>Tcap</t>
  </si>
  <si>
    <t>CommGrp</t>
  </si>
  <si>
    <t>Comm-OUT-A</t>
  </si>
  <si>
    <t>LIFE</t>
  </si>
  <si>
    <t>FLO_FUNC</t>
  </si>
  <si>
    <t>ACT</t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</si>
  <si>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</si>
  <si>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</si>
  <si>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</si>
  <si>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</si>
  <si>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</si>
  <si>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</si>
  <si>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</si>
  <si>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</si>
  <si>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</si>
  <si>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</si>
  <si>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</si>
  <si>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</si>
  <si>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</si>
  <si>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</si>
  <si>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</si>
  <si>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</si>
  <si>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</si>
  <si>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</si>
  <si>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</si>
  <si>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</si>
  <si>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</si>
  <si>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</si>
  <si>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</si>
  <si>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</si>
  <si>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</si>
  <si>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</si>
  <si>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</si>
  <si>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</si>
  <si>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</si>
  <si>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</si>
  <si>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</si>
  <si>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</si>
  <si>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</si>
  <si>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</si>
  <si>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</si>
  <si>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</si>
  <si>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</si>
  <si>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</si>
  <si>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</si>
  <si>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</si>
  <si>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</si>
  <si>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</si>
  <si>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</si>
  <si>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</si>
  <si>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</si>
  <si>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</si>
  <si>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</si>
  <si>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</si>
  <si>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</si>
  <si>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</si>
  <si>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</si>
  <si>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</si>
  <si>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</si>
  <si>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</si>
  <si>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</si>
  <si>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</si>
  <si>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</si>
  <si>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</si>
  <si>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</si>
  <si>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</si>
  <si>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</si>
  <si>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</si>
  <si>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</si>
  <si>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</si>
  <si>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</si>
  <si>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</si>
  <si>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</si>
  <si>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</si>
  <si>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</si>
  <si>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</si>
  <si>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</si>
  <si>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</si>
  <si>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</si>
  <si>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</si>
  <si>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</si>
  <si>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</si>
  <si>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</si>
  <si>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</si>
  <si>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</si>
  <si>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</si>
  <si>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</si>
  <si>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</si>
  <si>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PJ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</si>
  <si>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</si>
  <si>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</si>
  <si>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</si>
  <si>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</si>
  <si>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</si>
  <si>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</si>
  <si>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</si>
  <si>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</si>
  <si>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</si>
  <si>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e_spv_CHN_001</t>
  </si>
  <si>
    <t>solar resource near Shanghai (cluster 1)</t>
  </si>
  <si>
    <t>annual</t>
  </si>
  <si>
    <t>no</t>
  </si>
  <si>
    <t>e_spv_CHN_002</t>
  </si>
  <si>
    <t>solar resource near Hengshui (cluster 2)</t>
  </si>
  <si>
    <t>e_spv_CHN_003</t>
  </si>
  <si>
    <t>solar resource near Dingzhou (cluster 3)</t>
  </si>
  <si>
    <t>e_spv_CHN_004</t>
  </si>
  <si>
    <t>solar resource near Tianjin (cluster 4)</t>
  </si>
  <si>
    <t>e_spv_CHN_005</t>
  </si>
  <si>
    <t>solar resource near Beining (cluster 5)</t>
  </si>
  <si>
    <t>e_spv_CHN_006</t>
  </si>
  <si>
    <t>solar resource near Zhuanghe (cluster 6)</t>
  </si>
  <si>
    <t>e_spv_CHN_007</t>
  </si>
  <si>
    <t>solar resource near Huangshi (cluster 7)</t>
  </si>
  <si>
    <t>e_spv_CHN_008</t>
  </si>
  <si>
    <t>solar resource near Wuhan (cluster 8)</t>
  </si>
  <si>
    <t>e_spv_CHN_009</t>
  </si>
  <si>
    <t>solar resource near Beijing (cluster 9)</t>
  </si>
  <si>
    <t>e_spv_CHN_010</t>
  </si>
  <si>
    <t>solar resource near Fengning (cluster 10)</t>
  </si>
  <si>
    <t>e_spv_CHN_011</t>
  </si>
  <si>
    <t>solar resource near Dehui (cluster 11)</t>
  </si>
  <si>
    <t>e_spv_CHN_012</t>
  </si>
  <si>
    <t>solar resource near Huadian (cluster 12)</t>
  </si>
  <si>
    <t>e_spv_CHN_013</t>
  </si>
  <si>
    <t>solar resource near Nenjiang (cluster 13)</t>
  </si>
  <si>
    <t>e_spv_CHN_014</t>
  </si>
  <si>
    <t>solar resource near Nenjiang (cluster 14)</t>
  </si>
  <si>
    <t>e_spv_CHN_015</t>
  </si>
  <si>
    <t>solar resource near Qiqihar (cluster 15)</t>
  </si>
  <si>
    <t>e_spv_CHN_016</t>
  </si>
  <si>
    <t>solar resource near Hailun (cluster 16)</t>
  </si>
  <si>
    <t>e_spv_CHN_017</t>
  </si>
  <si>
    <t>solar resource near Wuxi (cluster 17)</t>
  </si>
  <si>
    <t>e_spv_CHN_018</t>
  </si>
  <si>
    <t>solar resource near Anshun (cluster 18)</t>
  </si>
  <si>
    <t>e_spv_CHN_019</t>
  </si>
  <si>
    <t>solar resource near Hengyang (cluster 19)</t>
  </si>
  <si>
    <t>e_spv_CHN_020</t>
  </si>
  <si>
    <t>solar resource near Yiyang (cluster 20)</t>
  </si>
  <si>
    <t>e_spv_CHN_021</t>
  </si>
  <si>
    <t>solar resource near Manzhouli (cluster 21)</t>
  </si>
  <si>
    <t>e_spv_CHN_022</t>
  </si>
  <si>
    <t>solar resource near Yakeshi (cluster 22)</t>
  </si>
  <si>
    <t>e_spv_CHN_023</t>
  </si>
  <si>
    <t>solar resource near Genhe (cluster 23)</t>
  </si>
  <si>
    <t>e_spv_CHN_024</t>
  </si>
  <si>
    <t>solar resource near Genhe (cluster 24)</t>
  </si>
  <si>
    <t>e_spv_CHN_025</t>
  </si>
  <si>
    <t>solar resource near Nenjiang (cluster 25)</t>
  </si>
  <si>
    <t>e_spv_CHN_026</t>
  </si>
  <si>
    <t>solar resource near Linyi (cluster 26)</t>
  </si>
  <si>
    <t>e_spv_CHN_027</t>
  </si>
  <si>
    <t>solar resource near Hangzhou (cluster 27)</t>
  </si>
  <si>
    <t>e_spv_CHN_028</t>
  </si>
  <si>
    <t>solar resource near Wenlan (cluster 28)</t>
  </si>
  <si>
    <t>e_spv_CHN_029</t>
  </si>
  <si>
    <t>solar resource near Zunyi (cluster 29)</t>
  </si>
  <si>
    <t>e_spv_CHN_030</t>
  </si>
  <si>
    <t>solar resource near Chongqing (cluster 30)</t>
  </si>
  <si>
    <t>e_spv_CHN_031</t>
  </si>
  <si>
    <t>solar resource near Tengyue (cluster 31)</t>
  </si>
  <si>
    <t>e_spv_CHN_032</t>
  </si>
  <si>
    <t>solar resource near Dalian (cluster 32)</t>
  </si>
  <si>
    <t>e_spv_CHN_033</t>
  </si>
  <si>
    <t>solar resource near Chaoyang (cluster 33)</t>
  </si>
  <si>
    <t>e_spv_CHN_034</t>
  </si>
  <si>
    <t>solar resource near Tacheng (cluster 34)</t>
  </si>
  <si>
    <t>e_spv_CHN_035</t>
  </si>
  <si>
    <t>solar resource near Kuytun (cluster 35)</t>
  </si>
  <si>
    <t>e_spv_CHN_036</t>
  </si>
  <si>
    <t>solar resource near Karamay (cluster 36)</t>
  </si>
  <si>
    <t>e_spv_CHN_037</t>
  </si>
  <si>
    <t>solar resource near Ailan Mubage (cluster 37)</t>
  </si>
  <si>
    <t>e_spv_CHN_038</t>
  </si>
  <si>
    <t>solar resource near Ailan Mubage (cluster 38)</t>
  </si>
  <si>
    <t>e_spv_CHN_039</t>
  </si>
  <si>
    <t>solar resource near Kuqa (cluster 39)</t>
  </si>
  <si>
    <t>e_spv_CHN_040</t>
  </si>
  <si>
    <t>solar resource near Qarqan (cluster 40)</t>
  </si>
  <si>
    <t>e_spv_CHN_041</t>
  </si>
  <si>
    <t>solar resource near Qarqan (cluster 41)</t>
  </si>
  <si>
    <t>e_spv_CHN_042</t>
  </si>
  <si>
    <t>solar resource near Korla (cluster 42)</t>
  </si>
  <si>
    <t>e_spv_CHN_043</t>
  </si>
  <si>
    <t>solar resource near Hotan (cluster 43)</t>
  </si>
  <si>
    <t>e_spv_CHN_044</t>
  </si>
  <si>
    <t>solar resource near Aksu (cluster 44)</t>
  </si>
  <si>
    <t>e_spv_CHN_045</t>
  </si>
  <si>
    <t>solar resource near Shache (cluster 45)</t>
  </si>
  <si>
    <t>e_spv_CHN_046</t>
  </si>
  <si>
    <t>solar resource near Donghua (cluster 46)</t>
  </si>
  <si>
    <t>e_spv_CHN_047</t>
  </si>
  <si>
    <t>solar resource near Jinchang (cluster 47)</t>
  </si>
  <si>
    <t>e_spv_CHN_048</t>
  </si>
  <si>
    <t>solar resource near Yitiaoshan (cluster 48)</t>
  </si>
  <si>
    <t>e_spv_CHN_049</t>
  </si>
  <si>
    <t>solar resource near Nanning (cluster 49)</t>
  </si>
  <si>
    <t>e_spv_CHN_050</t>
  </si>
  <si>
    <t>solar resource near Zhanjiang (cluster 50)</t>
  </si>
  <si>
    <t>e_spv_CHN_051</t>
  </si>
  <si>
    <t>solar resource near Yunfu (cluster 51)</t>
  </si>
  <si>
    <t>e_spv_CHN_052</t>
  </si>
  <si>
    <t>solar resource near Kunming (cluster 52)</t>
  </si>
  <si>
    <t>e_spv_CHN_053</t>
  </si>
  <si>
    <t>solar resource near Guiping (cluster 53)</t>
  </si>
  <si>
    <t>e_spv_CHN_054</t>
  </si>
  <si>
    <t>solar resource near Guilin (cluster 54)</t>
  </si>
  <si>
    <t>e_spv_CHN_055</t>
  </si>
  <si>
    <t>solar resource near Yibin (cluster 55)</t>
  </si>
  <si>
    <t>e_spv_CHN_056</t>
  </si>
  <si>
    <t>solar resource near Altay (cluster 56)</t>
  </si>
  <si>
    <t>e_spv_CHN_057</t>
  </si>
  <si>
    <t>solar resource near Koktokay (cluster 57)</t>
  </si>
  <si>
    <t>e_spv_CHN_058</t>
  </si>
  <si>
    <t>solar resource near Shihezi (cluster 58)</t>
  </si>
  <si>
    <t>e_spv_CHN_059</t>
  </si>
  <si>
    <t>solar resource near Karamay (cluster 59)</t>
  </si>
  <si>
    <t>e_spv_CHN_060</t>
  </si>
  <si>
    <t>solar resource near Korla (cluster 60)</t>
  </si>
  <si>
    <t>e_spv_CHN_061</t>
  </si>
  <si>
    <t>solar resource near Turpan (cluster 61)</t>
  </si>
  <si>
    <t>e_spv_CHN_062</t>
  </si>
  <si>
    <t>solar resource near Shihezi (cluster 62)</t>
  </si>
  <si>
    <t>e_spv_CHN_063</t>
  </si>
  <si>
    <t>solar resource near Turpan (cluster 63)</t>
  </si>
  <si>
    <t>e_spv_CHN_064</t>
  </si>
  <si>
    <t>solar resource near Zhangzhou (cluster 64)</t>
  </si>
  <si>
    <t>e_spv_CHN_065</t>
  </si>
  <si>
    <t>solar resource near Nada (cluster 65)</t>
  </si>
  <si>
    <t>e_spv_CHN_066</t>
  </si>
  <si>
    <t>solar resource near Beihai (cluster 66)</t>
  </si>
  <si>
    <t>e_spv_CHN_067</t>
  </si>
  <si>
    <t>solar resource near Dezhou (cluster 67)</t>
  </si>
  <si>
    <t>e_spv_CHN_068</t>
  </si>
  <si>
    <t>solar resource near Jinan (cluster 68)</t>
  </si>
  <si>
    <t>e_spv_CHN_069</t>
  </si>
  <si>
    <t>solar resource near Beian (cluster 69)</t>
  </si>
  <si>
    <t>e_spv_CHN_070</t>
  </si>
  <si>
    <t>solar resource near Yichun (cluster 70)</t>
  </si>
  <si>
    <t>e_spv_CHN_071</t>
  </si>
  <si>
    <t>solar resource near Fujin (cluster 71)</t>
  </si>
  <si>
    <t>e_spv_CHN_072</t>
  </si>
  <si>
    <t>solar resource near Yanji (cluster 72)</t>
  </si>
  <si>
    <t>e_spv_CHN_073</t>
  </si>
  <si>
    <t>solar resource near Boli (cluster 73)</t>
  </si>
  <si>
    <t>e_spv_CHN_074</t>
  </si>
  <si>
    <t>solar resource near Zaoyang (cluster 74)</t>
  </si>
  <si>
    <t>e_spv_CHN_075</t>
  </si>
  <si>
    <t>solar resource near Jingling (cluster 75)</t>
  </si>
  <si>
    <t>e_spv_CHN_076</t>
  </si>
  <si>
    <t>solar resource near Nanyang (cluster 76)</t>
  </si>
  <si>
    <t>e_spv_CHN_077</t>
  </si>
  <si>
    <t>solar resource near Zhengzhou (cluster 77)</t>
  </si>
  <si>
    <t>e_spv_CHN_078</t>
  </si>
  <si>
    <t>solar resource near Zhumadian (cluster 78)</t>
  </si>
  <si>
    <t>e_spv_CHN_079</t>
  </si>
  <si>
    <t>solar resource near Zhoukou (cluster 79)</t>
  </si>
  <si>
    <t>e_spv_CHN_080</t>
  </si>
  <si>
    <t>solar resource near Ruiming (cluster 80)</t>
  </si>
  <si>
    <t>e_spv_CHN_081</t>
  </si>
  <si>
    <t>solar resource near Fuzhou (cluster 81)</t>
  </si>
  <si>
    <t>e_spv_CHN_082</t>
  </si>
  <si>
    <t>solar resource near Mianyang (cluster 82)</t>
  </si>
  <si>
    <t>e_spv_CHN_083</t>
  </si>
  <si>
    <t>solar resource near Chengdu (cluster 83)</t>
  </si>
  <si>
    <t>e_spv_CHN_084</t>
  </si>
  <si>
    <t>solar resource near Suining (cluster 84)</t>
  </si>
  <si>
    <t>e_spv_CHN_085</t>
  </si>
  <si>
    <t>solar resource near Qamdo (cluster 85)</t>
  </si>
  <si>
    <t>e_spv_CHN_086</t>
  </si>
  <si>
    <t>solar resource near Shenmu (cluster 86)</t>
  </si>
  <si>
    <t>e_spv_CHN_087</t>
  </si>
  <si>
    <t>solar resource near Hohhot (cluster 87)</t>
  </si>
  <si>
    <t>e_spv_CHN_088</t>
  </si>
  <si>
    <t>solar resource near Baotou (cluster 88)</t>
  </si>
  <si>
    <t>e_spv_CHN_089</t>
  </si>
  <si>
    <t>solar resource near Jining (cluster 89)</t>
  </si>
  <si>
    <t>e_spv_CHN_090</t>
  </si>
  <si>
    <t>solar resource near Longquan (cluster 90)</t>
  </si>
  <si>
    <t>e_spv_CHN_091</t>
  </si>
  <si>
    <t>solar resource near Xining (cluster 91)</t>
  </si>
  <si>
    <t>e_spv_CHN_092</t>
  </si>
  <si>
    <t>solar resource near Zhangye (cluster 92)</t>
  </si>
  <si>
    <t>e_spv_CHN_093</t>
  </si>
  <si>
    <t>solar resource near Chenzhou (cluster 93)</t>
  </si>
  <si>
    <t>e_spv_CHN_094</t>
  </si>
  <si>
    <t>solar resource near Heyuan (cluster 94)</t>
  </si>
  <si>
    <t>e_spv_CHN_095</t>
  </si>
  <si>
    <t>solar resource near Chuzhou (cluster 95)</t>
  </si>
  <si>
    <t>e_spv_CHN_096</t>
  </si>
  <si>
    <t>solar resource near Yicheng (cluster 96)</t>
  </si>
  <si>
    <t>e_spv_CHN_097</t>
  </si>
  <si>
    <t>solar resource near Linfen (cluster 97)</t>
  </si>
  <si>
    <t>e_spv_CHN_098</t>
  </si>
  <si>
    <t>solar resource near Fu'an (cluster 98)</t>
  </si>
  <si>
    <t>e_spv_CHN_099</t>
  </si>
  <si>
    <t>solar resource near Xinpu (cluster 99)</t>
  </si>
  <si>
    <t>e_spv_CHN_100</t>
  </si>
  <si>
    <t>solar resource near Pingdu (cluster 100)</t>
  </si>
  <si>
    <t>e_spv_CHN_101</t>
  </si>
  <si>
    <t>solar resource near Weichanglu (cluster 101)</t>
  </si>
  <si>
    <t>e_spv_CHN_102</t>
  </si>
  <si>
    <t>solar resource near Kumul (cluster 102)</t>
  </si>
  <si>
    <t>e_spv_CHN_103</t>
  </si>
  <si>
    <t>solar resource near Kumul (cluster 103)</t>
  </si>
  <si>
    <t>e_spv_CHN_104</t>
  </si>
  <si>
    <t>solar resource near Xibeijie (cluster 104)</t>
  </si>
  <si>
    <t>e_spv_CHN_105</t>
  </si>
  <si>
    <t>solar resource near Dunhuang (cluster 105)</t>
  </si>
  <si>
    <t>e_spv_CHN_106</t>
  </si>
  <si>
    <t>solar resource near Zhangye (cluster 106)</t>
  </si>
  <si>
    <t>e_spv_CHN_107</t>
  </si>
  <si>
    <t>solar resource near Xibeijie (cluster 107)</t>
  </si>
  <si>
    <t>e_spv_CHN_108</t>
  </si>
  <si>
    <t>solar resource near Xibeijie (cluster 108)</t>
  </si>
  <si>
    <t>e_spv_CHN_109</t>
  </si>
  <si>
    <t>solar resource near Xiangyang (cluster 109)</t>
  </si>
  <si>
    <t>e_spv_CHN_110</t>
  </si>
  <si>
    <t>solar resource near Rucheng (cluster 110)</t>
  </si>
  <si>
    <t>e_spv_CHN_111</t>
  </si>
  <si>
    <t>solar resource near Tieling (cluster 111)</t>
  </si>
  <si>
    <t>e_spv_CHN_112</t>
  </si>
  <si>
    <t>solar resource near Xinbin (cluster 112)</t>
  </si>
  <si>
    <t>e_spv_CHN_113</t>
  </si>
  <si>
    <t>solar resource near Tangshan (cluster 113)</t>
  </si>
  <si>
    <t>e_spv_CHN_114</t>
  </si>
  <si>
    <t>solar resource near Yan'an (cluster 114)</t>
  </si>
  <si>
    <t>e_spv_CHN_115</t>
  </si>
  <si>
    <t>solar resource near Xi'an (cluster 115)</t>
  </si>
  <si>
    <t>e_spv_CHN_116</t>
  </si>
  <si>
    <t>solar resource near Ulanhot (cluster 116)</t>
  </si>
  <si>
    <t>e_spv_CHN_117</t>
  </si>
  <si>
    <t>solar resource near Tongliao (cluster 117)</t>
  </si>
  <si>
    <t>e_spv_CHN_118</t>
  </si>
  <si>
    <t>solar resource near Tongliao (cluster 118)</t>
  </si>
  <si>
    <t>e_spv_CHN_119</t>
  </si>
  <si>
    <t>solar resource near Mositai (cluster 119)</t>
  </si>
  <si>
    <t>e_spv_CHN_120</t>
  </si>
  <si>
    <t>solar resource near Yan'an (cluster 120)</t>
  </si>
  <si>
    <t>e_spv_CHN_121</t>
  </si>
  <si>
    <t>solar resource near Yinchuan (cluster 121)</t>
  </si>
  <si>
    <t>e_spv_CHN_122</t>
  </si>
  <si>
    <t>solar resource near Yulinshi (cluster 122)</t>
  </si>
  <si>
    <t>e_spv_CHN_123</t>
  </si>
  <si>
    <t>solar resource near Sizhan (cluster 123)</t>
  </si>
  <si>
    <t>e_spv_CHN_124</t>
  </si>
  <si>
    <t>solar resource near Wuhai (cluster 124)</t>
  </si>
  <si>
    <t>e_spv_CHN_125</t>
  </si>
  <si>
    <t>solar resource near Yangzhou (cluster 125)</t>
  </si>
  <si>
    <t>e_spv_CHN_126</t>
  </si>
  <si>
    <t>solar resource near Manzhouli (cluster 126)</t>
  </si>
  <si>
    <t>e_spv_CHN_127</t>
  </si>
  <si>
    <t>solar resource near Mositai (cluster 127)</t>
  </si>
  <si>
    <t>e_spv_CHN_128</t>
  </si>
  <si>
    <t>solar resource near Kangbao (cluster 128)</t>
  </si>
  <si>
    <t>e_spv_CHN_129</t>
  </si>
  <si>
    <t>solar resource near Chifeng (cluster 129)</t>
  </si>
  <si>
    <t>e_spv_CHN_130</t>
  </si>
  <si>
    <t>solar resource near Shancheng (cluster 130)</t>
  </si>
  <si>
    <t>e_spv_CHN_131</t>
  </si>
  <si>
    <t>solar resource near Suzhou (cluster 131)</t>
  </si>
  <si>
    <t>e_spv_CHN_132</t>
  </si>
  <si>
    <t>solar resource near Yuci (cluster 132)</t>
  </si>
  <si>
    <t>e_spv_CHN_133</t>
  </si>
  <si>
    <t>solar resource near Puyang (cluster 133)</t>
  </si>
  <si>
    <t>e_spv_CHN_134</t>
  </si>
  <si>
    <t>solar resource near Wuhu (cluster 134)</t>
  </si>
  <si>
    <t>e_spv_CHN_135</t>
  </si>
  <si>
    <t>solar resource near Lu'an (cluster 135)</t>
  </si>
  <si>
    <t>e_spv_CHN_136</t>
  </si>
  <si>
    <t>solar resource near Anqing (cluster 136)</t>
  </si>
  <si>
    <t>~fi_t</t>
  </si>
  <si>
    <t>comm-out</t>
  </si>
  <si>
    <t>cap_bnd</t>
  </si>
  <si>
    <t>af~fx</t>
  </si>
  <si>
    <t>elc_spv_CHN_001</t>
  </si>
  <si>
    <t>elc_spv_CHN_002</t>
  </si>
  <si>
    <t>elc_spv_CHN_003</t>
  </si>
  <si>
    <t>elc_spv_CHN_004</t>
  </si>
  <si>
    <t>elc_spv_CHN_005</t>
  </si>
  <si>
    <t>elc_spv_CHN_006</t>
  </si>
  <si>
    <t>elc_spv_CHN_007</t>
  </si>
  <si>
    <t>elc_spv_CHN_008</t>
  </si>
  <si>
    <t>elc_spv_CHN_009</t>
  </si>
  <si>
    <t>elc_spv_CHN_010</t>
  </si>
  <si>
    <t>elc_spv_CHN_011</t>
  </si>
  <si>
    <t>elc_spv_CHN_012</t>
  </si>
  <si>
    <t>elc_spv_CHN_013</t>
  </si>
  <si>
    <t>elc_spv_CHN_014</t>
  </si>
  <si>
    <t>elc_spv_CHN_015</t>
  </si>
  <si>
    <t>elc_spv_CHN_016</t>
  </si>
  <si>
    <t>elc_spv_CHN_017</t>
  </si>
  <si>
    <t>elc_spv_CHN_018</t>
  </si>
  <si>
    <t>elc_spv_CHN_019</t>
  </si>
  <si>
    <t>elc_spv_CHN_020</t>
  </si>
  <si>
    <t>elc_spv_CHN_021</t>
  </si>
  <si>
    <t>elc_spv_CHN_022</t>
  </si>
  <si>
    <t>elc_spv_CHN_023</t>
  </si>
  <si>
    <t>elc_spv_CHN_024</t>
  </si>
  <si>
    <t>elc_spv_CHN_025</t>
  </si>
  <si>
    <t>elc_spv_CHN_026</t>
  </si>
  <si>
    <t>elc_spv_CHN_027</t>
  </si>
  <si>
    <t>elc_spv_CHN_028</t>
  </si>
  <si>
    <t>elc_spv_CHN_029</t>
  </si>
  <si>
    <t>elc_spv_CHN_030</t>
  </si>
  <si>
    <t>elc_spv_CHN_031</t>
  </si>
  <si>
    <t>elc_spv_CHN_032</t>
  </si>
  <si>
    <t>elc_spv_CHN_033</t>
  </si>
  <si>
    <t>elc_spv_CHN_034</t>
  </si>
  <si>
    <t>elc_spv_CHN_035</t>
  </si>
  <si>
    <t>elc_spv_CHN_036</t>
  </si>
  <si>
    <t>elc_spv_CHN_037</t>
  </si>
  <si>
    <t>elc_spv_CHN_038</t>
  </si>
  <si>
    <t>elc_spv_CHN_039</t>
  </si>
  <si>
    <t>elc_spv_CHN_040</t>
  </si>
  <si>
    <t>elc_spv_CHN_041</t>
  </si>
  <si>
    <t>elc_spv_CHN_042</t>
  </si>
  <si>
    <t>elc_spv_CHN_043</t>
  </si>
  <si>
    <t>elc_spv_CHN_044</t>
  </si>
  <si>
    <t>elc_spv_CHN_045</t>
  </si>
  <si>
    <t>elc_spv_CHN_046</t>
  </si>
  <si>
    <t>elc_spv_CHN_047</t>
  </si>
  <si>
    <t>elc_spv_CHN_048</t>
  </si>
  <si>
    <t>elc_spv_CHN_049</t>
  </si>
  <si>
    <t>elc_spv_CHN_050</t>
  </si>
  <si>
    <t>elc_spv_CHN_051</t>
  </si>
  <si>
    <t>elc_spv_CHN_052</t>
  </si>
  <si>
    <t>elc_spv_CHN_053</t>
  </si>
  <si>
    <t>elc_spv_CHN_054</t>
  </si>
  <si>
    <t>elc_spv_CHN_055</t>
  </si>
  <si>
    <t>elc_spv_CHN_056</t>
  </si>
  <si>
    <t>elc_spv_CHN_057</t>
  </si>
  <si>
    <t>elc_spv_CHN_058</t>
  </si>
  <si>
    <t>elc_spv_CHN_059</t>
  </si>
  <si>
    <t>elc_spv_CHN_060</t>
  </si>
  <si>
    <t>elc_spv_CHN_061</t>
  </si>
  <si>
    <t>elc_spv_CHN_062</t>
  </si>
  <si>
    <t>elc_spv_CHN_063</t>
  </si>
  <si>
    <t>elc_spv_CHN_064</t>
  </si>
  <si>
    <t>elc_spv_CHN_065</t>
  </si>
  <si>
    <t>elc_spv_CHN_066</t>
  </si>
  <si>
    <t>elc_spv_CHN_067</t>
  </si>
  <si>
    <t>elc_spv_CHN_068</t>
  </si>
  <si>
    <t>elc_spv_CHN_069</t>
  </si>
  <si>
    <t>elc_spv_CHN_070</t>
  </si>
  <si>
    <t>elc_spv_CHN_071</t>
  </si>
  <si>
    <t>elc_spv_CHN_072</t>
  </si>
  <si>
    <t>elc_spv_CHN_073</t>
  </si>
  <si>
    <t>elc_spv_CHN_074</t>
  </si>
  <si>
    <t>elc_spv_CHN_075</t>
  </si>
  <si>
    <t>elc_spv_CHN_076</t>
  </si>
  <si>
    <t>elc_spv_CHN_077</t>
  </si>
  <si>
    <t>elc_spv_CHN_078</t>
  </si>
  <si>
    <t>elc_spv_CHN_079</t>
  </si>
  <si>
    <t>elc_spv_CHN_080</t>
  </si>
  <si>
    <t>elc_spv_CHN_081</t>
  </si>
  <si>
    <t>elc_spv_CHN_082</t>
  </si>
  <si>
    <t>elc_spv_CHN_083</t>
  </si>
  <si>
    <t>elc_spv_CHN_084</t>
  </si>
  <si>
    <t>elc_spv_CHN_085</t>
  </si>
  <si>
    <t>elc_spv_CHN_086</t>
  </si>
  <si>
    <t>elc_spv_CHN_087</t>
  </si>
  <si>
    <t>elc_spv_CHN_088</t>
  </si>
  <si>
    <t>elc_spv_CHN_089</t>
  </si>
  <si>
    <t>elc_spv_CHN_090</t>
  </si>
  <si>
    <t>elc_spv_CHN_091</t>
  </si>
  <si>
    <t>elc_spv_CHN_092</t>
  </si>
  <si>
    <t>elc_spv_CHN_093</t>
  </si>
  <si>
    <t>elc_spv_CHN_094</t>
  </si>
  <si>
    <t>elc_spv_CHN_095</t>
  </si>
  <si>
    <t>elc_spv_CHN_096</t>
  </si>
  <si>
    <t>elc_spv_CHN_097</t>
  </si>
  <si>
    <t>elc_spv_CHN_098</t>
  </si>
  <si>
    <t>elc_spv_CHN_099</t>
  </si>
  <si>
    <t>elc_spv_CHN_100</t>
  </si>
  <si>
    <t>elc_spv_CHN_101</t>
  </si>
  <si>
    <t>elc_spv_CHN_102</t>
  </si>
  <si>
    <t>elc_spv_CHN_103</t>
  </si>
  <si>
    <t>elc_spv_CHN_104</t>
  </si>
  <si>
    <t>elc_spv_CHN_105</t>
  </si>
  <si>
    <t>elc_spv_CHN_106</t>
  </si>
  <si>
    <t>elc_spv_CHN_107</t>
  </si>
  <si>
    <t>elc_spv_CHN_108</t>
  </si>
  <si>
    <t>elc_spv_CHN_109</t>
  </si>
  <si>
    <t>elc_spv_CHN_110</t>
  </si>
  <si>
    <t>elc_spv_CHN_111</t>
  </si>
  <si>
    <t>elc_spv_CHN_112</t>
  </si>
  <si>
    <t>elc_spv_CHN_113</t>
  </si>
  <si>
    <t>elc_spv_CHN_114</t>
  </si>
  <si>
    <t>elc_spv_CHN_115</t>
  </si>
  <si>
    <t>elc_spv_CHN_116</t>
  </si>
  <si>
    <t>elc_spv_CHN_117</t>
  </si>
  <si>
    <t>elc_spv_CHN_118</t>
  </si>
  <si>
    <t>elc_spv_CHN_119</t>
  </si>
  <si>
    <t>elc_spv_CHN_120</t>
  </si>
  <si>
    <t>elc_spv_CHN_121</t>
  </si>
  <si>
    <t>elc_spv_CHN_122</t>
  </si>
  <si>
    <t>elc_spv_CHN_123</t>
  </si>
  <si>
    <t>elc_spv_CHN_124</t>
  </si>
  <si>
    <t>elc_spv_CHN_125</t>
  </si>
  <si>
    <t>elc_spv_CHN_126</t>
  </si>
  <si>
    <t>elc_spv_CHN_127</t>
  </si>
  <si>
    <t>elc_spv_CHN_128</t>
  </si>
  <si>
    <t>elc_spv_CHN_129</t>
  </si>
  <si>
    <t>elc_spv_CHN_130</t>
  </si>
  <si>
    <t>elc_spv_CHN_131</t>
  </si>
  <si>
    <t>elc_spv_CHN_132</t>
  </si>
  <si>
    <t>elc_spv_CHN_133</t>
  </si>
  <si>
    <t>elc_spv_CHN_134</t>
  </si>
  <si>
    <t>elc_spv_CHN_135</t>
  </si>
  <si>
    <t>elc_spv_CHN_136</t>
  </si>
  <si>
    <t>primarycg</t>
  </si>
  <si>
    <t>pre</t>
  </si>
  <si>
    <t>distr_solelc_spv_CHN_032</t>
  </si>
  <si>
    <t>connecting solar to buses in cluster 32</t>
  </si>
  <si>
    <t>NRGI</t>
  </si>
  <si>
    <t>daynite</t>
  </si>
  <si>
    <t>distr_solelc_spv_CHN_046</t>
  </si>
  <si>
    <t>connecting solar to buses in cluster 46</t>
  </si>
  <si>
    <t>distr_solelc_spv_CHN_067</t>
  </si>
  <si>
    <t>connecting solar to buses in cluster 67</t>
  </si>
  <si>
    <t>distr_solelc_spv_CHN_068</t>
  </si>
  <si>
    <t>connecting solar to buses in cluster 68</t>
  </si>
  <si>
    <t>distr_solelc_spv_CHN_084</t>
  </si>
  <si>
    <t>connecting solar to buses in cluster 84</t>
  </si>
  <si>
    <t>distr_solelc_spv_CHN_106</t>
  </si>
  <si>
    <t>connecting solar to buses in cluster 106</t>
  </si>
  <si>
    <t>distr_solelc_spv_CHN_012</t>
  </si>
  <si>
    <t>connecting solar to buses in cluster 12</t>
  </si>
  <si>
    <t>distr_solelc_spv_CHN_015</t>
  </si>
  <si>
    <t>connecting solar to buses in cluster 15</t>
  </si>
  <si>
    <t>distr_solelc_spv_CHN_018</t>
  </si>
  <si>
    <t>connecting solar to buses in cluster 18</t>
  </si>
  <si>
    <t>distr_solelc_spv_CHN_056</t>
  </si>
  <si>
    <t>connecting solar to buses in cluster 56</t>
  </si>
  <si>
    <t>distr_solelc_spv_CHN_064</t>
  </si>
  <si>
    <t>connecting solar to buses in cluster 64</t>
  </si>
  <si>
    <t>distr_solelc_spv_CHN_075</t>
  </si>
  <si>
    <t>connecting solar to buses in cluster 75</t>
  </si>
  <si>
    <t>distr_solelc_spv_CHN_081</t>
  </si>
  <si>
    <t>connecting solar to buses in cluster 81</t>
  </si>
  <si>
    <t>distr_solelc_spv_CHN_125</t>
  </si>
  <si>
    <t>connecting solar to buses in cluster 125</t>
  </si>
  <si>
    <t>distr_solelc_spv_CHN_131</t>
  </si>
  <si>
    <t>connecting solar to buses in cluster 131</t>
  </si>
  <si>
    <t>distr_solelc_spv_CHN_022</t>
  </si>
  <si>
    <t>connecting solar to buses in cluster 22</t>
  </si>
  <si>
    <t>distr_solelc_spv_CHN_026</t>
  </si>
  <si>
    <t>connecting solar to buses in cluster 26</t>
  </si>
  <si>
    <t>distr_solelc_spv_CHN_029</t>
  </si>
  <si>
    <t>connecting solar to buses in cluster 29</t>
  </si>
  <si>
    <t>distr_solelc_spv_CHN_034</t>
  </si>
  <si>
    <t>connecting solar to buses in cluster 34</t>
  </si>
  <si>
    <t>distr_solelc_spv_CHN_048</t>
  </si>
  <si>
    <t>connecting solar to buses in cluster 48</t>
  </si>
  <si>
    <t>distr_solelc_spv_CHN_050</t>
  </si>
  <si>
    <t>connecting solar to buses in cluster 50</t>
  </si>
  <si>
    <t>distr_solelc_spv_CHN_055</t>
  </si>
  <si>
    <t>connecting solar to buses in cluster 55</t>
  </si>
  <si>
    <t>distr_solelc_spv_CHN_083</t>
  </si>
  <si>
    <t>connecting solar to buses in cluster 83</t>
  </si>
  <si>
    <t>distr_solelc_spv_CHN_122</t>
  </si>
  <si>
    <t>connecting solar to buses in cluster 122</t>
  </si>
  <si>
    <t>distr_solelc_spv_CHN_133</t>
  </si>
  <si>
    <t>connecting solar to buses in cluster 133</t>
  </si>
  <si>
    <t>distr_solelc_spv_CHN_006</t>
  </si>
  <si>
    <t>connecting solar to buses in cluster 6</t>
  </si>
  <si>
    <t>distr_solelc_spv_CHN_011</t>
  </si>
  <si>
    <t>connecting solar to buses in cluster 11</t>
  </si>
  <si>
    <t>distr_solelc_spv_CHN_033</t>
  </si>
  <si>
    <t>connecting solar to buses in cluster 33</t>
  </si>
  <si>
    <t>distr_solelc_spv_CHN_049</t>
  </si>
  <si>
    <t>connecting solar to buses in cluster 49</t>
  </si>
  <si>
    <t>distr_solelc_spv_CHN_057</t>
  </si>
  <si>
    <t>connecting solar to buses in cluster 57</t>
  </si>
  <si>
    <t>distr_solelc_spv_CHN_058</t>
  </si>
  <si>
    <t>connecting solar to buses in cluster 58</t>
  </si>
  <si>
    <t>distr_solelc_spv_CHN_059</t>
  </si>
  <si>
    <t>connecting solar to buses in cluster 59</t>
  </si>
  <si>
    <t>distr_solelc_spv_CHN_076</t>
  </si>
  <si>
    <t>connecting solar to buses in cluster 76</t>
  </si>
  <si>
    <t>distr_solelc_spv_CHN_119</t>
  </si>
  <si>
    <t>connecting solar to buses in cluster 119</t>
  </si>
  <si>
    <t>distr_solelc_spv_CHN_003</t>
  </si>
  <si>
    <t>connecting solar to buses in cluster 3</t>
  </si>
  <si>
    <t>distr_solelc_spv_CHN_009</t>
  </si>
  <si>
    <t>connecting solar to buses in cluster 9</t>
  </si>
  <si>
    <t>distr_solelc_spv_CHN_014</t>
  </si>
  <si>
    <t>connecting solar to buses in cluster 14</t>
  </si>
  <si>
    <t>distr_solelc_spv_CHN_054</t>
  </si>
  <si>
    <t>connecting solar to buses in cluster 54</t>
  </si>
  <si>
    <t>distr_solelc_spv_CHN_074</t>
  </si>
  <si>
    <t>connecting solar to buses in cluster 74</t>
  </si>
  <si>
    <t>distr_solelc_spv_CHN_087</t>
  </si>
  <si>
    <t>connecting solar to buses in cluster 87</t>
  </si>
  <si>
    <t>distr_solelc_spv_CHN_090</t>
  </si>
  <si>
    <t>connecting solar to buses in cluster 90</t>
  </si>
  <si>
    <t>distr_solelc_spv_CHN_101</t>
  </si>
  <si>
    <t>connecting solar to buses in cluster 101</t>
  </si>
  <si>
    <t>distr_solelc_spv_CHN_112</t>
  </si>
  <si>
    <t>connecting solar to buses in cluster 112</t>
  </si>
  <si>
    <t>distr_solelc_spv_CHN_135</t>
  </si>
  <si>
    <t>connecting solar to buses in cluster 135</t>
  </si>
  <si>
    <t>distr_solelc_spv_CHN_016</t>
  </si>
  <si>
    <t>connecting solar to buses in cluster 16</t>
  </si>
  <si>
    <t>distr_solelc_spv_CHN_021</t>
  </si>
  <si>
    <t>connecting solar to buses in cluster 21</t>
  </si>
  <si>
    <t>distr_solelc_spv_CHN_024</t>
  </si>
  <si>
    <t>connecting solar to buses in cluster 24</t>
  </si>
  <si>
    <t>distr_solelc_spv_CHN_063</t>
  </si>
  <si>
    <t>connecting solar to buses in cluster 63</t>
  </si>
  <si>
    <t>distr_solelc_spv_CHN_085</t>
  </si>
  <si>
    <t>connecting solar to buses in cluster 85</t>
  </si>
  <si>
    <t>distr_solelc_spv_CHN_088</t>
  </si>
  <si>
    <t>connecting solar to buses in cluster 88</t>
  </si>
  <si>
    <t>distr_solelc_spv_CHN_091</t>
  </si>
  <si>
    <t>connecting solar to buses in cluster 91</t>
  </si>
  <si>
    <t>distr_solelc_spv_CHN_096</t>
  </si>
  <si>
    <t>connecting solar to buses in cluster 96</t>
  </si>
  <si>
    <t>distr_solelc_spv_CHN_117</t>
  </si>
  <si>
    <t>connecting solar to buses in cluster 117</t>
  </si>
  <si>
    <t>distr_solelc_spv_CHN_078</t>
  </si>
  <si>
    <t>connecting solar to buses in cluster 78</t>
  </si>
  <si>
    <t>distr_solelc_spv_CHN_099</t>
  </si>
  <si>
    <t>connecting solar to buses in cluster 99</t>
  </si>
  <si>
    <t>distr_solelc_spv_CHN_103</t>
  </si>
  <si>
    <t>connecting solar to buses in cluster 103</t>
  </si>
  <si>
    <t>distr_solelc_spv_CHN_110</t>
  </si>
  <si>
    <t>connecting solar to buses in cluster 110</t>
  </si>
  <si>
    <t>distr_solelc_spv_CHN_114</t>
  </si>
  <si>
    <t>connecting solar to buses in cluster 114</t>
  </si>
  <si>
    <t>distr_solelc_spv_CHN_025</t>
  </si>
  <si>
    <t>connecting solar to buses in cluster 25</t>
  </si>
  <si>
    <t>distr_solelc_spv_CHN_028</t>
  </si>
  <si>
    <t>connecting solar to buses in cluster 28</t>
  </si>
  <si>
    <t>distr_solelc_spv_CHN_077</t>
  </si>
  <si>
    <t>connecting solar to buses in cluster 77</t>
  </si>
  <si>
    <t>distr_solelc_spv_CHN_079</t>
  </si>
  <si>
    <t>connecting solar to buses in cluster 79</t>
  </si>
  <si>
    <t>distr_solelc_spv_CHN_089</t>
  </si>
  <si>
    <t>connecting solar to buses in cluster 89</t>
  </si>
  <si>
    <t>distr_solelc_spv_CHN_098</t>
  </si>
  <si>
    <t>connecting solar to buses in cluster 98</t>
  </si>
  <si>
    <t>distr_solelc_spv_CHN_120</t>
  </si>
  <si>
    <t>connecting solar to buses in cluster 120</t>
  </si>
  <si>
    <t>distr_solelc_spv_CHN_136</t>
  </si>
  <si>
    <t>connecting solar to buses in cluster 136</t>
  </si>
  <si>
    <t>distr_solelc_spv_CHN_004</t>
  </si>
  <si>
    <t>connecting solar to buses in cluster 4</t>
  </si>
  <si>
    <t>distr_solelc_spv_CHN_027</t>
  </si>
  <si>
    <t>connecting solar to buses in cluster 27</t>
  </si>
  <si>
    <t>distr_solelc_spv_CHN_047</t>
  </si>
  <si>
    <t>connecting solar to buses in cluster 47</t>
  </si>
  <si>
    <t>distr_solelc_spv_CHN_066</t>
  </si>
  <si>
    <t>connecting solar to buses in cluster 66</t>
  </si>
  <si>
    <t>distr_solelc_spv_CHN_086</t>
  </si>
  <si>
    <t>connecting solar to buses in cluster 86</t>
  </si>
  <si>
    <t>distr_solelc_spv_CHN_092</t>
  </si>
  <si>
    <t>connecting solar to buses in cluster 92</t>
  </si>
  <si>
    <t>distr_solelc_spv_CHN_094</t>
  </si>
  <si>
    <t>connecting solar to buses in cluster 94</t>
  </si>
  <si>
    <t>distr_solelc_spv_CHN_104</t>
  </si>
  <si>
    <t>connecting solar to buses in cluster 104</t>
  </si>
  <si>
    <t>distr_solelc_spv_CHN_128</t>
  </si>
  <si>
    <t>connecting solar to buses in cluster 128</t>
  </si>
  <si>
    <t>distr_solelc_spv_CHN_134</t>
  </si>
  <si>
    <t>connecting solar to buses in cluster 134</t>
  </si>
  <si>
    <t>distr_solelc_spv_CHN_010</t>
  </si>
  <si>
    <t>connecting solar to buses in cluster 10</t>
  </si>
  <si>
    <t>distr_solelc_spv_CHN_051</t>
  </si>
  <si>
    <t>connecting solar to buses in cluster 51</t>
  </si>
  <si>
    <t>distr_solelc_spv_CHN_053</t>
  </si>
  <si>
    <t>connecting solar to buses in cluster 53</t>
  </si>
  <si>
    <t>distr_solelc_spv_CHN_065</t>
  </si>
  <si>
    <t>connecting solar to buses in cluster 65</t>
  </si>
  <si>
    <t>distr_solelc_spv_CHN_072</t>
  </si>
  <si>
    <t>connecting solar to buses in cluster 72</t>
  </si>
  <si>
    <t>distr_solelc_spv_CHN_080</t>
  </si>
  <si>
    <t>connecting solar to buses in cluster 80</t>
  </si>
  <si>
    <t>distr_solelc_spv_CHN_097</t>
  </si>
  <si>
    <t>connecting solar to buses in cluster 97</t>
  </si>
  <si>
    <t>distr_solelc_spv_CHN_127</t>
  </si>
  <si>
    <t>connecting solar to buses in cluster 127</t>
  </si>
  <si>
    <t>distr_solelc_spv_CHN_129</t>
  </si>
  <si>
    <t>connecting solar to buses in cluster 129</t>
  </si>
  <si>
    <t>distr_solelc_spv_CHN_005</t>
  </si>
  <si>
    <t>connecting solar to buses in cluster 5</t>
  </si>
  <si>
    <t>distr_solelc_spv_CHN_019</t>
  </si>
  <si>
    <t>connecting solar to buses in cluster 19</t>
  </si>
  <si>
    <t>distr_solelc_spv_CHN_030</t>
  </si>
  <si>
    <t>connecting solar to buses in cluster 30</t>
  </si>
  <si>
    <t>distr_solelc_spv_CHN_037</t>
  </si>
  <si>
    <t>connecting solar to buses in cluster 37</t>
  </si>
  <si>
    <t>distr_solelc_spv_CHN_041</t>
  </si>
  <si>
    <t>connecting solar to buses in cluster 41</t>
  </si>
  <si>
    <t>distr_solelc_spv_CHN_073</t>
  </si>
  <si>
    <t>connecting solar to buses in cluster 73</t>
  </si>
  <si>
    <t>distr_solelc_spv_CHN_093</t>
  </si>
  <si>
    <t>connecting solar to buses in cluster 93</t>
  </si>
  <si>
    <t>distr_solelc_spv_CHN_100</t>
  </si>
  <si>
    <t>connecting solar to buses in cluster 100</t>
  </si>
  <si>
    <t>distr_solelc_spv_CHN_132</t>
  </si>
  <si>
    <t>connecting solar to buses in cluster 132</t>
  </si>
  <si>
    <t>distr_solelc_spv_CHN_007</t>
  </si>
  <si>
    <t>connecting solar to buses in cluster 7</t>
  </si>
  <si>
    <t>distr_solelc_spv_CHN_017</t>
  </si>
  <si>
    <t>connecting solar to buses in cluster 17</t>
  </si>
  <si>
    <t>distr_solelc_spv_CHN_020</t>
  </si>
  <si>
    <t>connecting solar to buses in cluster 20</t>
  </si>
  <si>
    <t>distr_solelc_spv_CHN_060</t>
  </si>
  <si>
    <t>connecting solar to buses in cluster 60</t>
  </si>
  <si>
    <t>distr_solelc_spv_CHN_071</t>
  </si>
  <si>
    <t>connecting solar to buses in cluster 71</t>
  </si>
  <si>
    <t>distr_solelc_spv_CHN_121</t>
  </si>
  <si>
    <t>connecting solar to buses in cluster 121</t>
  </si>
  <si>
    <t>distr_solelc_spv_CHN_123</t>
  </si>
  <si>
    <t>connecting solar to buses in cluster 123</t>
  </si>
  <si>
    <t>distr_solelc_spv_CHN_001</t>
  </si>
  <si>
    <t>connecting solar to buses in cluster 1</t>
  </si>
  <si>
    <t>distr_solelc_spv_CHN_013</t>
  </si>
  <si>
    <t>connecting solar to buses in cluster 13</t>
  </si>
  <si>
    <t>distr_solelc_spv_CHN_070</t>
  </si>
  <si>
    <t>connecting solar to buses in cluster 70</t>
  </si>
  <si>
    <t>distr_solelc_spv_CHN_102</t>
  </si>
  <si>
    <t>connecting solar to buses in cluster 102</t>
  </si>
  <si>
    <t>distr_solelc_spv_CHN_109</t>
  </si>
  <si>
    <t>connecting solar to buses in cluster 109</t>
  </si>
  <si>
    <t>distr_solelc_spv_CHN_115</t>
  </si>
  <si>
    <t>connecting solar to buses in cluster 115</t>
  </si>
  <si>
    <t>distr_solelc_spv_CHN_031</t>
  </si>
  <si>
    <t>connecting solar to buses in cluster 31</t>
  </si>
  <si>
    <t>distr_solelc_spv_CHN_035</t>
  </si>
  <si>
    <t>connecting solar to buses in cluster 35</t>
  </si>
  <si>
    <t>distr_solelc_spv_CHN_036</t>
  </si>
  <si>
    <t>connecting solar to buses in cluster 36</t>
  </si>
  <si>
    <t>distr_solelc_spv_CHN_040</t>
  </si>
  <si>
    <t>connecting solar to buses in cluster 40</t>
  </si>
  <si>
    <t>distr_solelc_spv_CHN_045</t>
  </si>
  <si>
    <t>connecting solar to buses in cluster 45</t>
  </si>
  <si>
    <t>distr_solelc_spv_CHN_061</t>
  </si>
  <si>
    <t>connecting solar to buses in cluster 61</t>
  </si>
  <si>
    <t>distr_solelc_spv_CHN_069</t>
  </si>
  <si>
    <t>connecting solar to buses in cluster 69</t>
  </si>
  <si>
    <t>distr_solelc_spv_CHN_105</t>
  </si>
  <si>
    <t>connecting solar to buses in cluster 105</t>
  </si>
  <si>
    <t>distr_solelc_spv_CHN_113</t>
  </si>
  <si>
    <t>connecting solar to buses in cluster 113</t>
  </si>
  <si>
    <t>distr_solelc_spv_CHN_126</t>
  </si>
  <si>
    <t>connecting solar to buses in cluster 126</t>
  </si>
  <si>
    <t>distr_solelc_spv_CHN_002</t>
  </si>
  <si>
    <t>connecting solar to buses in cluster 2</t>
  </si>
  <si>
    <t>distr_solelc_spv_CHN_008</t>
  </si>
  <si>
    <t>connecting solar to buses in cluster 8</t>
  </si>
  <si>
    <t>distr_solelc_spv_CHN_023</t>
  </si>
  <si>
    <t>connecting solar to buses in cluster 23</t>
  </si>
  <si>
    <t>distr_solelc_spv_CHN_038</t>
  </si>
  <si>
    <t>connecting solar to buses in cluster 38</t>
  </si>
  <si>
    <t>distr_solelc_spv_CHN_039</t>
  </si>
  <si>
    <t>connecting solar to buses in cluster 39</t>
  </si>
  <si>
    <t>distr_solelc_spv_CHN_042</t>
  </si>
  <si>
    <t>connecting solar to buses in cluster 42</t>
  </si>
  <si>
    <t>distr_solelc_spv_CHN_052</t>
  </si>
  <si>
    <t>connecting solar to buses in cluster 52</t>
  </si>
  <si>
    <t>distr_solelc_spv_CHN_062</t>
  </si>
  <si>
    <t>connecting solar to buses in cluster 62</t>
  </si>
  <si>
    <t>distr_solelc_spv_CHN_082</t>
  </si>
  <si>
    <t>connecting solar to buses in cluster 82</t>
  </si>
  <si>
    <t>distr_solelc_spv_CHN_111</t>
  </si>
  <si>
    <t>connecting solar to buses in cluster 111</t>
  </si>
  <si>
    <t>distr_solelc_spv_CHN_116</t>
  </si>
  <si>
    <t>connecting solar to buses in cluster 116</t>
  </si>
  <si>
    <t>distr_solelc_spv_CHN_118</t>
  </si>
  <si>
    <t>connecting solar to buses in cluster 118</t>
  </si>
  <si>
    <t>distr_solelc_spv_CHN_130</t>
  </si>
  <si>
    <t>connecting solar to buses in cluster 130</t>
  </si>
  <si>
    <t>distr_solelc_spv_CHN_043</t>
  </si>
  <si>
    <t>connecting solar to buses in cluster 43</t>
  </si>
  <si>
    <t>distr_solelc_spv_CHN_044</t>
  </si>
  <si>
    <t>connecting solar to buses in cluster 44</t>
  </si>
  <si>
    <t>distr_solelc_spv_CHN_095</t>
  </si>
  <si>
    <t>connecting solar to buses in cluster 95</t>
  </si>
  <si>
    <t>distr_solelc_spv_CHN_107</t>
  </si>
  <si>
    <t>connecting solar to buses in cluster 107</t>
  </si>
  <si>
    <t>distr_solelc_spv_CHN_108</t>
  </si>
  <si>
    <t>connecting solar to buses in cluster 108</t>
  </si>
  <si>
    <t>distr_solelc_spv_CHN_124</t>
  </si>
  <si>
    <t>connecting solar to buses in cluster 124</t>
  </si>
  <si>
    <t>comm-in</t>
  </si>
  <si>
    <t>ncap_cost~USD21_alt</t>
  </si>
  <si>
    <t>e_Shahezhai_CHN</t>
  </si>
  <si>
    <t>e_Wulan_CHN</t>
  </si>
  <si>
    <t>e_Zouping_CHN</t>
  </si>
  <si>
    <t>e_Mianyang_CHN</t>
  </si>
  <si>
    <t>e_Yuanquan_CHN</t>
  </si>
  <si>
    <t>e_Harbin_CHN</t>
  </si>
  <si>
    <t>e_Anshun_CHN</t>
  </si>
  <si>
    <t>e_CHN44p7N89p1E_CHN</t>
  </si>
  <si>
    <t>e_Putian_CHN</t>
  </si>
  <si>
    <t>e_Jingling_CHN</t>
  </si>
  <si>
    <t>e_Fuzhou_CHN</t>
  </si>
  <si>
    <t>e_Yangzhou_CHN</t>
  </si>
  <si>
    <t>e_Tongshan_CHN</t>
  </si>
  <si>
    <t>e_Yakeshi_CHN</t>
  </si>
  <si>
    <t>e_Linyi_CHN</t>
  </si>
  <si>
    <t>e_Chongqing_CHN</t>
  </si>
  <si>
    <t>e_Kuqa_CHN</t>
  </si>
  <si>
    <t>e_Yangjiang_CHN</t>
  </si>
  <si>
    <t>e_Xichang_CHN</t>
  </si>
  <si>
    <t>e_Sizhan_CHN</t>
  </si>
  <si>
    <t>e_Wuan_CHN</t>
  </si>
  <si>
    <t>e_Anshan_CHN</t>
  </si>
  <si>
    <t>e_ZhongdongShequ_CHN</t>
  </si>
  <si>
    <t>e_Yingchuan_CHN</t>
  </si>
  <si>
    <t>e_CHN44p4N121p8E_CHN</t>
  </si>
  <si>
    <t>e_Shijiazhuang_CHN</t>
  </si>
  <si>
    <t>e_Sanhe_CHN</t>
  </si>
  <si>
    <t>e_Liuzhou_CHN</t>
  </si>
  <si>
    <t>e_Hohhot_CHN</t>
  </si>
  <si>
    <t>e_Beichengqu_CHN</t>
  </si>
  <si>
    <t>e_Yanggezhuang_CHN</t>
  </si>
  <si>
    <t>e_Liaoyang_CHN</t>
  </si>
  <si>
    <t>e_Anqing_CHN</t>
  </si>
  <si>
    <t>e_Bayi_CHN</t>
  </si>
  <si>
    <t>e_Qabqa_CHN</t>
  </si>
  <si>
    <t>e_Yicheng_CHN</t>
  </si>
  <si>
    <t>e_Luohe_CHN</t>
  </si>
  <si>
    <t>e_Rizhao_CHN</t>
  </si>
  <si>
    <t>e_Nantong_CHN</t>
  </si>
  <si>
    <t>e_Hejin_CHN</t>
  </si>
  <si>
    <t>e_Manlin_CHN</t>
  </si>
  <si>
    <t>e_Ningde_CHN</t>
  </si>
  <si>
    <t>e_Tianjin_CHN</t>
  </si>
  <si>
    <t>e_Hangzhou_CHN</t>
  </si>
  <si>
    <t>e_Fangchenggang_CHN</t>
  </si>
  <si>
    <t>e_Shaoguan_CHN</t>
  </si>
  <si>
    <t>e_CHN44p2N116p5E_CHN</t>
  </si>
  <si>
    <t>e_Tongling_CHN</t>
  </si>
  <si>
    <t>e_CHN45p9N129p3E_CHN</t>
  </si>
  <si>
    <t>e_Xiaoyi_CHN</t>
  </si>
  <si>
    <t>e_Yiyang_CHN</t>
  </si>
  <si>
    <t>e_Wuhan_CHN</t>
  </si>
  <si>
    <t>e_Changzhou_CHN</t>
  </si>
  <si>
    <t>e_Shanghai_CHN</t>
  </si>
  <si>
    <t>e_Xiaoxita_CHN</t>
  </si>
  <si>
    <t>e_Dayan_CHN</t>
  </si>
  <si>
    <t>e_Tangshan_CHN</t>
  </si>
  <si>
    <t>e_Jinbi_CHN</t>
  </si>
  <si>
    <t>e_Nanjing_CHN</t>
  </si>
  <si>
    <t>distr_wonelc_won_CHN_038</t>
  </si>
  <si>
    <t>connecting wind onshore to buses in cluster 38</t>
  </si>
  <si>
    <t>distr_wonelc_won_CHN_040</t>
  </si>
  <si>
    <t>connecting wind onshore to buses in cluster 40</t>
  </si>
  <si>
    <t>distr_wonelc_won_CHN_050</t>
  </si>
  <si>
    <t>connecting wind onshore to buses in cluster 50</t>
  </si>
  <si>
    <t>distr_wonelc_won_CHN_055</t>
  </si>
  <si>
    <t>connecting wind onshore to buses in cluster 55</t>
  </si>
  <si>
    <t>distr_wonelc_won_CHN_073</t>
  </si>
  <si>
    <t>connecting wind onshore to buses in cluster 73</t>
  </si>
  <si>
    <t>distr_wonelc_won_CHN_077</t>
  </si>
  <si>
    <t>connecting wind onshore to buses in cluster 77</t>
  </si>
  <si>
    <t>distr_wonelc_won_CHN_084</t>
  </si>
  <si>
    <t>connecting wind onshore to buses in cluster 84</t>
  </si>
  <si>
    <t>distr_wonelc_won_CHN_089</t>
  </si>
  <si>
    <t>connecting wind onshore to buses in cluster 89</t>
  </si>
  <si>
    <t>distr_wonelc_won_CHN_109</t>
  </si>
  <si>
    <t>connecting wind onshore to buses in cluster 109</t>
  </si>
  <si>
    <t>distr_wonelc_won_CHN_003</t>
  </si>
  <si>
    <t>connecting wind onshore to buses in cluster 3</t>
  </si>
  <si>
    <t>distr_wonelc_won_CHN_017</t>
  </si>
  <si>
    <t>connecting wind onshore to buses in cluster 17</t>
  </si>
  <si>
    <t>distr_wonelc_won_CHN_026</t>
  </si>
  <si>
    <t>connecting wind onshore to buses in cluster 26</t>
  </si>
  <si>
    <t>distr_wonelc_won_CHN_032</t>
  </si>
  <si>
    <t>connecting wind onshore to buses in cluster 32</t>
  </si>
  <si>
    <t>distr_wonelc_won_CHN_045</t>
  </si>
  <si>
    <t>connecting wind onshore to buses in cluster 45</t>
  </si>
  <si>
    <t>distr_wonelc_won_CHN_046</t>
  </si>
  <si>
    <t>connecting wind onshore to buses in cluster 46</t>
  </si>
  <si>
    <t>distr_wonelc_won_CHN_047</t>
  </si>
  <si>
    <t>connecting wind onshore to buses in cluster 47</t>
  </si>
  <si>
    <t>distr_wonelc_won_CHN_087</t>
  </si>
  <si>
    <t>connecting wind onshore to buses in cluster 87</t>
  </si>
  <si>
    <t>distr_wonelc_won_CHN_101</t>
  </si>
  <si>
    <t>connecting wind onshore to buses in cluster 101</t>
  </si>
  <si>
    <t>distr_wonelc_won_CHN_002</t>
  </si>
  <si>
    <t>connecting wind onshore to buses in cluster 2</t>
  </si>
  <si>
    <t>distr_wonelc_won_CHN_018</t>
  </si>
  <si>
    <t>connecting wind onshore to buses in cluster 18</t>
  </si>
  <si>
    <t>distr_wonelc_won_CHN_028</t>
  </si>
  <si>
    <t>connecting wind onshore to buses in cluster 28</t>
  </si>
  <si>
    <t>distr_wonelc_won_CHN_031</t>
  </si>
  <si>
    <t>connecting wind onshore to buses in cluster 31</t>
  </si>
  <si>
    <t>distr_wonelc_won_CHN_041</t>
  </si>
  <si>
    <t>connecting wind onshore to buses in cluster 41</t>
  </si>
  <si>
    <t>distr_wonelc_won_CHN_049</t>
  </si>
  <si>
    <t>connecting wind onshore to buses in cluster 49</t>
  </si>
  <si>
    <t>distr_wonelc_won_CHN_090</t>
  </si>
  <si>
    <t>connecting wind onshore to buses in cluster 90</t>
  </si>
  <si>
    <t>distr_wonelc_won_CHN_102</t>
  </si>
  <si>
    <t>connecting wind onshore to buses in cluster 102</t>
  </si>
  <si>
    <t>distr_wonelc_won_CHN_113</t>
  </si>
  <si>
    <t>connecting wind onshore to buses in cluster 113</t>
  </si>
  <si>
    <t>distr_wonelc_won_CHN_025</t>
  </si>
  <si>
    <t>connecting wind onshore to buses in cluster 25</t>
  </si>
  <si>
    <t>distr_wonelc_won_CHN_034</t>
  </si>
  <si>
    <t>connecting wind onshore to buses in cluster 34</t>
  </si>
  <si>
    <t>distr_wonelc_won_CHN_037</t>
  </si>
  <si>
    <t>connecting wind onshore to buses in cluster 37</t>
  </si>
  <si>
    <t>distr_wonelc_won_CHN_042</t>
  </si>
  <si>
    <t>connecting wind onshore to buses in cluster 42</t>
  </si>
  <si>
    <t>distr_wonelc_won_CHN_092</t>
  </si>
  <si>
    <t>connecting wind onshore to buses in cluster 92</t>
  </si>
  <si>
    <t>distr_wonelc_won_CHN_095</t>
  </si>
  <si>
    <t>connecting wind onshore to buses in cluster 95</t>
  </si>
  <si>
    <t>distr_wonelc_won_CHN_096</t>
  </si>
  <si>
    <t>connecting wind onshore to buses in cluster 96</t>
  </si>
  <si>
    <t>distr_wonelc_won_CHN_106</t>
  </si>
  <si>
    <t>connecting wind onshore to buses in cluster 106</t>
  </si>
  <si>
    <t>distr_wonelc_won_CHN_039</t>
  </si>
  <si>
    <t>connecting wind onshore to buses in cluster 39</t>
  </si>
  <si>
    <t>distr_wonelc_won_CHN_051</t>
  </si>
  <si>
    <t>connecting wind onshore to buses in cluster 51</t>
  </si>
  <si>
    <t>distr_wonelc_won_CHN_059</t>
  </si>
  <si>
    <t>connecting wind onshore to buses in cluster 59</t>
  </si>
  <si>
    <t>distr_wonelc_won_CHN_067</t>
  </si>
  <si>
    <t>connecting wind onshore to buses in cluster 67</t>
  </si>
  <si>
    <t>distr_wonelc_won_CHN_071</t>
  </si>
  <si>
    <t>connecting wind onshore to buses in cluster 71</t>
  </si>
  <si>
    <t>distr_wonelc_won_CHN_076</t>
  </si>
  <si>
    <t>connecting wind onshore to buses in cluster 76</t>
  </si>
  <si>
    <t>distr_wonelc_won_CHN_094</t>
  </si>
  <si>
    <t>connecting wind onshore to buses in cluster 94</t>
  </si>
  <si>
    <t>distr_wonelc_won_CHN_097</t>
  </si>
  <si>
    <t>connecting wind onshore to buses in cluster 97</t>
  </si>
  <si>
    <t>distr_wonelc_won_CHN_105</t>
  </si>
  <si>
    <t>connecting wind onshore to buses in cluster 105</t>
  </si>
  <si>
    <t>distr_wonelc_won_CHN_015</t>
  </si>
  <si>
    <t>connecting wind onshore to buses in cluster 15</t>
  </si>
  <si>
    <t>distr_wonelc_won_CHN_019</t>
  </si>
  <si>
    <t>connecting wind onshore to buses in cluster 19</t>
  </si>
  <si>
    <t>distr_wonelc_won_CHN_060</t>
  </si>
  <si>
    <t>connecting wind onshore to buses in cluster 60</t>
  </si>
  <si>
    <t>distr_wonelc_won_CHN_082</t>
  </si>
  <si>
    <t>connecting wind onshore to buses in cluster 82</t>
  </si>
  <si>
    <t>distr_wonelc_won_CHN_010</t>
  </si>
  <si>
    <t>connecting wind onshore to buses in cluster 10</t>
  </si>
  <si>
    <t>distr_wonelc_won_CHN_043</t>
  </si>
  <si>
    <t>connecting wind onshore to buses in cluster 43</t>
  </si>
  <si>
    <t>distr_wonelc_won_CHN_080</t>
  </si>
  <si>
    <t>connecting wind onshore to buses in cluster 80</t>
  </si>
  <si>
    <t>distr_wonelc_won_CHN_107</t>
  </si>
  <si>
    <t>connecting wind onshore to buses in cluster 107</t>
  </si>
  <si>
    <t>distr_wonelc_won_CHN_013</t>
  </si>
  <si>
    <t>connecting wind onshore to buses in cluster 13</t>
  </si>
  <si>
    <t>distr_wonelc_won_CHN_020</t>
  </si>
  <si>
    <t>connecting wind onshore to buses in cluster 20</t>
  </si>
  <si>
    <t>distr_wonelc_won_CHN_024</t>
  </si>
  <si>
    <t>connecting wind onshore to buses in cluster 24</t>
  </si>
  <si>
    <t>distr_wonelc_won_CHN_033</t>
  </si>
  <si>
    <t>connecting wind onshore to buses in cluster 33</t>
  </si>
  <si>
    <t>distr_wonelc_won_CHN_057</t>
  </si>
  <si>
    <t>connecting wind onshore to buses in cluster 57</t>
  </si>
  <si>
    <t>distr_wonelc_won_CHN_081</t>
  </si>
  <si>
    <t>connecting wind onshore to buses in cluster 81</t>
  </si>
  <si>
    <t>distr_wonelc_won_CHN_085</t>
  </si>
  <si>
    <t>connecting wind onshore to buses in cluster 85</t>
  </si>
  <si>
    <t>distr_wonelc_won_CHN_086</t>
  </si>
  <si>
    <t>connecting wind onshore to buses in cluster 86</t>
  </si>
  <si>
    <t>distr_wonelc_won_CHN_088</t>
  </si>
  <si>
    <t>connecting wind onshore to buses in cluster 88</t>
  </si>
  <si>
    <t>distr_wonelc_won_CHN_008</t>
  </si>
  <si>
    <t>connecting wind onshore to buses in cluster 8</t>
  </si>
  <si>
    <t>distr_wonelc_won_CHN_016</t>
  </si>
  <si>
    <t>connecting wind onshore to buses in cluster 16</t>
  </si>
  <si>
    <t>distr_wonelc_won_CHN_062</t>
  </si>
  <si>
    <t>connecting wind onshore to buses in cluster 62</t>
  </si>
  <si>
    <t>distr_wonelc_won_CHN_063</t>
  </si>
  <si>
    <t>connecting wind onshore to buses in cluster 63</t>
  </si>
  <si>
    <t>distr_wonelc_won_CHN_069</t>
  </si>
  <si>
    <t>connecting wind onshore to buses in cluster 69</t>
  </si>
  <si>
    <t>distr_wonelc_won_CHN_091</t>
  </si>
  <si>
    <t>connecting wind onshore to buses in cluster 91</t>
  </si>
  <si>
    <t>distr_wonelc_won_CHN_006</t>
  </si>
  <si>
    <t>connecting wind onshore to buses in cluster 6</t>
  </si>
  <si>
    <t>distr_wonelc_won_CHN_027</t>
  </si>
  <si>
    <t>connecting wind onshore to buses in cluster 27</t>
  </si>
  <si>
    <t>distr_wonelc_won_CHN_058</t>
  </si>
  <si>
    <t>connecting wind onshore to buses in cluster 58</t>
  </si>
  <si>
    <t>distr_wonelc_won_CHN_065</t>
  </si>
  <si>
    <t>connecting wind onshore to buses in cluster 65</t>
  </si>
  <si>
    <t>distr_wonelc_won_CHN_075</t>
  </si>
  <si>
    <t>connecting wind onshore to buses in cluster 75</t>
  </si>
  <si>
    <t>distr_wonelc_won_CHN_110</t>
  </si>
  <si>
    <t>connecting wind onshore to buses in cluster 110</t>
  </si>
  <si>
    <t>distr_wonelc_won_CHN_001</t>
  </si>
  <si>
    <t>connecting wind onshore to buses in cluster 1</t>
  </si>
  <si>
    <t>distr_wonelc_won_CHN_014</t>
  </si>
  <si>
    <t>connecting wind onshore to buses in cluster 14</t>
  </si>
  <si>
    <t>distr_wonelc_won_CHN_044</t>
  </si>
  <si>
    <t>connecting wind onshore to buses in cluster 44</t>
  </si>
  <si>
    <t>distr_wonelc_won_CHN_056</t>
  </si>
  <si>
    <t>connecting wind onshore to buses in cluster 56</t>
  </si>
  <si>
    <t>distr_wonelc_won_CHN_061</t>
  </si>
  <si>
    <t>connecting wind onshore to buses in cluster 61</t>
  </si>
  <si>
    <t>distr_wonelc_won_CHN_007</t>
  </si>
  <si>
    <t>connecting wind onshore to buses in cluster 7</t>
  </si>
  <si>
    <t>distr_wonelc_won_CHN_009</t>
  </si>
  <si>
    <t>connecting wind onshore to buses in cluster 9</t>
  </si>
  <si>
    <t>distr_wonelc_won_CHN_011</t>
  </si>
  <si>
    <t>connecting wind onshore to buses in cluster 11</t>
  </si>
  <si>
    <t>distr_wonelc_won_CHN_021</t>
  </si>
  <si>
    <t>connecting wind onshore to buses in cluster 21</t>
  </si>
  <si>
    <t>distr_wonelc_won_CHN_072</t>
  </si>
  <si>
    <t>connecting wind onshore to buses in cluster 72</t>
  </si>
  <si>
    <t>distr_wonelc_won_CHN_074</t>
  </si>
  <si>
    <t>connecting wind onshore to buses in cluster 74</t>
  </si>
  <si>
    <t>distr_wonelc_won_CHN_078</t>
  </si>
  <si>
    <t>connecting wind onshore to buses in cluster 78</t>
  </si>
  <si>
    <t>distr_wonelc_won_CHN_079</t>
  </si>
  <si>
    <t>connecting wind onshore to buses in cluster 79</t>
  </si>
  <si>
    <t>distr_wonelc_won_CHN_111</t>
  </si>
  <si>
    <t>connecting wind onshore to buses in cluster 111</t>
  </si>
  <si>
    <t>distr_wonelc_won_CHN_012</t>
  </si>
  <si>
    <t>connecting wind onshore to buses in cluster 12</t>
  </si>
  <si>
    <t>distr_wonelc_won_CHN_054</t>
  </si>
  <si>
    <t>connecting wind onshore to buses in cluster 54</t>
  </si>
  <si>
    <t>distr_wonelc_won_CHN_068</t>
  </si>
  <si>
    <t>connecting wind onshore to buses in cluster 68</t>
  </si>
  <si>
    <t>distr_wonelc_won_CHN_099</t>
  </si>
  <si>
    <t>connecting wind onshore to buses in cluster 99</t>
  </si>
  <si>
    <t>distr_wonelc_won_CHN_104</t>
  </si>
  <si>
    <t>connecting wind onshore to buses in cluster 104</t>
  </si>
  <si>
    <t>distr_wonelc_won_CHN_004</t>
  </si>
  <si>
    <t>connecting wind onshore to buses in cluster 4</t>
  </si>
  <si>
    <t>distr_wonelc_won_CHN_005</t>
  </si>
  <si>
    <t>connecting wind onshore to buses in cluster 5</t>
  </si>
  <si>
    <t>distr_wonelc_won_CHN_022</t>
  </si>
  <si>
    <t>connecting wind onshore to buses in cluster 22</t>
  </si>
  <si>
    <t>distr_wonelc_won_CHN_030</t>
  </si>
  <si>
    <t>connecting wind onshore to buses in cluster 30</t>
  </si>
  <si>
    <t>distr_wonelc_won_CHN_048</t>
  </si>
  <si>
    <t>connecting wind onshore to buses in cluster 48</t>
  </si>
  <si>
    <t>distr_wonelc_won_CHN_052</t>
  </si>
  <si>
    <t>connecting wind onshore to buses in cluster 52</t>
  </si>
  <si>
    <t>distr_wonelc_won_CHN_070</t>
  </si>
  <si>
    <t>connecting wind onshore to buses in cluster 70</t>
  </si>
  <si>
    <t>distr_wonelc_won_CHN_098</t>
  </si>
  <si>
    <t>connecting wind onshore to buses in cluster 98</t>
  </si>
  <si>
    <t>distr_wonelc_won_CHN_100</t>
  </si>
  <si>
    <t>connecting wind onshore to buses in cluster 100</t>
  </si>
  <si>
    <t>distr_wonelc_won_CHN_035</t>
  </si>
  <si>
    <t>connecting wind onshore to buses in cluster 35</t>
  </si>
  <si>
    <t>distr_wonelc_won_CHN_064</t>
  </si>
  <si>
    <t>connecting wind onshore to buses in cluster 64</t>
  </si>
  <si>
    <t>distr_wonelc_won_CHN_066</t>
  </si>
  <si>
    <t>connecting wind onshore to buses in cluster 66</t>
  </si>
  <si>
    <t>distr_wonelc_won_CHN_083</t>
  </si>
  <si>
    <t>connecting wind onshore to buses in cluster 83</t>
  </si>
  <si>
    <t>distr_wonelc_won_CHN_103</t>
  </si>
  <si>
    <t>connecting wind onshore to buses in cluster 103</t>
  </si>
  <si>
    <t>distr_wonelc_won_CHN_108</t>
  </si>
  <si>
    <t>connecting wind onshore to buses in cluster 108</t>
  </si>
  <si>
    <t>distr_wonelc_won_CHN_112</t>
  </si>
  <si>
    <t>connecting wind onshore to buses in cluster 112</t>
  </si>
  <si>
    <t>distr_wonelc_won_CHN_023</t>
  </si>
  <si>
    <t>connecting wind onshore to buses in cluster 23</t>
  </si>
  <si>
    <t>distr_wonelc_won_CHN_029</t>
  </si>
  <si>
    <t>connecting wind onshore to buses in cluster 29</t>
  </si>
  <si>
    <t>distr_wonelc_won_CHN_036</t>
  </si>
  <si>
    <t>connecting wind onshore to buses in cluster 36</t>
  </si>
  <si>
    <t>distr_wonelc_won_CHN_053</t>
  </si>
  <si>
    <t>connecting wind onshore to buses in cluster 53</t>
  </si>
  <si>
    <t>distr_wonelc_won_CHN_093</t>
  </si>
  <si>
    <t>connecting wind onshore to buses in cluster 93</t>
  </si>
  <si>
    <t>elc_won_CHN_038</t>
  </si>
  <si>
    <t>elc_won_CHN_040</t>
  </si>
  <si>
    <t>elc_won_CHN_050</t>
  </si>
  <si>
    <t>elc_won_CHN_055</t>
  </si>
  <si>
    <t>elc_won_CHN_073</t>
  </si>
  <si>
    <t>elc_won_CHN_077</t>
  </si>
  <si>
    <t>elc_won_CHN_084</t>
  </si>
  <si>
    <t>elc_won_CHN_089</t>
  </si>
  <si>
    <t>elc_won_CHN_109</t>
  </si>
  <si>
    <t>elc_won_CHN_003</t>
  </si>
  <si>
    <t>elc_won_CHN_017</t>
  </si>
  <si>
    <t>elc_won_CHN_026</t>
  </si>
  <si>
    <t>elc_won_CHN_032</t>
  </si>
  <si>
    <t>elc_won_CHN_045</t>
  </si>
  <si>
    <t>elc_won_CHN_046</t>
  </si>
  <si>
    <t>elc_won_CHN_047</t>
  </si>
  <si>
    <t>elc_won_CHN_087</t>
  </si>
  <si>
    <t>elc_won_CHN_101</t>
  </si>
  <si>
    <t>elc_won_CHN_002</t>
  </si>
  <si>
    <t>elc_won_CHN_018</t>
  </si>
  <si>
    <t>elc_won_CHN_028</t>
  </si>
  <si>
    <t>elc_won_CHN_031</t>
  </si>
  <si>
    <t>elc_won_CHN_041</t>
  </si>
  <si>
    <t>elc_won_CHN_049</t>
  </si>
  <si>
    <t>elc_won_CHN_090</t>
  </si>
  <si>
    <t>elc_won_CHN_102</t>
  </si>
  <si>
    <t>elc_won_CHN_113</t>
  </si>
  <si>
    <t>elc_won_CHN_025</t>
  </si>
  <si>
    <t>elc_won_CHN_034</t>
  </si>
  <si>
    <t>elc_won_CHN_037</t>
  </si>
  <si>
    <t>elc_won_CHN_042</t>
  </si>
  <si>
    <t>elc_won_CHN_092</t>
  </si>
  <si>
    <t>elc_won_CHN_095</t>
  </si>
  <si>
    <t>elc_won_CHN_096</t>
  </si>
  <si>
    <t>elc_won_CHN_106</t>
  </si>
  <si>
    <t>elc_won_CHN_039</t>
  </si>
  <si>
    <t>elc_won_CHN_051</t>
  </si>
  <si>
    <t>elc_won_CHN_059</t>
  </si>
  <si>
    <t>elc_won_CHN_067</t>
  </si>
  <si>
    <t>elc_won_CHN_071</t>
  </si>
  <si>
    <t>elc_won_CHN_076</t>
  </si>
  <si>
    <t>elc_won_CHN_094</t>
  </si>
  <si>
    <t>elc_won_CHN_097</t>
  </si>
  <si>
    <t>elc_won_CHN_105</t>
  </si>
  <si>
    <t>elc_won_CHN_015</t>
  </si>
  <si>
    <t>elc_won_CHN_019</t>
  </si>
  <si>
    <t>elc_won_CHN_060</t>
  </si>
  <si>
    <t>elc_won_CHN_082</t>
  </si>
  <si>
    <t>elc_won_CHN_010</t>
  </si>
  <si>
    <t>elc_won_CHN_043</t>
  </si>
  <si>
    <t>elc_won_CHN_080</t>
  </si>
  <si>
    <t>elc_won_CHN_107</t>
  </si>
  <si>
    <t>elc_won_CHN_013</t>
  </si>
  <si>
    <t>elc_won_CHN_020</t>
  </si>
  <si>
    <t>elc_won_CHN_024</t>
  </si>
  <si>
    <t>elc_won_CHN_033</t>
  </si>
  <si>
    <t>elc_won_CHN_057</t>
  </si>
  <si>
    <t>elc_won_CHN_081</t>
  </si>
  <si>
    <t>elc_won_CHN_085</t>
  </si>
  <si>
    <t>elc_won_CHN_086</t>
  </si>
  <si>
    <t>elc_won_CHN_088</t>
  </si>
  <si>
    <t>elc_won_CHN_008</t>
  </si>
  <si>
    <t>elc_won_CHN_016</t>
  </si>
  <si>
    <t>elc_won_CHN_062</t>
  </si>
  <si>
    <t>elc_won_CHN_063</t>
  </si>
  <si>
    <t>elc_won_CHN_069</t>
  </si>
  <si>
    <t>elc_won_CHN_091</t>
  </si>
  <si>
    <t>elc_won_CHN_006</t>
  </si>
  <si>
    <t>elc_won_CHN_027</t>
  </si>
  <si>
    <t>elc_won_CHN_058</t>
  </si>
  <si>
    <t>elc_won_CHN_065</t>
  </si>
  <si>
    <t>elc_won_CHN_075</t>
  </si>
  <si>
    <t>elc_won_CHN_110</t>
  </si>
  <si>
    <t>elc_won_CHN_001</t>
  </si>
  <si>
    <t>elc_won_CHN_014</t>
  </si>
  <si>
    <t>elc_won_CHN_044</t>
  </si>
  <si>
    <t>elc_won_CHN_056</t>
  </si>
  <si>
    <t>elc_won_CHN_061</t>
  </si>
  <si>
    <t>elc_won_CHN_007</t>
  </si>
  <si>
    <t>elc_won_CHN_009</t>
  </si>
  <si>
    <t>elc_won_CHN_011</t>
  </si>
  <si>
    <t>elc_won_CHN_021</t>
  </si>
  <si>
    <t>elc_won_CHN_072</t>
  </si>
  <si>
    <t>elc_won_CHN_074</t>
  </si>
  <si>
    <t>elc_won_CHN_078</t>
  </si>
  <si>
    <t>elc_won_CHN_079</t>
  </si>
  <si>
    <t>elc_won_CHN_111</t>
  </si>
  <si>
    <t>elc_won_CHN_012</t>
  </si>
  <si>
    <t>elc_won_CHN_054</t>
  </si>
  <si>
    <t>elc_won_CHN_068</t>
  </si>
  <si>
    <t>elc_won_CHN_099</t>
  </si>
  <si>
    <t>elc_won_CHN_104</t>
  </si>
  <si>
    <t>elc_won_CHN_004</t>
  </si>
  <si>
    <t>elc_won_CHN_005</t>
  </si>
  <si>
    <t>elc_won_CHN_022</t>
  </si>
  <si>
    <t>elc_won_CHN_030</t>
  </si>
  <si>
    <t>elc_won_CHN_048</t>
  </si>
  <si>
    <t>elc_won_CHN_052</t>
  </si>
  <si>
    <t>elc_won_CHN_070</t>
  </si>
  <si>
    <t>elc_won_CHN_098</t>
  </si>
  <si>
    <t>elc_won_CHN_100</t>
  </si>
  <si>
    <t>elc_won_CHN_035</t>
  </si>
  <si>
    <t>elc_won_CHN_064</t>
  </si>
  <si>
    <t>elc_won_CHN_066</t>
  </si>
  <si>
    <t>elc_won_CHN_083</t>
  </si>
  <si>
    <t>elc_won_CHN_103</t>
  </si>
  <si>
    <t>elc_won_CHN_108</t>
  </si>
  <si>
    <t>elc_won_CHN_112</t>
  </si>
  <si>
    <t>elc_won_CHN_023</t>
  </si>
  <si>
    <t>elc_won_CHN_029</t>
  </si>
  <si>
    <t>elc_won_CHN_036</t>
  </si>
  <si>
    <t>elc_won_CHN_053</t>
  </si>
  <si>
    <t>elc_won_CHN_093</t>
  </si>
  <si>
    <t>distr_wofelc_wof_CHN_004</t>
  </si>
  <si>
    <t>connecting wind offshore to buses in cluster 4</t>
  </si>
  <si>
    <t>distr_wofelc_wof_CHN_031</t>
  </si>
  <si>
    <t>connecting wind offshore to buses in cluster 31</t>
  </si>
  <si>
    <t>distr_wofelc_wof_CHN_029</t>
  </si>
  <si>
    <t>connecting wind offshore to buses in cluster 29</t>
  </si>
  <si>
    <t>distr_wofelc_wof_CHN_005</t>
  </si>
  <si>
    <t>connecting wind offshore to buses in cluster 5</t>
  </si>
  <si>
    <t>distr_wofelc_wof_CHN_007</t>
  </si>
  <si>
    <t>connecting wind offshore to buses in cluster 7</t>
  </si>
  <si>
    <t>distr_wofelc_wof_CHN_008</t>
  </si>
  <si>
    <t>connecting wind offshore to buses in cluster 8</t>
  </si>
  <si>
    <t>distr_wofelc_wof_CHN_020</t>
  </si>
  <si>
    <t>connecting wind offshore to buses in cluster 20</t>
  </si>
  <si>
    <t>distr_wofelc_wof_CHN_028</t>
  </si>
  <si>
    <t>connecting wind offshore to buses in cluster 28</t>
  </si>
  <si>
    <t>distr_wofelc_wof_CHN_027</t>
  </si>
  <si>
    <t>connecting wind offshore to buses in cluster 27</t>
  </si>
  <si>
    <t>distr_wofelc_wof_CHN_014</t>
  </si>
  <si>
    <t>connecting wind offshore to buses in cluster 14</t>
  </si>
  <si>
    <t>distr_wofelc_wof_CHN_023</t>
  </si>
  <si>
    <t>connecting wind offshore to buses in cluster 23</t>
  </si>
  <si>
    <t>distr_wofelc_wof_CHN_032</t>
  </si>
  <si>
    <t>connecting wind offshore to buses in cluster 32</t>
  </si>
  <si>
    <t>distr_wofelc_wof_CHN_015</t>
  </si>
  <si>
    <t>connecting wind offshore to buses in cluster 15</t>
  </si>
  <si>
    <t>distr_wofelc_wof_CHN_017</t>
  </si>
  <si>
    <t>connecting wind offshore to buses in cluster 17</t>
  </si>
  <si>
    <t>distr_wofelc_wof_CHN_011</t>
  </si>
  <si>
    <t>connecting wind offshore to buses in cluster 11</t>
  </si>
  <si>
    <t>distr_wofelc_wof_CHN_013</t>
  </si>
  <si>
    <t>connecting wind offshore to buses in cluster 13</t>
  </si>
  <si>
    <t>distr_wofelc_wof_CHN_001</t>
  </si>
  <si>
    <t>connecting wind offshore to buses in cluster 1</t>
  </si>
  <si>
    <t>distr_wofelc_wof_CHN_010</t>
  </si>
  <si>
    <t>connecting wind offshore to buses in cluster 10</t>
  </si>
  <si>
    <t>distr_wofelc_wof_CHN_019</t>
  </si>
  <si>
    <t>connecting wind offshore to buses in cluster 19</t>
  </si>
  <si>
    <t>distr_wofelc_wof_CHN_026</t>
  </si>
  <si>
    <t>connecting wind offshore to buses in cluster 26</t>
  </si>
  <si>
    <t>distr_wofelc_wof_CHN_034</t>
  </si>
  <si>
    <t>connecting wind offshore to buses in cluster 34</t>
  </si>
  <si>
    <t>distr_wofelc_wof_CHN_003</t>
  </si>
  <si>
    <t>connecting wind offshore to buses in cluster 3</t>
  </si>
  <si>
    <t>distr_wofelc_wof_CHN_012</t>
  </si>
  <si>
    <t>connecting wind offshore to buses in cluster 12</t>
  </si>
  <si>
    <t>distr_wofelc_wof_CHN_002</t>
  </si>
  <si>
    <t>connecting wind offshore to buses in cluster 2</t>
  </si>
  <si>
    <t>distr_wofelc_wof_CHN_016</t>
  </si>
  <si>
    <t>connecting wind offshore to buses in cluster 16</t>
  </si>
  <si>
    <t>distr_wofelc_wof_CHN_018</t>
  </si>
  <si>
    <t>connecting wind offshore to buses in cluster 18</t>
  </si>
  <si>
    <t>distr_wofelc_wof_CHN_021</t>
  </si>
  <si>
    <t>connecting wind offshore to buses in cluster 21</t>
  </si>
  <si>
    <t>distr_wofelc_wof_CHN_022</t>
  </si>
  <si>
    <t>connecting wind offshore to buses in cluster 22</t>
  </si>
  <si>
    <t>distr_wofelc_wof_CHN_024</t>
  </si>
  <si>
    <t>connecting wind offshore to buses in cluster 24</t>
  </si>
  <si>
    <t>distr_wofelc_wof_CHN_006</t>
  </si>
  <si>
    <t>connecting wind offshore to buses in cluster 6</t>
  </si>
  <si>
    <t>distr_wofelc_wof_CHN_009</t>
  </si>
  <si>
    <t>connecting wind offshore to buses in cluster 9</t>
  </si>
  <si>
    <t>distr_wofelc_wof_CHN_025</t>
  </si>
  <si>
    <t>connecting wind offshore to buses in cluster 25</t>
  </si>
  <si>
    <t>distr_wofelc_wof_CHN_030</t>
  </si>
  <si>
    <t>connecting wind offshore to buses in cluster 30</t>
  </si>
  <si>
    <t>distr_wofelc_wof_CHN_033</t>
  </si>
  <si>
    <t>connecting wind offshore to buses in cluster 33</t>
  </si>
  <si>
    <t>elc_wof_CHN_004</t>
  </si>
  <si>
    <t>elc_wof_CHN_031</t>
  </si>
  <si>
    <t>elc_wof_CHN_029</t>
  </si>
  <si>
    <t>elc_wof_CHN_005</t>
  </si>
  <si>
    <t>elc_wof_CHN_007</t>
  </si>
  <si>
    <t>elc_wof_CHN_008</t>
  </si>
  <si>
    <t>elc_wof_CHN_020</t>
  </si>
  <si>
    <t>elc_wof_CHN_028</t>
  </si>
  <si>
    <t>elc_wof_CHN_027</t>
  </si>
  <si>
    <t>elc_wof_CHN_014</t>
  </si>
  <si>
    <t>elc_wof_CHN_023</t>
  </si>
  <si>
    <t>elc_wof_CHN_032</t>
  </si>
  <si>
    <t>elc_wof_CHN_015</t>
  </si>
  <si>
    <t>elc_wof_CHN_017</t>
  </si>
  <si>
    <t>elc_wof_CHN_011</t>
  </si>
  <si>
    <t>elc_wof_CHN_013</t>
  </si>
  <si>
    <t>elc_wof_CHN_001</t>
  </si>
  <si>
    <t>elc_wof_CHN_010</t>
  </si>
  <si>
    <t>elc_wof_CHN_019</t>
  </si>
  <si>
    <t>elc_wof_CHN_026</t>
  </si>
  <si>
    <t>elc_wof_CHN_034</t>
  </si>
  <si>
    <t>elc_wof_CHN_003</t>
  </si>
  <si>
    <t>elc_wof_CHN_012</t>
  </si>
  <si>
    <t>elc_wof_CHN_002</t>
  </si>
  <si>
    <t>elc_wof_CHN_016</t>
  </si>
  <si>
    <t>elc_wof_CHN_018</t>
  </si>
  <si>
    <t>elc_wof_CHN_021</t>
  </si>
  <si>
    <t>elc_wof_CHN_022</t>
  </si>
  <si>
    <t>elc_wof_CHN_024</t>
  </si>
  <si>
    <t>elc_wof_CHN_006</t>
  </si>
  <si>
    <t>elc_wof_CHN_009</t>
  </si>
  <si>
    <t>elc_wof_CHN_025</t>
  </si>
  <si>
    <t>elc_wof_CHN_030</t>
  </si>
  <si>
    <t>elc_wof_CHN_033</t>
  </si>
  <si>
    <t>e_won_CHN_001</t>
  </si>
  <si>
    <t>wind onshore resource near Songjiang (cluster 1)</t>
  </si>
  <si>
    <t>e_won_CHN_002</t>
  </si>
  <si>
    <t>wind onshore resource near Shijiazhuang (cluster 2)</t>
  </si>
  <si>
    <t>e_won_CHN_003</t>
  </si>
  <si>
    <t>wind onshore resource near Tianjin (cluster 3)</t>
  </si>
  <si>
    <t>e_won_CHN_004</t>
  </si>
  <si>
    <t>wind onshore resource near Zhuanghe (cluster 4)</t>
  </si>
  <si>
    <t>e_won_CHN_005</t>
  </si>
  <si>
    <t>wind onshore resource near Beining (cluster 5)</t>
  </si>
  <si>
    <t>e_won_CHN_006</t>
  </si>
  <si>
    <t>wind onshore resource near Huanggang (cluster 6)</t>
  </si>
  <si>
    <t>e_won_CHN_007</t>
  </si>
  <si>
    <t>wind onshore resource near Macheng (cluster 7)</t>
  </si>
  <si>
    <t>e_won_CHN_008</t>
  </si>
  <si>
    <t>wind onshore resource near Fengning (cluster 8)</t>
  </si>
  <si>
    <t>e_won_CHN_009</t>
  </si>
  <si>
    <t>wind onshore resource near Fengning (cluster 9)</t>
  </si>
  <si>
    <t>e_won_CHN_010</t>
  </si>
  <si>
    <t>wind onshore resource near Nenjiang (cluster 10)</t>
  </si>
  <si>
    <t>e_won_CHN_011</t>
  </si>
  <si>
    <t>wind onshore resource near Nehe (cluster 11)</t>
  </si>
  <si>
    <t>e_won_CHN_012</t>
  </si>
  <si>
    <t>wind onshore resource near Dunhua (cluster 12)</t>
  </si>
  <si>
    <t>e_won_CHN_013</t>
  </si>
  <si>
    <t>wind onshore resource near Dehui (cluster 13)</t>
  </si>
  <si>
    <t>e_won_CHN_014</t>
  </si>
  <si>
    <t>wind onshore resource near Daqing (cluster 14)</t>
  </si>
  <si>
    <t>e_won_CHN_015</t>
  </si>
  <si>
    <t>wind onshore resource near Wuxi (cluster 15)</t>
  </si>
  <si>
    <t>e_won_CHN_016</t>
  </si>
  <si>
    <t>wind onshore resource near Qujing (cluster 16)</t>
  </si>
  <si>
    <t>e_won_CHN_017</t>
  </si>
  <si>
    <t>wind onshore resource near Guiyang (cluster 17)</t>
  </si>
  <si>
    <t>e_won_CHN_018</t>
  </si>
  <si>
    <t>wind onshore resource near Xiangtan (cluster 18)</t>
  </si>
  <si>
    <t>e_won_CHN_019</t>
  </si>
  <si>
    <t>wind onshore resource near Changde (cluster 19)</t>
  </si>
  <si>
    <t>e_won_CHN_020</t>
  </si>
  <si>
    <t>wind onshore resource near Yakeshi (cluster 20)</t>
  </si>
  <si>
    <t>e_won_CHN_021</t>
  </si>
  <si>
    <t>wind onshore resource near Yakeshi (cluster 21)</t>
  </si>
  <si>
    <t>e_won_CHN_022</t>
  </si>
  <si>
    <t>wind onshore resource near Genhe (cluster 22)</t>
  </si>
  <si>
    <t>e_won_CHN_023</t>
  </si>
  <si>
    <t>wind onshore resource near Genhe (cluster 23)</t>
  </si>
  <si>
    <t>e_won_CHN_024</t>
  </si>
  <si>
    <t>wind onshore resource near Genhe (cluster 24)</t>
  </si>
  <si>
    <t>e_won_CHN_025</t>
  </si>
  <si>
    <t>wind onshore resource near Yakeshi (cluster 25)</t>
  </si>
  <si>
    <t>e_won_CHN_026</t>
  </si>
  <si>
    <t>wind onshore resource near Zalantun (cluster 26)</t>
  </si>
  <si>
    <t>e_won_CHN_027</t>
  </si>
  <si>
    <t>wind onshore resource near Linyi (cluster 27)</t>
  </si>
  <si>
    <t>e_won_CHN_028</t>
  </si>
  <si>
    <t>wind onshore resource near Shaoxing (cluster 28)</t>
  </si>
  <si>
    <t>e_won_CHN_029</t>
  </si>
  <si>
    <t>wind onshore resource near Kaiyuan (cluster 29)</t>
  </si>
  <si>
    <t>e_won_CHN_030</t>
  </si>
  <si>
    <t>wind onshore resource near Fuquan (cluster 30)</t>
  </si>
  <si>
    <t>e_won_CHN_031</t>
  </si>
  <si>
    <t>wind onshore resource near Qinhuangdao (cluster 31)</t>
  </si>
  <si>
    <t>e_won_CHN_032</t>
  </si>
  <si>
    <t>wind onshore resource near Chaoyang (cluster 32)</t>
  </si>
  <si>
    <t>e_won_CHN_033</t>
  </si>
  <si>
    <t>wind onshore resource near Qarqan (cluster 33)</t>
  </si>
  <si>
    <t>e_won_CHN_034</t>
  </si>
  <si>
    <t>wind onshore resource near Kuqa (cluster 34)</t>
  </si>
  <si>
    <t>e_won_CHN_035</t>
  </si>
  <si>
    <t>wind onshore resource near Karamay (cluster 35)</t>
  </si>
  <si>
    <t>e_won_CHN_036</t>
  </si>
  <si>
    <t>wind onshore resource near Hotan (cluster 36)</t>
  </si>
  <si>
    <t>e_won_CHN_037</t>
  </si>
  <si>
    <t>wind onshore resource near Jinchang (cluster 37)</t>
  </si>
  <si>
    <t>e_won_CHN_038</t>
  </si>
  <si>
    <t>wind onshore resource near Pingliang (cluster 38)</t>
  </si>
  <si>
    <t>e_won_CHN_039</t>
  </si>
  <si>
    <t>wind onshore resource near Wulan (cluster 39)</t>
  </si>
  <si>
    <t>e_won_CHN_040</t>
  </si>
  <si>
    <t>wind onshore resource near Bama (cluster 40)</t>
  </si>
  <si>
    <t>e_won_CHN_041</t>
  </si>
  <si>
    <t>wind onshore resource near Nanning (cluster 41)</t>
  </si>
  <si>
    <t>e_won_CHN_042</t>
  </si>
  <si>
    <t>wind onshore resource near Yangjiang (cluster 42)</t>
  </si>
  <si>
    <t>e_won_CHN_043</t>
  </si>
  <si>
    <t>wind onshore resource near Kunming (cluster 43)</t>
  </si>
  <si>
    <t>e_won_CHN_044</t>
  </si>
  <si>
    <t>wind onshore resource near Quyang (cluster 44)</t>
  </si>
  <si>
    <t>e_won_CHN_045</t>
  </si>
  <si>
    <t>wind onshore resource near Liuzhou (cluster 45)</t>
  </si>
  <si>
    <t>e_won_CHN_046</t>
  </si>
  <si>
    <t>wind onshore resource near Korla (cluster 46)</t>
  </si>
  <si>
    <t>e_won_CHN_047</t>
  </si>
  <si>
    <t>wind onshore resource near Turpan (cluster 47)</t>
  </si>
  <si>
    <t>e_won_CHN_048</t>
  </si>
  <si>
    <t>wind onshore resource near Shihezi (cluster 48)</t>
  </si>
  <si>
    <t>e_won_CHN_049</t>
  </si>
  <si>
    <t>wind onshore resource near Koktokay (cluster 49)</t>
  </si>
  <si>
    <t>e_won_CHN_050</t>
  </si>
  <si>
    <t>wind onshore resource near Quanzhou (cluster 50)</t>
  </si>
  <si>
    <t>e_won_CHN_051</t>
  </si>
  <si>
    <t>wind onshore resource near Qinzhou (cluster 51)</t>
  </si>
  <si>
    <t>e_won_CHN_052</t>
  </si>
  <si>
    <t>wind onshore resource near Nada (cluster 52)</t>
  </si>
  <si>
    <t>e_won_CHN_053</t>
  </si>
  <si>
    <t>wind onshore resource near Jinan (cluster 53)</t>
  </si>
  <si>
    <t>e_won_CHN_054</t>
  </si>
  <si>
    <t>wind onshore resource near Binzhou (cluster 54)</t>
  </si>
  <si>
    <t>e_won_CHN_055</t>
  </si>
  <si>
    <t>wind onshore resource near Yanji (cluster 55)</t>
  </si>
  <si>
    <t>e_won_CHN_056</t>
  </si>
  <si>
    <t>wind onshore resource near Bamiantong (cluster 56)</t>
  </si>
  <si>
    <t>e_won_CHN_057</t>
  </si>
  <si>
    <t>wind onshore resource near Mudanjiang (cluster 57)</t>
  </si>
  <si>
    <t>e_won_CHN_058</t>
  </si>
  <si>
    <t>wind onshore resource near Fujin (cluster 58)</t>
  </si>
  <si>
    <t>e_won_CHN_059</t>
  </si>
  <si>
    <t>wind onshore resource near Xinqing (cluster 59)</t>
  </si>
  <si>
    <t>e_won_CHN_060</t>
  </si>
  <si>
    <t>wind onshore resource near Tieli (cluster 60)</t>
  </si>
  <si>
    <t>e_won_CHN_061</t>
  </si>
  <si>
    <t>wind onshore resource near Xiantao (cluster 61)</t>
  </si>
  <si>
    <t>e_won_CHN_062</t>
  </si>
  <si>
    <t>wind onshore resource near Yingchuan (cluster 62)</t>
  </si>
  <si>
    <t>e_won_CHN_063</t>
  </si>
  <si>
    <t>wind onshore resource near Zhoukou (cluster 63)</t>
  </si>
  <si>
    <t>e_won_CHN_064</t>
  </si>
  <si>
    <t>wind onshore resource near Zhumadian (cluster 64)</t>
  </si>
  <si>
    <t>e_won_CHN_065</t>
  </si>
  <si>
    <t>wind onshore resource near Nanchang (cluster 65)</t>
  </si>
  <si>
    <t>e_won_CHN_066</t>
  </si>
  <si>
    <t>wind onshore resource near Ji'an (cluster 66)</t>
  </si>
  <si>
    <t>e_won_CHN_067</t>
  </si>
  <si>
    <t>wind onshore resource near Mianyang (cluster 67)</t>
  </si>
  <si>
    <t>e_won_CHN_068</t>
  </si>
  <si>
    <t>wind onshore resource near Hohhot (cluster 68)</t>
  </si>
  <si>
    <t>e_won_CHN_069</t>
  </si>
  <si>
    <t>wind onshore resource near Shenmu (cluster 69)</t>
  </si>
  <si>
    <t>e_won_CHN_070</t>
  </si>
  <si>
    <t>wind onshore resource near Baotou (cluster 70)</t>
  </si>
  <si>
    <t>e_won_CHN_071</t>
  </si>
  <si>
    <t>wind onshore resource near Kangbao (cluster 71)</t>
  </si>
  <si>
    <t>e_won_CHN_072</t>
  </si>
  <si>
    <t>wind onshore resource near Beichengqu (cluster 72)</t>
  </si>
  <si>
    <t>e_won_CHN_073</t>
  </si>
  <si>
    <t>wind onshore resource near Golmud (cluster 73)</t>
  </si>
  <si>
    <t>e_won_CHN_074</t>
  </si>
  <si>
    <t>wind onshore resource near Zhangye (cluster 74)</t>
  </si>
  <si>
    <t>e_won_CHN_075</t>
  </si>
  <si>
    <t>wind onshore resource near Ganzhou (cluster 75)</t>
  </si>
  <si>
    <t>e_won_CHN_076</t>
  </si>
  <si>
    <t>wind onshore resource near Heyuan (cluster 76)</t>
  </si>
  <si>
    <t>e_won_CHN_077</t>
  </si>
  <si>
    <t>wind onshore resource near Chuzhou (cluster 77)</t>
  </si>
  <si>
    <t>e_won_CHN_078</t>
  </si>
  <si>
    <t>wind onshore resource near Yicheng (cluster 78)</t>
  </si>
  <si>
    <t>e_won_CHN_079</t>
  </si>
  <si>
    <t>wind onshore resource near Shuangqiao (cluster 79)</t>
  </si>
  <si>
    <t>e_won_CHN_080</t>
  </si>
  <si>
    <t>wind onshore resource near Fenyang (cluster 80)</t>
  </si>
  <si>
    <t>e_won_CHN_081</t>
  </si>
  <si>
    <t>wind onshore resource near Rui'an (cluster 81)</t>
  </si>
  <si>
    <t>e_won_CHN_082</t>
  </si>
  <si>
    <t>wind onshore resource near Qingdao (cluster 82)</t>
  </si>
  <si>
    <t>e_won_CHN_083</t>
  </si>
  <si>
    <t>wind onshore resource near Luofeng (cluster 83)</t>
  </si>
  <si>
    <t>e_won_CHN_084</t>
  </si>
  <si>
    <t>wind onshore resource near Golmud (cluster 84)</t>
  </si>
  <si>
    <t>e_won_CHN_085</t>
  </si>
  <si>
    <t>wind onshore resource near Golmud (cluster 85)</t>
  </si>
  <si>
    <t>e_won_CHN_086</t>
  </si>
  <si>
    <t>wind onshore resource near Dunhuang (cluster 86)</t>
  </si>
  <si>
    <t>e_won_CHN_087</t>
  </si>
  <si>
    <t>wind onshore resource near Kumul (cluster 87)</t>
  </si>
  <si>
    <t>e_won_CHN_088</t>
  </si>
  <si>
    <t>wind onshore resource near Xibeijie (cluster 88)</t>
  </si>
  <si>
    <t>e_won_CHN_089</t>
  </si>
  <si>
    <t>wind onshore resource near Xiangyang (cluster 89)</t>
  </si>
  <si>
    <t>e_won_CHN_090</t>
  </si>
  <si>
    <t>wind onshore resource near Rucheng (cluster 90)</t>
  </si>
  <si>
    <t>e_won_CHN_091</t>
  </si>
  <si>
    <t>wind onshore resource near Tieling (cluster 91)</t>
  </si>
  <si>
    <t>e_won_CHN_092</t>
  </si>
  <si>
    <t>wind onshore resource near Xinbin (cluster 92)</t>
  </si>
  <si>
    <t>e_won_CHN_093</t>
  </si>
  <si>
    <t>wind onshore resource near Qian'an (cluster 93)</t>
  </si>
  <si>
    <t>e_won_CHN_094</t>
  </si>
  <si>
    <t>wind onshore resource near Yan'an (cluster 94)</t>
  </si>
  <si>
    <t>e_won_CHN_095</t>
  </si>
  <si>
    <t>wind onshore resource near Hejin (cluster 95)</t>
  </si>
  <si>
    <t>e_won_CHN_096</t>
  </si>
  <si>
    <t>wind onshore resource near Mositai (cluster 96)</t>
  </si>
  <si>
    <t>e_won_CHN_097</t>
  </si>
  <si>
    <t>wind onshore resource near Baicheng (cluster 97)</t>
  </si>
  <si>
    <t>e_won_CHN_098</t>
  </si>
  <si>
    <t>wind onshore resource near Tongliao (cluster 98)</t>
  </si>
  <si>
    <t>e_won_CHN_099</t>
  </si>
  <si>
    <t>wind onshore resource near Yinchuan (cluster 99)</t>
  </si>
  <si>
    <t>e_won_CHN_100</t>
  </si>
  <si>
    <t>wind onshore resource near Yulinshi (cluster 100)</t>
  </si>
  <si>
    <t>e_won_CHN_101</t>
  </si>
  <si>
    <t>wind onshore resource near Wuhai (cluster 101)</t>
  </si>
  <si>
    <t>e_won_CHN_102</t>
  </si>
  <si>
    <t>wind onshore resource near Wuhai (cluster 102)</t>
  </si>
  <si>
    <t>e_won_CHN_103</t>
  </si>
  <si>
    <t>wind onshore resource near Yangzhou (cluster 103)</t>
  </si>
  <si>
    <t>e_won_CHN_104</t>
  </si>
  <si>
    <t>wind onshore resource near Kangbao (cluster 104)</t>
  </si>
  <si>
    <t>e_won_CHN_105</t>
  </si>
  <si>
    <t>wind onshore resource near Lindong (cluster 105)</t>
  </si>
  <si>
    <t>e_won_CHN_106</t>
  </si>
  <si>
    <t>wind onshore resource near Chifeng (cluster 106)</t>
  </si>
  <si>
    <t>e_won_CHN_107</t>
  </si>
  <si>
    <t>wind onshore resource near Mositai (cluster 107)</t>
  </si>
  <si>
    <t>e_won_CHN_108</t>
  </si>
  <si>
    <t>wind onshore resource near Suzhou (cluster 108)</t>
  </si>
  <si>
    <t>e_won_CHN_109</t>
  </si>
  <si>
    <t>wind onshore resource near Shancheng (cluster 109)</t>
  </si>
  <si>
    <t>e_won_CHN_110</t>
  </si>
  <si>
    <t>wind onshore resource near Puyang (cluster 110)</t>
  </si>
  <si>
    <t>e_won_CHN_111</t>
  </si>
  <si>
    <t>wind onshore resource near Xingtai (cluster 111)</t>
  </si>
  <si>
    <t>e_won_CHN_112</t>
  </si>
  <si>
    <t>wind onshore resource near Wuhu (cluster 112)</t>
  </si>
  <si>
    <t>e_won_CHN_113</t>
  </si>
  <si>
    <t>wind onshore resource near Anqing (cluster 113)</t>
  </si>
  <si>
    <t>e_wof_CHN_001</t>
  </si>
  <si>
    <t>wind offshore resource near Ningbo (cluster 1)</t>
  </si>
  <si>
    <t>e_wof_CHN_002</t>
  </si>
  <si>
    <t>wind offshore resource near Zhoushan (cluster 2)</t>
  </si>
  <si>
    <t>e_wof_CHN_003</t>
  </si>
  <si>
    <t>wind offshore resource near Yancheng (cluster 3)</t>
  </si>
  <si>
    <t>e_wof_CHN_004</t>
  </si>
  <si>
    <t>wind offshore resource near Shanghai (cluster 4)</t>
  </si>
  <si>
    <t>e_wof_CHN_005</t>
  </si>
  <si>
    <t>wind offshore resource near Zhoushan (cluster 5)</t>
  </si>
  <si>
    <t>e_wof_CHN_006</t>
  </si>
  <si>
    <t>wind offshore resource near Yatou (cluster 6)</t>
  </si>
  <si>
    <t>e_wof_CHN_007</t>
  </si>
  <si>
    <t>wind offshore resource near Yingkou (cluster 7)</t>
  </si>
  <si>
    <t>e_wof_CHN_008</t>
  </si>
  <si>
    <t>wind offshore resource near Dalian (cluster 8)</t>
  </si>
  <si>
    <t>e_wof_CHN_009</t>
  </si>
  <si>
    <t>wind offshore resource near Taizhou (cluster 9)</t>
  </si>
  <si>
    <t>e_wof_CHN_010</t>
  </si>
  <si>
    <t>wind offshore resource near Dalian (cluster 10)</t>
  </si>
  <si>
    <t>e_wof_CHN_011</t>
  </si>
  <si>
    <t>wind offshore resource near Sanya (cluster 11)</t>
  </si>
  <si>
    <t>e_wof_CHN_012</t>
  </si>
  <si>
    <t>wind offshore resource near Sanya (cluster 12)</t>
  </si>
  <si>
    <t>e_wof_CHN_013</t>
  </si>
  <si>
    <t>wind offshore resource near Sanya (cluster 13)</t>
  </si>
  <si>
    <t>e_wof_CHN_014</t>
  </si>
  <si>
    <t>wind offshore resource near Wencheng (cluster 14)</t>
  </si>
  <si>
    <t>e_wof_CHN_015</t>
  </si>
  <si>
    <t>wind offshore resource near Shenzhen (cluster 15)</t>
  </si>
  <si>
    <t>e_wof_CHN_016</t>
  </si>
  <si>
    <t>wind offshore resource near Haikou (cluster 16)</t>
  </si>
  <si>
    <t>e_wof_CHN_017</t>
  </si>
  <si>
    <t>wind offshore resource near Yangjiang (cluster 17)</t>
  </si>
  <si>
    <t>e_wof_CHN_018</t>
  </si>
  <si>
    <t>wind offshore resource near Shantou (cluster 18)</t>
  </si>
  <si>
    <t>e_wof_CHN_019</t>
  </si>
  <si>
    <t>wind offshore resource near Quanzhou (cluster 19)</t>
  </si>
  <si>
    <t>e_wof_CHN_020</t>
  </si>
  <si>
    <t>wind offshore resource near Sanya (cluster 20)</t>
  </si>
  <si>
    <t>e_wof_CHN_021</t>
  </si>
  <si>
    <t>wind offshore resource near Sanya (cluster 21)</t>
  </si>
  <si>
    <t>e_wof_CHN_022</t>
  </si>
  <si>
    <t>wind offshore resource near Basuo (cluster 22)</t>
  </si>
  <si>
    <t>e_wof_CHN_023</t>
  </si>
  <si>
    <t>wind offshore resource near Sanya (cluster 23)</t>
  </si>
  <si>
    <t>e_wof_CHN_024</t>
  </si>
  <si>
    <t>wind offshore resource near Shanwei (cluster 24)</t>
  </si>
  <si>
    <t>e_wof_CHN_025</t>
  </si>
  <si>
    <t>wind offshore resource near Shanwei (cluster 25)</t>
  </si>
  <si>
    <t>e_wof_CHN_026</t>
  </si>
  <si>
    <t>wind offshore resource near Fuzhou (cluster 26)</t>
  </si>
  <si>
    <t>e_wof_CHN_027</t>
  </si>
  <si>
    <t>wind offshore resource near Taizhou (cluster 27)</t>
  </si>
  <si>
    <t>e_wof_CHN_028</t>
  </si>
  <si>
    <t>wind offshore resource near Fuding (cluster 28)</t>
  </si>
  <si>
    <t>e_wof_CHN_029</t>
  </si>
  <si>
    <t>wind offshore resource near Wenzhou (cluster 29)</t>
  </si>
  <si>
    <t>e_wof_CHN_030</t>
  </si>
  <si>
    <t>wind offshore resource near Yatou (cluster 30)</t>
  </si>
  <si>
    <t>e_wof_CHN_031</t>
  </si>
  <si>
    <t>wind offshore resource near Qingdao (cluster 31)</t>
  </si>
  <si>
    <t>e_wof_CHN_032</t>
  </si>
  <si>
    <t>wind offshore resource near Yatou (cluster 32)</t>
  </si>
  <si>
    <t>e_wof_CHN_033</t>
  </si>
  <si>
    <t>wind offshore resource near Shengli (cluster 33)</t>
  </si>
  <si>
    <t>e_wof_CHN_034</t>
  </si>
  <si>
    <t>wind offshore resource near Yancheng (cluster 34)</t>
  </si>
  <si>
    <t>~fi_t: UP</t>
  </si>
  <si>
    <t>attribute</t>
  </si>
  <si>
    <t>other_indexes</t>
  </si>
  <si>
    <t>time_slice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</si>
  <si>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</si>
  <si>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</si>
  <si>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</si>
  <si>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</si>
  <si>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</si>
  <si>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</si>
  <si>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</si>
  <si>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</si>
  <si>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</si>
  <si>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</si>
  <si>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</si>
  <si>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</si>
  <si>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</si>
  <si>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</si>
  <si>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</si>
  <si>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</si>
  <si>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</si>
  <si>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</si>
  <si>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</si>
  <si>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</si>
  <si>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</si>
  <si>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</si>
  <si>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en_biomass_ccs</t>
  </si>
  <si>
    <t>en_chp_biomass_pellets_ext_ccs</t>
  </si>
  <si>
    <t>en_hop_gas_boiler</t>
  </si>
  <si>
    <t>en_hop_biomass_chips</t>
  </si>
  <si>
    <t>en_hop_electric_boiler</t>
  </si>
  <si>
    <t>en_hp_air_10mw</t>
  </si>
  <si>
    <t>en_battery_4h</t>
  </si>
  <si>
    <t>stg_eff</t>
  </si>
  <si>
    <t>ncap_afc</t>
  </si>
  <si>
    <t>prc_capact</t>
  </si>
  <si>
    <t>ncap_pkcnt</t>
  </si>
  <si>
    <t>ANNUAL</t>
  </si>
  <si>
    <t>en_battery_8h</t>
  </si>
  <si>
    <t>en_chp_gas_cc_ext_ccs</t>
  </si>
  <si>
    <t>HET,CO2Cap</t>
  </si>
  <si>
    <t>pcg</t>
  </si>
  <si>
    <t>Natural gas CCGT, electricity-only. Derived from DEA el&amp;dh 05 CHP condensing mode (3% cost reduction for no heat equipment), regionalized with IEA CCGT ratios</t>
  </si>
  <si>
    <t>yes</t>
  </si>
  <si>
    <t>Natural gas open-cycle combustion turbine. IEA GEC</t>
  </si>
  <si>
    <t>CHP</t>
  </si>
  <si>
    <t>Gas combined cycle CHP, steam extraction (large). DEA el&amp;dh 05</t>
  </si>
  <si>
    <t>Natural gas CCGT with post-combustion CCS. IEA GEC</t>
  </si>
  <si>
    <t>Coal subcritical steam cycle. IEA GEC</t>
  </si>
  <si>
    <t>Coal supercritical steam cycle. IEA GEC</t>
  </si>
  <si>
    <t>Coal ultra-supercritical steam cycle. IEA GEC</t>
  </si>
  <si>
    <t>Coal integrated gasification combined cycle. IEA GEC</t>
  </si>
  <si>
    <t>Nuclear large reactor (Gen III/III+). IEA GEC</t>
  </si>
  <si>
    <t>Nuclear small modular reactor. ATB</t>
  </si>
  <si>
    <t>Biomass dedicated large-scale. IEA GEC</t>
  </si>
  <si>
    <t>Wood-chips CHP, steam extraction (large). DEA el&amp;dh 09a</t>
  </si>
  <si>
    <t>Biomass with carbon capture and storage (BECCS). IEA GEC</t>
  </si>
  <si>
    <t>Wood-pellets CHP, steam extraction, with post-combustion capture. DEA el&amp;dh 09b + CCTS 401.a. Reboiler heat credited to DH</t>
  </si>
  <si>
    <t>HPL</t>
  </si>
  <si>
    <t>Natural gas DH boiler (medium). DEA el&amp;dh 44. Heat capacity basis</t>
  </si>
  <si>
    <t>season</t>
  </si>
  <si>
    <t>Wood-chips DH boiler (large). DEA el&amp;dh 09a. Heat capacity basis</t>
  </si>
  <si>
    <t>Electric DH boiler (large). DEA el&amp;dh 41. Heat capacity basis; region-uniform</t>
  </si>
  <si>
    <t>Utility heat pump, air source, 10 MW, 70/35C DH. DEA el&amp;dh 40. heat_efficiency = COP; component split preserved</t>
  </si>
  <si>
    <t>Utility-scale Li-ion battery, 4-hour duration. ATB</t>
  </si>
  <si>
    <t>Utility-scale Li-ion battery, 8-hour duration. ATB</t>
  </si>
  <si>
    <t>Gas combined cycle CHP with post-combustion CCS. Synthetic (DEA 05 + GEC gas CCS)</t>
  </si>
  <si>
    <t>e_CN10890-500_CHN,e_CN10892-500_CHN,e_CN10902-500_CHN,e_CN1595-500_CHN,e_w160018321-400_CHN,e_w160018321-500_CHN,e_w189060314-400_CHN,e_w189060314-500_CHN,e_w229876713-500_CHN</t>
  </si>
  <si>
    <t>region</t>
  </si>
  <si>
    <t>cement_Anqing_CHN</t>
  </si>
  <si>
    <t>CHN</t>
  </si>
  <si>
    <t>capturable co2: cement (13 sites, 46858 kt/yr)</t>
  </si>
  <si>
    <t>kt</t>
  </si>
  <si>
    <t>cement_Anshan_CHN</t>
  </si>
  <si>
    <t>capturable co2: cement (7 sites, 14237 kt/yr)</t>
  </si>
  <si>
    <t>cement_Anshun_CHN</t>
  </si>
  <si>
    <t>capturable co2: cement (30 sites, 50903 kt/yr)</t>
  </si>
  <si>
    <t>cement_Bayi_CHN</t>
  </si>
  <si>
    <t>capturable co2: cement (2 sites, 3018 kt/yr)</t>
  </si>
  <si>
    <t>cement_Beichengqu_CHN</t>
  </si>
  <si>
    <t>capturable co2: cement (15 sites, 20181 kt/yr)</t>
  </si>
  <si>
    <t>cement_CHN44p2N116p5E_CHN</t>
  </si>
  <si>
    <t>capturable co2: cement (5 sites, 3517 kt/yr)</t>
  </si>
  <si>
    <t>cement_CHN44p4N121p8E_CHN</t>
  </si>
  <si>
    <t>capturable co2: cement (12 sites, 18705 kt/yr)</t>
  </si>
  <si>
    <t>cement_CHN44p7N89p1E_CHN</t>
  </si>
  <si>
    <t>capturable co2: cement (11 sites, 16074 kt/yr)</t>
  </si>
  <si>
    <t>cement_CHN45p9N129p3E_CHN</t>
  </si>
  <si>
    <t>capturable co2: cement (10 sites, 15827 kt/yr)</t>
  </si>
  <si>
    <t>cement_Chongqing_CHN</t>
  </si>
  <si>
    <t>capturable co2: cement (53 sites, 92570 kt/yr)</t>
  </si>
  <si>
    <t>cement_Dayan_CHN</t>
  </si>
  <si>
    <t>capturable co2: cement (15 sites, 15610 kt/yr)</t>
  </si>
  <si>
    <t>cement_Fangchenggang_CHN</t>
  </si>
  <si>
    <t>capturable co2: cement (11 sites, 23936 kt/yr)</t>
  </si>
  <si>
    <t>cement_Fuzhou_CHN</t>
  </si>
  <si>
    <t>capturable co2: cement (40 sites, 75556 kt/yr)</t>
  </si>
  <si>
    <t>cement_Hangzhou_CHN</t>
  </si>
  <si>
    <t>capturable co2: cement (47 sites, 81037 kt/yr)</t>
  </si>
  <si>
    <t>cement_Harbin_CHN</t>
  </si>
  <si>
    <t>capturable co2: cement (15 sites, 24027 kt/yr)</t>
  </si>
  <si>
    <t>cement_Hejin_CHN</t>
  </si>
  <si>
    <t>capturable co2: cement (35 sites, 59380 kt/yr)</t>
  </si>
  <si>
    <t>cement_Hohhot_CHN</t>
  </si>
  <si>
    <t>capturable co2: cement (23 sites, 44894 kt/yr)</t>
  </si>
  <si>
    <t>cement_Jinbi_CHN</t>
  </si>
  <si>
    <t>capturable co2: cement (13 sites, 16681 kt/yr)</t>
  </si>
  <si>
    <t>cement_Jingling_CHN</t>
  </si>
  <si>
    <t>capturable co2: cement (11 sites, 17437 kt/yr)</t>
  </si>
  <si>
    <t>cement_Kuqa_CHN</t>
  </si>
  <si>
    <t>capturable co2: cement (22 sites, 43059 kt/yr)</t>
  </si>
  <si>
    <t>cement_Liaoyang_CHN</t>
  </si>
  <si>
    <t>capturable co2: cement (33 sites, 51462 kt/yr)</t>
  </si>
  <si>
    <t>cement_Linyi_CHN</t>
  </si>
  <si>
    <t>capturable co2: cement (11 sites, 24792 kt/yr)</t>
  </si>
  <si>
    <t>cement_Liuzhou_CHN</t>
  </si>
  <si>
    <t>capturable co2: cement (15 sites, 31905 kt/yr)</t>
  </si>
  <si>
    <t>cement_Luohe_CHN</t>
  </si>
  <si>
    <t>capturable co2: cement (6 sites, 10174 kt/yr)</t>
  </si>
  <si>
    <t>cement_Manlin_CHN</t>
  </si>
  <si>
    <t>capturable co2: cement (13 sites, 13834 kt/yr)</t>
  </si>
  <si>
    <t>cement_Mianyang_CHN</t>
  </si>
  <si>
    <t>capturable co2: cement (41 sites, 73399 kt/yr)</t>
  </si>
  <si>
    <t>cement_Nanjing_CHN</t>
  </si>
  <si>
    <t>capturable co2: cement (6 sites, 16316 kt/yr)</t>
  </si>
  <si>
    <t>cement_Nantong_CHN</t>
  </si>
  <si>
    <t>capturable co2: cement (3 sites, 8058 kt/yr)</t>
  </si>
  <si>
    <t>cement_Ningde_CHN</t>
  </si>
  <si>
    <t>capturable co2: cement (5 sites, 3784 kt/yr)</t>
  </si>
  <si>
    <t>cement_Putian_CHN</t>
  </si>
  <si>
    <t>capturable co2: cement (23 sites, 42986 kt/yr)</t>
  </si>
  <si>
    <t>cement_Qabqa_CHN</t>
  </si>
  <si>
    <t>capturable co2: cement (7 sites, 19813 kt/yr)</t>
  </si>
  <si>
    <t>cement_Rizhao_CHN</t>
  </si>
  <si>
    <t>capturable co2: cement (20 sites, 34750 kt/yr)</t>
  </si>
  <si>
    <t>cement_Sanhe_CHN</t>
  </si>
  <si>
    <t>capturable co2: cement (16 sites, 31106 kt/yr)</t>
  </si>
  <si>
    <t>cement_Shahezhai_CHN</t>
  </si>
  <si>
    <t>capturable co2: cement (24 sites, 29541 kt/yr)</t>
  </si>
  <si>
    <t>cement_Shanghai_CHN</t>
  </si>
  <si>
    <t>capturable co2: cement (3 sites, 3540 kt/yr)</t>
  </si>
  <si>
    <t>cement_Shaoguan_CHN</t>
  </si>
  <si>
    <t>capturable co2: cement (32 sites, 76123 kt/yr)</t>
  </si>
  <si>
    <t>cement_Shijiazhuang_CHN</t>
  </si>
  <si>
    <t>capturable co2: cement (20 sites, 30509 kt/yr)</t>
  </si>
  <si>
    <t>cement_Sizhan_CHN</t>
  </si>
  <si>
    <t>capturable co2: cement (20 sites, 30449 kt/yr)</t>
  </si>
  <si>
    <t>cement_Tangshan_CHN</t>
  </si>
  <si>
    <t>capturable co2: cement (15 sites, 32241 kt/yr)</t>
  </si>
  <si>
    <t>cement_Tianjin_CHN</t>
  </si>
  <si>
    <t>capturable co2: cement (4 sites, 9286 kt/yr)</t>
  </si>
  <si>
    <t>cement_Tongling_CHN</t>
  </si>
  <si>
    <t>capturable co2: cement (19 sites, 71478 kt/yr)</t>
  </si>
  <si>
    <t>cement_Tongshan_CHN</t>
  </si>
  <si>
    <t>capturable co2: cement (42 sites, 87068 kt/yr)</t>
  </si>
  <si>
    <t>cement_Wuan_CHN</t>
  </si>
  <si>
    <t>capturable co2: cement (44 sites, 90915 kt/yr)</t>
  </si>
  <si>
    <t>cement_Wuhan_CHN</t>
  </si>
  <si>
    <t>capturable co2: cement (25 sites, 63944 kt/yr)</t>
  </si>
  <si>
    <t>cement_Wulan_CHN</t>
  </si>
  <si>
    <t>capturable co2: cement (25 sites, 42136 kt/yr)</t>
  </si>
  <si>
    <t>cement_Xiaoxita_CHN</t>
  </si>
  <si>
    <t>capturable co2: cement (26 sites, 48926 kt/yr)</t>
  </si>
  <si>
    <t>cement_Xiaoyi_CHN</t>
  </si>
  <si>
    <t>capturable co2: cement (14 sites, 29539 kt/yr)</t>
  </si>
  <si>
    <t>cement_Xichang_CHN</t>
  </si>
  <si>
    <t>capturable co2: cement (20 sites, 30734 kt/yr)</t>
  </si>
  <si>
    <t>cement_Yakeshi_CHN</t>
  </si>
  <si>
    <t>capturable co2: cement (6 sites, 10104 kt/yr)</t>
  </si>
  <si>
    <t>cement_Yanggezhuang_CHN</t>
  </si>
  <si>
    <t>capturable co2: cement (6 sites, 8232 kt/yr)</t>
  </si>
  <si>
    <t>cement_Yangjiang_CHN</t>
  </si>
  <si>
    <t>capturable co2: cement (16 sites, 42209 kt/yr)</t>
  </si>
  <si>
    <t>cement_Yangzhou_CHN</t>
  </si>
  <si>
    <t>capturable co2: cement (13 sites, 33284 kt/yr)</t>
  </si>
  <si>
    <t>cement_Yicheng_CHN</t>
  </si>
  <si>
    <t>capturable co2: cement (17 sites, 43318 kt/yr)</t>
  </si>
  <si>
    <t>cement_Yingchuan_CHN</t>
  </si>
  <si>
    <t>capturable co2: cement (37 sites, 53873 kt/yr)</t>
  </si>
  <si>
    <t>cement_Yiyang_CHN</t>
  </si>
  <si>
    <t>capturable co2: cement (38 sites, 68510 kt/yr)</t>
  </si>
  <si>
    <t>cement_Yuanquan_CHN</t>
  </si>
  <si>
    <t>capturable co2: cement (7 sites, 12506 kt/yr)</t>
  </si>
  <si>
    <t>cement_ZhongdongShequ_CHN</t>
  </si>
  <si>
    <t>capturable co2: cement (17 sites, 41291 kt/yr)</t>
  </si>
  <si>
    <t>cement_Zouping_CHN</t>
  </si>
  <si>
    <t>capturable co2: cement (28 sites, 55503 kt/yr)</t>
  </si>
  <si>
    <t>petchem_Anshan_CHN</t>
  </si>
  <si>
    <t>capturable co2: petchem (1 sites, 1320 kt/yr)</t>
  </si>
  <si>
    <t>petchem_Fangchenggang_CHN</t>
  </si>
  <si>
    <t>capturable co2: petchem (1 sites, 1200 kt/yr)</t>
  </si>
  <si>
    <t>petchem_Hangzhou_CHN</t>
  </si>
  <si>
    <t>capturable co2: petchem (2 sites, 2148 kt/yr)</t>
  </si>
  <si>
    <t>petchem_Harbin_CHN</t>
  </si>
  <si>
    <t>capturable co2: petchem (2 sites, 1218 kt/yr)</t>
  </si>
  <si>
    <t>petchem_Kuqa_CHN</t>
  </si>
  <si>
    <t>capturable co2: petchem (3 sites, 3600 kt/yr)</t>
  </si>
  <si>
    <t>petchem_Liaoyang_CHN</t>
  </si>
  <si>
    <t>capturable co2: petchem (2 sites, 1200 kt/yr)</t>
  </si>
  <si>
    <t>petchem_Mianyang_CHN</t>
  </si>
  <si>
    <t>capturable co2: petchem (1 sites, 960 kt/yr)</t>
  </si>
  <si>
    <t>petchem_Putian_CHN</t>
  </si>
  <si>
    <t>capturable co2: petchem (4 sites, 6600 kt/yr)</t>
  </si>
  <si>
    <t>petchem_Rizhao_CHN</t>
  </si>
  <si>
    <t>capturable co2: petchem (2 sites, 2820 kt/yr)</t>
  </si>
  <si>
    <t>petchem_Sanhe_CHN</t>
  </si>
  <si>
    <t>petchem_Shahezhai_CHN</t>
  </si>
  <si>
    <t>capturable co2: petchem (1 sites, 1800 kt/yr)</t>
  </si>
  <si>
    <t>petchem_Shanghai_CHN</t>
  </si>
  <si>
    <t>capturable co2: petchem (5 sites, 7920 kt/yr)</t>
  </si>
  <si>
    <t>petchem_Shaoguan_CHN</t>
  </si>
  <si>
    <t>capturable co2: petchem (6 sites, 8064 kt/yr)</t>
  </si>
  <si>
    <t>petchem_Tianjin_CHN</t>
  </si>
  <si>
    <t>capturable co2: petchem (3 sites, 4080 kt/yr)</t>
  </si>
  <si>
    <t>petchem_Wuan_CHN</t>
  </si>
  <si>
    <t>capturable co2: petchem (1 sites, 252 kt/yr)</t>
  </si>
  <si>
    <t>petchem_Wuhan_CHN</t>
  </si>
  <si>
    <t>petchem_Wulan_CHN</t>
  </si>
  <si>
    <t>capturable co2: petchem (1 sites, 840 kt/yr)</t>
  </si>
  <si>
    <t>petchem_Yanggezhuang_CHN</t>
  </si>
  <si>
    <t>capturable co2: petchem (3 sites, 4440 kt/yr)</t>
  </si>
  <si>
    <t>petchem_Yangjiang_CHN</t>
  </si>
  <si>
    <t>capturable co2: petchem (2 sites, 2160 kt/yr)</t>
  </si>
  <si>
    <t>petchem_Yangzhou_CHN</t>
  </si>
  <si>
    <t>capturable co2: petchem (3 sites, 3816 kt/yr)</t>
  </si>
  <si>
    <t>petchem_Zouping_CHN</t>
  </si>
  <si>
    <t>steel_Anqing_CHN</t>
  </si>
  <si>
    <t>capturable co2: steel (4 sites, 14953 kt/yr)</t>
  </si>
  <si>
    <t>steel_Anshan_CHN</t>
  </si>
  <si>
    <t>capturable co2: steel (5 sites, 34374 kt/yr)</t>
  </si>
  <si>
    <t>steel_Anshun_CHN</t>
  </si>
  <si>
    <t>capturable co2: steel (6 sites, 9184 kt/yr)</t>
  </si>
  <si>
    <t>steel_Beichengqu_CHN</t>
  </si>
  <si>
    <t>capturable co2: steel (1 sites, 3180 kt/yr)</t>
  </si>
  <si>
    <t>steel_CHN44p4N121p8E_CHN</t>
  </si>
  <si>
    <t>capturable co2: steel (2 sites, 2966 kt/yr)</t>
  </si>
  <si>
    <t>steel_CHN44p7N89p1E_CHN</t>
  </si>
  <si>
    <t>capturable co2: steel (3 sites, 13659 kt/yr)</t>
  </si>
  <si>
    <t>steel_CHN45p9N129p3E_CHN</t>
  </si>
  <si>
    <t>capturable co2: steel (2 sites, 11362 kt/yr)</t>
  </si>
  <si>
    <t>steel_Chongqing_CHN</t>
  </si>
  <si>
    <t>capturable co2: steel (12 sites, 29476 kt/yr)</t>
  </si>
  <si>
    <t>steel_Fangchenggang_CHN</t>
  </si>
  <si>
    <t>capturable co2: steel (3 sites, 41151 kt/yr)</t>
  </si>
  <si>
    <t>steel_Fuzhou_CHN</t>
  </si>
  <si>
    <t>capturable co2: steel (4 sites, 26401 kt/yr)</t>
  </si>
  <si>
    <t>steel_Hangzhou_CHN</t>
  </si>
  <si>
    <t>capturable co2: steel (5 sites, 10529 kt/yr)</t>
  </si>
  <si>
    <t>steel_Harbin_CHN</t>
  </si>
  <si>
    <t>capturable co2: steel (5 sites, 14769 kt/yr)</t>
  </si>
  <si>
    <t>steel_Hejin_CHN</t>
  </si>
  <si>
    <t>capturable co2: steel (9 sites, 51926 kt/yr)</t>
  </si>
  <si>
    <t>steel_Hohhot_CHN</t>
  </si>
  <si>
    <t>capturable co2: steel (2 sites, 35622 kt/yr)</t>
  </si>
  <si>
    <t>steel_Jinbi_CHN</t>
  </si>
  <si>
    <t>capturable co2: steel (4 sites, 23620 kt/yr)</t>
  </si>
  <si>
    <t>steel_Jingling_CHN</t>
  </si>
  <si>
    <t>capturable co2: steel (2 sites, 2100 kt/yr)</t>
  </si>
  <si>
    <t>steel_Kuqa_CHN</t>
  </si>
  <si>
    <t>capturable co2: steel (4 sites, 9246 kt/yr)</t>
  </si>
  <si>
    <t>steel_Liaoyang_CHN</t>
  </si>
  <si>
    <t>capturable co2: steel (13 sites, 104607 kt/yr)</t>
  </si>
  <si>
    <t>steel_Linyi_CHN</t>
  </si>
  <si>
    <t>capturable co2: steel (3 sites, 22049 kt/yr)</t>
  </si>
  <si>
    <t>steel_Liuzhou_CHN</t>
  </si>
  <si>
    <t>capturable co2: steel (2 sites, 19070 kt/yr)</t>
  </si>
  <si>
    <t>steel_Luohe_CHN</t>
  </si>
  <si>
    <t>capturable co2: steel (4 sites, 20771 kt/yr)</t>
  </si>
  <si>
    <t>steel_Manlin_CHN</t>
  </si>
  <si>
    <t>capturable co2: steel (4 sites, 17292 kt/yr)</t>
  </si>
  <si>
    <t>steel_Mianyang_CHN</t>
  </si>
  <si>
    <t>capturable co2: steel (8 sites, 22704 kt/yr)</t>
  </si>
  <si>
    <t>steel_Nanjing_CHN</t>
  </si>
  <si>
    <t>capturable co2: steel (3 sites, 52800 kt/yr)</t>
  </si>
  <si>
    <t>steel_Nantong_CHN</t>
  </si>
  <si>
    <t>capturable co2: steel (10 sites, 83619 kt/yr)</t>
  </si>
  <si>
    <t>steel_Ningde_CHN</t>
  </si>
  <si>
    <t>capturable co2: steel (13 sites, 36601 kt/yr)</t>
  </si>
  <si>
    <t>steel_Putian_CHN</t>
  </si>
  <si>
    <t>capturable co2: steel (8 sites, 35258 kt/yr)</t>
  </si>
  <si>
    <t>steel_Qabqa_CHN</t>
  </si>
  <si>
    <t>capturable co2: steel (1 sites, 1800 kt/yr)</t>
  </si>
  <si>
    <t>steel_Rizhao_CHN</t>
  </si>
  <si>
    <t>capturable co2: steel (13 sites, 82073 kt/yr)</t>
  </si>
  <si>
    <t>steel_Sanhe_CHN</t>
  </si>
  <si>
    <t>capturable co2: steel (3 sites, 23188 kt/yr)</t>
  </si>
  <si>
    <t>steel_Shahezhai_CHN</t>
  </si>
  <si>
    <t>capturable co2: steel (5 sites, 27317 kt/yr)</t>
  </si>
  <si>
    <t>steel_Shanghai_CHN</t>
  </si>
  <si>
    <t>capturable co2: steel (3 sites, 53448 kt/yr)</t>
  </si>
  <si>
    <t>steel_Shaoguan_CHN</t>
  </si>
  <si>
    <t>capturable co2: steel (35 sites, 44600 kt/yr)</t>
  </si>
  <si>
    <t>steel_Shijiazhuang_CHN</t>
  </si>
  <si>
    <t>capturable co2: steel (4 sites, 40535 kt/yr)</t>
  </si>
  <si>
    <t>steel_Sizhan_CHN</t>
  </si>
  <si>
    <t>capturable co2: steel (4 sites, 16180 kt/yr)</t>
  </si>
  <si>
    <t>steel_Tangshan_CHN</t>
  </si>
  <si>
    <t>capturable co2: steel (22 sites, 180244 kt/yr)</t>
  </si>
  <si>
    <t>steel_Tianjin_CHN</t>
  </si>
  <si>
    <t>capturable co2: steel (7 sites, 63513 kt/yr)</t>
  </si>
  <si>
    <t>steel_Tongling_CHN</t>
  </si>
  <si>
    <t>capturable co2: steel (5 sites, 15098 kt/yr)</t>
  </si>
  <si>
    <t>steel_Tongshan_CHN</t>
  </si>
  <si>
    <t>capturable co2: steel (5 sites, 23015 kt/yr)</t>
  </si>
  <si>
    <t>steel_Wuan_CHN</t>
  </si>
  <si>
    <t>capturable co2: steel (29 sites, 123755 kt/yr)</t>
  </si>
  <si>
    <t>steel_Wuhan_CHN</t>
  </si>
  <si>
    <t>capturable co2: steel (9 sites, 58391 kt/yr)</t>
  </si>
  <si>
    <t>steel_Wulan_CHN</t>
  </si>
  <si>
    <t>capturable co2: steel (3 sites, 10576 kt/yr)</t>
  </si>
  <si>
    <t>steel_Xiaoxita_CHN</t>
  </si>
  <si>
    <t>capturable co2: steel (2 sites, 910 kt/yr)</t>
  </si>
  <si>
    <t>steel_Xiaoyi_CHN</t>
  </si>
  <si>
    <t>capturable co2: steel (3 sites, 21425 kt/yr)</t>
  </si>
  <si>
    <t>steel_Xichang_CHN</t>
  </si>
  <si>
    <t>capturable co2: steel (3 sites, 13245 kt/yr)</t>
  </si>
  <si>
    <t>steel_Yanggezhuang_CHN</t>
  </si>
  <si>
    <t>capturable co2: steel (9 sites, 75125 kt/yr)</t>
  </si>
  <si>
    <t>steel_Yangjiang_CHN</t>
  </si>
  <si>
    <t>capturable co2: steel (12 sites, 54758 kt/yr)</t>
  </si>
  <si>
    <t>steel_Yangzhou_CHN</t>
  </si>
  <si>
    <t>capturable co2: steel (7 sites, 40810 kt/yr)</t>
  </si>
  <si>
    <t>steel_Yicheng_CHN</t>
  </si>
  <si>
    <t>capturable co2: steel (4 sites, 4422 kt/yr)</t>
  </si>
  <si>
    <t>steel_Yingchuan_CHN</t>
  </si>
  <si>
    <t>capturable co2: steel (5 sites, 15920 kt/yr)</t>
  </si>
  <si>
    <t>steel_Yiyang_CHN</t>
  </si>
  <si>
    <t>capturable co2: steel (5 sites, 42102 kt/yr)</t>
  </si>
  <si>
    <t>steel_Yuanquan_CHN</t>
  </si>
  <si>
    <t>capturable co2: steel (2 sites, 14583 kt/yr)</t>
  </si>
  <si>
    <t>steel_ZhongdongShequ_CHN</t>
  </si>
  <si>
    <t>capturable co2: steel (3 sites, 4760 kt/yr)</t>
  </si>
  <si>
    <t>steel_Zouping_CHN</t>
  </si>
  <si>
    <t>capturable co2: steel (5 sites, 22712 kt/yr)</t>
  </si>
  <si>
    <t>sto_ogci10202_CHN</t>
  </si>
  <si>
    <t>co2 storage -- ogci_10202.0 (OGCI/catalogue, 18 Mt)</t>
  </si>
  <si>
    <t>sto_ogci10203_CHN</t>
  </si>
  <si>
    <t>co2 storage -- ogci_10203.0 (OGCI/catalogue, 46 Mt)</t>
  </si>
  <si>
    <t>sto_ogci10204_CHN</t>
  </si>
  <si>
    <t>co2 storage -- ogci_10204.0 (OGCI/catalogue, 130 Mt)</t>
  </si>
  <si>
    <t>sto_ogci10207_CHN</t>
  </si>
  <si>
    <t>co2 storage -- ogci_10207.0 (OGCI/catalogue, 160 Mt)</t>
  </si>
  <si>
    <t>sto_ogci10208_CHN</t>
  </si>
  <si>
    <t>co2 storage -- ogci_10208.0 (OGCI/catalogue, 1900 Mt)</t>
  </si>
  <si>
    <t>sto_ogci10211_CHN</t>
  </si>
  <si>
    <t>co2 storage -- ogci_10211.0 (OGCI/catalogue, 12 Mt)</t>
  </si>
  <si>
    <t>sto_ogci10212_CHN</t>
  </si>
  <si>
    <t>co2 storage -- ogci_10212.0 (OGCI/catalogue, 41 Mt)</t>
  </si>
  <si>
    <t>sto_ogci10216_CHN</t>
  </si>
  <si>
    <t>co2 storage -- ogci_10216.0 (OGCI/catalogue, 680 Mt)</t>
  </si>
  <si>
    <t>sto_ogci10218_CHN</t>
  </si>
  <si>
    <t>co2 storage -- ogci_10218.0 (OGCI/catalogue, 200 Mt)</t>
  </si>
  <si>
    <t>sto_ogci10219_CHN</t>
  </si>
  <si>
    <t>co2 storage -- ogci_10219.0 (OGCI/catalogue, 1490 Mt)</t>
  </si>
  <si>
    <t>sto_ogci10222_CHN</t>
  </si>
  <si>
    <t>co2 storage -- ogci_10222.0 (OGCI/catalogue, 31 Mt)</t>
  </si>
  <si>
    <t>sto_ogci10225_CHN</t>
  </si>
  <si>
    <t>co2 storage -- ogci_10225.0 (OGCI/catalogue, 24 Mt)</t>
  </si>
  <si>
    <t>sto_ogci10227_CHN</t>
  </si>
  <si>
    <t>co2 storage -- ogci_10227.0 (OGCI/catalogue, 15 Mt)</t>
  </si>
  <si>
    <t>sto_ogci10228_CHN</t>
  </si>
  <si>
    <t>co2 storage -- ogci_10228.0 (OGCI/catalogue, 120 Mt)</t>
  </si>
  <si>
    <t>sto_ogci10230_CHN</t>
  </si>
  <si>
    <t>co2 storage -- ogci_10230.0 (OGCI/catalogue, 100 Mt)</t>
  </si>
  <si>
    <t>sto_ogci10231_CHN</t>
  </si>
  <si>
    <t>co2 storage -- ogci_10231.0 (OGCI/catalogue, 200 Mt)</t>
  </si>
  <si>
    <t>sto_ogci10232_CHN</t>
  </si>
  <si>
    <t>co2 storage -- ogci_10232.0 (OGCI/catalogue, 440 Mt)</t>
  </si>
  <si>
    <t>sto_ogci10233_CHN</t>
  </si>
  <si>
    <t>co2 storage -- ogci_10233.0 (OGCI/catalogue, 80 Mt)</t>
  </si>
  <si>
    <t>sto_ogci10234_CHN</t>
  </si>
  <si>
    <t>co2 storage -- ogci_10234.0 (OGCI/catalogue, 7500 Mt)</t>
  </si>
  <si>
    <t>sto_ogci10235_CHN</t>
  </si>
  <si>
    <t>co2 storage -- ogci_10235.0 (OGCI/catalogue, 65 Mt)</t>
  </si>
  <si>
    <t>sto_ogci10237_CHN</t>
  </si>
  <si>
    <t>co2 storage -- ogci_10237.0 (OGCI/catalogue, 1110 Mt)</t>
  </si>
  <si>
    <t>sto_ogci10238_CHN</t>
  </si>
  <si>
    <t>co2 storage -- ogci_10238.0 (OGCI/catalogue, 360 Mt)</t>
  </si>
  <si>
    <t>sto_ogci10240_CHN</t>
  </si>
  <si>
    <t>co2 storage -- ogci_10240.0 (OGCI/catalogue, 350 Mt)</t>
  </si>
  <si>
    <t>sto_ogci10241_CHN</t>
  </si>
  <si>
    <t>co2 storage -- ogci_10241.0 (OGCI/catalogue, 81 Mt)</t>
  </si>
  <si>
    <t>sto_ogci10244_CHN</t>
  </si>
  <si>
    <t>co2 storage -- ogci_10244.0 (OGCI/catalogue, 1050 Mt)</t>
  </si>
  <si>
    <t>sto_ogci10245_CHN</t>
  </si>
  <si>
    <t>co2 storage -- ogci_10245.0 (OGCI/catalogue, 20 Mt)</t>
  </si>
  <si>
    <t>sto_ogci10247_CHN</t>
  </si>
  <si>
    <t>co2 storage -- ogci_10247.0 (OGCI/catalogue, 590 Mt)</t>
  </si>
  <si>
    <t>sto_ogci10248_CHN</t>
  </si>
  <si>
    <t>co2 storage -- ogci_10248.0 (OGCI/catalogue, 1570 Mt)</t>
  </si>
  <si>
    <t>sto_ogci10250_CHN</t>
  </si>
  <si>
    <t>co2 storage -- ogci_10250.0 (OGCI/catalogue, 8 Mt)</t>
  </si>
  <si>
    <t>sto_ogci10251_CHN</t>
  </si>
  <si>
    <t>co2 storage -- ogci_10251.0 (OGCI/catalogue, 100 Mt)</t>
  </si>
  <si>
    <t>sto_ogci10253_CHN</t>
  </si>
  <si>
    <t>co2 storage -- ogci_10253.0 (OGCI/catalogue, 620 Mt)</t>
  </si>
  <si>
    <t>sto_ogci10254_CHN</t>
  </si>
  <si>
    <t>co2 storage -- ogci_10254.0 (OGCI/catalogue, 69 Mt)</t>
  </si>
  <si>
    <t>sto_ogci10256_CHN</t>
  </si>
  <si>
    <t>co2 storage -- ogci_10256.0 (OGCI/catalogue, 36 Mt)</t>
  </si>
  <si>
    <t>sto_ogci10257_CHN</t>
  </si>
  <si>
    <t>co2 storage -- ogci_10257.0 (OGCI/catalogue, 120 Mt)</t>
  </si>
  <si>
    <t>sto_ogci10258_CHN</t>
  </si>
  <si>
    <t>co2 storage -- ogci_10258.0 (OGCI/catalogue, 15 Mt)</t>
  </si>
  <si>
    <t>sto_ogci10259_CHN</t>
  </si>
  <si>
    <t>co2 storage -- ogci_10259.0 (OGCI/catalogue, 7 Mt)</t>
  </si>
  <si>
    <t>sto_ogci10260_CHN</t>
  </si>
  <si>
    <t>co2 storage -- ogci_10260.0 (OGCI/catalogue, 5 Mt)</t>
  </si>
  <si>
    <t>sto_ogci10261_CHN</t>
  </si>
  <si>
    <t>co2 storage -- ogci_10261.0 (OGCI/catalogue, 14 Mt)</t>
  </si>
  <si>
    <t>sto_ogci10262_CHN</t>
  </si>
  <si>
    <t>co2 storage -- ogci_10262.0 (OGCI/catalogue, 1 Mt)</t>
  </si>
  <si>
    <t>sto_ogci10263_CHN</t>
  </si>
  <si>
    <t>co2 storage -- ogci_10263.0 (OGCI/catalogue, 448 Mt)</t>
  </si>
  <si>
    <t>sto_ogci10264_CHN</t>
  </si>
  <si>
    <t>co2 storage -- ogci_10264.0 (OGCI/catalogue, 28 Mt)</t>
  </si>
  <si>
    <t>sto_ogci10265_CHN</t>
  </si>
  <si>
    <t>co2 storage -- ogci_10265.0 (OGCI/catalogue, 24 Mt)</t>
  </si>
  <si>
    <t>sto_ogci10266_CHN</t>
  </si>
  <si>
    <t>co2 storage -- ogci_10266.0 (OGCI/catalogue, 0 Mt)</t>
  </si>
  <si>
    <t>sto_ogci10267_CHN</t>
  </si>
  <si>
    <t>co2 storage -- ogci_10267.0 (OGCI/catalogue, 4 Mt)</t>
  </si>
  <si>
    <t>sto_ogci10268_CHN</t>
  </si>
  <si>
    <t>co2 storage -- ogci_10268.0 (OGCI/catalogue, 1 Mt)</t>
  </si>
  <si>
    <t>sto_ogci10269_CHN</t>
  </si>
  <si>
    <t>co2 storage -- ogci_10269.0 (OGCI/catalogue, 1 Mt)</t>
  </si>
  <si>
    <t>sto_ogci10270_CHN</t>
  </si>
  <si>
    <t>co2 storage -- ogci_10270.0 (OGCI/catalogue, 0 Mt)</t>
  </si>
  <si>
    <t>sto_ogci10271_CHN</t>
  </si>
  <si>
    <t>co2 storage -- ogci_10271.0 (OGCI/catalogue, 19 Mt)</t>
  </si>
  <si>
    <t>sto_ogci10272_CHN</t>
  </si>
  <si>
    <t>co2 storage -- ogci_10272.0 (OGCI/catalogue, 31 Mt)</t>
  </si>
  <si>
    <t>PASTI</t>
  </si>
  <si>
    <t>NCAP_COM~CO2</t>
  </si>
  <si>
    <t>ENV_ACT</t>
  </si>
  <si>
    <t>co2_Anqing_CHN</t>
  </si>
  <si>
    <t>OUT</t>
  </si>
  <si>
    <t>co2_Anshan_CHN</t>
  </si>
  <si>
    <t>co2_Anshun_CHN</t>
  </si>
  <si>
    <t>co2_Bayi_CHN</t>
  </si>
  <si>
    <t>co2_Beichengqu_CHN</t>
  </si>
  <si>
    <t>co2_CHN44p2N116p5E_CHN</t>
  </si>
  <si>
    <t>co2_CHN44p4N121p8E_CHN</t>
  </si>
  <si>
    <t>co2_CHN44p7N89p1E_CHN</t>
  </si>
  <si>
    <t>co2_CHN45p9N129p3E_CHN</t>
  </si>
  <si>
    <t>co2_Chongqing_CHN</t>
  </si>
  <si>
    <t>co2_Dayan_CHN</t>
  </si>
  <si>
    <t>co2_Fangchenggang_CHN</t>
  </si>
  <si>
    <t>co2_Fuzhou_CHN</t>
  </si>
  <si>
    <t>co2_Hangzhou_CHN</t>
  </si>
  <si>
    <t>co2_Harbin_CHN</t>
  </si>
  <si>
    <t>co2_Hejin_CHN</t>
  </si>
  <si>
    <t>co2_Hohhot_CHN</t>
  </si>
  <si>
    <t>co2_Jinbi_CHN</t>
  </si>
  <si>
    <t>co2_Jingling_CHN</t>
  </si>
  <si>
    <t>co2_Kuqa_CHN</t>
  </si>
  <si>
    <t>co2_Liaoyang_CHN</t>
  </si>
  <si>
    <t>co2_Linyi_CHN</t>
  </si>
  <si>
    <t>co2_Liuzhou_CHN</t>
  </si>
  <si>
    <t>co2_Luohe_CHN</t>
  </si>
  <si>
    <t>co2_Manlin_CHN</t>
  </si>
  <si>
    <t>co2_Mianyang_CHN</t>
  </si>
  <si>
    <t>co2_Nanjing_CHN</t>
  </si>
  <si>
    <t>co2_Nantong_CHN</t>
  </si>
  <si>
    <t>co2_Ningde_CHN</t>
  </si>
  <si>
    <t>co2_Putian_CHN</t>
  </si>
  <si>
    <t>co2_Qabqa_CHN</t>
  </si>
  <si>
    <t>co2_Rizhao_CHN</t>
  </si>
  <si>
    <t>co2_Sanhe_CHN</t>
  </si>
  <si>
    <t>co2_Shahezhai_CHN</t>
  </si>
  <si>
    <t>co2_Shanghai_CHN</t>
  </si>
  <si>
    <t>co2_Shaoguan_CHN</t>
  </si>
  <si>
    <t>co2_Shijiazhuang_CHN</t>
  </si>
  <si>
    <t>co2_Sizhan_CHN</t>
  </si>
  <si>
    <t>co2_Tangshan_CHN</t>
  </si>
  <si>
    <t>co2_Tianjin_CHN</t>
  </si>
  <si>
    <t>co2_Tongling_CHN</t>
  </si>
  <si>
    <t>co2_Tongshan_CHN</t>
  </si>
  <si>
    <t>co2_Wuan_CHN</t>
  </si>
  <si>
    <t>co2_Wuhan_CHN</t>
  </si>
  <si>
    <t>co2_Wulan_CHN</t>
  </si>
  <si>
    <t>co2_Xiaoxita_CHN</t>
  </si>
  <si>
    <t>co2_Xiaoyi_CHN</t>
  </si>
  <si>
    <t>co2_Xichang_CHN</t>
  </si>
  <si>
    <t>co2_Yakeshi_CHN</t>
  </si>
  <si>
    <t>co2_Yanggezhuang_CHN</t>
  </si>
  <si>
    <t>co2_Yangjiang_CHN</t>
  </si>
  <si>
    <t>co2_Yangzhou_CHN</t>
  </si>
  <si>
    <t>co2_Yicheng_CHN</t>
  </si>
  <si>
    <t>co2_Yingchuan_CHN</t>
  </si>
  <si>
    <t>co2_Yiyang_CHN</t>
  </si>
  <si>
    <t>co2_Yuanquan_CHN</t>
  </si>
  <si>
    <t>co2_ZhongdongShequ_CHN</t>
  </si>
  <si>
    <t>co2_Zouping_CHN</t>
  </si>
  <si>
    <t>co2s_ogci10202_CHN</t>
  </si>
  <si>
    <t>co2s_ogci10203_CHN</t>
  </si>
  <si>
    <t>co2s_ogci10204_CHN</t>
  </si>
  <si>
    <t>co2s_ogci10207_CHN</t>
  </si>
  <si>
    <t>co2s_ogci10208_CHN</t>
  </si>
  <si>
    <t>co2s_ogci10211_CHN</t>
  </si>
  <si>
    <t>co2s_ogci10212_CHN</t>
  </si>
  <si>
    <t>co2s_ogci10216_CHN</t>
  </si>
  <si>
    <t>co2s_ogci10218_CHN</t>
  </si>
  <si>
    <t>co2s_ogci10219_CHN</t>
  </si>
  <si>
    <t>co2s_ogci10222_CHN</t>
  </si>
  <si>
    <t>co2s_ogci10225_CHN</t>
  </si>
  <si>
    <t>co2s_ogci10227_CHN</t>
  </si>
  <si>
    <t>co2s_ogci10228_CHN</t>
  </si>
  <si>
    <t>co2s_ogci10230_CHN</t>
  </si>
  <si>
    <t>co2s_ogci10231_CHN</t>
  </si>
  <si>
    <t>co2s_ogci10232_CHN</t>
  </si>
  <si>
    <t>co2s_ogci10233_CHN</t>
  </si>
  <si>
    <t>co2s_ogci10234_CHN</t>
  </si>
  <si>
    <t>co2s_ogci10235_CHN</t>
  </si>
  <si>
    <t>co2s_ogci10237_CHN</t>
  </si>
  <si>
    <t>co2s_ogci10238_CHN</t>
  </si>
  <si>
    <t>co2s_ogci10240_CHN</t>
  </si>
  <si>
    <t>co2s_ogci10241_CHN</t>
  </si>
  <si>
    <t>co2s_ogci10244_CHN</t>
  </si>
  <si>
    <t>co2s_ogci10245_CHN</t>
  </si>
  <si>
    <t>co2s_ogci10247_CHN</t>
  </si>
  <si>
    <t>co2s_ogci10248_CHN</t>
  </si>
  <si>
    <t>co2s_ogci10250_CHN</t>
  </si>
  <si>
    <t>co2s_ogci10251_CHN</t>
  </si>
  <si>
    <t>co2s_ogci10253_CHN</t>
  </si>
  <si>
    <t>co2s_ogci10254_CHN</t>
  </si>
  <si>
    <t>co2s_ogci10256_CHN</t>
  </si>
  <si>
    <t>co2s_ogci10257_CHN</t>
  </si>
  <si>
    <t>co2s_ogci10258_CHN</t>
  </si>
  <si>
    <t>co2s_ogci10259_CHN</t>
  </si>
  <si>
    <t>co2s_ogci10260_CHN</t>
  </si>
  <si>
    <t>co2s_ogci10261_CHN</t>
  </si>
  <si>
    <t>co2s_ogci10262_CHN</t>
  </si>
  <si>
    <t>co2s_ogci10263_CHN</t>
  </si>
  <si>
    <t>co2s_ogci10264_CHN</t>
  </si>
  <si>
    <t>co2s_ogci10265_CHN</t>
  </si>
  <si>
    <t>co2s_ogci10266_CHN</t>
  </si>
  <si>
    <t>co2s_ogci10267_CHN</t>
  </si>
  <si>
    <t>co2s_ogci10268_CHN</t>
  </si>
  <si>
    <t>co2s_ogci10269_CHN</t>
  </si>
  <si>
    <t>co2s_ogci10270_CHN</t>
  </si>
  <si>
    <t>co2s_ogci10271_CHN</t>
  </si>
  <si>
    <t>co2s_ogci10272_CHN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</si>
</sst>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_-* #,##0.00_-;\-* #,##0.00_-;_-* &quot;-&quot;??_-;_-@_-"/>
    <numFmt numFmtId="166" formatCode="0.0"/>
    <numFmt numFmtId="167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1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7" fillId="16" borderId="0" applyNumberFormat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0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4" fillId="5" borderId="0" xfId="0" applyFont="1" applyFill="1" applyAlignment="1">
      <alignment horizontal="center" vertical="center"/>
    </xf>
    <xf numFmtId="0" fontId="12" fillId="2" borderId="0" xfId="18" applyBorder="1" applyAlignment="1">
      <alignment horizontal="left" vertical="center"/>
    </xf>
    <xf numFmtId="0" fontId="14" fillId="5" borderId="0" xfId="0" applyFont="1" applyFill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 wrapText="1"/>
    </xf>
    <xf numFmtId="0" fontId="14" fillId="5" borderId="10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vertical="center"/>
    </xf>
    <xf numFmtId="166" fontId="15" fillId="6" borderId="7" xfId="0" applyNumberFormat="1" applyFont="1" applyFill="1" applyBorder="1" applyAlignment="1">
      <alignment vertical="center"/>
    </xf>
    <xf numFmtId="166" fontId="15" fillId="6" borderId="0" xfId="0" applyNumberFormat="1" applyFont="1" applyFill="1" applyAlignment="1">
      <alignment vertical="center"/>
    </xf>
    <xf numFmtId="166" fontId="15" fillId="6" borderId="8" xfId="0" applyNumberFormat="1" applyFont="1" applyFill="1" applyBorder="1" applyAlignment="1">
      <alignment vertical="center"/>
    </xf>
    <xf numFmtId="2" fontId="15" fillId="6" borderId="0" xfId="0" applyNumberFormat="1" applyFont="1" applyFill="1" applyAlignment="1">
      <alignment vertical="center"/>
    </xf>
    <xf numFmtId="2" fontId="15" fillId="6" borderId="9" xfId="0" applyNumberFormat="1" applyFont="1" applyFill="1" applyBorder="1" applyAlignment="1">
      <alignment vertical="center"/>
    </xf>
    <xf numFmtId="2" fontId="15" fillId="6" borderId="10" xfId="0" applyNumberFormat="1" applyFont="1" applyFill="1" applyBorder="1" applyAlignment="1">
      <alignment vertical="center"/>
    </xf>
    <xf numFmtId="0" fontId="15" fillId="6" borderId="11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7" borderId="0" xfId="0" applyFont="1" applyFill="1" applyAlignment="1">
      <alignment vertical="center"/>
    </xf>
    <xf numFmtId="166" fontId="15" fillId="7" borderId="7" xfId="0" applyNumberFormat="1" applyFont="1" applyFill="1" applyBorder="1" applyAlignment="1">
      <alignment vertical="center"/>
    </xf>
    <xf numFmtId="166" fontId="15" fillId="7" borderId="0" xfId="0" applyNumberFormat="1" applyFont="1" applyFill="1" applyAlignment="1">
      <alignment vertical="center"/>
    </xf>
    <xf numFmtId="166" fontId="15" fillId="7" borderId="8" xfId="0" applyNumberFormat="1" applyFont="1" applyFill="1" applyBorder="1" applyAlignment="1">
      <alignment vertical="center"/>
    </xf>
    <xf numFmtId="2" fontId="15" fillId="7" borderId="0" xfId="0" applyNumberFormat="1" applyFont="1" applyFill="1" applyAlignment="1">
      <alignment vertical="center"/>
    </xf>
    <xf numFmtId="2" fontId="15" fillId="7" borderId="9" xfId="0" applyNumberFormat="1" applyFont="1" applyFill="1" applyBorder="1" applyAlignment="1">
      <alignment vertical="center"/>
    </xf>
    <xf numFmtId="2" fontId="15" fillId="7" borderId="10" xfId="0" applyNumberFormat="1" applyFont="1" applyFill="1" applyBorder="1" applyAlignment="1">
      <alignment vertical="center"/>
    </xf>
    <xf numFmtId="0" fontId="15" fillId="7" borderId="11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1" fontId="15" fillId="7" borderId="0" xfId="0" applyNumberFormat="1" applyFont="1" applyFill="1" applyAlignment="1">
      <alignment vertical="center"/>
    </xf>
    <xf numFmtId="1" fontId="15" fillId="6" borderId="0" xfId="0" applyNumberFormat="1" applyFont="1" applyFill="1" applyAlignment="1">
      <alignment vertical="center"/>
    </xf>
    <xf numFmtId="0" fontId="16" fillId="8" borderId="0" xfId="0" applyFont="1" applyFill="1" applyAlignment="1">
      <alignment vertical="center"/>
    </xf>
    <xf numFmtId="166" fontId="16" fillId="8" borderId="7" xfId="0" applyNumberFormat="1" applyFont="1" applyFill="1" applyBorder="1" applyAlignment="1">
      <alignment vertical="center"/>
    </xf>
    <xf numFmtId="166" fontId="16" fillId="8" borderId="0" xfId="0" applyNumberFormat="1" applyFont="1" applyFill="1" applyAlignment="1">
      <alignment vertical="center"/>
    </xf>
    <xf numFmtId="166" fontId="16" fillId="8" borderId="8" xfId="0" applyNumberFormat="1" applyFont="1" applyFill="1" applyBorder="1" applyAlignment="1">
      <alignment vertical="center"/>
    </xf>
    <xf numFmtId="167" fontId="16" fillId="8" borderId="7" xfId="0" applyNumberFormat="1" applyFont="1" applyFill="1" applyBorder="1" applyAlignment="1">
      <alignment vertical="center"/>
    </xf>
    <xf numFmtId="167" fontId="16" fillId="8" borderId="0" xfId="0" applyNumberFormat="1" applyFont="1" applyFill="1" applyAlignment="1">
      <alignment vertical="center"/>
    </xf>
    <xf numFmtId="167" fontId="16" fillId="8" borderId="9" xfId="0" applyNumberFormat="1" applyFont="1" applyFill="1" applyBorder="1" applyAlignment="1">
      <alignment vertical="center"/>
    </xf>
    <xf numFmtId="167" fontId="16" fillId="8" borderId="10" xfId="0" applyNumberFormat="1" applyFont="1" applyFill="1" applyBorder="1" applyAlignment="1">
      <alignment vertical="center"/>
    </xf>
    <xf numFmtId="0" fontId="16" fillId="8" borderId="11" xfId="0" applyFont="1" applyFill="1" applyBorder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15" fillId="9" borderId="0" xfId="0" applyFont="1" applyFill="1" applyAlignment="1">
      <alignment vertical="center"/>
    </xf>
    <xf numFmtId="166" fontId="15" fillId="9" borderId="7" xfId="0" applyNumberFormat="1" applyFont="1" applyFill="1" applyBorder="1" applyAlignment="1">
      <alignment vertical="center"/>
    </xf>
    <xf numFmtId="166" fontId="15" fillId="9" borderId="0" xfId="0" applyNumberFormat="1" applyFont="1" applyFill="1" applyAlignment="1">
      <alignment vertical="center"/>
    </xf>
    <xf numFmtId="166" fontId="15" fillId="9" borderId="8" xfId="0" applyNumberFormat="1" applyFont="1" applyFill="1" applyBorder="1" applyAlignment="1">
      <alignment vertical="center"/>
    </xf>
    <xf numFmtId="167" fontId="15" fillId="9" borderId="7" xfId="0" applyNumberFormat="1" applyFont="1" applyFill="1" applyBorder="1" applyAlignment="1">
      <alignment vertical="center"/>
    </xf>
    <xf numFmtId="167" fontId="15" fillId="9" borderId="0" xfId="0" applyNumberFormat="1" applyFont="1" applyFill="1" applyAlignment="1">
      <alignment vertical="center"/>
    </xf>
    <xf numFmtId="167" fontId="15" fillId="9" borderId="9" xfId="0" applyNumberFormat="1" applyFont="1" applyFill="1" applyBorder="1" applyAlignment="1">
      <alignment vertical="center"/>
    </xf>
    <xf numFmtId="167" fontId="15" fillId="9" borderId="10" xfId="0" applyNumberFormat="1" applyFont="1" applyFill="1" applyBorder="1" applyAlignment="1">
      <alignment vertical="center"/>
    </xf>
    <xf numFmtId="0" fontId="15" fillId="9" borderId="11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5" fillId="10" borderId="0" xfId="0" applyFont="1" applyFill="1" applyAlignment="1">
      <alignment vertical="center"/>
    </xf>
    <xf numFmtId="166" fontId="15" fillId="10" borderId="7" xfId="0" applyNumberFormat="1" applyFont="1" applyFill="1" applyBorder="1" applyAlignment="1">
      <alignment vertical="center"/>
    </xf>
    <xf numFmtId="166" fontId="15" fillId="10" borderId="0" xfId="0" applyNumberFormat="1" applyFont="1" applyFill="1" applyAlignment="1">
      <alignment vertical="center"/>
    </xf>
    <xf numFmtId="166" fontId="15" fillId="10" borderId="8" xfId="0" applyNumberFormat="1" applyFont="1" applyFill="1" applyBorder="1" applyAlignment="1">
      <alignment vertical="center"/>
    </xf>
    <xf numFmtId="167" fontId="15" fillId="10" borderId="7" xfId="0" applyNumberFormat="1" applyFont="1" applyFill="1" applyBorder="1" applyAlignment="1">
      <alignment vertical="center"/>
    </xf>
    <xf numFmtId="167" fontId="15" fillId="10" borderId="0" xfId="0" applyNumberFormat="1" applyFont="1" applyFill="1" applyAlignment="1">
      <alignment vertical="center"/>
    </xf>
    <xf numFmtId="167" fontId="15" fillId="10" borderId="9" xfId="0" applyNumberFormat="1" applyFont="1" applyFill="1" applyBorder="1" applyAlignment="1">
      <alignment vertical="center"/>
    </xf>
    <xf numFmtId="167" fontId="15" fillId="10" borderId="10" xfId="0" applyNumberFormat="1" applyFont="1" applyFill="1" applyBorder="1" applyAlignment="1">
      <alignment vertical="center"/>
    </xf>
    <xf numFmtId="0" fontId="15" fillId="10" borderId="11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11" borderId="3" xfId="0" applyFont="1" applyFill="1" applyBorder="1" applyAlignment="1">
      <alignment vertical="center"/>
    </xf>
    <xf numFmtId="166" fontId="15" fillId="11" borderId="4" xfId="0" applyNumberFormat="1" applyFont="1" applyFill="1" applyBorder="1" applyAlignment="1">
      <alignment vertical="center"/>
    </xf>
    <xf numFmtId="166" fontId="15" fillId="11" borderId="3" xfId="0" applyNumberFormat="1" applyFont="1" applyFill="1" applyBorder="1" applyAlignment="1">
      <alignment vertical="center"/>
    </xf>
    <xf numFmtId="166" fontId="15" fillId="11" borderId="5" xfId="0" applyNumberFormat="1" applyFont="1" applyFill="1" applyBorder="1" applyAlignment="1">
      <alignment vertical="center"/>
    </xf>
    <xf numFmtId="167" fontId="16" fillId="11" borderId="4" xfId="0" applyNumberFormat="1" applyFont="1" applyFill="1" applyBorder="1" applyAlignment="1">
      <alignment vertical="center"/>
    </xf>
    <xf numFmtId="167" fontId="16" fillId="11" borderId="3" xfId="0" applyNumberFormat="1" applyFont="1" applyFill="1" applyBorder="1" applyAlignment="1">
      <alignment vertical="center"/>
    </xf>
    <xf numFmtId="167" fontId="16" fillId="11" borderId="12" xfId="0" applyNumberFormat="1" applyFont="1" applyFill="1" applyBorder="1" applyAlignment="1">
      <alignment vertical="center"/>
    </xf>
    <xf numFmtId="167" fontId="16" fillId="11" borderId="13" xfId="0" applyNumberFormat="1" applyFont="1" applyFill="1" applyBorder="1" applyAlignment="1">
      <alignment vertical="center"/>
    </xf>
    <xf numFmtId="0" fontId="15" fillId="11" borderId="6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2" borderId="0" xfId="0" applyFont="1" applyFill="1" applyAlignment="1">
      <alignment vertical="center"/>
    </xf>
    <xf numFmtId="0" fontId="15" fillId="13" borderId="0" xfId="0" applyFont="1" applyFill="1" applyAlignment="1">
      <alignment vertical="center"/>
    </xf>
    <xf numFmtId="166" fontId="15" fillId="13" borderId="7" xfId="0" applyNumberFormat="1" applyFont="1" applyFill="1" applyBorder="1" applyAlignment="1">
      <alignment vertical="center"/>
    </xf>
    <xf numFmtId="166" fontId="15" fillId="13" borderId="0" xfId="0" applyNumberFormat="1" applyFont="1" applyFill="1" applyAlignment="1">
      <alignment vertical="center"/>
    </xf>
    <xf numFmtId="166" fontId="15" fillId="13" borderId="8" xfId="0" applyNumberFormat="1" applyFont="1" applyFill="1" applyBorder="1" applyAlignment="1">
      <alignment vertical="center"/>
    </xf>
    <xf numFmtId="167" fontId="16" fillId="13" borderId="7" xfId="0" applyNumberFormat="1" applyFont="1" applyFill="1" applyBorder="1" applyAlignment="1">
      <alignment vertical="center"/>
    </xf>
    <xf numFmtId="167" fontId="16" fillId="13" borderId="0" xfId="0" applyNumberFormat="1" applyFont="1" applyFill="1" applyAlignment="1">
      <alignment vertical="center"/>
    </xf>
    <xf numFmtId="167" fontId="16" fillId="13" borderId="9" xfId="0" applyNumberFormat="1" applyFont="1" applyFill="1" applyBorder="1" applyAlignment="1">
      <alignment vertical="center"/>
    </xf>
    <xf numFmtId="167" fontId="16" fillId="13" borderId="10" xfId="0" applyNumberFormat="1" applyFont="1" applyFill="1" applyBorder="1" applyAlignment="1">
      <alignment vertical="center"/>
    </xf>
    <xf numFmtId="0" fontId="15" fillId="12" borderId="11" xfId="0" applyFont="1" applyFill="1" applyBorder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1" borderId="14" xfId="0" applyFont="1" applyFill="1" applyBorder="1" applyAlignment="1">
      <alignment vertical="center"/>
    </xf>
    <xf numFmtId="166" fontId="15" fillId="11" borderId="15" xfId="0" applyNumberFormat="1" applyFont="1" applyFill="1" applyBorder="1" applyAlignment="1">
      <alignment vertical="center"/>
    </xf>
    <xf numFmtId="166" fontId="15" fillId="11" borderId="14" xfId="0" applyNumberFormat="1" applyFont="1" applyFill="1" applyBorder="1" applyAlignment="1">
      <alignment vertical="center"/>
    </xf>
    <xf numFmtId="166" fontId="15" fillId="11" borderId="16" xfId="0" applyNumberFormat="1" applyFont="1" applyFill="1" applyBorder="1" applyAlignment="1">
      <alignment vertical="center"/>
    </xf>
    <xf numFmtId="167" fontId="16" fillId="11" borderId="15" xfId="0" applyNumberFormat="1" applyFont="1" applyFill="1" applyBorder="1" applyAlignment="1">
      <alignment vertical="center"/>
    </xf>
    <xf numFmtId="167" fontId="16" fillId="11" borderId="14" xfId="0" applyNumberFormat="1" applyFont="1" applyFill="1" applyBorder="1" applyAlignment="1">
      <alignment vertical="center"/>
    </xf>
    <xf numFmtId="167" fontId="16" fillId="11" borderId="17" xfId="0" applyNumberFormat="1" applyFont="1" applyFill="1" applyBorder="1" applyAlignment="1">
      <alignment vertical="center"/>
    </xf>
    <xf numFmtId="167" fontId="16" fillId="11" borderId="18" xfId="0" applyNumberFormat="1" applyFont="1" applyFill="1" applyBorder="1" applyAlignment="1">
      <alignment vertical="center"/>
    </xf>
    <xf numFmtId="0" fontId="15" fillId="11" borderId="19" xfId="0" applyFont="1" applyFill="1" applyBorder="1" applyAlignment="1">
      <alignment horizontal="left" vertical="center"/>
    </xf>
    <xf numFmtId="1" fontId="15" fillId="14" borderId="0" xfId="0" applyNumberFormat="1" applyFont="1" applyFill="1" applyAlignment="1">
      <alignment vertical="center"/>
    </xf>
    <xf numFmtId="166" fontId="15" fillId="14" borderId="7" xfId="0" applyNumberFormat="1" applyFont="1" applyFill="1" applyBorder="1" applyAlignment="1">
      <alignment vertical="center"/>
    </xf>
    <xf numFmtId="166" fontId="15" fillId="14" borderId="0" xfId="0" applyNumberFormat="1" applyFont="1" applyFill="1" applyAlignment="1">
      <alignment vertical="center"/>
    </xf>
    <xf numFmtId="166" fontId="15" fillId="14" borderId="8" xfId="0" applyNumberFormat="1" applyFont="1" applyFill="1" applyBorder="1" applyAlignment="1">
      <alignment vertical="center"/>
    </xf>
    <xf numFmtId="167" fontId="15" fillId="14" borderId="7" xfId="0" applyNumberFormat="1" applyFont="1" applyFill="1" applyBorder="1" applyAlignment="1">
      <alignment vertical="center"/>
    </xf>
    <xf numFmtId="167" fontId="15" fillId="14" borderId="0" xfId="0" applyNumberFormat="1" applyFont="1" applyFill="1" applyAlignment="1">
      <alignment vertical="center"/>
    </xf>
    <xf numFmtId="167" fontId="15" fillId="14" borderId="9" xfId="0" applyNumberFormat="1" applyFont="1" applyFill="1" applyBorder="1" applyAlignment="1">
      <alignment vertical="center"/>
    </xf>
    <xf numFmtId="167" fontId="15" fillId="14" borderId="10" xfId="0" applyNumberFormat="1" applyFont="1" applyFill="1" applyBorder="1" applyAlignment="1">
      <alignment vertical="center"/>
    </xf>
    <xf numFmtId="0" fontId="15" fillId="14" borderId="11" xfId="0" applyFont="1" applyFill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" fontId="15" fillId="15" borderId="0" xfId="0" applyNumberFormat="1" applyFont="1" applyFill="1" applyAlignment="1">
      <alignment vertical="center"/>
    </xf>
    <xf numFmtId="166" fontId="15" fillId="15" borderId="7" xfId="0" applyNumberFormat="1" applyFont="1" applyFill="1" applyBorder="1" applyAlignment="1">
      <alignment vertical="center"/>
    </xf>
    <xf numFmtId="166" fontId="15" fillId="15" borderId="0" xfId="0" applyNumberFormat="1" applyFont="1" applyFill="1" applyAlignment="1">
      <alignment vertical="center"/>
    </xf>
    <xf numFmtId="166" fontId="15" fillId="15" borderId="8" xfId="0" applyNumberFormat="1" applyFont="1" applyFill="1" applyBorder="1" applyAlignment="1">
      <alignment vertical="center"/>
    </xf>
    <xf numFmtId="167" fontId="15" fillId="15" borderId="7" xfId="0" applyNumberFormat="1" applyFont="1" applyFill="1" applyBorder="1" applyAlignment="1">
      <alignment vertical="center"/>
    </xf>
    <xf numFmtId="167" fontId="15" fillId="15" borderId="0" xfId="0" applyNumberFormat="1" applyFont="1" applyFill="1" applyAlignment="1">
      <alignment vertical="center"/>
    </xf>
    <xf numFmtId="167" fontId="15" fillId="15" borderId="9" xfId="0" applyNumberFormat="1" applyFont="1" applyFill="1" applyBorder="1" applyAlignment="1">
      <alignment vertical="center"/>
    </xf>
    <xf numFmtId="167" fontId="15" fillId="15" borderId="10" xfId="0" applyNumberFormat="1" applyFont="1" applyFill="1" applyBorder="1" applyAlignment="1">
      <alignment vertical="center"/>
    </xf>
    <xf numFmtId="0" fontId="15" fillId="15" borderId="11" xfId="0" applyFont="1" applyFill="1" applyBorder="1" applyAlignment="1">
      <alignment horizontal="left" vertical="center"/>
    </xf>
    <xf numFmtId="0" fontId="15" fillId="15" borderId="0" xfId="0" applyFont="1" applyFill="1" applyAlignment="1">
      <alignment horizontal="left" vertical="center"/>
    </xf>
    <xf numFmtId="0" fontId="15" fillId="14" borderId="14" xfId="0" applyFont="1" applyFill="1" applyBorder="1" applyAlignment="1">
      <alignment vertical="center"/>
    </xf>
    <xf numFmtId="166" fontId="15" fillId="14" borderId="15" xfId="0" applyNumberFormat="1" applyFont="1" applyFill="1" applyBorder="1" applyAlignment="1">
      <alignment vertical="center"/>
    </xf>
    <xf numFmtId="166" fontId="15" fillId="14" borderId="14" xfId="0" applyNumberFormat="1" applyFont="1" applyFill="1" applyBorder="1" applyAlignment="1">
      <alignment vertical="center"/>
    </xf>
    <xf numFmtId="166" fontId="15" fillId="14" borderId="16" xfId="0" applyNumberFormat="1" applyFont="1" applyFill="1" applyBorder="1" applyAlignment="1">
      <alignment vertical="center"/>
    </xf>
    <xf numFmtId="167" fontId="15" fillId="14" borderId="15" xfId="0" applyNumberFormat="1" applyFont="1" applyFill="1" applyBorder="1" applyAlignment="1">
      <alignment vertical="center"/>
    </xf>
    <xf numFmtId="167" fontId="15" fillId="14" borderId="14" xfId="0" applyNumberFormat="1" applyFont="1" applyFill="1" applyBorder="1" applyAlignment="1">
      <alignment vertical="center"/>
    </xf>
    <xf numFmtId="167" fontId="15" fillId="14" borderId="17" xfId="0" applyNumberFormat="1" applyFont="1" applyFill="1" applyBorder="1" applyAlignment="1">
      <alignment vertical="center"/>
    </xf>
    <xf numFmtId="167" fontId="15" fillId="14" borderId="18" xfId="0" applyNumberFormat="1" applyFont="1" applyFill="1" applyBorder="1" applyAlignment="1">
      <alignment vertical="center"/>
    </xf>
    <xf numFmtId="0" fontId="15" fillId="14" borderId="19" xfId="0" applyFont="1" applyFill="1" applyBorder="1" applyAlignment="1">
      <alignment horizontal="left" vertical="center"/>
    </xf>
    <xf numFmtId="0" fontId="11" fillId="0" borderId="2" xfId="16"/>
    <xf numFmtId="0" fontId="2" fillId="0" borderId="0" xfId="17"/>
    <xf numFmtId="1" fontId="0" fillId="0" borderId="0" xfId="0" applyNumberFormat="1"/>
    <xf numFmtId="1" fontId="13" fillId="0" borderId="0" xfId="0" applyNumberFormat="1" applyFont="1"/>
    <xf numFmtId="0" fontId="17" fillId="16" borderId="0" xfId="19"/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/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29" t="s">
        <v>0</v>
      </c>
      <c r="L11" s="129" t="s">
        <v>133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28</v>
      </c>
      <c r="P12" s="2">
        <v>2022</v>
      </c>
      <c r="Q12" s="2">
        <v>0</v>
      </c>
      <c r="R12" s="2" t="s">
        <v>71</v>
      </c>
      <c r="S12" s="2" t="s">
        <v>74</v>
      </c>
    </row>
    <row r="13" spans="2:22">
      <c r="B13" s="1" t="s">
        <v>17</v>
      </c>
      <c r="C13" s="1" t="s">
        <v>13</v>
      </c>
      <c r="E13" s="1" t="s">
        <v>20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20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19</v>
      </c>
      <c r="C15" t="s">
        <v>73</v>
      </c>
      <c r="D15" s="1" t="s">
        <v>75</v>
      </c>
      <c r="E15" s="1" t="s">
        <v>20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21</v>
      </c>
      <c r="M15" s="1">
        <v>1</v>
      </c>
      <c r="N15" s="1">
        <v>8.76</v>
      </c>
      <c r="O15" s="1"/>
      <c r="P15" s="1"/>
      <c r="Q15" s="1"/>
      <c r="V15" t="s">
        <v>70</v>
      </c>
    </row>
    <row r="16" spans="2:22">
      <c r="B16" t="s">
        <v>19</v>
      </c>
      <c r="C16" t="s">
        <v>134</v>
      </c>
      <c r="D16" s="1" t="s">
        <v>117</v>
      </c>
      <c r="E16" s="1" t="s">
        <v>20</v>
      </c>
      <c r="F16" t="s">
        <v>10</v>
      </c>
      <c r="G16" s="1"/>
      <c r="H16" s="1"/>
      <c r="I16" s="1"/>
      <c r="J16" s="1" t="str">
        <f>C16</f>
        <v>h2_demand</v>
      </c>
      <c r="K16" s="1" t="s">
        <v>33</v>
      </c>
      <c r="L16" t="s">
        <v>118</v>
      </c>
      <c r="M16" s="1">
        <v>1</v>
      </c>
      <c r="N16" s="1">
        <v>8.76</v>
      </c>
      <c r="O16" s="1"/>
      <c r="P16" s="1"/>
      <c r="Q16" s="1"/>
    </row>
    <row r="17" spans="2:22">
      <c r="B17" t="s">
        <v>19</v>
      </c>
      <c r="C17" t="s">
        <v>116</v>
      </c>
      <c r="D17" t="s">
        <v>135</v>
      </c>
      <c r="E17" s="1" t="s">
        <v>20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136</v>
      </c>
      <c r="M17" s="1">
        <v>1</v>
      </c>
      <c r="N17" s="1">
        <v>8.76</v>
      </c>
      <c r="O17" s="1"/>
      <c r="P17" s="1"/>
      <c r="Q17" s="1"/>
    </row>
    <row r="18" spans="2:22">
      <c r="B18" t="s">
        <v>27</v>
      </c>
      <c r="C18" t="s">
        <v>68</v>
      </c>
      <c r="D18" s="1"/>
      <c r="E18" s="1" t="s">
        <v>20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30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67</v>
      </c>
      <c r="C19" t="s">
        <v>69</v>
      </c>
      <c r="D19" s="1"/>
      <c r="E19" s="1" t="s">
        <v>20</v>
      </c>
      <c r="F19" t="s">
        <v>10</v>
      </c>
      <c r="G19" t="s">
        <v>14</v>
      </c>
      <c r="H19" s="1"/>
      <c r="I19" s="1"/>
      <c r="K19" s="1"/>
      <c r="L19" s="1" t="s">
        <v>31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27</v>
      </c>
      <c r="C20" s="1" t="s">
        <v>121</v>
      </c>
      <c r="D20" s="1" t="s">
        <v>76</v>
      </c>
      <c r="E20" s="1" t="s">
        <v>20</v>
      </c>
      <c r="F20" t="s">
        <v>10</v>
      </c>
      <c r="G20" s="1"/>
      <c r="H20" s="1"/>
      <c r="I20" s="1"/>
      <c r="K20" s="1"/>
      <c r="L20" s="1" t="s">
        <v>35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27</v>
      </c>
      <c r="C21" s="1" t="s">
        <v>123</v>
      </c>
      <c r="D21" s="1" t="s">
        <v>122</v>
      </c>
      <c r="E21" s="1" t="s">
        <v>20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32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27</v>
      </c>
      <c r="C22" s="1" t="s">
        <v>124</v>
      </c>
      <c r="D22" s="1" t="s">
        <v>125</v>
      </c>
      <c r="E22" s="1" t="s">
        <v>20</v>
      </c>
      <c r="F22" t="s">
        <v>10</v>
      </c>
      <c r="G22" s="1"/>
      <c r="H22" s="1"/>
      <c r="I22" s="1"/>
      <c r="K22" s="1"/>
      <c r="L22" s="1" t="s">
        <v>26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27</v>
      </c>
      <c r="C23" s="1" t="s">
        <v>126</v>
      </c>
      <c r="D23" s="1" t="s">
        <v>129</v>
      </c>
      <c r="E23" s="1" t="s">
        <v>20</v>
      </c>
      <c r="F23" t="s">
        <v>10</v>
      </c>
      <c r="G23" s="1"/>
      <c r="H23" s="1"/>
      <c r="I23" s="1"/>
      <c r="L23" s="1" t="s">
        <v>29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27</v>
      </c>
      <c r="C24" t="s">
        <v>127</v>
      </c>
      <c r="D24" t="s">
        <v>130</v>
      </c>
      <c r="E24" s="1" t="s">
        <v>20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34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27</v>
      </c>
      <c r="C25" t="s">
        <v>128</v>
      </c>
      <c r="D25" t="s">
        <v>131</v>
      </c>
      <c r="E25" s="1" t="s">
        <v>20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25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119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120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  <c r="V28" t="s">
        <v>1700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3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14"/>
  <sheetViews>
    <sheetView workbookViewId="0">
      <selection activeCell="M21" sqref="M21"/>
    </sheetView>
  </sheetViews>
  <sheetFormatPr defaultRowHeight="14.25"/>
  <cols>
    <col min="2" max="2" width="9.19921875" bestFit="1" customWidth="1"/>
    <col min="3" max="3" width="10.46484375" bestFit="1" customWidth="1"/>
    <col min="4" max="4" width="31.86328125" bestFit="1" customWidth="1"/>
    <col min="5" max="5" width="11.59765625" bestFit="1" customWidth="1"/>
    <col min="6" max="6" width="8.6640625" bestFit="1" customWidth="1"/>
    <col min="7" max="7" width="9.59765625" bestFit="1" customWidth="1"/>
    <col min="8" max="8" width="9" bestFit="1" customWidth="1"/>
    <col min="9" max="9" width="5.19921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9.19921875" bestFit="1" customWidth="1"/>
    <col min="20" max="20" width="37.9296875" bestFit="1" customWidth="1"/>
    <col min="21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9"/>
      <c r="C3" s="9"/>
      <c r="D3" s="9"/>
      <c r="E3" s="9"/>
      <c r="F3" s="9"/>
      <c r="G3" s="9"/>
      <c r="H3" s="9" t="s">
        <v>55</v>
      </c>
      <c r="I3" s="9"/>
      <c r="J3" s="9"/>
      <c r="K3" s="9"/>
      <c r="L3" s="9"/>
      <c r="M3" s="9"/>
      <c r="N3" s="9"/>
      <c r="O3" s="9"/>
      <c r="P3" s="9"/>
      <c r="Q3" s="9"/>
      <c r="R3" s="9" t="s">
        <v>0</v>
      </c>
      <c r="S3" s="9"/>
      <c r="T3" s="9"/>
      <c r="U3" s="9"/>
      <c r="V3" s="9"/>
      <c r="W3" s="9"/>
      <c r="X3" s="9"/>
      <c r="Y3" s="9"/>
    </row>
    <row r="4" spans="2:25">
      <c r="B4" s="9" t="s">
        <v>1</v>
      </c>
      <c r="C4" t="s">
        <v>2</v>
      </c>
      <c r="D4" t="s">
        <v>3</v>
      </c>
      <c r="E4" t="s">
        <v>51</v>
      </c>
      <c r="F4" t="s">
        <v>50</v>
      </c>
      <c r="G4" t="s">
        <v>56</v>
      </c>
      <c r="H4" t="s">
        <v>57</v>
      </c>
      <c r="I4">
        <v>2030</v>
      </c>
      <c r="J4">
        <v>0</v>
      </c>
      <c r="K4" s="9" t="s">
        <v>58</v>
      </c>
      <c r="L4" s="9" t="s">
        <v>59</v>
      </c>
      <c r="M4" s="9" t="s">
        <v>52</v>
      </c>
      <c r="N4" s="9" t="s">
        <v>71</v>
      </c>
      <c r="O4" s="9" t="s">
        <v>60</v>
      </c>
      <c r="P4" s="9" t="s">
        <v>61</v>
      </c>
      <c r="Q4" s="9"/>
      <c r="R4" s="9" t="s">
        <v>6</v>
      </c>
      <c r="S4" s="9" t="s">
        <v>1</v>
      </c>
      <c r="T4" s="9" t="s">
        <v>7</v>
      </c>
      <c r="U4" s="9" t="s">
        <v>48</v>
      </c>
      <c r="V4" s="9" t="s">
        <v>49</v>
      </c>
      <c r="W4" s="9" t="s">
        <v>11</v>
      </c>
      <c r="X4" s="9" t="s">
        <v>62</v>
      </c>
      <c r="Y4" s="9" t="s">
        <v>63</v>
      </c>
    </row>
    <row r="5" spans="2:25">
      <c r="B5" t="s">
        <v>72</v>
      </c>
      <c r="C5" t="s">
        <v>18</v>
      </c>
      <c r="F5" t="s">
        <v>24</v>
      </c>
      <c r="K5" s="9">
        <v>0.90249999999999997</v>
      </c>
      <c r="L5" s="11">
        <f>24/6</f>
        <v>4</v>
      </c>
      <c r="M5" s="9">
        <v>10</v>
      </c>
      <c r="N5" s="9">
        <v>150</v>
      </c>
      <c r="O5" s="11">
        <v>1</v>
      </c>
      <c r="P5" s="9">
        <v>1</v>
      </c>
      <c r="Q5" s="9"/>
      <c r="R5" s="9" t="s">
        <v>66</v>
      </c>
      <c r="S5" s="9" t="str">
        <f>B5</f>
        <v>ev_battery</v>
      </c>
      <c r="T5" s="9" t="s">
        <v>64</v>
      </c>
      <c r="U5" s="9" t="s">
        <v>20</v>
      </c>
      <c r="V5" s="9" t="s">
        <v>20</v>
      </c>
      <c r="W5" s="9" t="s">
        <v>14</v>
      </c>
      <c r="X5" s="9"/>
      <c r="Y5" s="9"/>
    </row>
    <row r="6" spans="2:25">
      <c r="B6" s="9"/>
      <c r="F6" t="s">
        <v>54</v>
      </c>
      <c r="K6" s="9"/>
      <c r="L6" s="10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2:25">
      <c r="B7" s="9"/>
      <c r="D7" t="s">
        <v>65</v>
      </c>
      <c r="E7" t="s">
        <v>44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2:25" ht="17.649999999999999">
      <c r="B8" s="6"/>
      <c r="E8" s="12"/>
      <c r="F8" t="s">
        <v>132</v>
      </c>
      <c r="G8" t="str">
        <f>E7</f>
        <v>AuxStoIN</v>
      </c>
      <c r="H8" t="s">
        <v>53</v>
      </c>
      <c r="I8">
        <v>1</v>
      </c>
      <c r="J8">
        <v>3</v>
      </c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8"/>
      <c r="X8" s="8"/>
      <c r="Y8" s="8"/>
    </row>
    <row r="11" spans="2:25">
      <c r="B11" s="3" t="s">
        <v>22</v>
      </c>
      <c r="C11" s="3"/>
      <c r="D11" s="3"/>
      <c r="E11" s="3"/>
      <c r="F11" s="3"/>
      <c r="G11" s="3"/>
      <c r="H11" s="3"/>
      <c r="I11" s="3"/>
    </row>
    <row r="12" spans="2:25">
      <c r="B12" s="3" t="s">
        <v>36</v>
      </c>
      <c r="C12" s="3" t="s">
        <v>37</v>
      </c>
      <c r="D12" s="3" t="s">
        <v>38</v>
      </c>
      <c r="E12" s="3" t="s">
        <v>23</v>
      </c>
      <c r="F12" s="3" t="s">
        <v>39</v>
      </c>
      <c r="G12" s="3" t="s">
        <v>40</v>
      </c>
      <c r="H12" s="3" t="s">
        <v>41</v>
      </c>
      <c r="I12" s="3" t="s">
        <v>42</v>
      </c>
    </row>
    <row r="13" spans="2:25">
      <c r="B13" s="3" t="s">
        <v>43</v>
      </c>
      <c r="C13" s="3" t="s">
        <v>44</v>
      </c>
      <c r="D13" s="3" t="s">
        <v>45</v>
      </c>
      <c r="E13" s="3" t="s">
        <v>137</v>
      </c>
      <c r="F13" s="3"/>
      <c r="G13" s="5" t="s">
        <v>14</v>
      </c>
      <c r="H13" s="3"/>
      <c r="I13" s="3"/>
    </row>
    <row r="14" spans="2:25">
      <c r="C14" s="3" t="s">
        <v>46</v>
      </c>
      <c r="D14" s="3" t="s">
        <v>47</v>
      </c>
      <c r="E14" s="3" t="s">
        <v>137</v>
      </c>
      <c r="F14" s="3"/>
      <c r="G14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77</v>
      </c>
      <c r="C1" s="134" t="s">
        <v>78</v>
      </c>
      <c r="D1" s="134"/>
      <c r="E1" s="134"/>
      <c r="F1" s="135" t="s">
        <v>79</v>
      </c>
      <c r="G1" s="134"/>
      <c r="H1" s="136"/>
      <c r="I1" s="134" t="s">
        <v>80</v>
      </c>
      <c r="J1" s="134"/>
      <c r="K1" s="134"/>
      <c r="L1" s="134"/>
      <c r="M1" s="134"/>
      <c r="N1" s="134"/>
      <c r="O1" s="137" t="s">
        <v>81</v>
      </c>
      <c r="P1" s="13"/>
      <c r="Q1" s="13"/>
      <c r="R1" s="13"/>
    </row>
    <row r="2" spans="1:18">
      <c r="C2" s="14" t="s">
        <v>71</v>
      </c>
      <c r="D2" s="14" t="s">
        <v>71</v>
      </c>
      <c r="E2" s="14" t="s">
        <v>71</v>
      </c>
      <c r="F2" s="14" t="s">
        <v>82</v>
      </c>
      <c r="G2" s="14" t="s">
        <v>82</v>
      </c>
      <c r="H2" s="14" t="s">
        <v>82</v>
      </c>
      <c r="I2" s="14" t="s">
        <v>83</v>
      </c>
      <c r="J2" s="14" t="s">
        <v>115</v>
      </c>
      <c r="K2" s="14" t="str">
        <f>I2</f>
        <v>input~GASNGA</v>
      </c>
      <c r="L2" s="14" t="s">
        <v>115</v>
      </c>
      <c r="M2" s="14" t="str">
        <f>K2</f>
        <v>input~GASNGA</v>
      </c>
      <c r="N2" s="14" t="s">
        <v>115</v>
      </c>
      <c r="O2" s="138"/>
      <c r="P2" s="13"/>
      <c r="Q2" s="13"/>
      <c r="R2" s="13"/>
    </row>
    <row r="3" spans="1:18">
      <c r="C3" s="14">
        <v>2020</v>
      </c>
      <c r="D3" s="14">
        <v>2030</v>
      </c>
      <c r="E3" s="14">
        <v>2050</v>
      </c>
      <c r="F3" s="14">
        <f>C3</f>
        <v>2020</v>
      </c>
      <c r="G3" s="14">
        <f t="shared" ref="G3:H3" si="0">D3</f>
        <v>2030</v>
      </c>
      <c r="H3" s="14">
        <f t="shared" si="0"/>
        <v>2050</v>
      </c>
      <c r="I3" s="14">
        <v>2015</v>
      </c>
      <c r="J3" s="14">
        <v>2015</v>
      </c>
      <c r="K3" s="14">
        <v>2030</v>
      </c>
      <c r="L3" s="14">
        <v>2030</v>
      </c>
      <c r="M3" s="14">
        <v>2050</v>
      </c>
      <c r="N3" s="14">
        <v>2050</v>
      </c>
      <c r="O3" s="138"/>
      <c r="P3" s="13"/>
      <c r="Q3" s="13"/>
      <c r="R3" s="13"/>
    </row>
    <row r="4" spans="1:18" ht="26.25">
      <c r="C4" s="15">
        <v>2020</v>
      </c>
      <c r="D4" s="15">
        <v>2030</v>
      </c>
      <c r="E4" s="15" t="s">
        <v>84</v>
      </c>
      <c r="F4" s="16">
        <v>2015</v>
      </c>
      <c r="G4" s="15">
        <v>2030</v>
      </c>
      <c r="H4" s="17" t="s">
        <v>84</v>
      </c>
      <c r="I4" s="15" t="s">
        <v>85</v>
      </c>
      <c r="J4" s="15" t="s">
        <v>86</v>
      </c>
      <c r="K4" s="18" t="s">
        <v>87</v>
      </c>
      <c r="L4" s="19" t="s">
        <v>88</v>
      </c>
      <c r="M4" s="15" t="s">
        <v>89</v>
      </c>
      <c r="N4" s="15" t="s">
        <v>90</v>
      </c>
      <c r="O4" s="139"/>
      <c r="P4" s="13"/>
      <c r="Q4" s="13"/>
      <c r="R4" s="13"/>
    </row>
    <row r="5" spans="1:18">
      <c r="C5" s="20">
        <v>550</v>
      </c>
      <c r="D5" s="20">
        <v>500</v>
      </c>
      <c r="E5" s="20">
        <v>450</v>
      </c>
      <c r="F5" s="21">
        <v>22</v>
      </c>
      <c r="G5" s="22">
        <v>20</v>
      </c>
      <c r="H5" s="23">
        <v>18</v>
      </c>
      <c r="I5" s="24">
        <v>1.33</v>
      </c>
      <c r="J5" s="24">
        <v>9.4E-2</v>
      </c>
      <c r="K5" s="25">
        <v>1.3</v>
      </c>
      <c r="L5" s="26">
        <v>9.4E-2</v>
      </c>
      <c r="M5" s="24">
        <v>1.28</v>
      </c>
      <c r="N5" s="24">
        <v>9.4E-2</v>
      </c>
      <c r="O5" s="27" t="s">
        <v>91</v>
      </c>
      <c r="P5" s="28"/>
      <c r="Q5" s="28"/>
      <c r="R5" s="28"/>
    </row>
    <row r="6" spans="1:18">
      <c r="C6" s="29">
        <v>900</v>
      </c>
      <c r="D6" s="29">
        <v>850</v>
      </c>
      <c r="E6" s="29">
        <v>800</v>
      </c>
      <c r="F6" s="30">
        <v>36</v>
      </c>
      <c r="G6" s="31">
        <v>34</v>
      </c>
      <c r="H6" s="32">
        <v>32</v>
      </c>
      <c r="I6" s="33">
        <v>1.33</v>
      </c>
      <c r="J6" s="33">
        <v>1.0940000000000001</v>
      </c>
      <c r="K6" s="34">
        <v>1.3</v>
      </c>
      <c r="L6" s="35">
        <v>1.0940000000000001</v>
      </c>
      <c r="M6" s="33">
        <v>1.28</v>
      </c>
      <c r="N6" s="33">
        <v>1.0940000000000001</v>
      </c>
      <c r="O6" s="36" t="s">
        <v>92</v>
      </c>
      <c r="P6" s="37"/>
      <c r="Q6" s="37"/>
      <c r="R6" s="37"/>
    </row>
    <row r="7" spans="1:18">
      <c r="C7" s="20">
        <v>1978</v>
      </c>
      <c r="D7" s="20">
        <v>1598</v>
      </c>
      <c r="E7" s="20">
        <v>1450</v>
      </c>
      <c r="F7" s="21">
        <v>57</v>
      </c>
      <c r="G7" s="22">
        <v>31</v>
      </c>
      <c r="H7" s="23">
        <v>28</v>
      </c>
      <c r="I7" s="24">
        <v>1.53</v>
      </c>
      <c r="J7" s="24">
        <v>9.4E-2</v>
      </c>
      <c r="K7" s="25">
        <v>1.47</v>
      </c>
      <c r="L7" s="26">
        <v>9.4E-2</v>
      </c>
      <c r="M7" s="24">
        <v>1.43</v>
      </c>
      <c r="N7" s="24">
        <v>9.4E-2</v>
      </c>
      <c r="O7" s="27" t="s">
        <v>93</v>
      </c>
      <c r="P7" s="28"/>
      <c r="Q7" s="28"/>
      <c r="R7" s="28"/>
    </row>
    <row r="8" spans="1:18">
      <c r="C8" s="38">
        <v>1609.9999999999998</v>
      </c>
      <c r="D8" s="38">
        <v>740</v>
      </c>
      <c r="E8" s="38">
        <v>200</v>
      </c>
      <c r="F8" s="30">
        <v>49.000000000000007</v>
      </c>
      <c r="G8" s="31">
        <v>15</v>
      </c>
      <c r="H8" s="32">
        <v>10</v>
      </c>
      <c r="I8" s="33">
        <v>0</v>
      </c>
      <c r="J8" s="33">
        <v>1.39</v>
      </c>
      <c r="K8" s="34">
        <v>0</v>
      </c>
      <c r="L8" s="35">
        <v>1.19</v>
      </c>
      <c r="M8" s="33">
        <v>0</v>
      </c>
      <c r="N8" s="33">
        <v>1.17</v>
      </c>
      <c r="O8" s="36" t="s">
        <v>94</v>
      </c>
      <c r="P8" s="37"/>
      <c r="Q8" s="37"/>
      <c r="R8" s="37"/>
    </row>
    <row r="9" spans="1:18">
      <c r="C9" s="39">
        <v>2530</v>
      </c>
      <c r="D9" s="39">
        <v>1175</v>
      </c>
      <c r="E9" s="39">
        <v>350</v>
      </c>
      <c r="F9" s="21">
        <v>77.000000000000014</v>
      </c>
      <c r="G9" s="22">
        <v>34</v>
      </c>
      <c r="H9" s="23">
        <v>18</v>
      </c>
      <c r="I9" s="24">
        <v>0</v>
      </c>
      <c r="J9" s="24">
        <v>1.5</v>
      </c>
      <c r="K9" s="25">
        <v>0</v>
      </c>
      <c r="L9" s="26">
        <v>1.25</v>
      </c>
      <c r="M9" s="24">
        <v>0</v>
      </c>
      <c r="N9" s="24">
        <v>1.19</v>
      </c>
      <c r="O9" s="27" t="s">
        <v>95</v>
      </c>
      <c r="P9" s="28"/>
      <c r="Q9" s="28"/>
      <c r="R9" s="28"/>
    </row>
    <row r="10" spans="1:18">
      <c r="C10" s="38">
        <v>1265</v>
      </c>
      <c r="D10" s="38">
        <v>600</v>
      </c>
      <c r="E10" s="38">
        <v>180</v>
      </c>
      <c r="F10" s="30">
        <v>28</v>
      </c>
      <c r="G10" s="31">
        <v>14</v>
      </c>
      <c r="H10" s="32">
        <v>9</v>
      </c>
      <c r="I10" s="33">
        <v>0</v>
      </c>
      <c r="J10" s="33">
        <v>1.3952</v>
      </c>
      <c r="K10" s="34">
        <v>0</v>
      </c>
      <c r="L10" s="35">
        <v>1.268</v>
      </c>
      <c r="M10" s="33">
        <v>0</v>
      </c>
      <c r="N10" s="33">
        <v>1.18</v>
      </c>
      <c r="O10" s="36" t="s">
        <v>96</v>
      </c>
      <c r="P10" s="37"/>
      <c r="Q10" s="37"/>
      <c r="R10" s="37"/>
    </row>
    <row r="11" spans="1:18">
      <c r="C11" s="39">
        <v>1897.4999999999998</v>
      </c>
      <c r="D11" s="39">
        <v>715</v>
      </c>
      <c r="E11" s="39">
        <v>300</v>
      </c>
      <c r="F11" s="21">
        <v>41</v>
      </c>
      <c r="G11" s="22">
        <v>17</v>
      </c>
      <c r="H11" s="23">
        <v>15</v>
      </c>
      <c r="I11" s="24">
        <v>0</v>
      </c>
      <c r="J11" s="24">
        <v>1.3952</v>
      </c>
      <c r="K11" s="25">
        <v>0</v>
      </c>
      <c r="L11" s="26">
        <v>1.268</v>
      </c>
      <c r="M11" s="24">
        <v>0</v>
      </c>
      <c r="N11" s="24">
        <v>1.2</v>
      </c>
      <c r="O11" s="27" t="s">
        <v>97</v>
      </c>
      <c r="P11" s="28"/>
      <c r="Q11" s="28"/>
      <c r="R11" s="28"/>
    </row>
    <row r="12" spans="1:18">
      <c r="C12" s="38">
        <v>3332.088235294118</v>
      </c>
      <c r="D12" s="38">
        <v>1421.3921568627452</v>
      </c>
      <c r="E12" s="38">
        <v>600</v>
      </c>
      <c r="F12" s="30">
        <v>55.825000000000003</v>
      </c>
      <c r="G12" s="31">
        <v>36.18</v>
      </c>
      <c r="H12" s="32">
        <v>39</v>
      </c>
      <c r="I12" s="33">
        <v>1.996667038759689</v>
      </c>
      <c r="J12" s="33">
        <v>0.83711999999999998</v>
      </c>
      <c r="K12" s="34">
        <v>1.4556272790939169</v>
      </c>
      <c r="L12" s="35">
        <v>0.76080000000000003</v>
      </c>
      <c r="M12" s="33">
        <v>0.33333333333333337</v>
      </c>
      <c r="N12" s="33">
        <v>0.70799999999999996</v>
      </c>
      <c r="O12" s="36" t="s">
        <v>98</v>
      </c>
      <c r="P12" s="37"/>
      <c r="Q12" s="37"/>
      <c r="R12" s="37"/>
    </row>
    <row r="13" spans="1:18">
      <c r="C13" s="39">
        <v>5331.3411764705888</v>
      </c>
      <c r="D13" s="39">
        <v>2920.8941176470589</v>
      </c>
      <c r="E13" s="39">
        <v>1100</v>
      </c>
      <c r="F13" s="21">
        <v>94.902500000000003</v>
      </c>
      <c r="G13" s="22">
        <v>63.314999999999998</v>
      </c>
      <c r="H13" s="23">
        <v>48.75</v>
      </c>
      <c r="I13" s="24">
        <v>1.996667038759689</v>
      </c>
      <c r="J13" s="24">
        <v>0.83711999999999998</v>
      </c>
      <c r="K13" s="25">
        <v>1.4556272790939169</v>
      </c>
      <c r="L13" s="26">
        <v>0.76080000000000003</v>
      </c>
      <c r="M13" s="24">
        <v>0.33333333333333337</v>
      </c>
      <c r="N13" s="24">
        <v>0.72</v>
      </c>
      <c r="O13" s="27" t="s">
        <v>99</v>
      </c>
      <c r="P13" s="28"/>
      <c r="Q13" s="28"/>
      <c r="R13" s="28"/>
    </row>
    <row r="14" spans="1:18">
      <c r="C14" s="40">
        <v>1200</v>
      </c>
      <c r="D14" s="40">
        <v>733</v>
      </c>
      <c r="E14" s="40">
        <v>263</v>
      </c>
      <c r="F14" s="41">
        <v>42</v>
      </c>
      <c r="G14" s="42">
        <v>22</v>
      </c>
      <c r="H14" s="43">
        <v>9</v>
      </c>
      <c r="I14" s="44">
        <v>0</v>
      </c>
      <c r="J14" s="45">
        <v>0.01</v>
      </c>
      <c r="K14" s="46">
        <v>0</v>
      </c>
      <c r="L14" s="47">
        <v>0.01</v>
      </c>
      <c r="M14" s="45">
        <v>0</v>
      </c>
      <c r="N14" s="45">
        <v>0.01</v>
      </c>
      <c r="O14" s="48" t="s">
        <v>100</v>
      </c>
      <c r="P14" s="49"/>
      <c r="Q14" s="49"/>
      <c r="R14" s="49"/>
    </row>
    <row r="15" spans="1:18">
      <c r="C15" s="50">
        <v>450</v>
      </c>
      <c r="D15" s="50">
        <v>450</v>
      </c>
      <c r="E15" s="50">
        <v>450</v>
      </c>
      <c r="F15" s="51">
        <v>18</v>
      </c>
      <c r="G15" s="52">
        <v>18</v>
      </c>
      <c r="H15" s="53">
        <v>18</v>
      </c>
      <c r="I15" s="54">
        <v>0.26582278481012644</v>
      </c>
      <c r="J15" s="55">
        <v>0.06</v>
      </c>
      <c r="K15" s="56">
        <v>0.26582278481012644</v>
      </c>
      <c r="L15" s="57">
        <v>0.06</v>
      </c>
      <c r="M15" s="55">
        <v>0.26582278481012644</v>
      </c>
      <c r="N15" s="55">
        <v>0.06</v>
      </c>
      <c r="O15" s="58" t="s">
        <v>101</v>
      </c>
      <c r="P15" s="59"/>
      <c r="Q15" s="59"/>
      <c r="R15" s="59"/>
    </row>
    <row r="16" spans="1:18">
      <c r="C16" s="60">
        <v>200</v>
      </c>
      <c r="D16" s="60">
        <v>200</v>
      </c>
      <c r="E16" s="60">
        <v>200</v>
      </c>
      <c r="F16" s="61">
        <v>20</v>
      </c>
      <c r="G16" s="62">
        <v>20</v>
      </c>
      <c r="H16" s="63">
        <v>20</v>
      </c>
      <c r="I16" s="64">
        <v>1.2999999999999999E-2</v>
      </c>
      <c r="J16" s="65">
        <v>3.5999999999999997E-2</v>
      </c>
      <c r="K16" s="66">
        <v>1.2999999999999999E-2</v>
      </c>
      <c r="L16" s="67">
        <v>3.5999999999999997E-2</v>
      </c>
      <c r="M16" s="65">
        <v>1.2999999999999999E-2</v>
      </c>
      <c r="N16" s="65">
        <v>3.5999999999999997E-2</v>
      </c>
      <c r="O16" s="68" t="s">
        <v>102</v>
      </c>
      <c r="P16" s="69"/>
      <c r="Q16" s="69"/>
      <c r="R16" s="69"/>
    </row>
    <row r="17" spans="1:26">
      <c r="C17" s="50">
        <v>175</v>
      </c>
      <c r="D17" s="50">
        <v>175</v>
      </c>
      <c r="E17" s="50">
        <v>175</v>
      </c>
      <c r="F17" s="51">
        <v>5</v>
      </c>
      <c r="G17" s="52">
        <v>5</v>
      </c>
      <c r="H17" s="53">
        <v>5</v>
      </c>
      <c r="I17" s="54">
        <v>1.4E-2</v>
      </c>
      <c r="J17" s="55">
        <v>0</v>
      </c>
      <c r="K17" s="56">
        <v>1.4E-2</v>
      </c>
      <c r="L17" s="57">
        <v>0</v>
      </c>
      <c r="M17" s="55">
        <v>1.4E-2</v>
      </c>
      <c r="N17" s="55">
        <v>0</v>
      </c>
      <c r="O17" s="58" t="s">
        <v>103</v>
      </c>
      <c r="P17" s="59"/>
      <c r="Q17" s="59"/>
      <c r="R17" s="59"/>
    </row>
    <row r="18" spans="1:26">
      <c r="C18" s="70">
        <v>1000</v>
      </c>
      <c r="D18" s="70">
        <v>720</v>
      </c>
      <c r="E18" s="70">
        <v>364</v>
      </c>
      <c r="F18" s="71">
        <v>50</v>
      </c>
      <c r="G18" s="72">
        <v>31</v>
      </c>
      <c r="H18" s="73">
        <v>18</v>
      </c>
      <c r="I18" s="74">
        <v>0.2389</v>
      </c>
      <c r="J18" s="75">
        <v>3.056E-2</v>
      </c>
      <c r="K18" s="76">
        <v>0.2389</v>
      </c>
      <c r="L18" s="77">
        <v>3.056E-2</v>
      </c>
      <c r="M18" s="75">
        <v>0.2389</v>
      </c>
      <c r="N18" s="75">
        <v>3.056E-2</v>
      </c>
      <c r="O18" s="78" t="s">
        <v>104</v>
      </c>
      <c r="P18" s="79"/>
      <c r="Q18" s="79"/>
      <c r="R18" s="79"/>
    </row>
    <row r="19" spans="1:26">
      <c r="C19" s="80">
        <v>1556</v>
      </c>
      <c r="D19" s="80">
        <v>1143</v>
      </c>
      <c r="E19" s="81">
        <v>673</v>
      </c>
      <c r="F19" s="82">
        <v>54</v>
      </c>
      <c r="G19" s="83">
        <v>40</v>
      </c>
      <c r="H19" s="84">
        <v>24</v>
      </c>
      <c r="I19" s="85">
        <v>3.5000000000000003E-2</v>
      </c>
      <c r="J19" s="86">
        <v>0.02</v>
      </c>
      <c r="K19" s="87">
        <v>3.5000000000000003E-2</v>
      </c>
      <c r="L19" s="88">
        <v>0.02</v>
      </c>
      <c r="M19" s="86">
        <v>3.5000000000000003E-2</v>
      </c>
      <c r="N19" s="86">
        <v>0.02</v>
      </c>
      <c r="O19" s="89" t="s">
        <v>105</v>
      </c>
      <c r="P19" s="90"/>
      <c r="Q19" s="90"/>
      <c r="R19" s="90"/>
    </row>
    <row r="20" spans="1:26">
      <c r="C20" s="91">
        <v>2332</v>
      </c>
      <c r="D20" s="91">
        <v>1511</v>
      </c>
      <c r="E20" s="91">
        <v>965</v>
      </c>
      <c r="F20" s="92">
        <v>163</v>
      </c>
      <c r="G20" s="93">
        <v>106</v>
      </c>
      <c r="H20" s="94">
        <v>68</v>
      </c>
      <c r="I20" s="95">
        <v>0.46326666666666666</v>
      </c>
      <c r="J20" s="96">
        <v>1.9188104089219331</v>
      </c>
      <c r="K20" s="97">
        <v>0.39244195142277988</v>
      </c>
      <c r="L20" s="98">
        <v>1.6009812088633062</v>
      </c>
      <c r="M20" s="96">
        <v>0.37890902062421039</v>
      </c>
      <c r="N20" s="96">
        <v>1.5694083453910281</v>
      </c>
      <c r="O20" s="99" t="s">
        <v>106</v>
      </c>
      <c r="P20" s="79"/>
      <c r="Q20" s="79"/>
      <c r="R20" s="79"/>
    </row>
    <row r="21" spans="1:26">
      <c r="C21" s="100">
        <v>769.8768197088466</v>
      </c>
      <c r="D21" s="100">
        <v>648.04446103438272</v>
      </c>
      <c r="E21" s="100">
        <v>518.29059243801294</v>
      </c>
      <c r="F21" s="101">
        <v>26.945688689809632</v>
      </c>
      <c r="G21" s="102">
        <v>22.681556136203398</v>
      </c>
      <c r="H21" s="103">
        <v>18.140170735330454</v>
      </c>
      <c r="I21" s="104">
        <v>2.7777777777777777</v>
      </c>
      <c r="J21" s="105">
        <v>2.2222222222222223</v>
      </c>
      <c r="K21" s="106">
        <v>1.6666666666666665</v>
      </c>
      <c r="L21" s="107">
        <v>1.3888888888888888</v>
      </c>
      <c r="M21" s="105">
        <v>1.1388888888888888</v>
      </c>
      <c r="N21" s="105">
        <v>0.3</v>
      </c>
      <c r="O21" s="108" t="s">
        <v>107</v>
      </c>
      <c r="P21" s="109"/>
      <c r="Q21" s="109"/>
      <c r="R21" s="109"/>
    </row>
    <row r="22" spans="1:26">
      <c r="C22" s="110">
        <v>1259.7984322508398</v>
      </c>
      <c r="D22" s="110">
        <v>894.30135622744808</v>
      </c>
      <c r="E22" s="110">
        <v>495</v>
      </c>
      <c r="F22" s="111">
        <v>44.092945128779398</v>
      </c>
      <c r="G22" s="112">
        <v>31.300547467960687</v>
      </c>
      <c r="H22" s="113">
        <v>17.325000000000003</v>
      </c>
      <c r="I22" s="114">
        <v>2</v>
      </c>
      <c r="J22" s="115">
        <v>0.3</v>
      </c>
      <c r="K22" s="116">
        <v>1.8055555555555556</v>
      </c>
      <c r="L22" s="117">
        <v>0.3</v>
      </c>
      <c r="M22" s="115">
        <v>1.5</v>
      </c>
      <c r="N22" s="115">
        <v>0.3</v>
      </c>
      <c r="O22" s="118" t="s">
        <v>108</v>
      </c>
      <c r="P22" s="119"/>
      <c r="Q22" s="119"/>
      <c r="R22" s="119"/>
    </row>
    <row r="23" spans="1:26">
      <c r="C23" s="120">
        <v>174</v>
      </c>
      <c r="D23" s="120">
        <v>174</v>
      </c>
      <c r="E23" s="120">
        <v>174</v>
      </c>
      <c r="F23" s="121">
        <v>3</v>
      </c>
      <c r="G23" s="122">
        <v>3</v>
      </c>
      <c r="H23" s="123">
        <v>3</v>
      </c>
      <c r="I23" s="124">
        <v>0</v>
      </c>
      <c r="J23" s="125">
        <v>0.20588235294117646</v>
      </c>
      <c r="K23" s="126">
        <v>0</v>
      </c>
      <c r="L23" s="127">
        <v>0.20588235294117646</v>
      </c>
      <c r="M23" s="125">
        <v>0</v>
      </c>
      <c r="N23" s="125">
        <v>0.20588235294117646</v>
      </c>
      <c r="O23" s="128" t="s">
        <v>109</v>
      </c>
      <c r="P23" s="109"/>
      <c r="Q23" s="109"/>
      <c r="R23" s="109"/>
    </row>
    <row r="26" spans="1:26" ht="17.25" thickBot="1">
      <c r="C26" s="129" t="s">
        <v>110</v>
      </c>
      <c r="T26" s="129" t="s">
        <v>0</v>
      </c>
    </row>
    <row r="27" spans="1:26" ht="14.65" thickTop="1">
      <c r="A27" s="130" t="s">
        <v>3</v>
      </c>
      <c r="B27" s="130" t="s">
        <v>2</v>
      </c>
      <c r="C27" s="130" t="str">
        <f>C2&amp;"~"&amp;C3</f>
        <v>invcost~2020</v>
      </c>
      <c r="D27" s="130" t="str">
        <f t="shared" ref="D27:N27" si="1">D2&amp;"~"&amp;D3</f>
        <v>invcost~2030</v>
      </c>
      <c r="E27" s="130" t="str">
        <f t="shared" si="1"/>
        <v>invcost~2050</v>
      </c>
      <c r="F27" s="130" t="str">
        <f t="shared" si="1"/>
        <v>fixom~2020</v>
      </c>
      <c r="G27" s="130" t="str">
        <f t="shared" si="1"/>
        <v>fixom~2030</v>
      </c>
      <c r="H27" s="130" t="str">
        <f t="shared" si="1"/>
        <v>fixom~2050</v>
      </c>
      <c r="I27" s="130" t="str">
        <f t="shared" si="1"/>
        <v>input~GASNGA~2015</v>
      </c>
      <c r="J27" s="130" t="s">
        <v>115</v>
      </c>
      <c r="K27" s="130" t="str">
        <f t="shared" si="1"/>
        <v>input~GASNGA~2030</v>
      </c>
      <c r="L27" s="130" t="str">
        <f t="shared" si="1"/>
        <v>efficiency~2030</v>
      </c>
      <c r="M27" s="130" t="str">
        <f t="shared" si="1"/>
        <v>input~GASNGA~2050</v>
      </c>
      <c r="N27" s="130" t="str">
        <f t="shared" si="1"/>
        <v>efficiency~2050</v>
      </c>
      <c r="O27" s="130" t="s">
        <v>1</v>
      </c>
      <c r="P27" s="130" t="s">
        <v>52</v>
      </c>
      <c r="Q27" s="130" t="s">
        <v>111</v>
      </c>
      <c r="T27" s="130" t="s">
        <v>6</v>
      </c>
      <c r="U27" s="130" t="s">
        <v>1</v>
      </c>
      <c r="V27" s="130" t="s">
        <v>7</v>
      </c>
      <c r="W27" s="130" t="s">
        <v>49</v>
      </c>
      <c r="X27" s="130" t="s">
        <v>48</v>
      </c>
      <c r="Y27" s="130" t="s">
        <v>11</v>
      </c>
      <c r="Z27" s="130" t="s">
        <v>63</v>
      </c>
    </row>
    <row r="28" spans="1:26">
      <c r="A28" t="s">
        <v>33</v>
      </c>
      <c r="B28" t="s">
        <v>15</v>
      </c>
      <c r="C28" s="131">
        <f>C8</f>
        <v>1609.9999999999998</v>
      </c>
      <c r="D28" s="131">
        <f>D8</f>
        <v>740</v>
      </c>
      <c r="E28" s="132">
        <v>450</v>
      </c>
      <c r="F28" s="131">
        <f>F8</f>
        <v>49.000000000000007</v>
      </c>
      <c r="G28" s="131">
        <f>G8</f>
        <v>15</v>
      </c>
      <c r="H28" s="131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113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20</v>
      </c>
      <c r="Y28" t="s">
        <v>14</v>
      </c>
      <c r="Z28" t="s">
        <v>112</v>
      </c>
    </row>
    <row r="29" spans="1:26">
      <c r="A29" t="s">
        <v>33</v>
      </c>
      <c r="B29" t="s">
        <v>15</v>
      </c>
      <c r="C29" s="131">
        <f>C10</f>
        <v>1265</v>
      </c>
      <c r="D29" s="131">
        <f>D10</f>
        <v>600</v>
      </c>
      <c r="E29" s="132">
        <v>350</v>
      </c>
      <c r="F29" s="131">
        <f>F10</f>
        <v>28</v>
      </c>
      <c r="G29" s="131">
        <f>G10</f>
        <v>14</v>
      </c>
      <c r="H29" s="131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114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20</v>
      </c>
      <c r="Y29" t="s">
        <v>14</v>
      </c>
      <c r="Z29" t="s">
        <v>112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E523-E7AE-4E01-BBAD-88DEF4335B6A}">
  <dimension ref="B9:BD146"/>
  <sheetViews>
    <sheetView workbookViewId="0"/>
  </sheetViews>
  <sheetFormatPr defaultRowHeight="14.25"/>
  <sheetData>
    <row r="9" spans="2:56">
      <c r="B9" t="s">
        <v>138</v>
      </c>
      <c r="J9" t="s">
        <v>421</v>
      </c>
      <c r="O9" t="s">
        <v>138</v>
      </c>
      <c r="X9" t="s">
        <v>421</v>
      </c>
      <c r="AD9" t="s">
        <v>138</v>
      </c>
      <c r="AL9" t="s">
        <v>421</v>
      </c>
      <c r="AR9" t="s">
        <v>138</v>
      </c>
      <c r="AZ9" t="s">
        <v>421</v>
      </c>
    </row>
    <row r="10" spans="2:5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422</v>
      </c>
      <c r="L10" t="s">
        <v>423</v>
      </c>
      <c r="M10" t="s">
        <v>424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561</v>
      </c>
      <c r="U10" t="s">
        <v>144</v>
      </c>
      <c r="V10" t="s">
        <v>145</v>
      </c>
      <c r="X10" t="s">
        <v>140</v>
      </c>
      <c r="Y10" t="s">
        <v>837</v>
      </c>
      <c r="Z10" t="s">
        <v>422</v>
      </c>
      <c r="AA10" t="s">
        <v>115</v>
      </c>
      <c r="AB10" t="s">
        <v>838</v>
      </c>
      <c r="AD10" t="s">
        <v>139</v>
      </c>
      <c r="AE10" t="s">
        <v>140</v>
      </c>
      <c r="AF10" t="s">
        <v>141</v>
      </c>
      <c r="AG10" t="s">
        <v>142</v>
      </c>
      <c r="AH10" t="s">
        <v>143</v>
      </c>
      <c r="AI10" t="s">
        <v>144</v>
      </c>
      <c r="AJ10" t="s">
        <v>145</v>
      </c>
      <c r="AL10" t="s">
        <v>140</v>
      </c>
      <c r="AM10" t="s">
        <v>837</v>
      </c>
      <c r="AN10" t="s">
        <v>422</v>
      </c>
      <c r="AO10" t="s">
        <v>115</v>
      </c>
      <c r="AP10" t="s">
        <v>838</v>
      </c>
      <c r="AR10" t="s">
        <v>139</v>
      </c>
      <c r="AS10" t="s">
        <v>140</v>
      </c>
      <c r="AT10" t="s">
        <v>141</v>
      </c>
      <c r="AU10" t="s">
        <v>142</v>
      </c>
      <c r="AV10" t="s">
        <v>143</v>
      </c>
      <c r="AW10" t="s">
        <v>144</v>
      </c>
      <c r="AX10" t="s">
        <v>145</v>
      </c>
      <c r="AZ10" t="s">
        <v>140</v>
      </c>
      <c r="BA10" t="s">
        <v>837</v>
      </c>
      <c r="BB10" t="s">
        <v>422</v>
      </c>
      <c r="BC10" t="s">
        <v>115</v>
      </c>
      <c r="BD10" t="s">
        <v>838</v>
      </c>
    </row>
    <row r="11" spans="2:56">
      <c r="B11" t="s">
        <v>146</v>
      </c>
      <c r="C11" t="s">
        <v>147</v>
      </c>
      <c r="D11" t="s">
        <v>148</v>
      </c>
      <c r="E11" t="s">
        <v>10</v>
      </c>
      <c r="F11" t="s">
        <v>20</v>
      </c>
      <c r="G11" t="s">
        <v>149</v>
      </c>
      <c r="H11" t="s">
        <v>150</v>
      </c>
      <c r="J11" t="s">
        <v>147</v>
      </c>
      <c r="K11" t="s">
        <v>425</v>
      </c>
      <c r="L11">
        <v>16.326121507975579</v>
      </c>
      <c r="M11">
        <v>0.1229465940230161</v>
      </c>
      <c r="O11" t="s">
        <v>562</v>
      </c>
      <c r="P11" t="s">
        <v>563</v>
      </c>
      <c r="Q11" t="s">
        <v>564</v>
      </c>
      <c r="R11" t="s">
        <v>10</v>
      </c>
      <c r="S11" t="s">
        <v>20</v>
      </c>
      <c r="T11" t="s">
        <v>565</v>
      </c>
      <c r="U11" t="s">
        <v>566</v>
      </c>
      <c r="V11" t="s">
        <v>150</v>
      </c>
      <c r="X11" t="s">
        <v>563</v>
      </c>
      <c r="Y11" t="s">
        <v>456</v>
      </c>
      <c r="Z11" t="s">
        <v>839</v>
      </c>
      <c r="AA11">
        <v>0.98602445832668828</v>
      </c>
      <c r="AB11">
        <v>256.2182640107153</v>
      </c>
      <c r="AD11" t="s">
        <v>562</v>
      </c>
      <c r="AE11" t="s">
        <v>898</v>
      </c>
      <c r="AF11" t="s">
        <v>899</v>
      </c>
      <c r="AG11" t="s">
        <v>10</v>
      </c>
      <c r="AH11" t="s">
        <v>20</v>
      </c>
      <c r="AI11" t="s">
        <v>566</v>
      </c>
      <c r="AJ11" t="s">
        <v>150</v>
      </c>
      <c r="AL11" t="s">
        <v>898</v>
      </c>
      <c r="AM11" t="s">
        <v>1124</v>
      </c>
      <c r="AN11" t="s">
        <v>840</v>
      </c>
      <c r="AO11">
        <v>0.9864929875546109</v>
      </c>
      <c r="AP11">
        <v>247.62856149880113</v>
      </c>
      <c r="AR11" t="s">
        <v>562</v>
      </c>
      <c r="AS11" t="s">
        <v>1237</v>
      </c>
      <c r="AT11" t="s">
        <v>1238</v>
      </c>
      <c r="AU11" t="s">
        <v>10</v>
      </c>
      <c r="AV11" t="s">
        <v>20</v>
      </c>
      <c r="AW11" t="s">
        <v>566</v>
      </c>
      <c r="AX11" t="s">
        <v>150</v>
      </c>
      <c r="AZ11" t="s">
        <v>1237</v>
      </c>
      <c r="BA11" t="s">
        <v>1305</v>
      </c>
      <c r="BB11" t="s">
        <v>892</v>
      </c>
      <c r="BC11">
        <v>0.97775230782134392</v>
      </c>
      <c r="BD11">
        <v>657.18597334173887</v>
      </c>
    </row>
    <row r="12" spans="2:56">
      <c r="B12" t="s">
        <v>146</v>
      </c>
      <c r="C12" t="s">
        <v>151</v>
      </c>
      <c r="D12" t="s">
        <v>152</v>
      </c>
      <c r="E12" t="s">
        <v>10</v>
      </c>
      <c r="F12" t="s">
        <v>20</v>
      </c>
      <c r="G12" t="s">
        <v>149</v>
      </c>
      <c r="H12" t="s">
        <v>150</v>
      </c>
      <c r="J12" t="s">
        <v>151</v>
      </c>
      <c r="K12" t="s">
        <v>426</v>
      </c>
      <c r="L12">
        <v>16.894848509036667</v>
      </c>
      <c r="M12">
        <v>0.16009160094196656</v>
      </c>
      <c r="O12" t="s">
        <v>562</v>
      </c>
      <c r="P12" t="s">
        <v>567</v>
      </c>
      <c r="Q12" t="s">
        <v>568</v>
      </c>
      <c r="R12" t="s">
        <v>10</v>
      </c>
      <c r="S12" t="s">
        <v>20</v>
      </c>
      <c r="T12" t="s">
        <v>565</v>
      </c>
      <c r="U12" t="s">
        <v>566</v>
      </c>
      <c r="V12" t="s">
        <v>150</v>
      </c>
      <c r="X12" t="s">
        <v>567</v>
      </c>
      <c r="Y12" t="s">
        <v>470</v>
      </c>
      <c r="Z12" t="s">
        <v>840</v>
      </c>
      <c r="AA12">
        <v>0.98274955259938535</v>
      </c>
      <c r="AB12">
        <v>316.25820234460127</v>
      </c>
      <c r="AD12" t="s">
        <v>562</v>
      </c>
      <c r="AE12" t="s">
        <v>900</v>
      </c>
      <c r="AF12" t="s">
        <v>901</v>
      </c>
      <c r="AG12" t="s">
        <v>10</v>
      </c>
      <c r="AH12" t="s">
        <v>20</v>
      </c>
      <c r="AI12" t="s">
        <v>566</v>
      </c>
      <c r="AJ12" t="s">
        <v>150</v>
      </c>
      <c r="AL12" t="s">
        <v>900</v>
      </c>
      <c r="AM12" t="s">
        <v>1125</v>
      </c>
      <c r="AN12" t="s">
        <v>861</v>
      </c>
      <c r="AO12">
        <v>0.99214368255188645</v>
      </c>
      <c r="AP12">
        <v>144.03248654874827</v>
      </c>
      <c r="AR12" t="s">
        <v>562</v>
      </c>
      <c r="AS12" t="s">
        <v>1239</v>
      </c>
      <c r="AT12" t="s">
        <v>1240</v>
      </c>
      <c r="AU12" t="s">
        <v>10</v>
      </c>
      <c r="AV12" t="s">
        <v>20</v>
      </c>
      <c r="AW12" t="s">
        <v>566</v>
      </c>
      <c r="AX12" t="s">
        <v>150</v>
      </c>
      <c r="AZ12" t="s">
        <v>1239</v>
      </c>
      <c r="BA12" t="s">
        <v>1306</v>
      </c>
      <c r="BB12" t="s">
        <v>876</v>
      </c>
      <c r="BC12">
        <v>0.97884476097844741</v>
      </c>
      <c r="BD12">
        <v>648.57380095323958</v>
      </c>
    </row>
    <row r="13" spans="2:56">
      <c r="B13" t="s">
        <v>146</v>
      </c>
      <c r="C13" t="s">
        <v>153</v>
      </c>
      <c r="D13" t="s">
        <v>154</v>
      </c>
      <c r="E13" t="s">
        <v>10</v>
      </c>
      <c r="F13" t="s">
        <v>20</v>
      </c>
      <c r="G13" t="s">
        <v>149</v>
      </c>
      <c r="H13" t="s">
        <v>150</v>
      </c>
      <c r="J13" t="s">
        <v>153</v>
      </c>
      <c r="K13" t="s">
        <v>427</v>
      </c>
      <c r="L13">
        <v>38.51076258367214</v>
      </c>
      <c r="M13">
        <v>0.16486475728216901</v>
      </c>
      <c r="O13" t="s">
        <v>562</v>
      </c>
      <c r="P13" t="s">
        <v>569</v>
      </c>
      <c r="Q13" t="s">
        <v>570</v>
      </c>
      <c r="R13" t="s">
        <v>10</v>
      </c>
      <c r="S13" t="s">
        <v>20</v>
      </c>
      <c r="T13" t="s">
        <v>565</v>
      </c>
      <c r="U13" t="s">
        <v>566</v>
      </c>
      <c r="V13" t="s">
        <v>150</v>
      </c>
      <c r="X13" t="s">
        <v>569</v>
      </c>
      <c r="Y13" t="s">
        <v>491</v>
      </c>
      <c r="Z13" t="s">
        <v>841</v>
      </c>
      <c r="AA13">
        <v>0.99368873088044474</v>
      </c>
      <c r="AB13">
        <v>115.70660052517967</v>
      </c>
      <c r="AD13" t="s">
        <v>562</v>
      </c>
      <c r="AE13" t="s">
        <v>902</v>
      </c>
      <c r="AF13" t="s">
        <v>903</v>
      </c>
      <c r="AG13" t="s">
        <v>10</v>
      </c>
      <c r="AH13" t="s">
        <v>20</v>
      </c>
      <c r="AI13" t="s">
        <v>566</v>
      </c>
      <c r="AJ13" t="s">
        <v>150</v>
      </c>
      <c r="AL13" t="s">
        <v>902</v>
      </c>
      <c r="AM13" t="s">
        <v>1126</v>
      </c>
      <c r="AN13" t="s">
        <v>847</v>
      </c>
      <c r="AO13">
        <v>0.9928290104176094</v>
      </c>
      <c r="AP13">
        <v>131.46814234382811</v>
      </c>
      <c r="AR13" t="s">
        <v>562</v>
      </c>
      <c r="AS13" t="s">
        <v>1241</v>
      </c>
      <c r="AT13" t="s">
        <v>1242</v>
      </c>
      <c r="AU13" t="s">
        <v>10</v>
      </c>
      <c r="AV13" t="s">
        <v>20</v>
      </c>
      <c r="AW13" t="s">
        <v>566</v>
      </c>
      <c r="AX13" t="s">
        <v>150</v>
      </c>
      <c r="AZ13" t="s">
        <v>1241</v>
      </c>
      <c r="BA13" t="s">
        <v>1307</v>
      </c>
      <c r="BB13" t="s">
        <v>880</v>
      </c>
      <c r="BC13">
        <v>0.98475443499607906</v>
      </c>
      <c r="BD13">
        <v>601.9858707809102</v>
      </c>
    </row>
    <row r="14" spans="2:56">
      <c r="B14" t="s">
        <v>146</v>
      </c>
      <c r="C14" t="s">
        <v>155</v>
      </c>
      <c r="D14" t="s">
        <v>156</v>
      </c>
      <c r="E14" t="s">
        <v>10</v>
      </c>
      <c r="F14" t="s">
        <v>20</v>
      </c>
      <c r="G14" t="s">
        <v>149</v>
      </c>
      <c r="H14" t="s">
        <v>150</v>
      </c>
      <c r="J14" t="s">
        <v>155</v>
      </c>
      <c r="K14" t="s">
        <v>428</v>
      </c>
      <c r="L14">
        <v>32.756401132973103</v>
      </c>
      <c r="M14">
        <v>0.16294050913535879</v>
      </c>
      <c r="O14" t="s">
        <v>562</v>
      </c>
      <c r="P14" t="s">
        <v>571</v>
      </c>
      <c r="Q14" t="s">
        <v>572</v>
      </c>
      <c r="R14" t="s">
        <v>10</v>
      </c>
      <c r="S14" t="s">
        <v>20</v>
      </c>
      <c r="T14" t="s">
        <v>565</v>
      </c>
      <c r="U14" t="s">
        <v>566</v>
      </c>
      <c r="V14" t="s">
        <v>150</v>
      </c>
      <c r="X14" t="s">
        <v>571</v>
      </c>
      <c r="Y14" t="s">
        <v>492</v>
      </c>
      <c r="Z14" t="s">
        <v>841</v>
      </c>
      <c r="AA14">
        <v>0.99323001255738197</v>
      </c>
      <c r="AB14">
        <v>124.11643644799697</v>
      </c>
      <c r="AD14" t="s">
        <v>562</v>
      </c>
      <c r="AE14" t="s">
        <v>904</v>
      </c>
      <c r="AF14" t="s">
        <v>905</v>
      </c>
      <c r="AG14" t="s">
        <v>10</v>
      </c>
      <c r="AH14" t="s">
        <v>20</v>
      </c>
      <c r="AI14" t="s">
        <v>566</v>
      </c>
      <c r="AJ14" t="s">
        <v>150</v>
      </c>
      <c r="AL14" t="s">
        <v>904</v>
      </c>
      <c r="AM14" t="s">
        <v>1127</v>
      </c>
      <c r="AN14" t="s">
        <v>887</v>
      </c>
      <c r="AO14">
        <v>0.97791499844986385</v>
      </c>
      <c r="AP14">
        <v>404.89169508582842</v>
      </c>
      <c r="AR14" t="s">
        <v>562</v>
      </c>
      <c r="AS14" t="s">
        <v>1243</v>
      </c>
      <c r="AT14" t="s">
        <v>1244</v>
      </c>
      <c r="AU14" t="s">
        <v>10</v>
      </c>
      <c r="AV14" t="s">
        <v>20</v>
      </c>
      <c r="AW14" t="s">
        <v>566</v>
      </c>
      <c r="AX14" t="s">
        <v>150</v>
      </c>
      <c r="AZ14" t="s">
        <v>1243</v>
      </c>
      <c r="BA14" t="s">
        <v>1308</v>
      </c>
      <c r="BB14" t="s">
        <v>892</v>
      </c>
      <c r="BC14">
        <v>0.98556171669906312</v>
      </c>
      <c r="BD14">
        <v>595.62180002238608</v>
      </c>
    </row>
    <row r="15" spans="2:56">
      <c r="B15" t="s">
        <v>146</v>
      </c>
      <c r="C15" t="s">
        <v>157</v>
      </c>
      <c r="D15" t="s">
        <v>158</v>
      </c>
      <c r="E15" t="s">
        <v>10</v>
      </c>
      <c r="F15" t="s">
        <v>20</v>
      </c>
      <c r="G15" t="s">
        <v>149</v>
      </c>
      <c r="H15" t="s">
        <v>150</v>
      </c>
      <c r="J15" t="s">
        <v>157</v>
      </c>
      <c r="K15" t="s">
        <v>429</v>
      </c>
      <c r="L15">
        <v>22.163978201882653</v>
      </c>
      <c r="M15">
        <v>0.13427360044080491</v>
      </c>
      <c r="O15" t="s">
        <v>562</v>
      </c>
      <c r="P15" t="s">
        <v>573</v>
      </c>
      <c r="Q15" t="s">
        <v>574</v>
      </c>
      <c r="R15" t="s">
        <v>10</v>
      </c>
      <c r="S15" t="s">
        <v>20</v>
      </c>
      <c r="T15" t="s">
        <v>565</v>
      </c>
      <c r="U15" t="s">
        <v>566</v>
      </c>
      <c r="V15" t="s">
        <v>150</v>
      </c>
      <c r="X15" t="s">
        <v>573</v>
      </c>
      <c r="Y15" t="s">
        <v>508</v>
      </c>
      <c r="Z15" t="s">
        <v>842</v>
      </c>
      <c r="AA15">
        <v>0.99148244782956252</v>
      </c>
      <c r="AB15">
        <v>156.15512312468667</v>
      </c>
      <c r="AD15" t="s">
        <v>562</v>
      </c>
      <c r="AE15" t="s">
        <v>906</v>
      </c>
      <c r="AF15" t="s">
        <v>907</v>
      </c>
      <c r="AG15" t="s">
        <v>10</v>
      </c>
      <c r="AH15" t="s">
        <v>20</v>
      </c>
      <c r="AI15" t="s">
        <v>566</v>
      </c>
      <c r="AJ15" t="s">
        <v>150</v>
      </c>
      <c r="AL15" t="s">
        <v>906</v>
      </c>
      <c r="AM15" t="s">
        <v>1128</v>
      </c>
      <c r="AN15" t="s">
        <v>873</v>
      </c>
      <c r="AO15">
        <v>0.977944947494224</v>
      </c>
      <c r="AP15">
        <v>404.34262927256032</v>
      </c>
      <c r="AR15" t="s">
        <v>562</v>
      </c>
      <c r="AS15" t="s">
        <v>1245</v>
      </c>
      <c r="AT15" t="s">
        <v>1246</v>
      </c>
      <c r="AU15" t="s">
        <v>10</v>
      </c>
      <c r="AV15" t="s">
        <v>20</v>
      </c>
      <c r="AW15" t="s">
        <v>566</v>
      </c>
      <c r="AX15" t="s">
        <v>150</v>
      </c>
      <c r="AZ15" t="s">
        <v>1245</v>
      </c>
      <c r="BA15" t="s">
        <v>1309</v>
      </c>
      <c r="BB15" t="s">
        <v>860</v>
      </c>
      <c r="BC15">
        <v>0.99041503856315227</v>
      </c>
      <c r="BD15">
        <v>557.36144599381669</v>
      </c>
    </row>
    <row r="16" spans="2:56">
      <c r="B16" t="s">
        <v>146</v>
      </c>
      <c r="C16" t="s">
        <v>159</v>
      </c>
      <c r="D16" t="s">
        <v>160</v>
      </c>
      <c r="E16" t="s">
        <v>10</v>
      </c>
      <c r="F16" t="s">
        <v>20</v>
      </c>
      <c r="G16" t="s">
        <v>149</v>
      </c>
      <c r="H16" t="s">
        <v>150</v>
      </c>
      <c r="J16" t="s">
        <v>159</v>
      </c>
      <c r="K16" t="s">
        <v>430</v>
      </c>
      <c r="L16">
        <v>24.492433485317612</v>
      </c>
      <c r="M16">
        <v>0.13769771275903533</v>
      </c>
      <c r="O16" t="s">
        <v>562</v>
      </c>
      <c r="P16" t="s">
        <v>575</v>
      </c>
      <c r="Q16" t="s">
        <v>576</v>
      </c>
      <c r="R16" t="s">
        <v>10</v>
      </c>
      <c r="S16" t="s">
        <v>20</v>
      </c>
      <c r="T16" t="s">
        <v>565</v>
      </c>
      <c r="U16" t="s">
        <v>566</v>
      </c>
      <c r="V16" t="s">
        <v>150</v>
      </c>
      <c r="X16" t="s">
        <v>575</v>
      </c>
      <c r="Y16" t="s">
        <v>530</v>
      </c>
      <c r="Z16" t="s">
        <v>843</v>
      </c>
      <c r="AA16">
        <v>0.96906520826310416</v>
      </c>
      <c r="AB16">
        <v>567.13784850975708</v>
      </c>
      <c r="AD16" t="s">
        <v>562</v>
      </c>
      <c r="AE16" t="s">
        <v>908</v>
      </c>
      <c r="AF16" t="s">
        <v>909</v>
      </c>
      <c r="AG16" t="s">
        <v>10</v>
      </c>
      <c r="AH16" t="s">
        <v>20</v>
      </c>
      <c r="AI16" t="s">
        <v>566</v>
      </c>
      <c r="AJ16" t="s">
        <v>150</v>
      </c>
      <c r="AL16" t="s">
        <v>908</v>
      </c>
      <c r="AM16" t="s">
        <v>1129</v>
      </c>
      <c r="AN16" t="s">
        <v>897</v>
      </c>
      <c r="AO16">
        <v>0.99502057695725243</v>
      </c>
      <c r="AP16">
        <v>91.289422450372911</v>
      </c>
      <c r="AR16" t="s">
        <v>562</v>
      </c>
      <c r="AS16" t="s">
        <v>1247</v>
      </c>
      <c r="AT16" t="s">
        <v>1248</v>
      </c>
      <c r="AU16" t="s">
        <v>10</v>
      </c>
      <c r="AV16" t="s">
        <v>20</v>
      </c>
      <c r="AW16" t="s">
        <v>566</v>
      </c>
      <c r="AX16" t="s">
        <v>150</v>
      </c>
      <c r="AZ16" t="s">
        <v>1247</v>
      </c>
      <c r="BA16" t="s">
        <v>1310</v>
      </c>
      <c r="BB16" t="s">
        <v>860</v>
      </c>
      <c r="BC16">
        <v>0.98222546540109945</v>
      </c>
      <c r="BD16">
        <v>621.92258108799922</v>
      </c>
    </row>
    <row r="17" spans="2:56">
      <c r="B17" t="s">
        <v>146</v>
      </c>
      <c r="C17" t="s">
        <v>161</v>
      </c>
      <c r="D17" t="s">
        <v>162</v>
      </c>
      <c r="E17" t="s">
        <v>10</v>
      </c>
      <c r="F17" t="s">
        <v>20</v>
      </c>
      <c r="G17" t="s">
        <v>149</v>
      </c>
      <c r="H17" t="s">
        <v>150</v>
      </c>
      <c r="J17" t="s">
        <v>161</v>
      </c>
      <c r="K17" t="s">
        <v>431</v>
      </c>
      <c r="L17">
        <v>20.459211452540771</v>
      </c>
      <c r="M17">
        <v>0.12728266825764803</v>
      </c>
      <c r="O17" t="s">
        <v>562</v>
      </c>
      <c r="P17" t="s">
        <v>577</v>
      </c>
      <c r="Q17" t="s">
        <v>578</v>
      </c>
      <c r="R17" t="s">
        <v>10</v>
      </c>
      <c r="S17" t="s">
        <v>20</v>
      </c>
      <c r="T17" t="s">
        <v>565</v>
      </c>
      <c r="U17" t="s">
        <v>566</v>
      </c>
      <c r="V17" t="s">
        <v>150</v>
      </c>
      <c r="X17" t="s">
        <v>577</v>
      </c>
      <c r="Y17" t="s">
        <v>436</v>
      </c>
      <c r="Z17" t="s">
        <v>844</v>
      </c>
      <c r="AA17">
        <v>0.98213469589758429</v>
      </c>
      <c r="AB17">
        <v>327.53057521095576</v>
      </c>
      <c r="AD17" t="s">
        <v>562</v>
      </c>
      <c r="AE17" t="s">
        <v>910</v>
      </c>
      <c r="AF17" t="s">
        <v>911</v>
      </c>
      <c r="AG17" t="s">
        <v>10</v>
      </c>
      <c r="AH17" t="s">
        <v>20</v>
      </c>
      <c r="AI17" t="s">
        <v>566</v>
      </c>
      <c r="AJ17" t="s">
        <v>150</v>
      </c>
      <c r="AL17" t="s">
        <v>910</v>
      </c>
      <c r="AM17" t="s">
        <v>1130</v>
      </c>
      <c r="AN17" t="s">
        <v>843</v>
      </c>
      <c r="AO17">
        <v>0.9742069477253853</v>
      </c>
      <c r="AP17">
        <v>472.87262503460209</v>
      </c>
      <c r="AR17" t="s">
        <v>562</v>
      </c>
      <c r="AS17" t="s">
        <v>1249</v>
      </c>
      <c r="AT17" t="s">
        <v>1250</v>
      </c>
      <c r="AU17" t="s">
        <v>10</v>
      </c>
      <c r="AV17" t="s">
        <v>20</v>
      </c>
      <c r="AW17" t="s">
        <v>566</v>
      </c>
      <c r="AX17" t="s">
        <v>150</v>
      </c>
      <c r="AZ17" t="s">
        <v>1249</v>
      </c>
      <c r="BA17" t="s">
        <v>1311</v>
      </c>
      <c r="BB17" t="s">
        <v>883</v>
      </c>
      <c r="BC17">
        <v>0.90514503736235263</v>
      </c>
      <c r="BD17">
        <v>1229.5732887934535</v>
      </c>
    </row>
    <row r="18" spans="2:56">
      <c r="B18" t="s">
        <v>146</v>
      </c>
      <c r="C18" t="s">
        <v>163</v>
      </c>
      <c r="D18" t="s">
        <v>164</v>
      </c>
      <c r="E18" t="s">
        <v>10</v>
      </c>
      <c r="F18" t="s">
        <v>20</v>
      </c>
      <c r="G18" t="s">
        <v>149</v>
      </c>
      <c r="H18" t="s">
        <v>150</v>
      </c>
      <c r="J18" t="s">
        <v>163</v>
      </c>
      <c r="K18" t="s">
        <v>432</v>
      </c>
      <c r="L18">
        <v>43.140126160153073</v>
      </c>
      <c r="M18">
        <v>0.13873385970033267</v>
      </c>
      <c r="O18" t="s">
        <v>562</v>
      </c>
      <c r="P18" t="s">
        <v>579</v>
      </c>
      <c r="Q18" t="s">
        <v>580</v>
      </c>
      <c r="R18" t="s">
        <v>10</v>
      </c>
      <c r="S18" t="s">
        <v>20</v>
      </c>
      <c r="T18" t="s">
        <v>565</v>
      </c>
      <c r="U18" t="s">
        <v>566</v>
      </c>
      <c r="V18" t="s">
        <v>150</v>
      </c>
      <c r="X18" t="s">
        <v>579</v>
      </c>
      <c r="Y18" t="s">
        <v>439</v>
      </c>
      <c r="Z18" t="s">
        <v>844</v>
      </c>
      <c r="AA18">
        <v>0.98161750782838286</v>
      </c>
      <c r="AB18">
        <v>337.01235647964734</v>
      </c>
      <c r="AD18" t="s">
        <v>562</v>
      </c>
      <c r="AE18" t="s">
        <v>912</v>
      </c>
      <c r="AF18" t="s">
        <v>913</v>
      </c>
      <c r="AG18" t="s">
        <v>10</v>
      </c>
      <c r="AH18" t="s">
        <v>20</v>
      </c>
      <c r="AI18" t="s">
        <v>566</v>
      </c>
      <c r="AJ18" t="s">
        <v>150</v>
      </c>
      <c r="AL18" t="s">
        <v>912</v>
      </c>
      <c r="AM18" t="s">
        <v>1131</v>
      </c>
      <c r="AN18" t="s">
        <v>893</v>
      </c>
      <c r="AO18">
        <v>0.99090442938878043</v>
      </c>
      <c r="AP18">
        <v>166.75212787235887</v>
      </c>
      <c r="AR18" t="s">
        <v>562</v>
      </c>
      <c r="AS18" t="s">
        <v>1251</v>
      </c>
      <c r="AT18" t="s">
        <v>1252</v>
      </c>
      <c r="AU18" t="s">
        <v>10</v>
      </c>
      <c r="AV18" t="s">
        <v>20</v>
      </c>
      <c r="AW18" t="s">
        <v>566</v>
      </c>
      <c r="AX18" t="s">
        <v>150</v>
      </c>
      <c r="AZ18" t="s">
        <v>1251</v>
      </c>
      <c r="BA18" t="s">
        <v>1312</v>
      </c>
      <c r="BB18" t="s">
        <v>880</v>
      </c>
      <c r="BC18">
        <v>0.99613925038938234</v>
      </c>
      <c r="BD18">
        <v>322.44811734269933</v>
      </c>
    </row>
    <row r="19" spans="2:56">
      <c r="B19" t="s">
        <v>146</v>
      </c>
      <c r="C19" t="s">
        <v>165</v>
      </c>
      <c r="D19" t="s">
        <v>166</v>
      </c>
      <c r="E19" t="s">
        <v>10</v>
      </c>
      <c r="F19" t="s">
        <v>20</v>
      </c>
      <c r="G19" t="s">
        <v>149</v>
      </c>
      <c r="H19" t="s">
        <v>150</v>
      </c>
      <c r="J19" t="s">
        <v>165</v>
      </c>
      <c r="K19" t="s">
        <v>433</v>
      </c>
      <c r="L19">
        <v>26.068386180825652</v>
      </c>
      <c r="M19">
        <v>0.1252243834403805</v>
      </c>
      <c r="O19" t="s">
        <v>562</v>
      </c>
      <c r="P19" t="s">
        <v>581</v>
      </c>
      <c r="Q19" t="s">
        <v>582</v>
      </c>
      <c r="R19" t="s">
        <v>10</v>
      </c>
      <c r="S19" t="s">
        <v>20</v>
      </c>
      <c r="T19" t="s">
        <v>565</v>
      </c>
      <c r="U19" t="s">
        <v>566</v>
      </c>
      <c r="V19" t="s">
        <v>150</v>
      </c>
      <c r="X19" t="s">
        <v>581</v>
      </c>
      <c r="Y19" t="s">
        <v>442</v>
      </c>
      <c r="Z19" t="s">
        <v>845</v>
      </c>
      <c r="AA19">
        <v>0.98975592846808447</v>
      </c>
      <c r="AB19">
        <v>187.80797808511727</v>
      </c>
      <c r="AD19" t="s">
        <v>562</v>
      </c>
      <c r="AE19" t="s">
        <v>914</v>
      </c>
      <c r="AF19" t="s">
        <v>915</v>
      </c>
      <c r="AG19" t="s">
        <v>10</v>
      </c>
      <c r="AH19" t="s">
        <v>20</v>
      </c>
      <c r="AI19" t="s">
        <v>566</v>
      </c>
      <c r="AJ19" t="s">
        <v>150</v>
      </c>
      <c r="AL19" t="s">
        <v>914</v>
      </c>
      <c r="AM19" t="s">
        <v>1132</v>
      </c>
      <c r="AN19" t="s">
        <v>851</v>
      </c>
      <c r="AO19">
        <v>0.99222882711684135</v>
      </c>
      <c r="AP19">
        <v>142.4715028579086</v>
      </c>
      <c r="AR19" t="s">
        <v>562</v>
      </c>
      <c r="AS19" t="s">
        <v>1253</v>
      </c>
      <c r="AT19" t="s">
        <v>1254</v>
      </c>
      <c r="AU19" t="s">
        <v>10</v>
      </c>
      <c r="AV19" t="s">
        <v>20</v>
      </c>
      <c r="AW19" t="s">
        <v>566</v>
      </c>
      <c r="AX19" t="s">
        <v>150</v>
      </c>
      <c r="AZ19" t="s">
        <v>1253</v>
      </c>
      <c r="BA19" t="s">
        <v>1313</v>
      </c>
      <c r="BB19" t="s">
        <v>880</v>
      </c>
      <c r="BC19">
        <v>0.97671054233736465</v>
      </c>
      <c r="BD19">
        <v>665.39855790710828</v>
      </c>
    </row>
    <row r="20" spans="2:56">
      <c r="B20" t="s">
        <v>146</v>
      </c>
      <c r="C20" t="s">
        <v>167</v>
      </c>
      <c r="D20" t="s">
        <v>168</v>
      </c>
      <c r="E20" t="s">
        <v>10</v>
      </c>
      <c r="F20" t="s">
        <v>20</v>
      </c>
      <c r="G20" t="s">
        <v>149</v>
      </c>
      <c r="H20" t="s">
        <v>150</v>
      </c>
      <c r="J20" t="s">
        <v>167</v>
      </c>
      <c r="K20" t="s">
        <v>434</v>
      </c>
      <c r="L20">
        <v>17.260465587132117</v>
      </c>
      <c r="M20">
        <v>0.18432319413260231</v>
      </c>
      <c r="O20" t="s">
        <v>562</v>
      </c>
      <c r="P20" t="s">
        <v>583</v>
      </c>
      <c r="Q20" t="s">
        <v>584</v>
      </c>
      <c r="R20" t="s">
        <v>10</v>
      </c>
      <c r="S20" t="s">
        <v>20</v>
      </c>
      <c r="T20" t="s">
        <v>565</v>
      </c>
      <c r="U20" t="s">
        <v>566</v>
      </c>
      <c r="V20" t="s">
        <v>150</v>
      </c>
      <c r="X20" t="s">
        <v>583</v>
      </c>
      <c r="Y20" t="s">
        <v>480</v>
      </c>
      <c r="Z20" t="s">
        <v>846</v>
      </c>
      <c r="AA20">
        <v>0.97312873356481211</v>
      </c>
      <c r="AB20">
        <v>492.63988464511067</v>
      </c>
      <c r="AD20" t="s">
        <v>562</v>
      </c>
      <c r="AE20" t="s">
        <v>916</v>
      </c>
      <c r="AF20" t="s">
        <v>917</v>
      </c>
      <c r="AG20" t="s">
        <v>10</v>
      </c>
      <c r="AH20" t="s">
        <v>20</v>
      </c>
      <c r="AI20" t="s">
        <v>566</v>
      </c>
      <c r="AJ20" t="s">
        <v>150</v>
      </c>
      <c r="AL20" t="s">
        <v>916</v>
      </c>
      <c r="AM20" t="s">
        <v>1133</v>
      </c>
      <c r="AN20" t="s">
        <v>881</v>
      </c>
      <c r="AO20">
        <v>0.99518979370471228</v>
      </c>
      <c r="AP20">
        <v>88.187115413608197</v>
      </c>
      <c r="AR20" t="s">
        <v>562</v>
      </c>
      <c r="AS20" t="s">
        <v>1255</v>
      </c>
      <c r="AT20" t="s">
        <v>1256</v>
      </c>
      <c r="AU20" t="s">
        <v>10</v>
      </c>
      <c r="AV20" t="s">
        <v>20</v>
      </c>
      <c r="AW20" t="s">
        <v>566</v>
      </c>
      <c r="AX20" t="s">
        <v>150</v>
      </c>
      <c r="AZ20" t="s">
        <v>1255</v>
      </c>
      <c r="BA20" t="s">
        <v>1314</v>
      </c>
      <c r="BB20" t="s">
        <v>856</v>
      </c>
      <c r="BC20">
        <v>0.9808842004636289</v>
      </c>
      <c r="BD20">
        <v>632.49621967839255</v>
      </c>
    </row>
    <row r="21" spans="2:56">
      <c r="B21" t="s">
        <v>146</v>
      </c>
      <c r="C21" t="s">
        <v>169</v>
      </c>
      <c r="D21" t="s">
        <v>170</v>
      </c>
      <c r="E21" t="s">
        <v>10</v>
      </c>
      <c r="F21" t="s">
        <v>20</v>
      </c>
      <c r="G21" t="s">
        <v>149</v>
      </c>
      <c r="H21" t="s">
        <v>150</v>
      </c>
      <c r="J21" t="s">
        <v>169</v>
      </c>
      <c r="K21" t="s">
        <v>435</v>
      </c>
      <c r="L21">
        <v>82.472627878638562</v>
      </c>
      <c r="M21">
        <v>0.12544054375182412</v>
      </c>
      <c r="O21" t="s">
        <v>562</v>
      </c>
      <c r="P21" t="s">
        <v>585</v>
      </c>
      <c r="Q21" t="s">
        <v>586</v>
      </c>
      <c r="R21" t="s">
        <v>10</v>
      </c>
      <c r="S21" t="s">
        <v>20</v>
      </c>
      <c r="T21" t="s">
        <v>565</v>
      </c>
      <c r="U21" t="s">
        <v>566</v>
      </c>
      <c r="V21" t="s">
        <v>150</v>
      </c>
      <c r="X21" t="s">
        <v>585</v>
      </c>
      <c r="Y21" t="s">
        <v>488</v>
      </c>
      <c r="Z21" t="s">
        <v>847</v>
      </c>
      <c r="AA21">
        <v>0.98977266598403368</v>
      </c>
      <c r="AB21">
        <v>187.50112362604992</v>
      </c>
      <c r="AD21" t="s">
        <v>562</v>
      </c>
      <c r="AE21" t="s">
        <v>918</v>
      </c>
      <c r="AF21" t="s">
        <v>919</v>
      </c>
      <c r="AG21" t="s">
        <v>10</v>
      </c>
      <c r="AH21" t="s">
        <v>20</v>
      </c>
      <c r="AI21" t="s">
        <v>566</v>
      </c>
      <c r="AJ21" t="s">
        <v>150</v>
      </c>
      <c r="AL21" t="s">
        <v>918</v>
      </c>
      <c r="AM21" t="s">
        <v>1134</v>
      </c>
      <c r="AN21" t="s">
        <v>845</v>
      </c>
      <c r="AO21">
        <v>0.99193701535303302</v>
      </c>
      <c r="AP21">
        <v>147.82138519439451</v>
      </c>
      <c r="AR21" t="s">
        <v>562</v>
      </c>
      <c r="AS21" t="s">
        <v>1257</v>
      </c>
      <c r="AT21" t="s">
        <v>1258</v>
      </c>
      <c r="AU21" t="s">
        <v>10</v>
      </c>
      <c r="AV21" t="s">
        <v>20</v>
      </c>
      <c r="AW21" t="s">
        <v>566</v>
      </c>
      <c r="AX21" t="s">
        <v>150</v>
      </c>
      <c r="AZ21" t="s">
        <v>1257</v>
      </c>
      <c r="BA21" t="s">
        <v>1315</v>
      </c>
      <c r="BB21" t="s">
        <v>883</v>
      </c>
      <c r="BC21">
        <v>0.97529697423998973</v>
      </c>
      <c r="BD21">
        <v>676.54218640808119</v>
      </c>
    </row>
    <row r="22" spans="2:56">
      <c r="B22" t="s">
        <v>146</v>
      </c>
      <c r="C22" t="s">
        <v>171</v>
      </c>
      <c r="D22" t="s">
        <v>172</v>
      </c>
      <c r="E22" t="s">
        <v>10</v>
      </c>
      <c r="F22" t="s">
        <v>20</v>
      </c>
      <c r="G22" t="s">
        <v>149</v>
      </c>
      <c r="H22" t="s">
        <v>150</v>
      </c>
      <c r="J22" t="s">
        <v>171</v>
      </c>
      <c r="K22" t="s">
        <v>436</v>
      </c>
      <c r="L22">
        <v>54.210324671716634</v>
      </c>
      <c r="M22">
        <v>0.14278697604292143</v>
      </c>
      <c r="O22" t="s">
        <v>562</v>
      </c>
      <c r="P22" t="s">
        <v>587</v>
      </c>
      <c r="Q22" t="s">
        <v>588</v>
      </c>
      <c r="R22" t="s">
        <v>10</v>
      </c>
      <c r="S22" t="s">
        <v>20</v>
      </c>
      <c r="T22" t="s">
        <v>565</v>
      </c>
      <c r="U22" t="s">
        <v>566</v>
      </c>
      <c r="V22" t="s">
        <v>150</v>
      </c>
      <c r="X22" t="s">
        <v>587</v>
      </c>
      <c r="Y22" t="s">
        <v>499</v>
      </c>
      <c r="Z22" t="s">
        <v>848</v>
      </c>
      <c r="AA22">
        <v>0.99537444599393454</v>
      </c>
      <c r="AB22">
        <v>84.801823444534008</v>
      </c>
      <c r="AD22" t="s">
        <v>562</v>
      </c>
      <c r="AE22" t="s">
        <v>920</v>
      </c>
      <c r="AF22" t="s">
        <v>921</v>
      </c>
      <c r="AG22" t="s">
        <v>10</v>
      </c>
      <c r="AH22" t="s">
        <v>20</v>
      </c>
      <c r="AI22" t="s">
        <v>566</v>
      </c>
      <c r="AJ22" t="s">
        <v>150</v>
      </c>
      <c r="AL22" t="s">
        <v>920</v>
      </c>
      <c r="AM22" t="s">
        <v>1135</v>
      </c>
      <c r="AN22" t="s">
        <v>852</v>
      </c>
      <c r="AO22">
        <v>0.98119061265866536</v>
      </c>
      <c r="AP22">
        <v>344.8387679244683</v>
      </c>
      <c r="AR22" t="s">
        <v>562</v>
      </c>
      <c r="AS22" t="s">
        <v>1259</v>
      </c>
      <c r="AT22" t="s">
        <v>1260</v>
      </c>
      <c r="AU22" t="s">
        <v>10</v>
      </c>
      <c r="AV22" t="s">
        <v>20</v>
      </c>
      <c r="AW22" t="s">
        <v>566</v>
      </c>
      <c r="AX22" t="s">
        <v>150</v>
      </c>
      <c r="AZ22" t="s">
        <v>1259</v>
      </c>
      <c r="BA22" t="s">
        <v>1316</v>
      </c>
      <c r="BB22" t="s">
        <v>876</v>
      </c>
      <c r="BC22">
        <v>0.97543237988175824</v>
      </c>
      <c r="BD22">
        <v>675.47473859880586</v>
      </c>
    </row>
    <row r="23" spans="2:56">
      <c r="B23" t="s">
        <v>146</v>
      </c>
      <c r="C23" t="s">
        <v>173</v>
      </c>
      <c r="D23" t="s">
        <v>174</v>
      </c>
      <c r="E23" t="s">
        <v>10</v>
      </c>
      <c r="F23" t="s">
        <v>20</v>
      </c>
      <c r="G23" t="s">
        <v>149</v>
      </c>
      <c r="H23" t="s">
        <v>150</v>
      </c>
      <c r="J23" t="s">
        <v>173</v>
      </c>
      <c r="K23" t="s">
        <v>437</v>
      </c>
      <c r="L23">
        <v>32.416755090373684</v>
      </c>
      <c r="M23">
        <v>0.1593651064715782</v>
      </c>
      <c r="O23" t="s">
        <v>562</v>
      </c>
      <c r="P23" t="s">
        <v>589</v>
      </c>
      <c r="Q23" t="s">
        <v>590</v>
      </c>
      <c r="R23" t="s">
        <v>10</v>
      </c>
      <c r="S23" t="s">
        <v>20</v>
      </c>
      <c r="T23" t="s">
        <v>565</v>
      </c>
      <c r="U23" t="s">
        <v>566</v>
      </c>
      <c r="V23" t="s">
        <v>150</v>
      </c>
      <c r="X23" t="s">
        <v>589</v>
      </c>
      <c r="Y23" t="s">
        <v>505</v>
      </c>
      <c r="Z23" t="s">
        <v>849</v>
      </c>
      <c r="AA23">
        <v>0.99218262773253396</v>
      </c>
      <c r="AB23">
        <v>143.31849157021014</v>
      </c>
      <c r="AD23" t="s">
        <v>562</v>
      </c>
      <c r="AE23" t="s">
        <v>922</v>
      </c>
      <c r="AF23" t="s">
        <v>923</v>
      </c>
      <c r="AG23" t="s">
        <v>10</v>
      </c>
      <c r="AH23" t="s">
        <v>20</v>
      </c>
      <c r="AI23" t="s">
        <v>566</v>
      </c>
      <c r="AJ23" t="s">
        <v>150</v>
      </c>
      <c r="AL23" t="s">
        <v>922</v>
      </c>
      <c r="AM23" t="s">
        <v>1136</v>
      </c>
      <c r="AN23" t="s">
        <v>839</v>
      </c>
      <c r="AO23">
        <v>0.98974332571937795</v>
      </c>
      <c r="AP23">
        <v>188.03902847807063</v>
      </c>
      <c r="AR23" t="s">
        <v>562</v>
      </c>
      <c r="AS23" t="s">
        <v>1261</v>
      </c>
      <c r="AT23" t="s">
        <v>1262</v>
      </c>
      <c r="AU23" t="s">
        <v>10</v>
      </c>
      <c r="AV23" t="s">
        <v>20</v>
      </c>
      <c r="AW23" t="s">
        <v>566</v>
      </c>
      <c r="AX23" t="s">
        <v>150</v>
      </c>
      <c r="AZ23" t="s">
        <v>1261</v>
      </c>
      <c r="BA23" t="s">
        <v>1317</v>
      </c>
      <c r="BB23" t="s">
        <v>856</v>
      </c>
      <c r="BC23">
        <v>0.98029614417839783</v>
      </c>
      <c r="BD23">
        <v>637.13206339363023</v>
      </c>
    </row>
    <row r="24" spans="2:56">
      <c r="B24" t="s">
        <v>146</v>
      </c>
      <c r="C24" t="s">
        <v>175</v>
      </c>
      <c r="D24" t="s">
        <v>176</v>
      </c>
      <c r="E24" t="s">
        <v>10</v>
      </c>
      <c r="F24" t="s">
        <v>20</v>
      </c>
      <c r="G24" t="s">
        <v>149</v>
      </c>
      <c r="H24" t="s">
        <v>150</v>
      </c>
      <c r="J24" t="s">
        <v>175</v>
      </c>
      <c r="K24" t="s">
        <v>438</v>
      </c>
      <c r="L24">
        <v>80.778933299948378</v>
      </c>
      <c r="M24">
        <v>0.125785388654023</v>
      </c>
      <c r="O24" t="s">
        <v>562</v>
      </c>
      <c r="P24" t="s">
        <v>591</v>
      </c>
      <c r="Q24" t="s">
        <v>592</v>
      </c>
      <c r="R24" t="s">
        <v>10</v>
      </c>
      <c r="S24" t="s">
        <v>20</v>
      </c>
      <c r="T24" t="s">
        <v>565</v>
      </c>
      <c r="U24" t="s">
        <v>566</v>
      </c>
      <c r="V24" t="s">
        <v>150</v>
      </c>
      <c r="X24" t="s">
        <v>591</v>
      </c>
      <c r="Y24" t="s">
        <v>549</v>
      </c>
      <c r="Z24" t="s">
        <v>850</v>
      </c>
      <c r="AA24">
        <v>0.99477407524212647</v>
      </c>
      <c r="AB24">
        <v>95.808620561014351</v>
      </c>
      <c r="AD24" t="s">
        <v>562</v>
      </c>
      <c r="AE24" t="s">
        <v>924</v>
      </c>
      <c r="AF24" t="s">
        <v>925</v>
      </c>
      <c r="AG24" t="s">
        <v>10</v>
      </c>
      <c r="AH24" t="s">
        <v>20</v>
      </c>
      <c r="AI24" t="s">
        <v>566</v>
      </c>
      <c r="AJ24" t="s">
        <v>150</v>
      </c>
      <c r="AL24" t="s">
        <v>924</v>
      </c>
      <c r="AM24" t="s">
        <v>1137</v>
      </c>
      <c r="AN24" t="s">
        <v>866</v>
      </c>
      <c r="AO24">
        <v>0.99413168612390446</v>
      </c>
      <c r="AP24">
        <v>107.58575439508574</v>
      </c>
      <c r="AR24" t="s">
        <v>562</v>
      </c>
      <c r="AS24" t="s">
        <v>1263</v>
      </c>
      <c r="AT24" t="s">
        <v>1264</v>
      </c>
      <c r="AU24" t="s">
        <v>10</v>
      </c>
      <c r="AV24" t="s">
        <v>20</v>
      </c>
      <c r="AW24" t="s">
        <v>566</v>
      </c>
      <c r="AX24" t="s">
        <v>150</v>
      </c>
      <c r="AZ24" t="s">
        <v>1263</v>
      </c>
      <c r="BA24" t="s">
        <v>1318</v>
      </c>
      <c r="BB24" t="s">
        <v>856</v>
      </c>
      <c r="BC24">
        <v>0.98865855459335616</v>
      </c>
      <c r="BD24">
        <v>571.20839462237564</v>
      </c>
    </row>
    <row r="25" spans="2:56">
      <c r="B25" t="s">
        <v>146</v>
      </c>
      <c r="C25" t="s">
        <v>177</v>
      </c>
      <c r="D25" t="s">
        <v>178</v>
      </c>
      <c r="E25" t="s">
        <v>10</v>
      </c>
      <c r="F25" t="s">
        <v>20</v>
      </c>
      <c r="G25" t="s">
        <v>149</v>
      </c>
      <c r="H25" t="s">
        <v>150</v>
      </c>
      <c r="J25" t="s">
        <v>177</v>
      </c>
      <c r="K25" t="s">
        <v>439</v>
      </c>
      <c r="L25">
        <v>68.862693865049934</v>
      </c>
      <c r="M25">
        <v>0.16179180432070939</v>
      </c>
      <c r="O25" t="s">
        <v>562</v>
      </c>
      <c r="P25" t="s">
        <v>593</v>
      </c>
      <c r="Q25" t="s">
        <v>594</v>
      </c>
      <c r="R25" t="s">
        <v>10</v>
      </c>
      <c r="S25" t="s">
        <v>20</v>
      </c>
      <c r="T25" t="s">
        <v>565</v>
      </c>
      <c r="U25" t="s">
        <v>566</v>
      </c>
      <c r="V25" t="s">
        <v>150</v>
      </c>
      <c r="X25" t="s">
        <v>593</v>
      </c>
      <c r="Y25" t="s">
        <v>555</v>
      </c>
      <c r="Z25" t="s">
        <v>851</v>
      </c>
      <c r="AA25">
        <v>0.99340406403388481</v>
      </c>
      <c r="AB25">
        <v>120.92549271211209</v>
      </c>
      <c r="AD25" t="s">
        <v>562</v>
      </c>
      <c r="AE25" t="s">
        <v>926</v>
      </c>
      <c r="AF25" t="s">
        <v>927</v>
      </c>
      <c r="AG25" t="s">
        <v>10</v>
      </c>
      <c r="AH25" t="s">
        <v>20</v>
      </c>
      <c r="AI25" t="s">
        <v>566</v>
      </c>
      <c r="AJ25" t="s">
        <v>150</v>
      </c>
      <c r="AL25" t="s">
        <v>926</v>
      </c>
      <c r="AM25" t="s">
        <v>1138</v>
      </c>
      <c r="AN25" t="s">
        <v>846</v>
      </c>
      <c r="AO25">
        <v>0.96802468703178957</v>
      </c>
      <c r="AP25">
        <v>586.21407108385756</v>
      </c>
      <c r="AR25" t="s">
        <v>562</v>
      </c>
      <c r="AS25" t="s">
        <v>1265</v>
      </c>
      <c r="AT25" t="s">
        <v>1266</v>
      </c>
      <c r="AU25" t="s">
        <v>10</v>
      </c>
      <c r="AV25" t="s">
        <v>20</v>
      </c>
      <c r="AW25" t="s">
        <v>566</v>
      </c>
      <c r="AX25" t="s">
        <v>150</v>
      </c>
      <c r="AZ25" t="s">
        <v>1265</v>
      </c>
      <c r="BA25" t="s">
        <v>1319</v>
      </c>
      <c r="BB25" t="s">
        <v>856</v>
      </c>
      <c r="BC25">
        <v>0.90777469227524876</v>
      </c>
      <c r="BD25">
        <v>1208.8428425634561</v>
      </c>
    </row>
    <row r="26" spans="2:56">
      <c r="B26" t="s">
        <v>146</v>
      </c>
      <c r="C26" t="s">
        <v>179</v>
      </c>
      <c r="D26" t="s">
        <v>180</v>
      </c>
      <c r="E26" t="s">
        <v>10</v>
      </c>
      <c r="F26" t="s">
        <v>20</v>
      </c>
      <c r="G26" t="s">
        <v>149</v>
      </c>
      <c r="H26" t="s">
        <v>150</v>
      </c>
      <c r="J26" t="s">
        <v>179</v>
      </c>
      <c r="K26" t="s">
        <v>440</v>
      </c>
      <c r="L26">
        <v>109.29216398959743</v>
      </c>
      <c r="M26">
        <v>0.13130007188903142</v>
      </c>
      <c r="O26" t="s">
        <v>562</v>
      </c>
      <c r="P26" t="s">
        <v>595</v>
      </c>
      <c r="Q26" t="s">
        <v>596</v>
      </c>
      <c r="R26" t="s">
        <v>10</v>
      </c>
      <c r="S26" t="s">
        <v>20</v>
      </c>
      <c r="T26" t="s">
        <v>565</v>
      </c>
      <c r="U26" t="s">
        <v>566</v>
      </c>
      <c r="V26" t="s">
        <v>150</v>
      </c>
      <c r="X26" t="s">
        <v>595</v>
      </c>
      <c r="Y26" t="s">
        <v>446</v>
      </c>
      <c r="Z26" t="s">
        <v>852</v>
      </c>
      <c r="AA26">
        <v>0.98950135873743683</v>
      </c>
      <c r="AB26">
        <v>192.47508981365891</v>
      </c>
      <c r="AD26" t="s">
        <v>562</v>
      </c>
      <c r="AE26" t="s">
        <v>928</v>
      </c>
      <c r="AF26" t="s">
        <v>929</v>
      </c>
      <c r="AG26" t="s">
        <v>10</v>
      </c>
      <c r="AH26" t="s">
        <v>20</v>
      </c>
      <c r="AI26" t="s">
        <v>566</v>
      </c>
      <c r="AJ26" t="s">
        <v>150</v>
      </c>
      <c r="AL26" t="s">
        <v>928</v>
      </c>
      <c r="AM26" t="s">
        <v>1139</v>
      </c>
      <c r="AN26" t="s">
        <v>846</v>
      </c>
      <c r="AO26">
        <v>0.97711913570486986</v>
      </c>
      <c r="AP26">
        <v>419.48251207738639</v>
      </c>
      <c r="AR26" t="s">
        <v>562</v>
      </c>
      <c r="AS26" t="s">
        <v>1267</v>
      </c>
      <c r="AT26" t="s">
        <v>1268</v>
      </c>
      <c r="AU26" t="s">
        <v>10</v>
      </c>
      <c r="AV26" t="s">
        <v>20</v>
      </c>
      <c r="AW26" t="s">
        <v>566</v>
      </c>
      <c r="AX26" t="s">
        <v>150</v>
      </c>
      <c r="AZ26" t="s">
        <v>1267</v>
      </c>
      <c r="BA26" t="s">
        <v>1320</v>
      </c>
      <c r="BB26" t="s">
        <v>856</v>
      </c>
      <c r="BC26">
        <v>0.96340904814790773</v>
      </c>
      <c r="BD26">
        <v>770.2586704339941</v>
      </c>
    </row>
    <row r="27" spans="2:56">
      <c r="B27" t="s">
        <v>146</v>
      </c>
      <c r="C27" t="s">
        <v>181</v>
      </c>
      <c r="D27" t="s">
        <v>182</v>
      </c>
      <c r="E27" t="s">
        <v>10</v>
      </c>
      <c r="F27" t="s">
        <v>20</v>
      </c>
      <c r="G27" t="s">
        <v>149</v>
      </c>
      <c r="H27" t="s">
        <v>150</v>
      </c>
      <c r="J27" t="s">
        <v>181</v>
      </c>
      <c r="K27" t="s">
        <v>441</v>
      </c>
      <c r="L27">
        <v>7.2712601410524309</v>
      </c>
      <c r="M27">
        <v>0.12254591582056024</v>
      </c>
      <c r="O27" t="s">
        <v>562</v>
      </c>
      <c r="P27" t="s">
        <v>597</v>
      </c>
      <c r="Q27" t="s">
        <v>598</v>
      </c>
      <c r="R27" t="s">
        <v>10</v>
      </c>
      <c r="S27" t="s">
        <v>20</v>
      </c>
      <c r="T27" t="s">
        <v>565</v>
      </c>
      <c r="U27" t="s">
        <v>566</v>
      </c>
      <c r="V27" t="s">
        <v>150</v>
      </c>
      <c r="X27" t="s">
        <v>597</v>
      </c>
      <c r="Y27" t="s">
        <v>450</v>
      </c>
      <c r="Z27" t="s">
        <v>853</v>
      </c>
      <c r="AA27">
        <v>0.99488206120957279</v>
      </c>
      <c r="AB27">
        <v>93.828877824498619</v>
      </c>
      <c r="AD27" t="s">
        <v>562</v>
      </c>
      <c r="AE27" t="s">
        <v>930</v>
      </c>
      <c r="AF27" t="s">
        <v>931</v>
      </c>
      <c r="AG27" t="s">
        <v>10</v>
      </c>
      <c r="AH27" t="s">
        <v>20</v>
      </c>
      <c r="AI27" t="s">
        <v>566</v>
      </c>
      <c r="AJ27" t="s">
        <v>150</v>
      </c>
      <c r="AL27" t="s">
        <v>930</v>
      </c>
      <c r="AM27" t="s">
        <v>1140</v>
      </c>
      <c r="AN27" t="s">
        <v>843</v>
      </c>
      <c r="AO27">
        <v>0.97535827976293088</v>
      </c>
      <c r="AP27">
        <v>451.76487101293469</v>
      </c>
      <c r="AR27" t="s">
        <v>562</v>
      </c>
      <c r="AS27" t="s">
        <v>1269</v>
      </c>
      <c r="AT27" t="s">
        <v>1270</v>
      </c>
      <c r="AU27" t="s">
        <v>10</v>
      </c>
      <c r="AV27" t="s">
        <v>20</v>
      </c>
      <c r="AW27" t="s">
        <v>566</v>
      </c>
      <c r="AX27" t="s">
        <v>150</v>
      </c>
      <c r="AZ27" t="s">
        <v>1269</v>
      </c>
      <c r="BA27" t="s">
        <v>1321</v>
      </c>
      <c r="BB27" t="s">
        <v>892</v>
      </c>
      <c r="BC27">
        <v>0.97748676055693473</v>
      </c>
      <c r="BD27">
        <v>659.27937094283163</v>
      </c>
    </row>
    <row r="28" spans="2:56">
      <c r="B28" t="s">
        <v>146</v>
      </c>
      <c r="C28" t="s">
        <v>183</v>
      </c>
      <c r="D28" t="s">
        <v>184</v>
      </c>
      <c r="E28" t="s">
        <v>10</v>
      </c>
      <c r="F28" t="s">
        <v>20</v>
      </c>
      <c r="G28" t="s">
        <v>149</v>
      </c>
      <c r="H28" t="s">
        <v>150</v>
      </c>
      <c r="J28" t="s">
        <v>183</v>
      </c>
      <c r="K28" t="s">
        <v>442</v>
      </c>
      <c r="L28">
        <v>26.80710398528791</v>
      </c>
      <c r="M28">
        <v>0.13015115285586731</v>
      </c>
      <c r="O28" t="s">
        <v>562</v>
      </c>
      <c r="P28" t="s">
        <v>599</v>
      </c>
      <c r="Q28" t="s">
        <v>600</v>
      </c>
      <c r="R28" t="s">
        <v>10</v>
      </c>
      <c r="S28" t="s">
        <v>20</v>
      </c>
      <c r="T28" t="s">
        <v>565</v>
      </c>
      <c r="U28" t="s">
        <v>566</v>
      </c>
      <c r="V28" t="s">
        <v>150</v>
      </c>
      <c r="X28" t="s">
        <v>599</v>
      </c>
      <c r="Y28" t="s">
        <v>453</v>
      </c>
      <c r="Z28" t="s">
        <v>854</v>
      </c>
      <c r="AA28">
        <v>0.98929007854358664</v>
      </c>
      <c r="AB28">
        <v>196.34856003424409</v>
      </c>
      <c r="AD28" t="s">
        <v>562</v>
      </c>
      <c r="AE28" t="s">
        <v>932</v>
      </c>
      <c r="AF28" t="s">
        <v>933</v>
      </c>
      <c r="AG28" t="s">
        <v>10</v>
      </c>
      <c r="AH28" t="s">
        <v>20</v>
      </c>
      <c r="AI28" t="s">
        <v>566</v>
      </c>
      <c r="AJ28" t="s">
        <v>150</v>
      </c>
      <c r="AL28" t="s">
        <v>932</v>
      </c>
      <c r="AM28" t="s">
        <v>1141</v>
      </c>
      <c r="AN28" t="s">
        <v>858</v>
      </c>
      <c r="AO28">
        <v>0.9754113935826384</v>
      </c>
      <c r="AP28">
        <v>450.79111765163026</v>
      </c>
      <c r="AR28" t="s">
        <v>562</v>
      </c>
      <c r="AS28" t="s">
        <v>1271</v>
      </c>
      <c r="AT28" t="s">
        <v>1272</v>
      </c>
      <c r="AU28" t="s">
        <v>10</v>
      </c>
      <c r="AV28" t="s">
        <v>20</v>
      </c>
      <c r="AW28" t="s">
        <v>566</v>
      </c>
      <c r="AX28" t="s">
        <v>150</v>
      </c>
      <c r="AZ28" t="s">
        <v>1271</v>
      </c>
      <c r="BA28" t="s">
        <v>1322</v>
      </c>
      <c r="BB28" t="s">
        <v>839</v>
      </c>
      <c r="BC28">
        <v>0.98661815843628831</v>
      </c>
      <c r="BD28">
        <v>587.29351766059415</v>
      </c>
    </row>
    <row r="29" spans="2:56">
      <c r="B29" t="s">
        <v>146</v>
      </c>
      <c r="C29" t="s">
        <v>185</v>
      </c>
      <c r="D29" t="s">
        <v>186</v>
      </c>
      <c r="E29" t="s">
        <v>10</v>
      </c>
      <c r="F29" t="s">
        <v>20</v>
      </c>
      <c r="G29" t="s">
        <v>149</v>
      </c>
      <c r="H29" t="s">
        <v>150</v>
      </c>
      <c r="J29" t="s">
        <v>185</v>
      </c>
      <c r="K29" t="s">
        <v>443</v>
      </c>
      <c r="L29">
        <v>38.226840433803041</v>
      </c>
      <c r="M29">
        <v>0.11551045185666356</v>
      </c>
      <c r="O29" t="s">
        <v>562</v>
      </c>
      <c r="P29" t="s">
        <v>601</v>
      </c>
      <c r="Q29" t="s">
        <v>602</v>
      </c>
      <c r="R29" t="s">
        <v>10</v>
      </c>
      <c r="S29" t="s">
        <v>20</v>
      </c>
      <c r="T29" t="s">
        <v>565</v>
      </c>
      <c r="U29" t="s">
        <v>566</v>
      </c>
      <c r="V29" t="s">
        <v>150</v>
      </c>
      <c r="X29" t="s">
        <v>601</v>
      </c>
      <c r="Y29" t="s">
        <v>458</v>
      </c>
      <c r="Z29" t="s">
        <v>855</v>
      </c>
      <c r="AA29">
        <v>0.9692587148013998</v>
      </c>
      <c r="AB29">
        <v>563.59022864100291</v>
      </c>
      <c r="AD29" t="s">
        <v>562</v>
      </c>
      <c r="AE29" t="s">
        <v>934</v>
      </c>
      <c r="AF29" t="s">
        <v>935</v>
      </c>
      <c r="AG29" t="s">
        <v>10</v>
      </c>
      <c r="AH29" t="s">
        <v>20</v>
      </c>
      <c r="AI29" t="s">
        <v>566</v>
      </c>
      <c r="AJ29" t="s">
        <v>150</v>
      </c>
      <c r="AL29" t="s">
        <v>934</v>
      </c>
      <c r="AM29" t="s">
        <v>1142</v>
      </c>
      <c r="AN29" t="s">
        <v>864</v>
      </c>
      <c r="AO29">
        <v>0.99317814360692358</v>
      </c>
      <c r="AP29">
        <v>125.06736720640154</v>
      </c>
      <c r="AR29" t="s">
        <v>562</v>
      </c>
      <c r="AS29" t="s">
        <v>1273</v>
      </c>
      <c r="AT29" t="s">
        <v>1274</v>
      </c>
      <c r="AU29" t="s">
        <v>10</v>
      </c>
      <c r="AV29" t="s">
        <v>20</v>
      </c>
      <c r="AW29" t="s">
        <v>566</v>
      </c>
      <c r="AX29" t="s">
        <v>150</v>
      </c>
      <c r="AZ29" t="s">
        <v>1273</v>
      </c>
      <c r="BA29" t="s">
        <v>1323</v>
      </c>
      <c r="BB29" t="s">
        <v>847</v>
      </c>
      <c r="BC29">
        <v>0.99038640993878491</v>
      </c>
      <c r="BD29">
        <v>557.58713498257862</v>
      </c>
    </row>
    <row r="30" spans="2:56">
      <c r="B30" t="s">
        <v>146</v>
      </c>
      <c r="C30" t="s">
        <v>187</v>
      </c>
      <c r="D30" t="s">
        <v>188</v>
      </c>
      <c r="E30" t="s">
        <v>10</v>
      </c>
      <c r="F30" t="s">
        <v>20</v>
      </c>
      <c r="G30" t="s">
        <v>149</v>
      </c>
      <c r="H30" t="s">
        <v>150</v>
      </c>
      <c r="J30" t="s">
        <v>187</v>
      </c>
      <c r="K30" t="s">
        <v>444</v>
      </c>
      <c r="L30">
        <v>57.284057131336326</v>
      </c>
      <c r="M30">
        <v>0.1201014831494865</v>
      </c>
      <c r="O30" t="s">
        <v>562</v>
      </c>
      <c r="P30" t="s">
        <v>603</v>
      </c>
      <c r="Q30" t="s">
        <v>604</v>
      </c>
      <c r="R30" t="s">
        <v>10</v>
      </c>
      <c r="S30" t="s">
        <v>20</v>
      </c>
      <c r="T30" t="s">
        <v>565</v>
      </c>
      <c r="U30" t="s">
        <v>566</v>
      </c>
      <c r="V30" t="s">
        <v>150</v>
      </c>
      <c r="X30" t="s">
        <v>603</v>
      </c>
      <c r="Y30" t="s">
        <v>472</v>
      </c>
      <c r="Z30" t="s">
        <v>840</v>
      </c>
      <c r="AA30">
        <v>0.99120757651401414</v>
      </c>
      <c r="AB30">
        <v>161.19443057640677</v>
      </c>
      <c r="AD30" t="s">
        <v>562</v>
      </c>
      <c r="AE30" t="s">
        <v>936</v>
      </c>
      <c r="AF30" t="s">
        <v>937</v>
      </c>
      <c r="AG30" t="s">
        <v>10</v>
      </c>
      <c r="AH30" t="s">
        <v>20</v>
      </c>
      <c r="AI30" t="s">
        <v>566</v>
      </c>
      <c r="AJ30" t="s">
        <v>150</v>
      </c>
      <c r="AL30" t="s">
        <v>936</v>
      </c>
      <c r="AM30" t="s">
        <v>1143</v>
      </c>
      <c r="AN30" t="s">
        <v>889</v>
      </c>
      <c r="AO30">
        <v>0.99086943207021283</v>
      </c>
      <c r="AP30">
        <v>167.3937453794307</v>
      </c>
      <c r="AR30" t="s">
        <v>562</v>
      </c>
      <c r="AS30" t="s">
        <v>1275</v>
      </c>
      <c r="AT30" t="s">
        <v>1276</v>
      </c>
      <c r="AU30" t="s">
        <v>10</v>
      </c>
      <c r="AV30" t="s">
        <v>20</v>
      </c>
      <c r="AW30" t="s">
        <v>566</v>
      </c>
      <c r="AX30" t="s">
        <v>150</v>
      </c>
      <c r="AZ30" t="s">
        <v>1275</v>
      </c>
      <c r="BA30" t="s">
        <v>1324</v>
      </c>
      <c r="BB30" t="s">
        <v>880</v>
      </c>
      <c r="BC30">
        <v>0.98758818560479655</v>
      </c>
      <c r="BD30">
        <v>579.64647014885406</v>
      </c>
    </row>
    <row r="31" spans="2:56">
      <c r="B31" t="s">
        <v>146</v>
      </c>
      <c r="C31" t="s">
        <v>189</v>
      </c>
      <c r="D31" t="s">
        <v>190</v>
      </c>
      <c r="E31" t="s">
        <v>10</v>
      </c>
      <c r="F31" t="s">
        <v>20</v>
      </c>
      <c r="G31" t="s">
        <v>149</v>
      </c>
      <c r="H31" t="s">
        <v>150</v>
      </c>
      <c r="J31" t="s">
        <v>189</v>
      </c>
      <c r="K31" t="s">
        <v>445</v>
      </c>
      <c r="L31">
        <v>136.16757917081401</v>
      </c>
      <c r="M31">
        <v>0.17755129617041701</v>
      </c>
      <c r="O31" t="s">
        <v>562</v>
      </c>
      <c r="P31" t="s">
        <v>605</v>
      </c>
      <c r="Q31" t="s">
        <v>606</v>
      </c>
      <c r="R31" t="s">
        <v>10</v>
      </c>
      <c r="S31" t="s">
        <v>20</v>
      </c>
      <c r="T31" t="s">
        <v>565</v>
      </c>
      <c r="U31" t="s">
        <v>566</v>
      </c>
      <c r="V31" t="s">
        <v>150</v>
      </c>
      <c r="X31" t="s">
        <v>605</v>
      </c>
      <c r="Y31" t="s">
        <v>474</v>
      </c>
      <c r="Z31" t="s">
        <v>856</v>
      </c>
      <c r="AA31">
        <v>0.98661661227366804</v>
      </c>
      <c r="AB31">
        <v>245.36210831608693</v>
      </c>
      <c r="AD31" t="s">
        <v>562</v>
      </c>
      <c r="AE31" t="s">
        <v>938</v>
      </c>
      <c r="AF31" t="s">
        <v>939</v>
      </c>
      <c r="AG31" t="s">
        <v>10</v>
      </c>
      <c r="AH31" t="s">
        <v>20</v>
      </c>
      <c r="AI31" t="s">
        <v>566</v>
      </c>
      <c r="AJ31" t="s">
        <v>150</v>
      </c>
      <c r="AL31" t="s">
        <v>938</v>
      </c>
      <c r="AM31" t="s">
        <v>1144</v>
      </c>
      <c r="AN31" t="s">
        <v>882</v>
      </c>
      <c r="AO31">
        <v>0.99302300928376919</v>
      </c>
      <c r="AP31">
        <v>127.91149646423172</v>
      </c>
      <c r="AR31" t="s">
        <v>562</v>
      </c>
      <c r="AS31" t="s">
        <v>1277</v>
      </c>
      <c r="AT31" t="s">
        <v>1278</v>
      </c>
      <c r="AU31" t="s">
        <v>10</v>
      </c>
      <c r="AV31" t="s">
        <v>20</v>
      </c>
      <c r="AW31" t="s">
        <v>566</v>
      </c>
      <c r="AX31" t="s">
        <v>150</v>
      </c>
      <c r="AZ31" t="s">
        <v>1277</v>
      </c>
      <c r="BA31" t="s">
        <v>1325</v>
      </c>
      <c r="BB31" t="s">
        <v>877</v>
      </c>
      <c r="BC31">
        <v>0.97985329377358876</v>
      </c>
      <c r="BD31">
        <v>640.6232007515423</v>
      </c>
    </row>
    <row r="32" spans="2:56">
      <c r="B32" t="s">
        <v>146</v>
      </c>
      <c r="C32" t="s">
        <v>191</v>
      </c>
      <c r="D32" t="s">
        <v>192</v>
      </c>
      <c r="E32" t="s">
        <v>10</v>
      </c>
      <c r="F32" t="s">
        <v>20</v>
      </c>
      <c r="G32" t="s">
        <v>149</v>
      </c>
      <c r="H32" t="s">
        <v>150</v>
      </c>
      <c r="J32" t="s">
        <v>191</v>
      </c>
      <c r="K32" t="s">
        <v>446</v>
      </c>
      <c r="L32">
        <v>58.442572780543522</v>
      </c>
      <c r="M32">
        <v>0.16124124669910581</v>
      </c>
      <c r="O32" t="s">
        <v>562</v>
      </c>
      <c r="P32" t="s">
        <v>607</v>
      </c>
      <c r="Q32" t="s">
        <v>608</v>
      </c>
      <c r="R32" t="s">
        <v>10</v>
      </c>
      <c r="S32" t="s">
        <v>20</v>
      </c>
      <c r="T32" t="s">
        <v>565</v>
      </c>
      <c r="U32" t="s">
        <v>566</v>
      </c>
      <c r="V32" t="s">
        <v>150</v>
      </c>
      <c r="X32" t="s">
        <v>607</v>
      </c>
      <c r="Y32" t="s">
        <v>479</v>
      </c>
      <c r="Z32" t="s">
        <v>857</v>
      </c>
      <c r="AA32">
        <v>0.98939469221283771</v>
      </c>
      <c r="AB32">
        <v>194.43064276464273</v>
      </c>
      <c r="AD32" t="s">
        <v>562</v>
      </c>
      <c r="AE32" t="s">
        <v>940</v>
      </c>
      <c r="AF32" t="s">
        <v>941</v>
      </c>
      <c r="AG32" t="s">
        <v>10</v>
      </c>
      <c r="AH32" t="s">
        <v>20</v>
      </c>
      <c r="AI32" t="s">
        <v>566</v>
      </c>
      <c r="AJ32" t="s">
        <v>150</v>
      </c>
      <c r="AL32" t="s">
        <v>940</v>
      </c>
      <c r="AM32" t="s">
        <v>1145</v>
      </c>
      <c r="AN32" t="s">
        <v>839</v>
      </c>
      <c r="AO32">
        <v>0.99011319269869458</v>
      </c>
      <c r="AP32">
        <v>181.25813385726678</v>
      </c>
      <c r="AR32" t="s">
        <v>562</v>
      </c>
      <c r="AS32" t="s">
        <v>1279</v>
      </c>
      <c r="AT32" t="s">
        <v>1280</v>
      </c>
      <c r="AU32" t="s">
        <v>10</v>
      </c>
      <c r="AV32" t="s">
        <v>20</v>
      </c>
      <c r="AW32" t="s">
        <v>566</v>
      </c>
      <c r="AX32" t="s">
        <v>150</v>
      </c>
      <c r="AZ32" t="s">
        <v>1279</v>
      </c>
      <c r="BA32" t="s">
        <v>1326</v>
      </c>
      <c r="BB32" t="s">
        <v>892</v>
      </c>
      <c r="BC32">
        <v>0.9783099865431607</v>
      </c>
      <c r="BD32">
        <v>652.78960608475018</v>
      </c>
    </row>
    <row r="33" spans="2:56">
      <c r="B33" t="s">
        <v>146</v>
      </c>
      <c r="C33" t="s">
        <v>193</v>
      </c>
      <c r="D33" t="s">
        <v>194</v>
      </c>
      <c r="E33" t="s">
        <v>10</v>
      </c>
      <c r="F33" t="s">
        <v>20</v>
      </c>
      <c r="G33" t="s">
        <v>149</v>
      </c>
      <c r="H33" t="s">
        <v>150</v>
      </c>
      <c r="J33" t="s">
        <v>193</v>
      </c>
      <c r="K33" t="s">
        <v>447</v>
      </c>
      <c r="L33">
        <v>42.96802457897806</v>
      </c>
      <c r="M33">
        <v>0.15926980129074839</v>
      </c>
      <c r="O33" t="s">
        <v>562</v>
      </c>
      <c r="P33" t="s">
        <v>609</v>
      </c>
      <c r="Q33" t="s">
        <v>610</v>
      </c>
      <c r="R33" t="s">
        <v>10</v>
      </c>
      <c r="S33" t="s">
        <v>20</v>
      </c>
      <c r="T33" t="s">
        <v>565</v>
      </c>
      <c r="U33" t="s">
        <v>566</v>
      </c>
      <c r="V33" t="s">
        <v>150</v>
      </c>
      <c r="X33" t="s">
        <v>609</v>
      </c>
      <c r="Y33" t="s">
        <v>507</v>
      </c>
      <c r="Z33" t="s">
        <v>842</v>
      </c>
      <c r="AA33">
        <v>0.99170776895032964</v>
      </c>
      <c r="AB33">
        <v>152.02423591062336</v>
      </c>
      <c r="AD33" t="s">
        <v>562</v>
      </c>
      <c r="AE33" t="s">
        <v>942</v>
      </c>
      <c r="AF33" t="s">
        <v>943</v>
      </c>
      <c r="AG33" t="s">
        <v>10</v>
      </c>
      <c r="AH33" t="s">
        <v>20</v>
      </c>
      <c r="AI33" t="s">
        <v>566</v>
      </c>
      <c r="AJ33" t="s">
        <v>150</v>
      </c>
      <c r="AL33" t="s">
        <v>942</v>
      </c>
      <c r="AM33" t="s">
        <v>1146</v>
      </c>
      <c r="AN33" t="s">
        <v>861</v>
      </c>
      <c r="AO33">
        <v>0.99448552674849922</v>
      </c>
      <c r="AP33">
        <v>101.09867627751461</v>
      </c>
      <c r="AR33" t="s">
        <v>562</v>
      </c>
      <c r="AS33" t="s">
        <v>1281</v>
      </c>
      <c r="AT33" t="s">
        <v>1282</v>
      </c>
      <c r="AU33" t="s">
        <v>10</v>
      </c>
      <c r="AV33" t="s">
        <v>20</v>
      </c>
      <c r="AW33" t="s">
        <v>566</v>
      </c>
      <c r="AX33" t="s">
        <v>150</v>
      </c>
      <c r="AZ33" t="s">
        <v>1281</v>
      </c>
      <c r="BA33" t="s">
        <v>1327</v>
      </c>
      <c r="BB33" t="s">
        <v>856</v>
      </c>
      <c r="BC33">
        <v>0.91905535977869501</v>
      </c>
      <c r="BD33">
        <v>1119.9135804112877</v>
      </c>
    </row>
    <row r="34" spans="2:56">
      <c r="B34" t="s">
        <v>146</v>
      </c>
      <c r="C34" t="s">
        <v>195</v>
      </c>
      <c r="D34" t="s">
        <v>196</v>
      </c>
      <c r="E34" t="s">
        <v>10</v>
      </c>
      <c r="F34" t="s">
        <v>20</v>
      </c>
      <c r="G34" t="s">
        <v>149</v>
      </c>
      <c r="H34" t="s">
        <v>150</v>
      </c>
      <c r="J34" t="s">
        <v>195</v>
      </c>
      <c r="K34" t="s">
        <v>448</v>
      </c>
      <c r="L34">
        <v>33.041419487709646</v>
      </c>
      <c r="M34">
        <v>0.11372144475063398</v>
      </c>
      <c r="O34" t="s">
        <v>562</v>
      </c>
      <c r="P34" t="s">
        <v>611</v>
      </c>
      <c r="Q34" t="s">
        <v>612</v>
      </c>
      <c r="R34" t="s">
        <v>10</v>
      </c>
      <c r="S34" t="s">
        <v>20</v>
      </c>
      <c r="T34" t="s">
        <v>565</v>
      </c>
      <c r="U34" t="s">
        <v>566</v>
      </c>
      <c r="V34" t="s">
        <v>150</v>
      </c>
      <c r="X34" t="s">
        <v>611</v>
      </c>
      <c r="Y34" t="s">
        <v>546</v>
      </c>
      <c r="Z34" t="s">
        <v>858</v>
      </c>
      <c r="AA34">
        <v>0.99042342806455907</v>
      </c>
      <c r="AB34">
        <v>175.57048548308435</v>
      </c>
      <c r="AD34" t="s">
        <v>562</v>
      </c>
      <c r="AE34" t="s">
        <v>944</v>
      </c>
      <c r="AF34" t="s">
        <v>945</v>
      </c>
      <c r="AG34" t="s">
        <v>10</v>
      </c>
      <c r="AH34" t="s">
        <v>20</v>
      </c>
      <c r="AI34" t="s">
        <v>566</v>
      </c>
      <c r="AJ34" t="s">
        <v>150</v>
      </c>
      <c r="AL34" t="s">
        <v>944</v>
      </c>
      <c r="AM34" t="s">
        <v>1147</v>
      </c>
      <c r="AN34" t="s">
        <v>846</v>
      </c>
      <c r="AO34">
        <v>0.98107014020732863</v>
      </c>
      <c r="AP34">
        <v>347.04742953230885</v>
      </c>
      <c r="AR34" t="s">
        <v>562</v>
      </c>
      <c r="AS34" t="s">
        <v>1283</v>
      </c>
      <c r="AT34" t="s">
        <v>1284</v>
      </c>
      <c r="AU34" t="s">
        <v>10</v>
      </c>
      <c r="AV34" t="s">
        <v>20</v>
      </c>
      <c r="AW34" t="s">
        <v>566</v>
      </c>
      <c r="AX34" t="s">
        <v>150</v>
      </c>
      <c r="AZ34" t="s">
        <v>1283</v>
      </c>
      <c r="BA34" t="s">
        <v>1328</v>
      </c>
      <c r="BB34" t="s">
        <v>892</v>
      </c>
      <c r="BC34">
        <v>0.97776667041974696</v>
      </c>
      <c r="BD34">
        <v>657.0727481909945</v>
      </c>
    </row>
    <row r="35" spans="2:56">
      <c r="B35" t="s">
        <v>146</v>
      </c>
      <c r="C35" t="s">
        <v>197</v>
      </c>
      <c r="D35" t="s">
        <v>198</v>
      </c>
      <c r="E35" t="s">
        <v>10</v>
      </c>
      <c r="F35" t="s">
        <v>20</v>
      </c>
      <c r="G35" t="s">
        <v>149</v>
      </c>
      <c r="H35" t="s">
        <v>150</v>
      </c>
      <c r="J35" t="s">
        <v>197</v>
      </c>
      <c r="K35" t="s">
        <v>449</v>
      </c>
      <c r="L35">
        <v>42.240542548216006</v>
      </c>
      <c r="M35">
        <v>0.11589821728638902</v>
      </c>
      <c r="O35" t="s">
        <v>562</v>
      </c>
      <c r="P35" t="s">
        <v>613</v>
      </c>
      <c r="Q35" t="s">
        <v>614</v>
      </c>
      <c r="R35" t="s">
        <v>10</v>
      </c>
      <c r="S35" t="s">
        <v>20</v>
      </c>
      <c r="T35" t="s">
        <v>565</v>
      </c>
      <c r="U35" t="s">
        <v>566</v>
      </c>
      <c r="V35" t="s">
        <v>150</v>
      </c>
      <c r="X35" t="s">
        <v>613</v>
      </c>
      <c r="Y35" t="s">
        <v>557</v>
      </c>
      <c r="Z35" t="s">
        <v>859</v>
      </c>
      <c r="AA35">
        <v>0.99253864063271646</v>
      </c>
      <c r="AB35">
        <v>136.79158840019849</v>
      </c>
      <c r="AD35" t="s">
        <v>562</v>
      </c>
      <c r="AE35" t="s">
        <v>946</v>
      </c>
      <c r="AF35" t="s">
        <v>947</v>
      </c>
      <c r="AG35" t="s">
        <v>10</v>
      </c>
      <c r="AH35" t="s">
        <v>20</v>
      </c>
      <c r="AI35" t="s">
        <v>566</v>
      </c>
      <c r="AJ35" t="s">
        <v>150</v>
      </c>
      <c r="AL35" t="s">
        <v>946</v>
      </c>
      <c r="AM35" t="s">
        <v>1148</v>
      </c>
      <c r="AN35" t="s">
        <v>877</v>
      </c>
      <c r="AO35">
        <v>0.99547447105677267</v>
      </c>
      <c r="AP35">
        <v>82.96803062583389</v>
      </c>
      <c r="AR35" t="s">
        <v>562</v>
      </c>
      <c r="AS35" t="s">
        <v>1285</v>
      </c>
      <c r="AT35" t="s">
        <v>1286</v>
      </c>
      <c r="AU35" t="s">
        <v>10</v>
      </c>
      <c r="AV35" t="s">
        <v>20</v>
      </c>
      <c r="AW35" t="s">
        <v>566</v>
      </c>
      <c r="AX35" t="s">
        <v>150</v>
      </c>
      <c r="AZ35" t="s">
        <v>1285</v>
      </c>
      <c r="BA35" t="s">
        <v>1329</v>
      </c>
      <c r="BB35" t="s">
        <v>856</v>
      </c>
      <c r="BC35">
        <v>0.98620687652221406</v>
      </c>
      <c r="BD35">
        <v>590.53579008321287</v>
      </c>
    </row>
    <row r="36" spans="2:56">
      <c r="B36" t="s">
        <v>146</v>
      </c>
      <c r="C36" t="s">
        <v>199</v>
      </c>
      <c r="D36" t="s">
        <v>200</v>
      </c>
      <c r="E36" t="s">
        <v>10</v>
      </c>
      <c r="F36" t="s">
        <v>20</v>
      </c>
      <c r="G36" t="s">
        <v>149</v>
      </c>
      <c r="H36" t="s">
        <v>150</v>
      </c>
      <c r="J36" t="s">
        <v>199</v>
      </c>
      <c r="K36" t="s">
        <v>450</v>
      </c>
      <c r="L36">
        <v>37.037173828975682</v>
      </c>
      <c r="M36">
        <v>0.15502864331129299</v>
      </c>
      <c r="O36" t="s">
        <v>562</v>
      </c>
      <c r="P36" t="s">
        <v>615</v>
      </c>
      <c r="Q36" t="s">
        <v>616</v>
      </c>
      <c r="R36" t="s">
        <v>10</v>
      </c>
      <c r="S36" t="s">
        <v>20</v>
      </c>
      <c r="T36" t="s">
        <v>565</v>
      </c>
      <c r="U36" t="s">
        <v>566</v>
      </c>
      <c r="V36" t="s">
        <v>150</v>
      </c>
      <c r="X36" t="s">
        <v>615</v>
      </c>
      <c r="Y36" t="s">
        <v>430</v>
      </c>
      <c r="Z36" t="s">
        <v>860</v>
      </c>
      <c r="AA36">
        <v>0.9925555661059412</v>
      </c>
      <c r="AB36">
        <v>136.48128805774428</v>
      </c>
      <c r="AD36" t="s">
        <v>562</v>
      </c>
      <c r="AE36" t="s">
        <v>948</v>
      </c>
      <c r="AF36" t="s">
        <v>949</v>
      </c>
      <c r="AG36" t="s">
        <v>10</v>
      </c>
      <c r="AH36" t="s">
        <v>20</v>
      </c>
      <c r="AI36" t="s">
        <v>566</v>
      </c>
      <c r="AJ36" t="s">
        <v>150</v>
      </c>
      <c r="AL36" t="s">
        <v>948</v>
      </c>
      <c r="AM36" t="s">
        <v>1149</v>
      </c>
      <c r="AN36" t="s">
        <v>858</v>
      </c>
      <c r="AO36">
        <v>0.98690358786307586</v>
      </c>
      <c r="AP36">
        <v>240.10088917694185</v>
      </c>
      <c r="AR36" t="s">
        <v>562</v>
      </c>
      <c r="AS36" t="s">
        <v>1287</v>
      </c>
      <c r="AT36" t="s">
        <v>1288</v>
      </c>
      <c r="AU36" t="s">
        <v>10</v>
      </c>
      <c r="AV36" t="s">
        <v>20</v>
      </c>
      <c r="AW36" t="s">
        <v>566</v>
      </c>
      <c r="AX36" t="s">
        <v>150</v>
      </c>
      <c r="AZ36" t="s">
        <v>1287</v>
      </c>
      <c r="BA36" t="s">
        <v>1330</v>
      </c>
      <c r="BB36" t="s">
        <v>847</v>
      </c>
      <c r="BC36">
        <v>0.97563785990108609</v>
      </c>
      <c r="BD36">
        <v>673.85487111310465</v>
      </c>
    </row>
    <row r="37" spans="2:56">
      <c r="B37" t="s">
        <v>146</v>
      </c>
      <c r="C37" t="s">
        <v>201</v>
      </c>
      <c r="D37" t="s">
        <v>202</v>
      </c>
      <c r="E37" t="s">
        <v>10</v>
      </c>
      <c r="F37" t="s">
        <v>20</v>
      </c>
      <c r="G37" t="s">
        <v>149</v>
      </c>
      <c r="H37" t="s">
        <v>150</v>
      </c>
      <c r="J37" t="s">
        <v>201</v>
      </c>
      <c r="K37" t="s">
        <v>451</v>
      </c>
      <c r="L37">
        <v>33.260429282318107</v>
      </c>
      <c r="M37">
        <v>0.12424810463432867</v>
      </c>
      <c r="O37" t="s">
        <v>562</v>
      </c>
      <c r="P37" t="s">
        <v>617</v>
      </c>
      <c r="Q37" t="s">
        <v>618</v>
      </c>
      <c r="R37" t="s">
        <v>10</v>
      </c>
      <c r="S37" t="s">
        <v>20</v>
      </c>
      <c r="T37" t="s">
        <v>565</v>
      </c>
      <c r="U37" t="s">
        <v>566</v>
      </c>
      <c r="V37" t="s">
        <v>150</v>
      </c>
      <c r="X37" t="s">
        <v>617</v>
      </c>
      <c r="Y37" t="s">
        <v>435</v>
      </c>
      <c r="Z37" t="s">
        <v>844</v>
      </c>
      <c r="AA37">
        <v>0.99065873626587397</v>
      </c>
      <c r="AB37">
        <v>171.25650179230999</v>
      </c>
      <c r="AD37" t="s">
        <v>562</v>
      </c>
      <c r="AE37" t="s">
        <v>950</v>
      </c>
      <c r="AF37" t="s">
        <v>951</v>
      </c>
      <c r="AG37" t="s">
        <v>10</v>
      </c>
      <c r="AH37" t="s">
        <v>20</v>
      </c>
      <c r="AI37" t="s">
        <v>566</v>
      </c>
      <c r="AJ37" t="s">
        <v>150</v>
      </c>
      <c r="AL37" t="s">
        <v>950</v>
      </c>
      <c r="AM37" t="s">
        <v>1150</v>
      </c>
      <c r="AN37" t="s">
        <v>871</v>
      </c>
      <c r="AO37">
        <v>0.9941444177652955</v>
      </c>
      <c r="AP37">
        <v>107.35234096958277</v>
      </c>
      <c r="AR37" t="s">
        <v>562</v>
      </c>
      <c r="AS37" t="s">
        <v>1289</v>
      </c>
      <c r="AT37" t="s">
        <v>1290</v>
      </c>
      <c r="AU37" t="s">
        <v>10</v>
      </c>
      <c r="AV37" t="s">
        <v>20</v>
      </c>
      <c r="AW37" t="s">
        <v>566</v>
      </c>
      <c r="AX37" t="s">
        <v>150</v>
      </c>
      <c r="AZ37" t="s">
        <v>1289</v>
      </c>
      <c r="BA37" t="s">
        <v>1331</v>
      </c>
      <c r="BB37" t="s">
        <v>883</v>
      </c>
      <c r="BC37">
        <v>0.97060428364656626</v>
      </c>
      <c r="BD37">
        <v>713.53623058623612</v>
      </c>
    </row>
    <row r="38" spans="2:56">
      <c r="B38" t="s">
        <v>146</v>
      </c>
      <c r="C38" t="s">
        <v>203</v>
      </c>
      <c r="D38" t="s">
        <v>204</v>
      </c>
      <c r="E38" t="s">
        <v>10</v>
      </c>
      <c r="F38" t="s">
        <v>20</v>
      </c>
      <c r="G38" t="s">
        <v>149</v>
      </c>
      <c r="H38" t="s">
        <v>150</v>
      </c>
      <c r="J38" t="s">
        <v>203</v>
      </c>
      <c r="K38" t="s">
        <v>452</v>
      </c>
      <c r="L38">
        <v>16.477089613528378</v>
      </c>
      <c r="M38">
        <v>0.15393974487827328</v>
      </c>
      <c r="O38" t="s">
        <v>562</v>
      </c>
      <c r="P38" t="s">
        <v>619</v>
      </c>
      <c r="Q38" t="s">
        <v>620</v>
      </c>
      <c r="R38" t="s">
        <v>10</v>
      </c>
      <c r="S38" t="s">
        <v>20</v>
      </c>
      <c r="T38" t="s">
        <v>565</v>
      </c>
      <c r="U38" t="s">
        <v>566</v>
      </c>
      <c r="V38" t="s">
        <v>150</v>
      </c>
      <c r="X38" t="s">
        <v>619</v>
      </c>
      <c r="Y38" t="s">
        <v>457</v>
      </c>
      <c r="Z38" t="s">
        <v>839</v>
      </c>
      <c r="AA38">
        <v>0.98938807156910591</v>
      </c>
      <c r="AB38">
        <v>194.55202123305756</v>
      </c>
      <c r="AD38" t="s">
        <v>562</v>
      </c>
      <c r="AE38" t="s">
        <v>952</v>
      </c>
      <c r="AF38" t="s">
        <v>953</v>
      </c>
      <c r="AG38" t="s">
        <v>10</v>
      </c>
      <c r="AH38" t="s">
        <v>20</v>
      </c>
      <c r="AI38" t="s">
        <v>566</v>
      </c>
      <c r="AJ38" t="s">
        <v>150</v>
      </c>
      <c r="AL38" t="s">
        <v>952</v>
      </c>
      <c r="AM38" t="s">
        <v>1151</v>
      </c>
      <c r="AN38" t="s">
        <v>852</v>
      </c>
      <c r="AO38">
        <v>0.98086141539930738</v>
      </c>
      <c r="AP38">
        <v>350.87405101269854</v>
      </c>
      <c r="AR38" t="s">
        <v>562</v>
      </c>
      <c r="AS38" t="s">
        <v>1291</v>
      </c>
      <c r="AT38" t="s">
        <v>1292</v>
      </c>
      <c r="AU38" t="s">
        <v>10</v>
      </c>
      <c r="AV38" t="s">
        <v>20</v>
      </c>
      <c r="AW38" t="s">
        <v>566</v>
      </c>
      <c r="AX38" t="s">
        <v>150</v>
      </c>
      <c r="AZ38" t="s">
        <v>1291</v>
      </c>
      <c r="BA38" t="s">
        <v>1332</v>
      </c>
      <c r="BB38" t="s">
        <v>883</v>
      </c>
      <c r="BC38">
        <v>0.98574293134283075</v>
      </c>
      <c r="BD38">
        <v>594.19322458068439</v>
      </c>
    </row>
    <row r="39" spans="2:56">
      <c r="B39" t="s">
        <v>146</v>
      </c>
      <c r="C39" t="s">
        <v>205</v>
      </c>
      <c r="D39" t="s">
        <v>206</v>
      </c>
      <c r="E39" t="s">
        <v>10</v>
      </c>
      <c r="F39" t="s">
        <v>20</v>
      </c>
      <c r="G39" t="s">
        <v>149</v>
      </c>
      <c r="H39" t="s">
        <v>150</v>
      </c>
      <c r="J39" t="s">
        <v>205</v>
      </c>
      <c r="K39" t="s">
        <v>453</v>
      </c>
      <c r="L39">
        <v>17.005996774007244</v>
      </c>
      <c r="M39">
        <v>9.4724172594964143E-2</v>
      </c>
      <c r="O39" t="s">
        <v>562</v>
      </c>
      <c r="P39" t="s">
        <v>621</v>
      </c>
      <c r="Q39" t="s">
        <v>622</v>
      </c>
      <c r="R39" t="s">
        <v>10</v>
      </c>
      <c r="S39" t="s">
        <v>20</v>
      </c>
      <c r="T39" t="s">
        <v>565</v>
      </c>
      <c r="U39" t="s">
        <v>566</v>
      </c>
      <c r="V39" t="s">
        <v>150</v>
      </c>
      <c r="X39" t="s">
        <v>621</v>
      </c>
      <c r="Y39" t="s">
        <v>473</v>
      </c>
      <c r="Z39" t="s">
        <v>861</v>
      </c>
      <c r="AA39">
        <v>0.99343882906134406</v>
      </c>
      <c r="AB39">
        <v>120.28813387535965</v>
      </c>
      <c r="AD39" t="s">
        <v>562</v>
      </c>
      <c r="AE39" t="s">
        <v>954</v>
      </c>
      <c r="AF39" t="s">
        <v>955</v>
      </c>
      <c r="AG39" t="s">
        <v>10</v>
      </c>
      <c r="AH39" t="s">
        <v>20</v>
      </c>
      <c r="AI39" t="s">
        <v>566</v>
      </c>
      <c r="AJ39" t="s">
        <v>150</v>
      </c>
      <c r="AL39" t="s">
        <v>954</v>
      </c>
      <c r="AM39" t="s">
        <v>1152</v>
      </c>
      <c r="AN39" t="s">
        <v>855</v>
      </c>
      <c r="AO39">
        <v>0.98555037049604</v>
      </c>
      <c r="AP39">
        <v>264.90987423926674</v>
      </c>
      <c r="AR39" t="s">
        <v>562</v>
      </c>
      <c r="AS39" t="s">
        <v>1293</v>
      </c>
      <c r="AT39" t="s">
        <v>1294</v>
      </c>
      <c r="AU39" t="s">
        <v>10</v>
      </c>
      <c r="AV39" t="s">
        <v>20</v>
      </c>
      <c r="AW39" t="s">
        <v>566</v>
      </c>
      <c r="AX39" t="s">
        <v>150</v>
      </c>
      <c r="AZ39" t="s">
        <v>1293</v>
      </c>
      <c r="BA39" t="s">
        <v>1333</v>
      </c>
      <c r="BB39" t="s">
        <v>884</v>
      </c>
      <c r="BC39">
        <v>0.98120414321706895</v>
      </c>
      <c r="BD39">
        <v>629.97400430543962</v>
      </c>
    </row>
    <row r="40" spans="2:56">
      <c r="B40" t="s">
        <v>146</v>
      </c>
      <c r="C40" t="s">
        <v>207</v>
      </c>
      <c r="D40" t="s">
        <v>208</v>
      </c>
      <c r="E40" t="s">
        <v>10</v>
      </c>
      <c r="F40" t="s">
        <v>20</v>
      </c>
      <c r="G40" t="s">
        <v>149</v>
      </c>
      <c r="H40" t="s">
        <v>150</v>
      </c>
      <c r="J40" t="s">
        <v>207</v>
      </c>
      <c r="K40" t="s">
        <v>454</v>
      </c>
      <c r="L40">
        <v>94.056293465955179</v>
      </c>
      <c r="M40">
        <v>0.10271449215852078</v>
      </c>
      <c r="O40" t="s">
        <v>562</v>
      </c>
      <c r="P40" t="s">
        <v>623</v>
      </c>
      <c r="Q40" t="s">
        <v>624</v>
      </c>
      <c r="R40" t="s">
        <v>10</v>
      </c>
      <c r="S40" t="s">
        <v>20</v>
      </c>
      <c r="T40" t="s">
        <v>565</v>
      </c>
      <c r="U40" t="s">
        <v>566</v>
      </c>
      <c r="V40" t="s">
        <v>150</v>
      </c>
      <c r="X40" t="s">
        <v>623</v>
      </c>
      <c r="Y40" t="s">
        <v>481</v>
      </c>
      <c r="Z40" t="s">
        <v>846</v>
      </c>
      <c r="AA40">
        <v>0.98651074125865823</v>
      </c>
      <c r="AB40">
        <v>247.30307692459905</v>
      </c>
      <c r="AD40" t="s">
        <v>562</v>
      </c>
      <c r="AE40" t="s">
        <v>956</v>
      </c>
      <c r="AF40" t="s">
        <v>957</v>
      </c>
      <c r="AG40" t="s">
        <v>10</v>
      </c>
      <c r="AH40" t="s">
        <v>20</v>
      </c>
      <c r="AI40" t="s">
        <v>566</v>
      </c>
      <c r="AJ40" t="s">
        <v>150</v>
      </c>
      <c r="AL40" t="s">
        <v>956</v>
      </c>
      <c r="AM40" t="s">
        <v>1153</v>
      </c>
      <c r="AN40" t="s">
        <v>840</v>
      </c>
      <c r="AO40">
        <v>0.98040327309339681</v>
      </c>
      <c r="AP40">
        <v>359.27332662105931</v>
      </c>
      <c r="AR40" t="s">
        <v>562</v>
      </c>
      <c r="AS40" t="s">
        <v>1295</v>
      </c>
      <c r="AT40" t="s">
        <v>1296</v>
      </c>
      <c r="AU40" t="s">
        <v>10</v>
      </c>
      <c r="AV40" t="s">
        <v>20</v>
      </c>
      <c r="AW40" t="s">
        <v>566</v>
      </c>
      <c r="AX40" t="s">
        <v>150</v>
      </c>
      <c r="AZ40" t="s">
        <v>1295</v>
      </c>
      <c r="BA40" t="s">
        <v>1334</v>
      </c>
      <c r="BB40" t="s">
        <v>860</v>
      </c>
      <c r="BC40">
        <v>0.97216269524702603</v>
      </c>
      <c r="BD40">
        <v>701.2507524692785</v>
      </c>
    </row>
    <row r="41" spans="2:56">
      <c r="B41" t="s">
        <v>146</v>
      </c>
      <c r="C41" t="s">
        <v>209</v>
      </c>
      <c r="D41" t="s">
        <v>210</v>
      </c>
      <c r="E41" t="s">
        <v>10</v>
      </c>
      <c r="F41" t="s">
        <v>20</v>
      </c>
      <c r="G41" t="s">
        <v>149</v>
      </c>
      <c r="H41" t="s">
        <v>150</v>
      </c>
      <c r="J41" t="s">
        <v>209</v>
      </c>
      <c r="K41" t="s">
        <v>455</v>
      </c>
      <c r="L41">
        <v>7.6690928228956494</v>
      </c>
      <c r="M41">
        <v>0.1641123084937208</v>
      </c>
      <c r="O41" t="s">
        <v>562</v>
      </c>
      <c r="P41" t="s">
        <v>625</v>
      </c>
      <c r="Q41" t="s">
        <v>626</v>
      </c>
      <c r="R41" t="s">
        <v>10</v>
      </c>
      <c r="S41" t="s">
        <v>20</v>
      </c>
      <c r="T41" t="s">
        <v>565</v>
      </c>
      <c r="U41" t="s">
        <v>566</v>
      </c>
      <c r="V41" t="s">
        <v>150</v>
      </c>
      <c r="X41" t="s">
        <v>625</v>
      </c>
      <c r="Y41" t="s">
        <v>482</v>
      </c>
      <c r="Z41" t="s">
        <v>846</v>
      </c>
      <c r="AA41">
        <v>0.9830960556239321</v>
      </c>
      <c r="AB41">
        <v>309.90564689457773</v>
      </c>
      <c r="AD41" t="s">
        <v>562</v>
      </c>
      <c r="AE41" t="s">
        <v>958</v>
      </c>
      <c r="AF41" t="s">
        <v>959</v>
      </c>
      <c r="AG41" t="s">
        <v>10</v>
      </c>
      <c r="AH41" t="s">
        <v>20</v>
      </c>
      <c r="AI41" t="s">
        <v>566</v>
      </c>
      <c r="AJ41" t="s">
        <v>150</v>
      </c>
      <c r="AL41" t="s">
        <v>958</v>
      </c>
      <c r="AM41" t="s">
        <v>1154</v>
      </c>
      <c r="AN41" t="s">
        <v>856</v>
      </c>
      <c r="AO41">
        <v>0.99177071872011402</v>
      </c>
      <c r="AP41">
        <v>150.87015679790983</v>
      </c>
      <c r="AR41" t="s">
        <v>562</v>
      </c>
      <c r="AS41" t="s">
        <v>1297</v>
      </c>
      <c r="AT41" t="s">
        <v>1298</v>
      </c>
      <c r="AU41" t="s">
        <v>10</v>
      </c>
      <c r="AV41" t="s">
        <v>20</v>
      </c>
      <c r="AW41" t="s">
        <v>566</v>
      </c>
      <c r="AX41" t="s">
        <v>150</v>
      </c>
      <c r="AZ41" t="s">
        <v>1297</v>
      </c>
      <c r="BA41" t="s">
        <v>1335</v>
      </c>
      <c r="BB41" t="s">
        <v>882</v>
      </c>
      <c r="BC41">
        <v>0.97987853234085787</v>
      </c>
      <c r="BD41">
        <v>640.42423671290419</v>
      </c>
    </row>
    <row r="42" spans="2:56">
      <c r="B42" t="s">
        <v>146</v>
      </c>
      <c r="C42" t="s">
        <v>211</v>
      </c>
      <c r="D42" t="s">
        <v>212</v>
      </c>
      <c r="E42" t="s">
        <v>10</v>
      </c>
      <c r="F42" t="s">
        <v>20</v>
      </c>
      <c r="G42" t="s">
        <v>149</v>
      </c>
      <c r="H42" t="s">
        <v>150</v>
      </c>
      <c r="J42" t="s">
        <v>211</v>
      </c>
      <c r="K42" t="s">
        <v>456</v>
      </c>
      <c r="L42">
        <v>4.230533780885831</v>
      </c>
      <c r="M42">
        <v>0.13523169905555205</v>
      </c>
      <c r="O42" t="s">
        <v>562</v>
      </c>
      <c r="P42" t="s">
        <v>627</v>
      </c>
      <c r="Q42" t="s">
        <v>628</v>
      </c>
      <c r="R42" t="s">
        <v>10</v>
      </c>
      <c r="S42" t="s">
        <v>20</v>
      </c>
      <c r="T42" t="s">
        <v>565</v>
      </c>
      <c r="U42" t="s">
        <v>566</v>
      </c>
      <c r="V42" t="s">
        <v>150</v>
      </c>
      <c r="X42" t="s">
        <v>627</v>
      </c>
      <c r="Y42" t="s">
        <v>483</v>
      </c>
      <c r="Z42" t="s">
        <v>846</v>
      </c>
      <c r="AA42">
        <v>0.97890021753140011</v>
      </c>
      <c r="AB42">
        <v>386.8293452576653</v>
      </c>
      <c r="AD42" t="s">
        <v>562</v>
      </c>
      <c r="AE42" t="s">
        <v>960</v>
      </c>
      <c r="AF42" t="s">
        <v>961</v>
      </c>
      <c r="AG42" t="s">
        <v>10</v>
      </c>
      <c r="AH42" t="s">
        <v>20</v>
      </c>
      <c r="AI42" t="s">
        <v>566</v>
      </c>
      <c r="AJ42" t="s">
        <v>150</v>
      </c>
      <c r="AL42" t="s">
        <v>960</v>
      </c>
      <c r="AM42" t="s">
        <v>1155</v>
      </c>
      <c r="AN42" t="s">
        <v>870</v>
      </c>
      <c r="AO42">
        <v>0.9871975802659102</v>
      </c>
      <c r="AP42">
        <v>234.7110284583128</v>
      </c>
      <c r="AR42" t="s">
        <v>562</v>
      </c>
      <c r="AS42" t="s">
        <v>1299</v>
      </c>
      <c r="AT42" t="s">
        <v>1300</v>
      </c>
      <c r="AU42" t="s">
        <v>10</v>
      </c>
      <c r="AV42" t="s">
        <v>20</v>
      </c>
      <c r="AW42" t="s">
        <v>566</v>
      </c>
      <c r="AX42" t="s">
        <v>150</v>
      </c>
      <c r="AZ42" t="s">
        <v>1299</v>
      </c>
      <c r="BA42" t="s">
        <v>1336</v>
      </c>
      <c r="BB42" t="s">
        <v>884</v>
      </c>
      <c r="BC42">
        <v>0.97542834759532293</v>
      </c>
      <c r="BD42">
        <v>675.5065264568708</v>
      </c>
    </row>
    <row r="43" spans="2:56">
      <c r="B43" t="s">
        <v>146</v>
      </c>
      <c r="C43" t="s">
        <v>213</v>
      </c>
      <c r="D43" t="s">
        <v>214</v>
      </c>
      <c r="E43" t="s">
        <v>10</v>
      </c>
      <c r="F43" t="s">
        <v>20</v>
      </c>
      <c r="G43" t="s">
        <v>149</v>
      </c>
      <c r="H43" t="s">
        <v>150</v>
      </c>
      <c r="J43" t="s">
        <v>213</v>
      </c>
      <c r="K43" t="s">
        <v>457</v>
      </c>
      <c r="L43">
        <v>46.657059979724536</v>
      </c>
      <c r="M43">
        <v>0.16862144157582445</v>
      </c>
      <c r="O43" t="s">
        <v>562</v>
      </c>
      <c r="P43" t="s">
        <v>629</v>
      </c>
      <c r="Q43" t="s">
        <v>630</v>
      </c>
      <c r="R43" t="s">
        <v>10</v>
      </c>
      <c r="S43" t="s">
        <v>20</v>
      </c>
      <c r="T43" t="s">
        <v>565</v>
      </c>
      <c r="U43" t="s">
        <v>566</v>
      </c>
      <c r="V43" t="s">
        <v>150</v>
      </c>
      <c r="X43" t="s">
        <v>629</v>
      </c>
      <c r="Y43" t="s">
        <v>500</v>
      </c>
      <c r="Z43" t="s">
        <v>862</v>
      </c>
      <c r="AA43">
        <v>0.99101211074213258</v>
      </c>
      <c r="AB43">
        <v>164.77796972756968</v>
      </c>
      <c r="AD43" t="s">
        <v>562</v>
      </c>
      <c r="AE43" t="s">
        <v>962</v>
      </c>
      <c r="AF43" t="s">
        <v>963</v>
      </c>
      <c r="AG43" t="s">
        <v>10</v>
      </c>
      <c r="AH43" t="s">
        <v>20</v>
      </c>
      <c r="AI43" t="s">
        <v>566</v>
      </c>
      <c r="AJ43" t="s">
        <v>150</v>
      </c>
      <c r="AL43" t="s">
        <v>962</v>
      </c>
      <c r="AM43" t="s">
        <v>1156</v>
      </c>
      <c r="AN43" t="s">
        <v>878</v>
      </c>
      <c r="AO43">
        <v>0.99140701799255504</v>
      </c>
      <c r="AP43">
        <v>157.53800346982385</v>
      </c>
      <c r="AR43" t="s">
        <v>562</v>
      </c>
      <c r="AS43" t="s">
        <v>1301</v>
      </c>
      <c r="AT43" t="s">
        <v>1302</v>
      </c>
      <c r="AU43" t="s">
        <v>10</v>
      </c>
      <c r="AV43" t="s">
        <v>20</v>
      </c>
      <c r="AW43" t="s">
        <v>566</v>
      </c>
      <c r="AX43" t="s">
        <v>150</v>
      </c>
      <c r="AZ43" t="s">
        <v>1301</v>
      </c>
      <c r="BA43" t="s">
        <v>1337</v>
      </c>
      <c r="BB43" t="s">
        <v>876</v>
      </c>
      <c r="BC43">
        <v>0.97190684035904551</v>
      </c>
      <c r="BD43">
        <v>703.26774183619148</v>
      </c>
    </row>
    <row r="44" spans="2:56">
      <c r="B44" t="s">
        <v>146</v>
      </c>
      <c r="C44" t="s">
        <v>215</v>
      </c>
      <c r="D44" t="s">
        <v>216</v>
      </c>
      <c r="E44" t="s">
        <v>10</v>
      </c>
      <c r="F44" t="s">
        <v>20</v>
      </c>
      <c r="G44" t="s">
        <v>149</v>
      </c>
      <c r="H44" t="s">
        <v>150</v>
      </c>
      <c r="J44" t="s">
        <v>215</v>
      </c>
      <c r="K44" t="s">
        <v>458</v>
      </c>
      <c r="L44">
        <v>36.190613719515994</v>
      </c>
      <c r="M44">
        <v>0.18161454773109653</v>
      </c>
      <c r="O44" t="s">
        <v>562</v>
      </c>
      <c r="P44" t="s">
        <v>631</v>
      </c>
      <c r="Q44" t="s">
        <v>632</v>
      </c>
      <c r="R44" t="s">
        <v>10</v>
      </c>
      <c r="S44" t="s">
        <v>20</v>
      </c>
      <c r="T44" t="s">
        <v>565</v>
      </c>
      <c r="U44" t="s">
        <v>566</v>
      </c>
      <c r="V44" t="s">
        <v>150</v>
      </c>
      <c r="X44" t="s">
        <v>631</v>
      </c>
      <c r="Y44" t="s">
        <v>543</v>
      </c>
      <c r="Z44" t="s">
        <v>863</v>
      </c>
      <c r="AA44">
        <v>0.98808830690953586</v>
      </c>
      <c r="AB44">
        <v>218.38103999184321</v>
      </c>
      <c r="AD44" t="s">
        <v>562</v>
      </c>
      <c r="AE44" t="s">
        <v>964</v>
      </c>
      <c r="AF44" t="s">
        <v>965</v>
      </c>
      <c r="AG44" t="s">
        <v>10</v>
      </c>
      <c r="AH44" t="s">
        <v>20</v>
      </c>
      <c r="AI44" t="s">
        <v>566</v>
      </c>
      <c r="AJ44" t="s">
        <v>150</v>
      </c>
      <c r="AL44" t="s">
        <v>964</v>
      </c>
      <c r="AM44" t="s">
        <v>1157</v>
      </c>
      <c r="AN44" t="s">
        <v>863</v>
      </c>
      <c r="AO44">
        <v>0.98565286420409937</v>
      </c>
      <c r="AP44">
        <v>263.03082292484481</v>
      </c>
      <c r="AR44" t="s">
        <v>562</v>
      </c>
      <c r="AS44" t="s">
        <v>1303</v>
      </c>
      <c r="AT44" t="s">
        <v>1304</v>
      </c>
      <c r="AU44" t="s">
        <v>10</v>
      </c>
      <c r="AV44" t="s">
        <v>20</v>
      </c>
      <c r="AW44" t="s">
        <v>566</v>
      </c>
      <c r="AX44" t="s">
        <v>150</v>
      </c>
      <c r="AZ44" t="s">
        <v>1303</v>
      </c>
      <c r="BA44" t="s">
        <v>1338</v>
      </c>
      <c r="BB44" t="s">
        <v>869</v>
      </c>
      <c r="BC44">
        <v>0.99063171688389717</v>
      </c>
      <c r="BD44">
        <v>548.62415996795482</v>
      </c>
    </row>
    <row r="45" spans="2:56">
      <c r="B45" t="s">
        <v>146</v>
      </c>
      <c r="C45" t="s">
        <v>217</v>
      </c>
      <c r="D45" t="s">
        <v>218</v>
      </c>
      <c r="E45" t="s">
        <v>10</v>
      </c>
      <c r="F45" t="s">
        <v>20</v>
      </c>
      <c r="G45" t="s">
        <v>149</v>
      </c>
      <c r="H45" t="s">
        <v>150</v>
      </c>
      <c r="J45" t="s">
        <v>217</v>
      </c>
      <c r="K45" t="s">
        <v>459</v>
      </c>
      <c r="L45">
        <v>14.892969495433729</v>
      </c>
      <c r="M45">
        <v>0.2034020175543331</v>
      </c>
      <c r="O45" t="s">
        <v>562</v>
      </c>
      <c r="P45" t="s">
        <v>633</v>
      </c>
      <c r="Q45" t="s">
        <v>634</v>
      </c>
      <c r="R45" t="s">
        <v>10</v>
      </c>
      <c r="S45" t="s">
        <v>20</v>
      </c>
      <c r="T45" t="s">
        <v>565</v>
      </c>
      <c r="U45" t="s">
        <v>566</v>
      </c>
      <c r="V45" t="s">
        <v>150</v>
      </c>
      <c r="X45" t="s">
        <v>633</v>
      </c>
      <c r="Y45" t="s">
        <v>427</v>
      </c>
      <c r="Z45" t="s">
        <v>864</v>
      </c>
      <c r="AA45">
        <v>0.9941804823678142</v>
      </c>
      <c r="AB45">
        <v>106.6911565900724</v>
      </c>
      <c r="AD45" t="s">
        <v>562</v>
      </c>
      <c r="AE45" t="s">
        <v>966</v>
      </c>
      <c r="AF45" t="s">
        <v>967</v>
      </c>
      <c r="AG45" t="s">
        <v>10</v>
      </c>
      <c r="AH45" t="s">
        <v>20</v>
      </c>
      <c r="AI45" t="s">
        <v>566</v>
      </c>
      <c r="AJ45" t="s">
        <v>150</v>
      </c>
      <c r="AL45" t="s">
        <v>966</v>
      </c>
      <c r="AM45" t="s">
        <v>1158</v>
      </c>
      <c r="AN45" t="s">
        <v>885</v>
      </c>
      <c r="AO45">
        <v>0.98600984216520959</v>
      </c>
      <c r="AP45">
        <v>256.48622697115769</v>
      </c>
    </row>
    <row r="46" spans="2:56">
      <c r="B46" t="s">
        <v>146</v>
      </c>
      <c r="C46" t="s">
        <v>219</v>
      </c>
      <c r="D46" t="s">
        <v>220</v>
      </c>
      <c r="E46" t="s">
        <v>10</v>
      </c>
      <c r="F46" t="s">
        <v>20</v>
      </c>
      <c r="G46" t="s">
        <v>149</v>
      </c>
      <c r="H46" t="s">
        <v>150</v>
      </c>
      <c r="J46" t="s">
        <v>219</v>
      </c>
      <c r="K46" t="s">
        <v>460</v>
      </c>
      <c r="L46">
        <v>60.010763040092975</v>
      </c>
      <c r="M46">
        <v>0.17941797560899714</v>
      </c>
      <c r="O46" t="s">
        <v>562</v>
      </c>
      <c r="P46" t="s">
        <v>635</v>
      </c>
      <c r="Q46" t="s">
        <v>636</v>
      </c>
      <c r="R46" t="s">
        <v>10</v>
      </c>
      <c r="S46" t="s">
        <v>20</v>
      </c>
      <c r="T46" t="s">
        <v>565</v>
      </c>
      <c r="U46" t="s">
        <v>566</v>
      </c>
      <c r="V46" t="s">
        <v>150</v>
      </c>
      <c r="X46" t="s">
        <v>635</v>
      </c>
      <c r="Y46" t="s">
        <v>433</v>
      </c>
      <c r="Z46" t="s">
        <v>865</v>
      </c>
      <c r="AA46">
        <v>0.99511659056551938</v>
      </c>
      <c r="AB46">
        <v>89.52917296547848</v>
      </c>
      <c r="AD46" t="s">
        <v>562</v>
      </c>
      <c r="AE46" t="s">
        <v>968</v>
      </c>
      <c r="AF46" t="s">
        <v>969</v>
      </c>
      <c r="AG46" t="s">
        <v>10</v>
      </c>
      <c r="AH46" t="s">
        <v>20</v>
      </c>
      <c r="AI46" t="s">
        <v>566</v>
      </c>
      <c r="AJ46" t="s">
        <v>150</v>
      </c>
      <c r="AL46" t="s">
        <v>968</v>
      </c>
      <c r="AM46" t="s">
        <v>1159</v>
      </c>
      <c r="AN46" t="s">
        <v>840</v>
      </c>
      <c r="AO46">
        <v>0.99430130634228164</v>
      </c>
      <c r="AP46">
        <v>104.47605039150224</v>
      </c>
    </row>
    <row r="47" spans="2:56">
      <c r="B47" t="s">
        <v>146</v>
      </c>
      <c r="C47" t="s">
        <v>221</v>
      </c>
      <c r="D47" t="s">
        <v>222</v>
      </c>
      <c r="E47" t="s">
        <v>10</v>
      </c>
      <c r="F47" t="s">
        <v>20</v>
      </c>
      <c r="G47" t="s">
        <v>149</v>
      </c>
      <c r="H47" t="s">
        <v>150</v>
      </c>
      <c r="J47" t="s">
        <v>221</v>
      </c>
      <c r="K47" t="s">
        <v>461</v>
      </c>
      <c r="L47">
        <v>18.645810247086654</v>
      </c>
      <c r="M47">
        <v>0.2005830020958522</v>
      </c>
      <c r="O47" t="s">
        <v>562</v>
      </c>
      <c r="P47" t="s">
        <v>637</v>
      </c>
      <c r="Q47" t="s">
        <v>638</v>
      </c>
      <c r="R47" t="s">
        <v>10</v>
      </c>
      <c r="S47" t="s">
        <v>20</v>
      </c>
      <c r="T47" t="s">
        <v>565</v>
      </c>
      <c r="U47" t="s">
        <v>566</v>
      </c>
      <c r="V47" t="s">
        <v>150</v>
      </c>
      <c r="X47" t="s">
        <v>637</v>
      </c>
      <c r="Y47" t="s">
        <v>438</v>
      </c>
      <c r="Z47" t="s">
        <v>844</v>
      </c>
      <c r="AA47">
        <v>0.96952136011150125</v>
      </c>
      <c r="AB47">
        <v>558.77506462247754</v>
      </c>
      <c r="AD47" t="s">
        <v>562</v>
      </c>
      <c r="AE47" t="s">
        <v>970</v>
      </c>
      <c r="AF47" t="s">
        <v>971</v>
      </c>
      <c r="AG47" t="s">
        <v>10</v>
      </c>
      <c r="AH47" t="s">
        <v>20</v>
      </c>
      <c r="AI47" t="s">
        <v>566</v>
      </c>
      <c r="AJ47" t="s">
        <v>150</v>
      </c>
      <c r="AL47" t="s">
        <v>970</v>
      </c>
      <c r="AM47" t="s">
        <v>1160</v>
      </c>
      <c r="AN47" t="s">
        <v>883</v>
      </c>
      <c r="AO47">
        <v>0.99215445883125275</v>
      </c>
      <c r="AP47">
        <v>143.83492142703278</v>
      </c>
    </row>
    <row r="48" spans="2:56">
      <c r="B48" t="s">
        <v>146</v>
      </c>
      <c r="C48" t="s">
        <v>223</v>
      </c>
      <c r="D48" t="s">
        <v>224</v>
      </c>
      <c r="E48" t="s">
        <v>10</v>
      </c>
      <c r="F48" t="s">
        <v>20</v>
      </c>
      <c r="G48" t="s">
        <v>149</v>
      </c>
      <c r="H48" t="s">
        <v>150</v>
      </c>
      <c r="J48" t="s">
        <v>223</v>
      </c>
      <c r="K48" t="s">
        <v>462</v>
      </c>
      <c r="L48">
        <v>27.935203107997932</v>
      </c>
      <c r="M48">
        <v>0.19086510700033388</v>
      </c>
      <c r="O48" t="s">
        <v>562</v>
      </c>
      <c r="P48" t="s">
        <v>639</v>
      </c>
      <c r="Q48" t="s">
        <v>640</v>
      </c>
      <c r="R48" t="s">
        <v>10</v>
      </c>
      <c r="S48" t="s">
        <v>20</v>
      </c>
      <c r="T48" t="s">
        <v>565</v>
      </c>
      <c r="U48" t="s">
        <v>566</v>
      </c>
      <c r="V48" t="s">
        <v>150</v>
      </c>
      <c r="X48" t="s">
        <v>639</v>
      </c>
      <c r="Y48" t="s">
        <v>478</v>
      </c>
      <c r="Z48" t="s">
        <v>866</v>
      </c>
      <c r="AA48">
        <v>0.98977876009625232</v>
      </c>
      <c r="AB48">
        <v>187.38939823537481</v>
      </c>
      <c r="AD48" t="s">
        <v>562</v>
      </c>
      <c r="AE48" t="s">
        <v>972</v>
      </c>
      <c r="AF48" t="s">
        <v>973</v>
      </c>
      <c r="AG48" t="s">
        <v>10</v>
      </c>
      <c r="AH48" t="s">
        <v>20</v>
      </c>
      <c r="AI48" t="s">
        <v>566</v>
      </c>
      <c r="AJ48" t="s">
        <v>150</v>
      </c>
      <c r="AL48" t="s">
        <v>972</v>
      </c>
      <c r="AM48" t="s">
        <v>1161</v>
      </c>
      <c r="AN48" t="s">
        <v>887</v>
      </c>
      <c r="AO48">
        <v>0.97814391961975855</v>
      </c>
      <c r="AP48">
        <v>400.69480697109378</v>
      </c>
    </row>
    <row r="49" spans="2:42">
      <c r="B49" t="s">
        <v>146</v>
      </c>
      <c r="C49" t="s">
        <v>225</v>
      </c>
      <c r="D49" t="s">
        <v>226</v>
      </c>
      <c r="E49" t="s">
        <v>10</v>
      </c>
      <c r="F49" t="s">
        <v>20</v>
      </c>
      <c r="G49" t="s">
        <v>149</v>
      </c>
      <c r="H49" t="s">
        <v>150</v>
      </c>
      <c r="J49" t="s">
        <v>225</v>
      </c>
      <c r="K49" t="s">
        <v>463</v>
      </c>
      <c r="L49">
        <v>115.53513299908148</v>
      </c>
      <c r="M49">
        <v>0.20574399928443188</v>
      </c>
      <c r="O49" t="s">
        <v>562</v>
      </c>
      <c r="P49" t="s">
        <v>641</v>
      </c>
      <c r="Q49" t="s">
        <v>642</v>
      </c>
      <c r="R49" t="s">
        <v>10</v>
      </c>
      <c r="S49" t="s">
        <v>20</v>
      </c>
      <c r="T49" t="s">
        <v>565</v>
      </c>
      <c r="U49" t="s">
        <v>566</v>
      </c>
      <c r="V49" t="s">
        <v>150</v>
      </c>
      <c r="X49" t="s">
        <v>641</v>
      </c>
      <c r="Y49" t="s">
        <v>498</v>
      </c>
      <c r="Z49" t="s">
        <v>848</v>
      </c>
      <c r="AA49">
        <v>0.99133392870479353</v>
      </c>
      <c r="AB49">
        <v>158.87797374545147</v>
      </c>
      <c r="AD49" t="s">
        <v>562</v>
      </c>
      <c r="AE49" t="s">
        <v>974</v>
      </c>
      <c r="AF49" t="s">
        <v>975</v>
      </c>
      <c r="AG49" t="s">
        <v>10</v>
      </c>
      <c r="AH49" t="s">
        <v>20</v>
      </c>
      <c r="AI49" t="s">
        <v>566</v>
      </c>
      <c r="AJ49" t="s">
        <v>150</v>
      </c>
      <c r="AL49" t="s">
        <v>974</v>
      </c>
      <c r="AM49" t="s">
        <v>1162</v>
      </c>
      <c r="AN49" t="s">
        <v>842</v>
      </c>
      <c r="AO49">
        <v>0.99224639661619274</v>
      </c>
      <c r="AP49">
        <v>142.14939536980046</v>
      </c>
    </row>
    <row r="50" spans="2:42">
      <c r="B50" t="s">
        <v>146</v>
      </c>
      <c r="C50" t="s">
        <v>227</v>
      </c>
      <c r="D50" t="s">
        <v>228</v>
      </c>
      <c r="E50" t="s">
        <v>10</v>
      </c>
      <c r="F50" t="s">
        <v>20</v>
      </c>
      <c r="G50" t="s">
        <v>149</v>
      </c>
      <c r="H50" t="s">
        <v>150</v>
      </c>
      <c r="J50" t="s">
        <v>227</v>
      </c>
      <c r="K50" t="s">
        <v>464</v>
      </c>
      <c r="L50">
        <v>125.8982485085624</v>
      </c>
      <c r="M50">
        <v>0.2146583184351705</v>
      </c>
      <c r="O50" t="s">
        <v>562</v>
      </c>
      <c r="P50" t="s">
        <v>643</v>
      </c>
      <c r="Q50" t="s">
        <v>644</v>
      </c>
      <c r="R50" t="s">
        <v>10</v>
      </c>
      <c r="S50" t="s">
        <v>20</v>
      </c>
      <c r="T50" t="s">
        <v>565</v>
      </c>
      <c r="U50" t="s">
        <v>566</v>
      </c>
      <c r="V50" t="s">
        <v>150</v>
      </c>
      <c r="X50" t="s">
        <v>643</v>
      </c>
      <c r="Y50" t="s">
        <v>511</v>
      </c>
      <c r="Z50" t="s">
        <v>867</v>
      </c>
      <c r="AA50">
        <v>0.9810875794416769</v>
      </c>
      <c r="AB50">
        <v>346.72771023592401</v>
      </c>
      <c r="AD50" t="s">
        <v>562</v>
      </c>
      <c r="AE50" t="s">
        <v>976</v>
      </c>
      <c r="AF50" t="s">
        <v>977</v>
      </c>
      <c r="AG50" t="s">
        <v>10</v>
      </c>
      <c r="AH50" t="s">
        <v>20</v>
      </c>
      <c r="AI50" t="s">
        <v>566</v>
      </c>
      <c r="AJ50" t="s">
        <v>150</v>
      </c>
      <c r="AL50" t="s">
        <v>976</v>
      </c>
      <c r="AM50" t="s">
        <v>1163</v>
      </c>
      <c r="AN50" t="s">
        <v>868</v>
      </c>
      <c r="AO50">
        <v>0.98477063994548064</v>
      </c>
      <c r="AP50">
        <v>279.20493433285503</v>
      </c>
    </row>
    <row r="51" spans="2:42">
      <c r="B51" t="s">
        <v>146</v>
      </c>
      <c r="C51" t="s">
        <v>229</v>
      </c>
      <c r="D51" t="s">
        <v>230</v>
      </c>
      <c r="E51" t="s">
        <v>10</v>
      </c>
      <c r="F51" t="s">
        <v>20</v>
      </c>
      <c r="G51" t="s">
        <v>149</v>
      </c>
      <c r="H51" t="s">
        <v>150</v>
      </c>
      <c r="J51" t="s">
        <v>229</v>
      </c>
      <c r="K51" t="s">
        <v>465</v>
      </c>
      <c r="L51">
        <v>69.380268494141532</v>
      </c>
      <c r="M51">
        <v>0.21455253487363024</v>
      </c>
      <c r="O51" t="s">
        <v>562</v>
      </c>
      <c r="P51" t="s">
        <v>645</v>
      </c>
      <c r="Q51" t="s">
        <v>646</v>
      </c>
      <c r="R51" t="s">
        <v>10</v>
      </c>
      <c r="S51" t="s">
        <v>20</v>
      </c>
      <c r="T51" t="s">
        <v>565</v>
      </c>
      <c r="U51" t="s">
        <v>566</v>
      </c>
      <c r="V51" t="s">
        <v>150</v>
      </c>
      <c r="X51" t="s">
        <v>645</v>
      </c>
      <c r="Y51" t="s">
        <v>514</v>
      </c>
      <c r="Z51" t="s">
        <v>868</v>
      </c>
      <c r="AA51">
        <v>0.99206450778354704</v>
      </c>
      <c r="AB51">
        <v>145.4840239683044</v>
      </c>
      <c r="AD51" t="s">
        <v>562</v>
      </c>
      <c r="AE51" t="s">
        <v>978</v>
      </c>
      <c r="AF51" t="s">
        <v>979</v>
      </c>
      <c r="AG51" t="s">
        <v>10</v>
      </c>
      <c r="AH51" t="s">
        <v>20</v>
      </c>
      <c r="AI51" t="s">
        <v>566</v>
      </c>
      <c r="AJ51" t="s">
        <v>150</v>
      </c>
      <c r="AL51" t="s">
        <v>978</v>
      </c>
      <c r="AM51" t="s">
        <v>1164</v>
      </c>
      <c r="AN51" t="s">
        <v>884</v>
      </c>
      <c r="AO51">
        <v>0.98880526729129725</v>
      </c>
      <c r="AP51">
        <v>205.23676632621752</v>
      </c>
    </row>
    <row r="52" spans="2:42">
      <c r="B52" t="s">
        <v>146</v>
      </c>
      <c r="C52" t="s">
        <v>231</v>
      </c>
      <c r="D52" t="s">
        <v>232</v>
      </c>
      <c r="E52" t="s">
        <v>10</v>
      </c>
      <c r="F52" t="s">
        <v>20</v>
      </c>
      <c r="G52" t="s">
        <v>149</v>
      </c>
      <c r="H52" t="s">
        <v>150</v>
      </c>
      <c r="J52" t="s">
        <v>231</v>
      </c>
      <c r="K52" t="s">
        <v>466</v>
      </c>
      <c r="L52">
        <v>83.34631296819714</v>
      </c>
      <c r="M52">
        <v>0.20576495040535395</v>
      </c>
      <c r="O52" t="s">
        <v>562</v>
      </c>
      <c r="P52" t="s">
        <v>647</v>
      </c>
      <c r="Q52" t="s">
        <v>648</v>
      </c>
      <c r="R52" t="s">
        <v>10</v>
      </c>
      <c r="S52" t="s">
        <v>20</v>
      </c>
      <c r="T52" t="s">
        <v>565</v>
      </c>
      <c r="U52" t="s">
        <v>566</v>
      </c>
      <c r="V52" t="s">
        <v>150</v>
      </c>
      <c r="X52" t="s">
        <v>647</v>
      </c>
      <c r="Y52" t="s">
        <v>525</v>
      </c>
      <c r="Z52" t="s">
        <v>869</v>
      </c>
      <c r="AA52">
        <v>0.98787020216528199</v>
      </c>
      <c r="AB52">
        <v>222.37962696982947</v>
      </c>
      <c r="AD52" t="s">
        <v>562</v>
      </c>
      <c r="AE52" t="s">
        <v>980</v>
      </c>
      <c r="AF52" t="s">
        <v>981</v>
      </c>
      <c r="AG52" t="s">
        <v>10</v>
      </c>
      <c r="AH52" t="s">
        <v>20</v>
      </c>
      <c r="AI52" t="s">
        <v>566</v>
      </c>
      <c r="AJ52" t="s">
        <v>150</v>
      </c>
      <c r="AL52" t="s">
        <v>980</v>
      </c>
      <c r="AM52" t="s">
        <v>1165</v>
      </c>
      <c r="AN52" t="s">
        <v>878</v>
      </c>
      <c r="AO52">
        <v>0.98562926828922137</v>
      </c>
      <c r="AP52">
        <v>263.46341469760875</v>
      </c>
    </row>
    <row r="53" spans="2:42">
      <c r="B53" t="s">
        <v>146</v>
      </c>
      <c r="C53" t="s">
        <v>233</v>
      </c>
      <c r="D53" t="s">
        <v>234</v>
      </c>
      <c r="E53" t="s">
        <v>10</v>
      </c>
      <c r="F53" t="s">
        <v>20</v>
      </c>
      <c r="G53" t="s">
        <v>149</v>
      </c>
      <c r="H53" t="s">
        <v>150</v>
      </c>
      <c r="J53" t="s">
        <v>233</v>
      </c>
      <c r="K53" t="s">
        <v>467</v>
      </c>
      <c r="L53">
        <v>160.60710449915004</v>
      </c>
      <c r="M53">
        <v>0.21270363796248429</v>
      </c>
      <c r="O53" t="s">
        <v>562</v>
      </c>
      <c r="P53" t="s">
        <v>649</v>
      </c>
      <c r="Q53" t="s">
        <v>650</v>
      </c>
      <c r="R53" t="s">
        <v>10</v>
      </c>
      <c r="S53" t="s">
        <v>20</v>
      </c>
      <c r="T53" t="s">
        <v>565</v>
      </c>
      <c r="U53" t="s">
        <v>566</v>
      </c>
      <c r="V53" t="s">
        <v>150</v>
      </c>
      <c r="X53" t="s">
        <v>649</v>
      </c>
      <c r="Y53" t="s">
        <v>536</v>
      </c>
      <c r="Z53" t="s">
        <v>870</v>
      </c>
      <c r="AA53">
        <v>0.98780336216423326</v>
      </c>
      <c r="AB53">
        <v>223.60502698905651</v>
      </c>
      <c r="AD53" t="s">
        <v>562</v>
      </c>
      <c r="AE53" t="s">
        <v>982</v>
      </c>
      <c r="AF53" t="s">
        <v>983</v>
      </c>
      <c r="AG53" t="s">
        <v>10</v>
      </c>
      <c r="AH53" t="s">
        <v>20</v>
      </c>
      <c r="AI53" t="s">
        <v>566</v>
      </c>
      <c r="AJ53" t="s">
        <v>150</v>
      </c>
      <c r="AL53" t="s">
        <v>982</v>
      </c>
      <c r="AM53" t="s">
        <v>1166</v>
      </c>
      <c r="AN53" t="s">
        <v>863</v>
      </c>
      <c r="AO53">
        <v>0.98557285435300757</v>
      </c>
      <c r="AP53">
        <v>264.4976701948608</v>
      </c>
    </row>
    <row r="54" spans="2:42">
      <c r="B54" t="s">
        <v>146</v>
      </c>
      <c r="C54" t="s">
        <v>235</v>
      </c>
      <c r="D54" t="s">
        <v>236</v>
      </c>
      <c r="E54" t="s">
        <v>10</v>
      </c>
      <c r="F54" t="s">
        <v>20</v>
      </c>
      <c r="G54" t="s">
        <v>149</v>
      </c>
      <c r="H54" t="s">
        <v>150</v>
      </c>
      <c r="J54" t="s">
        <v>235</v>
      </c>
      <c r="K54" t="s">
        <v>468</v>
      </c>
      <c r="L54">
        <v>64.195378029419643</v>
      </c>
      <c r="M54">
        <v>0.20475010542172431</v>
      </c>
      <c r="O54" t="s">
        <v>562</v>
      </c>
      <c r="P54" t="s">
        <v>651</v>
      </c>
      <c r="Q54" t="s">
        <v>652</v>
      </c>
      <c r="R54" t="s">
        <v>10</v>
      </c>
      <c r="S54" t="s">
        <v>20</v>
      </c>
      <c r="T54" t="s">
        <v>565</v>
      </c>
      <c r="U54" t="s">
        <v>566</v>
      </c>
      <c r="V54" t="s">
        <v>150</v>
      </c>
      <c r="X54" t="s">
        <v>651</v>
      </c>
      <c r="Y54" t="s">
        <v>559</v>
      </c>
      <c r="Z54" t="s">
        <v>871</v>
      </c>
      <c r="AA54">
        <v>0.9935358987764813</v>
      </c>
      <c r="AB54">
        <v>118.50852243117704</v>
      </c>
      <c r="AD54" t="s">
        <v>562</v>
      </c>
      <c r="AE54" t="s">
        <v>984</v>
      </c>
      <c r="AF54" t="s">
        <v>985</v>
      </c>
      <c r="AG54" t="s">
        <v>10</v>
      </c>
      <c r="AH54" t="s">
        <v>20</v>
      </c>
      <c r="AI54" t="s">
        <v>566</v>
      </c>
      <c r="AJ54" t="s">
        <v>150</v>
      </c>
      <c r="AL54" t="s">
        <v>984</v>
      </c>
      <c r="AM54" t="s">
        <v>1167</v>
      </c>
      <c r="AN54" t="s">
        <v>885</v>
      </c>
      <c r="AO54">
        <v>0.99063307902321618</v>
      </c>
      <c r="AP54">
        <v>171.72688457437104</v>
      </c>
    </row>
    <row r="55" spans="2:42">
      <c r="B55" t="s">
        <v>146</v>
      </c>
      <c r="C55" t="s">
        <v>237</v>
      </c>
      <c r="D55" t="s">
        <v>238</v>
      </c>
      <c r="E55" t="s">
        <v>10</v>
      </c>
      <c r="F55" t="s">
        <v>20</v>
      </c>
      <c r="G55" t="s">
        <v>149</v>
      </c>
      <c r="H55" t="s">
        <v>150</v>
      </c>
      <c r="J55" t="s">
        <v>237</v>
      </c>
      <c r="K55" t="s">
        <v>469</v>
      </c>
      <c r="L55">
        <v>166.81777435856694</v>
      </c>
      <c r="M55">
        <v>0.20966511395397117</v>
      </c>
      <c r="O55" t="s">
        <v>562</v>
      </c>
      <c r="P55" t="s">
        <v>653</v>
      </c>
      <c r="Q55" t="s">
        <v>654</v>
      </c>
      <c r="R55" t="s">
        <v>10</v>
      </c>
      <c r="S55" t="s">
        <v>20</v>
      </c>
      <c r="T55" t="s">
        <v>565</v>
      </c>
      <c r="U55" t="s">
        <v>566</v>
      </c>
      <c r="V55" t="s">
        <v>150</v>
      </c>
      <c r="X55" t="s">
        <v>653</v>
      </c>
      <c r="Y55" t="s">
        <v>440</v>
      </c>
      <c r="Z55" t="s">
        <v>844</v>
      </c>
      <c r="AA55">
        <v>0.98669711903630763</v>
      </c>
      <c r="AB55">
        <v>243.88615100102712</v>
      </c>
      <c r="AD55" t="s">
        <v>562</v>
      </c>
      <c r="AE55" t="s">
        <v>986</v>
      </c>
      <c r="AF55" t="s">
        <v>987</v>
      </c>
      <c r="AG55" t="s">
        <v>10</v>
      </c>
      <c r="AH55" t="s">
        <v>20</v>
      </c>
      <c r="AI55" t="s">
        <v>566</v>
      </c>
      <c r="AJ55" t="s">
        <v>150</v>
      </c>
      <c r="AL55" t="s">
        <v>986</v>
      </c>
      <c r="AM55" t="s">
        <v>1168</v>
      </c>
      <c r="AN55" t="s">
        <v>891</v>
      </c>
      <c r="AO55">
        <v>0.99702387631899381</v>
      </c>
      <c r="AP55">
        <v>54.562267485114141</v>
      </c>
    </row>
    <row r="56" spans="2:42">
      <c r="B56" t="s">
        <v>146</v>
      </c>
      <c r="C56" t="s">
        <v>239</v>
      </c>
      <c r="D56" t="s">
        <v>240</v>
      </c>
      <c r="E56" t="s">
        <v>10</v>
      </c>
      <c r="F56" t="s">
        <v>20</v>
      </c>
      <c r="G56" t="s">
        <v>149</v>
      </c>
      <c r="H56" t="s">
        <v>150</v>
      </c>
      <c r="J56" t="s">
        <v>239</v>
      </c>
      <c r="K56" t="s">
        <v>470</v>
      </c>
      <c r="L56">
        <v>9.2915029005992498</v>
      </c>
      <c r="M56">
        <v>0.13634019650460966</v>
      </c>
      <c r="O56" t="s">
        <v>562</v>
      </c>
      <c r="P56" t="s">
        <v>655</v>
      </c>
      <c r="Q56" t="s">
        <v>656</v>
      </c>
      <c r="R56" t="s">
        <v>10</v>
      </c>
      <c r="S56" t="s">
        <v>20</v>
      </c>
      <c r="T56" t="s">
        <v>565</v>
      </c>
      <c r="U56" t="s">
        <v>566</v>
      </c>
      <c r="V56" t="s">
        <v>150</v>
      </c>
      <c r="X56" t="s">
        <v>655</v>
      </c>
      <c r="Y56" t="s">
        <v>445</v>
      </c>
      <c r="Z56" t="s">
        <v>852</v>
      </c>
      <c r="AA56">
        <v>0.98530250408542552</v>
      </c>
      <c r="AB56">
        <v>269.45409176719892</v>
      </c>
      <c r="AD56" t="s">
        <v>562</v>
      </c>
      <c r="AE56" t="s">
        <v>988</v>
      </c>
      <c r="AF56" t="s">
        <v>989</v>
      </c>
      <c r="AG56" t="s">
        <v>10</v>
      </c>
      <c r="AH56" t="s">
        <v>20</v>
      </c>
      <c r="AI56" t="s">
        <v>566</v>
      </c>
      <c r="AJ56" t="s">
        <v>150</v>
      </c>
      <c r="AL56" t="s">
        <v>988</v>
      </c>
      <c r="AM56" t="s">
        <v>1169</v>
      </c>
      <c r="AN56" t="s">
        <v>889</v>
      </c>
      <c r="AO56">
        <v>0.99193693152956208</v>
      </c>
      <c r="AP56">
        <v>147.8229219580285</v>
      </c>
    </row>
    <row r="57" spans="2:42">
      <c r="B57" t="s">
        <v>146</v>
      </c>
      <c r="C57" t="s">
        <v>241</v>
      </c>
      <c r="D57" t="s">
        <v>242</v>
      </c>
      <c r="E57" t="s">
        <v>10</v>
      </c>
      <c r="F57" t="s">
        <v>20</v>
      </c>
      <c r="G57" t="s">
        <v>149</v>
      </c>
      <c r="H57" t="s">
        <v>150</v>
      </c>
      <c r="J57" t="s">
        <v>241</v>
      </c>
      <c r="K57" t="s">
        <v>471</v>
      </c>
      <c r="L57">
        <v>73.592813376932483</v>
      </c>
      <c r="M57">
        <v>0.20451126943171472</v>
      </c>
      <c r="O57" t="s">
        <v>562</v>
      </c>
      <c r="P57" t="s">
        <v>657</v>
      </c>
      <c r="Q57" t="s">
        <v>658</v>
      </c>
      <c r="R57" t="s">
        <v>10</v>
      </c>
      <c r="S57" t="s">
        <v>20</v>
      </c>
      <c r="T57" t="s">
        <v>565</v>
      </c>
      <c r="U57" t="s">
        <v>566</v>
      </c>
      <c r="V57" t="s">
        <v>150</v>
      </c>
      <c r="X57" t="s">
        <v>657</v>
      </c>
      <c r="Y57" t="s">
        <v>448</v>
      </c>
      <c r="Z57" t="s">
        <v>852</v>
      </c>
      <c r="AA57">
        <v>0.98165693570331325</v>
      </c>
      <c r="AB57">
        <v>336.28951210592464</v>
      </c>
      <c r="AD57" t="s">
        <v>562</v>
      </c>
      <c r="AE57" t="s">
        <v>990</v>
      </c>
      <c r="AF57" t="s">
        <v>991</v>
      </c>
      <c r="AG57" t="s">
        <v>10</v>
      </c>
      <c r="AH57" t="s">
        <v>20</v>
      </c>
      <c r="AI57" t="s">
        <v>566</v>
      </c>
      <c r="AJ57" t="s">
        <v>150</v>
      </c>
      <c r="AL57" t="s">
        <v>990</v>
      </c>
      <c r="AM57" t="s">
        <v>1170</v>
      </c>
      <c r="AN57" t="s">
        <v>887</v>
      </c>
      <c r="AO57">
        <v>0.99063792186488431</v>
      </c>
      <c r="AP57">
        <v>171.63809914378689</v>
      </c>
    </row>
    <row r="58" spans="2:42">
      <c r="B58" t="s">
        <v>146</v>
      </c>
      <c r="C58" t="s">
        <v>243</v>
      </c>
      <c r="D58" t="s">
        <v>244</v>
      </c>
      <c r="E58" t="s">
        <v>10</v>
      </c>
      <c r="F58" t="s">
        <v>20</v>
      </c>
      <c r="G58" t="s">
        <v>149</v>
      </c>
      <c r="H58" t="s">
        <v>150</v>
      </c>
      <c r="J58" t="s">
        <v>243</v>
      </c>
      <c r="K58" t="s">
        <v>472</v>
      </c>
      <c r="L58">
        <v>59.214008259301053</v>
      </c>
      <c r="M58">
        <v>0.19484432332871199</v>
      </c>
      <c r="O58" t="s">
        <v>562</v>
      </c>
      <c r="P58" t="s">
        <v>659</v>
      </c>
      <c r="Q58" t="s">
        <v>660</v>
      </c>
      <c r="R58" t="s">
        <v>10</v>
      </c>
      <c r="S58" t="s">
        <v>20</v>
      </c>
      <c r="T58" t="s">
        <v>565</v>
      </c>
      <c r="U58" t="s">
        <v>566</v>
      </c>
      <c r="V58" t="s">
        <v>150</v>
      </c>
      <c r="X58" t="s">
        <v>659</v>
      </c>
      <c r="Y58" t="s">
        <v>487</v>
      </c>
      <c r="Z58" t="s">
        <v>846</v>
      </c>
      <c r="AA58">
        <v>0.98743360691918236</v>
      </c>
      <c r="AB58">
        <v>230.38387314832264</v>
      </c>
      <c r="AD58" t="s">
        <v>562</v>
      </c>
      <c r="AE58" t="s">
        <v>992</v>
      </c>
      <c r="AF58" t="s">
        <v>993</v>
      </c>
      <c r="AG58" t="s">
        <v>10</v>
      </c>
      <c r="AH58" t="s">
        <v>20</v>
      </c>
      <c r="AI58" t="s">
        <v>566</v>
      </c>
      <c r="AJ58" t="s">
        <v>150</v>
      </c>
      <c r="AL58" t="s">
        <v>992</v>
      </c>
      <c r="AM58" t="s">
        <v>1171</v>
      </c>
      <c r="AN58" t="s">
        <v>876</v>
      </c>
      <c r="AO58">
        <v>0.9898048456745685</v>
      </c>
      <c r="AP58">
        <v>186.91116263291045</v>
      </c>
    </row>
    <row r="59" spans="2:42">
      <c r="B59" t="s">
        <v>146</v>
      </c>
      <c r="C59" t="s">
        <v>245</v>
      </c>
      <c r="D59" t="s">
        <v>246</v>
      </c>
      <c r="E59" t="s">
        <v>10</v>
      </c>
      <c r="F59" t="s">
        <v>20</v>
      </c>
      <c r="G59" t="s">
        <v>149</v>
      </c>
      <c r="H59" t="s">
        <v>150</v>
      </c>
      <c r="J59" t="s">
        <v>245</v>
      </c>
      <c r="K59" t="s">
        <v>473</v>
      </c>
      <c r="L59">
        <v>36.273863189073964</v>
      </c>
      <c r="M59">
        <v>0.11638607520242186</v>
      </c>
      <c r="O59" t="s">
        <v>562</v>
      </c>
      <c r="P59" t="s">
        <v>661</v>
      </c>
      <c r="Q59" t="s">
        <v>662</v>
      </c>
      <c r="R59" t="s">
        <v>10</v>
      </c>
      <c r="S59" t="s">
        <v>20</v>
      </c>
      <c r="T59" t="s">
        <v>565</v>
      </c>
      <c r="U59" t="s">
        <v>566</v>
      </c>
      <c r="V59" t="s">
        <v>150</v>
      </c>
      <c r="X59" t="s">
        <v>661</v>
      </c>
      <c r="Y59" t="s">
        <v>509</v>
      </c>
      <c r="Z59" t="s">
        <v>872</v>
      </c>
      <c r="AA59">
        <v>0.98216618059133565</v>
      </c>
      <c r="AB59">
        <v>326.95335582551394</v>
      </c>
      <c r="AD59" t="s">
        <v>562</v>
      </c>
      <c r="AE59" t="s">
        <v>994</v>
      </c>
      <c r="AF59" t="s">
        <v>995</v>
      </c>
      <c r="AG59" t="s">
        <v>10</v>
      </c>
      <c r="AH59" t="s">
        <v>20</v>
      </c>
      <c r="AI59" t="s">
        <v>566</v>
      </c>
      <c r="AJ59" t="s">
        <v>150</v>
      </c>
      <c r="AL59" t="s">
        <v>994</v>
      </c>
      <c r="AM59" t="s">
        <v>1172</v>
      </c>
      <c r="AN59" t="s">
        <v>844</v>
      </c>
      <c r="AO59">
        <v>0.96363263183226566</v>
      </c>
      <c r="AP59">
        <v>666.73508307513055</v>
      </c>
    </row>
    <row r="60" spans="2:42">
      <c r="B60" t="s">
        <v>146</v>
      </c>
      <c r="C60" t="s">
        <v>247</v>
      </c>
      <c r="D60" t="s">
        <v>248</v>
      </c>
      <c r="E60" t="s">
        <v>10</v>
      </c>
      <c r="F60" t="s">
        <v>20</v>
      </c>
      <c r="G60" t="s">
        <v>149</v>
      </c>
      <c r="H60" t="s">
        <v>150</v>
      </c>
      <c r="J60" t="s">
        <v>247</v>
      </c>
      <c r="K60" t="s">
        <v>474</v>
      </c>
      <c r="L60">
        <v>11.446663791227714</v>
      </c>
      <c r="M60">
        <v>0.1334577693490486</v>
      </c>
      <c r="O60" t="s">
        <v>562</v>
      </c>
      <c r="P60" t="s">
        <v>663</v>
      </c>
      <c r="Q60" t="s">
        <v>664</v>
      </c>
      <c r="R60" t="s">
        <v>10</v>
      </c>
      <c r="S60" t="s">
        <v>20</v>
      </c>
      <c r="T60" t="s">
        <v>565</v>
      </c>
      <c r="U60" t="s">
        <v>566</v>
      </c>
      <c r="V60" t="s">
        <v>150</v>
      </c>
      <c r="X60" t="s">
        <v>663</v>
      </c>
      <c r="Y60" t="s">
        <v>512</v>
      </c>
      <c r="Z60" t="s">
        <v>867</v>
      </c>
      <c r="AA60">
        <v>0.98720259752020922</v>
      </c>
      <c r="AB60">
        <v>234.61904546283111</v>
      </c>
      <c r="AD60" t="s">
        <v>562</v>
      </c>
      <c r="AE60" t="s">
        <v>996</v>
      </c>
      <c r="AF60" t="s">
        <v>997</v>
      </c>
      <c r="AG60" t="s">
        <v>10</v>
      </c>
      <c r="AH60" t="s">
        <v>20</v>
      </c>
      <c r="AI60" t="s">
        <v>566</v>
      </c>
      <c r="AJ60" t="s">
        <v>150</v>
      </c>
      <c r="AL60" t="s">
        <v>996</v>
      </c>
      <c r="AM60" t="s">
        <v>1173</v>
      </c>
      <c r="AN60" t="s">
        <v>896</v>
      </c>
      <c r="AO60">
        <v>0.99153439104508034</v>
      </c>
      <c r="AP60">
        <v>155.20283084019445</v>
      </c>
    </row>
    <row r="61" spans="2:42">
      <c r="B61" t="s">
        <v>146</v>
      </c>
      <c r="C61" t="s">
        <v>249</v>
      </c>
      <c r="D61" t="s">
        <v>250</v>
      </c>
      <c r="E61" t="s">
        <v>10</v>
      </c>
      <c r="F61" t="s">
        <v>20</v>
      </c>
      <c r="G61" t="s">
        <v>149</v>
      </c>
      <c r="H61" t="s">
        <v>150</v>
      </c>
      <c r="J61" t="s">
        <v>249</v>
      </c>
      <c r="K61" t="s">
        <v>475</v>
      </c>
      <c r="L61">
        <v>37.064416435279831</v>
      </c>
      <c r="M61">
        <v>0.11157219687584131</v>
      </c>
      <c r="O61" t="s">
        <v>562</v>
      </c>
      <c r="P61" t="s">
        <v>665</v>
      </c>
      <c r="Q61" t="s">
        <v>666</v>
      </c>
      <c r="R61" t="s">
        <v>10</v>
      </c>
      <c r="S61" t="s">
        <v>20</v>
      </c>
      <c r="T61" t="s">
        <v>565</v>
      </c>
      <c r="U61" t="s">
        <v>566</v>
      </c>
      <c r="V61" t="s">
        <v>150</v>
      </c>
      <c r="X61" t="s">
        <v>665</v>
      </c>
      <c r="Y61" t="s">
        <v>515</v>
      </c>
      <c r="Z61" t="s">
        <v>873</v>
      </c>
      <c r="AA61">
        <v>0.99047826508727854</v>
      </c>
      <c r="AB61">
        <v>174.56514006656096</v>
      </c>
      <c r="AD61" t="s">
        <v>562</v>
      </c>
      <c r="AE61" t="s">
        <v>998</v>
      </c>
      <c r="AF61" t="s">
        <v>999</v>
      </c>
      <c r="AG61" t="s">
        <v>10</v>
      </c>
      <c r="AH61" t="s">
        <v>20</v>
      </c>
      <c r="AI61" t="s">
        <v>566</v>
      </c>
      <c r="AJ61" t="s">
        <v>150</v>
      </c>
      <c r="AL61" t="s">
        <v>998</v>
      </c>
      <c r="AM61" t="s">
        <v>1174</v>
      </c>
      <c r="AN61" t="s">
        <v>888</v>
      </c>
      <c r="AO61">
        <v>0.98940041671700285</v>
      </c>
      <c r="AP61">
        <v>194.32569352161357</v>
      </c>
    </row>
    <row r="62" spans="2:42">
      <c r="B62" t="s">
        <v>146</v>
      </c>
      <c r="C62" t="s">
        <v>251</v>
      </c>
      <c r="D62" t="s">
        <v>252</v>
      </c>
      <c r="E62" t="s">
        <v>10</v>
      </c>
      <c r="F62" t="s">
        <v>20</v>
      </c>
      <c r="G62" t="s">
        <v>149</v>
      </c>
      <c r="H62" t="s">
        <v>150</v>
      </c>
      <c r="J62" t="s">
        <v>251</v>
      </c>
      <c r="K62" t="s">
        <v>476</v>
      </c>
      <c r="L62">
        <v>6.9409544694276182</v>
      </c>
      <c r="M62">
        <v>0.1576425275158822</v>
      </c>
      <c r="O62" t="s">
        <v>562</v>
      </c>
      <c r="P62" t="s">
        <v>667</v>
      </c>
      <c r="Q62" t="s">
        <v>668</v>
      </c>
      <c r="R62" t="s">
        <v>10</v>
      </c>
      <c r="S62" t="s">
        <v>20</v>
      </c>
      <c r="T62" t="s">
        <v>565</v>
      </c>
      <c r="U62" t="s">
        <v>566</v>
      </c>
      <c r="V62" t="s">
        <v>150</v>
      </c>
      <c r="X62" t="s">
        <v>667</v>
      </c>
      <c r="Y62" t="s">
        <v>520</v>
      </c>
      <c r="Z62" t="s">
        <v>874</v>
      </c>
      <c r="AA62">
        <v>0.99738810274021905</v>
      </c>
      <c r="AB62">
        <v>47.884783095983913</v>
      </c>
      <c r="AD62" t="s">
        <v>562</v>
      </c>
      <c r="AE62" t="s">
        <v>1000</v>
      </c>
      <c r="AF62" t="s">
        <v>1001</v>
      </c>
      <c r="AG62" t="s">
        <v>10</v>
      </c>
      <c r="AH62" t="s">
        <v>20</v>
      </c>
      <c r="AI62" t="s">
        <v>566</v>
      </c>
      <c r="AJ62" t="s">
        <v>150</v>
      </c>
      <c r="AL62" t="s">
        <v>1000</v>
      </c>
      <c r="AM62" t="s">
        <v>1175</v>
      </c>
      <c r="AN62" t="s">
        <v>885</v>
      </c>
      <c r="AO62">
        <v>0.98639521029542421</v>
      </c>
      <c r="AP62">
        <v>249.42114458389037</v>
      </c>
    </row>
    <row r="63" spans="2:42">
      <c r="B63" t="s">
        <v>146</v>
      </c>
      <c r="C63" t="s">
        <v>253</v>
      </c>
      <c r="D63" t="s">
        <v>254</v>
      </c>
      <c r="E63" t="s">
        <v>10</v>
      </c>
      <c r="F63" t="s">
        <v>20</v>
      </c>
      <c r="G63" t="s">
        <v>149</v>
      </c>
      <c r="H63" t="s">
        <v>150</v>
      </c>
      <c r="J63" t="s">
        <v>253</v>
      </c>
      <c r="K63" t="s">
        <v>477</v>
      </c>
      <c r="L63">
        <v>25.021463436225829</v>
      </c>
      <c r="M63">
        <v>0.11465801942059144</v>
      </c>
      <c r="O63" t="s">
        <v>562</v>
      </c>
      <c r="P63" t="s">
        <v>669</v>
      </c>
      <c r="Q63" t="s">
        <v>670</v>
      </c>
      <c r="R63" t="s">
        <v>10</v>
      </c>
      <c r="S63" t="s">
        <v>20</v>
      </c>
      <c r="T63" t="s">
        <v>565</v>
      </c>
      <c r="U63" t="s">
        <v>566</v>
      </c>
      <c r="V63" t="s">
        <v>150</v>
      </c>
      <c r="X63" t="s">
        <v>669</v>
      </c>
      <c r="Y63" t="s">
        <v>541</v>
      </c>
      <c r="Z63" t="s">
        <v>863</v>
      </c>
      <c r="AA63">
        <v>0.99098265052846923</v>
      </c>
      <c r="AB63">
        <v>165.31807364473053</v>
      </c>
      <c r="AD63" t="s">
        <v>562</v>
      </c>
      <c r="AE63" t="s">
        <v>1002</v>
      </c>
      <c r="AF63" t="s">
        <v>1003</v>
      </c>
      <c r="AG63" t="s">
        <v>10</v>
      </c>
      <c r="AH63" t="s">
        <v>20</v>
      </c>
      <c r="AI63" t="s">
        <v>566</v>
      </c>
      <c r="AJ63" t="s">
        <v>150</v>
      </c>
      <c r="AL63" t="s">
        <v>1002</v>
      </c>
      <c r="AM63" t="s">
        <v>1176</v>
      </c>
      <c r="AN63" t="s">
        <v>844</v>
      </c>
      <c r="AO63">
        <v>0.98896692202674552</v>
      </c>
      <c r="AP63">
        <v>202.27309617633225</v>
      </c>
    </row>
    <row r="64" spans="2:42">
      <c r="B64" t="s">
        <v>146</v>
      </c>
      <c r="C64" t="s">
        <v>255</v>
      </c>
      <c r="D64" t="s">
        <v>256</v>
      </c>
      <c r="E64" t="s">
        <v>10</v>
      </c>
      <c r="F64" t="s">
        <v>20</v>
      </c>
      <c r="G64" t="s">
        <v>149</v>
      </c>
      <c r="H64" t="s">
        <v>150</v>
      </c>
      <c r="J64" t="s">
        <v>255</v>
      </c>
      <c r="K64" t="s">
        <v>478</v>
      </c>
      <c r="L64">
        <v>24.583635382439141</v>
      </c>
      <c r="M64">
        <v>0.11752036478510056</v>
      </c>
      <c r="O64" t="s">
        <v>562</v>
      </c>
      <c r="P64" t="s">
        <v>671</v>
      </c>
      <c r="Q64" t="s">
        <v>672</v>
      </c>
      <c r="R64" t="s">
        <v>10</v>
      </c>
      <c r="S64" t="s">
        <v>20</v>
      </c>
      <c r="T64" t="s">
        <v>565</v>
      </c>
      <c r="U64" t="s">
        <v>566</v>
      </c>
      <c r="V64" t="s">
        <v>150</v>
      </c>
      <c r="X64" t="s">
        <v>671</v>
      </c>
      <c r="Y64" t="s">
        <v>502</v>
      </c>
      <c r="Z64" t="s">
        <v>875</v>
      </c>
      <c r="AA64">
        <v>0.99142410630444711</v>
      </c>
      <c r="AB64">
        <v>157.22471775180347</v>
      </c>
      <c r="AD64" t="s">
        <v>562</v>
      </c>
      <c r="AE64" t="s">
        <v>1004</v>
      </c>
      <c r="AF64" t="s">
        <v>1005</v>
      </c>
      <c r="AG64" t="s">
        <v>10</v>
      </c>
      <c r="AH64" t="s">
        <v>20</v>
      </c>
      <c r="AI64" t="s">
        <v>566</v>
      </c>
      <c r="AJ64" t="s">
        <v>150</v>
      </c>
      <c r="AL64" t="s">
        <v>1004</v>
      </c>
      <c r="AM64" t="s">
        <v>1177</v>
      </c>
      <c r="AN64" t="s">
        <v>852</v>
      </c>
      <c r="AO64">
        <v>0.99224743662419923</v>
      </c>
      <c r="AP64">
        <v>142.13032855634668</v>
      </c>
    </row>
    <row r="65" spans="2:42">
      <c r="B65" t="s">
        <v>146</v>
      </c>
      <c r="C65" t="s">
        <v>257</v>
      </c>
      <c r="D65" t="s">
        <v>258</v>
      </c>
      <c r="E65" t="s">
        <v>10</v>
      </c>
      <c r="F65" t="s">
        <v>20</v>
      </c>
      <c r="G65" t="s">
        <v>149</v>
      </c>
      <c r="H65" t="s">
        <v>150</v>
      </c>
      <c r="J65" t="s">
        <v>257</v>
      </c>
      <c r="K65" t="s">
        <v>479</v>
      </c>
      <c r="L65">
        <v>13.219994082569778</v>
      </c>
      <c r="M65">
        <v>0.11943281219898569</v>
      </c>
      <c r="O65" t="s">
        <v>562</v>
      </c>
      <c r="P65" t="s">
        <v>673</v>
      </c>
      <c r="Q65" t="s">
        <v>674</v>
      </c>
      <c r="R65" t="s">
        <v>10</v>
      </c>
      <c r="S65" t="s">
        <v>20</v>
      </c>
      <c r="T65" t="s">
        <v>565</v>
      </c>
      <c r="U65" t="s">
        <v>566</v>
      </c>
      <c r="V65" t="s">
        <v>150</v>
      </c>
      <c r="X65" t="s">
        <v>673</v>
      </c>
      <c r="Y65" t="s">
        <v>523</v>
      </c>
      <c r="Z65" t="s">
        <v>876</v>
      </c>
      <c r="AA65">
        <v>0.99218904910018979</v>
      </c>
      <c r="AB65">
        <v>143.20076649652023</v>
      </c>
      <c r="AD65" t="s">
        <v>562</v>
      </c>
      <c r="AE65" t="s">
        <v>1006</v>
      </c>
      <c r="AF65" t="s">
        <v>1007</v>
      </c>
      <c r="AG65" t="s">
        <v>10</v>
      </c>
      <c r="AH65" t="s">
        <v>20</v>
      </c>
      <c r="AI65" t="s">
        <v>566</v>
      </c>
      <c r="AJ65" t="s">
        <v>150</v>
      </c>
      <c r="AL65" t="s">
        <v>1006</v>
      </c>
      <c r="AM65" t="s">
        <v>1178</v>
      </c>
      <c r="AN65" t="s">
        <v>852</v>
      </c>
      <c r="AO65">
        <v>0.96642968891663028</v>
      </c>
      <c r="AP65">
        <v>615.45570319511182</v>
      </c>
    </row>
    <row r="66" spans="2:42">
      <c r="B66" t="s">
        <v>146</v>
      </c>
      <c r="C66" t="s">
        <v>259</v>
      </c>
      <c r="D66" t="s">
        <v>260</v>
      </c>
      <c r="E66" t="s">
        <v>10</v>
      </c>
      <c r="F66" t="s">
        <v>20</v>
      </c>
      <c r="G66" t="s">
        <v>149</v>
      </c>
      <c r="H66" t="s">
        <v>150</v>
      </c>
      <c r="J66" t="s">
        <v>259</v>
      </c>
      <c r="K66" t="s">
        <v>480</v>
      </c>
      <c r="L66">
        <v>40.354974306568828</v>
      </c>
      <c r="M66">
        <v>0.17663752775724531</v>
      </c>
      <c r="O66" t="s">
        <v>562</v>
      </c>
      <c r="P66" t="s">
        <v>675</v>
      </c>
      <c r="Q66" t="s">
        <v>676</v>
      </c>
      <c r="R66" t="s">
        <v>10</v>
      </c>
      <c r="S66" t="s">
        <v>20</v>
      </c>
      <c r="T66" t="s">
        <v>565</v>
      </c>
      <c r="U66" t="s">
        <v>566</v>
      </c>
      <c r="V66" t="s">
        <v>150</v>
      </c>
      <c r="X66" t="s">
        <v>675</v>
      </c>
      <c r="Y66" t="s">
        <v>527</v>
      </c>
      <c r="Z66" t="s">
        <v>843</v>
      </c>
      <c r="AA66">
        <v>0.97564251840922733</v>
      </c>
      <c r="AB66">
        <v>446.55382916416522</v>
      </c>
      <c r="AD66" t="s">
        <v>562</v>
      </c>
      <c r="AE66" t="s">
        <v>1008</v>
      </c>
      <c r="AF66" t="s">
        <v>1009</v>
      </c>
      <c r="AG66" t="s">
        <v>10</v>
      </c>
      <c r="AH66" t="s">
        <v>20</v>
      </c>
      <c r="AI66" t="s">
        <v>566</v>
      </c>
      <c r="AJ66" t="s">
        <v>150</v>
      </c>
      <c r="AL66" t="s">
        <v>1008</v>
      </c>
      <c r="AM66" t="s">
        <v>1179</v>
      </c>
      <c r="AN66" t="s">
        <v>855</v>
      </c>
      <c r="AO66">
        <v>0.97580462137033996</v>
      </c>
      <c r="AP66">
        <v>443.58194154376798</v>
      </c>
    </row>
    <row r="67" spans="2:42">
      <c r="B67" t="s">
        <v>146</v>
      </c>
      <c r="C67" t="s">
        <v>261</v>
      </c>
      <c r="D67" t="s">
        <v>262</v>
      </c>
      <c r="E67" t="s">
        <v>10</v>
      </c>
      <c r="F67" t="s">
        <v>20</v>
      </c>
      <c r="G67" t="s">
        <v>149</v>
      </c>
      <c r="H67" t="s">
        <v>150</v>
      </c>
      <c r="J67" t="s">
        <v>261</v>
      </c>
      <c r="K67" t="s">
        <v>481</v>
      </c>
      <c r="L67">
        <v>57.043206845085955</v>
      </c>
      <c r="M67">
        <v>0.19180079531314545</v>
      </c>
      <c r="O67" t="s">
        <v>562</v>
      </c>
      <c r="P67" t="s">
        <v>677</v>
      </c>
      <c r="Q67" t="s">
        <v>678</v>
      </c>
      <c r="R67" t="s">
        <v>10</v>
      </c>
      <c r="S67" t="s">
        <v>20</v>
      </c>
      <c r="T67" t="s">
        <v>565</v>
      </c>
      <c r="U67" t="s">
        <v>566</v>
      </c>
      <c r="V67" t="s">
        <v>150</v>
      </c>
      <c r="X67" t="s">
        <v>677</v>
      </c>
      <c r="Y67" t="s">
        <v>534</v>
      </c>
      <c r="Z67" t="s">
        <v>877</v>
      </c>
      <c r="AA67">
        <v>0.9954097472817981</v>
      </c>
      <c r="AB67">
        <v>84.154633167035314</v>
      </c>
      <c r="AD67" t="s">
        <v>562</v>
      </c>
      <c r="AE67" t="s">
        <v>1010</v>
      </c>
      <c r="AF67" t="s">
        <v>1011</v>
      </c>
      <c r="AG67" t="s">
        <v>10</v>
      </c>
      <c r="AH67" t="s">
        <v>20</v>
      </c>
      <c r="AI67" t="s">
        <v>566</v>
      </c>
      <c r="AJ67" t="s">
        <v>150</v>
      </c>
      <c r="AL67" t="s">
        <v>1010</v>
      </c>
      <c r="AM67" t="s">
        <v>1180</v>
      </c>
      <c r="AN67" t="s">
        <v>887</v>
      </c>
      <c r="AO67">
        <v>0.98941824689872981</v>
      </c>
      <c r="AP67">
        <v>193.99880685662112</v>
      </c>
    </row>
    <row r="68" spans="2:42">
      <c r="B68" t="s">
        <v>146</v>
      </c>
      <c r="C68" t="s">
        <v>263</v>
      </c>
      <c r="D68" t="s">
        <v>264</v>
      </c>
      <c r="E68" t="s">
        <v>10</v>
      </c>
      <c r="F68" t="s">
        <v>20</v>
      </c>
      <c r="G68" t="s">
        <v>149</v>
      </c>
      <c r="H68" t="s">
        <v>150</v>
      </c>
      <c r="J68" t="s">
        <v>263</v>
      </c>
      <c r="K68" t="s">
        <v>482</v>
      </c>
      <c r="L68">
        <v>65.06210836515892</v>
      </c>
      <c r="M68">
        <v>0.1838102936539473</v>
      </c>
      <c r="O68" t="s">
        <v>562</v>
      </c>
      <c r="P68" t="s">
        <v>679</v>
      </c>
      <c r="Q68" t="s">
        <v>680</v>
      </c>
      <c r="R68" t="s">
        <v>10</v>
      </c>
      <c r="S68" t="s">
        <v>20</v>
      </c>
      <c r="T68" t="s">
        <v>565</v>
      </c>
      <c r="U68" t="s">
        <v>566</v>
      </c>
      <c r="V68" t="s">
        <v>150</v>
      </c>
      <c r="X68" t="s">
        <v>679</v>
      </c>
      <c r="Y68" t="s">
        <v>538</v>
      </c>
      <c r="Z68" t="s">
        <v>878</v>
      </c>
      <c r="AA68">
        <v>0.98928836714403978</v>
      </c>
      <c r="AB68">
        <v>196.37993569260354</v>
      </c>
      <c r="AD68" t="s">
        <v>562</v>
      </c>
      <c r="AE68" t="s">
        <v>1012</v>
      </c>
      <c r="AF68" t="s">
        <v>1013</v>
      </c>
      <c r="AG68" t="s">
        <v>10</v>
      </c>
      <c r="AH68" t="s">
        <v>20</v>
      </c>
      <c r="AI68" t="s">
        <v>566</v>
      </c>
      <c r="AJ68" t="s">
        <v>150</v>
      </c>
      <c r="AL68" t="s">
        <v>1012</v>
      </c>
      <c r="AM68" t="s">
        <v>1181</v>
      </c>
      <c r="AN68" t="s">
        <v>880</v>
      </c>
      <c r="AO68">
        <v>0.9911899510437201</v>
      </c>
      <c r="AP68">
        <v>161.51756419846544</v>
      </c>
    </row>
    <row r="69" spans="2:42">
      <c r="B69" t="s">
        <v>146</v>
      </c>
      <c r="C69" t="s">
        <v>265</v>
      </c>
      <c r="D69" t="s">
        <v>266</v>
      </c>
      <c r="E69" t="s">
        <v>10</v>
      </c>
      <c r="F69" t="s">
        <v>20</v>
      </c>
      <c r="G69" t="s">
        <v>149</v>
      </c>
      <c r="H69" t="s">
        <v>150</v>
      </c>
      <c r="J69" t="s">
        <v>265</v>
      </c>
      <c r="K69" t="s">
        <v>483</v>
      </c>
      <c r="L69">
        <v>57.280622069143099</v>
      </c>
      <c r="M69">
        <v>0.1819054608138142</v>
      </c>
      <c r="O69" t="s">
        <v>562</v>
      </c>
      <c r="P69" t="s">
        <v>681</v>
      </c>
      <c r="Q69" t="s">
        <v>682</v>
      </c>
      <c r="R69" t="s">
        <v>10</v>
      </c>
      <c r="S69" t="s">
        <v>20</v>
      </c>
      <c r="T69" t="s">
        <v>565</v>
      </c>
      <c r="U69" t="s">
        <v>566</v>
      </c>
      <c r="V69" t="s">
        <v>150</v>
      </c>
      <c r="X69" t="s">
        <v>681</v>
      </c>
      <c r="Y69" t="s">
        <v>449</v>
      </c>
      <c r="Z69" t="s">
        <v>852</v>
      </c>
      <c r="AA69">
        <v>0.97583059150286178</v>
      </c>
      <c r="AB69">
        <v>443.10582244753374</v>
      </c>
      <c r="AD69" t="s">
        <v>562</v>
      </c>
      <c r="AE69" t="s">
        <v>1014</v>
      </c>
      <c r="AF69" t="s">
        <v>1015</v>
      </c>
      <c r="AG69" t="s">
        <v>10</v>
      </c>
      <c r="AH69" t="s">
        <v>20</v>
      </c>
      <c r="AI69" t="s">
        <v>566</v>
      </c>
      <c r="AJ69" t="s">
        <v>150</v>
      </c>
      <c r="AL69" t="s">
        <v>1014</v>
      </c>
      <c r="AM69" t="s">
        <v>1182</v>
      </c>
      <c r="AN69" t="s">
        <v>843</v>
      </c>
      <c r="AO69">
        <v>0.97139194185607003</v>
      </c>
      <c r="AP69">
        <v>524.48106597204946</v>
      </c>
    </row>
    <row r="70" spans="2:42">
      <c r="B70" t="s">
        <v>146</v>
      </c>
      <c r="C70" t="s">
        <v>267</v>
      </c>
      <c r="D70" t="s">
        <v>268</v>
      </c>
      <c r="E70" t="s">
        <v>10</v>
      </c>
      <c r="F70" t="s">
        <v>20</v>
      </c>
      <c r="G70" t="s">
        <v>149</v>
      </c>
      <c r="H70" t="s">
        <v>150</v>
      </c>
      <c r="J70" t="s">
        <v>267</v>
      </c>
      <c r="K70" t="s">
        <v>484</v>
      </c>
      <c r="L70">
        <v>121.85396922193712</v>
      </c>
      <c r="M70">
        <v>0.21440230842925601</v>
      </c>
      <c r="O70" t="s">
        <v>562</v>
      </c>
      <c r="P70" t="s">
        <v>683</v>
      </c>
      <c r="Q70" t="s">
        <v>684</v>
      </c>
      <c r="R70" t="s">
        <v>10</v>
      </c>
      <c r="S70" t="s">
        <v>20</v>
      </c>
      <c r="T70" t="s">
        <v>565</v>
      </c>
      <c r="U70" t="s">
        <v>566</v>
      </c>
      <c r="V70" t="s">
        <v>150</v>
      </c>
      <c r="X70" t="s">
        <v>683</v>
      </c>
      <c r="Y70" t="s">
        <v>452</v>
      </c>
      <c r="Z70" t="s">
        <v>879</v>
      </c>
      <c r="AA70">
        <v>0.98625550635031922</v>
      </c>
      <c r="AB70">
        <v>251.98238357748133</v>
      </c>
      <c r="AD70" t="s">
        <v>562</v>
      </c>
      <c r="AE70" t="s">
        <v>1016</v>
      </c>
      <c r="AF70" t="s">
        <v>1017</v>
      </c>
      <c r="AG70" t="s">
        <v>10</v>
      </c>
      <c r="AH70" t="s">
        <v>20</v>
      </c>
      <c r="AI70" t="s">
        <v>566</v>
      </c>
      <c r="AJ70" t="s">
        <v>150</v>
      </c>
      <c r="AL70" t="s">
        <v>1016</v>
      </c>
      <c r="AM70" t="s">
        <v>1183</v>
      </c>
      <c r="AN70" t="s">
        <v>843</v>
      </c>
      <c r="AO70">
        <v>0.98117052771194446</v>
      </c>
      <c r="AP70">
        <v>345.20699194768525</v>
      </c>
    </row>
    <row r="71" spans="2:42">
      <c r="B71" t="s">
        <v>146</v>
      </c>
      <c r="C71" t="s">
        <v>269</v>
      </c>
      <c r="D71" t="s">
        <v>270</v>
      </c>
      <c r="E71" t="s">
        <v>10</v>
      </c>
      <c r="F71" t="s">
        <v>20</v>
      </c>
      <c r="G71" t="s">
        <v>149</v>
      </c>
      <c r="H71" t="s">
        <v>150</v>
      </c>
      <c r="J71" t="s">
        <v>269</v>
      </c>
      <c r="K71" t="s">
        <v>485</v>
      </c>
      <c r="L71">
        <v>145.14313049985233</v>
      </c>
      <c r="M71">
        <v>0.20564506095441082</v>
      </c>
      <c r="O71" t="s">
        <v>562</v>
      </c>
      <c r="P71" t="s">
        <v>685</v>
      </c>
      <c r="Q71" t="s">
        <v>686</v>
      </c>
      <c r="R71" t="s">
        <v>10</v>
      </c>
      <c r="S71" t="s">
        <v>20</v>
      </c>
      <c r="T71" t="s">
        <v>565</v>
      </c>
      <c r="U71" t="s">
        <v>566</v>
      </c>
      <c r="V71" t="s">
        <v>150</v>
      </c>
      <c r="X71" t="s">
        <v>685</v>
      </c>
      <c r="Y71" t="s">
        <v>501</v>
      </c>
      <c r="Z71" t="s">
        <v>862</v>
      </c>
      <c r="AA71">
        <v>0.99445721337660409</v>
      </c>
      <c r="AB71">
        <v>101.61775476225793</v>
      </c>
      <c r="AD71" t="s">
        <v>562</v>
      </c>
      <c r="AE71" t="s">
        <v>1018</v>
      </c>
      <c r="AF71" t="s">
        <v>1019</v>
      </c>
      <c r="AG71" t="s">
        <v>10</v>
      </c>
      <c r="AH71" t="s">
        <v>20</v>
      </c>
      <c r="AI71" t="s">
        <v>566</v>
      </c>
      <c r="AJ71" t="s">
        <v>150</v>
      </c>
      <c r="AL71" t="s">
        <v>1018</v>
      </c>
      <c r="AM71" t="s">
        <v>1184</v>
      </c>
      <c r="AN71" t="s">
        <v>843</v>
      </c>
      <c r="AO71">
        <v>0.98127559165304223</v>
      </c>
      <c r="AP71">
        <v>343.28081969422635</v>
      </c>
    </row>
    <row r="72" spans="2:42">
      <c r="B72" t="s">
        <v>146</v>
      </c>
      <c r="C72" t="s">
        <v>271</v>
      </c>
      <c r="D72" t="s">
        <v>272</v>
      </c>
      <c r="E72" t="s">
        <v>10</v>
      </c>
      <c r="F72" t="s">
        <v>20</v>
      </c>
      <c r="G72" t="s">
        <v>149</v>
      </c>
      <c r="H72" t="s">
        <v>150</v>
      </c>
      <c r="J72" t="s">
        <v>271</v>
      </c>
      <c r="K72" t="s">
        <v>486</v>
      </c>
      <c r="L72">
        <v>20.489042490082561</v>
      </c>
      <c r="M72">
        <v>0.18658870653223616</v>
      </c>
      <c r="O72" t="s">
        <v>562</v>
      </c>
      <c r="P72" t="s">
        <v>687</v>
      </c>
      <c r="Q72" t="s">
        <v>688</v>
      </c>
      <c r="R72" t="s">
        <v>10</v>
      </c>
      <c r="S72" t="s">
        <v>20</v>
      </c>
      <c r="T72" t="s">
        <v>565</v>
      </c>
      <c r="U72" t="s">
        <v>566</v>
      </c>
      <c r="V72" t="s">
        <v>150</v>
      </c>
      <c r="X72" t="s">
        <v>687</v>
      </c>
      <c r="Y72" t="s">
        <v>503</v>
      </c>
      <c r="Z72" t="s">
        <v>875</v>
      </c>
      <c r="AA72">
        <v>0.99323673511280519</v>
      </c>
      <c r="AB72">
        <v>123.99318959857249</v>
      </c>
      <c r="AD72" t="s">
        <v>562</v>
      </c>
      <c r="AE72" t="s">
        <v>1020</v>
      </c>
      <c r="AF72" t="s">
        <v>1021</v>
      </c>
      <c r="AG72" t="s">
        <v>10</v>
      </c>
      <c r="AH72" t="s">
        <v>20</v>
      </c>
      <c r="AI72" t="s">
        <v>566</v>
      </c>
      <c r="AJ72" t="s">
        <v>150</v>
      </c>
      <c r="AL72" t="s">
        <v>1020</v>
      </c>
      <c r="AM72" t="s">
        <v>1185</v>
      </c>
      <c r="AN72" t="s">
        <v>865</v>
      </c>
      <c r="AO72">
        <v>0.9913968450205024</v>
      </c>
      <c r="AP72">
        <v>157.72450795745584</v>
      </c>
    </row>
    <row r="73" spans="2:42">
      <c r="B73" t="s">
        <v>146</v>
      </c>
      <c r="C73" t="s">
        <v>273</v>
      </c>
      <c r="D73" t="s">
        <v>274</v>
      </c>
      <c r="E73" t="s">
        <v>10</v>
      </c>
      <c r="F73" t="s">
        <v>20</v>
      </c>
      <c r="G73" t="s">
        <v>149</v>
      </c>
      <c r="H73" t="s">
        <v>150</v>
      </c>
      <c r="J73" t="s">
        <v>273</v>
      </c>
      <c r="K73" t="s">
        <v>487</v>
      </c>
      <c r="L73">
        <v>113.70377721235278</v>
      </c>
      <c r="M73">
        <v>0.20141184984430061</v>
      </c>
      <c r="O73" t="s">
        <v>562</v>
      </c>
      <c r="P73" t="s">
        <v>689</v>
      </c>
      <c r="Q73" t="s">
        <v>690</v>
      </c>
      <c r="R73" t="s">
        <v>10</v>
      </c>
      <c r="S73" t="s">
        <v>20</v>
      </c>
      <c r="T73" t="s">
        <v>565</v>
      </c>
      <c r="U73" t="s">
        <v>566</v>
      </c>
      <c r="V73" t="s">
        <v>150</v>
      </c>
      <c r="X73" t="s">
        <v>689</v>
      </c>
      <c r="Y73" t="s">
        <v>513</v>
      </c>
      <c r="Z73" t="s">
        <v>868</v>
      </c>
      <c r="AA73">
        <v>0.98413237776361673</v>
      </c>
      <c r="AB73">
        <v>290.90640766702762</v>
      </c>
      <c r="AD73" t="s">
        <v>562</v>
      </c>
      <c r="AE73" t="s">
        <v>1022</v>
      </c>
      <c r="AF73" t="s">
        <v>1023</v>
      </c>
      <c r="AG73" t="s">
        <v>10</v>
      </c>
      <c r="AH73" t="s">
        <v>20</v>
      </c>
      <c r="AI73" t="s">
        <v>566</v>
      </c>
      <c r="AJ73" t="s">
        <v>150</v>
      </c>
      <c r="AL73" t="s">
        <v>1022</v>
      </c>
      <c r="AM73" t="s">
        <v>1186</v>
      </c>
      <c r="AN73" t="s">
        <v>845</v>
      </c>
      <c r="AO73">
        <v>0.98662924242305594</v>
      </c>
      <c r="AP73">
        <v>245.13055557730874</v>
      </c>
    </row>
    <row r="74" spans="2:42">
      <c r="B74" t="s">
        <v>146</v>
      </c>
      <c r="C74" t="s">
        <v>275</v>
      </c>
      <c r="D74" t="s">
        <v>276</v>
      </c>
      <c r="E74" t="s">
        <v>10</v>
      </c>
      <c r="F74" t="s">
        <v>20</v>
      </c>
      <c r="G74" t="s">
        <v>149</v>
      </c>
      <c r="H74" t="s">
        <v>150</v>
      </c>
      <c r="J74" t="s">
        <v>275</v>
      </c>
      <c r="K74" t="s">
        <v>488</v>
      </c>
      <c r="L74">
        <v>20.82404676025077</v>
      </c>
      <c r="M74">
        <v>0.1261917233914675</v>
      </c>
      <c r="O74" t="s">
        <v>562</v>
      </c>
      <c r="P74" t="s">
        <v>691</v>
      </c>
      <c r="Q74" t="s">
        <v>692</v>
      </c>
      <c r="R74" t="s">
        <v>10</v>
      </c>
      <c r="S74" t="s">
        <v>20</v>
      </c>
      <c r="T74" t="s">
        <v>565</v>
      </c>
      <c r="U74" t="s">
        <v>566</v>
      </c>
      <c r="V74" t="s">
        <v>150</v>
      </c>
      <c r="X74" t="s">
        <v>691</v>
      </c>
      <c r="Y74" t="s">
        <v>522</v>
      </c>
      <c r="Z74" t="s">
        <v>880</v>
      </c>
      <c r="AA74">
        <v>0.99131351134049961</v>
      </c>
      <c r="AB74">
        <v>159.25229209083986</v>
      </c>
      <c r="AD74" t="s">
        <v>562</v>
      </c>
      <c r="AE74" t="s">
        <v>1024</v>
      </c>
      <c r="AF74" t="s">
        <v>1025</v>
      </c>
      <c r="AG74" t="s">
        <v>10</v>
      </c>
      <c r="AH74" t="s">
        <v>20</v>
      </c>
      <c r="AI74" t="s">
        <v>566</v>
      </c>
      <c r="AJ74" t="s">
        <v>150</v>
      </c>
      <c r="AL74" t="s">
        <v>1024</v>
      </c>
      <c r="AM74" t="s">
        <v>1187</v>
      </c>
      <c r="AN74" t="s">
        <v>862</v>
      </c>
      <c r="AO74">
        <v>0.99375979852043306</v>
      </c>
      <c r="AP74">
        <v>114.40369379206156</v>
      </c>
    </row>
    <row r="75" spans="2:42">
      <c r="B75" t="s">
        <v>146</v>
      </c>
      <c r="C75" t="s">
        <v>277</v>
      </c>
      <c r="D75" t="s">
        <v>278</v>
      </c>
      <c r="E75" t="s">
        <v>10</v>
      </c>
      <c r="F75" t="s">
        <v>20</v>
      </c>
      <c r="G75" t="s">
        <v>149</v>
      </c>
      <c r="H75" t="s">
        <v>150</v>
      </c>
      <c r="J75" t="s">
        <v>277</v>
      </c>
      <c r="K75" t="s">
        <v>489</v>
      </c>
      <c r="L75">
        <v>23.618871604347433</v>
      </c>
      <c r="M75">
        <v>0.13394426619385039</v>
      </c>
      <c r="O75" t="s">
        <v>562</v>
      </c>
      <c r="P75" t="s">
        <v>693</v>
      </c>
      <c r="Q75" t="s">
        <v>694</v>
      </c>
      <c r="R75" t="s">
        <v>10</v>
      </c>
      <c r="S75" t="s">
        <v>20</v>
      </c>
      <c r="T75" t="s">
        <v>565</v>
      </c>
      <c r="U75" t="s">
        <v>566</v>
      </c>
      <c r="V75" t="s">
        <v>150</v>
      </c>
      <c r="X75" t="s">
        <v>693</v>
      </c>
      <c r="Y75" t="s">
        <v>544</v>
      </c>
      <c r="Z75" t="s">
        <v>858</v>
      </c>
      <c r="AA75">
        <v>0.98661257708946326</v>
      </c>
      <c r="AB75">
        <v>245.43608669317408</v>
      </c>
      <c r="AD75" t="s">
        <v>562</v>
      </c>
      <c r="AE75" t="s">
        <v>1026</v>
      </c>
      <c r="AF75" t="s">
        <v>1027</v>
      </c>
      <c r="AG75" t="s">
        <v>10</v>
      </c>
      <c r="AH75" t="s">
        <v>20</v>
      </c>
      <c r="AI75" t="s">
        <v>566</v>
      </c>
      <c r="AJ75" t="s">
        <v>150</v>
      </c>
      <c r="AL75" t="s">
        <v>1026</v>
      </c>
      <c r="AM75" t="s">
        <v>1188</v>
      </c>
      <c r="AN75" t="s">
        <v>875</v>
      </c>
      <c r="AO75">
        <v>0.9935955776192904</v>
      </c>
      <c r="AP75">
        <v>117.41441031301009</v>
      </c>
    </row>
    <row r="76" spans="2:42">
      <c r="B76" t="s">
        <v>146</v>
      </c>
      <c r="C76" t="s">
        <v>279</v>
      </c>
      <c r="D76" t="s">
        <v>280</v>
      </c>
      <c r="E76" t="s">
        <v>10</v>
      </c>
      <c r="F76" t="s">
        <v>20</v>
      </c>
      <c r="G76" t="s">
        <v>149</v>
      </c>
      <c r="H76" t="s">
        <v>150</v>
      </c>
      <c r="J76" t="s">
        <v>279</v>
      </c>
      <c r="K76" t="s">
        <v>490</v>
      </c>
      <c r="L76">
        <v>28.623968085951123</v>
      </c>
      <c r="M76">
        <v>0.13349064138773617</v>
      </c>
      <c r="O76" t="s">
        <v>562</v>
      </c>
      <c r="P76" t="s">
        <v>695</v>
      </c>
      <c r="Q76" t="s">
        <v>696</v>
      </c>
      <c r="R76" t="s">
        <v>10</v>
      </c>
      <c r="S76" t="s">
        <v>20</v>
      </c>
      <c r="T76" t="s">
        <v>565</v>
      </c>
      <c r="U76" t="s">
        <v>566</v>
      </c>
      <c r="V76" t="s">
        <v>150</v>
      </c>
      <c r="X76" t="s">
        <v>695</v>
      </c>
      <c r="Y76" t="s">
        <v>560</v>
      </c>
      <c r="Z76" t="s">
        <v>871</v>
      </c>
      <c r="AA76">
        <v>0.99314801780790185</v>
      </c>
      <c r="AB76">
        <v>125.61967352179877</v>
      </c>
      <c r="AD76" t="s">
        <v>562</v>
      </c>
      <c r="AE76" t="s">
        <v>1028</v>
      </c>
      <c r="AF76" t="s">
        <v>1029</v>
      </c>
      <c r="AG76" t="s">
        <v>10</v>
      </c>
      <c r="AH76" t="s">
        <v>20</v>
      </c>
      <c r="AI76" t="s">
        <v>566</v>
      </c>
      <c r="AJ76" t="s">
        <v>150</v>
      </c>
      <c r="AL76" t="s">
        <v>1028</v>
      </c>
      <c r="AM76" t="s">
        <v>1189</v>
      </c>
      <c r="AN76" t="s">
        <v>867</v>
      </c>
      <c r="AO76">
        <v>0.9895134548380341</v>
      </c>
      <c r="AP76">
        <v>192.25332796937471</v>
      </c>
    </row>
    <row r="77" spans="2:42">
      <c r="B77" t="s">
        <v>146</v>
      </c>
      <c r="C77" t="s">
        <v>281</v>
      </c>
      <c r="D77" t="s">
        <v>282</v>
      </c>
      <c r="E77" t="s">
        <v>10</v>
      </c>
      <c r="F77" t="s">
        <v>20</v>
      </c>
      <c r="G77" t="s">
        <v>149</v>
      </c>
      <c r="H77" t="s">
        <v>150</v>
      </c>
      <c r="J77" t="s">
        <v>281</v>
      </c>
      <c r="K77" t="s">
        <v>491</v>
      </c>
      <c r="L77">
        <v>32.064424523405926</v>
      </c>
      <c r="M77">
        <v>0.15733403589768355</v>
      </c>
      <c r="O77" t="s">
        <v>562</v>
      </c>
      <c r="P77" t="s">
        <v>697</v>
      </c>
      <c r="Q77" t="s">
        <v>698</v>
      </c>
      <c r="R77" t="s">
        <v>10</v>
      </c>
      <c r="S77" t="s">
        <v>20</v>
      </c>
      <c r="T77" t="s">
        <v>565</v>
      </c>
      <c r="U77" t="s">
        <v>566</v>
      </c>
      <c r="V77" t="s">
        <v>150</v>
      </c>
      <c r="X77" t="s">
        <v>697</v>
      </c>
      <c r="Y77" t="s">
        <v>428</v>
      </c>
      <c r="Z77" t="s">
        <v>881</v>
      </c>
      <c r="AA77">
        <v>0.99495645179599901</v>
      </c>
      <c r="AB77">
        <v>92.465050406684512</v>
      </c>
      <c r="AD77" t="s">
        <v>562</v>
      </c>
      <c r="AE77" t="s">
        <v>1030</v>
      </c>
      <c r="AF77" t="s">
        <v>1031</v>
      </c>
      <c r="AG77" t="s">
        <v>10</v>
      </c>
      <c r="AH77" t="s">
        <v>20</v>
      </c>
      <c r="AI77" t="s">
        <v>566</v>
      </c>
      <c r="AJ77" t="s">
        <v>150</v>
      </c>
      <c r="AL77" t="s">
        <v>1030</v>
      </c>
      <c r="AM77" t="s">
        <v>1190</v>
      </c>
      <c r="AN77" t="s">
        <v>870</v>
      </c>
      <c r="AO77">
        <v>0.98960179851646224</v>
      </c>
      <c r="AP77">
        <v>190.63369386485829</v>
      </c>
    </row>
    <row r="78" spans="2:42">
      <c r="B78" t="s">
        <v>146</v>
      </c>
      <c r="C78" t="s">
        <v>283</v>
      </c>
      <c r="D78" t="s">
        <v>284</v>
      </c>
      <c r="E78" t="s">
        <v>10</v>
      </c>
      <c r="F78" t="s">
        <v>20</v>
      </c>
      <c r="G78" t="s">
        <v>149</v>
      </c>
      <c r="H78" t="s">
        <v>150</v>
      </c>
      <c r="J78" t="s">
        <v>283</v>
      </c>
      <c r="K78" t="s">
        <v>492</v>
      </c>
      <c r="L78">
        <v>36.297458335773626</v>
      </c>
      <c r="M78">
        <v>0.16338535953716277</v>
      </c>
      <c r="O78" t="s">
        <v>562</v>
      </c>
      <c r="P78" t="s">
        <v>699</v>
      </c>
      <c r="Q78" t="s">
        <v>700</v>
      </c>
      <c r="R78" t="s">
        <v>10</v>
      </c>
      <c r="S78" t="s">
        <v>20</v>
      </c>
      <c r="T78" t="s">
        <v>565</v>
      </c>
      <c r="U78" t="s">
        <v>566</v>
      </c>
      <c r="V78" t="s">
        <v>150</v>
      </c>
      <c r="X78" t="s">
        <v>699</v>
      </c>
      <c r="Y78" t="s">
        <v>451</v>
      </c>
      <c r="Z78" t="s">
        <v>882</v>
      </c>
      <c r="AA78">
        <v>0.99335434882803453</v>
      </c>
      <c r="AB78">
        <v>121.83693815269984</v>
      </c>
      <c r="AD78" t="s">
        <v>562</v>
      </c>
      <c r="AE78" t="s">
        <v>1032</v>
      </c>
      <c r="AF78" t="s">
        <v>1033</v>
      </c>
      <c r="AG78" t="s">
        <v>10</v>
      </c>
      <c r="AH78" t="s">
        <v>20</v>
      </c>
      <c r="AI78" t="s">
        <v>566</v>
      </c>
      <c r="AJ78" t="s">
        <v>150</v>
      </c>
      <c r="AL78" t="s">
        <v>1032</v>
      </c>
      <c r="AM78" t="s">
        <v>1191</v>
      </c>
      <c r="AN78" t="s">
        <v>890</v>
      </c>
      <c r="AO78">
        <v>0.99423394997920433</v>
      </c>
      <c r="AP78">
        <v>105.71091704792103</v>
      </c>
    </row>
    <row r="79" spans="2:42">
      <c r="B79" t="s">
        <v>146</v>
      </c>
      <c r="C79" t="s">
        <v>285</v>
      </c>
      <c r="D79" t="s">
        <v>286</v>
      </c>
      <c r="E79" t="s">
        <v>10</v>
      </c>
      <c r="F79" t="s">
        <v>20</v>
      </c>
      <c r="G79" t="s">
        <v>149</v>
      </c>
      <c r="H79" t="s">
        <v>150</v>
      </c>
      <c r="J79" t="s">
        <v>285</v>
      </c>
      <c r="K79" t="s">
        <v>493</v>
      </c>
      <c r="L79">
        <v>41.239563355912203</v>
      </c>
      <c r="M79">
        <v>0.1602222727871277</v>
      </c>
      <c r="O79" t="s">
        <v>562</v>
      </c>
      <c r="P79" t="s">
        <v>701</v>
      </c>
      <c r="Q79" t="s">
        <v>702</v>
      </c>
      <c r="R79" t="s">
        <v>10</v>
      </c>
      <c r="S79" t="s">
        <v>20</v>
      </c>
      <c r="T79" t="s">
        <v>565</v>
      </c>
      <c r="U79" t="s">
        <v>566</v>
      </c>
      <c r="V79" t="s">
        <v>150</v>
      </c>
      <c r="X79" t="s">
        <v>701</v>
      </c>
      <c r="Y79" t="s">
        <v>471</v>
      </c>
      <c r="Z79" t="s">
        <v>840</v>
      </c>
      <c r="AA79">
        <v>0.97858303227439647</v>
      </c>
      <c r="AB79">
        <v>392.64440830273202</v>
      </c>
      <c r="AD79" t="s">
        <v>562</v>
      </c>
      <c r="AE79" t="s">
        <v>1034</v>
      </c>
      <c r="AF79" t="s">
        <v>1035</v>
      </c>
      <c r="AG79" t="s">
        <v>10</v>
      </c>
      <c r="AH79" t="s">
        <v>20</v>
      </c>
      <c r="AI79" t="s">
        <v>566</v>
      </c>
      <c r="AJ79" t="s">
        <v>150</v>
      </c>
      <c r="AL79" t="s">
        <v>1034</v>
      </c>
      <c r="AM79" t="s">
        <v>1192</v>
      </c>
      <c r="AN79" t="s">
        <v>853</v>
      </c>
      <c r="AO79">
        <v>0.99467731181029251</v>
      </c>
      <c r="AP79">
        <v>97.582616811304106</v>
      </c>
    </row>
    <row r="80" spans="2:42">
      <c r="B80" t="s">
        <v>146</v>
      </c>
      <c r="C80" t="s">
        <v>287</v>
      </c>
      <c r="D80" t="s">
        <v>288</v>
      </c>
      <c r="E80" t="s">
        <v>10</v>
      </c>
      <c r="F80" t="s">
        <v>20</v>
      </c>
      <c r="G80" t="s">
        <v>149</v>
      </c>
      <c r="H80" t="s">
        <v>150</v>
      </c>
      <c r="J80" t="s">
        <v>287</v>
      </c>
      <c r="K80" t="s">
        <v>494</v>
      </c>
      <c r="L80">
        <v>89.384042943770268</v>
      </c>
      <c r="M80">
        <v>0.13158736531755627</v>
      </c>
      <c r="O80" t="s">
        <v>562</v>
      </c>
      <c r="P80" t="s">
        <v>703</v>
      </c>
      <c r="Q80" t="s">
        <v>704</v>
      </c>
      <c r="R80" t="s">
        <v>10</v>
      </c>
      <c r="S80" t="s">
        <v>20</v>
      </c>
      <c r="T80" t="s">
        <v>565</v>
      </c>
      <c r="U80" t="s">
        <v>566</v>
      </c>
      <c r="V80" t="s">
        <v>150</v>
      </c>
      <c r="X80" t="s">
        <v>703</v>
      </c>
      <c r="Y80" t="s">
        <v>490</v>
      </c>
      <c r="Z80" t="s">
        <v>883</v>
      </c>
      <c r="AA80">
        <v>0.99121272120977255</v>
      </c>
      <c r="AB80">
        <v>161.10011115417001</v>
      </c>
      <c r="AD80" t="s">
        <v>562</v>
      </c>
      <c r="AE80" t="s">
        <v>1036</v>
      </c>
      <c r="AF80" t="s">
        <v>1037</v>
      </c>
      <c r="AG80" t="s">
        <v>10</v>
      </c>
      <c r="AH80" t="s">
        <v>20</v>
      </c>
      <c r="AI80" t="s">
        <v>566</v>
      </c>
      <c r="AJ80" t="s">
        <v>150</v>
      </c>
      <c r="AL80" t="s">
        <v>1036</v>
      </c>
      <c r="AM80" t="s">
        <v>1193</v>
      </c>
      <c r="AN80" t="s">
        <v>887</v>
      </c>
      <c r="AO80">
        <v>0.97803634076421897</v>
      </c>
      <c r="AP80">
        <v>402.6670859893182</v>
      </c>
    </row>
    <row r="81" spans="2:42">
      <c r="B81" t="s">
        <v>146</v>
      </c>
      <c r="C81" t="s">
        <v>289</v>
      </c>
      <c r="D81" t="s">
        <v>290</v>
      </c>
      <c r="E81" t="s">
        <v>10</v>
      </c>
      <c r="F81" t="s">
        <v>20</v>
      </c>
      <c r="G81" t="s">
        <v>149</v>
      </c>
      <c r="H81" t="s">
        <v>150</v>
      </c>
      <c r="J81" t="s">
        <v>289</v>
      </c>
      <c r="K81" t="s">
        <v>495</v>
      </c>
      <c r="L81">
        <v>115.34646294821283</v>
      </c>
      <c r="M81">
        <v>0.13547761411989304</v>
      </c>
      <c r="O81" t="s">
        <v>562</v>
      </c>
      <c r="P81" t="s">
        <v>705</v>
      </c>
      <c r="Q81" t="s">
        <v>706</v>
      </c>
      <c r="R81" t="s">
        <v>10</v>
      </c>
      <c r="S81" t="s">
        <v>20</v>
      </c>
      <c r="T81" t="s">
        <v>565</v>
      </c>
      <c r="U81" t="s">
        <v>566</v>
      </c>
      <c r="V81" t="s">
        <v>150</v>
      </c>
      <c r="X81" t="s">
        <v>705</v>
      </c>
      <c r="Y81" t="s">
        <v>510</v>
      </c>
      <c r="Z81" t="s">
        <v>867</v>
      </c>
      <c r="AA81">
        <v>0.98955141276769387</v>
      </c>
      <c r="AB81">
        <v>191.55743259227802</v>
      </c>
      <c r="AD81" t="s">
        <v>562</v>
      </c>
      <c r="AE81" t="s">
        <v>1038</v>
      </c>
      <c r="AF81" t="s">
        <v>1039</v>
      </c>
      <c r="AG81" t="s">
        <v>10</v>
      </c>
      <c r="AH81" t="s">
        <v>20</v>
      </c>
      <c r="AI81" t="s">
        <v>566</v>
      </c>
      <c r="AJ81" t="s">
        <v>150</v>
      </c>
      <c r="AL81" t="s">
        <v>1038</v>
      </c>
      <c r="AM81" t="s">
        <v>1194</v>
      </c>
      <c r="AN81" t="s">
        <v>849</v>
      </c>
      <c r="AO81">
        <v>0.99267357107797494</v>
      </c>
      <c r="AP81">
        <v>134.31786357045974</v>
      </c>
    </row>
    <row r="82" spans="2:42">
      <c r="B82" t="s">
        <v>146</v>
      </c>
      <c r="C82" t="s">
        <v>291</v>
      </c>
      <c r="D82" t="s">
        <v>292</v>
      </c>
      <c r="E82" t="s">
        <v>10</v>
      </c>
      <c r="F82" t="s">
        <v>20</v>
      </c>
      <c r="G82" t="s">
        <v>149</v>
      </c>
      <c r="H82" t="s">
        <v>150</v>
      </c>
      <c r="J82" t="s">
        <v>291</v>
      </c>
      <c r="K82" t="s">
        <v>496</v>
      </c>
      <c r="L82">
        <v>18.77037004737349</v>
      </c>
      <c r="M82">
        <v>0.14228070584106539</v>
      </c>
      <c r="O82" t="s">
        <v>562</v>
      </c>
      <c r="P82" t="s">
        <v>707</v>
      </c>
      <c r="Q82" t="s">
        <v>708</v>
      </c>
      <c r="R82" t="s">
        <v>10</v>
      </c>
      <c r="S82" t="s">
        <v>20</v>
      </c>
      <c r="T82" t="s">
        <v>565</v>
      </c>
      <c r="U82" t="s">
        <v>566</v>
      </c>
      <c r="V82" t="s">
        <v>150</v>
      </c>
      <c r="X82" t="s">
        <v>707</v>
      </c>
      <c r="Y82" t="s">
        <v>516</v>
      </c>
      <c r="Z82" t="s">
        <v>873</v>
      </c>
      <c r="AA82">
        <v>0.97668119298957756</v>
      </c>
      <c r="AB82">
        <v>427.51146185774559</v>
      </c>
      <c r="AD82" t="s">
        <v>562</v>
      </c>
      <c r="AE82" t="s">
        <v>1040</v>
      </c>
      <c r="AF82" t="s">
        <v>1041</v>
      </c>
      <c r="AG82" t="s">
        <v>10</v>
      </c>
      <c r="AH82" t="s">
        <v>20</v>
      </c>
      <c r="AI82" t="s">
        <v>566</v>
      </c>
      <c r="AJ82" t="s">
        <v>150</v>
      </c>
      <c r="AL82" t="s">
        <v>1040</v>
      </c>
      <c r="AM82" t="s">
        <v>1195</v>
      </c>
      <c r="AN82" t="s">
        <v>884</v>
      </c>
      <c r="AO82">
        <v>0.98837316480290893</v>
      </c>
      <c r="AP82">
        <v>213.15864528000296</v>
      </c>
    </row>
    <row r="83" spans="2:42">
      <c r="B83" t="s">
        <v>146</v>
      </c>
      <c r="C83" t="s">
        <v>293</v>
      </c>
      <c r="D83" t="s">
        <v>294</v>
      </c>
      <c r="E83" t="s">
        <v>10</v>
      </c>
      <c r="F83" t="s">
        <v>20</v>
      </c>
      <c r="G83" t="s">
        <v>149</v>
      </c>
      <c r="H83" t="s">
        <v>150</v>
      </c>
      <c r="J83" t="s">
        <v>293</v>
      </c>
      <c r="K83" t="s">
        <v>497</v>
      </c>
      <c r="L83">
        <v>73.5805882498654</v>
      </c>
      <c r="M83">
        <v>0.12446538854897191</v>
      </c>
      <c r="O83" t="s">
        <v>562</v>
      </c>
      <c r="P83" t="s">
        <v>709</v>
      </c>
      <c r="Q83" t="s">
        <v>710</v>
      </c>
      <c r="R83" t="s">
        <v>10</v>
      </c>
      <c r="S83" t="s">
        <v>20</v>
      </c>
      <c r="T83" t="s">
        <v>565</v>
      </c>
      <c r="U83" t="s">
        <v>566</v>
      </c>
      <c r="V83" t="s">
        <v>150</v>
      </c>
      <c r="X83" t="s">
        <v>709</v>
      </c>
      <c r="Y83" t="s">
        <v>518</v>
      </c>
      <c r="Z83" t="s">
        <v>884</v>
      </c>
      <c r="AA83">
        <v>0.98845897140196071</v>
      </c>
      <c r="AB83">
        <v>211.58552429738629</v>
      </c>
      <c r="AD83" t="s">
        <v>562</v>
      </c>
      <c r="AE83" t="s">
        <v>1042</v>
      </c>
      <c r="AF83" t="s">
        <v>1043</v>
      </c>
      <c r="AG83" t="s">
        <v>10</v>
      </c>
      <c r="AH83" t="s">
        <v>20</v>
      </c>
      <c r="AI83" t="s">
        <v>566</v>
      </c>
      <c r="AJ83" t="s">
        <v>150</v>
      </c>
      <c r="AL83" t="s">
        <v>1042</v>
      </c>
      <c r="AM83" t="s">
        <v>1196</v>
      </c>
      <c r="AN83" t="s">
        <v>859</v>
      </c>
      <c r="AO83">
        <v>0.9924503916821712</v>
      </c>
      <c r="AP83">
        <v>138.40948582686161</v>
      </c>
    </row>
    <row r="84" spans="2:42">
      <c r="B84" t="s">
        <v>146</v>
      </c>
      <c r="C84" t="s">
        <v>295</v>
      </c>
      <c r="D84" t="s">
        <v>296</v>
      </c>
      <c r="E84" t="s">
        <v>10</v>
      </c>
      <c r="F84" t="s">
        <v>20</v>
      </c>
      <c r="G84" t="s">
        <v>149</v>
      </c>
      <c r="H84" t="s">
        <v>150</v>
      </c>
      <c r="J84" t="s">
        <v>295</v>
      </c>
      <c r="K84" t="s">
        <v>498</v>
      </c>
      <c r="L84">
        <v>19.67390990682032</v>
      </c>
      <c r="M84">
        <v>0.13972585778374949</v>
      </c>
      <c r="O84" t="s">
        <v>562</v>
      </c>
      <c r="P84" t="s">
        <v>711</v>
      </c>
      <c r="Q84" t="s">
        <v>712</v>
      </c>
      <c r="R84" t="s">
        <v>10</v>
      </c>
      <c r="S84" t="s">
        <v>20</v>
      </c>
      <c r="T84" t="s">
        <v>565</v>
      </c>
      <c r="U84" t="s">
        <v>566</v>
      </c>
      <c r="V84" t="s">
        <v>150</v>
      </c>
      <c r="X84" t="s">
        <v>711</v>
      </c>
      <c r="Y84" t="s">
        <v>528</v>
      </c>
      <c r="Z84" t="s">
        <v>843</v>
      </c>
      <c r="AA84">
        <v>0.98629851964686077</v>
      </c>
      <c r="AB84">
        <v>251.19380647421841</v>
      </c>
      <c r="AD84" t="s">
        <v>562</v>
      </c>
      <c r="AE84" t="s">
        <v>1044</v>
      </c>
      <c r="AF84" t="s">
        <v>1045</v>
      </c>
      <c r="AG84" t="s">
        <v>10</v>
      </c>
      <c r="AH84" t="s">
        <v>20</v>
      </c>
      <c r="AI84" t="s">
        <v>566</v>
      </c>
      <c r="AJ84" t="s">
        <v>150</v>
      </c>
      <c r="AL84" t="s">
        <v>1044</v>
      </c>
      <c r="AM84" t="s">
        <v>1197</v>
      </c>
      <c r="AN84" t="s">
        <v>892</v>
      </c>
      <c r="AO84">
        <v>0.99388898978830953</v>
      </c>
      <c r="AP84">
        <v>112.03518721432623</v>
      </c>
    </row>
    <row r="85" spans="2:42">
      <c r="B85" t="s">
        <v>146</v>
      </c>
      <c r="C85" t="s">
        <v>297</v>
      </c>
      <c r="D85" t="s">
        <v>298</v>
      </c>
      <c r="E85" t="s">
        <v>10</v>
      </c>
      <c r="F85" t="s">
        <v>20</v>
      </c>
      <c r="G85" t="s">
        <v>149</v>
      </c>
      <c r="H85" t="s">
        <v>150</v>
      </c>
      <c r="J85" t="s">
        <v>297</v>
      </c>
      <c r="K85" t="s">
        <v>499</v>
      </c>
      <c r="L85">
        <v>31.031509670801533</v>
      </c>
      <c r="M85">
        <v>0.14094028438861878</v>
      </c>
      <c r="O85" t="s">
        <v>562</v>
      </c>
      <c r="P85" t="s">
        <v>713</v>
      </c>
      <c r="Q85" t="s">
        <v>714</v>
      </c>
      <c r="R85" t="s">
        <v>10</v>
      </c>
      <c r="S85" t="s">
        <v>20</v>
      </c>
      <c r="T85" t="s">
        <v>565</v>
      </c>
      <c r="U85" t="s">
        <v>566</v>
      </c>
      <c r="V85" t="s">
        <v>150</v>
      </c>
      <c r="X85" t="s">
        <v>713</v>
      </c>
      <c r="Y85" t="s">
        <v>552</v>
      </c>
      <c r="Z85" t="s">
        <v>885</v>
      </c>
      <c r="AA85">
        <v>0.98289372536542474</v>
      </c>
      <c r="AB85">
        <v>313.61503496721377</v>
      </c>
      <c r="AD85" t="s">
        <v>562</v>
      </c>
      <c r="AE85" t="s">
        <v>1046</v>
      </c>
      <c r="AF85" t="s">
        <v>1047</v>
      </c>
      <c r="AG85" t="s">
        <v>10</v>
      </c>
      <c r="AH85" t="s">
        <v>20</v>
      </c>
      <c r="AI85" t="s">
        <v>566</v>
      </c>
      <c r="AJ85" t="s">
        <v>150</v>
      </c>
      <c r="AL85" t="s">
        <v>1046</v>
      </c>
      <c r="AM85" t="s">
        <v>1198</v>
      </c>
      <c r="AN85" t="s">
        <v>844</v>
      </c>
      <c r="AO85">
        <v>0.98965200571238932</v>
      </c>
      <c r="AP85">
        <v>189.71322860619625</v>
      </c>
    </row>
    <row r="86" spans="2:42">
      <c r="B86" t="s">
        <v>146</v>
      </c>
      <c r="C86" t="s">
        <v>299</v>
      </c>
      <c r="D86" t="s">
        <v>300</v>
      </c>
      <c r="E86" t="s">
        <v>10</v>
      </c>
      <c r="F86" t="s">
        <v>20</v>
      </c>
      <c r="G86" t="s">
        <v>149</v>
      </c>
      <c r="H86" t="s">
        <v>150</v>
      </c>
      <c r="J86" t="s">
        <v>299</v>
      </c>
      <c r="K86" t="s">
        <v>500</v>
      </c>
      <c r="L86">
        <v>21.507865943771431</v>
      </c>
      <c r="M86">
        <v>0.12561120826749944</v>
      </c>
      <c r="O86" t="s">
        <v>562</v>
      </c>
      <c r="P86" t="s">
        <v>715</v>
      </c>
      <c r="Q86" t="s">
        <v>716</v>
      </c>
      <c r="R86" t="s">
        <v>10</v>
      </c>
      <c r="S86" t="s">
        <v>20</v>
      </c>
      <c r="T86" t="s">
        <v>565</v>
      </c>
      <c r="U86" t="s">
        <v>566</v>
      </c>
      <c r="V86" t="s">
        <v>150</v>
      </c>
      <c r="X86" t="s">
        <v>715</v>
      </c>
      <c r="Y86" t="s">
        <v>558</v>
      </c>
      <c r="Z86" t="s">
        <v>886</v>
      </c>
      <c r="AA86">
        <v>0.99506342503584544</v>
      </c>
      <c r="AB86">
        <v>90.503874342833086</v>
      </c>
      <c r="AD86" t="s">
        <v>562</v>
      </c>
      <c r="AE86" t="s">
        <v>1048</v>
      </c>
      <c r="AF86" t="s">
        <v>1049</v>
      </c>
      <c r="AG86" t="s">
        <v>10</v>
      </c>
      <c r="AH86" t="s">
        <v>20</v>
      </c>
      <c r="AI86" t="s">
        <v>566</v>
      </c>
      <c r="AJ86" t="s">
        <v>150</v>
      </c>
      <c r="AL86" t="s">
        <v>1048</v>
      </c>
      <c r="AM86" t="s">
        <v>1199</v>
      </c>
      <c r="AN86" t="s">
        <v>866</v>
      </c>
      <c r="AO86">
        <v>0.9865110114696487</v>
      </c>
      <c r="AP86">
        <v>247.29812305643949</v>
      </c>
    </row>
    <row r="87" spans="2:42">
      <c r="B87" t="s">
        <v>146</v>
      </c>
      <c r="C87" t="s">
        <v>301</v>
      </c>
      <c r="D87" t="s">
        <v>302</v>
      </c>
      <c r="E87" t="s">
        <v>10</v>
      </c>
      <c r="F87" t="s">
        <v>20</v>
      </c>
      <c r="G87" t="s">
        <v>149</v>
      </c>
      <c r="H87" t="s">
        <v>150</v>
      </c>
      <c r="J87" t="s">
        <v>301</v>
      </c>
      <c r="K87" t="s">
        <v>501</v>
      </c>
      <c r="L87">
        <v>35.583722835769358</v>
      </c>
      <c r="M87">
        <v>0.12882700277185721</v>
      </c>
      <c r="O87" t="s">
        <v>562</v>
      </c>
      <c r="P87" t="s">
        <v>717</v>
      </c>
      <c r="Q87" t="s">
        <v>718</v>
      </c>
      <c r="R87" t="s">
        <v>10</v>
      </c>
      <c r="S87" t="s">
        <v>20</v>
      </c>
      <c r="T87" t="s">
        <v>565</v>
      </c>
      <c r="U87" t="s">
        <v>566</v>
      </c>
      <c r="V87" t="s">
        <v>150</v>
      </c>
      <c r="X87" t="s">
        <v>717</v>
      </c>
      <c r="Y87" t="s">
        <v>434</v>
      </c>
      <c r="Z87" t="s">
        <v>865</v>
      </c>
      <c r="AA87">
        <v>0.98994820353208668</v>
      </c>
      <c r="AB87">
        <v>184.28293524507683</v>
      </c>
      <c r="AD87" t="s">
        <v>562</v>
      </c>
      <c r="AE87" t="s">
        <v>1050</v>
      </c>
      <c r="AF87" t="s">
        <v>1051</v>
      </c>
      <c r="AG87" t="s">
        <v>10</v>
      </c>
      <c r="AH87" t="s">
        <v>20</v>
      </c>
      <c r="AI87" t="s">
        <v>566</v>
      </c>
      <c r="AJ87" t="s">
        <v>150</v>
      </c>
      <c r="AL87" t="s">
        <v>1050</v>
      </c>
      <c r="AM87" t="s">
        <v>1200</v>
      </c>
      <c r="AN87" t="s">
        <v>887</v>
      </c>
      <c r="AO87">
        <v>0.98499499268435309</v>
      </c>
      <c r="AP87">
        <v>275.09180078686103</v>
      </c>
    </row>
    <row r="88" spans="2:42">
      <c r="B88" t="s">
        <v>146</v>
      </c>
      <c r="C88" t="s">
        <v>303</v>
      </c>
      <c r="D88" t="s">
        <v>304</v>
      </c>
      <c r="E88" t="s">
        <v>10</v>
      </c>
      <c r="F88" t="s">
        <v>20</v>
      </c>
      <c r="G88" t="s">
        <v>149</v>
      </c>
      <c r="H88" t="s">
        <v>150</v>
      </c>
      <c r="J88" t="s">
        <v>303</v>
      </c>
      <c r="K88" t="s">
        <v>502</v>
      </c>
      <c r="L88">
        <v>37.216673339374367</v>
      </c>
      <c r="M88">
        <v>0.1363928493981677</v>
      </c>
      <c r="O88" t="s">
        <v>562</v>
      </c>
      <c r="P88" t="s">
        <v>719</v>
      </c>
      <c r="Q88" t="s">
        <v>720</v>
      </c>
      <c r="R88" t="s">
        <v>10</v>
      </c>
      <c r="S88" t="s">
        <v>20</v>
      </c>
      <c r="T88" t="s">
        <v>565</v>
      </c>
      <c r="U88" t="s">
        <v>566</v>
      </c>
      <c r="V88" t="s">
        <v>150</v>
      </c>
      <c r="X88" t="s">
        <v>719</v>
      </c>
      <c r="Y88" t="s">
        <v>475</v>
      </c>
      <c r="Z88" t="s">
        <v>856</v>
      </c>
      <c r="AA88">
        <v>0.99211578471201944</v>
      </c>
      <c r="AB88">
        <v>144.54394694630997</v>
      </c>
      <c r="AD88" t="s">
        <v>562</v>
      </c>
      <c r="AE88" t="s">
        <v>1052</v>
      </c>
      <c r="AF88" t="s">
        <v>1053</v>
      </c>
      <c r="AG88" t="s">
        <v>10</v>
      </c>
      <c r="AH88" t="s">
        <v>20</v>
      </c>
      <c r="AI88" t="s">
        <v>566</v>
      </c>
      <c r="AJ88" t="s">
        <v>150</v>
      </c>
      <c r="AL88" t="s">
        <v>1052</v>
      </c>
      <c r="AM88" t="s">
        <v>1201</v>
      </c>
      <c r="AN88" t="s">
        <v>848</v>
      </c>
      <c r="AO88">
        <v>0.99401320046908392</v>
      </c>
      <c r="AP88">
        <v>109.75799140012764</v>
      </c>
    </row>
    <row r="89" spans="2:42">
      <c r="B89" t="s">
        <v>146</v>
      </c>
      <c r="C89" t="s">
        <v>305</v>
      </c>
      <c r="D89" t="s">
        <v>306</v>
      </c>
      <c r="E89" t="s">
        <v>10</v>
      </c>
      <c r="F89" t="s">
        <v>20</v>
      </c>
      <c r="G89" t="s">
        <v>149</v>
      </c>
      <c r="H89" t="s">
        <v>150</v>
      </c>
      <c r="J89" t="s">
        <v>305</v>
      </c>
      <c r="K89" t="s">
        <v>503</v>
      </c>
      <c r="L89">
        <v>53.056098478163726</v>
      </c>
      <c r="M89">
        <v>0.13334156946614531</v>
      </c>
      <c r="O89" t="s">
        <v>562</v>
      </c>
      <c r="P89" t="s">
        <v>721</v>
      </c>
      <c r="Q89" t="s">
        <v>722</v>
      </c>
      <c r="R89" t="s">
        <v>10</v>
      </c>
      <c r="S89" t="s">
        <v>20</v>
      </c>
      <c r="T89" t="s">
        <v>565</v>
      </c>
      <c r="U89" t="s">
        <v>566</v>
      </c>
      <c r="V89" t="s">
        <v>150</v>
      </c>
      <c r="X89" t="s">
        <v>721</v>
      </c>
      <c r="Y89" t="s">
        <v>477</v>
      </c>
      <c r="Z89" t="s">
        <v>866</v>
      </c>
      <c r="AA89">
        <v>0.99243446061187979</v>
      </c>
      <c r="AB89">
        <v>138.70155544887155</v>
      </c>
      <c r="AD89" t="s">
        <v>562</v>
      </c>
      <c r="AE89" t="s">
        <v>1054</v>
      </c>
      <c r="AF89" t="s">
        <v>1055</v>
      </c>
      <c r="AG89" t="s">
        <v>10</v>
      </c>
      <c r="AH89" t="s">
        <v>20</v>
      </c>
      <c r="AI89" t="s">
        <v>566</v>
      </c>
      <c r="AJ89" t="s">
        <v>150</v>
      </c>
      <c r="AL89" t="s">
        <v>1054</v>
      </c>
      <c r="AM89" t="s">
        <v>1202</v>
      </c>
      <c r="AN89" t="s">
        <v>890</v>
      </c>
      <c r="AO89">
        <v>0.99270552118216204</v>
      </c>
      <c r="AP89">
        <v>133.73211166036262</v>
      </c>
    </row>
    <row r="90" spans="2:42">
      <c r="B90" t="s">
        <v>146</v>
      </c>
      <c r="C90" t="s">
        <v>307</v>
      </c>
      <c r="D90" t="s">
        <v>308</v>
      </c>
      <c r="E90" t="s">
        <v>10</v>
      </c>
      <c r="F90" t="s">
        <v>20</v>
      </c>
      <c r="G90" t="s">
        <v>149</v>
      </c>
      <c r="H90" t="s">
        <v>150</v>
      </c>
      <c r="J90" t="s">
        <v>307</v>
      </c>
      <c r="K90" t="s">
        <v>504</v>
      </c>
      <c r="L90">
        <v>18.900438171054539</v>
      </c>
      <c r="M90">
        <v>0.10867687459700678</v>
      </c>
      <c r="O90" t="s">
        <v>562</v>
      </c>
      <c r="P90" t="s">
        <v>723</v>
      </c>
      <c r="Q90" t="s">
        <v>724</v>
      </c>
      <c r="R90" t="s">
        <v>10</v>
      </c>
      <c r="S90" t="s">
        <v>20</v>
      </c>
      <c r="T90" t="s">
        <v>565</v>
      </c>
      <c r="U90" t="s">
        <v>566</v>
      </c>
      <c r="V90" t="s">
        <v>150</v>
      </c>
      <c r="X90" t="s">
        <v>723</v>
      </c>
      <c r="Y90" t="s">
        <v>489</v>
      </c>
      <c r="Z90" t="s">
        <v>883</v>
      </c>
      <c r="AA90">
        <v>0.98250540566262157</v>
      </c>
      <c r="AB90">
        <v>320.7342295186051</v>
      </c>
      <c r="AD90" t="s">
        <v>562</v>
      </c>
      <c r="AE90" t="s">
        <v>1056</v>
      </c>
      <c r="AF90" t="s">
        <v>1057</v>
      </c>
      <c r="AG90" t="s">
        <v>10</v>
      </c>
      <c r="AH90" t="s">
        <v>20</v>
      </c>
      <c r="AI90" t="s">
        <v>566</v>
      </c>
      <c r="AJ90" t="s">
        <v>150</v>
      </c>
      <c r="AL90" t="s">
        <v>1056</v>
      </c>
      <c r="AM90" t="s">
        <v>1203</v>
      </c>
      <c r="AN90" t="s">
        <v>865</v>
      </c>
      <c r="AO90">
        <v>0.99077061821894719</v>
      </c>
      <c r="AP90">
        <v>169.20533265263529</v>
      </c>
    </row>
    <row r="91" spans="2:42">
      <c r="B91" t="s">
        <v>146</v>
      </c>
      <c r="C91" t="s">
        <v>309</v>
      </c>
      <c r="D91" t="s">
        <v>310</v>
      </c>
      <c r="E91" t="s">
        <v>10</v>
      </c>
      <c r="F91" t="s">
        <v>20</v>
      </c>
      <c r="G91" t="s">
        <v>149</v>
      </c>
      <c r="H91" t="s">
        <v>150</v>
      </c>
      <c r="J91" t="s">
        <v>309</v>
      </c>
      <c r="K91" t="s">
        <v>505</v>
      </c>
      <c r="L91">
        <v>64.86207217184041</v>
      </c>
      <c r="M91">
        <v>0.13593144533365281</v>
      </c>
      <c r="O91" t="s">
        <v>562</v>
      </c>
      <c r="P91" t="s">
        <v>725</v>
      </c>
      <c r="Q91" t="s">
        <v>726</v>
      </c>
      <c r="R91" t="s">
        <v>10</v>
      </c>
      <c r="S91" t="s">
        <v>20</v>
      </c>
      <c r="T91" t="s">
        <v>565</v>
      </c>
      <c r="U91" t="s">
        <v>566</v>
      </c>
      <c r="V91" t="s">
        <v>150</v>
      </c>
      <c r="X91" t="s">
        <v>725</v>
      </c>
      <c r="Y91" t="s">
        <v>496</v>
      </c>
      <c r="Z91" t="s">
        <v>887</v>
      </c>
      <c r="AA91">
        <v>0.97974410411433677</v>
      </c>
      <c r="AB91">
        <v>371.35809123716024</v>
      </c>
      <c r="AD91" t="s">
        <v>562</v>
      </c>
      <c r="AE91" t="s">
        <v>1058</v>
      </c>
      <c r="AF91" t="s">
        <v>1059</v>
      </c>
      <c r="AG91" t="s">
        <v>10</v>
      </c>
      <c r="AH91" t="s">
        <v>20</v>
      </c>
      <c r="AI91" t="s">
        <v>566</v>
      </c>
      <c r="AJ91" t="s">
        <v>150</v>
      </c>
      <c r="AL91" t="s">
        <v>1058</v>
      </c>
      <c r="AM91" t="s">
        <v>1204</v>
      </c>
      <c r="AN91" t="s">
        <v>844</v>
      </c>
      <c r="AO91">
        <v>0.97911240890549023</v>
      </c>
      <c r="AP91">
        <v>382.93917006601345</v>
      </c>
    </row>
    <row r="92" spans="2:42">
      <c r="B92" t="s">
        <v>146</v>
      </c>
      <c r="C92" t="s">
        <v>311</v>
      </c>
      <c r="D92" t="s">
        <v>312</v>
      </c>
      <c r="E92" t="s">
        <v>10</v>
      </c>
      <c r="F92" t="s">
        <v>20</v>
      </c>
      <c r="G92" t="s">
        <v>149</v>
      </c>
      <c r="H92" t="s">
        <v>150</v>
      </c>
      <c r="J92" t="s">
        <v>311</v>
      </c>
      <c r="K92" t="s">
        <v>506</v>
      </c>
      <c r="L92">
        <v>24.014161584806899</v>
      </c>
      <c r="M92">
        <v>0.110270775570164</v>
      </c>
      <c r="O92" t="s">
        <v>562</v>
      </c>
      <c r="P92" t="s">
        <v>727</v>
      </c>
      <c r="Q92" t="s">
        <v>728</v>
      </c>
      <c r="R92" t="s">
        <v>10</v>
      </c>
      <c r="S92" t="s">
        <v>20</v>
      </c>
      <c r="T92" t="s">
        <v>565</v>
      </c>
      <c r="U92" t="s">
        <v>566</v>
      </c>
      <c r="V92" t="s">
        <v>150</v>
      </c>
      <c r="X92" t="s">
        <v>727</v>
      </c>
      <c r="Y92" t="s">
        <v>504</v>
      </c>
      <c r="Z92" t="s">
        <v>849</v>
      </c>
      <c r="AA92">
        <v>0.98904809077723221</v>
      </c>
      <c r="AB92">
        <v>200.7850024174094</v>
      </c>
      <c r="AD92" t="s">
        <v>562</v>
      </c>
      <c r="AE92" t="s">
        <v>1060</v>
      </c>
      <c r="AF92" t="s">
        <v>1061</v>
      </c>
      <c r="AG92" t="s">
        <v>10</v>
      </c>
      <c r="AH92" t="s">
        <v>20</v>
      </c>
      <c r="AI92" t="s">
        <v>566</v>
      </c>
      <c r="AJ92" t="s">
        <v>150</v>
      </c>
      <c r="AL92" t="s">
        <v>1060</v>
      </c>
      <c r="AM92" t="s">
        <v>1205</v>
      </c>
      <c r="AN92" t="s">
        <v>852</v>
      </c>
      <c r="AO92">
        <v>0.98540042793923122</v>
      </c>
      <c r="AP92">
        <v>267.65882111409439</v>
      </c>
    </row>
    <row r="93" spans="2:42">
      <c r="B93" t="s">
        <v>146</v>
      </c>
      <c r="C93" t="s">
        <v>313</v>
      </c>
      <c r="D93" t="s">
        <v>314</v>
      </c>
      <c r="E93" t="s">
        <v>10</v>
      </c>
      <c r="F93" t="s">
        <v>20</v>
      </c>
      <c r="G93" t="s">
        <v>149</v>
      </c>
      <c r="H93" t="s">
        <v>150</v>
      </c>
      <c r="J93" t="s">
        <v>313</v>
      </c>
      <c r="K93" t="s">
        <v>507</v>
      </c>
      <c r="L93">
        <v>42.303482718454454</v>
      </c>
      <c r="M93">
        <v>0.11555350017956682</v>
      </c>
      <c r="O93" t="s">
        <v>562</v>
      </c>
      <c r="P93" t="s">
        <v>729</v>
      </c>
      <c r="Q93" t="s">
        <v>730</v>
      </c>
      <c r="R93" t="s">
        <v>10</v>
      </c>
      <c r="S93" t="s">
        <v>20</v>
      </c>
      <c r="T93" t="s">
        <v>565</v>
      </c>
      <c r="U93" t="s">
        <v>566</v>
      </c>
      <c r="V93" t="s">
        <v>150</v>
      </c>
      <c r="X93" t="s">
        <v>729</v>
      </c>
      <c r="Y93" t="s">
        <v>521</v>
      </c>
      <c r="Z93" t="s">
        <v>888</v>
      </c>
      <c r="AA93">
        <v>0.992383122341708</v>
      </c>
      <c r="AB93">
        <v>139.64275706868568</v>
      </c>
      <c r="AD93" t="s">
        <v>562</v>
      </c>
      <c r="AE93" t="s">
        <v>1062</v>
      </c>
      <c r="AF93" t="s">
        <v>1063</v>
      </c>
      <c r="AG93" t="s">
        <v>10</v>
      </c>
      <c r="AH93" t="s">
        <v>20</v>
      </c>
      <c r="AI93" t="s">
        <v>566</v>
      </c>
      <c r="AJ93" t="s">
        <v>150</v>
      </c>
      <c r="AL93" t="s">
        <v>1062</v>
      </c>
      <c r="AM93" t="s">
        <v>1206</v>
      </c>
      <c r="AN93" t="s">
        <v>868</v>
      </c>
      <c r="AO93">
        <v>0.99328745157332987</v>
      </c>
      <c r="AP93">
        <v>123.06338782228508</v>
      </c>
    </row>
    <row r="94" spans="2:42">
      <c r="B94" t="s">
        <v>146</v>
      </c>
      <c r="C94" t="s">
        <v>315</v>
      </c>
      <c r="D94" t="s">
        <v>316</v>
      </c>
      <c r="E94" t="s">
        <v>10</v>
      </c>
      <c r="F94" t="s">
        <v>20</v>
      </c>
      <c r="G94" t="s">
        <v>149</v>
      </c>
      <c r="H94" t="s">
        <v>150</v>
      </c>
      <c r="J94" t="s">
        <v>315</v>
      </c>
      <c r="K94" t="s">
        <v>508</v>
      </c>
      <c r="L94">
        <v>61.08658916715283</v>
      </c>
      <c r="M94">
        <v>0.10410975171030157</v>
      </c>
      <c r="O94" t="s">
        <v>562</v>
      </c>
      <c r="P94" t="s">
        <v>731</v>
      </c>
      <c r="Q94" t="s">
        <v>732</v>
      </c>
      <c r="R94" t="s">
        <v>10</v>
      </c>
      <c r="S94" t="s">
        <v>20</v>
      </c>
      <c r="T94" t="s">
        <v>565</v>
      </c>
      <c r="U94" t="s">
        <v>566</v>
      </c>
      <c r="V94" t="s">
        <v>150</v>
      </c>
      <c r="X94" t="s">
        <v>731</v>
      </c>
      <c r="Y94" t="s">
        <v>551</v>
      </c>
      <c r="Z94" t="s">
        <v>885</v>
      </c>
      <c r="AA94">
        <v>0.98782738263402425</v>
      </c>
      <c r="AB94">
        <v>223.16465170955473</v>
      </c>
      <c r="AD94" t="s">
        <v>562</v>
      </c>
      <c r="AE94" t="s">
        <v>1064</v>
      </c>
      <c r="AF94" t="s">
        <v>1065</v>
      </c>
      <c r="AG94" t="s">
        <v>10</v>
      </c>
      <c r="AH94" t="s">
        <v>20</v>
      </c>
      <c r="AI94" t="s">
        <v>566</v>
      </c>
      <c r="AJ94" t="s">
        <v>150</v>
      </c>
      <c r="AL94" t="s">
        <v>1064</v>
      </c>
      <c r="AM94" t="s">
        <v>1207</v>
      </c>
      <c r="AN94" t="s">
        <v>873</v>
      </c>
      <c r="AO94">
        <v>0.97466160251195344</v>
      </c>
      <c r="AP94">
        <v>464.53728728085309</v>
      </c>
    </row>
    <row r="95" spans="2:42">
      <c r="B95" t="s">
        <v>146</v>
      </c>
      <c r="C95" t="s">
        <v>317</v>
      </c>
      <c r="D95" t="s">
        <v>318</v>
      </c>
      <c r="E95" t="s">
        <v>10</v>
      </c>
      <c r="F95" t="s">
        <v>20</v>
      </c>
      <c r="G95" t="s">
        <v>149</v>
      </c>
      <c r="H95" t="s">
        <v>150</v>
      </c>
      <c r="J95" t="s">
        <v>317</v>
      </c>
      <c r="K95" t="s">
        <v>509</v>
      </c>
      <c r="L95">
        <v>0</v>
      </c>
      <c r="M95">
        <v>0.18019856536275275</v>
      </c>
      <c r="O95" t="s">
        <v>562</v>
      </c>
      <c r="P95" t="s">
        <v>733</v>
      </c>
      <c r="Q95" t="s">
        <v>734</v>
      </c>
      <c r="R95" t="s">
        <v>10</v>
      </c>
      <c r="S95" t="s">
        <v>20</v>
      </c>
      <c r="T95" t="s">
        <v>565</v>
      </c>
      <c r="U95" t="s">
        <v>566</v>
      </c>
      <c r="V95" t="s">
        <v>150</v>
      </c>
      <c r="X95" t="s">
        <v>733</v>
      </c>
      <c r="Y95" t="s">
        <v>553</v>
      </c>
      <c r="Z95" t="s">
        <v>885</v>
      </c>
      <c r="AA95">
        <v>0.9912814094707586</v>
      </c>
      <c r="AB95">
        <v>159.84082636942577</v>
      </c>
      <c r="AD95" t="s">
        <v>562</v>
      </c>
      <c r="AE95" t="s">
        <v>1066</v>
      </c>
      <c r="AF95" t="s">
        <v>1067</v>
      </c>
      <c r="AG95" t="s">
        <v>10</v>
      </c>
      <c r="AH95" t="s">
        <v>20</v>
      </c>
      <c r="AI95" t="s">
        <v>566</v>
      </c>
      <c r="AJ95" t="s">
        <v>150</v>
      </c>
      <c r="AL95" t="s">
        <v>1066</v>
      </c>
      <c r="AM95" t="s">
        <v>1208</v>
      </c>
      <c r="AN95" t="s">
        <v>874</v>
      </c>
      <c r="AO95">
        <v>0.99748710010368635</v>
      </c>
      <c r="AP95">
        <v>46.069831432417168</v>
      </c>
    </row>
    <row r="96" spans="2:42">
      <c r="B96" t="s">
        <v>146</v>
      </c>
      <c r="C96" t="s">
        <v>319</v>
      </c>
      <c r="D96" t="s">
        <v>320</v>
      </c>
      <c r="E96" t="s">
        <v>10</v>
      </c>
      <c r="F96" t="s">
        <v>20</v>
      </c>
      <c r="G96" t="s">
        <v>149</v>
      </c>
      <c r="H96" t="s">
        <v>150</v>
      </c>
      <c r="J96" t="s">
        <v>319</v>
      </c>
      <c r="K96" t="s">
        <v>510</v>
      </c>
      <c r="L96">
        <v>42.808680051723087</v>
      </c>
      <c r="M96">
        <v>0.18653183614443924</v>
      </c>
      <c r="O96" t="s">
        <v>562</v>
      </c>
      <c r="P96" t="s">
        <v>735</v>
      </c>
      <c r="Q96" t="s">
        <v>736</v>
      </c>
      <c r="R96" t="s">
        <v>10</v>
      </c>
      <c r="S96" t="s">
        <v>20</v>
      </c>
      <c r="T96" t="s">
        <v>565</v>
      </c>
      <c r="U96" t="s">
        <v>566</v>
      </c>
      <c r="V96" t="s">
        <v>150</v>
      </c>
      <c r="X96" t="s">
        <v>735</v>
      </c>
      <c r="Y96" t="s">
        <v>429</v>
      </c>
      <c r="Z96" t="s">
        <v>860</v>
      </c>
      <c r="AA96">
        <v>0.99232963975206445</v>
      </c>
      <c r="AB96">
        <v>140.62327121215228</v>
      </c>
      <c r="AD96" t="s">
        <v>562</v>
      </c>
      <c r="AE96" t="s">
        <v>1068</v>
      </c>
      <c r="AF96" t="s">
        <v>1069</v>
      </c>
      <c r="AG96" t="s">
        <v>10</v>
      </c>
      <c r="AH96" t="s">
        <v>20</v>
      </c>
      <c r="AI96" t="s">
        <v>566</v>
      </c>
      <c r="AJ96" t="s">
        <v>150</v>
      </c>
      <c r="AL96" t="s">
        <v>1068</v>
      </c>
      <c r="AM96" t="s">
        <v>1209</v>
      </c>
      <c r="AN96" t="s">
        <v>888</v>
      </c>
      <c r="AO96">
        <v>0.99472130687422744</v>
      </c>
      <c r="AP96">
        <v>96.776040639162858</v>
      </c>
    </row>
    <row r="97" spans="2:42">
      <c r="B97" t="s">
        <v>146</v>
      </c>
      <c r="C97" t="s">
        <v>321</v>
      </c>
      <c r="D97" t="s">
        <v>322</v>
      </c>
      <c r="E97" t="s">
        <v>10</v>
      </c>
      <c r="F97" t="s">
        <v>20</v>
      </c>
      <c r="G97" t="s">
        <v>149</v>
      </c>
      <c r="H97" t="s">
        <v>150</v>
      </c>
      <c r="J97" t="s">
        <v>321</v>
      </c>
      <c r="K97" t="s">
        <v>511</v>
      </c>
      <c r="L97">
        <v>64.961899577060393</v>
      </c>
      <c r="M97">
        <v>0.19938148243549661</v>
      </c>
      <c r="O97" t="s">
        <v>562</v>
      </c>
      <c r="P97" t="s">
        <v>737</v>
      </c>
      <c r="Q97" t="s">
        <v>738</v>
      </c>
      <c r="R97" t="s">
        <v>10</v>
      </c>
      <c r="S97" t="s">
        <v>20</v>
      </c>
      <c r="T97" t="s">
        <v>565</v>
      </c>
      <c r="U97" t="s">
        <v>566</v>
      </c>
      <c r="V97" t="s">
        <v>150</v>
      </c>
      <c r="X97" t="s">
        <v>737</v>
      </c>
      <c r="Y97" t="s">
        <v>443</v>
      </c>
      <c r="Z97" t="s">
        <v>889</v>
      </c>
      <c r="AA97">
        <v>0.98863637284234351</v>
      </c>
      <c r="AB97">
        <v>208.33316455703533</v>
      </c>
      <c r="AD97" t="s">
        <v>562</v>
      </c>
      <c r="AE97" t="s">
        <v>1070</v>
      </c>
      <c r="AF97" t="s">
        <v>1071</v>
      </c>
      <c r="AG97" t="s">
        <v>10</v>
      </c>
      <c r="AH97" t="s">
        <v>20</v>
      </c>
      <c r="AI97" t="s">
        <v>566</v>
      </c>
      <c r="AJ97" t="s">
        <v>150</v>
      </c>
      <c r="AL97" t="s">
        <v>1070</v>
      </c>
      <c r="AM97" t="s">
        <v>1210</v>
      </c>
      <c r="AN97" t="s">
        <v>859</v>
      </c>
      <c r="AO97">
        <v>0.99387886431172578</v>
      </c>
      <c r="AP97">
        <v>112.22082095169485</v>
      </c>
    </row>
    <row r="98" spans="2:42">
      <c r="B98" t="s">
        <v>146</v>
      </c>
      <c r="C98" t="s">
        <v>323</v>
      </c>
      <c r="D98" t="s">
        <v>324</v>
      </c>
      <c r="E98" t="s">
        <v>10</v>
      </c>
      <c r="F98" t="s">
        <v>20</v>
      </c>
      <c r="G98" t="s">
        <v>149</v>
      </c>
      <c r="H98" t="s">
        <v>150</v>
      </c>
      <c r="J98" t="s">
        <v>323</v>
      </c>
      <c r="K98" t="s">
        <v>512</v>
      </c>
      <c r="L98">
        <v>92.932460189401638</v>
      </c>
      <c r="M98">
        <v>0.19692126690286446</v>
      </c>
      <c r="O98" t="s">
        <v>562</v>
      </c>
      <c r="P98" t="s">
        <v>739</v>
      </c>
      <c r="Q98" t="s">
        <v>740</v>
      </c>
      <c r="R98" t="s">
        <v>10</v>
      </c>
      <c r="S98" t="s">
        <v>20</v>
      </c>
      <c r="T98" t="s">
        <v>565</v>
      </c>
      <c r="U98" t="s">
        <v>566</v>
      </c>
      <c r="V98" t="s">
        <v>150</v>
      </c>
      <c r="X98" t="s">
        <v>739</v>
      </c>
      <c r="Y98" t="s">
        <v>454</v>
      </c>
      <c r="Z98" t="s">
        <v>854</v>
      </c>
      <c r="AA98">
        <v>0.99016939403137849</v>
      </c>
      <c r="AB98">
        <v>180.22777609139402</v>
      </c>
      <c r="AD98" t="s">
        <v>562</v>
      </c>
      <c r="AE98" t="s">
        <v>1072</v>
      </c>
      <c r="AF98" t="s">
        <v>1073</v>
      </c>
      <c r="AG98" t="s">
        <v>10</v>
      </c>
      <c r="AH98" t="s">
        <v>20</v>
      </c>
      <c r="AI98" t="s">
        <v>566</v>
      </c>
      <c r="AJ98" t="s">
        <v>150</v>
      </c>
      <c r="AL98" t="s">
        <v>1072</v>
      </c>
      <c r="AM98" t="s">
        <v>1211</v>
      </c>
      <c r="AN98" t="s">
        <v>844</v>
      </c>
      <c r="AO98">
        <v>0.97986124669518093</v>
      </c>
      <c r="AP98">
        <v>369.21047725501711</v>
      </c>
    </row>
    <row r="99" spans="2:42">
      <c r="B99" t="s">
        <v>146</v>
      </c>
      <c r="C99" t="s">
        <v>325</v>
      </c>
      <c r="D99" t="s">
        <v>326</v>
      </c>
      <c r="E99" t="s">
        <v>10</v>
      </c>
      <c r="F99" t="s">
        <v>20</v>
      </c>
      <c r="G99" t="s">
        <v>149</v>
      </c>
      <c r="H99" t="s">
        <v>150</v>
      </c>
      <c r="J99" t="s">
        <v>325</v>
      </c>
      <c r="K99" t="s">
        <v>513</v>
      </c>
      <c r="L99">
        <v>54.585680928630296</v>
      </c>
      <c r="M99">
        <v>0.1983488304480647</v>
      </c>
      <c r="O99" t="s">
        <v>562</v>
      </c>
      <c r="P99" t="s">
        <v>741</v>
      </c>
      <c r="Q99" t="s">
        <v>742</v>
      </c>
      <c r="R99" t="s">
        <v>10</v>
      </c>
      <c r="S99" t="s">
        <v>20</v>
      </c>
      <c r="T99" t="s">
        <v>565</v>
      </c>
      <c r="U99" t="s">
        <v>566</v>
      </c>
      <c r="V99" t="s">
        <v>150</v>
      </c>
      <c r="X99" t="s">
        <v>741</v>
      </c>
      <c r="Y99" t="s">
        <v>461</v>
      </c>
      <c r="Z99" t="s">
        <v>855</v>
      </c>
      <c r="AA99">
        <v>0.9849937388690081</v>
      </c>
      <c r="AB99">
        <v>275.11478740151779</v>
      </c>
      <c r="AD99" t="s">
        <v>562</v>
      </c>
      <c r="AE99" t="s">
        <v>1074</v>
      </c>
      <c r="AF99" t="s">
        <v>1075</v>
      </c>
      <c r="AG99" t="s">
        <v>10</v>
      </c>
      <c r="AH99" t="s">
        <v>20</v>
      </c>
      <c r="AI99" t="s">
        <v>566</v>
      </c>
      <c r="AJ99" t="s">
        <v>150</v>
      </c>
      <c r="AL99" t="s">
        <v>1074</v>
      </c>
      <c r="AM99" t="s">
        <v>1212</v>
      </c>
      <c r="AN99" t="s">
        <v>841</v>
      </c>
      <c r="AO99">
        <v>0.99347009078887716</v>
      </c>
      <c r="AP99">
        <v>119.71500220391977</v>
      </c>
    </row>
    <row r="100" spans="2:42">
      <c r="B100" t="s">
        <v>146</v>
      </c>
      <c r="C100" t="s">
        <v>327</v>
      </c>
      <c r="D100" t="s">
        <v>328</v>
      </c>
      <c r="E100" t="s">
        <v>10</v>
      </c>
      <c r="F100" t="s">
        <v>20</v>
      </c>
      <c r="G100" t="s">
        <v>149</v>
      </c>
      <c r="H100" t="s">
        <v>150</v>
      </c>
      <c r="J100" t="s">
        <v>327</v>
      </c>
      <c r="K100" t="s">
        <v>514</v>
      </c>
      <c r="L100">
        <v>46.191936623358451</v>
      </c>
      <c r="M100">
        <v>0.18932995011842391</v>
      </c>
      <c r="O100" t="s">
        <v>562</v>
      </c>
      <c r="P100" t="s">
        <v>743</v>
      </c>
      <c r="Q100" t="s">
        <v>744</v>
      </c>
      <c r="R100" t="s">
        <v>10</v>
      </c>
      <c r="S100" t="s">
        <v>20</v>
      </c>
      <c r="T100" t="s">
        <v>565</v>
      </c>
      <c r="U100" t="s">
        <v>566</v>
      </c>
      <c r="V100" t="s">
        <v>150</v>
      </c>
      <c r="X100" t="s">
        <v>743</v>
      </c>
      <c r="Y100" t="s">
        <v>465</v>
      </c>
      <c r="Z100" t="s">
        <v>855</v>
      </c>
      <c r="AA100">
        <v>0.96879824550148963</v>
      </c>
      <c r="AB100">
        <v>572.03216580602339</v>
      </c>
      <c r="AD100" t="s">
        <v>562</v>
      </c>
      <c r="AE100" t="s">
        <v>1076</v>
      </c>
      <c r="AF100" t="s">
        <v>1077</v>
      </c>
      <c r="AG100" t="s">
        <v>10</v>
      </c>
      <c r="AH100" t="s">
        <v>20</v>
      </c>
      <c r="AI100" t="s">
        <v>566</v>
      </c>
      <c r="AJ100" t="s">
        <v>150</v>
      </c>
      <c r="AL100" t="s">
        <v>1076</v>
      </c>
      <c r="AM100" t="s">
        <v>1213</v>
      </c>
      <c r="AN100" t="s">
        <v>867</v>
      </c>
      <c r="AO100">
        <v>0.98231817048454484</v>
      </c>
      <c r="AP100">
        <v>324.16687445001179</v>
      </c>
    </row>
    <row r="101" spans="2:42">
      <c r="B101" t="s">
        <v>146</v>
      </c>
      <c r="C101" t="s">
        <v>329</v>
      </c>
      <c r="D101" t="s">
        <v>330</v>
      </c>
      <c r="E101" t="s">
        <v>10</v>
      </c>
      <c r="F101" t="s">
        <v>20</v>
      </c>
      <c r="G101" t="s">
        <v>149</v>
      </c>
      <c r="H101" t="s">
        <v>150</v>
      </c>
      <c r="J101" t="s">
        <v>329</v>
      </c>
      <c r="K101" t="s">
        <v>515</v>
      </c>
      <c r="L101">
        <v>0.94618902289140083</v>
      </c>
      <c r="M101">
        <v>0.20347424485813198</v>
      </c>
      <c r="O101" t="s">
        <v>562</v>
      </c>
      <c r="P101" t="s">
        <v>745</v>
      </c>
      <c r="Q101" t="s">
        <v>746</v>
      </c>
      <c r="R101" t="s">
        <v>10</v>
      </c>
      <c r="S101" t="s">
        <v>20</v>
      </c>
      <c r="T101" t="s">
        <v>565</v>
      </c>
      <c r="U101" t="s">
        <v>566</v>
      </c>
      <c r="V101" t="s">
        <v>150</v>
      </c>
      <c r="X101" t="s">
        <v>745</v>
      </c>
      <c r="Y101" t="s">
        <v>497</v>
      </c>
      <c r="Z101" t="s">
        <v>887</v>
      </c>
      <c r="AA101">
        <v>0.99058937597842778</v>
      </c>
      <c r="AB101">
        <v>172.52810706215647</v>
      </c>
      <c r="AD101" t="s">
        <v>562</v>
      </c>
      <c r="AE101" t="s">
        <v>1078</v>
      </c>
      <c r="AF101" t="s">
        <v>1079</v>
      </c>
      <c r="AG101" t="s">
        <v>10</v>
      </c>
      <c r="AH101" t="s">
        <v>20</v>
      </c>
      <c r="AI101" t="s">
        <v>566</v>
      </c>
      <c r="AJ101" t="s">
        <v>150</v>
      </c>
      <c r="AL101" t="s">
        <v>1078</v>
      </c>
      <c r="AM101" t="s">
        <v>1214</v>
      </c>
      <c r="AN101" t="s">
        <v>858</v>
      </c>
      <c r="AO101">
        <v>0.99390376443666895</v>
      </c>
      <c r="AP101">
        <v>111.76431866107015</v>
      </c>
    </row>
    <row r="102" spans="2:42">
      <c r="B102" t="s">
        <v>146</v>
      </c>
      <c r="C102" t="s">
        <v>331</v>
      </c>
      <c r="D102" t="s">
        <v>332</v>
      </c>
      <c r="E102" t="s">
        <v>10</v>
      </c>
      <c r="F102" t="s">
        <v>20</v>
      </c>
      <c r="G102" t="s">
        <v>149</v>
      </c>
      <c r="H102" t="s">
        <v>150</v>
      </c>
      <c r="J102" t="s">
        <v>331</v>
      </c>
      <c r="K102" t="s">
        <v>516</v>
      </c>
      <c r="L102">
        <v>55.063490745331912</v>
      </c>
      <c r="M102">
        <v>0.20725560622315575</v>
      </c>
      <c r="O102" t="s">
        <v>562</v>
      </c>
      <c r="P102" t="s">
        <v>747</v>
      </c>
      <c r="Q102" t="s">
        <v>748</v>
      </c>
      <c r="R102" t="s">
        <v>10</v>
      </c>
      <c r="S102" t="s">
        <v>20</v>
      </c>
      <c r="T102" t="s">
        <v>565</v>
      </c>
      <c r="U102" t="s">
        <v>566</v>
      </c>
      <c r="V102" t="s">
        <v>150</v>
      </c>
      <c r="X102" t="s">
        <v>747</v>
      </c>
      <c r="Y102" t="s">
        <v>517</v>
      </c>
      <c r="Z102" t="s">
        <v>884</v>
      </c>
      <c r="AA102">
        <v>0.98884641033160892</v>
      </c>
      <c r="AB102">
        <v>204.48247725383573</v>
      </c>
      <c r="AD102" t="s">
        <v>562</v>
      </c>
      <c r="AE102" t="s">
        <v>1080</v>
      </c>
      <c r="AF102" t="s">
        <v>1081</v>
      </c>
      <c r="AG102" t="s">
        <v>10</v>
      </c>
      <c r="AH102" t="s">
        <v>20</v>
      </c>
      <c r="AI102" t="s">
        <v>566</v>
      </c>
      <c r="AJ102" t="s">
        <v>150</v>
      </c>
      <c r="AL102" t="s">
        <v>1080</v>
      </c>
      <c r="AM102" t="s">
        <v>1215</v>
      </c>
      <c r="AN102" t="s">
        <v>885</v>
      </c>
      <c r="AO102">
        <v>0.98228212315007546</v>
      </c>
      <c r="AP102">
        <v>324.82774224861657</v>
      </c>
    </row>
    <row r="103" spans="2:42">
      <c r="B103" t="s">
        <v>146</v>
      </c>
      <c r="C103" t="s">
        <v>333</v>
      </c>
      <c r="D103" t="s">
        <v>334</v>
      </c>
      <c r="E103" t="s">
        <v>10</v>
      </c>
      <c r="F103" t="s">
        <v>20</v>
      </c>
      <c r="G103" t="s">
        <v>149</v>
      </c>
      <c r="H103" t="s">
        <v>150</v>
      </c>
      <c r="J103" t="s">
        <v>333</v>
      </c>
      <c r="K103" t="s">
        <v>517</v>
      </c>
      <c r="L103">
        <v>22.93129789175067</v>
      </c>
      <c r="M103">
        <v>0.12385453144173098</v>
      </c>
      <c r="O103" t="s">
        <v>562</v>
      </c>
      <c r="P103" t="s">
        <v>749</v>
      </c>
      <c r="Q103" t="s">
        <v>750</v>
      </c>
      <c r="R103" t="s">
        <v>10</v>
      </c>
      <c r="S103" t="s">
        <v>20</v>
      </c>
      <c r="T103" t="s">
        <v>565</v>
      </c>
      <c r="U103" t="s">
        <v>566</v>
      </c>
      <c r="V103" t="s">
        <v>150</v>
      </c>
      <c r="X103" t="s">
        <v>749</v>
      </c>
      <c r="Y103" t="s">
        <v>524</v>
      </c>
      <c r="Z103" t="s">
        <v>876</v>
      </c>
      <c r="AA103">
        <v>0.98971858307134875</v>
      </c>
      <c r="AB103">
        <v>188.49264369194051</v>
      </c>
      <c r="AD103" t="s">
        <v>562</v>
      </c>
      <c r="AE103" t="s">
        <v>1082</v>
      </c>
      <c r="AF103" t="s">
        <v>1083</v>
      </c>
      <c r="AG103" t="s">
        <v>10</v>
      </c>
      <c r="AH103" t="s">
        <v>20</v>
      </c>
      <c r="AI103" t="s">
        <v>566</v>
      </c>
      <c r="AJ103" t="s">
        <v>150</v>
      </c>
      <c r="AL103" t="s">
        <v>1082</v>
      </c>
      <c r="AM103" t="s">
        <v>1216</v>
      </c>
      <c r="AN103" t="s">
        <v>860</v>
      </c>
      <c r="AO103">
        <v>0.99304329114881718</v>
      </c>
      <c r="AP103">
        <v>127.53966227168546</v>
      </c>
    </row>
    <row r="104" spans="2:42">
      <c r="B104" t="s">
        <v>146</v>
      </c>
      <c r="C104" t="s">
        <v>335</v>
      </c>
      <c r="D104" t="s">
        <v>336</v>
      </c>
      <c r="E104" t="s">
        <v>10</v>
      </c>
      <c r="F104" t="s">
        <v>20</v>
      </c>
      <c r="G104" t="s">
        <v>149</v>
      </c>
      <c r="H104" t="s">
        <v>150</v>
      </c>
      <c r="J104" t="s">
        <v>335</v>
      </c>
      <c r="K104" t="s">
        <v>518</v>
      </c>
      <c r="L104">
        <v>57.552499615424694</v>
      </c>
      <c r="M104">
        <v>0.11914395522111899</v>
      </c>
      <c r="O104" t="s">
        <v>562</v>
      </c>
      <c r="P104" t="s">
        <v>751</v>
      </c>
      <c r="Q104" t="s">
        <v>752</v>
      </c>
      <c r="R104" t="s">
        <v>10</v>
      </c>
      <c r="S104" t="s">
        <v>20</v>
      </c>
      <c r="T104" t="s">
        <v>565</v>
      </c>
      <c r="U104" t="s">
        <v>566</v>
      </c>
      <c r="V104" t="s">
        <v>150</v>
      </c>
      <c r="X104" t="s">
        <v>751</v>
      </c>
      <c r="Y104" t="s">
        <v>556</v>
      </c>
      <c r="Z104" t="s">
        <v>859</v>
      </c>
      <c r="AA104">
        <v>0.98974367616617376</v>
      </c>
      <c r="AB104">
        <v>188.03260362014854</v>
      </c>
      <c r="AD104" t="s">
        <v>562</v>
      </c>
      <c r="AE104" t="s">
        <v>1084</v>
      </c>
      <c r="AF104" t="s">
        <v>1085</v>
      </c>
      <c r="AG104" t="s">
        <v>10</v>
      </c>
      <c r="AH104" t="s">
        <v>20</v>
      </c>
      <c r="AI104" t="s">
        <v>566</v>
      </c>
      <c r="AJ104" t="s">
        <v>150</v>
      </c>
      <c r="AL104" t="s">
        <v>1084</v>
      </c>
      <c r="AM104" t="s">
        <v>1217</v>
      </c>
      <c r="AN104" t="s">
        <v>860</v>
      </c>
      <c r="AO104">
        <v>0.99264385543323097</v>
      </c>
      <c r="AP104">
        <v>134.8626503907652</v>
      </c>
    </row>
    <row r="105" spans="2:42">
      <c r="B105" t="s">
        <v>146</v>
      </c>
      <c r="C105" t="s">
        <v>337</v>
      </c>
      <c r="D105" t="s">
        <v>338</v>
      </c>
      <c r="E105" t="s">
        <v>10</v>
      </c>
      <c r="F105" t="s">
        <v>20</v>
      </c>
      <c r="G105" t="s">
        <v>149</v>
      </c>
      <c r="H105" t="s">
        <v>150</v>
      </c>
      <c r="J105" t="s">
        <v>337</v>
      </c>
      <c r="K105" t="s">
        <v>519</v>
      </c>
      <c r="L105">
        <v>22.934679333958641</v>
      </c>
      <c r="M105">
        <v>0.13887932896182204</v>
      </c>
      <c r="O105" t="s">
        <v>562</v>
      </c>
      <c r="P105" t="s">
        <v>753</v>
      </c>
      <c r="Q105" t="s">
        <v>754</v>
      </c>
      <c r="R105" t="s">
        <v>10</v>
      </c>
      <c r="S105" t="s">
        <v>20</v>
      </c>
      <c r="T105" t="s">
        <v>565</v>
      </c>
      <c r="U105" t="s">
        <v>566</v>
      </c>
      <c r="V105" t="s">
        <v>150</v>
      </c>
      <c r="X105" t="s">
        <v>753</v>
      </c>
      <c r="Y105" t="s">
        <v>431</v>
      </c>
      <c r="Z105" t="s">
        <v>890</v>
      </c>
      <c r="AA105">
        <v>0.99217497048797409</v>
      </c>
      <c r="AB105">
        <v>143.45887438714203</v>
      </c>
      <c r="AD105" t="s">
        <v>562</v>
      </c>
      <c r="AE105" t="s">
        <v>1086</v>
      </c>
      <c r="AF105" t="s">
        <v>1087</v>
      </c>
      <c r="AG105" t="s">
        <v>10</v>
      </c>
      <c r="AH105" t="s">
        <v>20</v>
      </c>
      <c r="AI105" t="s">
        <v>566</v>
      </c>
      <c r="AJ105" t="s">
        <v>150</v>
      </c>
      <c r="AL105" t="s">
        <v>1086</v>
      </c>
      <c r="AM105" t="s">
        <v>1218</v>
      </c>
      <c r="AN105" t="s">
        <v>852</v>
      </c>
      <c r="AO105">
        <v>0.98530274641518678</v>
      </c>
      <c r="AP105">
        <v>269.44964905490986</v>
      </c>
    </row>
    <row r="106" spans="2:42">
      <c r="B106" t="s">
        <v>146</v>
      </c>
      <c r="C106" t="s">
        <v>339</v>
      </c>
      <c r="D106" t="s">
        <v>340</v>
      </c>
      <c r="E106" t="s">
        <v>10</v>
      </c>
      <c r="F106" t="s">
        <v>20</v>
      </c>
      <c r="G106" t="s">
        <v>149</v>
      </c>
      <c r="H106" t="s">
        <v>150</v>
      </c>
      <c r="J106" t="s">
        <v>339</v>
      </c>
      <c r="K106" t="s">
        <v>520</v>
      </c>
      <c r="L106">
        <v>9.081489215169066</v>
      </c>
      <c r="M106">
        <v>0.13189058011935031</v>
      </c>
      <c r="O106" t="s">
        <v>562</v>
      </c>
      <c r="P106" t="s">
        <v>755</v>
      </c>
      <c r="Q106" t="s">
        <v>756</v>
      </c>
      <c r="R106" t="s">
        <v>10</v>
      </c>
      <c r="S106" t="s">
        <v>20</v>
      </c>
      <c r="T106" t="s">
        <v>565</v>
      </c>
      <c r="U106" t="s">
        <v>566</v>
      </c>
      <c r="V106" t="s">
        <v>150</v>
      </c>
      <c r="X106" t="s">
        <v>755</v>
      </c>
      <c r="Y106" t="s">
        <v>441</v>
      </c>
      <c r="Z106" t="s">
        <v>891</v>
      </c>
      <c r="AA106">
        <v>0.99688734285602987</v>
      </c>
      <c r="AB106">
        <v>57.065380972786443</v>
      </c>
      <c r="AD106" t="s">
        <v>562</v>
      </c>
      <c r="AE106" t="s">
        <v>1088</v>
      </c>
      <c r="AF106" t="s">
        <v>1089</v>
      </c>
      <c r="AG106" t="s">
        <v>10</v>
      </c>
      <c r="AH106" t="s">
        <v>20</v>
      </c>
      <c r="AI106" t="s">
        <v>566</v>
      </c>
      <c r="AJ106" t="s">
        <v>150</v>
      </c>
      <c r="AL106" t="s">
        <v>1088</v>
      </c>
      <c r="AM106" t="s">
        <v>1219</v>
      </c>
      <c r="AN106" t="s">
        <v>854</v>
      </c>
      <c r="AO106">
        <v>0.98558146952732006</v>
      </c>
      <c r="AP106">
        <v>264.33972533246634</v>
      </c>
    </row>
    <row r="107" spans="2:42">
      <c r="B107" t="s">
        <v>146</v>
      </c>
      <c r="C107" t="s">
        <v>341</v>
      </c>
      <c r="D107" t="s">
        <v>342</v>
      </c>
      <c r="E107" t="s">
        <v>10</v>
      </c>
      <c r="F107" t="s">
        <v>20</v>
      </c>
      <c r="G107" t="s">
        <v>149</v>
      </c>
      <c r="H107" t="s">
        <v>150</v>
      </c>
      <c r="J107" t="s">
        <v>341</v>
      </c>
      <c r="K107" t="s">
        <v>521</v>
      </c>
      <c r="L107">
        <v>27.763182273999544</v>
      </c>
      <c r="M107">
        <v>0.16095182032948735</v>
      </c>
      <c r="O107" t="s">
        <v>562</v>
      </c>
      <c r="P107" t="s">
        <v>757</v>
      </c>
      <c r="Q107" t="s">
        <v>758</v>
      </c>
      <c r="R107" t="s">
        <v>10</v>
      </c>
      <c r="S107" t="s">
        <v>20</v>
      </c>
      <c r="T107" t="s">
        <v>565</v>
      </c>
      <c r="U107" t="s">
        <v>566</v>
      </c>
      <c r="V107" t="s">
        <v>150</v>
      </c>
      <c r="X107" t="s">
        <v>757</v>
      </c>
      <c r="Y107" t="s">
        <v>444</v>
      </c>
      <c r="Z107" t="s">
        <v>889</v>
      </c>
      <c r="AA107">
        <v>0.99243001465918479</v>
      </c>
      <c r="AB107">
        <v>138.78306458161211</v>
      </c>
      <c r="AD107" t="s">
        <v>562</v>
      </c>
      <c r="AE107" t="s">
        <v>1090</v>
      </c>
      <c r="AF107" t="s">
        <v>1091</v>
      </c>
      <c r="AG107" t="s">
        <v>10</v>
      </c>
      <c r="AH107" t="s">
        <v>20</v>
      </c>
      <c r="AI107" t="s">
        <v>566</v>
      </c>
      <c r="AJ107" t="s">
        <v>150</v>
      </c>
      <c r="AL107" t="s">
        <v>1090</v>
      </c>
      <c r="AM107" t="s">
        <v>1220</v>
      </c>
      <c r="AN107" t="s">
        <v>846</v>
      </c>
      <c r="AO107">
        <v>0.98563706266808038</v>
      </c>
      <c r="AP107">
        <v>263.32051775185897</v>
      </c>
    </row>
    <row r="108" spans="2:42">
      <c r="B108" t="s">
        <v>146</v>
      </c>
      <c r="C108" t="s">
        <v>343</v>
      </c>
      <c r="D108" t="s">
        <v>344</v>
      </c>
      <c r="E108" t="s">
        <v>10</v>
      </c>
      <c r="F108" t="s">
        <v>20</v>
      </c>
      <c r="G108" t="s">
        <v>149</v>
      </c>
      <c r="H108" t="s">
        <v>150</v>
      </c>
      <c r="J108" t="s">
        <v>343</v>
      </c>
      <c r="K108" t="s">
        <v>522</v>
      </c>
      <c r="L108">
        <v>12.419391583164654</v>
      </c>
      <c r="M108">
        <v>0.12166840362812252</v>
      </c>
      <c r="O108" t="s">
        <v>562</v>
      </c>
      <c r="P108" t="s">
        <v>759</v>
      </c>
      <c r="Q108" t="s">
        <v>760</v>
      </c>
      <c r="R108" t="s">
        <v>10</v>
      </c>
      <c r="S108" t="s">
        <v>20</v>
      </c>
      <c r="T108" t="s">
        <v>565</v>
      </c>
      <c r="U108" t="s">
        <v>566</v>
      </c>
      <c r="V108" t="s">
        <v>150</v>
      </c>
      <c r="X108" t="s">
        <v>759</v>
      </c>
      <c r="Y108" t="s">
        <v>484</v>
      </c>
      <c r="Z108" t="s">
        <v>846</v>
      </c>
      <c r="AA108">
        <v>0.96964927506180898</v>
      </c>
      <c r="AB108">
        <v>556.42995720016825</v>
      </c>
      <c r="AD108" t="s">
        <v>562</v>
      </c>
      <c r="AE108" t="s">
        <v>1092</v>
      </c>
      <c r="AF108" t="s">
        <v>1093</v>
      </c>
      <c r="AG108" t="s">
        <v>10</v>
      </c>
      <c r="AH108" t="s">
        <v>20</v>
      </c>
      <c r="AI108" t="s">
        <v>566</v>
      </c>
      <c r="AJ108" t="s">
        <v>150</v>
      </c>
      <c r="AL108" t="s">
        <v>1092</v>
      </c>
      <c r="AM108" t="s">
        <v>1221</v>
      </c>
      <c r="AN108" t="s">
        <v>883</v>
      </c>
      <c r="AO108">
        <v>0.9859891893004602</v>
      </c>
      <c r="AP108">
        <v>256.8648628248954</v>
      </c>
    </row>
    <row r="109" spans="2:42">
      <c r="B109" t="s">
        <v>146</v>
      </c>
      <c r="C109" t="s">
        <v>345</v>
      </c>
      <c r="D109" t="s">
        <v>346</v>
      </c>
      <c r="E109" t="s">
        <v>10</v>
      </c>
      <c r="F109" t="s">
        <v>20</v>
      </c>
      <c r="G109" t="s">
        <v>149</v>
      </c>
      <c r="H109" t="s">
        <v>150</v>
      </c>
      <c r="J109" t="s">
        <v>345</v>
      </c>
      <c r="K109" t="s">
        <v>523</v>
      </c>
      <c r="L109">
        <v>16.126658318433233</v>
      </c>
      <c r="M109">
        <v>0.15762509265750019</v>
      </c>
      <c r="O109" t="s">
        <v>562</v>
      </c>
      <c r="P109" t="s">
        <v>761</v>
      </c>
      <c r="Q109" t="s">
        <v>762</v>
      </c>
      <c r="R109" t="s">
        <v>10</v>
      </c>
      <c r="S109" t="s">
        <v>20</v>
      </c>
      <c r="T109" t="s">
        <v>565</v>
      </c>
      <c r="U109" t="s">
        <v>566</v>
      </c>
      <c r="V109" t="s">
        <v>150</v>
      </c>
      <c r="X109" t="s">
        <v>761</v>
      </c>
      <c r="Y109" t="s">
        <v>495</v>
      </c>
      <c r="Z109" t="s">
        <v>887</v>
      </c>
      <c r="AA109">
        <v>0.9741863781992316</v>
      </c>
      <c r="AB109">
        <v>473.24973301408767</v>
      </c>
      <c r="AD109" t="s">
        <v>562</v>
      </c>
      <c r="AE109" t="s">
        <v>1094</v>
      </c>
      <c r="AF109" t="s">
        <v>1095</v>
      </c>
      <c r="AG109" t="s">
        <v>10</v>
      </c>
      <c r="AH109" t="s">
        <v>20</v>
      </c>
      <c r="AI109" t="s">
        <v>566</v>
      </c>
      <c r="AJ109" t="s">
        <v>150</v>
      </c>
      <c r="AL109" t="s">
        <v>1094</v>
      </c>
      <c r="AM109" t="s">
        <v>1222</v>
      </c>
      <c r="AN109" t="s">
        <v>867</v>
      </c>
      <c r="AO109">
        <v>0.98980378364600918</v>
      </c>
      <c r="AP109">
        <v>186.93063315649889</v>
      </c>
    </row>
    <row r="110" spans="2:42">
      <c r="B110" t="s">
        <v>146</v>
      </c>
      <c r="C110" t="s">
        <v>347</v>
      </c>
      <c r="D110" t="s">
        <v>348</v>
      </c>
      <c r="E110" t="s">
        <v>10</v>
      </c>
      <c r="F110" t="s">
        <v>20</v>
      </c>
      <c r="G110" t="s">
        <v>149</v>
      </c>
      <c r="H110" t="s">
        <v>150</v>
      </c>
      <c r="J110" t="s">
        <v>347</v>
      </c>
      <c r="K110" t="s">
        <v>524</v>
      </c>
      <c r="L110">
        <v>43.080794082805042</v>
      </c>
      <c r="M110">
        <v>0.15815648406152341</v>
      </c>
      <c r="O110" t="s">
        <v>562</v>
      </c>
      <c r="P110" t="s">
        <v>763</v>
      </c>
      <c r="Q110" t="s">
        <v>764</v>
      </c>
      <c r="R110" t="s">
        <v>10</v>
      </c>
      <c r="S110" t="s">
        <v>20</v>
      </c>
      <c r="T110" t="s">
        <v>565</v>
      </c>
      <c r="U110" t="s">
        <v>566</v>
      </c>
      <c r="V110" t="s">
        <v>150</v>
      </c>
      <c r="X110" t="s">
        <v>763</v>
      </c>
      <c r="Y110" t="s">
        <v>545</v>
      </c>
      <c r="Z110" t="s">
        <v>858</v>
      </c>
      <c r="AA110">
        <v>0.99407588262977375</v>
      </c>
      <c r="AB110">
        <v>108.60881845414757</v>
      </c>
      <c r="AD110" t="s">
        <v>562</v>
      </c>
      <c r="AE110" t="s">
        <v>1096</v>
      </c>
      <c r="AF110" t="s">
        <v>1097</v>
      </c>
      <c r="AG110" t="s">
        <v>10</v>
      </c>
      <c r="AH110" t="s">
        <v>20</v>
      </c>
      <c r="AI110" t="s">
        <v>566</v>
      </c>
      <c r="AJ110" t="s">
        <v>150</v>
      </c>
      <c r="AL110" t="s">
        <v>1096</v>
      </c>
      <c r="AM110" t="s">
        <v>1223</v>
      </c>
      <c r="AN110" t="s">
        <v>863</v>
      </c>
      <c r="AO110">
        <v>0.99069539601336043</v>
      </c>
      <c r="AP110">
        <v>170.5844064217261</v>
      </c>
    </row>
    <row r="111" spans="2:42">
      <c r="B111" t="s">
        <v>146</v>
      </c>
      <c r="C111" t="s">
        <v>349</v>
      </c>
      <c r="D111" t="s">
        <v>350</v>
      </c>
      <c r="E111" t="s">
        <v>10</v>
      </c>
      <c r="F111" t="s">
        <v>20</v>
      </c>
      <c r="G111" t="s">
        <v>149</v>
      </c>
      <c r="H111" t="s">
        <v>150</v>
      </c>
      <c r="J111" t="s">
        <v>349</v>
      </c>
      <c r="K111" t="s">
        <v>525</v>
      </c>
      <c r="L111">
        <v>9.2767662149330352</v>
      </c>
      <c r="M111">
        <v>0.16814133640350443</v>
      </c>
      <c r="O111" t="s">
        <v>562</v>
      </c>
      <c r="P111" t="s">
        <v>765</v>
      </c>
      <c r="Q111" t="s">
        <v>766</v>
      </c>
      <c r="R111" t="s">
        <v>10</v>
      </c>
      <c r="S111" t="s">
        <v>20</v>
      </c>
      <c r="T111" t="s">
        <v>565</v>
      </c>
      <c r="U111" t="s">
        <v>566</v>
      </c>
      <c r="V111" t="s">
        <v>150</v>
      </c>
      <c r="X111" t="s">
        <v>765</v>
      </c>
      <c r="Y111" t="s">
        <v>547</v>
      </c>
      <c r="Z111" t="s">
        <v>858</v>
      </c>
      <c r="AA111">
        <v>0.97256549686216975</v>
      </c>
      <c r="AB111">
        <v>502.96589086022118</v>
      </c>
      <c r="AD111" t="s">
        <v>562</v>
      </c>
      <c r="AE111" t="s">
        <v>1098</v>
      </c>
      <c r="AF111" t="s">
        <v>1099</v>
      </c>
      <c r="AG111" t="s">
        <v>10</v>
      </c>
      <c r="AH111" t="s">
        <v>20</v>
      </c>
      <c r="AI111" t="s">
        <v>566</v>
      </c>
      <c r="AJ111" t="s">
        <v>150</v>
      </c>
      <c r="AL111" t="s">
        <v>1098</v>
      </c>
      <c r="AM111" t="s">
        <v>1224</v>
      </c>
      <c r="AN111" t="s">
        <v>858</v>
      </c>
      <c r="AO111">
        <v>0.98658832734700097</v>
      </c>
      <c r="AP111">
        <v>245.88066530498185</v>
      </c>
    </row>
    <row r="112" spans="2:42">
      <c r="B112" t="s">
        <v>146</v>
      </c>
      <c r="C112" t="s">
        <v>351</v>
      </c>
      <c r="D112" t="s">
        <v>352</v>
      </c>
      <c r="E112" t="s">
        <v>10</v>
      </c>
      <c r="F112" t="s">
        <v>20</v>
      </c>
      <c r="G112" t="s">
        <v>149</v>
      </c>
      <c r="H112" t="s">
        <v>150</v>
      </c>
      <c r="J112" t="s">
        <v>351</v>
      </c>
      <c r="K112" t="s">
        <v>526</v>
      </c>
      <c r="L112">
        <v>40.238171858955759</v>
      </c>
      <c r="M112">
        <v>0.20277071983176229</v>
      </c>
      <c r="O112" t="s">
        <v>562</v>
      </c>
      <c r="P112" t="s">
        <v>767</v>
      </c>
      <c r="Q112" t="s">
        <v>768</v>
      </c>
      <c r="R112" t="s">
        <v>10</v>
      </c>
      <c r="S112" t="s">
        <v>20</v>
      </c>
      <c r="T112" t="s">
        <v>565</v>
      </c>
      <c r="U112" t="s">
        <v>566</v>
      </c>
      <c r="V112" t="s">
        <v>150</v>
      </c>
      <c r="X112" t="s">
        <v>767</v>
      </c>
      <c r="Y112" t="s">
        <v>425</v>
      </c>
      <c r="Z112" t="s">
        <v>892</v>
      </c>
      <c r="AA112">
        <v>0.99579045202592908</v>
      </c>
      <c r="AB112">
        <v>77.175046191301078</v>
      </c>
      <c r="AD112" t="s">
        <v>562</v>
      </c>
      <c r="AE112" t="s">
        <v>1100</v>
      </c>
      <c r="AF112" t="s">
        <v>1101</v>
      </c>
      <c r="AG112" t="s">
        <v>10</v>
      </c>
      <c r="AH112" t="s">
        <v>20</v>
      </c>
      <c r="AI112" t="s">
        <v>566</v>
      </c>
      <c r="AJ112" t="s">
        <v>150</v>
      </c>
      <c r="AL112" t="s">
        <v>1100</v>
      </c>
      <c r="AM112" t="s">
        <v>1225</v>
      </c>
      <c r="AN112" t="s">
        <v>855</v>
      </c>
      <c r="AO112">
        <v>0.97263268500799516</v>
      </c>
      <c r="AP112">
        <v>501.73410818675478</v>
      </c>
    </row>
    <row r="113" spans="2:42">
      <c r="B113" t="s">
        <v>146</v>
      </c>
      <c r="C113" t="s">
        <v>353</v>
      </c>
      <c r="D113" t="s">
        <v>354</v>
      </c>
      <c r="E113" t="s">
        <v>10</v>
      </c>
      <c r="F113" t="s">
        <v>20</v>
      </c>
      <c r="G113" t="s">
        <v>149</v>
      </c>
      <c r="H113" t="s">
        <v>150</v>
      </c>
      <c r="J113" t="s">
        <v>353</v>
      </c>
      <c r="K113" t="s">
        <v>527</v>
      </c>
      <c r="L113">
        <v>124.21086412910448</v>
      </c>
      <c r="M113">
        <v>0.21323495097348355</v>
      </c>
      <c r="O113" t="s">
        <v>562</v>
      </c>
      <c r="P113" t="s">
        <v>769</v>
      </c>
      <c r="Q113" t="s">
        <v>770</v>
      </c>
      <c r="R113" t="s">
        <v>10</v>
      </c>
      <c r="S113" t="s">
        <v>20</v>
      </c>
      <c r="T113" t="s">
        <v>565</v>
      </c>
      <c r="U113" t="s">
        <v>566</v>
      </c>
      <c r="V113" t="s">
        <v>150</v>
      </c>
      <c r="X113" t="s">
        <v>769</v>
      </c>
      <c r="Y113" t="s">
        <v>437</v>
      </c>
      <c r="Z113" t="s">
        <v>844</v>
      </c>
      <c r="AA113">
        <v>0.95765547041534393</v>
      </c>
      <c r="AB113">
        <v>776.31637571869453</v>
      </c>
      <c r="AD113" t="s">
        <v>562</v>
      </c>
      <c r="AE113" t="s">
        <v>1102</v>
      </c>
      <c r="AF113" t="s">
        <v>1103</v>
      </c>
      <c r="AG113" t="s">
        <v>10</v>
      </c>
      <c r="AH113" t="s">
        <v>20</v>
      </c>
      <c r="AI113" t="s">
        <v>566</v>
      </c>
      <c r="AJ113" t="s">
        <v>150</v>
      </c>
      <c r="AL113" t="s">
        <v>1102</v>
      </c>
      <c r="AM113" t="s">
        <v>1226</v>
      </c>
      <c r="AN113" t="s">
        <v>875</v>
      </c>
      <c r="AO113">
        <v>0.99099526421280915</v>
      </c>
      <c r="AP113">
        <v>165.08682276516558</v>
      </c>
    </row>
    <row r="114" spans="2:42">
      <c r="B114" t="s">
        <v>146</v>
      </c>
      <c r="C114" t="s">
        <v>355</v>
      </c>
      <c r="D114" t="s">
        <v>356</v>
      </c>
      <c r="E114" t="s">
        <v>10</v>
      </c>
      <c r="F114" t="s">
        <v>20</v>
      </c>
      <c r="G114" t="s">
        <v>149</v>
      </c>
      <c r="H114" t="s">
        <v>150</v>
      </c>
      <c r="J114" t="s">
        <v>355</v>
      </c>
      <c r="K114" t="s">
        <v>528</v>
      </c>
      <c r="L114">
        <v>114.13597386819823</v>
      </c>
      <c r="M114">
        <v>0.2111010531305377</v>
      </c>
      <c r="O114" t="s">
        <v>562</v>
      </c>
      <c r="P114" t="s">
        <v>771</v>
      </c>
      <c r="Q114" t="s">
        <v>772</v>
      </c>
      <c r="R114" t="s">
        <v>10</v>
      </c>
      <c r="S114" t="s">
        <v>20</v>
      </c>
      <c r="T114" t="s">
        <v>565</v>
      </c>
      <c r="U114" t="s">
        <v>566</v>
      </c>
      <c r="V114" t="s">
        <v>150</v>
      </c>
      <c r="X114" t="s">
        <v>771</v>
      </c>
      <c r="Y114" t="s">
        <v>494</v>
      </c>
      <c r="Z114" t="s">
        <v>887</v>
      </c>
      <c r="AA114">
        <v>0.98394190948405269</v>
      </c>
      <c r="AB114">
        <v>294.3983261257012</v>
      </c>
      <c r="AD114" t="s">
        <v>562</v>
      </c>
      <c r="AE114" t="s">
        <v>1104</v>
      </c>
      <c r="AF114" t="s">
        <v>1105</v>
      </c>
      <c r="AG114" t="s">
        <v>10</v>
      </c>
      <c r="AH114" t="s">
        <v>20</v>
      </c>
      <c r="AI114" t="s">
        <v>566</v>
      </c>
      <c r="AJ114" t="s">
        <v>150</v>
      </c>
      <c r="AL114" t="s">
        <v>1104</v>
      </c>
      <c r="AM114" t="s">
        <v>1227</v>
      </c>
      <c r="AN114" t="s">
        <v>849</v>
      </c>
      <c r="AO114">
        <v>0.99072339258685749</v>
      </c>
      <c r="AP114">
        <v>170.07113590761304</v>
      </c>
    </row>
    <row r="115" spans="2:42">
      <c r="B115" t="s">
        <v>146</v>
      </c>
      <c r="C115" t="s">
        <v>357</v>
      </c>
      <c r="D115" t="s">
        <v>358</v>
      </c>
      <c r="E115" t="s">
        <v>10</v>
      </c>
      <c r="F115" t="s">
        <v>20</v>
      </c>
      <c r="G115" t="s">
        <v>149</v>
      </c>
      <c r="H115" t="s">
        <v>150</v>
      </c>
      <c r="J115" t="s">
        <v>357</v>
      </c>
      <c r="K115" t="s">
        <v>529</v>
      </c>
      <c r="L115">
        <v>91.793973123631957</v>
      </c>
      <c r="M115">
        <v>0.21144074191985138</v>
      </c>
      <c r="O115" t="s">
        <v>562</v>
      </c>
      <c r="P115" t="s">
        <v>773</v>
      </c>
      <c r="Q115" t="s">
        <v>774</v>
      </c>
      <c r="R115" t="s">
        <v>10</v>
      </c>
      <c r="S115" t="s">
        <v>20</v>
      </c>
      <c r="T115" t="s">
        <v>565</v>
      </c>
      <c r="U115" t="s">
        <v>566</v>
      </c>
      <c r="V115" t="s">
        <v>150</v>
      </c>
      <c r="X115" t="s">
        <v>773</v>
      </c>
      <c r="Y115" t="s">
        <v>526</v>
      </c>
      <c r="Z115" t="s">
        <v>843</v>
      </c>
      <c r="AA115">
        <v>0.97498879609676647</v>
      </c>
      <c r="AB115">
        <v>458.53873822594755</v>
      </c>
      <c r="AD115" t="s">
        <v>562</v>
      </c>
      <c r="AE115" t="s">
        <v>1106</v>
      </c>
      <c r="AF115" t="s">
        <v>1107</v>
      </c>
      <c r="AG115" t="s">
        <v>10</v>
      </c>
      <c r="AH115" t="s">
        <v>20</v>
      </c>
      <c r="AI115" t="s">
        <v>566</v>
      </c>
      <c r="AJ115" t="s">
        <v>150</v>
      </c>
      <c r="AL115" t="s">
        <v>1106</v>
      </c>
      <c r="AM115" t="s">
        <v>1228</v>
      </c>
      <c r="AN115" t="s">
        <v>869</v>
      </c>
      <c r="AO115">
        <v>0.98702528039583703</v>
      </c>
      <c r="AP115">
        <v>237.86985940965451</v>
      </c>
    </row>
    <row r="116" spans="2:42">
      <c r="B116" t="s">
        <v>146</v>
      </c>
      <c r="C116" t="s">
        <v>359</v>
      </c>
      <c r="D116" t="s">
        <v>360</v>
      </c>
      <c r="E116" t="s">
        <v>10</v>
      </c>
      <c r="F116" t="s">
        <v>20</v>
      </c>
      <c r="G116" t="s">
        <v>149</v>
      </c>
      <c r="H116" t="s">
        <v>150</v>
      </c>
      <c r="J116" t="s">
        <v>359</v>
      </c>
      <c r="K116" t="s">
        <v>530</v>
      </c>
      <c r="L116">
        <v>55.153383907975517</v>
      </c>
      <c r="M116">
        <v>0.20063877926579271</v>
      </c>
      <c r="O116" t="s">
        <v>562</v>
      </c>
      <c r="P116" t="s">
        <v>775</v>
      </c>
      <c r="Q116" t="s">
        <v>776</v>
      </c>
      <c r="R116" t="s">
        <v>10</v>
      </c>
      <c r="S116" t="s">
        <v>20</v>
      </c>
      <c r="T116" t="s">
        <v>565</v>
      </c>
      <c r="U116" t="s">
        <v>566</v>
      </c>
      <c r="V116" t="s">
        <v>150</v>
      </c>
      <c r="X116" t="s">
        <v>775</v>
      </c>
      <c r="Y116" t="s">
        <v>533</v>
      </c>
      <c r="Z116" t="s">
        <v>893</v>
      </c>
      <c r="AA116">
        <v>0.9903652333518761</v>
      </c>
      <c r="AB116">
        <v>176.63738854893887</v>
      </c>
      <c r="AD116" t="s">
        <v>562</v>
      </c>
      <c r="AE116" t="s">
        <v>1108</v>
      </c>
      <c r="AF116" t="s">
        <v>1109</v>
      </c>
      <c r="AG116" t="s">
        <v>10</v>
      </c>
      <c r="AH116" t="s">
        <v>20</v>
      </c>
      <c r="AI116" t="s">
        <v>566</v>
      </c>
      <c r="AJ116" t="s">
        <v>150</v>
      </c>
      <c r="AL116" t="s">
        <v>1108</v>
      </c>
      <c r="AM116" t="s">
        <v>1229</v>
      </c>
      <c r="AN116" t="s">
        <v>850</v>
      </c>
      <c r="AO116">
        <v>0.99511776358677106</v>
      </c>
      <c r="AP116">
        <v>89.507667575863124</v>
      </c>
    </row>
    <row r="117" spans="2:42">
      <c r="B117" t="s">
        <v>146</v>
      </c>
      <c r="C117" t="s">
        <v>361</v>
      </c>
      <c r="D117" t="s">
        <v>362</v>
      </c>
      <c r="E117" t="s">
        <v>10</v>
      </c>
      <c r="F117" t="s">
        <v>20</v>
      </c>
      <c r="G117" t="s">
        <v>149</v>
      </c>
      <c r="H117" t="s">
        <v>150</v>
      </c>
      <c r="J117" t="s">
        <v>361</v>
      </c>
      <c r="K117" t="s">
        <v>531</v>
      </c>
      <c r="L117">
        <v>20.900091360737218</v>
      </c>
      <c r="M117">
        <v>0.21413109211834369</v>
      </c>
      <c r="O117" t="s">
        <v>562</v>
      </c>
      <c r="P117" t="s">
        <v>777</v>
      </c>
      <c r="Q117" t="s">
        <v>778</v>
      </c>
      <c r="R117" t="s">
        <v>10</v>
      </c>
      <c r="S117" t="s">
        <v>20</v>
      </c>
      <c r="T117" t="s">
        <v>565</v>
      </c>
      <c r="U117" t="s">
        <v>566</v>
      </c>
      <c r="V117" t="s">
        <v>150</v>
      </c>
      <c r="X117" t="s">
        <v>777</v>
      </c>
      <c r="Y117" t="s">
        <v>539</v>
      </c>
      <c r="Z117" t="s">
        <v>878</v>
      </c>
      <c r="AA117">
        <v>0.98359157932992225</v>
      </c>
      <c r="AB117">
        <v>300.82104561809257</v>
      </c>
      <c r="AD117" t="s">
        <v>562</v>
      </c>
      <c r="AE117" t="s">
        <v>1110</v>
      </c>
      <c r="AF117" t="s">
        <v>1111</v>
      </c>
      <c r="AG117" t="s">
        <v>10</v>
      </c>
      <c r="AH117" t="s">
        <v>20</v>
      </c>
      <c r="AI117" t="s">
        <v>566</v>
      </c>
      <c r="AJ117" t="s">
        <v>150</v>
      </c>
      <c r="AL117" t="s">
        <v>1110</v>
      </c>
      <c r="AM117" t="s">
        <v>1230</v>
      </c>
      <c r="AN117" t="s">
        <v>851</v>
      </c>
      <c r="AO117">
        <v>0.99298280898033964</v>
      </c>
      <c r="AP117">
        <v>128.64850202710696</v>
      </c>
    </row>
    <row r="118" spans="2:42">
      <c r="B118" t="s">
        <v>146</v>
      </c>
      <c r="C118" t="s">
        <v>363</v>
      </c>
      <c r="D118" t="s">
        <v>364</v>
      </c>
      <c r="E118" t="s">
        <v>10</v>
      </c>
      <c r="F118" t="s">
        <v>20</v>
      </c>
      <c r="G118" t="s">
        <v>149</v>
      </c>
      <c r="H118" t="s">
        <v>150</v>
      </c>
      <c r="J118" t="s">
        <v>363</v>
      </c>
      <c r="K118" t="s">
        <v>532</v>
      </c>
      <c r="L118">
        <v>38.926968975534884</v>
      </c>
      <c r="M118">
        <v>0.20803583099569828</v>
      </c>
      <c r="O118" t="s">
        <v>562</v>
      </c>
      <c r="P118" t="s">
        <v>779</v>
      </c>
      <c r="Q118" t="s">
        <v>780</v>
      </c>
      <c r="R118" t="s">
        <v>10</v>
      </c>
      <c r="S118" t="s">
        <v>20</v>
      </c>
      <c r="T118" t="s">
        <v>565</v>
      </c>
      <c r="U118" t="s">
        <v>566</v>
      </c>
      <c r="V118" t="s">
        <v>150</v>
      </c>
      <c r="X118" t="s">
        <v>779</v>
      </c>
      <c r="Y118" t="s">
        <v>455</v>
      </c>
      <c r="Z118" t="s">
        <v>894</v>
      </c>
      <c r="AA118">
        <v>0.98379026718553741</v>
      </c>
      <c r="AB118">
        <v>297.17843493181346</v>
      </c>
      <c r="AD118" t="s">
        <v>562</v>
      </c>
      <c r="AE118" t="s">
        <v>1112</v>
      </c>
      <c r="AF118" t="s">
        <v>1113</v>
      </c>
      <c r="AG118" t="s">
        <v>10</v>
      </c>
      <c r="AH118" t="s">
        <v>20</v>
      </c>
      <c r="AI118" t="s">
        <v>566</v>
      </c>
      <c r="AJ118" t="s">
        <v>150</v>
      </c>
      <c r="AL118" t="s">
        <v>1112</v>
      </c>
      <c r="AM118" t="s">
        <v>1231</v>
      </c>
      <c r="AN118" t="s">
        <v>886</v>
      </c>
      <c r="AO118">
        <v>0.99562564597459979</v>
      </c>
      <c r="AP118">
        <v>80.196490465669797</v>
      </c>
    </row>
    <row r="119" spans="2:42">
      <c r="B119" t="s">
        <v>146</v>
      </c>
      <c r="C119" t="s">
        <v>365</v>
      </c>
      <c r="D119" t="s">
        <v>366</v>
      </c>
      <c r="E119" t="s">
        <v>10</v>
      </c>
      <c r="F119" t="s">
        <v>20</v>
      </c>
      <c r="G119" t="s">
        <v>149</v>
      </c>
      <c r="H119" t="s">
        <v>150</v>
      </c>
      <c r="J119" t="s">
        <v>365</v>
      </c>
      <c r="K119" t="s">
        <v>533</v>
      </c>
      <c r="L119">
        <v>36.015994855340615</v>
      </c>
      <c r="M119">
        <v>0.13738674480229318</v>
      </c>
      <c r="O119" t="s">
        <v>562</v>
      </c>
      <c r="P119" t="s">
        <v>781</v>
      </c>
      <c r="Q119" t="s">
        <v>782</v>
      </c>
      <c r="R119" t="s">
        <v>10</v>
      </c>
      <c r="S119" t="s">
        <v>20</v>
      </c>
      <c r="T119" t="s">
        <v>565</v>
      </c>
      <c r="U119" t="s">
        <v>566</v>
      </c>
      <c r="V119" t="s">
        <v>150</v>
      </c>
      <c r="X119" t="s">
        <v>781</v>
      </c>
      <c r="Y119" t="s">
        <v>459</v>
      </c>
      <c r="Z119" t="s">
        <v>855</v>
      </c>
      <c r="AA119">
        <v>0.98593186434108759</v>
      </c>
      <c r="AB119">
        <v>257.91582041339416</v>
      </c>
      <c r="AD119" t="s">
        <v>562</v>
      </c>
      <c r="AE119" t="s">
        <v>1114</v>
      </c>
      <c r="AF119" t="s">
        <v>1115</v>
      </c>
      <c r="AG119" t="s">
        <v>10</v>
      </c>
      <c r="AH119" t="s">
        <v>20</v>
      </c>
      <c r="AI119" t="s">
        <v>566</v>
      </c>
      <c r="AJ119" t="s">
        <v>150</v>
      </c>
      <c r="AL119" t="s">
        <v>1114</v>
      </c>
      <c r="AM119" t="s">
        <v>1232</v>
      </c>
      <c r="AN119" t="s">
        <v>852</v>
      </c>
      <c r="AO119">
        <v>0.9733086107906429</v>
      </c>
      <c r="AP119">
        <v>489.34213550487942</v>
      </c>
    </row>
    <row r="120" spans="2:42">
      <c r="B120" t="s">
        <v>146</v>
      </c>
      <c r="C120" t="s">
        <v>367</v>
      </c>
      <c r="D120" t="s">
        <v>368</v>
      </c>
      <c r="E120" t="s">
        <v>10</v>
      </c>
      <c r="F120" t="s">
        <v>20</v>
      </c>
      <c r="G120" t="s">
        <v>149</v>
      </c>
      <c r="H120" t="s">
        <v>150</v>
      </c>
      <c r="J120" t="s">
        <v>367</v>
      </c>
      <c r="K120" t="s">
        <v>534</v>
      </c>
      <c r="L120">
        <v>21.726050748030783</v>
      </c>
      <c r="M120">
        <v>0.15375338343729597</v>
      </c>
      <c r="O120" t="s">
        <v>562</v>
      </c>
      <c r="P120" t="s">
        <v>783</v>
      </c>
      <c r="Q120" t="s">
        <v>784</v>
      </c>
      <c r="R120" t="s">
        <v>10</v>
      </c>
      <c r="S120" t="s">
        <v>20</v>
      </c>
      <c r="T120" t="s">
        <v>565</v>
      </c>
      <c r="U120" t="s">
        <v>566</v>
      </c>
      <c r="V120" t="s">
        <v>150</v>
      </c>
      <c r="X120" t="s">
        <v>783</v>
      </c>
      <c r="Y120" t="s">
        <v>460</v>
      </c>
      <c r="Z120" t="s">
        <v>855</v>
      </c>
      <c r="AA120">
        <v>0.97774932819141058</v>
      </c>
      <c r="AB120">
        <v>407.92898315747328</v>
      </c>
      <c r="AD120" t="s">
        <v>562</v>
      </c>
      <c r="AE120" t="s">
        <v>1116</v>
      </c>
      <c r="AF120" t="s">
        <v>1117</v>
      </c>
      <c r="AG120" t="s">
        <v>10</v>
      </c>
      <c r="AH120" t="s">
        <v>20</v>
      </c>
      <c r="AI120" t="s">
        <v>566</v>
      </c>
      <c r="AJ120" t="s">
        <v>150</v>
      </c>
      <c r="AL120" t="s">
        <v>1116</v>
      </c>
      <c r="AM120" t="s">
        <v>1233</v>
      </c>
      <c r="AN120" t="s">
        <v>879</v>
      </c>
      <c r="AO120">
        <v>0.9839431789633305</v>
      </c>
      <c r="AP120">
        <v>294.37505233894177</v>
      </c>
    </row>
    <row r="121" spans="2:42">
      <c r="B121" t="s">
        <v>146</v>
      </c>
      <c r="C121" t="s">
        <v>369</v>
      </c>
      <c r="D121" t="s">
        <v>370</v>
      </c>
      <c r="E121" t="s">
        <v>10</v>
      </c>
      <c r="F121" t="s">
        <v>20</v>
      </c>
      <c r="G121" t="s">
        <v>149</v>
      </c>
      <c r="H121" t="s">
        <v>150</v>
      </c>
      <c r="J121" t="s">
        <v>369</v>
      </c>
      <c r="K121" t="s">
        <v>535</v>
      </c>
      <c r="L121">
        <v>52.031679573925949</v>
      </c>
      <c r="M121">
        <v>0.12992186028911817</v>
      </c>
      <c r="O121" t="s">
        <v>562</v>
      </c>
      <c r="P121" t="s">
        <v>785</v>
      </c>
      <c r="Q121" t="s">
        <v>786</v>
      </c>
      <c r="R121" t="s">
        <v>10</v>
      </c>
      <c r="S121" t="s">
        <v>20</v>
      </c>
      <c r="T121" t="s">
        <v>565</v>
      </c>
      <c r="U121" t="s">
        <v>566</v>
      </c>
      <c r="V121" t="s">
        <v>150</v>
      </c>
      <c r="X121" t="s">
        <v>785</v>
      </c>
      <c r="Y121" t="s">
        <v>464</v>
      </c>
      <c r="Z121" t="s">
        <v>855</v>
      </c>
      <c r="AA121">
        <v>0.97689468820002234</v>
      </c>
      <c r="AB121">
        <v>423.59738299959002</v>
      </c>
      <c r="AD121" t="s">
        <v>562</v>
      </c>
      <c r="AE121" t="s">
        <v>1118</v>
      </c>
      <c r="AF121" t="s">
        <v>1119</v>
      </c>
      <c r="AG121" t="s">
        <v>10</v>
      </c>
      <c r="AH121" t="s">
        <v>20</v>
      </c>
      <c r="AI121" t="s">
        <v>566</v>
      </c>
      <c r="AJ121" t="s">
        <v>150</v>
      </c>
      <c r="AL121" t="s">
        <v>1118</v>
      </c>
      <c r="AM121" t="s">
        <v>1234</v>
      </c>
      <c r="AN121" t="s">
        <v>855</v>
      </c>
      <c r="AO121">
        <v>0.96950481457473103</v>
      </c>
      <c r="AP121">
        <v>559.0783994632643</v>
      </c>
    </row>
    <row r="122" spans="2:42">
      <c r="B122" t="s">
        <v>146</v>
      </c>
      <c r="C122" t="s">
        <v>371</v>
      </c>
      <c r="D122" t="s">
        <v>372</v>
      </c>
      <c r="E122" t="s">
        <v>10</v>
      </c>
      <c r="F122" t="s">
        <v>20</v>
      </c>
      <c r="G122" t="s">
        <v>149</v>
      </c>
      <c r="H122" t="s">
        <v>150</v>
      </c>
      <c r="J122" t="s">
        <v>371</v>
      </c>
      <c r="K122" t="s">
        <v>536</v>
      </c>
      <c r="L122">
        <v>35.1965778057344</v>
      </c>
      <c r="M122">
        <v>0.12184066203041416</v>
      </c>
      <c r="O122" t="s">
        <v>562</v>
      </c>
      <c r="P122" t="s">
        <v>787</v>
      </c>
      <c r="Q122" t="s">
        <v>788</v>
      </c>
      <c r="R122" t="s">
        <v>10</v>
      </c>
      <c r="S122" t="s">
        <v>20</v>
      </c>
      <c r="T122" t="s">
        <v>565</v>
      </c>
      <c r="U122" t="s">
        <v>566</v>
      </c>
      <c r="V122" t="s">
        <v>150</v>
      </c>
      <c r="X122" t="s">
        <v>787</v>
      </c>
      <c r="Y122" t="s">
        <v>469</v>
      </c>
      <c r="Z122" t="s">
        <v>855</v>
      </c>
      <c r="AA122">
        <v>0.96097855629761675</v>
      </c>
      <c r="AB122">
        <v>715.39313454369221</v>
      </c>
      <c r="AD122" t="s">
        <v>562</v>
      </c>
      <c r="AE122" t="s">
        <v>1120</v>
      </c>
      <c r="AF122" t="s">
        <v>1121</v>
      </c>
      <c r="AG122" t="s">
        <v>10</v>
      </c>
      <c r="AH122" t="s">
        <v>20</v>
      </c>
      <c r="AI122" t="s">
        <v>566</v>
      </c>
      <c r="AJ122" t="s">
        <v>150</v>
      </c>
      <c r="AL122" t="s">
        <v>1120</v>
      </c>
      <c r="AM122" t="s">
        <v>1235</v>
      </c>
      <c r="AN122" t="s">
        <v>841</v>
      </c>
      <c r="AO122">
        <v>0.99331955625657153</v>
      </c>
      <c r="AP122">
        <v>122.47480196285512</v>
      </c>
    </row>
    <row r="123" spans="2:42">
      <c r="B123" t="s">
        <v>146</v>
      </c>
      <c r="C123" t="s">
        <v>373</v>
      </c>
      <c r="D123" t="s">
        <v>374</v>
      </c>
      <c r="E123" t="s">
        <v>10</v>
      </c>
      <c r="F123" t="s">
        <v>20</v>
      </c>
      <c r="G123" t="s">
        <v>149</v>
      </c>
      <c r="H123" t="s">
        <v>150</v>
      </c>
      <c r="J123" t="s">
        <v>373</v>
      </c>
      <c r="K123" t="s">
        <v>537</v>
      </c>
      <c r="L123">
        <v>17.91849728837996</v>
      </c>
      <c r="M123">
        <v>0.15768600859867607</v>
      </c>
      <c r="O123" t="s">
        <v>562</v>
      </c>
      <c r="P123" t="s">
        <v>789</v>
      </c>
      <c r="Q123" t="s">
        <v>790</v>
      </c>
      <c r="R123" t="s">
        <v>10</v>
      </c>
      <c r="S123" t="s">
        <v>20</v>
      </c>
      <c r="T123" t="s">
        <v>565</v>
      </c>
      <c r="U123" t="s">
        <v>566</v>
      </c>
      <c r="V123" t="s">
        <v>150</v>
      </c>
      <c r="X123" t="s">
        <v>789</v>
      </c>
      <c r="Y123" t="s">
        <v>485</v>
      </c>
      <c r="Z123" t="s">
        <v>846</v>
      </c>
      <c r="AA123">
        <v>0.97961944565164727</v>
      </c>
      <c r="AB123">
        <v>373.64349638646644</v>
      </c>
      <c r="AD123" t="s">
        <v>562</v>
      </c>
      <c r="AE123" t="s">
        <v>1122</v>
      </c>
      <c r="AF123" t="s">
        <v>1123</v>
      </c>
      <c r="AG123" t="s">
        <v>10</v>
      </c>
      <c r="AH123" t="s">
        <v>20</v>
      </c>
      <c r="AI123" t="s">
        <v>566</v>
      </c>
      <c r="AJ123" t="s">
        <v>150</v>
      </c>
      <c r="AL123" t="s">
        <v>1122</v>
      </c>
      <c r="AM123" t="s">
        <v>1236</v>
      </c>
      <c r="AN123" t="s">
        <v>895</v>
      </c>
      <c r="AO123">
        <v>0.99328472140937729</v>
      </c>
      <c r="AP123">
        <v>123.11344082808277</v>
      </c>
    </row>
    <row r="124" spans="2:42">
      <c r="B124" t="s">
        <v>146</v>
      </c>
      <c r="C124" t="s">
        <v>375</v>
      </c>
      <c r="D124" t="s">
        <v>376</v>
      </c>
      <c r="E124" t="s">
        <v>10</v>
      </c>
      <c r="F124" t="s">
        <v>20</v>
      </c>
      <c r="G124" t="s">
        <v>149</v>
      </c>
      <c r="H124" t="s">
        <v>150</v>
      </c>
      <c r="J124" t="s">
        <v>375</v>
      </c>
      <c r="K124" t="s">
        <v>538</v>
      </c>
      <c r="L124">
        <v>40.318704854282238</v>
      </c>
      <c r="M124">
        <v>0.17208670859293998</v>
      </c>
      <c r="O124" t="s">
        <v>562</v>
      </c>
      <c r="P124" t="s">
        <v>791</v>
      </c>
      <c r="Q124" t="s">
        <v>792</v>
      </c>
      <c r="R124" t="s">
        <v>10</v>
      </c>
      <c r="S124" t="s">
        <v>20</v>
      </c>
      <c r="T124" t="s">
        <v>565</v>
      </c>
      <c r="U124" t="s">
        <v>566</v>
      </c>
      <c r="V124" t="s">
        <v>150</v>
      </c>
      <c r="X124" t="s">
        <v>791</v>
      </c>
      <c r="Y124" t="s">
        <v>493</v>
      </c>
      <c r="Z124" t="s">
        <v>887</v>
      </c>
      <c r="AA124">
        <v>0.97558364374549811</v>
      </c>
      <c r="AB124">
        <v>447.63319799920112</v>
      </c>
    </row>
    <row r="125" spans="2:42">
      <c r="B125" t="s">
        <v>146</v>
      </c>
      <c r="C125" t="s">
        <v>377</v>
      </c>
      <c r="D125" t="s">
        <v>378</v>
      </c>
      <c r="E125" t="s">
        <v>10</v>
      </c>
      <c r="F125" t="s">
        <v>20</v>
      </c>
      <c r="G125" t="s">
        <v>149</v>
      </c>
      <c r="H125" t="s">
        <v>150</v>
      </c>
      <c r="J125" t="s">
        <v>377</v>
      </c>
      <c r="K125" t="s">
        <v>539</v>
      </c>
      <c r="L125">
        <v>30.956985925644343</v>
      </c>
      <c r="M125">
        <v>0.13532947480933272</v>
      </c>
      <c r="O125" t="s">
        <v>562</v>
      </c>
      <c r="P125" t="s">
        <v>793</v>
      </c>
      <c r="Q125" t="s">
        <v>794</v>
      </c>
      <c r="R125" t="s">
        <v>10</v>
      </c>
      <c r="S125" t="s">
        <v>20</v>
      </c>
      <c r="T125" t="s">
        <v>565</v>
      </c>
      <c r="U125" t="s">
        <v>566</v>
      </c>
      <c r="V125" t="s">
        <v>150</v>
      </c>
      <c r="X125" t="s">
        <v>793</v>
      </c>
      <c r="Y125" t="s">
        <v>529</v>
      </c>
      <c r="Z125" t="s">
        <v>843</v>
      </c>
      <c r="AA125">
        <v>0.98695232420711065</v>
      </c>
      <c r="AB125">
        <v>239.2073895363051</v>
      </c>
    </row>
    <row r="126" spans="2:42">
      <c r="B126" t="s">
        <v>146</v>
      </c>
      <c r="C126" t="s">
        <v>379</v>
      </c>
      <c r="D126" t="s">
        <v>380</v>
      </c>
      <c r="E126" t="s">
        <v>10</v>
      </c>
      <c r="F126" t="s">
        <v>20</v>
      </c>
      <c r="G126" t="s">
        <v>149</v>
      </c>
      <c r="H126" t="s">
        <v>150</v>
      </c>
      <c r="J126" t="s">
        <v>379</v>
      </c>
      <c r="K126" t="s">
        <v>540</v>
      </c>
      <c r="L126">
        <v>53.293473279232373</v>
      </c>
      <c r="M126">
        <v>0.16421281440718499</v>
      </c>
      <c r="O126" t="s">
        <v>562</v>
      </c>
      <c r="P126" t="s">
        <v>795</v>
      </c>
      <c r="Q126" t="s">
        <v>796</v>
      </c>
      <c r="R126" t="s">
        <v>10</v>
      </c>
      <c r="S126" t="s">
        <v>20</v>
      </c>
      <c r="T126" t="s">
        <v>565</v>
      </c>
      <c r="U126" t="s">
        <v>566</v>
      </c>
      <c r="V126" t="s">
        <v>150</v>
      </c>
      <c r="X126" t="s">
        <v>795</v>
      </c>
      <c r="Y126" t="s">
        <v>537</v>
      </c>
      <c r="Z126" t="s">
        <v>895</v>
      </c>
      <c r="AA126">
        <v>0.99609138632252892</v>
      </c>
      <c r="AB126">
        <v>71.657917420303932</v>
      </c>
    </row>
    <row r="127" spans="2:42">
      <c r="B127" t="s">
        <v>146</v>
      </c>
      <c r="C127" t="s">
        <v>381</v>
      </c>
      <c r="D127" t="s">
        <v>382</v>
      </c>
      <c r="E127" t="s">
        <v>10</v>
      </c>
      <c r="F127" t="s">
        <v>20</v>
      </c>
      <c r="G127" t="s">
        <v>149</v>
      </c>
      <c r="H127" t="s">
        <v>150</v>
      </c>
      <c r="J127" t="s">
        <v>381</v>
      </c>
      <c r="K127" t="s">
        <v>541</v>
      </c>
      <c r="L127">
        <v>81.016206988536524</v>
      </c>
      <c r="M127">
        <v>0.17196868012520991</v>
      </c>
      <c r="O127" t="s">
        <v>562</v>
      </c>
      <c r="P127" t="s">
        <v>797</v>
      </c>
      <c r="Q127" t="s">
        <v>798</v>
      </c>
      <c r="R127" t="s">
        <v>10</v>
      </c>
      <c r="S127" t="s">
        <v>20</v>
      </c>
      <c r="T127" t="s">
        <v>565</v>
      </c>
      <c r="U127" t="s">
        <v>566</v>
      </c>
      <c r="V127" t="s">
        <v>150</v>
      </c>
      <c r="X127" t="s">
        <v>797</v>
      </c>
      <c r="Y127" t="s">
        <v>550</v>
      </c>
      <c r="Z127" t="s">
        <v>885</v>
      </c>
      <c r="AA127">
        <v>0.97457415963573191</v>
      </c>
      <c r="AB127">
        <v>466.14040667824753</v>
      </c>
    </row>
    <row r="128" spans="2:42">
      <c r="B128" t="s">
        <v>146</v>
      </c>
      <c r="C128" t="s">
        <v>383</v>
      </c>
      <c r="D128" t="s">
        <v>384</v>
      </c>
      <c r="E128" t="s">
        <v>10</v>
      </c>
      <c r="F128" t="s">
        <v>20</v>
      </c>
      <c r="G128" t="s">
        <v>149</v>
      </c>
      <c r="H128" t="s">
        <v>150</v>
      </c>
      <c r="J128" t="s">
        <v>383</v>
      </c>
      <c r="K128" t="s">
        <v>542</v>
      </c>
      <c r="L128">
        <v>49.615084136609255</v>
      </c>
      <c r="M128">
        <v>0.18357835536463382</v>
      </c>
      <c r="O128" t="s">
        <v>562</v>
      </c>
      <c r="P128" t="s">
        <v>799</v>
      </c>
      <c r="Q128" t="s">
        <v>800</v>
      </c>
      <c r="R128" t="s">
        <v>10</v>
      </c>
      <c r="S128" t="s">
        <v>20</v>
      </c>
      <c r="T128" t="s">
        <v>565</v>
      </c>
      <c r="U128" t="s">
        <v>566</v>
      </c>
      <c r="V128" t="s">
        <v>150</v>
      </c>
      <c r="X128" t="s">
        <v>799</v>
      </c>
      <c r="Y128" t="s">
        <v>426</v>
      </c>
      <c r="Z128" t="s">
        <v>864</v>
      </c>
      <c r="AA128">
        <v>0.99359770729841634</v>
      </c>
      <c r="AB128">
        <v>117.37536619570103</v>
      </c>
    </row>
    <row r="129" spans="2:28">
      <c r="B129" t="s">
        <v>146</v>
      </c>
      <c r="C129" t="s">
        <v>385</v>
      </c>
      <c r="D129" t="s">
        <v>386</v>
      </c>
      <c r="E129" t="s">
        <v>10</v>
      </c>
      <c r="F129" t="s">
        <v>20</v>
      </c>
      <c r="G129" t="s">
        <v>149</v>
      </c>
      <c r="H129" t="s">
        <v>150</v>
      </c>
      <c r="J129" t="s">
        <v>385</v>
      </c>
      <c r="K129" t="s">
        <v>543</v>
      </c>
      <c r="L129">
        <v>37.339036172951445</v>
      </c>
      <c r="M129">
        <v>0.18345298089311463</v>
      </c>
      <c r="O129" t="s">
        <v>562</v>
      </c>
      <c r="P129" t="s">
        <v>801</v>
      </c>
      <c r="Q129" t="s">
        <v>802</v>
      </c>
      <c r="R129" t="s">
        <v>10</v>
      </c>
      <c r="S129" t="s">
        <v>20</v>
      </c>
      <c r="T129" t="s">
        <v>565</v>
      </c>
      <c r="U129" t="s">
        <v>566</v>
      </c>
      <c r="V129" t="s">
        <v>150</v>
      </c>
      <c r="X129" t="s">
        <v>801</v>
      </c>
      <c r="Y129" t="s">
        <v>432</v>
      </c>
      <c r="Z129" t="s">
        <v>890</v>
      </c>
      <c r="AA129">
        <v>0.99364006102472313</v>
      </c>
      <c r="AB129">
        <v>116.59888121340903</v>
      </c>
    </row>
    <row r="130" spans="2:28">
      <c r="B130" t="s">
        <v>146</v>
      </c>
      <c r="C130" t="s">
        <v>387</v>
      </c>
      <c r="D130" t="s">
        <v>388</v>
      </c>
      <c r="E130" t="s">
        <v>10</v>
      </c>
      <c r="F130" t="s">
        <v>20</v>
      </c>
      <c r="G130" t="s">
        <v>149</v>
      </c>
      <c r="H130" t="s">
        <v>150</v>
      </c>
      <c r="J130" t="s">
        <v>387</v>
      </c>
      <c r="K130" t="s">
        <v>544</v>
      </c>
      <c r="L130">
        <v>10.065831509542734</v>
      </c>
      <c r="M130">
        <v>0.18863405871631619</v>
      </c>
      <c r="O130" t="s">
        <v>562</v>
      </c>
      <c r="P130" t="s">
        <v>803</v>
      </c>
      <c r="Q130" t="s">
        <v>804</v>
      </c>
      <c r="R130" t="s">
        <v>10</v>
      </c>
      <c r="S130" t="s">
        <v>20</v>
      </c>
      <c r="T130" t="s">
        <v>565</v>
      </c>
      <c r="U130" t="s">
        <v>566</v>
      </c>
      <c r="V130" t="s">
        <v>150</v>
      </c>
      <c r="X130" t="s">
        <v>803</v>
      </c>
      <c r="Y130" t="s">
        <v>447</v>
      </c>
      <c r="Z130" t="s">
        <v>852</v>
      </c>
      <c r="AA130">
        <v>0.96029753299263365</v>
      </c>
      <c r="AB130">
        <v>727.87856180171616</v>
      </c>
    </row>
    <row r="131" spans="2:28">
      <c r="B131" t="s">
        <v>146</v>
      </c>
      <c r="C131" t="s">
        <v>389</v>
      </c>
      <c r="D131" t="s">
        <v>390</v>
      </c>
      <c r="E131" t="s">
        <v>10</v>
      </c>
      <c r="F131" t="s">
        <v>20</v>
      </c>
      <c r="G131" t="s">
        <v>149</v>
      </c>
      <c r="H131" t="s">
        <v>150</v>
      </c>
      <c r="J131" t="s">
        <v>389</v>
      </c>
      <c r="K131" t="s">
        <v>545</v>
      </c>
      <c r="L131">
        <v>32.518754759501164</v>
      </c>
      <c r="M131">
        <v>0.19539559809857723</v>
      </c>
      <c r="O131" t="s">
        <v>562</v>
      </c>
      <c r="P131" t="s">
        <v>805</v>
      </c>
      <c r="Q131" t="s">
        <v>806</v>
      </c>
      <c r="R131" t="s">
        <v>10</v>
      </c>
      <c r="S131" t="s">
        <v>20</v>
      </c>
      <c r="T131" t="s">
        <v>565</v>
      </c>
      <c r="U131" t="s">
        <v>566</v>
      </c>
      <c r="V131" t="s">
        <v>150</v>
      </c>
      <c r="X131" t="s">
        <v>805</v>
      </c>
      <c r="Y131" t="s">
        <v>462</v>
      </c>
      <c r="Z131" t="s">
        <v>855</v>
      </c>
      <c r="AA131">
        <v>0.97893171539705459</v>
      </c>
      <c r="AB131">
        <v>386.25188438733272</v>
      </c>
    </row>
    <row r="132" spans="2:28">
      <c r="B132" t="s">
        <v>146</v>
      </c>
      <c r="C132" t="s">
        <v>391</v>
      </c>
      <c r="D132" t="s">
        <v>392</v>
      </c>
      <c r="E132" t="s">
        <v>10</v>
      </c>
      <c r="F132" t="s">
        <v>20</v>
      </c>
      <c r="G132" t="s">
        <v>149</v>
      </c>
      <c r="H132" t="s">
        <v>150</v>
      </c>
      <c r="J132" t="s">
        <v>391</v>
      </c>
      <c r="K132" t="s">
        <v>546</v>
      </c>
      <c r="L132">
        <v>68.40904741133663</v>
      </c>
      <c r="M132">
        <v>0.19626629530394471</v>
      </c>
      <c r="O132" t="s">
        <v>562</v>
      </c>
      <c r="P132" t="s">
        <v>807</v>
      </c>
      <c r="Q132" t="s">
        <v>808</v>
      </c>
      <c r="R132" t="s">
        <v>10</v>
      </c>
      <c r="S132" t="s">
        <v>20</v>
      </c>
      <c r="T132" t="s">
        <v>565</v>
      </c>
      <c r="U132" t="s">
        <v>566</v>
      </c>
      <c r="V132" t="s">
        <v>150</v>
      </c>
      <c r="X132" t="s">
        <v>807</v>
      </c>
      <c r="Y132" t="s">
        <v>463</v>
      </c>
      <c r="Z132" t="s">
        <v>855</v>
      </c>
      <c r="AA132">
        <v>0.99099682968404001</v>
      </c>
      <c r="AB132">
        <v>165.05812245926603</v>
      </c>
    </row>
    <row r="133" spans="2:28">
      <c r="B133" t="s">
        <v>146</v>
      </c>
      <c r="C133" t="s">
        <v>393</v>
      </c>
      <c r="D133" t="s">
        <v>394</v>
      </c>
      <c r="E133" t="s">
        <v>10</v>
      </c>
      <c r="F133" t="s">
        <v>20</v>
      </c>
      <c r="G133" t="s">
        <v>149</v>
      </c>
      <c r="H133" t="s">
        <v>150</v>
      </c>
      <c r="J133" t="s">
        <v>393</v>
      </c>
      <c r="K133" t="s">
        <v>547</v>
      </c>
      <c r="L133">
        <v>60.774394502148013</v>
      </c>
      <c r="M133">
        <v>0.2042418427718434</v>
      </c>
      <c r="O133" t="s">
        <v>562</v>
      </c>
      <c r="P133" t="s">
        <v>809</v>
      </c>
      <c r="Q133" t="s">
        <v>810</v>
      </c>
      <c r="R133" t="s">
        <v>10</v>
      </c>
      <c r="S133" t="s">
        <v>20</v>
      </c>
      <c r="T133" t="s">
        <v>565</v>
      </c>
      <c r="U133" t="s">
        <v>566</v>
      </c>
      <c r="V133" t="s">
        <v>150</v>
      </c>
      <c r="X133" t="s">
        <v>809</v>
      </c>
      <c r="Y133" t="s">
        <v>466</v>
      </c>
      <c r="Z133" t="s">
        <v>855</v>
      </c>
      <c r="AA133">
        <v>0.97972538426958966</v>
      </c>
      <c r="AB133">
        <v>371.70128839085726</v>
      </c>
    </row>
    <row r="134" spans="2:28">
      <c r="B134" t="s">
        <v>146</v>
      </c>
      <c r="C134" t="s">
        <v>395</v>
      </c>
      <c r="D134" t="s">
        <v>396</v>
      </c>
      <c r="E134" t="s">
        <v>10</v>
      </c>
      <c r="F134" t="s">
        <v>20</v>
      </c>
      <c r="G134" t="s">
        <v>149</v>
      </c>
      <c r="H134" t="s">
        <v>150</v>
      </c>
      <c r="J134" t="s">
        <v>395</v>
      </c>
      <c r="K134" t="s">
        <v>548</v>
      </c>
      <c r="L134">
        <v>130.80119001042928</v>
      </c>
      <c r="M134">
        <v>0.20154702093792434</v>
      </c>
      <c r="O134" t="s">
        <v>562</v>
      </c>
      <c r="P134" t="s">
        <v>811</v>
      </c>
      <c r="Q134" t="s">
        <v>812</v>
      </c>
      <c r="R134" t="s">
        <v>10</v>
      </c>
      <c r="S134" t="s">
        <v>20</v>
      </c>
      <c r="T134" t="s">
        <v>565</v>
      </c>
      <c r="U134" t="s">
        <v>566</v>
      </c>
      <c r="V134" t="s">
        <v>150</v>
      </c>
      <c r="X134" t="s">
        <v>811</v>
      </c>
      <c r="Y134" t="s">
        <v>476</v>
      </c>
      <c r="Z134" t="s">
        <v>896</v>
      </c>
      <c r="AA134">
        <v>0.98785527533632433</v>
      </c>
      <c r="AB134">
        <v>222.65328550072056</v>
      </c>
    </row>
    <row r="135" spans="2:28">
      <c r="B135" t="s">
        <v>146</v>
      </c>
      <c r="C135" t="s">
        <v>397</v>
      </c>
      <c r="D135" t="s">
        <v>398</v>
      </c>
      <c r="E135" t="s">
        <v>10</v>
      </c>
      <c r="F135" t="s">
        <v>20</v>
      </c>
      <c r="G135" t="s">
        <v>149</v>
      </c>
      <c r="H135" t="s">
        <v>150</v>
      </c>
      <c r="J135" t="s">
        <v>397</v>
      </c>
      <c r="K135" t="s">
        <v>549</v>
      </c>
      <c r="L135">
        <v>28.152402597405629</v>
      </c>
      <c r="M135">
        <v>0.14465521470801035</v>
      </c>
      <c r="O135" t="s">
        <v>562</v>
      </c>
      <c r="P135" t="s">
        <v>813</v>
      </c>
      <c r="Q135" t="s">
        <v>814</v>
      </c>
      <c r="R135" t="s">
        <v>10</v>
      </c>
      <c r="S135" t="s">
        <v>20</v>
      </c>
      <c r="T135" t="s">
        <v>565</v>
      </c>
      <c r="U135" t="s">
        <v>566</v>
      </c>
      <c r="V135" t="s">
        <v>150</v>
      </c>
      <c r="X135" t="s">
        <v>813</v>
      </c>
      <c r="Y135" t="s">
        <v>486</v>
      </c>
      <c r="Z135" t="s">
        <v>846</v>
      </c>
      <c r="AA135">
        <v>0.98415070826722661</v>
      </c>
      <c r="AB135">
        <v>290.5703484341791</v>
      </c>
    </row>
    <row r="136" spans="2:28">
      <c r="B136" t="s">
        <v>146</v>
      </c>
      <c r="C136" t="s">
        <v>399</v>
      </c>
      <c r="D136" t="s">
        <v>400</v>
      </c>
      <c r="E136" t="s">
        <v>10</v>
      </c>
      <c r="F136" t="s">
        <v>20</v>
      </c>
      <c r="G136" t="s">
        <v>149</v>
      </c>
      <c r="H136" t="s">
        <v>150</v>
      </c>
      <c r="J136" t="s">
        <v>399</v>
      </c>
      <c r="K136" t="s">
        <v>550</v>
      </c>
      <c r="L136">
        <v>14.946720847705055</v>
      </c>
      <c r="M136">
        <v>0.1825228146380993</v>
      </c>
      <c r="O136" t="s">
        <v>562</v>
      </c>
      <c r="P136" t="s">
        <v>815</v>
      </c>
      <c r="Q136" t="s">
        <v>816</v>
      </c>
      <c r="R136" t="s">
        <v>10</v>
      </c>
      <c r="S136" t="s">
        <v>20</v>
      </c>
      <c r="T136" t="s">
        <v>565</v>
      </c>
      <c r="U136" t="s">
        <v>566</v>
      </c>
      <c r="V136" t="s">
        <v>150</v>
      </c>
      <c r="X136" t="s">
        <v>815</v>
      </c>
      <c r="Y136" t="s">
        <v>506</v>
      </c>
      <c r="Z136" t="s">
        <v>842</v>
      </c>
      <c r="AA136">
        <v>0.9922931816569136</v>
      </c>
      <c r="AB136">
        <v>141.29166962325118</v>
      </c>
    </row>
    <row r="137" spans="2:28">
      <c r="B137" t="s">
        <v>146</v>
      </c>
      <c r="C137" t="s">
        <v>401</v>
      </c>
      <c r="D137" t="s">
        <v>402</v>
      </c>
      <c r="E137" t="s">
        <v>10</v>
      </c>
      <c r="F137" t="s">
        <v>20</v>
      </c>
      <c r="G137" t="s">
        <v>149</v>
      </c>
      <c r="H137" t="s">
        <v>150</v>
      </c>
      <c r="J137" t="s">
        <v>401</v>
      </c>
      <c r="K137" t="s">
        <v>551</v>
      </c>
      <c r="L137">
        <v>82.51201288466207</v>
      </c>
      <c r="M137">
        <v>0.1882888245473622</v>
      </c>
      <c r="O137" t="s">
        <v>562</v>
      </c>
      <c r="P137" t="s">
        <v>817</v>
      </c>
      <c r="Q137" t="s">
        <v>818</v>
      </c>
      <c r="R137" t="s">
        <v>10</v>
      </c>
      <c r="S137" t="s">
        <v>20</v>
      </c>
      <c r="T137" t="s">
        <v>565</v>
      </c>
      <c r="U137" t="s">
        <v>566</v>
      </c>
      <c r="V137" t="s">
        <v>150</v>
      </c>
      <c r="X137" t="s">
        <v>817</v>
      </c>
      <c r="Y137" t="s">
        <v>535</v>
      </c>
      <c r="Z137" t="s">
        <v>870</v>
      </c>
      <c r="AA137">
        <v>0.99053483022914257</v>
      </c>
      <c r="AB137">
        <v>173.52811246571903</v>
      </c>
    </row>
    <row r="138" spans="2:28">
      <c r="B138" t="s">
        <v>146</v>
      </c>
      <c r="C138" t="s">
        <v>403</v>
      </c>
      <c r="D138" t="s">
        <v>404</v>
      </c>
      <c r="E138" t="s">
        <v>10</v>
      </c>
      <c r="F138" t="s">
        <v>20</v>
      </c>
      <c r="G138" t="s">
        <v>149</v>
      </c>
      <c r="H138" t="s">
        <v>150</v>
      </c>
      <c r="J138" t="s">
        <v>403</v>
      </c>
      <c r="K138" t="s">
        <v>552</v>
      </c>
      <c r="L138">
        <v>93.503160381176116</v>
      </c>
      <c r="M138">
        <v>0.19762020036931491</v>
      </c>
      <c r="O138" t="s">
        <v>562</v>
      </c>
      <c r="P138" t="s">
        <v>819</v>
      </c>
      <c r="Q138" t="s">
        <v>820</v>
      </c>
      <c r="R138" t="s">
        <v>10</v>
      </c>
      <c r="S138" t="s">
        <v>20</v>
      </c>
      <c r="T138" t="s">
        <v>565</v>
      </c>
      <c r="U138" t="s">
        <v>566</v>
      </c>
      <c r="V138" t="s">
        <v>150</v>
      </c>
      <c r="X138" t="s">
        <v>819</v>
      </c>
      <c r="Y138" t="s">
        <v>540</v>
      </c>
      <c r="Z138" t="s">
        <v>863</v>
      </c>
      <c r="AA138">
        <v>0.98320360732321854</v>
      </c>
      <c r="AB138">
        <v>307.93386574099321</v>
      </c>
    </row>
    <row r="139" spans="2:28">
      <c r="B139" t="s">
        <v>146</v>
      </c>
      <c r="C139" t="s">
        <v>405</v>
      </c>
      <c r="D139" t="s">
        <v>406</v>
      </c>
      <c r="E139" t="s">
        <v>10</v>
      </c>
      <c r="F139" t="s">
        <v>20</v>
      </c>
      <c r="G139" t="s">
        <v>149</v>
      </c>
      <c r="H139" t="s">
        <v>150</v>
      </c>
      <c r="J139" t="s">
        <v>405</v>
      </c>
      <c r="K139" t="s">
        <v>553</v>
      </c>
      <c r="L139">
        <v>78.164210422194103</v>
      </c>
      <c r="M139">
        <v>0.19230211668021338</v>
      </c>
      <c r="O139" t="s">
        <v>562</v>
      </c>
      <c r="P139" t="s">
        <v>821</v>
      </c>
      <c r="Q139" t="s">
        <v>822</v>
      </c>
      <c r="R139" t="s">
        <v>10</v>
      </c>
      <c r="S139" t="s">
        <v>20</v>
      </c>
      <c r="T139" t="s">
        <v>565</v>
      </c>
      <c r="U139" t="s">
        <v>566</v>
      </c>
      <c r="V139" t="s">
        <v>150</v>
      </c>
      <c r="X139" t="s">
        <v>821</v>
      </c>
      <c r="Y139" t="s">
        <v>542</v>
      </c>
      <c r="Z139" t="s">
        <v>863</v>
      </c>
      <c r="AA139">
        <v>0.98897406466844573</v>
      </c>
      <c r="AB139">
        <v>202.14214774516236</v>
      </c>
    </row>
    <row r="140" spans="2:28">
      <c r="B140" t="s">
        <v>146</v>
      </c>
      <c r="C140" t="s">
        <v>407</v>
      </c>
      <c r="D140" t="s">
        <v>408</v>
      </c>
      <c r="E140" t="s">
        <v>10</v>
      </c>
      <c r="F140" t="s">
        <v>20</v>
      </c>
      <c r="G140" t="s">
        <v>149</v>
      </c>
      <c r="H140" t="s">
        <v>150</v>
      </c>
      <c r="J140" t="s">
        <v>407</v>
      </c>
      <c r="K140" t="s">
        <v>554</v>
      </c>
      <c r="L140">
        <v>35.320495917986278</v>
      </c>
      <c r="M140">
        <v>0.13777926246142824</v>
      </c>
      <c r="O140" t="s">
        <v>562</v>
      </c>
      <c r="P140" t="s">
        <v>823</v>
      </c>
      <c r="Q140" t="s">
        <v>824</v>
      </c>
      <c r="R140" t="s">
        <v>10</v>
      </c>
      <c r="S140" t="s">
        <v>20</v>
      </c>
      <c r="T140" t="s">
        <v>565</v>
      </c>
      <c r="U140" t="s">
        <v>566</v>
      </c>
      <c r="V140" t="s">
        <v>150</v>
      </c>
      <c r="X140" t="s">
        <v>823</v>
      </c>
      <c r="Y140" t="s">
        <v>554</v>
      </c>
      <c r="Z140" t="s">
        <v>851</v>
      </c>
      <c r="AA140">
        <v>0.99152145048007134</v>
      </c>
      <c r="AB140">
        <v>155.44007453202627</v>
      </c>
    </row>
    <row r="141" spans="2:28">
      <c r="B141" t="s">
        <v>146</v>
      </c>
      <c r="C141" t="s">
        <v>409</v>
      </c>
      <c r="D141" t="s">
        <v>410</v>
      </c>
      <c r="E141" t="s">
        <v>10</v>
      </c>
      <c r="F141" t="s">
        <v>20</v>
      </c>
      <c r="G141" t="s">
        <v>149</v>
      </c>
      <c r="H141" t="s">
        <v>150</v>
      </c>
      <c r="J141" t="s">
        <v>409</v>
      </c>
      <c r="K141" t="s">
        <v>555</v>
      </c>
      <c r="L141">
        <v>51.499888452346951</v>
      </c>
      <c r="M141">
        <v>0.14648344090308849</v>
      </c>
      <c r="O141" t="s">
        <v>562</v>
      </c>
      <c r="P141" t="s">
        <v>825</v>
      </c>
      <c r="Q141" t="s">
        <v>826</v>
      </c>
      <c r="R141" t="s">
        <v>10</v>
      </c>
      <c r="S141" t="s">
        <v>20</v>
      </c>
      <c r="T141" t="s">
        <v>565</v>
      </c>
      <c r="U141" t="s">
        <v>566</v>
      </c>
      <c r="V141" t="s">
        <v>150</v>
      </c>
      <c r="X141" t="s">
        <v>825</v>
      </c>
      <c r="Y141" t="s">
        <v>467</v>
      </c>
      <c r="Z141" t="s">
        <v>855</v>
      </c>
      <c r="AA141">
        <v>0.97154747480032433</v>
      </c>
      <c r="AB141">
        <v>521.62962866072098</v>
      </c>
    </row>
    <row r="142" spans="2:28">
      <c r="B142" t="s">
        <v>146</v>
      </c>
      <c r="C142" t="s">
        <v>411</v>
      </c>
      <c r="D142" t="s">
        <v>412</v>
      </c>
      <c r="E142" t="s">
        <v>10</v>
      </c>
      <c r="F142" t="s">
        <v>20</v>
      </c>
      <c r="G142" t="s">
        <v>149</v>
      </c>
      <c r="H142" t="s">
        <v>150</v>
      </c>
      <c r="J142" t="s">
        <v>411</v>
      </c>
      <c r="K142" t="s">
        <v>556</v>
      </c>
      <c r="L142">
        <v>8.3860588106043714</v>
      </c>
      <c r="M142">
        <v>0.16931611504794378</v>
      </c>
      <c r="O142" t="s">
        <v>562</v>
      </c>
      <c r="P142" t="s">
        <v>827</v>
      </c>
      <c r="Q142" t="s">
        <v>828</v>
      </c>
      <c r="R142" t="s">
        <v>10</v>
      </c>
      <c r="S142" t="s">
        <v>20</v>
      </c>
      <c r="T142" t="s">
        <v>565</v>
      </c>
      <c r="U142" t="s">
        <v>566</v>
      </c>
      <c r="V142" t="s">
        <v>150</v>
      </c>
      <c r="X142" t="s">
        <v>827</v>
      </c>
      <c r="Y142" t="s">
        <v>468</v>
      </c>
      <c r="Z142" t="s">
        <v>855</v>
      </c>
      <c r="AA142">
        <v>0.9790049953928549</v>
      </c>
      <c r="AB142">
        <v>384.908417797661</v>
      </c>
    </row>
    <row r="143" spans="2:28">
      <c r="B143" t="s">
        <v>146</v>
      </c>
      <c r="C143" t="s">
        <v>413</v>
      </c>
      <c r="D143" t="s">
        <v>414</v>
      </c>
      <c r="E143" t="s">
        <v>10</v>
      </c>
      <c r="F143" t="s">
        <v>20</v>
      </c>
      <c r="G143" t="s">
        <v>149</v>
      </c>
      <c r="H143" t="s">
        <v>150</v>
      </c>
      <c r="J143" t="s">
        <v>413</v>
      </c>
      <c r="K143" t="s">
        <v>557</v>
      </c>
      <c r="L143">
        <v>49.341419043880684</v>
      </c>
      <c r="M143">
        <v>0.15688141992876725</v>
      </c>
      <c r="O143" t="s">
        <v>562</v>
      </c>
      <c r="P143" t="s">
        <v>829</v>
      </c>
      <c r="Q143" t="s">
        <v>830</v>
      </c>
      <c r="R143" t="s">
        <v>10</v>
      </c>
      <c r="S143" t="s">
        <v>20</v>
      </c>
      <c r="T143" t="s">
        <v>565</v>
      </c>
      <c r="U143" t="s">
        <v>566</v>
      </c>
      <c r="V143" t="s">
        <v>150</v>
      </c>
      <c r="X143" t="s">
        <v>829</v>
      </c>
      <c r="Y143" t="s">
        <v>519</v>
      </c>
      <c r="Z143" t="s">
        <v>897</v>
      </c>
      <c r="AA143">
        <v>0.99512310450028352</v>
      </c>
      <c r="AB143">
        <v>89.409750828135486</v>
      </c>
    </row>
    <row r="144" spans="2:28">
      <c r="B144" t="s">
        <v>146</v>
      </c>
      <c r="C144" t="s">
        <v>415</v>
      </c>
      <c r="D144" t="s">
        <v>416</v>
      </c>
      <c r="E144" t="s">
        <v>10</v>
      </c>
      <c r="F144" t="s">
        <v>20</v>
      </c>
      <c r="G144" t="s">
        <v>149</v>
      </c>
      <c r="H144" t="s">
        <v>150</v>
      </c>
      <c r="J144" t="s">
        <v>415</v>
      </c>
      <c r="K144" t="s">
        <v>558</v>
      </c>
      <c r="L144">
        <v>26.531046368120734</v>
      </c>
      <c r="M144">
        <v>0.14078716830581833</v>
      </c>
      <c r="O144" t="s">
        <v>562</v>
      </c>
      <c r="P144" t="s">
        <v>831</v>
      </c>
      <c r="Q144" t="s">
        <v>832</v>
      </c>
      <c r="R144" t="s">
        <v>10</v>
      </c>
      <c r="S144" t="s">
        <v>20</v>
      </c>
      <c r="T144" t="s">
        <v>565</v>
      </c>
      <c r="U144" t="s">
        <v>566</v>
      </c>
      <c r="V144" t="s">
        <v>150</v>
      </c>
      <c r="X144" t="s">
        <v>831</v>
      </c>
      <c r="Y144" t="s">
        <v>531</v>
      </c>
      <c r="Z144" t="s">
        <v>843</v>
      </c>
      <c r="AA144">
        <v>0.99180643818152092</v>
      </c>
      <c r="AB144">
        <v>150.21530000545005</v>
      </c>
    </row>
    <row r="145" spans="2:28">
      <c r="B145" t="s">
        <v>146</v>
      </c>
      <c r="C145" t="s">
        <v>417</v>
      </c>
      <c r="D145" t="s">
        <v>418</v>
      </c>
      <c r="E145" t="s">
        <v>10</v>
      </c>
      <c r="F145" t="s">
        <v>20</v>
      </c>
      <c r="G145" t="s">
        <v>149</v>
      </c>
      <c r="H145" t="s">
        <v>150</v>
      </c>
      <c r="J145" t="s">
        <v>417</v>
      </c>
      <c r="K145" t="s">
        <v>559</v>
      </c>
      <c r="L145">
        <v>17.634491426620876</v>
      </c>
      <c r="M145">
        <v>0.13182635938394918</v>
      </c>
      <c r="O145" t="s">
        <v>562</v>
      </c>
      <c r="P145" t="s">
        <v>833</v>
      </c>
      <c r="Q145" t="s">
        <v>834</v>
      </c>
      <c r="R145" t="s">
        <v>10</v>
      </c>
      <c r="S145" t="s">
        <v>20</v>
      </c>
      <c r="T145" t="s">
        <v>565</v>
      </c>
      <c r="U145" t="s">
        <v>566</v>
      </c>
      <c r="V145" t="s">
        <v>150</v>
      </c>
      <c r="X145" t="s">
        <v>833</v>
      </c>
      <c r="Y145" t="s">
        <v>532</v>
      </c>
      <c r="Z145" t="s">
        <v>843</v>
      </c>
      <c r="AA145">
        <v>0.97919938492738179</v>
      </c>
      <c r="AB145">
        <v>381.34460966466662</v>
      </c>
    </row>
    <row r="146" spans="2:28">
      <c r="B146" t="s">
        <v>146</v>
      </c>
      <c r="C146" t="s">
        <v>419</v>
      </c>
      <c r="D146" t="s">
        <v>420</v>
      </c>
      <c r="E146" t="s">
        <v>10</v>
      </c>
      <c r="F146" t="s">
        <v>20</v>
      </c>
      <c r="G146" t="s">
        <v>149</v>
      </c>
      <c r="H146" t="s">
        <v>150</v>
      </c>
      <c r="J146" t="s">
        <v>419</v>
      </c>
      <c r="K146" t="s">
        <v>560</v>
      </c>
      <c r="L146">
        <v>20.356665222823448</v>
      </c>
      <c r="M146">
        <v>0.12890796442265703</v>
      </c>
      <c r="O146" t="s">
        <v>562</v>
      </c>
      <c r="P146" t="s">
        <v>835</v>
      </c>
      <c r="Q146" t="s">
        <v>836</v>
      </c>
      <c r="R146" t="s">
        <v>10</v>
      </c>
      <c r="S146" t="s">
        <v>20</v>
      </c>
      <c r="T146" t="s">
        <v>565</v>
      </c>
      <c r="U146" t="s">
        <v>566</v>
      </c>
      <c r="V146" t="s">
        <v>150</v>
      </c>
      <c r="X146" t="s">
        <v>835</v>
      </c>
      <c r="Y146" t="s">
        <v>548</v>
      </c>
      <c r="Z146" t="s">
        <v>858</v>
      </c>
      <c r="AA146">
        <v>0.98325714881672288</v>
      </c>
      <c r="AB146">
        <v>306.95227169341439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1AE5-DCF9-4BFC-AB2A-CEB11CD05528}">
  <dimension ref="B9:Z123"/>
  <sheetViews>
    <sheetView workbookViewId="0"/>
  </sheetViews>
  <sheetFormatPr defaultRowHeight="14.25"/>
  <sheetData>
    <row r="9" spans="2:26">
      <c r="B9" t="s">
        <v>138</v>
      </c>
      <c r="J9" t="s">
        <v>421</v>
      </c>
      <c r="O9" t="s">
        <v>138</v>
      </c>
      <c r="W9" t="s">
        <v>421</v>
      </c>
    </row>
    <row r="10" spans="2:2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422</v>
      </c>
      <c r="L10" t="s">
        <v>423</v>
      </c>
      <c r="M10" t="s">
        <v>424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144</v>
      </c>
      <c r="U10" t="s">
        <v>145</v>
      </c>
      <c r="W10" t="s">
        <v>140</v>
      </c>
      <c r="X10" t="s">
        <v>422</v>
      </c>
      <c r="Y10" t="s">
        <v>423</v>
      </c>
      <c r="Z10" t="s">
        <v>424</v>
      </c>
    </row>
    <row r="11" spans="2:26">
      <c r="B11" t="s">
        <v>146</v>
      </c>
      <c r="C11" t="s">
        <v>1339</v>
      </c>
      <c r="D11" t="s">
        <v>1340</v>
      </c>
      <c r="E11" t="s">
        <v>10</v>
      </c>
      <c r="F11" t="s">
        <v>20</v>
      </c>
      <c r="G11" t="s">
        <v>149</v>
      </c>
      <c r="H11" t="s">
        <v>150</v>
      </c>
      <c r="J11" t="s">
        <v>1339</v>
      </c>
      <c r="K11" t="s">
        <v>1197</v>
      </c>
      <c r="L11">
        <v>27.051418854318303</v>
      </c>
      <c r="M11">
        <v>0.31663211046145773</v>
      </c>
      <c r="O11" t="s">
        <v>146</v>
      </c>
      <c r="P11" t="s">
        <v>1565</v>
      </c>
      <c r="Q11" t="s">
        <v>1566</v>
      </c>
      <c r="R11" t="s">
        <v>10</v>
      </c>
      <c r="S11" t="s">
        <v>20</v>
      </c>
      <c r="T11" t="s">
        <v>149</v>
      </c>
      <c r="U11" t="s">
        <v>150</v>
      </c>
      <c r="W11" t="s">
        <v>1565</v>
      </c>
      <c r="X11" t="s">
        <v>1321</v>
      </c>
      <c r="Y11">
        <v>52.78875</v>
      </c>
      <c r="Z11">
        <v>0.49796396228216527</v>
      </c>
    </row>
    <row r="12" spans="2:26">
      <c r="B12" t="s">
        <v>146</v>
      </c>
      <c r="C12" t="s">
        <v>1341</v>
      </c>
      <c r="D12" t="s">
        <v>1342</v>
      </c>
      <c r="E12" t="s">
        <v>10</v>
      </c>
      <c r="F12" t="s">
        <v>20</v>
      </c>
      <c r="G12" t="s">
        <v>149</v>
      </c>
      <c r="H12" t="s">
        <v>150</v>
      </c>
      <c r="J12" t="s">
        <v>1341</v>
      </c>
      <c r="K12" t="s">
        <v>1142</v>
      </c>
      <c r="L12">
        <v>57.614147689498935</v>
      </c>
      <c r="M12">
        <v>0.1203941032922151</v>
      </c>
      <c r="O12" t="s">
        <v>146</v>
      </c>
      <c r="P12" t="s">
        <v>1567</v>
      </c>
      <c r="Q12" t="s">
        <v>1568</v>
      </c>
      <c r="R12" t="s">
        <v>10</v>
      </c>
      <c r="S12" t="s">
        <v>20</v>
      </c>
      <c r="T12" t="s">
        <v>149</v>
      </c>
      <c r="U12" t="s">
        <v>150</v>
      </c>
      <c r="W12" t="s">
        <v>1567</v>
      </c>
      <c r="X12" t="s">
        <v>1328</v>
      </c>
      <c r="Y12">
        <v>71.001750000000001</v>
      </c>
      <c r="Z12">
        <v>0.48873278171724072</v>
      </c>
    </row>
    <row r="13" spans="2:26">
      <c r="B13" t="s">
        <v>146</v>
      </c>
      <c r="C13" t="s">
        <v>1343</v>
      </c>
      <c r="D13" t="s">
        <v>1344</v>
      </c>
      <c r="E13" t="s">
        <v>10</v>
      </c>
      <c r="F13" t="s">
        <v>20</v>
      </c>
      <c r="G13" t="s">
        <v>149</v>
      </c>
      <c r="H13" t="s">
        <v>150</v>
      </c>
      <c r="J13" t="s">
        <v>1343</v>
      </c>
      <c r="K13" t="s">
        <v>1133</v>
      </c>
      <c r="L13">
        <v>25.242848867026897</v>
      </c>
      <c r="M13">
        <v>0.1974000745622595</v>
      </c>
      <c r="O13" t="s">
        <v>146</v>
      </c>
      <c r="P13" t="s">
        <v>1569</v>
      </c>
      <c r="Q13" t="s">
        <v>1570</v>
      </c>
      <c r="R13" t="s">
        <v>10</v>
      </c>
      <c r="S13" t="s">
        <v>20</v>
      </c>
      <c r="T13" t="s">
        <v>149</v>
      </c>
      <c r="U13" t="s">
        <v>150</v>
      </c>
      <c r="W13" t="s">
        <v>1569</v>
      </c>
      <c r="X13" t="s">
        <v>1326</v>
      </c>
      <c r="Y13">
        <v>24.94275</v>
      </c>
      <c r="Z13">
        <v>0.41501652892703278</v>
      </c>
    </row>
    <row r="14" spans="2:26">
      <c r="B14" t="s">
        <v>146</v>
      </c>
      <c r="C14" t="s">
        <v>1345</v>
      </c>
      <c r="D14" t="s">
        <v>1346</v>
      </c>
      <c r="E14" t="s">
        <v>10</v>
      </c>
      <c r="F14" t="s">
        <v>20</v>
      </c>
      <c r="G14" t="s">
        <v>149</v>
      </c>
      <c r="H14" t="s">
        <v>150</v>
      </c>
      <c r="J14" t="s">
        <v>1345</v>
      </c>
      <c r="K14" t="s">
        <v>1216</v>
      </c>
      <c r="L14">
        <v>43.902302147039038</v>
      </c>
      <c r="M14">
        <v>0.23861513405257009</v>
      </c>
      <c r="O14" t="s">
        <v>146</v>
      </c>
      <c r="P14" t="s">
        <v>1571</v>
      </c>
      <c r="Q14" t="s">
        <v>1572</v>
      </c>
      <c r="R14" t="s">
        <v>10</v>
      </c>
      <c r="S14" t="s">
        <v>20</v>
      </c>
      <c r="T14" t="s">
        <v>149</v>
      </c>
      <c r="U14" t="s">
        <v>150</v>
      </c>
      <c r="W14" t="s">
        <v>1571</v>
      </c>
      <c r="X14" t="s">
        <v>1305</v>
      </c>
      <c r="Y14">
        <v>17.73075</v>
      </c>
      <c r="Z14">
        <v>0.46812186367817021</v>
      </c>
    </row>
    <row r="15" spans="2:26">
      <c r="B15" t="s">
        <v>146</v>
      </c>
      <c r="C15" t="s">
        <v>1347</v>
      </c>
      <c r="D15" t="s">
        <v>1348</v>
      </c>
      <c r="E15" t="s">
        <v>10</v>
      </c>
      <c r="F15" t="s">
        <v>20</v>
      </c>
      <c r="G15" t="s">
        <v>149</v>
      </c>
      <c r="H15" t="s">
        <v>150</v>
      </c>
      <c r="J15" t="s">
        <v>1347</v>
      </c>
      <c r="K15" t="s">
        <v>1217</v>
      </c>
      <c r="L15">
        <v>32.44184075061812</v>
      </c>
      <c r="M15">
        <v>0.28994997750278628</v>
      </c>
      <c r="O15" t="s">
        <v>146</v>
      </c>
      <c r="P15" t="s">
        <v>1573</v>
      </c>
      <c r="Q15" t="s">
        <v>1574</v>
      </c>
      <c r="R15" t="s">
        <v>10</v>
      </c>
      <c r="S15" t="s">
        <v>20</v>
      </c>
      <c r="T15" t="s">
        <v>149</v>
      </c>
      <c r="U15" t="s">
        <v>150</v>
      </c>
      <c r="W15" t="s">
        <v>1573</v>
      </c>
      <c r="X15" t="s">
        <v>1308</v>
      </c>
      <c r="Y15">
        <v>23.870999999999999</v>
      </c>
      <c r="Z15">
        <v>0.48676394821580399</v>
      </c>
    </row>
    <row r="16" spans="2:26">
      <c r="B16" t="s">
        <v>146</v>
      </c>
      <c r="C16" t="s">
        <v>1349</v>
      </c>
      <c r="D16" t="s">
        <v>1350</v>
      </c>
      <c r="E16" t="s">
        <v>10</v>
      </c>
      <c r="F16" t="s">
        <v>20</v>
      </c>
      <c r="G16" t="s">
        <v>149</v>
      </c>
      <c r="H16" t="s">
        <v>150</v>
      </c>
      <c r="J16" t="s">
        <v>1349</v>
      </c>
      <c r="K16" t="s">
        <v>1191</v>
      </c>
      <c r="L16">
        <v>14.992230227018849</v>
      </c>
      <c r="M16">
        <v>0.1032347814627062</v>
      </c>
      <c r="O16" t="s">
        <v>146</v>
      </c>
      <c r="P16" t="s">
        <v>1575</v>
      </c>
      <c r="Q16" t="s">
        <v>1576</v>
      </c>
      <c r="R16" t="s">
        <v>10</v>
      </c>
      <c r="S16" t="s">
        <v>20</v>
      </c>
      <c r="T16" t="s">
        <v>149</v>
      </c>
      <c r="U16" t="s">
        <v>150</v>
      </c>
      <c r="W16" t="s">
        <v>1575</v>
      </c>
      <c r="X16" t="s">
        <v>1334</v>
      </c>
      <c r="Y16">
        <v>37.262999999999998</v>
      </c>
      <c r="Z16">
        <v>0.3979288289792372</v>
      </c>
    </row>
    <row r="17" spans="2:26">
      <c r="B17" t="s">
        <v>146</v>
      </c>
      <c r="C17" t="s">
        <v>1351</v>
      </c>
      <c r="D17" t="s">
        <v>1352</v>
      </c>
      <c r="E17" t="s">
        <v>10</v>
      </c>
      <c r="F17" t="s">
        <v>20</v>
      </c>
      <c r="G17" t="s">
        <v>149</v>
      </c>
      <c r="H17" t="s">
        <v>150</v>
      </c>
      <c r="J17" t="s">
        <v>1351</v>
      </c>
      <c r="K17" t="s">
        <v>1202</v>
      </c>
      <c r="L17">
        <v>56.364601686534712</v>
      </c>
      <c r="M17">
        <v>0.15224587834833939</v>
      </c>
      <c r="O17" t="s">
        <v>146</v>
      </c>
      <c r="P17" t="s">
        <v>1577</v>
      </c>
      <c r="Q17" t="s">
        <v>1578</v>
      </c>
      <c r="R17" t="s">
        <v>10</v>
      </c>
      <c r="S17" t="s">
        <v>20</v>
      </c>
      <c r="T17" t="s">
        <v>149</v>
      </c>
      <c r="U17" t="s">
        <v>150</v>
      </c>
      <c r="W17" t="s">
        <v>1577</v>
      </c>
      <c r="X17" t="s">
        <v>1309</v>
      </c>
      <c r="Y17">
        <v>1.7999999999999999E-2</v>
      </c>
      <c r="Z17">
        <v>0.28967028980453807</v>
      </c>
    </row>
    <row r="18" spans="2:26">
      <c r="B18" t="s">
        <v>146</v>
      </c>
      <c r="C18" t="s">
        <v>1353</v>
      </c>
      <c r="D18" t="s">
        <v>1354</v>
      </c>
      <c r="E18" t="s">
        <v>10</v>
      </c>
      <c r="F18" t="s">
        <v>20</v>
      </c>
      <c r="G18" t="s">
        <v>149</v>
      </c>
      <c r="H18" t="s">
        <v>150</v>
      </c>
      <c r="J18" t="s">
        <v>1353</v>
      </c>
      <c r="K18" t="s">
        <v>1185</v>
      </c>
      <c r="L18">
        <v>84.735566295985308</v>
      </c>
      <c r="M18">
        <v>0.145242968136954</v>
      </c>
      <c r="O18" t="s">
        <v>146</v>
      </c>
      <c r="P18" t="s">
        <v>1579</v>
      </c>
      <c r="Q18" t="s">
        <v>1580</v>
      </c>
      <c r="R18" t="s">
        <v>10</v>
      </c>
      <c r="S18" t="s">
        <v>20</v>
      </c>
      <c r="T18" t="s">
        <v>149</v>
      </c>
      <c r="U18" t="s">
        <v>150</v>
      </c>
      <c r="W18" t="s">
        <v>1579</v>
      </c>
      <c r="X18" t="s">
        <v>1310</v>
      </c>
      <c r="Y18">
        <v>59.504249999999999</v>
      </c>
      <c r="Z18">
        <v>0.40484110777910631</v>
      </c>
    </row>
    <row r="19" spans="2:26">
      <c r="B19" t="s">
        <v>146</v>
      </c>
      <c r="C19" t="s">
        <v>1355</v>
      </c>
      <c r="D19" t="s">
        <v>1356</v>
      </c>
      <c r="E19" t="s">
        <v>10</v>
      </c>
      <c r="F19" t="s">
        <v>20</v>
      </c>
      <c r="G19" t="s">
        <v>149</v>
      </c>
      <c r="H19" t="s">
        <v>150</v>
      </c>
      <c r="J19" t="s">
        <v>1355</v>
      </c>
      <c r="K19" t="s">
        <v>1203</v>
      </c>
      <c r="L19">
        <v>28.608114870958335</v>
      </c>
      <c r="M19">
        <v>0.21181743834852271</v>
      </c>
      <c r="O19" t="s">
        <v>146</v>
      </c>
      <c r="P19" t="s">
        <v>1581</v>
      </c>
      <c r="Q19" t="s">
        <v>1582</v>
      </c>
      <c r="R19" t="s">
        <v>10</v>
      </c>
      <c r="S19" t="s">
        <v>20</v>
      </c>
      <c r="T19" t="s">
        <v>149</v>
      </c>
      <c r="U19" t="s">
        <v>150</v>
      </c>
      <c r="W19" t="s">
        <v>1581</v>
      </c>
      <c r="X19" t="s">
        <v>1335</v>
      </c>
      <c r="Y19">
        <v>3.0209999999999999</v>
      </c>
      <c r="Z19">
        <v>0.48379826545715332</v>
      </c>
    </row>
    <row r="20" spans="2:26">
      <c r="B20" t="s">
        <v>146</v>
      </c>
      <c r="C20" t="s">
        <v>1357</v>
      </c>
      <c r="D20" t="s">
        <v>1358</v>
      </c>
      <c r="E20" t="s">
        <v>10</v>
      </c>
      <c r="F20" t="s">
        <v>20</v>
      </c>
      <c r="G20" t="s">
        <v>149</v>
      </c>
      <c r="H20" t="s">
        <v>150</v>
      </c>
      <c r="J20" t="s">
        <v>1357</v>
      </c>
      <c r="K20" t="s">
        <v>1172</v>
      </c>
      <c r="L20">
        <v>86.169947952833951</v>
      </c>
      <c r="M20">
        <v>0.21357245996791829</v>
      </c>
      <c r="O20" t="s">
        <v>146</v>
      </c>
      <c r="P20" t="s">
        <v>1583</v>
      </c>
      <c r="Q20" t="s">
        <v>1584</v>
      </c>
      <c r="R20" t="s">
        <v>10</v>
      </c>
      <c r="S20" t="s">
        <v>20</v>
      </c>
      <c r="T20" t="s">
        <v>149</v>
      </c>
      <c r="U20" t="s">
        <v>150</v>
      </c>
      <c r="W20" t="s">
        <v>1583</v>
      </c>
      <c r="X20" t="s">
        <v>1322</v>
      </c>
      <c r="Y20">
        <v>2.29725</v>
      </c>
      <c r="Z20">
        <v>0.38997892267245537</v>
      </c>
    </row>
    <row r="21" spans="2:26">
      <c r="B21" t="s">
        <v>146</v>
      </c>
      <c r="C21" t="s">
        <v>1359</v>
      </c>
      <c r="D21" t="s">
        <v>1360</v>
      </c>
      <c r="E21" t="s">
        <v>10</v>
      </c>
      <c r="F21" t="s">
        <v>20</v>
      </c>
      <c r="G21" t="s">
        <v>149</v>
      </c>
      <c r="H21" t="s">
        <v>150</v>
      </c>
      <c r="J21" t="s">
        <v>1359</v>
      </c>
      <c r="K21" t="s">
        <v>1204</v>
      </c>
      <c r="L21">
        <v>135.76851915542863</v>
      </c>
      <c r="M21">
        <v>0.2385470441277624</v>
      </c>
      <c r="O21" t="s">
        <v>146</v>
      </c>
      <c r="P21" t="s">
        <v>1585</v>
      </c>
      <c r="Q21" t="s">
        <v>1586</v>
      </c>
      <c r="R21" t="s">
        <v>10</v>
      </c>
      <c r="S21" t="s">
        <v>20</v>
      </c>
      <c r="T21" t="s">
        <v>149</v>
      </c>
      <c r="U21" t="s">
        <v>150</v>
      </c>
      <c r="W21" t="s">
        <v>1585</v>
      </c>
      <c r="X21" t="s">
        <v>1319</v>
      </c>
      <c r="Y21">
        <v>4.3282499999999997</v>
      </c>
      <c r="Z21">
        <v>0.35126168761751592</v>
      </c>
    </row>
    <row r="22" spans="2:26">
      <c r="B22" t="s">
        <v>146</v>
      </c>
      <c r="C22" t="s">
        <v>1361</v>
      </c>
      <c r="D22" t="s">
        <v>1362</v>
      </c>
      <c r="E22" t="s">
        <v>10</v>
      </c>
      <c r="F22" t="s">
        <v>20</v>
      </c>
      <c r="G22" t="s">
        <v>149</v>
      </c>
      <c r="H22" t="s">
        <v>150</v>
      </c>
      <c r="J22" t="s">
        <v>1361</v>
      </c>
      <c r="K22" t="s">
        <v>1211</v>
      </c>
      <c r="L22">
        <v>75.454555795713105</v>
      </c>
      <c r="M22">
        <v>0.16567594761652599</v>
      </c>
      <c r="O22" t="s">
        <v>146</v>
      </c>
      <c r="P22" t="s">
        <v>1587</v>
      </c>
      <c r="Q22" t="s">
        <v>1588</v>
      </c>
      <c r="R22" t="s">
        <v>10</v>
      </c>
      <c r="S22" t="s">
        <v>20</v>
      </c>
      <c r="T22" t="s">
        <v>149</v>
      </c>
      <c r="U22" t="s">
        <v>150</v>
      </c>
      <c r="W22" t="s">
        <v>1587</v>
      </c>
      <c r="X22" t="s">
        <v>1327</v>
      </c>
      <c r="Y22">
        <v>15.962249999999999</v>
      </c>
      <c r="Z22">
        <v>0.37521599126378541</v>
      </c>
    </row>
    <row r="23" spans="2:26">
      <c r="B23" t="s">
        <v>146</v>
      </c>
      <c r="C23" t="s">
        <v>1363</v>
      </c>
      <c r="D23" t="s">
        <v>1364</v>
      </c>
      <c r="E23" t="s">
        <v>10</v>
      </c>
      <c r="F23" t="s">
        <v>20</v>
      </c>
      <c r="G23" t="s">
        <v>149</v>
      </c>
      <c r="H23" t="s">
        <v>150</v>
      </c>
      <c r="J23" t="s">
        <v>1363</v>
      </c>
      <c r="K23" t="s">
        <v>1176</v>
      </c>
      <c r="L23">
        <v>108.040942281193</v>
      </c>
      <c r="M23">
        <v>0.27141189277630318</v>
      </c>
      <c r="O23" t="s">
        <v>146</v>
      </c>
      <c r="P23" t="s">
        <v>1589</v>
      </c>
      <c r="Q23" t="s">
        <v>1590</v>
      </c>
      <c r="R23" t="s">
        <v>10</v>
      </c>
      <c r="S23" t="s">
        <v>20</v>
      </c>
      <c r="T23" t="s">
        <v>149</v>
      </c>
      <c r="U23" t="s">
        <v>150</v>
      </c>
      <c r="W23" t="s">
        <v>1589</v>
      </c>
      <c r="X23" t="s">
        <v>1320</v>
      </c>
      <c r="Y23">
        <v>42.801749999999998</v>
      </c>
      <c r="Z23">
        <v>0.4248834137464827</v>
      </c>
    </row>
    <row r="24" spans="2:26">
      <c r="B24" t="s">
        <v>146</v>
      </c>
      <c r="C24" t="s">
        <v>1365</v>
      </c>
      <c r="D24" t="s">
        <v>1366</v>
      </c>
      <c r="E24" t="s">
        <v>10</v>
      </c>
      <c r="F24" t="s">
        <v>20</v>
      </c>
      <c r="G24" t="s">
        <v>149</v>
      </c>
      <c r="H24" t="s">
        <v>150</v>
      </c>
      <c r="J24" t="s">
        <v>1365</v>
      </c>
      <c r="K24" t="s">
        <v>1198</v>
      </c>
      <c r="L24">
        <v>94.096948686413384</v>
      </c>
      <c r="M24">
        <v>0.30297937687456528</v>
      </c>
      <c r="O24" t="s">
        <v>146</v>
      </c>
      <c r="P24" t="s">
        <v>1591</v>
      </c>
      <c r="Q24" t="s">
        <v>1592</v>
      </c>
      <c r="R24" t="s">
        <v>10</v>
      </c>
      <c r="S24" t="s">
        <v>20</v>
      </c>
      <c r="T24" t="s">
        <v>149</v>
      </c>
      <c r="U24" t="s">
        <v>150</v>
      </c>
      <c r="W24" t="s">
        <v>1591</v>
      </c>
      <c r="X24" t="s">
        <v>1314</v>
      </c>
      <c r="Y24">
        <v>99.272000000000006</v>
      </c>
      <c r="Z24">
        <v>0.43472480153146631</v>
      </c>
    </row>
    <row r="25" spans="2:26">
      <c r="B25" t="s">
        <v>146</v>
      </c>
      <c r="C25" t="s">
        <v>1367</v>
      </c>
      <c r="D25" t="s">
        <v>1368</v>
      </c>
      <c r="E25" t="s">
        <v>10</v>
      </c>
      <c r="F25" t="s">
        <v>20</v>
      </c>
      <c r="G25" t="s">
        <v>149</v>
      </c>
      <c r="H25" t="s">
        <v>150</v>
      </c>
      <c r="J25" t="s">
        <v>1367</v>
      </c>
      <c r="K25" t="s">
        <v>1168</v>
      </c>
      <c r="L25">
        <v>8.9494246845612864</v>
      </c>
      <c r="M25">
        <v>0.2290567230367874</v>
      </c>
      <c r="O25" t="s">
        <v>146</v>
      </c>
      <c r="P25" t="s">
        <v>1593</v>
      </c>
      <c r="Q25" t="s">
        <v>1594</v>
      </c>
      <c r="R25" t="s">
        <v>10</v>
      </c>
      <c r="S25" t="s">
        <v>20</v>
      </c>
      <c r="T25" t="s">
        <v>149</v>
      </c>
      <c r="U25" t="s">
        <v>150</v>
      </c>
      <c r="W25" t="s">
        <v>1593</v>
      </c>
      <c r="X25" t="s">
        <v>1317</v>
      </c>
      <c r="Y25">
        <v>91.025999999999996</v>
      </c>
      <c r="Z25">
        <v>0.47214557292523901</v>
      </c>
    </row>
    <row r="26" spans="2:26">
      <c r="B26" t="s">
        <v>146</v>
      </c>
      <c r="C26" t="s">
        <v>1369</v>
      </c>
      <c r="D26" t="s">
        <v>1370</v>
      </c>
      <c r="E26" t="s">
        <v>10</v>
      </c>
      <c r="F26" t="s">
        <v>20</v>
      </c>
      <c r="G26" t="s">
        <v>149</v>
      </c>
      <c r="H26" t="s">
        <v>150</v>
      </c>
      <c r="J26" t="s">
        <v>1369</v>
      </c>
      <c r="K26" t="s">
        <v>1186</v>
      </c>
      <c r="L26">
        <v>33.544698798614917</v>
      </c>
      <c r="M26">
        <v>0.13051365670673221</v>
      </c>
      <c r="O26" t="s">
        <v>146</v>
      </c>
      <c r="P26" t="s">
        <v>1595</v>
      </c>
      <c r="Q26" t="s">
        <v>1596</v>
      </c>
      <c r="R26" t="s">
        <v>10</v>
      </c>
      <c r="S26" t="s">
        <v>20</v>
      </c>
      <c r="T26" t="s">
        <v>149</v>
      </c>
      <c r="U26" t="s">
        <v>150</v>
      </c>
      <c r="W26" t="s">
        <v>1595</v>
      </c>
      <c r="X26" t="s">
        <v>1329</v>
      </c>
      <c r="Y26">
        <v>12.12725</v>
      </c>
      <c r="Z26">
        <v>0.4104017416478461</v>
      </c>
    </row>
    <row r="27" spans="2:26">
      <c r="B27" t="s">
        <v>146</v>
      </c>
      <c r="C27" t="s">
        <v>1371</v>
      </c>
      <c r="D27" t="s">
        <v>1372</v>
      </c>
      <c r="E27" t="s">
        <v>10</v>
      </c>
      <c r="F27" t="s">
        <v>20</v>
      </c>
      <c r="G27" t="s">
        <v>149</v>
      </c>
      <c r="H27" t="s">
        <v>150</v>
      </c>
      <c r="J27" t="s">
        <v>1371</v>
      </c>
      <c r="K27" t="s">
        <v>1134</v>
      </c>
      <c r="L27">
        <v>106.84696382448234</v>
      </c>
      <c r="M27">
        <v>0.13575353612038879</v>
      </c>
      <c r="O27" t="s">
        <v>146</v>
      </c>
      <c r="P27" t="s">
        <v>1597</v>
      </c>
      <c r="Q27" t="s">
        <v>1598</v>
      </c>
      <c r="R27" t="s">
        <v>10</v>
      </c>
      <c r="S27" t="s">
        <v>20</v>
      </c>
      <c r="T27" t="s">
        <v>149</v>
      </c>
      <c r="U27" t="s">
        <v>150</v>
      </c>
      <c r="W27" t="s">
        <v>1597</v>
      </c>
      <c r="X27" t="s">
        <v>1318</v>
      </c>
      <c r="Y27">
        <v>45.726999999999997</v>
      </c>
      <c r="Z27">
        <v>0.43443016199650503</v>
      </c>
    </row>
    <row r="28" spans="2:26">
      <c r="B28" t="s">
        <v>146</v>
      </c>
      <c r="C28" t="s">
        <v>1373</v>
      </c>
      <c r="D28" t="s">
        <v>1374</v>
      </c>
      <c r="E28" t="s">
        <v>10</v>
      </c>
      <c r="F28" t="s">
        <v>20</v>
      </c>
      <c r="G28" t="s">
        <v>149</v>
      </c>
      <c r="H28" t="s">
        <v>150</v>
      </c>
      <c r="J28" t="s">
        <v>1373</v>
      </c>
      <c r="K28" t="s">
        <v>1143</v>
      </c>
      <c r="L28">
        <v>52.9204127043377</v>
      </c>
      <c r="M28">
        <v>0.1268653501988283</v>
      </c>
      <c r="O28" t="s">
        <v>146</v>
      </c>
      <c r="P28" t="s">
        <v>1599</v>
      </c>
      <c r="Q28" t="s">
        <v>1600</v>
      </c>
      <c r="R28" t="s">
        <v>10</v>
      </c>
      <c r="S28" t="s">
        <v>20</v>
      </c>
      <c r="T28" t="s">
        <v>149</v>
      </c>
      <c r="U28" t="s">
        <v>150</v>
      </c>
      <c r="W28" t="s">
        <v>1599</v>
      </c>
      <c r="X28" t="s">
        <v>1330</v>
      </c>
      <c r="Y28">
        <v>34.919249999999998</v>
      </c>
      <c r="Z28">
        <v>0.52475450967896931</v>
      </c>
    </row>
    <row r="29" spans="2:26">
      <c r="B29" t="s">
        <v>146</v>
      </c>
      <c r="C29" t="s">
        <v>1375</v>
      </c>
      <c r="D29" t="s">
        <v>1376</v>
      </c>
      <c r="E29" t="s">
        <v>10</v>
      </c>
      <c r="F29" t="s">
        <v>20</v>
      </c>
      <c r="G29" t="s">
        <v>149</v>
      </c>
      <c r="H29" t="s">
        <v>150</v>
      </c>
      <c r="J29" t="s">
        <v>1375</v>
      </c>
      <c r="K29" t="s">
        <v>1169</v>
      </c>
      <c r="L29">
        <v>55.916621965246243</v>
      </c>
      <c r="M29">
        <v>0.1323214077035601</v>
      </c>
      <c r="O29" t="s">
        <v>146</v>
      </c>
      <c r="P29" t="s">
        <v>1601</v>
      </c>
      <c r="Q29" t="s">
        <v>1602</v>
      </c>
      <c r="R29" t="s">
        <v>10</v>
      </c>
      <c r="S29" t="s">
        <v>20</v>
      </c>
      <c r="T29" t="s">
        <v>149</v>
      </c>
      <c r="U29" t="s">
        <v>150</v>
      </c>
      <c r="W29" t="s">
        <v>1601</v>
      </c>
      <c r="X29" t="s">
        <v>1323</v>
      </c>
      <c r="Y29">
        <v>40.524250000000002</v>
      </c>
      <c r="Z29">
        <v>0.60640023311723701</v>
      </c>
    </row>
    <row r="30" spans="2:26">
      <c r="B30" t="s">
        <v>146</v>
      </c>
      <c r="C30" t="s">
        <v>1377</v>
      </c>
      <c r="D30" t="s">
        <v>1378</v>
      </c>
      <c r="E30" t="s">
        <v>10</v>
      </c>
      <c r="F30" t="s">
        <v>20</v>
      </c>
      <c r="G30" t="s">
        <v>149</v>
      </c>
      <c r="H30" t="s">
        <v>150</v>
      </c>
      <c r="J30" t="s">
        <v>1377</v>
      </c>
      <c r="K30" t="s">
        <v>1177</v>
      </c>
      <c r="L30">
        <v>87.443747963825231</v>
      </c>
      <c r="M30">
        <v>0.22794428542127659</v>
      </c>
      <c r="O30" t="s">
        <v>146</v>
      </c>
      <c r="P30" t="s">
        <v>1603</v>
      </c>
      <c r="Q30" t="s">
        <v>1604</v>
      </c>
      <c r="R30" t="s">
        <v>10</v>
      </c>
      <c r="S30" t="s">
        <v>20</v>
      </c>
      <c r="T30" t="s">
        <v>149</v>
      </c>
      <c r="U30" t="s">
        <v>150</v>
      </c>
      <c r="W30" t="s">
        <v>1603</v>
      </c>
      <c r="X30" t="s">
        <v>1311</v>
      </c>
      <c r="Y30">
        <v>0.98775000000000002</v>
      </c>
      <c r="Z30">
        <v>0.34918395341031011</v>
      </c>
    </row>
    <row r="31" spans="2:26">
      <c r="B31" t="s">
        <v>146</v>
      </c>
      <c r="C31" t="s">
        <v>1379</v>
      </c>
      <c r="D31" t="s">
        <v>1380</v>
      </c>
      <c r="E31" t="s">
        <v>10</v>
      </c>
      <c r="F31" t="s">
        <v>20</v>
      </c>
      <c r="G31" t="s">
        <v>149</v>
      </c>
      <c r="H31" t="s">
        <v>150</v>
      </c>
      <c r="J31" t="s">
        <v>1379</v>
      </c>
      <c r="K31" t="s">
        <v>1205</v>
      </c>
      <c r="L31">
        <v>172.5523017705126</v>
      </c>
      <c r="M31">
        <v>0.3218765786203745</v>
      </c>
      <c r="O31" t="s">
        <v>146</v>
      </c>
      <c r="P31" t="s">
        <v>1605</v>
      </c>
      <c r="Q31" t="s">
        <v>1606</v>
      </c>
      <c r="R31" t="s">
        <v>10</v>
      </c>
      <c r="S31" t="s">
        <v>20</v>
      </c>
      <c r="T31" t="s">
        <v>149</v>
      </c>
      <c r="U31" t="s">
        <v>150</v>
      </c>
      <c r="W31" t="s">
        <v>1605</v>
      </c>
      <c r="X31" t="s">
        <v>1331</v>
      </c>
      <c r="Y31">
        <v>48.910499999999999</v>
      </c>
      <c r="Z31">
        <v>0.34972301033076802</v>
      </c>
    </row>
    <row r="32" spans="2:26">
      <c r="B32" t="s">
        <v>146</v>
      </c>
      <c r="C32" t="s">
        <v>1381</v>
      </c>
      <c r="D32" t="s">
        <v>1382</v>
      </c>
      <c r="E32" t="s">
        <v>10</v>
      </c>
      <c r="F32" t="s">
        <v>20</v>
      </c>
      <c r="G32" t="s">
        <v>149</v>
      </c>
      <c r="H32" t="s">
        <v>150</v>
      </c>
      <c r="J32" t="s">
        <v>1381</v>
      </c>
      <c r="K32" t="s">
        <v>1218</v>
      </c>
      <c r="L32">
        <v>102.98555875333584</v>
      </c>
      <c r="M32">
        <v>0.15249842119661849</v>
      </c>
      <c r="O32" t="s">
        <v>146</v>
      </c>
      <c r="P32" t="s">
        <v>1607</v>
      </c>
      <c r="Q32" t="s">
        <v>1608</v>
      </c>
      <c r="R32" t="s">
        <v>10</v>
      </c>
      <c r="S32" t="s">
        <v>20</v>
      </c>
      <c r="T32" t="s">
        <v>149</v>
      </c>
      <c r="U32" t="s">
        <v>150</v>
      </c>
      <c r="W32" t="s">
        <v>1607</v>
      </c>
      <c r="X32" t="s">
        <v>1332</v>
      </c>
      <c r="Y32">
        <v>36.347749999999998</v>
      </c>
      <c r="Z32">
        <v>0.43256547594243272</v>
      </c>
    </row>
    <row r="33" spans="2:26">
      <c r="B33" t="s">
        <v>146</v>
      </c>
      <c r="C33" t="s">
        <v>1383</v>
      </c>
      <c r="D33" t="s">
        <v>1384</v>
      </c>
      <c r="E33" t="s">
        <v>10</v>
      </c>
      <c r="F33" t="s">
        <v>20</v>
      </c>
      <c r="G33" t="s">
        <v>149</v>
      </c>
      <c r="H33" t="s">
        <v>150</v>
      </c>
      <c r="J33" t="s">
        <v>1383</v>
      </c>
      <c r="K33" t="s">
        <v>1232</v>
      </c>
      <c r="L33">
        <v>85.200664877226515</v>
      </c>
      <c r="M33">
        <v>0.1419928515591847</v>
      </c>
      <c r="O33" t="s">
        <v>146</v>
      </c>
      <c r="P33" t="s">
        <v>1609</v>
      </c>
      <c r="Q33" t="s">
        <v>1610</v>
      </c>
      <c r="R33" t="s">
        <v>10</v>
      </c>
      <c r="S33" t="s">
        <v>20</v>
      </c>
      <c r="T33" t="s">
        <v>149</v>
      </c>
      <c r="U33" t="s">
        <v>150</v>
      </c>
      <c r="W33" t="s">
        <v>1609</v>
      </c>
      <c r="X33" t="s">
        <v>1315</v>
      </c>
      <c r="Y33">
        <v>67.007249999999999</v>
      </c>
      <c r="Z33">
        <v>0.33872561744653679</v>
      </c>
    </row>
    <row r="34" spans="2:26">
      <c r="B34" t="s">
        <v>146</v>
      </c>
      <c r="C34" t="s">
        <v>1385</v>
      </c>
      <c r="D34" t="s">
        <v>1386</v>
      </c>
      <c r="E34" t="s">
        <v>10</v>
      </c>
      <c r="F34" t="s">
        <v>20</v>
      </c>
      <c r="G34" t="s">
        <v>149</v>
      </c>
      <c r="H34" t="s">
        <v>150</v>
      </c>
      <c r="J34" t="s">
        <v>1385</v>
      </c>
      <c r="K34" t="s">
        <v>1178</v>
      </c>
      <c r="L34">
        <v>177.8003763762469</v>
      </c>
      <c r="M34">
        <v>0.19175822564182801</v>
      </c>
      <c r="O34" t="s">
        <v>146</v>
      </c>
      <c r="P34" t="s">
        <v>1611</v>
      </c>
      <c r="Q34" t="s">
        <v>1612</v>
      </c>
      <c r="R34" t="s">
        <v>10</v>
      </c>
      <c r="S34" t="s">
        <v>20</v>
      </c>
      <c r="T34" t="s">
        <v>149</v>
      </c>
      <c r="U34" t="s">
        <v>150</v>
      </c>
      <c r="W34" t="s">
        <v>1611</v>
      </c>
      <c r="X34" t="s">
        <v>1333</v>
      </c>
      <c r="Y34">
        <v>1.5687500000000001</v>
      </c>
      <c r="Z34">
        <v>0.37254269605138862</v>
      </c>
    </row>
    <row r="35" spans="2:26">
      <c r="B35" t="s">
        <v>146</v>
      </c>
      <c r="C35" t="s">
        <v>1387</v>
      </c>
      <c r="D35" t="s">
        <v>1388</v>
      </c>
      <c r="E35" t="s">
        <v>10</v>
      </c>
      <c r="F35" t="s">
        <v>20</v>
      </c>
      <c r="G35" t="s">
        <v>149</v>
      </c>
      <c r="H35" t="s">
        <v>150</v>
      </c>
      <c r="J35" t="s">
        <v>1387</v>
      </c>
      <c r="K35" t="s">
        <v>1151</v>
      </c>
      <c r="L35">
        <v>65.743485434259441</v>
      </c>
      <c r="M35">
        <v>0.21370766126444121</v>
      </c>
      <c r="O35" t="s">
        <v>146</v>
      </c>
      <c r="P35" t="s">
        <v>1613</v>
      </c>
      <c r="Q35" t="s">
        <v>1614</v>
      </c>
      <c r="R35" t="s">
        <v>10</v>
      </c>
      <c r="S35" t="s">
        <v>20</v>
      </c>
      <c r="T35" t="s">
        <v>149</v>
      </c>
      <c r="U35" t="s">
        <v>150</v>
      </c>
      <c r="W35" t="s">
        <v>1613</v>
      </c>
      <c r="X35" t="s">
        <v>1336</v>
      </c>
      <c r="Y35">
        <v>33.194249999999997</v>
      </c>
      <c r="Z35">
        <v>0.50077143345639996</v>
      </c>
    </row>
    <row r="36" spans="2:26">
      <c r="B36" t="s">
        <v>146</v>
      </c>
      <c r="C36" t="s">
        <v>1389</v>
      </c>
      <c r="D36" t="s">
        <v>1390</v>
      </c>
      <c r="E36" t="s">
        <v>10</v>
      </c>
      <c r="F36" t="s">
        <v>20</v>
      </c>
      <c r="G36" t="s">
        <v>149</v>
      </c>
      <c r="H36" t="s">
        <v>150</v>
      </c>
      <c r="J36" t="s">
        <v>1389</v>
      </c>
      <c r="K36" t="s">
        <v>1135</v>
      </c>
      <c r="L36">
        <v>115.09990295278101</v>
      </c>
      <c r="M36">
        <v>0.25458978844702029</v>
      </c>
      <c r="O36" t="s">
        <v>146</v>
      </c>
      <c r="P36" t="s">
        <v>1615</v>
      </c>
      <c r="Q36" t="s">
        <v>1616</v>
      </c>
      <c r="R36" t="s">
        <v>10</v>
      </c>
      <c r="S36" t="s">
        <v>20</v>
      </c>
      <c r="T36" t="s">
        <v>149</v>
      </c>
      <c r="U36" t="s">
        <v>150</v>
      </c>
      <c r="W36" t="s">
        <v>1615</v>
      </c>
      <c r="X36" t="s">
        <v>1324</v>
      </c>
      <c r="Y36">
        <v>47.134250000000002</v>
      </c>
      <c r="Z36">
        <v>0.5574239254847595</v>
      </c>
    </row>
    <row r="37" spans="2:26">
      <c r="B37" t="s">
        <v>146</v>
      </c>
      <c r="C37" t="s">
        <v>1391</v>
      </c>
      <c r="D37" t="s">
        <v>1392</v>
      </c>
      <c r="E37" t="s">
        <v>10</v>
      </c>
      <c r="F37" t="s">
        <v>20</v>
      </c>
      <c r="G37" t="s">
        <v>149</v>
      </c>
      <c r="H37" t="s">
        <v>150</v>
      </c>
      <c r="J37" t="s">
        <v>1391</v>
      </c>
      <c r="K37" t="s">
        <v>1192</v>
      </c>
      <c r="L37">
        <v>51.347810077174991</v>
      </c>
      <c r="M37">
        <v>0.1640291529474828</v>
      </c>
      <c r="O37" t="s">
        <v>146</v>
      </c>
      <c r="P37" t="s">
        <v>1617</v>
      </c>
      <c r="Q37" t="s">
        <v>1618</v>
      </c>
      <c r="R37" t="s">
        <v>10</v>
      </c>
      <c r="S37" t="s">
        <v>20</v>
      </c>
      <c r="T37" t="s">
        <v>149</v>
      </c>
      <c r="U37" t="s">
        <v>150</v>
      </c>
      <c r="W37" t="s">
        <v>1617</v>
      </c>
      <c r="X37" t="s">
        <v>1313</v>
      </c>
      <c r="Y37">
        <v>55.260750000000002</v>
      </c>
      <c r="Z37">
        <v>0.51147537805738952</v>
      </c>
    </row>
    <row r="38" spans="2:26">
      <c r="B38" t="s">
        <v>146</v>
      </c>
      <c r="C38" t="s">
        <v>1393</v>
      </c>
      <c r="D38" t="s">
        <v>1394</v>
      </c>
      <c r="E38" t="s">
        <v>10</v>
      </c>
      <c r="F38" t="s">
        <v>20</v>
      </c>
      <c r="G38" t="s">
        <v>149</v>
      </c>
      <c r="H38" t="s">
        <v>150</v>
      </c>
      <c r="J38" t="s">
        <v>1393</v>
      </c>
      <c r="K38" t="s">
        <v>1144</v>
      </c>
      <c r="L38">
        <v>39.896721906351679</v>
      </c>
      <c r="M38">
        <v>0.13802841518391579</v>
      </c>
      <c r="O38" t="s">
        <v>146</v>
      </c>
      <c r="P38" t="s">
        <v>1619</v>
      </c>
      <c r="Q38" t="s">
        <v>1620</v>
      </c>
      <c r="R38" t="s">
        <v>10</v>
      </c>
      <c r="S38" t="s">
        <v>20</v>
      </c>
      <c r="T38" t="s">
        <v>149</v>
      </c>
      <c r="U38" t="s">
        <v>150</v>
      </c>
      <c r="W38" t="s">
        <v>1619</v>
      </c>
      <c r="X38" t="s">
        <v>1312</v>
      </c>
      <c r="Y38">
        <v>0.16950000000000001</v>
      </c>
      <c r="Z38">
        <v>0.26786069374168869</v>
      </c>
    </row>
    <row r="39" spans="2:26">
      <c r="B39" t="s">
        <v>146</v>
      </c>
      <c r="C39" t="s">
        <v>1395</v>
      </c>
      <c r="D39" t="s">
        <v>1396</v>
      </c>
      <c r="E39" t="s">
        <v>10</v>
      </c>
      <c r="F39" t="s">
        <v>20</v>
      </c>
      <c r="G39" t="s">
        <v>149</v>
      </c>
      <c r="H39" t="s">
        <v>150</v>
      </c>
      <c r="J39" t="s">
        <v>1395</v>
      </c>
      <c r="K39" t="s">
        <v>1233</v>
      </c>
      <c r="L39">
        <v>12.342304500833409</v>
      </c>
      <c r="M39">
        <v>9.1889407375460599E-2</v>
      </c>
      <c r="O39" t="s">
        <v>146</v>
      </c>
      <c r="P39" t="s">
        <v>1621</v>
      </c>
      <c r="Q39" t="s">
        <v>1622</v>
      </c>
      <c r="R39" t="s">
        <v>10</v>
      </c>
      <c r="S39" t="s">
        <v>20</v>
      </c>
      <c r="T39" t="s">
        <v>149</v>
      </c>
      <c r="U39" t="s">
        <v>150</v>
      </c>
      <c r="W39" t="s">
        <v>1621</v>
      </c>
      <c r="X39" t="s">
        <v>1307</v>
      </c>
      <c r="Y39">
        <v>39.408499999999997</v>
      </c>
      <c r="Z39">
        <v>0.52000034440050313</v>
      </c>
    </row>
    <row r="40" spans="2:26">
      <c r="B40" t="s">
        <v>146</v>
      </c>
      <c r="C40" t="s">
        <v>1397</v>
      </c>
      <c r="D40" t="s">
        <v>1398</v>
      </c>
      <c r="E40" t="s">
        <v>10</v>
      </c>
      <c r="F40" t="s">
        <v>20</v>
      </c>
      <c r="G40" t="s">
        <v>149</v>
      </c>
      <c r="H40" t="s">
        <v>150</v>
      </c>
      <c r="J40" t="s">
        <v>1397</v>
      </c>
      <c r="K40" t="s">
        <v>1219</v>
      </c>
      <c r="L40">
        <v>10.648262891289743</v>
      </c>
      <c r="M40">
        <v>9.5248699575020704E-2</v>
      </c>
      <c r="O40" t="s">
        <v>146</v>
      </c>
      <c r="P40" t="s">
        <v>1623</v>
      </c>
      <c r="Q40" t="s">
        <v>1624</v>
      </c>
      <c r="R40" t="s">
        <v>10</v>
      </c>
      <c r="S40" t="s">
        <v>20</v>
      </c>
      <c r="T40" t="s">
        <v>149</v>
      </c>
      <c r="U40" t="s">
        <v>150</v>
      </c>
      <c r="W40" t="s">
        <v>1623</v>
      </c>
      <c r="X40" t="s">
        <v>1337</v>
      </c>
      <c r="Y40">
        <v>45.729750000000003</v>
      </c>
      <c r="Z40">
        <v>0.38935541425026088</v>
      </c>
    </row>
    <row r="41" spans="2:26">
      <c r="B41" t="s">
        <v>146</v>
      </c>
      <c r="C41" t="s">
        <v>1399</v>
      </c>
      <c r="D41" t="s">
        <v>1400</v>
      </c>
      <c r="E41" t="s">
        <v>10</v>
      </c>
      <c r="F41" t="s">
        <v>20</v>
      </c>
      <c r="G41" t="s">
        <v>149</v>
      </c>
      <c r="H41" t="s">
        <v>150</v>
      </c>
      <c r="J41" t="s">
        <v>1399</v>
      </c>
      <c r="K41" t="s">
        <v>1145</v>
      </c>
      <c r="L41">
        <v>11.96428491306677</v>
      </c>
      <c r="M41">
        <v>0.35074650243008759</v>
      </c>
      <c r="O41" t="s">
        <v>146</v>
      </c>
      <c r="P41" t="s">
        <v>1625</v>
      </c>
      <c r="Q41" t="s">
        <v>1626</v>
      </c>
      <c r="R41" t="s">
        <v>10</v>
      </c>
      <c r="S41" t="s">
        <v>20</v>
      </c>
      <c r="T41" t="s">
        <v>149</v>
      </c>
      <c r="U41" t="s">
        <v>150</v>
      </c>
      <c r="W41" t="s">
        <v>1625</v>
      </c>
      <c r="X41" t="s">
        <v>1306</v>
      </c>
      <c r="Y41">
        <v>20.15625</v>
      </c>
      <c r="Z41">
        <v>0.39166483763539511</v>
      </c>
    </row>
    <row r="42" spans="2:26">
      <c r="B42" t="s">
        <v>146</v>
      </c>
      <c r="C42" t="s">
        <v>1401</v>
      </c>
      <c r="D42" t="s">
        <v>1402</v>
      </c>
      <c r="E42" t="s">
        <v>10</v>
      </c>
      <c r="F42" t="s">
        <v>20</v>
      </c>
      <c r="G42" t="s">
        <v>149</v>
      </c>
      <c r="H42" t="s">
        <v>150</v>
      </c>
      <c r="J42" t="s">
        <v>1401</v>
      </c>
      <c r="K42" t="s">
        <v>1136</v>
      </c>
      <c r="L42">
        <v>100.17368030050729</v>
      </c>
      <c r="M42">
        <v>0.2414154796635202</v>
      </c>
      <c r="O42" t="s">
        <v>146</v>
      </c>
      <c r="P42" t="s">
        <v>1627</v>
      </c>
      <c r="Q42" t="s">
        <v>1628</v>
      </c>
      <c r="R42" t="s">
        <v>10</v>
      </c>
      <c r="S42" t="s">
        <v>20</v>
      </c>
      <c r="T42" t="s">
        <v>149</v>
      </c>
      <c r="U42" t="s">
        <v>150</v>
      </c>
      <c r="W42" t="s">
        <v>1627</v>
      </c>
      <c r="X42" t="s">
        <v>1316</v>
      </c>
      <c r="Y42">
        <v>13.438750000000001</v>
      </c>
      <c r="Z42">
        <v>0.38778095069835039</v>
      </c>
    </row>
    <row r="43" spans="2:26">
      <c r="B43" t="s">
        <v>146</v>
      </c>
      <c r="C43" t="s">
        <v>1403</v>
      </c>
      <c r="D43" t="s">
        <v>1404</v>
      </c>
      <c r="E43" t="s">
        <v>10</v>
      </c>
      <c r="F43" t="s">
        <v>20</v>
      </c>
      <c r="G43" t="s">
        <v>149</v>
      </c>
      <c r="H43" t="s">
        <v>150</v>
      </c>
      <c r="J43" t="s">
        <v>1403</v>
      </c>
      <c r="K43" t="s">
        <v>1179</v>
      </c>
      <c r="L43">
        <v>140.78744799166597</v>
      </c>
      <c r="M43">
        <v>0.18005049126221789</v>
      </c>
      <c r="O43" t="s">
        <v>146</v>
      </c>
      <c r="P43" t="s">
        <v>1629</v>
      </c>
      <c r="Q43" t="s">
        <v>1630</v>
      </c>
      <c r="R43" t="s">
        <v>10</v>
      </c>
      <c r="S43" t="s">
        <v>20</v>
      </c>
      <c r="T43" t="s">
        <v>149</v>
      </c>
      <c r="U43" t="s">
        <v>150</v>
      </c>
      <c r="W43" t="s">
        <v>1629</v>
      </c>
      <c r="X43" t="s">
        <v>1338</v>
      </c>
      <c r="Y43">
        <v>0</v>
      </c>
      <c r="Z43">
        <v>0.3147425651550293</v>
      </c>
    </row>
    <row r="44" spans="2:26">
      <c r="B44" t="s">
        <v>146</v>
      </c>
      <c r="C44" t="s">
        <v>1405</v>
      </c>
      <c r="D44" t="s">
        <v>1406</v>
      </c>
      <c r="E44" t="s">
        <v>10</v>
      </c>
      <c r="F44" t="s">
        <v>20</v>
      </c>
      <c r="G44" t="s">
        <v>149</v>
      </c>
      <c r="H44" t="s">
        <v>150</v>
      </c>
      <c r="J44" t="s">
        <v>1405</v>
      </c>
      <c r="K44" t="s">
        <v>1152</v>
      </c>
      <c r="L44">
        <v>95.626237386807603</v>
      </c>
      <c r="M44">
        <v>0.12642706999620279</v>
      </c>
      <c r="O44" t="s">
        <v>146</v>
      </c>
      <c r="P44" t="s">
        <v>1631</v>
      </c>
      <c r="Q44" t="s">
        <v>1632</v>
      </c>
      <c r="R44" t="s">
        <v>10</v>
      </c>
      <c r="S44" t="s">
        <v>20</v>
      </c>
      <c r="T44" t="s">
        <v>149</v>
      </c>
      <c r="U44" t="s">
        <v>150</v>
      </c>
      <c r="W44" t="s">
        <v>1631</v>
      </c>
      <c r="X44" t="s">
        <v>1325</v>
      </c>
      <c r="Y44">
        <v>3.5819999999999999</v>
      </c>
      <c r="Z44">
        <v>0.40290843374041257</v>
      </c>
    </row>
    <row r="45" spans="2:26">
      <c r="B45" t="s">
        <v>146</v>
      </c>
      <c r="C45" t="s">
        <v>1407</v>
      </c>
      <c r="D45" t="s">
        <v>1408</v>
      </c>
      <c r="E45" t="s">
        <v>10</v>
      </c>
      <c r="F45" t="s">
        <v>20</v>
      </c>
      <c r="G45" t="s">
        <v>149</v>
      </c>
      <c r="H45" t="s">
        <v>150</v>
      </c>
      <c r="J45" t="s">
        <v>1407</v>
      </c>
      <c r="K45" t="s">
        <v>1225</v>
      </c>
      <c r="L45">
        <v>34.163999190511113</v>
      </c>
      <c r="M45">
        <v>0.1261830176770517</v>
      </c>
    </row>
    <row r="46" spans="2:26">
      <c r="B46" t="s">
        <v>146</v>
      </c>
      <c r="C46" t="s">
        <v>1409</v>
      </c>
      <c r="D46" t="s">
        <v>1410</v>
      </c>
      <c r="E46" t="s">
        <v>10</v>
      </c>
      <c r="F46" t="s">
        <v>20</v>
      </c>
      <c r="G46" t="s">
        <v>149</v>
      </c>
      <c r="H46" t="s">
        <v>150</v>
      </c>
      <c r="J46" t="s">
        <v>1409</v>
      </c>
      <c r="K46" t="s">
        <v>1234</v>
      </c>
      <c r="L46">
        <v>207.1481757149796</v>
      </c>
      <c r="M46">
        <v>0.15511592011344871</v>
      </c>
    </row>
    <row r="47" spans="2:26">
      <c r="B47" t="s">
        <v>146</v>
      </c>
      <c r="C47" t="s">
        <v>1411</v>
      </c>
      <c r="D47" t="s">
        <v>1412</v>
      </c>
      <c r="E47" t="s">
        <v>10</v>
      </c>
      <c r="F47" t="s">
        <v>20</v>
      </c>
      <c r="G47" t="s">
        <v>149</v>
      </c>
      <c r="H47" t="s">
        <v>150</v>
      </c>
      <c r="J47" t="s">
        <v>1411</v>
      </c>
      <c r="K47" t="s">
        <v>1153</v>
      </c>
      <c r="L47">
        <v>111.12738154265756</v>
      </c>
      <c r="M47">
        <v>0.26396684171647539</v>
      </c>
    </row>
    <row r="48" spans="2:26">
      <c r="B48" t="s">
        <v>146</v>
      </c>
      <c r="C48" t="s">
        <v>1413</v>
      </c>
      <c r="D48" t="s">
        <v>1414</v>
      </c>
      <c r="E48" t="s">
        <v>10</v>
      </c>
      <c r="F48" t="s">
        <v>20</v>
      </c>
      <c r="G48" t="s">
        <v>149</v>
      </c>
      <c r="H48" t="s">
        <v>150</v>
      </c>
      <c r="J48" t="s">
        <v>1413</v>
      </c>
      <c r="K48" t="s">
        <v>1124</v>
      </c>
      <c r="L48">
        <v>98.095071240233523</v>
      </c>
      <c r="M48">
        <v>0.1342110042012524</v>
      </c>
    </row>
    <row r="49" spans="2:13">
      <c r="B49" t="s">
        <v>146</v>
      </c>
      <c r="C49" t="s">
        <v>1415</v>
      </c>
      <c r="D49" t="s">
        <v>1416</v>
      </c>
      <c r="E49" t="s">
        <v>10</v>
      </c>
      <c r="F49" t="s">
        <v>20</v>
      </c>
      <c r="G49" t="s">
        <v>149</v>
      </c>
      <c r="H49" t="s">
        <v>150</v>
      </c>
      <c r="J49" t="s">
        <v>1415</v>
      </c>
      <c r="K49" t="s">
        <v>1159</v>
      </c>
      <c r="L49">
        <v>64.315635873076587</v>
      </c>
      <c r="M49">
        <v>0.14022800211135469</v>
      </c>
    </row>
    <row r="50" spans="2:13">
      <c r="B50" t="s">
        <v>146</v>
      </c>
      <c r="C50" t="s">
        <v>1417</v>
      </c>
      <c r="D50" t="s">
        <v>1418</v>
      </c>
      <c r="E50" t="s">
        <v>10</v>
      </c>
      <c r="F50" t="s">
        <v>20</v>
      </c>
      <c r="G50" t="s">
        <v>149</v>
      </c>
      <c r="H50" t="s">
        <v>150</v>
      </c>
      <c r="J50" t="s">
        <v>1417</v>
      </c>
      <c r="K50" t="s">
        <v>1125</v>
      </c>
      <c r="L50">
        <v>45.702226228379438</v>
      </c>
      <c r="M50">
        <v>0.1118628713089815</v>
      </c>
    </row>
    <row r="51" spans="2:13">
      <c r="B51" t="s">
        <v>146</v>
      </c>
      <c r="C51" t="s">
        <v>1419</v>
      </c>
      <c r="D51" t="s">
        <v>1420</v>
      </c>
      <c r="E51" t="s">
        <v>10</v>
      </c>
      <c r="F51" t="s">
        <v>20</v>
      </c>
      <c r="G51" t="s">
        <v>149</v>
      </c>
      <c r="H51" t="s">
        <v>150</v>
      </c>
      <c r="J51" t="s">
        <v>1419</v>
      </c>
      <c r="K51" t="s">
        <v>1146</v>
      </c>
      <c r="L51">
        <v>59.22613388284995</v>
      </c>
      <c r="M51">
        <v>0.1269317760623232</v>
      </c>
    </row>
    <row r="52" spans="2:13">
      <c r="B52" t="s">
        <v>146</v>
      </c>
      <c r="C52" t="s">
        <v>1421</v>
      </c>
      <c r="D52" t="s">
        <v>1422</v>
      </c>
      <c r="E52" t="s">
        <v>10</v>
      </c>
      <c r="F52" t="s">
        <v>20</v>
      </c>
      <c r="G52" t="s">
        <v>149</v>
      </c>
      <c r="H52" t="s">
        <v>150</v>
      </c>
      <c r="J52" t="s">
        <v>1421</v>
      </c>
      <c r="K52" t="s">
        <v>1154</v>
      </c>
      <c r="L52">
        <v>66.961183738536505</v>
      </c>
      <c r="M52">
        <v>0.16852016548098411</v>
      </c>
    </row>
    <row r="53" spans="2:13">
      <c r="B53" t="s">
        <v>146</v>
      </c>
      <c r="C53" t="s">
        <v>1423</v>
      </c>
      <c r="D53" t="s">
        <v>1424</v>
      </c>
      <c r="E53" t="s">
        <v>10</v>
      </c>
      <c r="F53" t="s">
        <v>20</v>
      </c>
      <c r="G53" t="s">
        <v>149</v>
      </c>
      <c r="H53" t="s">
        <v>150</v>
      </c>
      <c r="J53" t="s">
        <v>1423</v>
      </c>
      <c r="K53" t="s">
        <v>1173</v>
      </c>
      <c r="L53">
        <v>44.273024128052612</v>
      </c>
      <c r="M53">
        <v>0.11720494011104431</v>
      </c>
    </row>
    <row r="54" spans="2:13">
      <c r="B54" t="s">
        <v>146</v>
      </c>
      <c r="C54" t="s">
        <v>1425</v>
      </c>
      <c r="D54" t="s">
        <v>1426</v>
      </c>
      <c r="E54" t="s">
        <v>10</v>
      </c>
      <c r="F54" t="s">
        <v>20</v>
      </c>
      <c r="G54" t="s">
        <v>149</v>
      </c>
      <c r="H54" t="s">
        <v>150</v>
      </c>
      <c r="J54" t="s">
        <v>1425</v>
      </c>
      <c r="K54" t="s">
        <v>1199</v>
      </c>
      <c r="L54">
        <v>46.793995714201756</v>
      </c>
      <c r="M54">
        <v>0.1117095244752136</v>
      </c>
    </row>
    <row r="55" spans="2:13">
      <c r="B55" t="s">
        <v>146</v>
      </c>
      <c r="C55" t="s">
        <v>1427</v>
      </c>
      <c r="D55" t="s">
        <v>1428</v>
      </c>
      <c r="E55" t="s">
        <v>10</v>
      </c>
      <c r="F55" t="s">
        <v>20</v>
      </c>
      <c r="G55" t="s">
        <v>149</v>
      </c>
      <c r="H55" t="s">
        <v>150</v>
      </c>
      <c r="J55" t="s">
        <v>1427</v>
      </c>
      <c r="K55" t="s">
        <v>1137</v>
      </c>
      <c r="L55">
        <v>59.530532128881013</v>
      </c>
      <c r="M55">
        <v>0.12734706976449869</v>
      </c>
    </row>
    <row r="56" spans="2:13">
      <c r="B56" t="s">
        <v>146</v>
      </c>
      <c r="C56" t="s">
        <v>1429</v>
      </c>
      <c r="D56" t="s">
        <v>1430</v>
      </c>
      <c r="E56" t="s">
        <v>10</v>
      </c>
      <c r="F56" t="s">
        <v>20</v>
      </c>
      <c r="G56" t="s">
        <v>149</v>
      </c>
      <c r="H56" t="s">
        <v>150</v>
      </c>
      <c r="J56" t="s">
        <v>1429</v>
      </c>
      <c r="K56" t="s">
        <v>1138</v>
      </c>
      <c r="L56">
        <v>89.411053786052506</v>
      </c>
      <c r="M56">
        <v>0.2363738526326527</v>
      </c>
    </row>
    <row r="57" spans="2:13">
      <c r="B57" t="s">
        <v>146</v>
      </c>
      <c r="C57" t="s">
        <v>1431</v>
      </c>
      <c r="D57" t="s">
        <v>1432</v>
      </c>
      <c r="E57" t="s">
        <v>10</v>
      </c>
      <c r="F57" t="s">
        <v>20</v>
      </c>
      <c r="G57" t="s">
        <v>149</v>
      </c>
      <c r="H57" t="s">
        <v>150</v>
      </c>
      <c r="J57" t="s">
        <v>1431</v>
      </c>
      <c r="K57" t="s">
        <v>1139</v>
      </c>
      <c r="L57">
        <v>108.09584041406336</v>
      </c>
      <c r="M57">
        <v>0.203068464059418</v>
      </c>
    </row>
    <row r="58" spans="2:13">
      <c r="B58" t="s">
        <v>146</v>
      </c>
      <c r="C58" t="s">
        <v>1433</v>
      </c>
      <c r="D58" t="s">
        <v>1434</v>
      </c>
      <c r="E58" t="s">
        <v>10</v>
      </c>
      <c r="F58" t="s">
        <v>20</v>
      </c>
      <c r="G58" t="s">
        <v>149</v>
      </c>
      <c r="H58" t="s">
        <v>150</v>
      </c>
      <c r="J58" t="s">
        <v>1433</v>
      </c>
      <c r="K58" t="s">
        <v>1220</v>
      </c>
      <c r="L58">
        <v>91.237739856046062</v>
      </c>
      <c r="M58">
        <v>0.14615075696251739</v>
      </c>
    </row>
    <row r="59" spans="2:13">
      <c r="B59" t="s">
        <v>146</v>
      </c>
      <c r="C59" t="s">
        <v>1435</v>
      </c>
      <c r="D59" t="s">
        <v>1436</v>
      </c>
      <c r="E59" t="s">
        <v>10</v>
      </c>
      <c r="F59" t="s">
        <v>20</v>
      </c>
      <c r="G59" t="s">
        <v>149</v>
      </c>
      <c r="H59" t="s">
        <v>150</v>
      </c>
      <c r="J59" t="s">
        <v>1435</v>
      </c>
      <c r="K59" t="s">
        <v>1147</v>
      </c>
      <c r="L59">
        <v>192.9650320730417</v>
      </c>
      <c r="M59">
        <v>0.19327528274693881</v>
      </c>
    </row>
    <row r="60" spans="2:13">
      <c r="B60" t="s">
        <v>146</v>
      </c>
      <c r="C60" t="s">
        <v>1437</v>
      </c>
      <c r="D60" t="s">
        <v>1438</v>
      </c>
      <c r="E60" t="s">
        <v>10</v>
      </c>
      <c r="F60" t="s">
        <v>20</v>
      </c>
      <c r="G60" t="s">
        <v>149</v>
      </c>
      <c r="H60" t="s">
        <v>150</v>
      </c>
      <c r="J60" t="s">
        <v>1437</v>
      </c>
      <c r="K60" t="s">
        <v>1126</v>
      </c>
      <c r="L60">
        <v>25.232461853069559</v>
      </c>
      <c r="M60">
        <v>0.238944402603743</v>
      </c>
    </row>
    <row r="61" spans="2:13">
      <c r="B61" t="s">
        <v>146</v>
      </c>
      <c r="C61" t="s">
        <v>1439</v>
      </c>
      <c r="D61" t="s">
        <v>1440</v>
      </c>
      <c r="E61" t="s">
        <v>10</v>
      </c>
      <c r="F61" t="s">
        <v>20</v>
      </c>
      <c r="G61" t="s">
        <v>149</v>
      </c>
      <c r="H61" t="s">
        <v>150</v>
      </c>
      <c r="J61" t="s">
        <v>1439</v>
      </c>
      <c r="K61" t="s">
        <v>1160</v>
      </c>
      <c r="L61">
        <v>39.902969803255665</v>
      </c>
      <c r="M61">
        <v>0.14157154709480091</v>
      </c>
    </row>
    <row r="62" spans="2:13">
      <c r="B62" t="s">
        <v>146</v>
      </c>
      <c r="C62" t="s">
        <v>1441</v>
      </c>
      <c r="D62" t="s">
        <v>1442</v>
      </c>
      <c r="E62" t="s">
        <v>10</v>
      </c>
      <c r="F62" t="s">
        <v>20</v>
      </c>
      <c r="G62" t="s">
        <v>149</v>
      </c>
      <c r="H62" t="s">
        <v>150</v>
      </c>
      <c r="J62" t="s">
        <v>1441</v>
      </c>
      <c r="K62" t="s">
        <v>1221</v>
      </c>
      <c r="L62">
        <v>39.915995812987873</v>
      </c>
      <c r="M62">
        <v>0.2103127708201227</v>
      </c>
    </row>
    <row r="63" spans="2:13">
      <c r="B63" t="s">
        <v>146</v>
      </c>
      <c r="C63" t="s">
        <v>1443</v>
      </c>
      <c r="D63" t="s">
        <v>1444</v>
      </c>
      <c r="E63" t="s">
        <v>10</v>
      </c>
      <c r="F63" t="s">
        <v>20</v>
      </c>
      <c r="G63" t="s">
        <v>149</v>
      </c>
      <c r="H63" t="s">
        <v>150</v>
      </c>
      <c r="J63" t="s">
        <v>1443</v>
      </c>
      <c r="K63" t="s">
        <v>1235</v>
      </c>
      <c r="L63">
        <v>34.696565986692178</v>
      </c>
      <c r="M63">
        <v>0.17948565365346439</v>
      </c>
    </row>
    <row r="64" spans="2:13">
      <c r="B64" t="s">
        <v>146</v>
      </c>
      <c r="C64" t="s">
        <v>1445</v>
      </c>
      <c r="D64" t="s">
        <v>1446</v>
      </c>
      <c r="E64" t="s">
        <v>10</v>
      </c>
      <c r="F64" t="s">
        <v>20</v>
      </c>
      <c r="G64" t="s">
        <v>149</v>
      </c>
      <c r="H64" t="s">
        <v>150</v>
      </c>
      <c r="J64" t="s">
        <v>1445</v>
      </c>
      <c r="K64" t="s">
        <v>1212</v>
      </c>
      <c r="L64">
        <v>48.227180082759602</v>
      </c>
      <c r="M64">
        <v>0.213272558346392</v>
      </c>
    </row>
    <row r="65" spans="2:13">
      <c r="B65" t="s">
        <v>146</v>
      </c>
      <c r="C65" t="s">
        <v>1447</v>
      </c>
      <c r="D65" t="s">
        <v>1448</v>
      </c>
      <c r="E65" t="s">
        <v>10</v>
      </c>
      <c r="F65" t="s">
        <v>20</v>
      </c>
      <c r="G65" t="s">
        <v>149</v>
      </c>
      <c r="H65" t="s">
        <v>150</v>
      </c>
      <c r="J65" t="s">
        <v>1447</v>
      </c>
      <c r="K65" t="s">
        <v>1127</v>
      </c>
      <c r="L65">
        <v>64.191891810077777</v>
      </c>
      <c r="M65">
        <v>0.1808141927682754</v>
      </c>
    </row>
    <row r="66" spans="2:13">
      <c r="B66" t="s">
        <v>146</v>
      </c>
      <c r="C66" t="s">
        <v>1449</v>
      </c>
      <c r="D66" t="s">
        <v>1450</v>
      </c>
      <c r="E66" t="s">
        <v>10</v>
      </c>
      <c r="F66" t="s">
        <v>20</v>
      </c>
      <c r="G66" t="s">
        <v>149</v>
      </c>
      <c r="H66" t="s">
        <v>150</v>
      </c>
      <c r="J66" t="s">
        <v>1449</v>
      </c>
      <c r="K66" t="s">
        <v>1200</v>
      </c>
      <c r="L66">
        <v>80.212558918950478</v>
      </c>
      <c r="M66">
        <v>0.23594559070489349</v>
      </c>
    </row>
    <row r="67" spans="2:13">
      <c r="B67" t="s">
        <v>146</v>
      </c>
      <c r="C67" t="s">
        <v>1451</v>
      </c>
      <c r="D67" t="s">
        <v>1452</v>
      </c>
      <c r="E67" t="s">
        <v>10</v>
      </c>
      <c r="F67" t="s">
        <v>20</v>
      </c>
      <c r="G67" t="s">
        <v>149</v>
      </c>
      <c r="H67" t="s">
        <v>150</v>
      </c>
      <c r="J67" t="s">
        <v>1451</v>
      </c>
      <c r="K67" t="s">
        <v>1180</v>
      </c>
      <c r="L67">
        <v>144.2227931240181</v>
      </c>
      <c r="M67">
        <v>0.19311002476018771</v>
      </c>
    </row>
    <row r="68" spans="2:13">
      <c r="B68" t="s">
        <v>146</v>
      </c>
      <c r="C68" t="s">
        <v>1453</v>
      </c>
      <c r="D68" t="s">
        <v>1454</v>
      </c>
      <c r="E68" t="s">
        <v>10</v>
      </c>
      <c r="F68" t="s">
        <v>20</v>
      </c>
      <c r="G68" t="s">
        <v>149</v>
      </c>
      <c r="H68" t="s">
        <v>150</v>
      </c>
      <c r="J68" t="s">
        <v>1453</v>
      </c>
      <c r="K68" t="s">
        <v>1193</v>
      </c>
      <c r="L68">
        <v>204.53213654986922</v>
      </c>
      <c r="M68">
        <v>0.2478343377788888</v>
      </c>
    </row>
    <row r="69" spans="2:13">
      <c r="B69" t="s">
        <v>146</v>
      </c>
      <c r="C69" t="s">
        <v>1455</v>
      </c>
      <c r="D69" t="s">
        <v>1456</v>
      </c>
      <c r="E69" t="s">
        <v>10</v>
      </c>
      <c r="F69" t="s">
        <v>20</v>
      </c>
      <c r="G69" t="s">
        <v>149</v>
      </c>
      <c r="H69" t="s">
        <v>150</v>
      </c>
      <c r="J69" t="s">
        <v>1455</v>
      </c>
      <c r="K69" t="s">
        <v>1161</v>
      </c>
      <c r="L69">
        <v>72.404673370923575</v>
      </c>
      <c r="M69">
        <v>0.21213581738568199</v>
      </c>
    </row>
    <row r="70" spans="2:13">
      <c r="B70" t="s">
        <v>146</v>
      </c>
      <c r="C70" t="s">
        <v>1457</v>
      </c>
      <c r="D70" t="s">
        <v>1458</v>
      </c>
      <c r="E70" t="s">
        <v>10</v>
      </c>
      <c r="F70" t="s">
        <v>20</v>
      </c>
      <c r="G70" t="s">
        <v>149</v>
      </c>
      <c r="H70" t="s">
        <v>150</v>
      </c>
      <c r="J70" t="s">
        <v>1457</v>
      </c>
      <c r="K70" t="s">
        <v>1170</v>
      </c>
      <c r="L70">
        <v>64.954594485891391</v>
      </c>
      <c r="M70">
        <v>0.16176406283968481</v>
      </c>
    </row>
    <row r="71" spans="2:13">
      <c r="B71" t="s">
        <v>146</v>
      </c>
      <c r="C71" t="s">
        <v>1459</v>
      </c>
      <c r="D71" t="s">
        <v>1460</v>
      </c>
      <c r="E71" t="s">
        <v>10</v>
      </c>
      <c r="F71" t="s">
        <v>20</v>
      </c>
      <c r="G71" t="s">
        <v>149</v>
      </c>
      <c r="H71" t="s">
        <v>150</v>
      </c>
      <c r="J71" t="s">
        <v>1459</v>
      </c>
      <c r="K71" t="s">
        <v>1201</v>
      </c>
      <c r="L71">
        <v>61.916146181403967</v>
      </c>
      <c r="M71">
        <v>0.1761727704007536</v>
      </c>
    </row>
    <row r="72" spans="2:13">
      <c r="B72" t="s">
        <v>146</v>
      </c>
      <c r="C72" t="s">
        <v>1461</v>
      </c>
      <c r="D72" t="s">
        <v>1462</v>
      </c>
      <c r="E72" t="s">
        <v>10</v>
      </c>
      <c r="F72" t="s">
        <v>20</v>
      </c>
      <c r="G72" t="s">
        <v>149</v>
      </c>
      <c r="H72" t="s">
        <v>150</v>
      </c>
      <c r="J72" t="s">
        <v>1461</v>
      </c>
      <c r="K72" t="s">
        <v>1187</v>
      </c>
      <c r="L72">
        <v>53.406412652926484</v>
      </c>
      <c r="M72">
        <v>0.14021684877129931</v>
      </c>
    </row>
    <row r="73" spans="2:13">
      <c r="B73" t="s">
        <v>146</v>
      </c>
      <c r="C73" t="s">
        <v>1463</v>
      </c>
      <c r="D73" t="s">
        <v>1464</v>
      </c>
      <c r="E73" t="s">
        <v>10</v>
      </c>
      <c r="F73" t="s">
        <v>20</v>
      </c>
      <c r="G73" t="s">
        <v>149</v>
      </c>
      <c r="H73" t="s">
        <v>150</v>
      </c>
      <c r="J73" t="s">
        <v>1463</v>
      </c>
      <c r="K73" t="s">
        <v>1188</v>
      </c>
      <c r="L73">
        <v>37.750501639222641</v>
      </c>
      <c r="M73">
        <v>0.19219796775032019</v>
      </c>
    </row>
    <row r="74" spans="2:13">
      <c r="B74" t="s">
        <v>146</v>
      </c>
      <c r="C74" t="s">
        <v>1465</v>
      </c>
      <c r="D74" t="s">
        <v>1466</v>
      </c>
      <c r="E74" t="s">
        <v>10</v>
      </c>
      <c r="F74" t="s">
        <v>20</v>
      </c>
      <c r="G74" t="s">
        <v>149</v>
      </c>
      <c r="H74" t="s">
        <v>150</v>
      </c>
      <c r="J74" t="s">
        <v>1465</v>
      </c>
      <c r="K74" t="s">
        <v>1226</v>
      </c>
      <c r="L74">
        <v>48.128176812360053</v>
      </c>
      <c r="M74">
        <v>0.1765833052459311</v>
      </c>
    </row>
    <row r="75" spans="2:13">
      <c r="B75" t="s">
        <v>146</v>
      </c>
      <c r="C75" t="s">
        <v>1467</v>
      </c>
      <c r="D75" t="s">
        <v>1468</v>
      </c>
      <c r="E75" t="s">
        <v>10</v>
      </c>
      <c r="F75" t="s">
        <v>20</v>
      </c>
      <c r="G75" t="s">
        <v>149</v>
      </c>
      <c r="H75" t="s">
        <v>150</v>
      </c>
      <c r="J75" t="s">
        <v>1467</v>
      </c>
      <c r="K75" t="s">
        <v>1194</v>
      </c>
      <c r="L75">
        <v>35.264260528801714</v>
      </c>
      <c r="M75">
        <v>0.12938205030378669</v>
      </c>
    </row>
    <row r="76" spans="2:13">
      <c r="B76" t="s">
        <v>146</v>
      </c>
      <c r="C76" t="s">
        <v>1469</v>
      </c>
      <c r="D76" t="s">
        <v>1470</v>
      </c>
      <c r="E76" t="s">
        <v>10</v>
      </c>
      <c r="F76" t="s">
        <v>20</v>
      </c>
      <c r="G76" t="s">
        <v>149</v>
      </c>
      <c r="H76" t="s">
        <v>150</v>
      </c>
      <c r="J76" t="s">
        <v>1469</v>
      </c>
      <c r="K76" t="s">
        <v>1227</v>
      </c>
      <c r="L76">
        <v>48.935077389045837</v>
      </c>
      <c r="M76">
        <v>0.1028012340878601</v>
      </c>
    </row>
    <row r="77" spans="2:13">
      <c r="B77" t="s">
        <v>146</v>
      </c>
      <c r="C77" t="s">
        <v>1471</v>
      </c>
      <c r="D77" t="s">
        <v>1472</v>
      </c>
      <c r="E77" t="s">
        <v>10</v>
      </c>
      <c r="F77" t="s">
        <v>20</v>
      </c>
      <c r="G77" t="s">
        <v>149</v>
      </c>
      <c r="H77" t="s">
        <v>150</v>
      </c>
      <c r="J77" t="s">
        <v>1471</v>
      </c>
      <c r="K77" t="s">
        <v>1162</v>
      </c>
      <c r="L77">
        <v>8.0094170122860895</v>
      </c>
      <c r="M77">
        <v>9.67057381774164E-2</v>
      </c>
    </row>
    <row r="78" spans="2:13">
      <c r="B78" t="s">
        <v>146</v>
      </c>
      <c r="C78" t="s">
        <v>1473</v>
      </c>
      <c r="D78" t="s">
        <v>1474</v>
      </c>
      <c r="E78" t="s">
        <v>10</v>
      </c>
      <c r="F78" t="s">
        <v>20</v>
      </c>
      <c r="G78" t="s">
        <v>149</v>
      </c>
      <c r="H78" t="s">
        <v>150</v>
      </c>
      <c r="J78" t="s">
        <v>1473</v>
      </c>
      <c r="K78" t="s">
        <v>1213</v>
      </c>
      <c r="L78">
        <v>109.65079318086688</v>
      </c>
      <c r="M78">
        <v>0.37476848588604827</v>
      </c>
    </row>
    <row r="79" spans="2:13">
      <c r="B79" t="s">
        <v>146</v>
      </c>
      <c r="C79" t="s">
        <v>1475</v>
      </c>
      <c r="D79" t="s">
        <v>1476</v>
      </c>
      <c r="E79" t="s">
        <v>10</v>
      </c>
      <c r="F79" t="s">
        <v>20</v>
      </c>
      <c r="G79" t="s">
        <v>149</v>
      </c>
      <c r="H79" t="s">
        <v>150</v>
      </c>
      <c r="J79" t="s">
        <v>1475</v>
      </c>
      <c r="K79" t="s">
        <v>1189</v>
      </c>
      <c r="L79">
        <v>77.803564600712548</v>
      </c>
      <c r="M79">
        <v>0.21361718614677599</v>
      </c>
    </row>
    <row r="80" spans="2:13">
      <c r="B80" t="s">
        <v>146</v>
      </c>
      <c r="C80" t="s">
        <v>1477</v>
      </c>
      <c r="D80" t="s">
        <v>1478</v>
      </c>
      <c r="E80" t="s">
        <v>10</v>
      </c>
      <c r="F80" t="s">
        <v>20</v>
      </c>
      <c r="G80" t="s">
        <v>149</v>
      </c>
      <c r="H80" t="s">
        <v>150</v>
      </c>
      <c r="J80" t="s">
        <v>1477</v>
      </c>
      <c r="K80" t="s">
        <v>1222</v>
      </c>
      <c r="L80">
        <v>67.474115268645178</v>
      </c>
      <c r="M80">
        <v>0.1544367946960615</v>
      </c>
    </row>
    <row r="81" spans="2:13">
      <c r="B81" t="s">
        <v>146</v>
      </c>
      <c r="C81" t="s">
        <v>1479</v>
      </c>
      <c r="D81" t="s">
        <v>1480</v>
      </c>
      <c r="E81" t="s">
        <v>10</v>
      </c>
      <c r="F81" t="s">
        <v>20</v>
      </c>
      <c r="G81" t="s">
        <v>149</v>
      </c>
      <c r="H81" t="s">
        <v>150</v>
      </c>
      <c r="J81" t="s">
        <v>1479</v>
      </c>
      <c r="K81" t="s">
        <v>1163</v>
      </c>
      <c r="L81">
        <v>65.312013184050656</v>
      </c>
      <c r="M81">
        <v>0.37380196930040938</v>
      </c>
    </row>
    <row r="82" spans="2:13">
      <c r="B82" t="s">
        <v>146</v>
      </c>
      <c r="C82" t="s">
        <v>1481</v>
      </c>
      <c r="D82" t="s">
        <v>1482</v>
      </c>
      <c r="E82" t="s">
        <v>10</v>
      </c>
      <c r="F82" t="s">
        <v>20</v>
      </c>
      <c r="G82" t="s">
        <v>149</v>
      </c>
      <c r="H82" t="s">
        <v>150</v>
      </c>
      <c r="J82" t="s">
        <v>1481</v>
      </c>
      <c r="K82" t="s">
        <v>1206</v>
      </c>
      <c r="L82">
        <v>75.218591396116096</v>
      </c>
      <c r="M82">
        <v>0.1573257189420238</v>
      </c>
    </row>
    <row r="83" spans="2:13">
      <c r="B83" t="s">
        <v>146</v>
      </c>
      <c r="C83" t="s">
        <v>1483</v>
      </c>
      <c r="D83" t="s">
        <v>1484</v>
      </c>
      <c r="E83" t="s">
        <v>10</v>
      </c>
      <c r="F83" t="s">
        <v>20</v>
      </c>
      <c r="G83" t="s">
        <v>149</v>
      </c>
      <c r="H83" t="s">
        <v>150</v>
      </c>
      <c r="J83" t="s">
        <v>1483</v>
      </c>
      <c r="K83" t="s">
        <v>1128</v>
      </c>
      <c r="L83">
        <v>17.521750000000001</v>
      </c>
      <c r="M83">
        <v>0.170285651060717</v>
      </c>
    </row>
    <row r="84" spans="2:13">
      <c r="B84" t="s">
        <v>146</v>
      </c>
      <c r="C84" t="s">
        <v>1485</v>
      </c>
      <c r="D84" t="s">
        <v>1486</v>
      </c>
      <c r="E84" t="s">
        <v>10</v>
      </c>
      <c r="F84" t="s">
        <v>20</v>
      </c>
      <c r="G84" t="s">
        <v>149</v>
      </c>
      <c r="H84" t="s">
        <v>150</v>
      </c>
      <c r="J84" t="s">
        <v>1485</v>
      </c>
      <c r="K84" t="s">
        <v>1207</v>
      </c>
      <c r="L84">
        <v>52.234770000197621</v>
      </c>
      <c r="M84">
        <v>0.25351901166865781</v>
      </c>
    </row>
    <row r="85" spans="2:13">
      <c r="B85" t="s">
        <v>146</v>
      </c>
      <c r="C85" t="s">
        <v>1487</v>
      </c>
      <c r="D85" t="s">
        <v>1488</v>
      </c>
      <c r="E85" t="s">
        <v>10</v>
      </c>
      <c r="F85" t="s">
        <v>20</v>
      </c>
      <c r="G85" t="s">
        <v>149</v>
      </c>
      <c r="H85" t="s">
        <v>150</v>
      </c>
      <c r="J85" t="s">
        <v>1487</v>
      </c>
      <c r="K85" t="s">
        <v>1195</v>
      </c>
      <c r="L85">
        <v>45.76084342305311</v>
      </c>
      <c r="M85">
        <v>0.1019725941470209</v>
      </c>
    </row>
    <row r="86" spans="2:13">
      <c r="B86" t="s">
        <v>146</v>
      </c>
      <c r="C86" t="s">
        <v>1489</v>
      </c>
      <c r="D86" t="s">
        <v>1490</v>
      </c>
      <c r="E86" t="s">
        <v>10</v>
      </c>
      <c r="F86" t="s">
        <v>20</v>
      </c>
      <c r="G86" t="s">
        <v>149</v>
      </c>
      <c r="H86" t="s">
        <v>150</v>
      </c>
      <c r="J86" t="s">
        <v>1489</v>
      </c>
      <c r="K86" t="s">
        <v>1164</v>
      </c>
      <c r="L86">
        <v>49.108938806553653</v>
      </c>
      <c r="M86">
        <v>0.1247406186348792</v>
      </c>
    </row>
    <row r="87" spans="2:13">
      <c r="B87" t="s">
        <v>146</v>
      </c>
      <c r="C87" t="s">
        <v>1491</v>
      </c>
      <c r="D87" t="s">
        <v>1492</v>
      </c>
      <c r="E87" t="s">
        <v>10</v>
      </c>
      <c r="F87" t="s">
        <v>20</v>
      </c>
      <c r="G87" t="s">
        <v>149</v>
      </c>
      <c r="H87" t="s">
        <v>150</v>
      </c>
      <c r="J87" t="s">
        <v>1491</v>
      </c>
      <c r="K87" t="s">
        <v>1129</v>
      </c>
      <c r="L87">
        <v>26.261957058240878</v>
      </c>
      <c r="M87">
        <v>0.19858788848720679</v>
      </c>
    </row>
    <row r="88" spans="2:13">
      <c r="B88" t="s">
        <v>146</v>
      </c>
      <c r="C88" t="s">
        <v>1493</v>
      </c>
      <c r="D88" t="s">
        <v>1494</v>
      </c>
      <c r="E88" t="s">
        <v>10</v>
      </c>
      <c r="F88" t="s">
        <v>20</v>
      </c>
      <c r="G88" t="s">
        <v>149</v>
      </c>
      <c r="H88" t="s">
        <v>150</v>
      </c>
      <c r="J88" t="s">
        <v>1493</v>
      </c>
      <c r="K88" t="s">
        <v>1208</v>
      </c>
      <c r="L88">
        <v>13.244256296686441</v>
      </c>
      <c r="M88">
        <v>0.1805056931924531</v>
      </c>
    </row>
    <row r="89" spans="2:13">
      <c r="B89" t="s">
        <v>146</v>
      </c>
      <c r="C89" t="s">
        <v>1495</v>
      </c>
      <c r="D89" t="s">
        <v>1496</v>
      </c>
      <c r="E89" t="s">
        <v>10</v>
      </c>
      <c r="F89" t="s">
        <v>20</v>
      </c>
      <c r="G89" t="s">
        <v>149</v>
      </c>
      <c r="H89" t="s">
        <v>150</v>
      </c>
      <c r="J89" t="s">
        <v>1495</v>
      </c>
      <c r="K89" t="s">
        <v>1209</v>
      </c>
      <c r="L89">
        <v>26.625616712501689</v>
      </c>
      <c r="M89">
        <v>9.4397827835059803E-2</v>
      </c>
    </row>
    <row r="90" spans="2:13">
      <c r="B90" t="s">
        <v>146</v>
      </c>
      <c r="C90" t="s">
        <v>1497</v>
      </c>
      <c r="D90" t="s">
        <v>1498</v>
      </c>
      <c r="E90" t="s">
        <v>10</v>
      </c>
      <c r="F90" t="s">
        <v>20</v>
      </c>
      <c r="G90" t="s">
        <v>149</v>
      </c>
      <c r="H90" t="s">
        <v>150</v>
      </c>
      <c r="J90" t="s">
        <v>1497</v>
      </c>
      <c r="K90" t="s">
        <v>1174</v>
      </c>
      <c r="L90">
        <v>49.153745052732859</v>
      </c>
      <c r="M90">
        <v>0.1145778496464574</v>
      </c>
    </row>
    <row r="91" spans="2:13">
      <c r="B91" t="s">
        <v>146</v>
      </c>
      <c r="C91" t="s">
        <v>1499</v>
      </c>
      <c r="D91" t="s">
        <v>1500</v>
      </c>
      <c r="E91" t="s">
        <v>10</v>
      </c>
      <c r="F91" t="s">
        <v>20</v>
      </c>
      <c r="G91" t="s">
        <v>149</v>
      </c>
      <c r="H91" t="s">
        <v>150</v>
      </c>
      <c r="J91" t="s">
        <v>1499</v>
      </c>
      <c r="K91" t="s">
        <v>1181</v>
      </c>
      <c r="L91">
        <v>15.55402548304518</v>
      </c>
      <c r="M91">
        <v>0.21878442795802941</v>
      </c>
    </row>
    <row r="92" spans="2:13">
      <c r="B92" t="s">
        <v>146</v>
      </c>
      <c r="C92" t="s">
        <v>1501</v>
      </c>
      <c r="D92" t="s">
        <v>1502</v>
      </c>
      <c r="E92" t="s">
        <v>10</v>
      </c>
      <c r="F92" t="s">
        <v>20</v>
      </c>
      <c r="G92" t="s">
        <v>149</v>
      </c>
      <c r="H92" t="s">
        <v>150</v>
      </c>
      <c r="J92" t="s">
        <v>1501</v>
      </c>
      <c r="K92" t="s">
        <v>1171</v>
      </c>
      <c r="L92">
        <v>62.003939746896343</v>
      </c>
      <c r="M92">
        <v>0.2284289388213544</v>
      </c>
    </row>
    <row r="93" spans="2:13">
      <c r="B93" t="s">
        <v>146</v>
      </c>
      <c r="C93" t="s">
        <v>1503</v>
      </c>
      <c r="D93" t="s">
        <v>1504</v>
      </c>
      <c r="E93" t="s">
        <v>10</v>
      </c>
      <c r="F93" t="s">
        <v>20</v>
      </c>
      <c r="G93" t="s">
        <v>149</v>
      </c>
      <c r="H93" t="s">
        <v>150</v>
      </c>
      <c r="J93" t="s">
        <v>1503</v>
      </c>
      <c r="K93" t="s">
        <v>1228</v>
      </c>
      <c r="L93">
        <v>16.014965255639893</v>
      </c>
      <c r="M93">
        <v>0.27630553793243701</v>
      </c>
    </row>
    <row r="94" spans="2:13">
      <c r="B94" t="s">
        <v>146</v>
      </c>
      <c r="C94" t="s">
        <v>1505</v>
      </c>
      <c r="D94" t="s">
        <v>1506</v>
      </c>
      <c r="E94" t="s">
        <v>10</v>
      </c>
      <c r="F94" t="s">
        <v>20</v>
      </c>
      <c r="G94" t="s">
        <v>149</v>
      </c>
      <c r="H94" t="s">
        <v>150</v>
      </c>
      <c r="J94" t="s">
        <v>1505</v>
      </c>
      <c r="K94" t="s">
        <v>1130</v>
      </c>
      <c r="L94">
        <v>38.584000000000003</v>
      </c>
      <c r="M94">
        <v>0.1663746816250386</v>
      </c>
    </row>
    <row r="95" spans="2:13">
      <c r="B95" t="s">
        <v>146</v>
      </c>
      <c r="C95" t="s">
        <v>1507</v>
      </c>
      <c r="D95" t="s">
        <v>1508</v>
      </c>
      <c r="E95" t="s">
        <v>10</v>
      </c>
      <c r="F95" t="s">
        <v>20</v>
      </c>
      <c r="G95" t="s">
        <v>149</v>
      </c>
      <c r="H95" t="s">
        <v>150</v>
      </c>
      <c r="J95" t="s">
        <v>1507</v>
      </c>
      <c r="K95" t="s">
        <v>1182</v>
      </c>
      <c r="L95">
        <v>140.43602248182191</v>
      </c>
      <c r="M95">
        <v>0.14767840193976409</v>
      </c>
    </row>
    <row r="96" spans="2:13">
      <c r="B96" t="s">
        <v>146</v>
      </c>
      <c r="C96" t="s">
        <v>1509</v>
      </c>
      <c r="D96" t="s">
        <v>1510</v>
      </c>
      <c r="E96" t="s">
        <v>10</v>
      </c>
      <c r="F96" t="s">
        <v>20</v>
      </c>
      <c r="G96" t="s">
        <v>149</v>
      </c>
      <c r="H96" t="s">
        <v>150</v>
      </c>
      <c r="J96" t="s">
        <v>1509</v>
      </c>
      <c r="K96" t="s">
        <v>1183</v>
      </c>
      <c r="L96">
        <v>150.99747268719702</v>
      </c>
      <c r="M96">
        <v>0.19963368864145889</v>
      </c>
    </row>
    <row r="97" spans="2:13">
      <c r="B97" t="s">
        <v>146</v>
      </c>
      <c r="C97" t="s">
        <v>1511</v>
      </c>
      <c r="D97" t="s">
        <v>1512</v>
      </c>
      <c r="E97" t="s">
        <v>10</v>
      </c>
      <c r="F97" t="s">
        <v>20</v>
      </c>
      <c r="G97" t="s">
        <v>149</v>
      </c>
      <c r="H97" t="s">
        <v>150</v>
      </c>
      <c r="J97" t="s">
        <v>1511</v>
      </c>
      <c r="K97" t="s">
        <v>1140</v>
      </c>
      <c r="L97">
        <v>44.73673083293798</v>
      </c>
      <c r="M97">
        <v>0.2361353777412869</v>
      </c>
    </row>
    <row r="98" spans="2:13">
      <c r="B98" t="s">
        <v>146</v>
      </c>
      <c r="C98" t="s">
        <v>1513</v>
      </c>
      <c r="D98" t="s">
        <v>1514</v>
      </c>
      <c r="E98" t="s">
        <v>10</v>
      </c>
      <c r="F98" t="s">
        <v>20</v>
      </c>
      <c r="G98" t="s">
        <v>149</v>
      </c>
      <c r="H98" t="s">
        <v>150</v>
      </c>
      <c r="J98" t="s">
        <v>1513</v>
      </c>
      <c r="K98" t="s">
        <v>1184</v>
      </c>
      <c r="L98">
        <v>226.25148836074212</v>
      </c>
      <c r="M98">
        <v>0.29908109837590813</v>
      </c>
    </row>
    <row r="99" spans="2:13">
      <c r="B99" t="s">
        <v>146</v>
      </c>
      <c r="C99" t="s">
        <v>1515</v>
      </c>
      <c r="D99" t="s">
        <v>1516</v>
      </c>
      <c r="E99" t="s">
        <v>10</v>
      </c>
      <c r="F99" t="s">
        <v>20</v>
      </c>
      <c r="G99" t="s">
        <v>149</v>
      </c>
      <c r="H99" t="s">
        <v>150</v>
      </c>
      <c r="J99" t="s">
        <v>1515</v>
      </c>
      <c r="K99" t="s">
        <v>1131</v>
      </c>
      <c r="L99">
        <v>18.646473949300262</v>
      </c>
      <c r="M99">
        <v>0.13844633389561081</v>
      </c>
    </row>
    <row r="100" spans="2:13">
      <c r="B100" t="s">
        <v>146</v>
      </c>
      <c r="C100" t="s">
        <v>1517</v>
      </c>
      <c r="D100" t="s">
        <v>1518</v>
      </c>
      <c r="E100" t="s">
        <v>10</v>
      </c>
      <c r="F100" t="s">
        <v>20</v>
      </c>
      <c r="G100" t="s">
        <v>149</v>
      </c>
      <c r="H100" t="s">
        <v>150</v>
      </c>
      <c r="J100" t="s">
        <v>1517</v>
      </c>
      <c r="K100" t="s">
        <v>1148</v>
      </c>
      <c r="L100">
        <v>26.04488435253138</v>
      </c>
      <c r="M100">
        <v>0.2450583575536168</v>
      </c>
    </row>
    <row r="101" spans="2:13">
      <c r="B101" t="s">
        <v>146</v>
      </c>
      <c r="C101" t="s">
        <v>1519</v>
      </c>
      <c r="D101" t="s">
        <v>1520</v>
      </c>
      <c r="E101" t="s">
        <v>10</v>
      </c>
      <c r="F101" t="s">
        <v>20</v>
      </c>
      <c r="G101" t="s">
        <v>149</v>
      </c>
      <c r="H101" t="s">
        <v>150</v>
      </c>
      <c r="J101" t="s">
        <v>1519</v>
      </c>
      <c r="K101" t="s">
        <v>1190</v>
      </c>
      <c r="L101">
        <v>90.393333069959539</v>
      </c>
      <c r="M101">
        <v>0.27565823304314507</v>
      </c>
    </row>
    <row r="102" spans="2:13">
      <c r="B102" t="s">
        <v>146</v>
      </c>
      <c r="C102" t="s">
        <v>1521</v>
      </c>
      <c r="D102" t="s">
        <v>1522</v>
      </c>
      <c r="E102" t="s">
        <v>10</v>
      </c>
      <c r="F102" t="s">
        <v>20</v>
      </c>
      <c r="G102" t="s">
        <v>149</v>
      </c>
      <c r="H102" t="s">
        <v>150</v>
      </c>
      <c r="J102" t="s">
        <v>1521</v>
      </c>
      <c r="K102" t="s">
        <v>1155</v>
      </c>
      <c r="L102">
        <v>113.2451692674213</v>
      </c>
      <c r="M102">
        <v>0.1473860074083749</v>
      </c>
    </row>
    <row r="103" spans="2:13">
      <c r="B103" t="s">
        <v>146</v>
      </c>
      <c r="C103" t="s">
        <v>1523</v>
      </c>
      <c r="D103" t="s">
        <v>1524</v>
      </c>
      <c r="E103" t="s">
        <v>10</v>
      </c>
      <c r="F103" t="s">
        <v>20</v>
      </c>
      <c r="G103" t="s">
        <v>149</v>
      </c>
      <c r="H103" t="s">
        <v>150</v>
      </c>
      <c r="J103" t="s">
        <v>1523</v>
      </c>
      <c r="K103" t="s">
        <v>1236</v>
      </c>
      <c r="L103">
        <v>45.474002071914207</v>
      </c>
      <c r="M103">
        <v>0.12737330222287571</v>
      </c>
    </row>
    <row r="104" spans="2:13">
      <c r="B104" t="s">
        <v>146</v>
      </c>
      <c r="C104" t="s">
        <v>1525</v>
      </c>
      <c r="D104" t="s">
        <v>1526</v>
      </c>
      <c r="E104" t="s">
        <v>10</v>
      </c>
      <c r="F104" t="s">
        <v>20</v>
      </c>
      <c r="G104" t="s">
        <v>149</v>
      </c>
      <c r="H104" t="s">
        <v>150</v>
      </c>
      <c r="J104" t="s">
        <v>1525</v>
      </c>
      <c r="K104" t="s">
        <v>1165</v>
      </c>
      <c r="L104">
        <v>101.1351044976128</v>
      </c>
      <c r="M104">
        <v>0.1564768503638308</v>
      </c>
    </row>
    <row r="105" spans="2:13">
      <c r="B105" t="s">
        <v>146</v>
      </c>
      <c r="C105" t="s">
        <v>1527</v>
      </c>
      <c r="D105" t="s">
        <v>1528</v>
      </c>
      <c r="E105" t="s">
        <v>10</v>
      </c>
      <c r="F105" t="s">
        <v>20</v>
      </c>
      <c r="G105" t="s">
        <v>149</v>
      </c>
      <c r="H105" t="s">
        <v>150</v>
      </c>
      <c r="J105" t="s">
        <v>1527</v>
      </c>
      <c r="K105" t="s">
        <v>1156</v>
      </c>
      <c r="L105">
        <v>48.32858989272242</v>
      </c>
      <c r="M105">
        <v>0.10357338231046589</v>
      </c>
    </row>
    <row r="106" spans="2:13">
      <c r="B106" t="s">
        <v>146</v>
      </c>
      <c r="C106" t="s">
        <v>1529</v>
      </c>
      <c r="D106" t="s">
        <v>1530</v>
      </c>
      <c r="E106" t="s">
        <v>10</v>
      </c>
      <c r="F106" t="s">
        <v>20</v>
      </c>
      <c r="G106" t="s">
        <v>149</v>
      </c>
      <c r="H106" t="s">
        <v>150</v>
      </c>
      <c r="J106" t="s">
        <v>1529</v>
      </c>
      <c r="K106" t="s">
        <v>1157</v>
      </c>
      <c r="L106">
        <v>139.37189500220191</v>
      </c>
      <c r="M106">
        <v>0.31806565900299938</v>
      </c>
    </row>
    <row r="107" spans="2:13">
      <c r="B107" t="s">
        <v>146</v>
      </c>
      <c r="C107" t="s">
        <v>1531</v>
      </c>
      <c r="D107" t="s">
        <v>1532</v>
      </c>
      <c r="E107" t="s">
        <v>10</v>
      </c>
      <c r="F107" t="s">
        <v>20</v>
      </c>
      <c r="G107" t="s">
        <v>149</v>
      </c>
      <c r="H107" t="s">
        <v>150</v>
      </c>
      <c r="J107" t="s">
        <v>1531</v>
      </c>
      <c r="K107" t="s">
        <v>1166</v>
      </c>
      <c r="L107">
        <v>61.671957239760111</v>
      </c>
      <c r="M107">
        <v>0.2974574993703506</v>
      </c>
    </row>
    <row r="108" spans="2:13">
      <c r="B108" t="s">
        <v>146</v>
      </c>
      <c r="C108" t="s">
        <v>1533</v>
      </c>
      <c r="D108" t="s">
        <v>1534</v>
      </c>
      <c r="E108" t="s">
        <v>10</v>
      </c>
      <c r="F108" t="s">
        <v>20</v>
      </c>
      <c r="G108" t="s">
        <v>149</v>
      </c>
      <c r="H108" t="s">
        <v>150</v>
      </c>
      <c r="J108" t="s">
        <v>1533</v>
      </c>
      <c r="K108" t="s">
        <v>1223</v>
      </c>
      <c r="L108">
        <v>105.33147698141694</v>
      </c>
      <c r="M108">
        <v>0.3477127389137587</v>
      </c>
    </row>
    <row r="109" spans="2:13">
      <c r="B109" t="s">
        <v>146</v>
      </c>
      <c r="C109" t="s">
        <v>1535</v>
      </c>
      <c r="D109" t="s">
        <v>1536</v>
      </c>
      <c r="E109" t="s">
        <v>10</v>
      </c>
      <c r="F109" t="s">
        <v>20</v>
      </c>
      <c r="G109" t="s">
        <v>149</v>
      </c>
      <c r="H109" t="s">
        <v>150</v>
      </c>
      <c r="J109" t="s">
        <v>1535</v>
      </c>
      <c r="K109" t="s">
        <v>1214</v>
      </c>
      <c r="L109">
        <v>36.210317598354067</v>
      </c>
      <c r="M109">
        <v>0.20109885644055869</v>
      </c>
    </row>
    <row r="110" spans="2:13">
      <c r="B110" t="s">
        <v>146</v>
      </c>
      <c r="C110" t="s">
        <v>1537</v>
      </c>
      <c r="D110" t="s">
        <v>1538</v>
      </c>
      <c r="E110" t="s">
        <v>10</v>
      </c>
      <c r="F110" t="s">
        <v>20</v>
      </c>
      <c r="G110" t="s">
        <v>149</v>
      </c>
      <c r="H110" t="s">
        <v>150</v>
      </c>
      <c r="J110" t="s">
        <v>1537</v>
      </c>
      <c r="K110" t="s">
        <v>1224</v>
      </c>
      <c r="L110">
        <v>90.092175297443433</v>
      </c>
      <c r="M110">
        <v>0.2345574017877772</v>
      </c>
    </row>
    <row r="111" spans="2:13">
      <c r="B111" t="s">
        <v>146</v>
      </c>
      <c r="C111" t="s">
        <v>1539</v>
      </c>
      <c r="D111" t="s">
        <v>1540</v>
      </c>
      <c r="E111" t="s">
        <v>10</v>
      </c>
      <c r="F111" t="s">
        <v>20</v>
      </c>
      <c r="G111" t="s">
        <v>149</v>
      </c>
      <c r="H111" t="s">
        <v>150</v>
      </c>
      <c r="J111" t="s">
        <v>1539</v>
      </c>
      <c r="K111" t="s">
        <v>1141</v>
      </c>
      <c r="L111">
        <v>110.96409224017792</v>
      </c>
      <c r="M111">
        <v>0.33359913897391569</v>
      </c>
    </row>
    <row r="112" spans="2:13">
      <c r="B112" t="s">
        <v>146</v>
      </c>
      <c r="C112" t="s">
        <v>1541</v>
      </c>
      <c r="D112" t="s">
        <v>1542</v>
      </c>
      <c r="E112" t="s">
        <v>10</v>
      </c>
      <c r="F112" t="s">
        <v>20</v>
      </c>
      <c r="G112" t="s">
        <v>149</v>
      </c>
      <c r="H112" t="s">
        <v>150</v>
      </c>
      <c r="J112" t="s">
        <v>1541</v>
      </c>
      <c r="K112" t="s">
        <v>1149</v>
      </c>
      <c r="L112">
        <v>113.43792605984484</v>
      </c>
      <c r="M112">
        <v>0.25612489877778322</v>
      </c>
    </row>
    <row r="113" spans="2:13">
      <c r="B113" t="s">
        <v>146</v>
      </c>
      <c r="C113" t="s">
        <v>1543</v>
      </c>
      <c r="D113" t="s">
        <v>1544</v>
      </c>
      <c r="E113" t="s">
        <v>10</v>
      </c>
      <c r="F113" t="s">
        <v>20</v>
      </c>
      <c r="G113" t="s">
        <v>149</v>
      </c>
      <c r="H113" t="s">
        <v>150</v>
      </c>
      <c r="J113" t="s">
        <v>1543</v>
      </c>
      <c r="K113" t="s">
        <v>1229</v>
      </c>
      <c r="L113">
        <v>31.78765414876472</v>
      </c>
      <c r="M113">
        <v>0.20888693323268009</v>
      </c>
    </row>
    <row r="114" spans="2:13">
      <c r="B114" t="s">
        <v>146</v>
      </c>
      <c r="C114" t="s">
        <v>1545</v>
      </c>
      <c r="D114" t="s">
        <v>1546</v>
      </c>
      <c r="E114" t="s">
        <v>10</v>
      </c>
      <c r="F114" t="s">
        <v>20</v>
      </c>
      <c r="G114" t="s">
        <v>149</v>
      </c>
      <c r="H114" t="s">
        <v>150</v>
      </c>
      <c r="J114" t="s">
        <v>1545</v>
      </c>
      <c r="K114" t="s">
        <v>1215</v>
      </c>
      <c r="L114">
        <v>71.274548031134074</v>
      </c>
      <c r="M114">
        <v>0.33637795630778289</v>
      </c>
    </row>
    <row r="115" spans="2:13">
      <c r="B115" t="s">
        <v>146</v>
      </c>
      <c r="C115" t="s">
        <v>1547</v>
      </c>
      <c r="D115" t="s">
        <v>1548</v>
      </c>
      <c r="E115" t="s">
        <v>10</v>
      </c>
      <c r="F115" t="s">
        <v>20</v>
      </c>
      <c r="G115" t="s">
        <v>149</v>
      </c>
      <c r="H115" t="s">
        <v>150</v>
      </c>
      <c r="J115" t="s">
        <v>1547</v>
      </c>
      <c r="K115" t="s">
        <v>1167</v>
      </c>
      <c r="L115">
        <v>96.887432705643064</v>
      </c>
      <c r="M115">
        <v>0.3870703794732635</v>
      </c>
    </row>
    <row r="116" spans="2:13">
      <c r="B116" t="s">
        <v>146</v>
      </c>
      <c r="C116" t="s">
        <v>1549</v>
      </c>
      <c r="D116" t="s">
        <v>1550</v>
      </c>
      <c r="E116" t="s">
        <v>10</v>
      </c>
      <c r="F116" t="s">
        <v>20</v>
      </c>
      <c r="G116" t="s">
        <v>149</v>
      </c>
      <c r="H116" t="s">
        <v>150</v>
      </c>
      <c r="J116" t="s">
        <v>1549</v>
      </c>
      <c r="K116" t="s">
        <v>1158</v>
      </c>
      <c r="L116">
        <v>66.898902254497202</v>
      </c>
      <c r="M116">
        <v>0.30327909025895139</v>
      </c>
    </row>
    <row r="117" spans="2:13">
      <c r="B117" t="s">
        <v>146</v>
      </c>
      <c r="C117" t="s">
        <v>1551</v>
      </c>
      <c r="D117" t="s">
        <v>1552</v>
      </c>
      <c r="E117" t="s">
        <v>10</v>
      </c>
      <c r="F117" t="s">
        <v>20</v>
      </c>
      <c r="G117" t="s">
        <v>149</v>
      </c>
      <c r="H117" t="s">
        <v>150</v>
      </c>
      <c r="J117" t="s">
        <v>1551</v>
      </c>
      <c r="K117" t="s">
        <v>1175</v>
      </c>
      <c r="L117">
        <v>114.06234142107614</v>
      </c>
      <c r="M117">
        <v>0.37567103317262968</v>
      </c>
    </row>
    <row r="118" spans="2:13">
      <c r="B118" t="s">
        <v>146</v>
      </c>
      <c r="C118" t="s">
        <v>1553</v>
      </c>
      <c r="D118" t="s">
        <v>1554</v>
      </c>
      <c r="E118" t="s">
        <v>10</v>
      </c>
      <c r="F118" t="s">
        <v>20</v>
      </c>
      <c r="G118" t="s">
        <v>149</v>
      </c>
      <c r="H118" t="s">
        <v>150</v>
      </c>
      <c r="J118" t="s">
        <v>1553</v>
      </c>
      <c r="K118" t="s">
        <v>1230</v>
      </c>
      <c r="L118">
        <v>51.576115979506419</v>
      </c>
      <c r="M118">
        <v>0.1909482364894349</v>
      </c>
    </row>
    <row r="119" spans="2:13">
      <c r="B119" t="s">
        <v>146</v>
      </c>
      <c r="C119" t="s">
        <v>1555</v>
      </c>
      <c r="D119" t="s">
        <v>1556</v>
      </c>
      <c r="E119" t="s">
        <v>10</v>
      </c>
      <c r="F119" t="s">
        <v>20</v>
      </c>
      <c r="G119" t="s">
        <v>149</v>
      </c>
      <c r="H119" t="s">
        <v>150</v>
      </c>
      <c r="J119" t="s">
        <v>1555</v>
      </c>
      <c r="K119" t="s">
        <v>1132</v>
      </c>
      <c r="L119">
        <v>41.324901461177753</v>
      </c>
      <c r="M119">
        <v>0.1905359935836467</v>
      </c>
    </row>
    <row r="120" spans="2:13">
      <c r="B120" t="s">
        <v>146</v>
      </c>
      <c r="C120" t="s">
        <v>1557</v>
      </c>
      <c r="D120" t="s">
        <v>1558</v>
      </c>
      <c r="E120" t="s">
        <v>10</v>
      </c>
      <c r="F120" t="s">
        <v>20</v>
      </c>
      <c r="G120" t="s">
        <v>149</v>
      </c>
      <c r="H120" t="s">
        <v>150</v>
      </c>
      <c r="J120" t="s">
        <v>1557</v>
      </c>
      <c r="K120" t="s">
        <v>1196</v>
      </c>
      <c r="L120">
        <v>38.777240522327702</v>
      </c>
      <c r="M120">
        <v>0.1744016312505027</v>
      </c>
    </row>
    <row r="121" spans="2:13">
      <c r="B121" t="s">
        <v>146</v>
      </c>
      <c r="C121" t="s">
        <v>1559</v>
      </c>
      <c r="D121" t="s">
        <v>1560</v>
      </c>
      <c r="E121" t="s">
        <v>10</v>
      </c>
      <c r="F121" t="s">
        <v>20</v>
      </c>
      <c r="G121" t="s">
        <v>149</v>
      </c>
      <c r="H121" t="s">
        <v>150</v>
      </c>
      <c r="J121" t="s">
        <v>1559</v>
      </c>
      <c r="K121" t="s">
        <v>1210</v>
      </c>
      <c r="L121">
        <v>36.792797269437031</v>
      </c>
      <c r="M121">
        <v>0.1063235147029452</v>
      </c>
    </row>
    <row r="122" spans="2:13">
      <c r="B122" t="s">
        <v>146</v>
      </c>
      <c r="C122" t="s">
        <v>1561</v>
      </c>
      <c r="D122" t="s">
        <v>1562</v>
      </c>
      <c r="E122" t="s">
        <v>10</v>
      </c>
      <c r="F122" t="s">
        <v>20</v>
      </c>
      <c r="G122" t="s">
        <v>149</v>
      </c>
      <c r="H122" t="s">
        <v>150</v>
      </c>
      <c r="J122" t="s">
        <v>1561</v>
      </c>
      <c r="K122" t="s">
        <v>1231</v>
      </c>
      <c r="L122">
        <v>30.189135355473383</v>
      </c>
      <c r="M122">
        <v>0.15593001933966491</v>
      </c>
    </row>
    <row r="123" spans="2:13">
      <c r="B123" t="s">
        <v>146</v>
      </c>
      <c r="C123" t="s">
        <v>1563</v>
      </c>
      <c r="D123" t="s">
        <v>1564</v>
      </c>
      <c r="E123" t="s">
        <v>10</v>
      </c>
      <c r="F123" t="s">
        <v>20</v>
      </c>
      <c r="G123" t="s">
        <v>149</v>
      </c>
      <c r="H123" t="s">
        <v>150</v>
      </c>
      <c r="J123" t="s">
        <v>1563</v>
      </c>
      <c r="K123" t="s">
        <v>1150</v>
      </c>
      <c r="L123">
        <v>50.047283123236681</v>
      </c>
      <c r="M123">
        <v>0.14362495052934751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DDB6-6AC5-4707-A85D-46846144080F}">
  <dimension ref="B9:Y151"/>
  <sheetViews>
    <sheetView workbookViewId="0"/>
  </sheetViews>
  <sheetFormatPr defaultRowHeight="14.25"/>
  <sheetData>
    <row r="9" spans="2:25">
      <c r="B9" t="s">
        <v>1633</v>
      </c>
      <c r="R9" t="s">
        <v>138</v>
      </c>
    </row>
    <row r="10" spans="2:25">
      <c r="B10" t="s">
        <v>140</v>
      </c>
      <c r="C10" t="s">
        <v>837</v>
      </c>
      <c r="D10" t="s">
        <v>422</v>
      </c>
      <c r="E10">
        <v>2020</v>
      </c>
      <c r="F10">
        <v>2022</v>
      </c>
      <c r="G10">
        <v>2024</v>
      </c>
      <c r="H10">
        <v>2025</v>
      </c>
      <c r="I10">
        <v>2030</v>
      </c>
      <c r="J10">
        <v>2035</v>
      </c>
      <c r="K10">
        <v>2040</v>
      </c>
      <c r="L10">
        <v>2045</v>
      </c>
      <c r="M10">
        <v>2050</v>
      </c>
      <c r="N10" t="s">
        <v>1634</v>
      </c>
      <c r="O10" t="s">
        <v>1635</v>
      </c>
      <c r="P10" t="s">
        <v>1636</v>
      </c>
      <c r="R10" t="s">
        <v>139</v>
      </c>
      <c r="S10" t="s">
        <v>140</v>
      </c>
      <c r="T10" t="s">
        <v>141</v>
      </c>
      <c r="U10" t="s">
        <v>142</v>
      </c>
      <c r="V10" t="s">
        <v>143</v>
      </c>
      <c r="W10" t="s">
        <v>144</v>
      </c>
      <c r="X10" t="s">
        <v>145</v>
      </c>
      <c r="Y10" t="s">
        <v>1674</v>
      </c>
    </row>
    <row r="11" spans="2:25">
      <c r="B11" t="s">
        <v>1637</v>
      </c>
      <c r="C11" t="s">
        <v>31</v>
      </c>
      <c r="D11" t="s">
        <v>18</v>
      </c>
      <c r="E11">
        <v>525.6</v>
      </c>
      <c r="I11">
        <v>495.7</v>
      </c>
      <c r="M11">
        <v>477.8</v>
      </c>
      <c r="N11" t="s">
        <v>1638</v>
      </c>
      <c r="R11" t="s">
        <v>146</v>
      </c>
      <c r="S11" t="s">
        <v>1637</v>
      </c>
      <c r="T11" t="s">
        <v>1675</v>
      </c>
      <c r="U11" t="s">
        <v>10</v>
      </c>
      <c r="V11" t="s">
        <v>20</v>
      </c>
      <c r="W11" t="s">
        <v>566</v>
      </c>
      <c r="X11" t="s">
        <v>1676</v>
      </c>
    </row>
    <row r="12" spans="2:25">
      <c r="B12" t="s">
        <v>1637</v>
      </c>
      <c r="C12" t="s">
        <v>31</v>
      </c>
      <c r="D12" t="s">
        <v>18</v>
      </c>
      <c r="E12">
        <v>18</v>
      </c>
      <c r="I12">
        <v>17.100000000000001</v>
      </c>
      <c r="M12">
        <v>16</v>
      </c>
      <c r="N12" t="s">
        <v>1639</v>
      </c>
      <c r="R12" t="s">
        <v>146</v>
      </c>
      <c r="S12" t="s">
        <v>1643</v>
      </c>
      <c r="T12" t="s">
        <v>1677</v>
      </c>
      <c r="U12" t="s">
        <v>10</v>
      </c>
      <c r="V12" t="s">
        <v>20</v>
      </c>
      <c r="W12" t="s">
        <v>566</v>
      </c>
      <c r="X12" t="s">
        <v>1676</v>
      </c>
    </row>
    <row r="13" spans="2:25">
      <c r="B13" t="s">
        <v>1637</v>
      </c>
      <c r="C13" t="s">
        <v>31</v>
      </c>
      <c r="D13" t="s">
        <v>18</v>
      </c>
      <c r="E13">
        <v>2.88</v>
      </c>
      <c r="I13">
        <v>2.52</v>
      </c>
      <c r="M13">
        <v>2.52</v>
      </c>
      <c r="N13" t="s">
        <v>1640</v>
      </c>
      <c r="R13" t="s">
        <v>1678</v>
      </c>
      <c r="S13" t="s">
        <v>1644</v>
      </c>
      <c r="T13" t="s">
        <v>1679</v>
      </c>
      <c r="U13" t="s">
        <v>10</v>
      </c>
      <c r="V13" t="s">
        <v>20</v>
      </c>
      <c r="W13" t="s">
        <v>566</v>
      </c>
      <c r="X13" t="s">
        <v>1676</v>
      </c>
    </row>
    <row r="14" spans="2:25">
      <c r="B14" t="s">
        <v>1637</v>
      </c>
      <c r="C14" t="s">
        <v>31</v>
      </c>
      <c r="D14" t="s">
        <v>18</v>
      </c>
      <c r="E14">
        <v>0.56000000000000005</v>
      </c>
      <c r="I14">
        <v>0.57999999999999996</v>
      </c>
      <c r="M14">
        <v>0.6</v>
      </c>
      <c r="N14" t="s">
        <v>115</v>
      </c>
      <c r="R14" t="s">
        <v>146</v>
      </c>
      <c r="S14" t="s">
        <v>1648</v>
      </c>
      <c r="T14" t="s">
        <v>1680</v>
      </c>
      <c r="U14" t="s">
        <v>10</v>
      </c>
      <c r="V14" t="s">
        <v>20</v>
      </c>
      <c r="W14" t="s">
        <v>566</v>
      </c>
      <c r="X14" t="s">
        <v>1676</v>
      </c>
    </row>
    <row r="15" spans="2:25">
      <c r="B15" t="s">
        <v>1637</v>
      </c>
      <c r="C15" t="s">
        <v>31</v>
      </c>
      <c r="D15" t="s">
        <v>18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 t="s">
        <v>1641</v>
      </c>
      <c r="R15" t="s">
        <v>146</v>
      </c>
      <c r="S15" t="s">
        <v>1650</v>
      </c>
      <c r="T15" t="s">
        <v>1681</v>
      </c>
      <c r="U15" t="s">
        <v>10</v>
      </c>
      <c r="V15" t="s">
        <v>20</v>
      </c>
      <c r="W15" t="s">
        <v>566</v>
      </c>
      <c r="X15" t="s">
        <v>1676</v>
      </c>
    </row>
    <row r="16" spans="2:25">
      <c r="B16" t="s">
        <v>1637</v>
      </c>
      <c r="C16" t="s">
        <v>31</v>
      </c>
      <c r="D16" t="s">
        <v>18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 t="s">
        <v>1642</v>
      </c>
      <c r="R16" t="s">
        <v>146</v>
      </c>
      <c r="S16" t="s">
        <v>1651</v>
      </c>
      <c r="T16" t="s">
        <v>1682</v>
      </c>
      <c r="U16" t="s">
        <v>10</v>
      </c>
      <c r="V16" t="s">
        <v>20</v>
      </c>
      <c r="W16" t="s">
        <v>566</v>
      </c>
      <c r="X16" t="s">
        <v>1676</v>
      </c>
    </row>
    <row r="17" spans="2:25">
      <c r="B17" t="s">
        <v>1643</v>
      </c>
      <c r="C17" t="s">
        <v>31</v>
      </c>
      <c r="D17" t="s">
        <v>18</v>
      </c>
      <c r="G17">
        <v>329.3</v>
      </c>
      <c r="J17">
        <v>329.3</v>
      </c>
      <c r="M17">
        <v>329.3</v>
      </c>
      <c r="N17" t="s">
        <v>1638</v>
      </c>
      <c r="R17" t="s">
        <v>146</v>
      </c>
      <c r="S17" t="s">
        <v>1652</v>
      </c>
      <c r="T17" t="s">
        <v>1683</v>
      </c>
      <c r="U17" t="s">
        <v>10</v>
      </c>
      <c r="V17" t="s">
        <v>20</v>
      </c>
      <c r="W17" t="s">
        <v>566</v>
      </c>
      <c r="X17" t="s">
        <v>1676</v>
      </c>
    </row>
    <row r="18" spans="2:25">
      <c r="B18" t="s">
        <v>1643</v>
      </c>
      <c r="C18" t="s">
        <v>31</v>
      </c>
      <c r="D18" t="s">
        <v>18</v>
      </c>
      <c r="G18">
        <v>18.8</v>
      </c>
      <c r="J18">
        <v>18.8</v>
      </c>
      <c r="M18">
        <v>18.8</v>
      </c>
      <c r="N18" t="s">
        <v>1639</v>
      </c>
      <c r="R18" t="s">
        <v>146</v>
      </c>
      <c r="S18" t="s">
        <v>1653</v>
      </c>
      <c r="T18" t="s">
        <v>1684</v>
      </c>
      <c r="U18" t="s">
        <v>10</v>
      </c>
      <c r="V18" t="s">
        <v>20</v>
      </c>
      <c r="W18" t="s">
        <v>566</v>
      </c>
      <c r="X18" t="s">
        <v>1676</v>
      </c>
    </row>
    <row r="19" spans="2:25">
      <c r="B19" t="s">
        <v>1643</v>
      </c>
      <c r="C19" t="s">
        <v>31</v>
      </c>
      <c r="D19" t="s">
        <v>18</v>
      </c>
      <c r="G19">
        <v>6.9408000000000003</v>
      </c>
      <c r="J19">
        <v>6.9408000000000003</v>
      </c>
      <c r="M19">
        <v>6.9408000000000003</v>
      </c>
      <c r="N19" t="s">
        <v>1640</v>
      </c>
      <c r="R19" t="s">
        <v>146</v>
      </c>
      <c r="S19" t="s">
        <v>1654</v>
      </c>
      <c r="T19" t="s">
        <v>1685</v>
      </c>
      <c r="U19" t="s">
        <v>10</v>
      </c>
      <c r="V19" t="s">
        <v>20</v>
      </c>
      <c r="W19" t="s">
        <v>566</v>
      </c>
      <c r="X19" t="s">
        <v>1676</v>
      </c>
    </row>
    <row r="20" spans="2:25">
      <c r="B20" t="s">
        <v>1643</v>
      </c>
      <c r="C20" t="s">
        <v>31</v>
      </c>
      <c r="D20" t="s">
        <v>18</v>
      </c>
      <c r="G20">
        <v>0.39</v>
      </c>
      <c r="J20">
        <v>0.41</v>
      </c>
      <c r="M20">
        <v>0.41</v>
      </c>
      <c r="N20" t="s">
        <v>115</v>
      </c>
      <c r="R20" t="s">
        <v>146</v>
      </c>
      <c r="S20" t="s">
        <v>1655</v>
      </c>
      <c r="T20" t="s">
        <v>1686</v>
      </c>
      <c r="U20" t="s">
        <v>10</v>
      </c>
      <c r="V20" t="s">
        <v>20</v>
      </c>
      <c r="W20" t="s">
        <v>566</v>
      </c>
      <c r="X20" t="s">
        <v>1676</v>
      </c>
    </row>
    <row r="21" spans="2:25">
      <c r="B21" t="s">
        <v>1643</v>
      </c>
      <c r="C21" t="s">
        <v>31</v>
      </c>
      <c r="D21" t="s">
        <v>18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>
        <v>30</v>
      </c>
      <c r="N21" t="s">
        <v>1641</v>
      </c>
      <c r="R21" t="s">
        <v>146</v>
      </c>
      <c r="S21" t="s">
        <v>1656</v>
      </c>
      <c r="T21" t="s">
        <v>1687</v>
      </c>
      <c r="U21" t="s">
        <v>10</v>
      </c>
      <c r="V21" t="s">
        <v>20</v>
      </c>
      <c r="W21" t="s">
        <v>566</v>
      </c>
      <c r="X21" t="s">
        <v>1676</v>
      </c>
    </row>
    <row r="22" spans="2:25">
      <c r="B22" t="s">
        <v>1643</v>
      </c>
      <c r="C22" t="s">
        <v>31</v>
      </c>
      <c r="D22" t="s">
        <v>18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 t="s">
        <v>1642</v>
      </c>
      <c r="R22" t="s">
        <v>1678</v>
      </c>
      <c r="S22" t="s">
        <v>1658</v>
      </c>
      <c r="T22" t="s">
        <v>1688</v>
      </c>
      <c r="U22" t="s">
        <v>10</v>
      </c>
      <c r="V22" t="s">
        <v>20</v>
      </c>
      <c r="W22" t="s">
        <v>566</v>
      </c>
      <c r="X22" t="s">
        <v>1676</v>
      </c>
    </row>
    <row r="23" spans="2:25">
      <c r="B23" t="s">
        <v>1644</v>
      </c>
      <c r="C23" t="s">
        <v>31</v>
      </c>
      <c r="D23" t="s">
        <v>1645</v>
      </c>
      <c r="E23">
        <v>541.9</v>
      </c>
      <c r="I23">
        <v>511.1</v>
      </c>
      <c r="M23">
        <v>492.6</v>
      </c>
      <c r="N23" t="s">
        <v>1638</v>
      </c>
      <c r="R23" t="s">
        <v>146</v>
      </c>
      <c r="S23" t="s">
        <v>1659</v>
      </c>
      <c r="T23" t="s">
        <v>1689</v>
      </c>
      <c r="U23" t="s">
        <v>10</v>
      </c>
      <c r="V23" t="s">
        <v>20</v>
      </c>
      <c r="W23" t="s">
        <v>566</v>
      </c>
      <c r="X23" t="s">
        <v>1676</v>
      </c>
    </row>
    <row r="24" spans="2:25">
      <c r="B24" t="s">
        <v>1644</v>
      </c>
      <c r="C24" t="s">
        <v>31</v>
      </c>
      <c r="D24" t="s">
        <v>1645</v>
      </c>
      <c r="E24">
        <v>18</v>
      </c>
      <c r="I24">
        <v>17.100000000000001</v>
      </c>
      <c r="M24">
        <v>16</v>
      </c>
      <c r="N24" t="s">
        <v>1639</v>
      </c>
      <c r="R24" t="s">
        <v>1678</v>
      </c>
      <c r="S24" t="s">
        <v>1660</v>
      </c>
      <c r="T24" t="s">
        <v>1690</v>
      </c>
      <c r="U24" t="s">
        <v>10</v>
      </c>
      <c r="V24" t="s">
        <v>20</v>
      </c>
      <c r="W24" t="s">
        <v>566</v>
      </c>
      <c r="X24" t="s">
        <v>1676</v>
      </c>
    </row>
    <row r="25" spans="2:25">
      <c r="B25" t="s">
        <v>1644</v>
      </c>
      <c r="C25" t="s">
        <v>31</v>
      </c>
      <c r="D25" t="s">
        <v>1645</v>
      </c>
      <c r="E25">
        <v>2.88</v>
      </c>
      <c r="I25">
        <v>2.52</v>
      </c>
      <c r="M25">
        <v>2.52</v>
      </c>
      <c r="N25" t="s">
        <v>1640</v>
      </c>
      <c r="R25" t="s">
        <v>1691</v>
      </c>
      <c r="S25" t="s">
        <v>1661</v>
      </c>
      <c r="T25" t="s">
        <v>1692</v>
      </c>
      <c r="U25" t="s">
        <v>10</v>
      </c>
      <c r="V25" t="s">
        <v>20</v>
      </c>
      <c r="W25" t="s">
        <v>1693</v>
      </c>
      <c r="X25" t="s">
        <v>1676</v>
      </c>
    </row>
    <row r="26" spans="2:25">
      <c r="B26" t="s">
        <v>1644</v>
      </c>
      <c r="C26" t="s">
        <v>31</v>
      </c>
      <c r="D26" t="s">
        <v>1645</v>
      </c>
      <c r="E26">
        <v>0.56000000000000005</v>
      </c>
      <c r="I26">
        <v>0.57999999999999996</v>
      </c>
      <c r="M26">
        <v>0.6</v>
      </c>
      <c r="N26" t="s">
        <v>115</v>
      </c>
      <c r="R26" t="s">
        <v>1691</v>
      </c>
      <c r="S26" t="s">
        <v>1662</v>
      </c>
      <c r="T26" t="s">
        <v>1694</v>
      </c>
      <c r="U26" t="s">
        <v>10</v>
      </c>
      <c r="V26" t="s">
        <v>20</v>
      </c>
      <c r="W26" t="s">
        <v>1693</v>
      </c>
      <c r="X26" t="s">
        <v>1676</v>
      </c>
    </row>
    <row r="27" spans="2:25">
      <c r="B27" t="s">
        <v>1644</v>
      </c>
      <c r="C27" t="s">
        <v>31</v>
      </c>
      <c r="D27" t="s">
        <v>1645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 t="s">
        <v>1641</v>
      </c>
      <c r="R27" t="s">
        <v>1691</v>
      </c>
      <c r="S27" t="s">
        <v>1663</v>
      </c>
      <c r="T27" t="s">
        <v>1695</v>
      </c>
      <c r="U27" t="s">
        <v>10</v>
      </c>
      <c r="V27" t="s">
        <v>20</v>
      </c>
      <c r="W27" t="s">
        <v>1693</v>
      </c>
      <c r="X27" t="s">
        <v>1676</v>
      </c>
    </row>
    <row r="28" spans="2:25">
      <c r="B28" t="s">
        <v>1644</v>
      </c>
      <c r="C28" t="s">
        <v>31</v>
      </c>
      <c r="D28" t="s">
        <v>1645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 t="s">
        <v>1642</v>
      </c>
      <c r="R28" t="s">
        <v>1691</v>
      </c>
      <c r="S28" t="s">
        <v>1664</v>
      </c>
      <c r="T28" t="s">
        <v>1696</v>
      </c>
      <c r="U28" t="s">
        <v>10</v>
      </c>
      <c r="V28" t="s">
        <v>20</v>
      </c>
      <c r="W28" t="s">
        <v>1693</v>
      </c>
      <c r="X28" t="s">
        <v>1676</v>
      </c>
    </row>
    <row r="29" spans="2:25">
      <c r="B29" t="s">
        <v>1644</v>
      </c>
      <c r="C29" t="s">
        <v>31</v>
      </c>
      <c r="D29" t="s">
        <v>1645</v>
      </c>
      <c r="E29">
        <v>0.55559999999999998</v>
      </c>
      <c r="I29">
        <v>0.5</v>
      </c>
      <c r="M29">
        <v>0.45450000000000002</v>
      </c>
      <c r="N29" t="s">
        <v>1646</v>
      </c>
      <c r="R29" t="s">
        <v>66</v>
      </c>
      <c r="S29" t="s">
        <v>1665</v>
      </c>
      <c r="T29" t="s">
        <v>1697</v>
      </c>
      <c r="U29" t="s">
        <v>10</v>
      </c>
      <c r="V29" t="s">
        <v>20</v>
      </c>
      <c r="W29" t="s">
        <v>566</v>
      </c>
      <c r="X29" t="s">
        <v>1676</v>
      </c>
      <c r="Y29" t="s">
        <v>565</v>
      </c>
    </row>
    <row r="30" spans="2:25">
      <c r="B30" t="s">
        <v>1644</v>
      </c>
      <c r="C30" t="s">
        <v>31</v>
      </c>
      <c r="D30" t="s">
        <v>1645</v>
      </c>
      <c r="E30">
        <v>0.15</v>
      </c>
      <c r="I30">
        <v>0.15</v>
      </c>
      <c r="M30">
        <v>0.15</v>
      </c>
      <c r="N30" t="s">
        <v>1647</v>
      </c>
      <c r="R30" t="s">
        <v>66</v>
      </c>
      <c r="S30" t="s">
        <v>1671</v>
      </c>
      <c r="T30" t="s">
        <v>1698</v>
      </c>
      <c r="U30" t="s">
        <v>10</v>
      </c>
      <c r="V30" t="s">
        <v>20</v>
      </c>
      <c r="W30" t="s">
        <v>566</v>
      </c>
      <c r="X30" t="s">
        <v>1676</v>
      </c>
      <c r="Y30" t="s">
        <v>565</v>
      </c>
    </row>
    <row r="31" spans="2:25">
      <c r="B31" t="s">
        <v>1648</v>
      </c>
      <c r="C31" t="s">
        <v>31</v>
      </c>
      <c r="D31" t="s">
        <v>1649</v>
      </c>
      <c r="G31">
        <v>2070.1</v>
      </c>
      <c r="J31">
        <v>1881.9</v>
      </c>
      <c r="M31">
        <v>1646.7</v>
      </c>
      <c r="N31" t="s">
        <v>1638</v>
      </c>
      <c r="R31" t="s">
        <v>1678</v>
      </c>
      <c r="S31" t="s">
        <v>1672</v>
      </c>
      <c r="T31" t="s">
        <v>1699</v>
      </c>
      <c r="U31" t="s">
        <v>10</v>
      </c>
      <c r="V31" t="s">
        <v>20</v>
      </c>
      <c r="W31" t="s">
        <v>566</v>
      </c>
      <c r="X31" t="s">
        <v>1676</v>
      </c>
    </row>
    <row r="32" spans="2:25">
      <c r="B32" t="s">
        <v>1648</v>
      </c>
      <c r="C32" t="s">
        <v>31</v>
      </c>
      <c r="D32" t="s">
        <v>1649</v>
      </c>
      <c r="G32">
        <v>65.900000000000006</v>
      </c>
      <c r="J32">
        <v>61.2</v>
      </c>
      <c r="M32">
        <v>51.8</v>
      </c>
      <c r="N32" t="s">
        <v>1639</v>
      </c>
    </row>
    <row r="33" spans="2:14">
      <c r="B33" t="s">
        <v>1648</v>
      </c>
      <c r="C33" t="s">
        <v>31</v>
      </c>
      <c r="D33" t="s">
        <v>1649</v>
      </c>
      <c r="G33">
        <v>4.6584000000000003</v>
      </c>
      <c r="J33">
        <v>3.9815999999999998</v>
      </c>
      <c r="M33">
        <v>3.5604</v>
      </c>
      <c r="N33" t="s">
        <v>1640</v>
      </c>
    </row>
    <row r="34" spans="2:14">
      <c r="B34" t="s">
        <v>1648</v>
      </c>
      <c r="C34" t="s">
        <v>31</v>
      </c>
      <c r="D34" t="s">
        <v>1649</v>
      </c>
      <c r="G34">
        <v>0.5</v>
      </c>
      <c r="J34">
        <v>0.52</v>
      </c>
      <c r="M34">
        <v>0.52</v>
      </c>
      <c r="N34" t="s">
        <v>115</v>
      </c>
    </row>
    <row r="35" spans="2:14">
      <c r="B35" t="s">
        <v>1648</v>
      </c>
      <c r="C35" t="s">
        <v>31</v>
      </c>
      <c r="D35" t="s">
        <v>1649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>
        <v>30</v>
      </c>
      <c r="N35" t="s">
        <v>1641</v>
      </c>
    </row>
    <row r="36" spans="2:14">
      <c r="B36" t="s">
        <v>1648</v>
      </c>
      <c r="C36" t="s">
        <v>31</v>
      </c>
      <c r="D36" t="s">
        <v>1649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 t="s">
        <v>1642</v>
      </c>
    </row>
    <row r="37" spans="2:14">
      <c r="B37" t="s">
        <v>1650</v>
      </c>
      <c r="C37" t="s">
        <v>30</v>
      </c>
      <c r="D37" t="s">
        <v>18</v>
      </c>
      <c r="G37">
        <v>564.6</v>
      </c>
      <c r="J37">
        <v>564.6</v>
      </c>
      <c r="M37">
        <v>564.6</v>
      </c>
      <c r="N37" t="s">
        <v>1638</v>
      </c>
    </row>
    <row r="38" spans="2:14">
      <c r="B38" t="s">
        <v>1650</v>
      </c>
      <c r="C38" t="s">
        <v>30</v>
      </c>
      <c r="D38" t="s">
        <v>18</v>
      </c>
      <c r="G38">
        <v>18.8</v>
      </c>
      <c r="J38">
        <v>18.8</v>
      </c>
      <c r="M38">
        <v>18.8</v>
      </c>
      <c r="N38" t="s">
        <v>1639</v>
      </c>
    </row>
    <row r="39" spans="2:14">
      <c r="B39" t="s">
        <v>1650</v>
      </c>
      <c r="C39" t="s">
        <v>30</v>
      </c>
      <c r="D39" t="s">
        <v>18</v>
      </c>
      <c r="G39">
        <v>8.4995999999999992</v>
      </c>
      <c r="J39">
        <v>8.4995999999999992</v>
      </c>
      <c r="M39">
        <v>8.4995999999999992</v>
      </c>
      <c r="N39" t="s">
        <v>1640</v>
      </c>
    </row>
    <row r="40" spans="2:14">
      <c r="B40" t="s">
        <v>1650</v>
      </c>
      <c r="C40" t="s">
        <v>30</v>
      </c>
      <c r="D40" t="s">
        <v>18</v>
      </c>
      <c r="G40">
        <v>0.37</v>
      </c>
      <c r="J40">
        <v>0.37</v>
      </c>
      <c r="M40">
        <v>0.37</v>
      </c>
      <c r="N40" t="s">
        <v>115</v>
      </c>
    </row>
    <row r="41" spans="2:14">
      <c r="B41" t="s">
        <v>1650</v>
      </c>
      <c r="C41" t="s">
        <v>30</v>
      </c>
      <c r="D41" t="s">
        <v>18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 t="s">
        <v>1641</v>
      </c>
    </row>
    <row r="42" spans="2:14">
      <c r="B42" t="s">
        <v>1650</v>
      </c>
      <c r="C42" t="s">
        <v>30</v>
      </c>
      <c r="D42" t="s">
        <v>18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 t="s">
        <v>1642</v>
      </c>
    </row>
    <row r="43" spans="2:14">
      <c r="B43" t="s">
        <v>1651</v>
      </c>
      <c r="C43" t="s">
        <v>30</v>
      </c>
      <c r="D43" t="s">
        <v>18</v>
      </c>
      <c r="G43">
        <v>658.7</v>
      </c>
      <c r="J43">
        <v>658.7</v>
      </c>
      <c r="M43">
        <v>658.7</v>
      </c>
      <c r="N43" t="s">
        <v>1638</v>
      </c>
    </row>
    <row r="44" spans="2:14">
      <c r="B44" t="s">
        <v>1651</v>
      </c>
      <c r="C44" t="s">
        <v>30</v>
      </c>
      <c r="D44" t="s">
        <v>18</v>
      </c>
      <c r="G44">
        <v>28.2</v>
      </c>
      <c r="J44">
        <v>28.2</v>
      </c>
      <c r="M44">
        <v>28.2</v>
      </c>
      <c r="N44" t="s">
        <v>1639</v>
      </c>
    </row>
    <row r="45" spans="2:14">
      <c r="B45" t="s">
        <v>1651</v>
      </c>
      <c r="C45" t="s">
        <v>30</v>
      </c>
      <c r="D45" t="s">
        <v>18</v>
      </c>
      <c r="G45">
        <v>9.18</v>
      </c>
      <c r="J45">
        <v>8.7911999999999999</v>
      </c>
      <c r="M45">
        <v>8.3412000000000006</v>
      </c>
      <c r="N45" t="s">
        <v>1640</v>
      </c>
    </row>
    <row r="46" spans="2:14">
      <c r="B46" t="s">
        <v>1651</v>
      </c>
      <c r="C46" t="s">
        <v>30</v>
      </c>
      <c r="D46" t="s">
        <v>18</v>
      </c>
      <c r="G46">
        <v>0.41</v>
      </c>
      <c r="J46">
        <v>0.41</v>
      </c>
      <c r="M46">
        <v>0.41</v>
      </c>
      <c r="N46" t="s">
        <v>115</v>
      </c>
    </row>
    <row r="47" spans="2:14">
      <c r="B47" t="s">
        <v>1651</v>
      </c>
      <c r="C47" t="s">
        <v>30</v>
      </c>
      <c r="D47" t="s">
        <v>18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>
        <v>40</v>
      </c>
      <c r="N47" t="s">
        <v>1641</v>
      </c>
    </row>
    <row r="48" spans="2:14">
      <c r="B48" t="s">
        <v>1651</v>
      </c>
      <c r="C48" t="s">
        <v>30</v>
      </c>
      <c r="D48" t="s">
        <v>18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 t="s">
        <v>1642</v>
      </c>
    </row>
    <row r="49" spans="2:14">
      <c r="B49" t="s">
        <v>1652</v>
      </c>
      <c r="C49" t="s">
        <v>30</v>
      </c>
      <c r="D49" t="s">
        <v>18</v>
      </c>
      <c r="G49">
        <v>752.8</v>
      </c>
      <c r="J49">
        <v>752.8</v>
      </c>
      <c r="M49">
        <v>752.8</v>
      </c>
      <c r="N49" t="s">
        <v>1638</v>
      </c>
    </row>
    <row r="50" spans="2:14">
      <c r="B50" t="s">
        <v>1652</v>
      </c>
      <c r="C50" t="s">
        <v>30</v>
      </c>
      <c r="D50" t="s">
        <v>18</v>
      </c>
      <c r="G50">
        <v>28.2</v>
      </c>
      <c r="J50">
        <v>28.2</v>
      </c>
      <c r="M50">
        <v>28.2</v>
      </c>
      <c r="N50" t="s">
        <v>1639</v>
      </c>
    </row>
    <row r="51" spans="2:14">
      <c r="B51" t="s">
        <v>1652</v>
      </c>
      <c r="C51" t="s">
        <v>30</v>
      </c>
      <c r="D51" t="s">
        <v>18</v>
      </c>
      <c r="G51">
        <v>9.5004000000000008</v>
      </c>
      <c r="J51">
        <v>9.5004000000000008</v>
      </c>
      <c r="M51">
        <v>9.5004000000000008</v>
      </c>
      <c r="N51" t="s">
        <v>1640</v>
      </c>
    </row>
    <row r="52" spans="2:14">
      <c r="B52" t="s">
        <v>1652</v>
      </c>
      <c r="C52" t="s">
        <v>30</v>
      </c>
      <c r="D52" t="s">
        <v>18</v>
      </c>
      <c r="G52">
        <v>0.45</v>
      </c>
      <c r="J52">
        <v>0.46</v>
      </c>
      <c r="M52">
        <v>0.47</v>
      </c>
      <c r="N52" t="s">
        <v>115</v>
      </c>
    </row>
    <row r="53" spans="2:14">
      <c r="B53" t="s">
        <v>1652</v>
      </c>
      <c r="C53" t="s">
        <v>30</v>
      </c>
      <c r="D53" t="s">
        <v>18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>
        <v>40</v>
      </c>
      <c r="N53" t="s">
        <v>1641</v>
      </c>
    </row>
    <row r="54" spans="2:14">
      <c r="B54" t="s">
        <v>1652</v>
      </c>
      <c r="C54" t="s">
        <v>30</v>
      </c>
      <c r="D54" t="s">
        <v>18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 t="s">
        <v>1642</v>
      </c>
    </row>
    <row r="55" spans="2:14">
      <c r="B55" t="s">
        <v>1653</v>
      </c>
      <c r="C55" t="s">
        <v>30</v>
      </c>
      <c r="D55" t="s">
        <v>18</v>
      </c>
      <c r="G55">
        <v>1035.0999999999999</v>
      </c>
      <c r="J55">
        <v>846.9</v>
      </c>
      <c r="M55">
        <v>846.9</v>
      </c>
      <c r="N55" t="s">
        <v>1638</v>
      </c>
    </row>
    <row r="56" spans="2:14">
      <c r="B56" t="s">
        <v>1653</v>
      </c>
      <c r="C56" t="s">
        <v>30</v>
      </c>
      <c r="D56" t="s">
        <v>18</v>
      </c>
      <c r="G56">
        <v>47</v>
      </c>
      <c r="J56">
        <v>37.6</v>
      </c>
      <c r="M56">
        <v>37.6</v>
      </c>
      <c r="N56" t="s">
        <v>1639</v>
      </c>
    </row>
    <row r="57" spans="2:14">
      <c r="B57" t="s">
        <v>1653</v>
      </c>
      <c r="C57" t="s">
        <v>30</v>
      </c>
      <c r="D57" t="s">
        <v>18</v>
      </c>
      <c r="G57">
        <v>0.45</v>
      </c>
      <c r="J57">
        <v>0.48</v>
      </c>
      <c r="M57">
        <v>0.49</v>
      </c>
      <c r="N57" t="s">
        <v>115</v>
      </c>
    </row>
    <row r="58" spans="2:14">
      <c r="B58" t="s">
        <v>1653</v>
      </c>
      <c r="C58" t="s">
        <v>30</v>
      </c>
      <c r="D58" t="s">
        <v>18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>
        <v>40</v>
      </c>
      <c r="N58" t="s">
        <v>1641</v>
      </c>
    </row>
    <row r="59" spans="2:14">
      <c r="B59" t="s">
        <v>1653</v>
      </c>
      <c r="C59" t="s">
        <v>30</v>
      </c>
      <c r="D59" t="s">
        <v>18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 t="s">
        <v>1642</v>
      </c>
    </row>
    <row r="60" spans="2:14">
      <c r="B60" t="s">
        <v>1654</v>
      </c>
      <c r="C60" t="s">
        <v>34</v>
      </c>
      <c r="D60" t="s">
        <v>18</v>
      </c>
      <c r="G60">
        <v>2634.7</v>
      </c>
      <c r="J60">
        <v>2540.6</v>
      </c>
      <c r="M60">
        <v>2352.4</v>
      </c>
      <c r="N60" t="s">
        <v>1638</v>
      </c>
    </row>
    <row r="61" spans="2:14">
      <c r="B61" t="s">
        <v>1654</v>
      </c>
      <c r="C61" t="s">
        <v>34</v>
      </c>
      <c r="D61" t="s">
        <v>18</v>
      </c>
      <c r="G61">
        <v>160</v>
      </c>
      <c r="J61">
        <v>160</v>
      </c>
      <c r="M61">
        <v>160</v>
      </c>
      <c r="N61" t="s">
        <v>1639</v>
      </c>
    </row>
    <row r="62" spans="2:14">
      <c r="B62" t="s">
        <v>1654</v>
      </c>
      <c r="C62" t="s">
        <v>34</v>
      </c>
      <c r="D62" t="s">
        <v>18</v>
      </c>
      <c r="J62">
        <v>2.8008000000000002</v>
      </c>
      <c r="M62">
        <v>2.8008000000000002</v>
      </c>
      <c r="N62" t="s">
        <v>1640</v>
      </c>
    </row>
    <row r="63" spans="2:14">
      <c r="B63" t="s">
        <v>1654</v>
      </c>
      <c r="C63" t="s">
        <v>34</v>
      </c>
      <c r="D63" t="s">
        <v>18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 t="s">
        <v>1641</v>
      </c>
    </row>
    <row r="64" spans="2:14">
      <c r="B64" t="s">
        <v>1654</v>
      </c>
      <c r="C64" t="s">
        <v>34</v>
      </c>
      <c r="D64" t="s">
        <v>18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 t="s">
        <v>1642</v>
      </c>
    </row>
    <row r="65" spans="2:14">
      <c r="B65" t="s">
        <v>1655</v>
      </c>
      <c r="C65" t="s">
        <v>34</v>
      </c>
      <c r="D65" t="s">
        <v>18</v>
      </c>
      <c r="I65">
        <v>5543.6</v>
      </c>
      <c r="J65">
        <v>4517</v>
      </c>
      <c r="K65">
        <v>3541</v>
      </c>
      <c r="L65">
        <v>3044.6</v>
      </c>
      <c r="M65">
        <v>2713.7</v>
      </c>
      <c r="N65" t="s">
        <v>1638</v>
      </c>
    </row>
    <row r="66" spans="2:14">
      <c r="B66" t="s">
        <v>1655</v>
      </c>
      <c r="C66" t="s">
        <v>34</v>
      </c>
      <c r="D66" t="s">
        <v>18</v>
      </c>
      <c r="I66">
        <v>78.099999999999994</v>
      </c>
      <c r="J66">
        <v>78.099999999999994</v>
      </c>
      <c r="K66">
        <v>75.599999999999994</v>
      </c>
      <c r="L66">
        <v>75.599999999999994</v>
      </c>
      <c r="M66">
        <v>75.599999999999994</v>
      </c>
      <c r="N66" t="s">
        <v>1639</v>
      </c>
    </row>
    <row r="67" spans="2:14">
      <c r="B67" t="s">
        <v>1655</v>
      </c>
      <c r="C67" t="s">
        <v>34</v>
      </c>
      <c r="D67" t="s">
        <v>18</v>
      </c>
      <c r="I67">
        <v>2.5992000000000002</v>
      </c>
      <c r="J67">
        <v>2.5992000000000002</v>
      </c>
      <c r="K67">
        <v>2.5992000000000002</v>
      </c>
      <c r="L67">
        <v>2.5992000000000002</v>
      </c>
      <c r="M67">
        <v>2.5992000000000002</v>
      </c>
      <c r="N67" t="s">
        <v>1640</v>
      </c>
    </row>
    <row r="68" spans="2:14">
      <c r="B68" t="s">
        <v>1655</v>
      </c>
      <c r="C68" t="s">
        <v>34</v>
      </c>
      <c r="D68" t="s">
        <v>18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>
        <v>40</v>
      </c>
      <c r="N68" t="s">
        <v>1641</v>
      </c>
    </row>
    <row r="69" spans="2:14">
      <c r="B69" t="s">
        <v>1655</v>
      </c>
      <c r="C69" t="s">
        <v>34</v>
      </c>
      <c r="D69" t="s">
        <v>18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 t="s">
        <v>1642</v>
      </c>
    </row>
    <row r="70" spans="2:14">
      <c r="B70" t="s">
        <v>1656</v>
      </c>
      <c r="C70" t="s">
        <v>29</v>
      </c>
      <c r="D70" t="s">
        <v>18</v>
      </c>
      <c r="G70">
        <v>1505.5</v>
      </c>
      <c r="J70">
        <v>1458.5</v>
      </c>
      <c r="M70">
        <v>1458.5</v>
      </c>
      <c r="N70" t="s">
        <v>1638</v>
      </c>
    </row>
    <row r="71" spans="2:14">
      <c r="B71" t="s">
        <v>1656</v>
      </c>
      <c r="C71" t="s">
        <v>29</v>
      </c>
      <c r="D71" t="s">
        <v>18</v>
      </c>
      <c r="G71">
        <v>51.8</v>
      </c>
      <c r="J71">
        <v>51.8</v>
      </c>
      <c r="M71">
        <v>51.8</v>
      </c>
      <c r="N71" t="s">
        <v>1639</v>
      </c>
    </row>
    <row r="72" spans="2:14">
      <c r="B72" t="s">
        <v>1656</v>
      </c>
      <c r="C72" t="s">
        <v>29</v>
      </c>
      <c r="D72" t="s">
        <v>18</v>
      </c>
      <c r="G72">
        <v>5.2451999999999996</v>
      </c>
      <c r="J72">
        <v>5.2451999999999996</v>
      </c>
      <c r="M72">
        <v>5.2451999999999996</v>
      </c>
      <c r="N72" t="s">
        <v>1640</v>
      </c>
    </row>
    <row r="73" spans="2:14">
      <c r="B73" t="s">
        <v>1656</v>
      </c>
      <c r="C73" t="s">
        <v>29</v>
      </c>
      <c r="D73" t="s">
        <v>18</v>
      </c>
      <c r="G73">
        <v>0.35</v>
      </c>
      <c r="J73">
        <v>0.35</v>
      </c>
      <c r="M73">
        <v>0.35</v>
      </c>
      <c r="N73" t="s">
        <v>115</v>
      </c>
    </row>
    <row r="74" spans="2:14">
      <c r="B74" t="s">
        <v>1656</v>
      </c>
      <c r="C74" t="s">
        <v>29</v>
      </c>
      <c r="D74" t="s">
        <v>18</v>
      </c>
      <c r="G74">
        <v>0.7</v>
      </c>
      <c r="J74">
        <v>0.7</v>
      </c>
      <c r="M74">
        <v>0.7</v>
      </c>
      <c r="N74" t="s">
        <v>1657</v>
      </c>
    </row>
    <row r="75" spans="2:14">
      <c r="B75" t="s">
        <v>1656</v>
      </c>
      <c r="C75" t="s">
        <v>29</v>
      </c>
      <c r="D75" t="s">
        <v>18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>
        <v>45</v>
      </c>
      <c r="N75" t="s">
        <v>1641</v>
      </c>
    </row>
    <row r="76" spans="2:14">
      <c r="B76" t="s">
        <v>1656</v>
      </c>
      <c r="C76" t="s">
        <v>29</v>
      </c>
      <c r="D76" t="s">
        <v>18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 t="s">
        <v>1642</v>
      </c>
    </row>
    <row r="77" spans="2:14">
      <c r="B77" t="s">
        <v>1658</v>
      </c>
      <c r="C77" t="s">
        <v>29</v>
      </c>
      <c r="D77" t="s">
        <v>1645</v>
      </c>
      <c r="E77">
        <v>1832.6</v>
      </c>
      <c r="I77">
        <v>1747.4</v>
      </c>
      <c r="M77">
        <v>1662.9</v>
      </c>
      <c r="N77" t="s">
        <v>1638</v>
      </c>
    </row>
    <row r="78" spans="2:14">
      <c r="B78" t="s">
        <v>1658</v>
      </c>
      <c r="C78" t="s">
        <v>29</v>
      </c>
      <c r="D78" t="s">
        <v>1645</v>
      </c>
      <c r="E78">
        <v>50.6</v>
      </c>
      <c r="I78">
        <v>46.6</v>
      </c>
      <c r="M78">
        <v>44.8</v>
      </c>
      <c r="N78" t="s">
        <v>1639</v>
      </c>
    </row>
    <row r="79" spans="2:14">
      <c r="B79" t="s">
        <v>1658</v>
      </c>
      <c r="C79" t="s">
        <v>29</v>
      </c>
      <c r="D79" t="s">
        <v>1645</v>
      </c>
      <c r="E79">
        <v>1.8</v>
      </c>
      <c r="I79">
        <v>1.8</v>
      </c>
      <c r="M79">
        <v>1.8</v>
      </c>
      <c r="N79" t="s">
        <v>1640</v>
      </c>
    </row>
    <row r="80" spans="2:14">
      <c r="B80" t="s">
        <v>1658</v>
      </c>
      <c r="C80" t="s">
        <v>29</v>
      </c>
      <c r="D80" t="s">
        <v>1645</v>
      </c>
      <c r="E80">
        <v>0.40899999999999997</v>
      </c>
      <c r="I80">
        <v>0.41</v>
      </c>
      <c r="M80">
        <v>0.39400000000000002</v>
      </c>
      <c r="N80" t="s">
        <v>115</v>
      </c>
    </row>
    <row r="81" spans="2:14">
      <c r="B81" t="s">
        <v>1658</v>
      </c>
      <c r="C81" t="s">
        <v>29</v>
      </c>
      <c r="D81" t="s">
        <v>1645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>
        <v>25</v>
      </c>
      <c r="N81" t="s">
        <v>1641</v>
      </c>
    </row>
    <row r="82" spans="2:14">
      <c r="B82" t="s">
        <v>1658</v>
      </c>
      <c r="C82" t="s">
        <v>29</v>
      </c>
      <c r="D82" t="s">
        <v>1645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 t="s">
        <v>1642</v>
      </c>
    </row>
    <row r="83" spans="2:14">
      <c r="B83" t="s">
        <v>1658</v>
      </c>
      <c r="C83" t="s">
        <v>29</v>
      </c>
      <c r="D83" t="s">
        <v>1645</v>
      </c>
      <c r="E83">
        <v>1.8237000000000001</v>
      </c>
      <c r="I83">
        <v>1.8137000000000001</v>
      </c>
      <c r="M83">
        <v>1.9169</v>
      </c>
      <c r="N83" t="s">
        <v>1646</v>
      </c>
    </row>
    <row r="84" spans="2:14">
      <c r="B84" t="s">
        <v>1658</v>
      </c>
      <c r="C84" t="s">
        <v>29</v>
      </c>
      <c r="D84" t="s">
        <v>1645</v>
      </c>
      <c r="E84">
        <v>0.14000000000000001</v>
      </c>
      <c r="I84">
        <v>0.14000000000000001</v>
      </c>
      <c r="M84">
        <v>0.13</v>
      </c>
      <c r="N84" t="s">
        <v>1647</v>
      </c>
    </row>
    <row r="85" spans="2:14">
      <c r="B85" t="s">
        <v>1659</v>
      </c>
      <c r="C85" t="s">
        <v>29</v>
      </c>
      <c r="D85" t="s">
        <v>1649</v>
      </c>
      <c r="G85">
        <v>3905</v>
      </c>
      <c r="J85">
        <v>3716.8</v>
      </c>
      <c r="M85">
        <v>3528.6</v>
      </c>
      <c r="N85" t="s">
        <v>1638</v>
      </c>
    </row>
    <row r="86" spans="2:14">
      <c r="B86" t="s">
        <v>1659</v>
      </c>
      <c r="C86" t="s">
        <v>29</v>
      </c>
      <c r="D86" t="s">
        <v>1649</v>
      </c>
      <c r="G86">
        <v>136.4</v>
      </c>
      <c r="J86">
        <v>127</v>
      </c>
      <c r="M86">
        <v>122.3</v>
      </c>
      <c r="N86" t="s">
        <v>1639</v>
      </c>
    </row>
    <row r="87" spans="2:14">
      <c r="B87" t="s">
        <v>1659</v>
      </c>
      <c r="C87" t="s">
        <v>29</v>
      </c>
      <c r="D87" t="s">
        <v>1649</v>
      </c>
      <c r="G87">
        <v>8.4995999999999992</v>
      </c>
      <c r="J87">
        <v>8.4995999999999992</v>
      </c>
      <c r="M87">
        <v>8.4995999999999992</v>
      </c>
      <c r="N87" t="s">
        <v>1640</v>
      </c>
    </row>
    <row r="88" spans="2:14">
      <c r="B88" t="s">
        <v>1659</v>
      </c>
      <c r="C88" t="s">
        <v>29</v>
      </c>
      <c r="D88" t="s">
        <v>1649</v>
      </c>
      <c r="G88">
        <v>0.3</v>
      </c>
      <c r="J88">
        <v>0.3</v>
      </c>
      <c r="M88">
        <v>0.3</v>
      </c>
      <c r="N88" t="s">
        <v>115</v>
      </c>
    </row>
    <row r="89" spans="2:14">
      <c r="B89" t="s">
        <v>1659</v>
      </c>
      <c r="C89" t="s">
        <v>29</v>
      </c>
      <c r="D89" t="s">
        <v>1649</v>
      </c>
      <c r="G89">
        <v>0.7</v>
      </c>
      <c r="J89">
        <v>0.7</v>
      </c>
      <c r="M89">
        <v>0.7</v>
      </c>
      <c r="N89" t="s">
        <v>1657</v>
      </c>
    </row>
    <row r="90" spans="2:14">
      <c r="B90" t="s">
        <v>1659</v>
      </c>
      <c r="C90" t="s">
        <v>29</v>
      </c>
      <c r="D90" t="s">
        <v>1649</v>
      </c>
      <c r="E90">
        <v>30</v>
      </c>
      <c r="F90">
        <v>30</v>
      </c>
      <c r="G90">
        <v>30</v>
      </c>
      <c r="H90">
        <v>30</v>
      </c>
      <c r="I90">
        <v>30</v>
      </c>
      <c r="J90">
        <v>30</v>
      </c>
      <c r="K90">
        <v>30</v>
      </c>
      <c r="L90">
        <v>30</v>
      </c>
      <c r="M90">
        <v>30</v>
      </c>
      <c r="N90" t="s">
        <v>1641</v>
      </c>
    </row>
    <row r="91" spans="2:14">
      <c r="B91" t="s">
        <v>1659</v>
      </c>
      <c r="C91" t="s">
        <v>29</v>
      </c>
      <c r="D91" t="s">
        <v>1649</v>
      </c>
      <c r="E91">
        <v>3</v>
      </c>
      <c r="F91">
        <v>3</v>
      </c>
      <c r="G91">
        <v>3</v>
      </c>
      <c r="H91">
        <v>3</v>
      </c>
      <c r="I91">
        <v>3</v>
      </c>
      <c r="J91">
        <v>3</v>
      </c>
      <c r="K91">
        <v>3</v>
      </c>
      <c r="L91">
        <v>3</v>
      </c>
      <c r="M91">
        <v>3</v>
      </c>
      <c r="N91" t="s">
        <v>1642</v>
      </c>
    </row>
    <row r="92" spans="2:14">
      <c r="B92" t="s">
        <v>1660</v>
      </c>
      <c r="C92" t="s">
        <v>29</v>
      </c>
      <c r="D92" t="s">
        <v>1645</v>
      </c>
      <c r="E92">
        <v>7672.8</v>
      </c>
      <c r="I92">
        <v>4906.7</v>
      </c>
      <c r="M92">
        <v>4161.7</v>
      </c>
      <c r="N92" t="s">
        <v>1638</v>
      </c>
    </row>
    <row r="93" spans="2:14">
      <c r="B93" t="s">
        <v>1660</v>
      </c>
      <c r="C93" t="s">
        <v>29</v>
      </c>
      <c r="D93" t="s">
        <v>1645</v>
      </c>
      <c r="E93">
        <v>224</v>
      </c>
      <c r="I93">
        <v>137.69999999999999</v>
      </c>
      <c r="M93">
        <v>116.1</v>
      </c>
      <c r="N93" t="s">
        <v>1639</v>
      </c>
    </row>
    <row r="94" spans="2:14">
      <c r="B94" t="s">
        <v>1660</v>
      </c>
      <c r="C94" t="s">
        <v>29</v>
      </c>
      <c r="D94" t="s">
        <v>1645</v>
      </c>
      <c r="E94">
        <v>2.52</v>
      </c>
      <c r="I94">
        <v>2.52</v>
      </c>
      <c r="M94">
        <v>2.52</v>
      </c>
      <c r="N94" t="s">
        <v>1640</v>
      </c>
    </row>
    <row r="95" spans="2:14">
      <c r="B95" t="s">
        <v>1660</v>
      </c>
      <c r="C95" t="s">
        <v>29</v>
      </c>
      <c r="D95" t="s">
        <v>1645</v>
      </c>
      <c r="E95">
        <v>0.37</v>
      </c>
      <c r="I95">
        <v>0.379</v>
      </c>
      <c r="M95">
        <v>0.38600000000000001</v>
      </c>
      <c r="N95" t="s">
        <v>115</v>
      </c>
    </row>
    <row r="96" spans="2:14">
      <c r="B96" t="s">
        <v>1660</v>
      </c>
      <c r="C96" t="s">
        <v>29</v>
      </c>
      <c r="D96" t="s">
        <v>1645</v>
      </c>
      <c r="E96">
        <v>25</v>
      </c>
      <c r="F96">
        <v>25</v>
      </c>
      <c r="G96">
        <v>25</v>
      </c>
      <c r="H96">
        <v>25</v>
      </c>
      <c r="I96">
        <v>25</v>
      </c>
      <c r="J96">
        <v>25</v>
      </c>
      <c r="K96">
        <v>25</v>
      </c>
      <c r="L96">
        <v>25</v>
      </c>
      <c r="M96">
        <v>25</v>
      </c>
      <c r="N96" t="s">
        <v>1641</v>
      </c>
    </row>
    <row r="97" spans="2:14">
      <c r="B97" t="s">
        <v>1660</v>
      </c>
      <c r="C97" t="s">
        <v>29</v>
      </c>
      <c r="D97" t="s">
        <v>1645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 t="s">
        <v>1642</v>
      </c>
    </row>
    <row r="98" spans="2:14">
      <c r="B98" t="s">
        <v>1660</v>
      </c>
      <c r="C98" t="s">
        <v>29</v>
      </c>
      <c r="D98" t="s">
        <v>1645</v>
      </c>
      <c r="E98">
        <v>1.6949000000000001</v>
      </c>
      <c r="I98">
        <v>1.6949000000000001</v>
      </c>
      <c r="M98">
        <v>1.9231</v>
      </c>
      <c r="N98" t="s">
        <v>1646</v>
      </c>
    </row>
    <row r="99" spans="2:14">
      <c r="B99" t="s">
        <v>1660</v>
      </c>
      <c r="C99" t="s">
        <v>29</v>
      </c>
      <c r="D99" t="s">
        <v>1645</v>
      </c>
      <c r="E99">
        <v>0.17</v>
      </c>
      <c r="I99">
        <v>0.17</v>
      </c>
      <c r="M99">
        <v>0.15</v>
      </c>
      <c r="N99" t="s">
        <v>1647</v>
      </c>
    </row>
    <row r="100" spans="2:14">
      <c r="B100" t="s">
        <v>1661</v>
      </c>
      <c r="C100" t="s">
        <v>31</v>
      </c>
      <c r="D100" t="s">
        <v>1645</v>
      </c>
      <c r="E100">
        <v>36.9</v>
      </c>
      <c r="I100">
        <v>30.8</v>
      </c>
      <c r="M100">
        <v>30.8</v>
      </c>
      <c r="N100" t="s">
        <v>1638</v>
      </c>
    </row>
    <row r="101" spans="2:14">
      <c r="B101" t="s">
        <v>1661</v>
      </c>
      <c r="C101" t="s">
        <v>31</v>
      </c>
      <c r="D101" t="s">
        <v>1645</v>
      </c>
      <c r="E101">
        <v>1.2</v>
      </c>
      <c r="I101">
        <v>1.2</v>
      </c>
      <c r="M101">
        <v>1</v>
      </c>
      <c r="N101" t="s">
        <v>1639</v>
      </c>
    </row>
    <row r="102" spans="2:14">
      <c r="B102" t="s">
        <v>1661</v>
      </c>
      <c r="C102" t="s">
        <v>31</v>
      </c>
      <c r="D102" t="s">
        <v>1645</v>
      </c>
      <c r="E102">
        <v>0.72</v>
      </c>
      <c r="I102">
        <v>0.72</v>
      </c>
      <c r="M102">
        <v>0.72</v>
      </c>
      <c r="N102" t="s">
        <v>1640</v>
      </c>
    </row>
    <row r="103" spans="2:14">
      <c r="B103" t="s">
        <v>1661</v>
      </c>
      <c r="C103" t="s">
        <v>31</v>
      </c>
      <c r="D103" t="s">
        <v>1645</v>
      </c>
      <c r="E103">
        <v>1.03</v>
      </c>
      <c r="I103">
        <v>1.04</v>
      </c>
      <c r="M103">
        <v>1.04</v>
      </c>
      <c r="N103" t="s">
        <v>115</v>
      </c>
    </row>
    <row r="104" spans="2:14">
      <c r="B104" t="s">
        <v>1661</v>
      </c>
      <c r="C104" t="s">
        <v>31</v>
      </c>
      <c r="D104" t="s">
        <v>1645</v>
      </c>
      <c r="E104">
        <v>25</v>
      </c>
      <c r="F104">
        <v>25</v>
      </c>
      <c r="G104">
        <v>25</v>
      </c>
      <c r="H104">
        <v>25</v>
      </c>
      <c r="I104">
        <v>25</v>
      </c>
      <c r="J104">
        <v>25</v>
      </c>
      <c r="K104">
        <v>25</v>
      </c>
      <c r="L104">
        <v>25</v>
      </c>
      <c r="M104">
        <v>25</v>
      </c>
      <c r="N104" t="s">
        <v>1641</v>
      </c>
    </row>
    <row r="105" spans="2:14">
      <c r="B105" t="s">
        <v>1661</v>
      </c>
      <c r="C105" t="s">
        <v>31</v>
      </c>
      <c r="D105" t="s">
        <v>1645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 t="s">
        <v>1642</v>
      </c>
    </row>
    <row r="106" spans="2:14">
      <c r="B106" t="s">
        <v>1662</v>
      </c>
      <c r="C106" t="s">
        <v>29</v>
      </c>
      <c r="D106" t="s">
        <v>1645</v>
      </c>
      <c r="E106">
        <v>322.5</v>
      </c>
      <c r="I106">
        <v>305.8</v>
      </c>
      <c r="M106">
        <v>289.2</v>
      </c>
      <c r="N106" t="s">
        <v>1638</v>
      </c>
    </row>
    <row r="107" spans="2:14">
      <c r="B107" t="s">
        <v>1662</v>
      </c>
      <c r="C107" t="s">
        <v>29</v>
      </c>
      <c r="D107" t="s">
        <v>1645</v>
      </c>
      <c r="E107">
        <v>25.4</v>
      </c>
      <c r="I107">
        <v>24.2</v>
      </c>
      <c r="M107">
        <v>22.7</v>
      </c>
      <c r="N107" t="s">
        <v>1639</v>
      </c>
    </row>
    <row r="108" spans="2:14">
      <c r="B108" t="s">
        <v>1662</v>
      </c>
      <c r="C108" t="s">
        <v>29</v>
      </c>
      <c r="D108" t="s">
        <v>1645</v>
      </c>
      <c r="E108">
        <v>0.72</v>
      </c>
      <c r="I108">
        <v>0.72</v>
      </c>
      <c r="M108">
        <v>0.72</v>
      </c>
      <c r="N108" t="s">
        <v>1640</v>
      </c>
    </row>
    <row r="109" spans="2:14">
      <c r="B109" t="s">
        <v>1662</v>
      </c>
      <c r="C109" t="s">
        <v>29</v>
      </c>
      <c r="D109" t="s">
        <v>1645</v>
      </c>
      <c r="E109">
        <v>1.149</v>
      </c>
      <c r="I109">
        <v>1.149</v>
      </c>
      <c r="M109">
        <v>1.149</v>
      </c>
      <c r="N109" t="s">
        <v>115</v>
      </c>
    </row>
    <row r="110" spans="2:14">
      <c r="B110" t="s">
        <v>1662</v>
      </c>
      <c r="C110" t="s">
        <v>29</v>
      </c>
      <c r="D110" t="s">
        <v>1645</v>
      </c>
      <c r="E110">
        <v>25</v>
      </c>
      <c r="F110">
        <v>25</v>
      </c>
      <c r="G110">
        <v>25</v>
      </c>
      <c r="H110">
        <v>25</v>
      </c>
      <c r="I110">
        <v>25</v>
      </c>
      <c r="J110">
        <v>25</v>
      </c>
      <c r="K110">
        <v>25</v>
      </c>
      <c r="L110">
        <v>25</v>
      </c>
      <c r="M110">
        <v>25</v>
      </c>
      <c r="N110" t="s">
        <v>1641</v>
      </c>
    </row>
    <row r="111" spans="2:14">
      <c r="B111" t="s">
        <v>1662</v>
      </c>
      <c r="C111" t="s">
        <v>29</v>
      </c>
      <c r="D111" t="s">
        <v>1645</v>
      </c>
      <c r="E111">
        <v>3</v>
      </c>
      <c r="F111">
        <v>3</v>
      </c>
      <c r="G111">
        <v>3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3</v>
      </c>
      <c r="N111" t="s">
        <v>1642</v>
      </c>
    </row>
    <row r="112" spans="2:14">
      <c r="B112" t="s">
        <v>1663</v>
      </c>
      <c r="D112" t="s">
        <v>1645</v>
      </c>
      <c r="H112">
        <v>72.400000000000006</v>
      </c>
      <c r="I112">
        <v>72.400000000000006</v>
      </c>
      <c r="J112">
        <v>72.400000000000006</v>
      </c>
      <c r="K112">
        <v>72.400000000000006</v>
      </c>
      <c r="M112">
        <v>72.400000000000006</v>
      </c>
      <c r="N112" t="s">
        <v>1638</v>
      </c>
    </row>
    <row r="113" spans="2:14">
      <c r="B113" t="s">
        <v>1663</v>
      </c>
      <c r="D113" t="s">
        <v>1645</v>
      </c>
      <c r="H113">
        <v>1.2</v>
      </c>
      <c r="I113">
        <v>1.2</v>
      </c>
      <c r="J113">
        <v>1.2</v>
      </c>
      <c r="K113">
        <v>1.2</v>
      </c>
      <c r="M113">
        <v>1.2</v>
      </c>
      <c r="N113" t="s">
        <v>1639</v>
      </c>
    </row>
    <row r="114" spans="2:14">
      <c r="B114" t="s">
        <v>1663</v>
      </c>
      <c r="D114" t="s">
        <v>1645</v>
      </c>
      <c r="H114">
        <v>0.72</v>
      </c>
      <c r="I114">
        <v>0.72</v>
      </c>
      <c r="J114">
        <v>0.72</v>
      </c>
      <c r="K114">
        <v>0.72</v>
      </c>
      <c r="M114">
        <v>0.72</v>
      </c>
      <c r="N114" t="s">
        <v>1640</v>
      </c>
    </row>
    <row r="115" spans="2:14">
      <c r="B115" t="s">
        <v>1663</v>
      </c>
      <c r="D115" t="s">
        <v>1645</v>
      </c>
      <c r="H115">
        <v>0.99</v>
      </c>
      <c r="I115">
        <v>0.99</v>
      </c>
      <c r="J115">
        <v>0.99</v>
      </c>
      <c r="K115">
        <v>0.99</v>
      </c>
      <c r="M115">
        <v>0.99</v>
      </c>
      <c r="N115" t="s">
        <v>115</v>
      </c>
    </row>
    <row r="116" spans="2:14">
      <c r="B116" t="s">
        <v>1663</v>
      </c>
      <c r="D116" t="s">
        <v>1645</v>
      </c>
      <c r="E116">
        <v>20</v>
      </c>
      <c r="F116">
        <v>20</v>
      </c>
      <c r="G116">
        <v>20</v>
      </c>
      <c r="H116">
        <v>20</v>
      </c>
      <c r="I116">
        <v>20</v>
      </c>
      <c r="J116">
        <v>20</v>
      </c>
      <c r="K116">
        <v>20</v>
      </c>
      <c r="L116">
        <v>20</v>
      </c>
      <c r="M116">
        <v>20</v>
      </c>
      <c r="N116" t="s">
        <v>1641</v>
      </c>
    </row>
    <row r="117" spans="2:14">
      <c r="B117" t="s">
        <v>1663</v>
      </c>
      <c r="D117" t="s">
        <v>1645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 t="s">
        <v>1642</v>
      </c>
    </row>
    <row r="118" spans="2:14">
      <c r="B118" t="s">
        <v>1664</v>
      </c>
      <c r="D118" t="s">
        <v>1645</v>
      </c>
      <c r="H118">
        <v>1054.7</v>
      </c>
      <c r="I118">
        <v>1028.3</v>
      </c>
      <c r="J118">
        <v>1002</v>
      </c>
      <c r="K118">
        <v>976.9</v>
      </c>
      <c r="M118">
        <v>951.9</v>
      </c>
      <c r="N118" t="s">
        <v>1638</v>
      </c>
    </row>
    <row r="119" spans="2:14">
      <c r="B119" t="s">
        <v>1664</v>
      </c>
      <c r="D119" t="s">
        <v>1645</v>
      </c>
      <c r="H119">
        <v>2.2000000000000002</v>
      </c>
      <c r="I119">
        <v>2.1</v>
      </c>
      <c r="J119">
        <v>2.1</v>
      </c>
      <c r="K119">
        <v>2</v>
      </c>
      <c r="M119">
        <v>2</v>
      </c>
      <c r="N119" t="s">
        <v>1639</v>
      </c>
    </row>
    <row r="120" spans="2:14">
      <c r="B120" t="s">
        <v>1664</v>
      </c>
      <c r="D120" t="s">
        <v>1645</v>
      </c>
      <c r="H120">
        <v>0.72</v>
      </c>
      <c r="I120">
        <v>0.72</v>
      </c>
      <c r="J120">
        <v>0.72</v>
      </c>
      <c r="K120">
        <v>0.72</v>
      </c>
      <c r="M120">
        <v>0.72</v>
      </c>
      <c r="N120" t="s">
        <v>1640</v>
      </c>
    </row>
    <row r="121" spans="2:14">
      <c r="B121" t="s">
        <v>1664</v>
      </c>
      <c r="D121" t="s">
        <v>1645</v>
      </c>
      <c r="H121">
        <v>2.8</v>
      </c>
      <c r="I121">
        <v>2.8</v>
      </c>
      <c r="J121">
        <v>2.8</v>
      </c>
      <c r="K121">
        <v>2.8</v>
      </c>
      <c r="M121">
        <v>2.9169999999999998</v>
      </c>
      <c r="N121" t="s">
        <v>115</v>
      </c>
    </row>
    <row r="122" spans="2:14">
      <c r="B122" t="s">
        <v>1664</v>
      </c>
      <c r="D122" t="s">
        <v>1645</v>
      </c>
      <c r="E122">
        <v>25</v>
      </c>
      <c r="F122">
        <v>25</v>
      </c>
      <c r="G122">
        <v>25</v>
      </c>
      <c r="H122">
        <v>25</v>
      </c>
      <c r="I122">
        <v>25</v>
      </c>
      <c r="J122">
        <v>25</v>
      </c>
      <c r="K122">
        <v>25</v>
      </c>
      <c r="L122">
        <v>25</v>
      </c>
      <c r="M122">
        <v>25</v>
      </c>
      <c r="N122" t="s">
        <v>1641</v>
      </c>
    </row>
    <row r="123" spans="2:14">
      <c r="B123" t="s">
        <v>1664</v>
      </c>
      <c r="D123" t="s">
        <v>1645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 t="s">
        <v>1642</v>
      </c>
    </row>
    <row r="124" spans="2:14">
      <c r="B124" t="s">
        <v>1665</v>
      </c>
      <c r="F124">
        <v>2100.8000000000002</v>
      </c>
      <c r="H124">
        <v>1390.7</v>
      </c>
      <c r="I124">
        <v>1117.5999999999999</v>
      </c>
      <c r="J124">
        <v>1028.7</v>
      </c>
      <c r="K124">
        <v>939.8</v>
      </c>
      <c r="L124">
        <v>850.9</v>
      </c>
      <c r="M124">
        <v>762</v>
      </c>
      <c r="N124" t="s">
        <v>1638</v>
      </c>
    </row>
    <row r="125" spans="2:14">
      <c r="B125" t="s">
        <v>1665</v>
      </c>
      <c r="F125">
        <v>48.2</v>
      </c>
      <c r="H125">
        <v>31</v>
      </c>
      <c r="I125">
        <v>24.5</v>
      </c>
      <c r="J125">
        <v>22.3</v>
      </c>
      <c r="K125">
        <v>20.2</v>
      </c>
      <c r="L125">
        <v>18</v>
      </c>
      <c r="M125">
        <v>15.9</v>
      </c>
      <c r="N125" t="s">
        <v>1639</v>
      </c>
    </row>
    <row r="126" spans="2:14">
      <c r="B126" t="s">
        <v>1665</v>
      </c>
      <c r="F126">
        <v>0.50039999999999996</v>
      </c>
      <c r="H126">
        <v>0.50039999999999996</v>
      </c>
      <c r="I126">
        <v>0.50039999999999996</v>
      </c>
      <c r="J126">
        <v>0.50039999999999996</v>
      </c>
      <c r="K126">
        <v>0.50039999999999996</v>
      </c>
      <c r="L126">
        <v>0.50039999999999996</v>
      </c>
      <c r="M126">
        <v>0.50039999999999996</v>
      </c>
      <c r="N126" t="s">
        <v>1640</v>
      </c>
    </row>
    <row r="127" spans="2:14">
      <c r="B127" t="s">
        <v>1665</v>
      </c>
      <c r="F127">
        <v>0.86</v>
      </c>
      <c r="H127">
        <v>0.86</v>
      </c>
      <c r="I127">
        <v>0.86</v>
      </c>
      <c r="J127">
        <v>0.86</v>
      </c>
      <c r="K127">
        <v>0.86</v>
      </c>
      <c r="L127">
        <v>0.86</v>
      </c>
      <c r="M127">
        <v>0.86</v>
      </c>
      <c r="N127" t="s">
        <v>1666</v>
      </c>
    </row>
    <row r="128" spans="2:14">
      <c r="B128" t="s">
        <v>1665</v>
      </c>
      <c r="E128">
        <v>20</v>
      </c>
      <c r="F128">
        <v>20</v>
      </c>
      <c r="G128">
        <v>20</v>
      </c>
      <c r="H128">
        <v>20</v>
      </c>
      <c r="I128">
        <v>20</v>
      </c>
      <c r="J128">
        <v>20</v>
      </c>
      <c r="K128">
        <v>20</v>
      </c>
      <c r="L128">
        <v>20</v>
      </c>
      <c r="M128">
        <v>20</v>
      </c>
      <c r="N128" t="s">
        <v>1641</v>
      </c>
    </row>
    <row r="129" spans="2:16">
      <c r="B129" t="s">
        <v>1665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 t="s">
        <v>1642</v>
      </c>
    </row>
    <row r="130" spans="2:16">
      <c r="B130" t="s">
        <v>1665</v>
      </c>
      <c r="E130">
        <v>0.16666700000000001</v>
      </c>
      <c r="F130">
        <v>0.16666700000000001</v>
      </c>
      <c r="G130">
        <v>0.16666700000000001</v>
      </c>
      <c r="H130">
        <v>0.16666700000000001</v>
      </c>
      <c r="I130">
        <v>0.16666700000000001</v>
      </c>
      <c r="J130">
        <v>0.16666700000000001</v>
      </c>
      <c r="K130">
        <v>0.16666700000000001</v>
      </c>
      <c r="L130">
        <v>0.16666700000000001</v>
      </c>
      <c r="M130">
        <v>0.16666700000000001</v>
      </c>
      <c r="N130" t="s">
        <v>1667</v>
      </c>
      <c r="O130" t="s">
        <v>54</v>
      </c>
      <c r="P130" t="s">
        <v>14</v>
      </c>
    </row>
    <row r="131" spans="2:16">
      <c r="B131" t="s">
        <v>1665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 t="s">
        <v>1667</v>
      </c>
      <c r="O131" t="s">
        <v>24</v>
      </c>
      <c r="P131" t="s">
        <v>14</v>
      </c>
    </row>
    <row r="132" spans="2:16">
      <c r="B132" t="s">
        <v>1665</v>
      </c>
      <c r="E132">
        <v>8.76</v>
      </c>
      <c r="F132">
        <v>8.76</v>
      </c>
      <c r="G132">
        <v>8.76</v>
      </c>
      <c r="H132">
        <v>8.76</v>
      </c>
      <c r="I132">
        <v>8.76</v>
      </c>
      <c r="J132">
        <v>8.76</v>
      </c>
      <c r="K132">
        <v>8.76</v>
      </c>
      <c r="L132">
        <v>8.76</v>
      </c>
      <c r="M132">
        <v>8.76</v>
      </c>
      <c r="N132" t="s">
        <v>1668</v>
      </c>
    </row>
    <row r="133" spans="2:16">
      <c r="B133" t="s">
        <v>1665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 t="s">
        <v>1669</v>
      </c>
      <c r="P133" t="s">
        <v>1670</v>
      </c>
    </row>
    <row r="134" spans="2:16">
      <c r="B134" t="s">
        <v>1671</v>
      </c>
      <c r="F134">
        <v>3721.6</v>
      </c>
      <c r="H134">
        <v>2436.3000000000002</v>
      </c>
      <c r="I134">
        <v>1940.6</v>
      </c>
      <c r="J134">
        <v>1780.6</v>
      </c>
      <c r="K134">
        <v>1617.6</v>
      </c>
      <c r="L134">
        <v>1457.5</v>
      </c>
      <c r="M134">
        <v>1297.5</v>
      </c>
      <c r="N134" t="s">
        <v>1638</v>
      </c>
    </row>
    <row r="135" spans="2:16">
      <c r="B135" t="s">
        <v>1671</v>
      </c>
      <c r="F135">
        <v>87.3</v>
      </c>
      <c r="H135">
        <v>56.3</v>
      </c>
      <c r="I135">
        <v>44.3</v>
      </c>
      <c r="J135">
        <v>40.4</v>
      </c>
      <c r="K135">
        <v>36.5</v>
      </c>
      <c r="L135">
        <v>32.700000000000003</v>
      </c>
      <c r="M135">
        <v>28.8</v>
      </c>
      <c r="N135" t="s">
        <v>1639</v>
      </c>
    </row>
    <row r="136" spans="2:16">
      <c r="B136" t="s">
        <v>1671</v>
      </c>
      <c r="F136">
        <v>0.50039999999999996</v>
      </c>
      <c r="H136">
        <v>0.50039999999999996</v>
      </c>
      <c r="I136">
        <v>0.50039999999999996</v>
      </c>
      <c r="J136">
        <v>0.50039999999999996</v>
      </c>
      <c r="K136">
        <v>0.50039999999999996</v>
      </c>
      <c r="L136">
        <v>0.50039999999999996</v>
      </c>
      <c r="M136">
        <v>0.50039999999999996</v>
      </c>
      <c r="N136" t="s">
        <v>1640</v>
      </c>
    </row>
    <row r="137" spans="2:16">
      <c r="B137" t="s">
        <v>1671</v>
      </c>
      <c r="F137">
        <v>0.86</v>
      </c>
      <c r="H137">
        <v>0.86</v>
      </c>
      <c r="I137">
        <v>0.86</v>
      </c>
      <c r="J137">
        <v>0.86</v>
      </c>
      <c r="K137">
        <v>0.86</v>
      </c>
      <c r="L137">
        <v>0.86</v>
      </c>
      <c r="M137">
        <v>0.86</v>
      </c>
      <c r="N137" t="s">
        <v>1666</v>
      </c>
    </row>
    <row r="138" spans="2:16">
      <c r="B138" t="s">
        <v>1671</v>
      </c>
      <c r="E138">
        <v>20</v>
      </c>
      <c r="F138">
        <v>20</v>
      </c>
      <c r="G138">
        <v>20</v>
      </c>
      <c r="H138">
        <v>20</v>
      </c>
      <c r="I138">
        <v>20</v>
      </c>
      <c r="J138">
        <v>20</v>
      </c>
      <c r="K138">
        <v>20</v>
      </c>
      <c r="L138">
        <v>20</v>
      </c>
      <c r="M138">
        <v>20</v>
      </c>
      <c r="N138" t="s">
        <v>1641</v>
      </c>
    </row>
    <row r="139" spans="2:16">
      <c r="B139" t="s">
        <v>1671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 t="s">
        <v>1642</v>
      </c>
    </row>
    <row r="140" spans="2:16">
      <c r="B140" t="s">
        <v>1671</v>
      </c>
      <c r="E140">
        <v>0.33333299999999999</v>
      </c>
      <c r="F140">
        <v>0.33333299999999999</v>
      </c>
      <c r="G140">
        <v>0.33333299999999999</v>
      </c>
      <c r="H140">
        <v>0.33333299999999999</v>
      </c>
      <c r="I140">
        <v>0.33333299999999999</v>
      </c>
      <c r="J140">
        <v>0.33333299999999999</v>
      </c>
      <c r="K140">
        <v>0.33333299999999999</v>
      </c>
      <c r="L140">
        <v>0.33333299999999999</v>
      </c>
      <c r="M140">
        <v>0.33333299999999999</v>
      </c>
      <c r="N140" t="s">
        <v>1667</v>
      </c>
      <c r="O140" t="s">
        <v>54</v>
      </c>
      <c r="P140" t="s">
        <v>14</v>
      </c>
    </row>
    <row r="141" spans="2:16">
      <c r="B141" t="s">
        <v>1671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 t="s">
        <v>1667</v>
      </c>
      <c r="O141" t="s">
        <v>24</v>
      </c>
      <c r="P141" t="s">
        <v>14</v>
      </c>
    </row>
    <row r="142" spans="2:16">
      <c r="B142" t="s">
        <v>1671</v>
      </c>
      <c r="E142">
        <v>8.76</v>
      </c>
      <c r="F142">
        <v>8.76</v>
      </c>
      <c r="G142">
        <v>8.76</v>
      </c>
      <c r="H142">
        <v>8.76</v>
      </c>
      <c r="I142">
        <v>8.76</v>
      </c>
      <c r="J142">
        <v>8.76</v>
      </c>
      <c r="K142">
        <v>8.76</v>
      </c>
      <c r="L142">
        <v>8.76</v>
      </c>
      <c r="M142">
        <v>8.76</v>
      </c>
      <c r="N142" t="s">
        <v>1668</v>
      </c>
    </row>
    <row r="143" spans="2:16">
      <c r="B143" t="s">
        <v>1671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 t="s">
        <v>1669</v>
      </c>
      <c r="P143" t="s">
        <v>1670</v>
      </c>
    </row>
    <row r="144" spans="2:16">
      <c r="B144" t="s">
        <v>1672</v>
      </c>
      <c r="C144" t="s">
        <v>31</v>
      </c>
      <c r="D144" t="s">
        <v>1673</v>
      </c>
      <c r="E144">
        <v>0.52</v>
      </c>
      <c r="F144">
        <v>0.52</v>
      </c>
      <c r="G144">
        <v>0.52</v>
      </c>
      <c r="H144">
        <v>0.52</v>
      </c>
      <c r="I144">
        <v>0.52</v>
      </c>
      <c r="J144">
        <v>0.52</v>
      </c>
      <c r="K144">
        <v>0.52</v>
      </c>
      <c r="L144">
        <v>0.52</v>
      </c>
      <c r="M144">
        <v>0.52</v>
      </c>
      <c r="N144" t="s">
        <v>115</v>
      </c>
    </row>
    <row r="145" spans="2:14">
      <c r="B145" t="s">
        <v>1672</v>
      </c>
      <c r="C145" t="s">
        <v>31</v>
      </c>
      <c r="D145" t="s">
        <v>1673</v>
      </c>
      <c r="E145">
        <v>2917</v>
      </c>
      <c r="F145">
        <v>2917</v>
      </c>
      <c r="G145">
        <v>2917</v>
      </c>
      <c r="H145">
        <v>2917</v>
      </c>
      <c r="I145">
        <v>2917</v>
      </c>
      <c r="J145">
        <v>2917</v>
      </c>
      <c r="K145">
        <v>2917</v>
      </c>
      <c r="L145">
        <v>2917</v>
      </c>
      <c r="M145">
        <v>2917</v>
      </c>
      <c r="N145" t="s">
        <v>1638</v>
      </c>
    </row>
    <row r="146" spans="2:14">
      <c r="B146" t="s">
        <v>1672</v>
      </c>
      <c r="C146" t="s">
        <v>31</v>
      </c>
      <c r="D146" t="s">
        <v>1673</v>
      </c>
      <c r="E146">
        <v>70.599999999999994</v>
      </c>
      <c r="F146">
        <v>70.599999999999994</v>
      </c>
      <c r="G146">
        <v>70.599999999999994</v>
      </c>
      <c r="H146">
        <v>70.599999999999994</v>
      </c>
      <c r="I146">
        <v>70.599999999999994</v>
      </c>
      <c r="J146">
        <v>70.599999999999994</v>
      </c>
      <c r="K146">
        <v>70.599999999999994</v>
      </c>
      <c r="L146">
        <v>70.599999999999994</v>
      </c>
      <c r="M146">
        <v>70.599999999999994</v>
      </c>
      <c r="N146" t="s">
        <v>1639</v>
      </c>
    </row>
    <row r="147" spans="2:14">
      <c r="B147" t="s">
        <v>1672</v>
      </c>
      <c r="C147" t="s">
        <v>31</v>
      </c>
      <c r="D147" t="s">
        <v>1673</v>
      </c>
      <c r="E147">
        <v>4.68</v>
      </c>
      <c r="F147">
        <v>4.68</v>
      </c>
      <c r="G147">
        <v>4.68</v>
      </c>
      <c r="H147">
        <v>4.68</v>
      </c>
      <c r="I147">
        <v>4.68</v>
      </c>
      <c r="J147">
        <v>4.68</v>
      </c>
      <c r="K147">
        <v>4.68</v>
      </c>
      <c r="L147">
        <v>4.68</v>
      </c>
      <c r="M147">
        <v>4.68</v>
      </c>
      <c r="N147" t="s">
        <v>1640</v>
      </c>
    </row>
    <row r="148" spans="2:14">
      <c r="B148" t="s">
        <v>1672</v>
      </c>
      <c r="C148" t="s">
        <v>31</v>
      </c>
      <c r="D148" t="s">
        <v>1673</v>
      </c>
      <c r="E148">
        <v>0.55559999999999998</v>
      </c>
      <c r="F148">
        <v>0.55559999999999998</v>
      </c>
      <c r="G148">
        <v>0.55559999999999998</v>
      </c>
      <c r="H148">
        <v>0.55559999999999998</v>
      </c>
      <c r="I148">
        <v>0.55559999999999998</v>
      </c>
      <c r="J148">
        <v>0.55559999999999998</v>
      </c>
      <c r="K148">
        <v>0.55559999999999998</v>
      </c>
      <c r="L148">
        <v>0.55559999999999998</v>
      </c>
      <c r="M148">
        <v>0.55559999999999998</v>
      </c>
      <c r="N148" t="s">
        <v>1646</v>
      </c>
    </row>
    <row r="149" spans="2:14">
      <c r="B149" t="s">
        <v>1672</v>
      </c>
      <c r="C149" t="s">
        <v>31</v>
      </c>
      <c r="D149" t="s">
        <v>1673</v>
      </c>
      <c r="E149">
        <v>0.15</v>
      </c>
      <c r="F149">
        <v>0.15</v>
      </c>
      <c r="G149">
        <v>0.15</v>
      </c>
      <c r="H149">
        <v>0.15</v>
      </c>
      <c r="I149">
        <v>0.15</v>
      </c>
      <c r="J149">
        <v>0.15</v>
      </c>
      <c r="K149">
        <v>0.15</v>
      </c>
      <c r="L149">
        <v>0.15</v>
      </c>
      <c r="M149">
        <v>0.15</v>
      </c>
      <c r="N149" t="s">
        <v>1647</v>
      </c>
    </row>
    <row r="150" spans="2:14">
      <c r="B150" t="s">
        <v>1672</v>
      </c>
      <c r="C150" t="s">
        <v>31</v>
      </c>
      <c r="D150" t="s">
        <v>1673</v>
      </c>
      <c r="E150">
        <v>25</v>
      </c>
      <c r="F150">
        <v>25</v>
      </c>
      <c r="G150">
        <v>25</v>
      </c>
      <c r="H150">
        <v>25</v>
      </c>
      <c r="I150">
        <v>25</v>
      </c>
      <c r="J150">
        <v>25</v>
      </c>
      <c r="K150">
        <v>25</v>
      </c>
      <c r="L150">
        <v>25</v>
      </c>
      <c r="M150">
        <v>25</v>
      </c>
      <c r="N150" t="s">
        <v>1641</v>
      </c>
    </row>
    <row r="151" spans="2:14">
      <c r="B151" t="s">
        <v>1672</v>
      </c>
      <c r="C151" t="s">
        <v>31</v>
      </c>
      <c r="D151" t="s">
        <v>1673</v>
      </c>
      <c r="E151">
        <v>4</v>
      </c>
      <c r="F151">
        <v>4</v>
      </c>
      <c r="G151">
        <v>4</v>
      </c>
      <c r="H151">
        <v>4</v>
      </c>
      <c r="I151">
        <v>4</v>
      </c>
      <c r="J151">
        <v>4</v>
      </c>
      <c r="K151">
        <v>4</v>
      </c>
      <c r="L151">
        <v>4</v>
      </c>
      <c r="M151">
        <v>4</v>
      </c>
      <c r="N151" t="s">
        <v>1642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80AB0-DAC3-4AD5-88C3-50C80AF4630D}">
  <dimension ref="B9:T192"/>
  <sheetViews>
    <sheetView tabSelected="1" workbookViewId="0"/>
  </sheetViews>
  <sheetFormatPr defaultRowHeight="14.25"/>
  <sheetData>
    <row r="9" spans="2:20">
      <c r="B9" t="s">
        <v>138</v>
      </c>
      <c r="K9" t="s">
        <v>421</v>
      </c>
    </row>
    <row r="10" spans="2:20">
      <c r="B10" t="s">
        <v>139</v>
      </c>
      <c r="C10" t="s">
        <v>140</v>
      </c>
      <c r="D10" t="s">
        <v>1701</v>
      </c>
      <c r="E10" t="s">
        <v>141</v>
      </c>
      <c r="F10" t="s">
        <v>142</v>
      </c>
      <c r="G10" t="s">
        <v>143</v>
      </c>
      <c r="H10" t="s">
        <v>144</v>
      </c>
      <c r="I10" t="s">
        <v>145</v>
      </c>
      <c r="K10" t="s">
        <v>140</v>
      </c>
      <c r="L10" t="s">
        <v>1701</v>
      </c>
      <c r="M10" t="s">
        <v>422</v>
      </c>
      <c r="N10" t="s">
        <v>2065</v>
      </c>
      <c r="O10" t="s">
        <v>52</v>
      </c>
      <c r="P10" t="s">
        <v>2066</v>
      </c>
      <c r="Q10" t="s">
        <v>2067</v>
      </c>
      <c r="R10" t="s">
        <v>1640</v>
      </c>
      <c r="S10" t="s">
        <v>837</v>
      </c>
      <c r="T10" t="s">
        <v>1635</v>
      </c>
    </row>
    <row r="11" spans="2:20">
      <c r="B11" t="s">
        <v>562</v>
      </c>
      <c r="C11" t="s">
        <v>1702</v>
      </c>
      <c r="D11" t="s">
        <v>1703</v>
      </c>
      <c r="E11" t="s">
        <v>1704</v>
      </c>
      <c r="F11" t="s">
        <v>1705</v>
      </c>
      <c r="G11" t="s">
        <v>1705</v>
      </c>
      <c r="H11" t="s">
        <v>149</v>
      </c>
      <c r="I11" t="s">
        <v>150</v>
      </c>
      <c r="K11" t="s">
        <v>1702</v>
      </c>
      <c r="L11" t="s">
        <v>1703</v>
      </c>
      <c r="M11" t="s">
        <v>2068</v>
      </c>
      <c r="N11">
        <v>46858.3</v>
      </c>
      <c r="O11">
        <v>50</v>
      </c>
      <c r="P11">
        <v>1</v>
      </c>
      <c r="Q11">
        <v>1</v>
      </c>
      <c r="R11">
        <v>0.08</v>
      </c>
      <c r="T11" t="s">
        <v>2069</v>
      </c>
    </row>
    <row r="12" spans="2:20">
      <c r="B12" t="s">
        <v>562</v>
      </c>
      <c r="C12" t="s">
        <v>1706</v>
      </c>
      <c r="D12" t="s">
        <v>1703</v>
      </c>
      <c r="E12" t="s">
        <v>1707</v>
      </c>
      <c r="F12" t="s">
        <v>1705</v>
      </c>
      <c r="G12" t="s">
        <v>1705</v>
      </c>
      <c r="H12" t="s">
        <v>149</v>
      </c>
      <c r="I12" t="s">
        <v>150</v>
      </c>
      <c r="K12" t="s">
        <v>1706</v>
      </c>
      <c r="L12" t="s">
        <v>1703</v>
      </c>
      <c r="M12" t="s">
        <v>2070</v>
      </c>
      <c r="N12">
        <v>14237.499999999998</v>
      </c>
      <c r="O12">
        <v>50</v>
      </c>
      <c r="P12">
        <v>1</v>
      </c>
      <c r="Q12">
        <v>1</v>
      </c>
      <c r="R12">
        <v>0.08</v>
      </c>
      <c r="T12" t="s">
        <v>2069</v>
      </c>
    </row>
    <row r="13" spans="2:20">
      <c r="B13" t="s">
        <v>562</v>
      </c>
      <c r="C13" t="s">
        <v>1708</v>
      </c>
      <c r="D13" t="s">
        <v>1703</v>
      </c>
      <c r="E13" t="s">
        <v>1709</v>
      </c>
      <c r="F13" t="s">
        <v>1705</v>
      </c>
      <c r="G13" t="s">
        <v>1705</v>
      </c>
      <c r="H13" t="s">
        <v>149</v>
      </c>
      <c r="I13" t="s">
        <v>150</v>
      </c>
      <c r="K13" t="s">
        <v>1708</v>
      </c>
      <c r="L13" t="s">
        <v>1703</v>
      </c>
      <c r="M13" t="s">
        <v>2071</v>
      </c>
      <c r="N13">
        <v>50902.9</v>
      </c>
      <c r="O13">
        <v>50</v>
      </c>
      <c r="P13">
        <v>1</v>
      </c>
      <c r="Q13">
        <v>1</v>
      </c>
      <c r="R13">
        <v>0.08</v>
      </c>
      <c r="T13" t="s">
        <v>2069</v>
      </c>
    </row>
    <row r="14" spans="2:20">
      <c r="B14" t="s">
        <v>562</v>
      </c>
      <c r="C14" t="s">
        <v>1710</v>
      </c>
      <c r="D14" t="s">
        <v>1703</v>
      </c>
      <c r="E14" t="s">
        <v>1711</v>
      </c>
      <c r="F14" t="s">
        <v>1705</v>
      </c>
      <c r="G14" t="s">
        <v>1705</v>
      </c>
      <c r="H14" t="s">
        <v>149</v>
      </c>
      <c r="I14" t="s">
        <v>150</v>
      </c>
      <c r="K14" t="s">
        <v>1710</v>
      </c>
      <c r="L14" t="s">
        <v>1703</v>
      </c>
      <c r="M14" t="s">
        <v>2072</v>
      </c>
      <c r="N14">
        <v>3017.5</v>
      </c>
      <c r="O14">
        <v>50</v>
      </c>
      <c r="P14">
        <v>1</v>
      </c>
      <c r="Q14">
        <v>1</v>
      </c>
      <c r="R14">
        <v>0.08</v>
      </c>
      <c r="T14" t="s">
        <v>2069</v>
      </c>
    </row>
    <row r="15" spans="2:20">
      <c r="B15" t="s">
        <v>562</v>
      </c>
      <c r="C15" t="s">
        <v>1712</v>
      </c>
      <c r="D15" t="s">
        <v>1703</v>
      </c>
      <c r="E15" t="s">
        <v>1713</v>
      </c>
      <c r="F15" t="s">
        <v>1705</v>
      </c>
      <c r="G15" t="s">
        <v>1705</v>
      </c>
      <c r="H15" t="s">
        <v>149</v>
      </c>
      <c r="I15" t="s">
        <v>150</v>
      </c>
      <c r="K15" t="s">
        <v>1712</v>
      </c>
      <c r="L15" t="s">
        <v>1703</v>
      </c>
      <c r="M15" t="s">
        <v>2073</v>
      </c>
      <c r="N15">
        <v>20180.599999999999</v>
      </c>
      <c r="O15">
        <v>50</v>
      </c>
      <c r="P15">
        <v>1</v>
      </c>
      <c r="Q15">
        <v>1</v>
      </c>
      <c r="R15">
        <v>0.08</v>
      </c>
      <c r="T15" t="s">
        <v>2069</v>
      </c>
    </row>
    <row r="16" spans="2:20">
      <c r="B16" t="s">
        <v>562</v>
      </c>
      <c r="C16" t="s">
        <v>1714</v>
      </c>
      <c r="D16" t="s">
        <v>1703</v>
      </c>
      <c r="E16" t="s">
        <v>1715</v>
      </c>
      <c r="F16" t="s">
        <v>1705</v>
      </c>
      <c r="G16" t="s">
        <v>1705</v>
      </c>
      <c r="H16" t="s">
        <v>149</v>
      </c>
      <c r="I16" t="s">
        <v>150</v>
      </c>
      <c r="K16" t="s">
        <v>1714</v>
      </c>
      <c r="L16" t="s">
        <v>1703</v>
      </c>
      <c r="M16" t="s">
        <v>2074</v>
      </c>
      <c r="N16">
        <v>3516.7999999999997</v>
      </c>
      <c r="O16">
        <v>50</v>
      </c>
      <c r="P16">
        <v>1</v>
      </c>
      <c r="Q16">
        <v>1</v>
      </c>
      <c r="R16">
        <v>0.08</v>
      </c>
      <c r="T16" t="s">
        <v>2069</v>
      </c>
    </row>
    <row r="17" spans="2:20">
      <c r="B17" t="s">
        <v>562</v>
      </c>
      <c r="C17" t="s">
        <v>1716</v>
      </c>
      <c r="D17" t="s">
        <v>1703</v>
      </c>
      <c r="E17" t="s">
        <v>1717</v>
      </c>
      <c r="F17" t="s">
        <v>1705</v>
      </c>
      <c r="G17" t="s">
        <v>1705</v>
      </c>
      <c r="H17" t="s">
        <v>149</v>
      </c>
      <c r="I17" t="s">
        <v>150</v>
      </c>
      <c r="K17" t="s">
        <v>1716</v>
      </c>
      <c r="L17" t="s">
        <v>1703</v>
      </c>
      <c r="M17" t="s">
        <v>2075</v>
      </c>
      <c r="N17">
        <v>18705.400000000001</v>
      </c>
      <c r="O17">
        <v>50</v>
      </c>
      <c r="P17">
        <v>1</v>
      </c>
      <c r="Q17">
        <v>1</v>
      </c>
      <c r="R17">
        <v>0.08</v>
      </c>
      <c r="T17" t="s">
        <v>2069</v>
      </c>
    </row>
    <row r="18" spans="2:20">
      <c r="B18" t="s">
        <v>562</v>
      </c>
      <c r="C18" t="s">
        <v>1718</v>
      </c>
      <c r="D18" t="s">
        <v>1703</v>
      </c>
      <c r="E18" t="s">
        <v>1719</v>
      </c>
      <c r="F18" t="s">
        <v>1705</v>
      </c>
      <c r="G18" t="s">
        <v>1705</v>
      </c>
      <c r="H18" t="s">
        <v>149</v>
      </c>
      <c r="I18" t="s">
        <v>150</v>
      </c>
      <c r="K18" t="s">
        <v>1718</v>
      </c>
      <c r="L18" t="s">
        <v>1703</v>
      </c>
      <c r="M18" t="s">
        <v>2076</v>
      </c>
      <c r="N18">
        <v>16073.599999999999</v>
      </c>
      <c r="O18">
        <v>50</v>
      </c>
      <c r="P18">
        <v>1</v>
      </c>
      <c r="Q18">
        <v>1</v>
      </c>
      <c r="R18">
        <v>0.08</v>
      </c>
      <c r="T18" t="s">
        <v>2069</v>
      </c>
    </row>
    <row r="19" spans="2:20">
      <c r="B19" t="s">
        <v>562</v>
      </c>
      <c r="C19" t="s">
        <v>1720</v>
      </c>
      <c r="D19" t="s">
        <v>1703</v>
      </c>
      <c r="E19" t="s">
        <v>1721</v>
      </c>
      <c r="F19" t="s">
        <v>1705</v>
      </c>
      <c r="G19" t="s">
        <v>1705</v>
      </c>
      <c r="H19" t="s">
        <v>149</v>
      </c>
      <c r="I19" t="s">
        <v>150</v>
      </c>
      <c r="K19" t="s">
        <v>1720</v>
      </c>
      <c r="L19" t="s">
        <v>1703</v>
      </c>
      <c r="M19" t="s">
        <v>2077</v>
      </c>
      <c r="N19">
        <v>15827</v>
      </c>
      <c r="O19">
        <v>50</v>
      </c>
      <c r="P19">
        <v>1</v>
      </c>
      <c r="Q19">
        <v>1</v>
      </c>
      <c r="R19">
        <v>0.08</v>
      </c>
      <c r="T19" t="s">
        <v>2069</v>
      </c>
    </row>
    <row r="20" spans="2:20">
      <c r="B20" t="s">
        <v>562</v>
      </c>
      <c r="C20" t="s">
        <v>1722</v>
      </c>
      <c r="D20" t="s">
        <v>1703</v>
      </c>
      <c r="E20" t="s">
        <v>1723</v>
      </c>
      <c r="F20" t="s">
        <v>1705</v>
      </c>
      <c r="G20" t="s">
        <v>1705</v>
      </c>
      <c r="H20" t="s">
        <v>149</v>
      </c>
      <c r="I20" t="s">
        <v>150</v>
      </c>
      <c r="K20" t="s">
        <v>1722</v>
      </c>
      <c r="L20" t="s">
        <v>1703</v>
      </c>
      <c r="M20" t="s">
        <v>2078</v>
      </c>
      <c r="N20">
        <v>92569.8</v>
      </c>
      <c r="O20">
        <v>50</v>
      </c>
      <c r="P20">
        <v>1</v>
      </c>
      <c r="Q20">
        <v>1</v>
      </c>
      <c r="R20">
        <v>0.08</v>
      </c>
      <c r="T20" t="s">
        <v>2069</v>
      </c>
    </row>
    <row r="21" spans="2:20">
      <c r="B21" t="s">
        <v>562</v>
      </c>
      <c r="C21" t="s">
        <v>1724</v>
      </c>
      <c r="D21" t="s">
        <v>1703</v>
      </c>
      <c r="E21" t="s">
        <v>1725</v>
      </c>
      <c r="F21" t="s">
        <v>1705</v>
      </c>
      <c r="G21" t="s">
        <v>1705</v>
      </c>
      <c r="H21" t="s">
        <v>149</v>
      </c>
      <c r="I21" t="s">
        <v>150</v>
      </c>
      <c r="K21" t="s">
        <v>1724</v>
      </c>
      <c r="L21" t="s">
        <v>1703</v>
      </c>
      <c r="M21" t="s">
        <v>2079</v>
      </c>
      <c r="N21">
        <v>15609.699999999999</v>
      </c>
      <c r="O21">
        <v>50</v>
      </c>
      <c r="P21">
        <v>1</v>
      </c>
      <c r="Q21">
        <v>1</v>
      </c>
      <c r="R21">
        <v>0.08</v>
      </c>
      <c r="T21" t="s">
        <v>2069</v>
      </c>
    </row>
    <row r="22" spans="2:20">
      <c r="B22" t="s">
        <v>562</v>
      </c>
      <c r="C22" t="s">
        <v>1726</v>
      </c>
      <c r="D22" t="s">
        <v>1703</v>
      </c>
      <c r="E22" t="s">
        <v>1727</v>
      </c>
      <c r="F22" t="s">
        <v>1705</v>
      </c>
      <c r="G22" t="s">
        <v>1705</v>
      </c>
      <c r="H22" t="s">
        <v>149</v>
      </c>
      <c r="I22" t="s">
        <v>150</v>
      </c>
      <c r="K22" t="s">
        <v>1726</v>
      </c>
      <c r="L22" t="s">
        <v>1703</v>
      </c>
      <c r="M22" t="s">
        <v>2080</v>
      </c>
      <c r="N22">
        <v>23935.899999999998</v>
      </c>
      <c r="O22">
        <v>50</v>
      </c>
      <c r="P22">
        <v>1</v>
      </c>
      <c r="Q22">
        <v>1</v>
      </c>
      <c r="R22">
        <v>0.08</v>
      </c>
      <c r="T22" t="s">
        <v>2069</v>
      </c>
    </row>
    <row r="23" spans="2:20">
      <c r="B23" t="s">
        <v>562</v>
      </c>
      <c r="C23" t="s">
        <v>1728</v>
      </c>
      <c r="D23" t="s">
        <v>1703</v>
      </c>
      <c r="E23" t="s">
        <v>1729</v>
      </c>
      <c r="F23" t="s">
        <v>1705</v>
      </c>
      <c r="G23" t="s">
        <v>1705</v>
      </c>
      <c r="H23" t="s">
        <v>149</v>
      </c>
      <c r="I23" t="s">
        <v>150</v>
      </c>
      <c r="K23" t="s">
        <v>1728</v>
      </c>
      <c r="L23" t="s">
        <v>1703</v>
      </c>
      <c r="M23" t="s">
        <v>2081</v>
      </c>
      <c r="N23">
        <v>75556.25</v>
      </c>
      <c r="O23">
        <v>50</v>
      </c>
      <c r="P23">
        <v>1</v>
      </c>
      <c r="Q23">
        <v>1</v>
      </c>
      <c r="R23">
        <v>0.08</v>
      </c>
      <c r="T23" t="s">
        <v>2069</v>
      </c>
    </row>
    <row r="24" spans="2:20">
      <c r="B24" t="s">
        <v>562</v>
      </c>
      <c r="C24" t="s">
        <v>1730</v>
      </c>
      <c r="D24" t="s">
        <v>1703</v>
      </c>
      <c r="E24" t="s">
        <v>1731</v>
      </c>
      <c r="F24" t="s">
        <v>1705</v>
      </c>
      <c r="G24" t="s">
        <v>1705</v>
      </c>
      <c r="H24" t="s">
        <v>149</v>
      </c>
      <c r="I24" t="s">
        <v>150</v>
      </c>
      <c r="K24" t="s">
        <v>1730</v>
      </c>
      <c r="L24" t="s">
        <v>1703</v>
      </c>
      <c r="M24" t="s">
        <v>2082</v>
      </c>
      <c r="N24">
        <v>81036.549999999988</v>
      </c>
      <c r="O24">
        <v>50</v>
      </c>
      <c r="P24">
        <v>1</v>
      </c>
      <c r="Q24">
        <v>1</v>
      </c>
      <c r="R24">
        <v>0.08</v>
      </c>
      <c r="T24" t="s">
        <v>2069</v>
      </c>
    </row>
    <row r="25" spans="2:20">
      <c r="B25" t="s">
        <v>562</v>
      </c>
      <c r="C25" t="s">
        <v>1732</v>
      </c>
      <c r="D25" t="s">
        <v>1703</v>
      </c>
      <c r="E25" t="s">
        <v>1733</v>
      </c>
      <c r="F25" t="s">
        <v>1705</v>
      </c>
      <c r="G25" t="s">
        <v>1705</v>
      </c>
      <c r="H25" t="s">
        <v>149</v>
      </c>
      <c r="I25" t="s">
        <v>150</v>
      </c>
      <c r="K25" t="s">
        <v>1732</v>
      </c>
      <c r="L25" t="s">
        <v>1703</v>
      </c>
      <c r="M25" t="s">
        <v>2083</v>
      </c>
      <c r="N25">
        <v>24027.3</v>
      </c>
      <c r="O25">
        <v>50</v>
      </c>
      <c r="P25">
        <v>1</v>
      </c>
      <c r="Q25">
        <v>1</v>
      </c>
      <c r="R25">
        <v>0.08</v>
      </c>
      <c r="T25" t="s">
        <v>2069</v>
      </c>
    </row>
    <row r="26" spans="2:20">
      <c r="B26" t="s">
        <v>562</v>
      </c>
      <c r="C26" t="s">
        <v>1734</v>
      </c>
      <c r="D26" t="s">
        <v>1703</v>
      </c>
      <c r="E26" t="s">
        <v>1735</v>
      </c>
      <c r="F26" t="s">
        <v>1705</v>
      </c>
      <c r="G26" t="s">
        <v>1705</v>
      </c>
      <c r="H26" t="s">
        <v>149</v>
      </c>
      <c r="I26" t="s">
        <v>150</v>
      </c>
      <c r="K26" t="s">
        <v>1734</v>
      </c>
      <c r="L26" t="s">
        <v>1703</v>
      </c>
      <c r="M26" t="s">
        <v>2084</v>
      </c>
      <c r="N26">
        <v>59380.5</v>
      </c>
      <c r="O26">
        <v>50</v>
      </c>
      <c r="P26">
        <v>1</v>
      </c>
      <c r="Q26">
        <v>1</v>
      </c>
      <c r="R26">
        <v>0.08</v>
      </c>
      <c r="T26" t="s">
        <v>2069</v>
      </c>
    </row>
    <row r="27" spans="2:20">
      <c r="B27" t="s">
        <v>562</v>
      </c>
      <c r="C27" t="s">
        <v>1736</v>
      </c>
      <c r="D27" t="s">
        <v>1703</v>
      </c>
      <c r="E27" t="s">
        <v>1737</v>
      </c>
      <c r="F27" t="s">
        <v>1705</v>
      </c>
      <c r="G27" t="s">
        <v>1705</v>
      </c>
      <c r="H27" t="s">
        <v>149</v>
      </c>
      <c r="I27" t="s">
        <v>150</v>
      </c>
      <c r="K27" t="s">
        <v>1736</v>
      </c>
      <c r="L27" t="s">
        <v>1703</v>
      </c>
      <c r="M27" t="s">
        <v>2085</v>
      </c>
      <c r="N27">
        <v>44894.299999999996</v>
      </c>
      <c r="O27">
        <v>50</v>
      </c>
      <c r="P27">
        <v>1</v>
      </c>
      <c r="Q27">
        <v>1</v>
      </c>
      <c r="R27">
        <v>0.08</v>
      </c>
      <c r="T27" t="s">
        <v>2069</v>
      </c>
    </row>
    <row r="28" spans="2:20">
      <c r="B28" t="s">
        <v>562</v>
      </c>
      <c r="C28" t="s">
        <v>1738</v>
      </c>
      <c r="D28" t="s">
        <v>1703</v>
      </c>
      <c r="E28" t="s">
        <v>1739</v>
      </c>
      <c r="F28" t="s">
        <v>1705</v>
      </c>
      <c r="G28" t="s">
        <v>1705</v>
      </c>
      <c r="H28" t="s">
        <v>149</v>
      </c>
      <c r="I28" t="s">
        <v>150</v>
      </c>
      <c r="K28" t="s">
        <v>1738</v>
      </c>
      <c r="L28" t="s">
        <v>1703</v>
      </c>
      <c r="M28" t="s">
        <v>2086</v>
      </c>
      <c r="N28">
        <v>16681.2</v>
      </c>
      <c r="O28">
        <v>50</v>
      </c>
      <c r="P28">
        <v>1</v>
      </c>
      <c r="Q28">
        <v>1</v>
      </c>
      <c r="R28">
        <v>0.08</v>
      </c>
      <c r="T28" t="s">
        <v>2069</v>
      </c>
    </row>
    <row r="29" spans="2:20">
      <c r="B29" t="s">
        <v>562</v>
      </c>
      <c r="C29" t="s">
        <v>1740</v>
      </c>
      <c r="D29" t="s">
        <v>1703</v>
      </c>
      <c r="E29" t="s">
        <v>1741</v>
      </c>
      <c r="F29" t="s">
        <v>1705</v>
      </c>
      <c r="G29" t="s">
        <v>1705</v>
      </c>
      <c r="H29" t="s">
        <v>149</v>
      </c>
      <c r="I29" t="s">
        <v>150</v>
      </c>
      <c r="K29" t="s">
        <v>1740</v>
      </c>
      <c r="L29" t="s">
        <v>1703</v>
      </c>
      <c r="M29" t="s">
        <v>2087</v>
      </c>
      <c r="N29">
        <v>17436.899999999998</v>
      </c>
      <c r="O29">
        <v>50</v>
      </c>
      <c r="P29">
        <v>1</v>
      </c>
      <c r="Q29">
        <v>1</v>
      </c>
      <c r="R29">
        <v>0.08</v>
      </c>
      <c r="T29" t="s">
        <v>2069</v>
      </c>
    </row>
    <row r="30" spans="2:20">
      <c r="B30" t="s">
        <v>562</v>
      </c>
      <c r="C30" t="s">
        <v>1742</v>
      </c>
      <c r="D30" t="s">
        <v>1703</v>
      </c>
      <c r="E30" t="s">
        <v>1743</v>
      </c>
      <c r="F30" t="s">
        <v>1705</v>
      </c>
      <c r="G30" t="s">
        <v>1705</v>
      </c>
      <c r="H30" t="s">
        <v>149</v>
      </c>
      <c r="I30" t="s">
        <v>150</v>
      </c>
      <c r="K30" t="s">
        <v>1742</v>
      </c>
      <c r="L30" t="s">
        <v>1703</v>
      </c>
      <c r="M30" t="s">
        <v>2088</v>
      </c>
      <c r="N30">
        <v>43059.199999999997</v>
      </c>
      <c r="O30">
        <v>50</v>
      </c>
      <c r="P30">
        <v>1</v>
      </c>
      <c r="Q30">
        <v>1</v>
      </c>
      <c r="R30">
        <v>0.08</v>
      </c>
      <c r="T30" t="s">
        <v>2069</v>
      </c>
    </row>
    <row r="31" spans="2:20">
      <c r="B31" t="s">
        <v>562</v>
      </c>
      <c r="C31" t="s">
        <v>1744</v>
      </c>
      <c r="D31" t="s">
        <v>1703</v>
      </c>
      <c r="E31" t="s">
        <v>1745</v>
      </c>
      <c r="F31" t="s">
        <v>1705</v>
      </c>
      <c r="G31" t="s">
        <v>1705</v>
      </c>
      <c r="H31" t="s">
        <v>149</v>
      </c>
      <c r="I31" t="s">
        <v>150</v>
      </c>
      <c r="K31" t="s">
        <v>1744</v>
      </c>
      <c r="L31" t="s">
        <v>1703</v>
      </c>
      <c r="M31" t="s">
        <v>2089</v>
      </c>
      <c r="N31">
        <v>51462.5</v>
      </c>
      <c r="O31">
        <v>50</v>
      </c>
      <c r="P31">
        <v>1</v>
      </c>
      <c r="Q31">
        <v>1</v>
      </c>
      <c r="R31">
        <v>0.08</v>
      </c>
      <c r="T31" t="s">
        <v>2069</v>
      </c>
    </row>
    <row r="32" spans="2:20">
      <c r="B32" t="s">
        <v>562</v>
      </c>
      <c r="C32" t="s">
        <v>1746</v>
      </c>
      <c r="D32" t="s">
        <v>1703</v>
      </c>
      <c r="E32" t="s">
        <v>1747</v>
      </c>
      <c r="F32" t="s">
        <v>1705</v>
      </c>
      <c r="G32" t="s">
        <v>1705</v>
      </c>
      <c r="H32" t="s">
        <v>149</v>
      </c>
      <c r="I32" t="s">
        <v>150</v>
      </c>
      <c r="K32" t="s">
        <v>1746</v>
      </c>
      <c r="L32" t="s">
        <v>1703</v>
      </c>
      <c r="M32" t="s">
        <v>2090</v>
      </c>
      <c r="N32">
        <v>24792.400000000001</v>
      </c>
      <c r="O32">
        <v>50</v>
      </c>
      <c r="P32">
        <v>1</v>
      </c>
      <c r="Q32">
        <v>1</v>
      </c>
      <c r="R32">
        <v>0.08</v>
      </c>
      <c r="T32" t="s">
        <v>2069</v>
      </c>
    </row>
    <row r="33" spans="2:20">
      <c r="B33" t="s">
        <v>562</v>
      </c>
      <c r="C33" t="s">
        <v>1748</v>
      </c>
      <c r="D33" t="s">
        <v>1703</v>
      </c>
      <c r="E33" t="s">
        <v>1749</v>
      </c>
      <c r="F33" t="s">
        <v>1705</v>
      </c>
      <c r="G33" t="s">
        <v>1705</v>
      </c>
      <c r="H33" t="s">
        <v>149</v>
      </c>
      <c r="I33" t="s">
        <v>150</v>
      </c>
      <c r="K33" t="s">
        <v>1748</v>
      </c>
      <c r="L33" t="s">
        <v>1703</v>
      </c>
      <c r="M33" t="s">
        <v>2091</v>
      </c>
      <c r="N33">
        <v>31904.799999999999</v>
      </c>
      <c r="O33">
        <v>50</v>
      </c>
      <c r="P33">
        <v>1</v>
      </c>
      <c r="Q33">
        <v>1</v>
      </c>
      <c r="R33">
        <v>0.08</v>
      </c>
      <c r="T33" t="s">
        <v>2069</v>
      </c>
    </row>
    <row r="34" spans="2:20">
      <c r="B34" t="s">
        <v>562</v>
      </c>
      <c r="C34" t="s">
        <v>1750</v>
      </c>
      <c r="D34" t="s">
        <v>1703</v>
      </c>
      <c r="E34" t="s">
        <v>1751</v>
      </c>
      <c r="F34" t="s">
        <v>1705</v>
      </c>
      <c r="G34" t="s">
        <v>1705</v>
      </c>
      <c r="H34" t="s">
        <v>149</v>
      </c>
      <c r="I34" t="s">
        <v>150</v>
      </c>
      <c r="K34" t="s">
        <v>1750</v>
      </c>
      <c r="L34" t="s">
        <v>1703</v>
      </c>
      <c r="M34" t="s">
        <v>2092</v>
      </c>
      <c r="N34">
        <v>10174.5</v>
      </c>
      <c r="O34">
        <v>50</v>
      </c>
      <c r="P34">
        <v>1</v>
      </c>
      <c r="Q34">
        <v>1</v>
      </c>
      <c r="R34">
        <v>0.08</v>
      </c>
      <c r="T34" t="s">
        <v>2069</v>
      </c>
    </row>
    <row r="35" spans="2:20">
      <c r="B35" t="s">
        <v>562</v>
      </c>
      <c r="C35" t="s">
        <v>1752</v>
      </c>
      <c r="D35" t="s">
        <v>1703</v>
      </c>
      <c r="E35" t="s">
        <v>1753</v>
      </c>
      <c r="F35" t="s">
        <v>1705</v>
      </c>
      <c r="G35" t="s">
        <v>1705</v>
      </c>
      <c r="H35" t="s">
        <v>149</v>
      </c>
      <c r="I35" t="s">
        <v>150</v>
      </c>
      <c r="K35" t="s">
        <v>1752</v>
      </c>
      <c r="L35" t="s">
        <v>1703</v>
      </c>
      <c r="M35" t="s">
        <v>2093</v>
      </c>
      <c r="N35">
        <v>13833.599999999999</v>
      </c>
      <c r="O35">
        <v>50</v>
      </c>
      <c r="P35">
        <v>1</v>
      </c>
      <c r="Q35">
        <v>1</v>
      </c>
      <c r="R35">
        <v>0.08</v>
      </c>
      <c r="T35" t="s">
        <v>2069</v>
      </c>
    </row>
    <row r="36" spans="2:20">
      <c r="B36" t="s">
        <v>562</v>
      </c>
      <c r="C36" t="s">
        <v>1754</v>
      </c>
      <c r="D36" t="s">
        <v>1703</v>
      </c>
      <c r="E36" t="s">
        <v>1755</v>
      </c>
      <c r="F36" t="s">
        <v>1705</v>
      </c>
      <c r="G36" t="s">
        <v>1705</v>
      </c>
      <c r="H36" t="s">
        <v>149</v>
      </c>
      <c r="I36" t="s">
        <v>150</v>
      </c>
      <c r="K36" t="s">
        <v>1754</v>
      </c>
      <c r="L36" t="s">
        <v>1703</v>
      </c>
      <c r="M36" t="s">
        <v>2094</v>
      </c>
      <c r="N36">
        <v>73399.199999999997</v>
      </c>
      <c r="O36">
        <v>50</v>
      </c>
      <c r="P36">
        <v>1</v>
      </c>
      <c r="Q36">
        <v>1</v>
      </c>
      <c r="R36">
        <v>0.08</v>
      </c>
      <c r="T36" t="s">
        <v>2069</v>
      </c>
    </row>
    <row r="37" spans="2:20">
      <c r="B37" t="s">
        <v>562</v>
      </c>
      <c r="C37" t="s">
        <v>1756</v>
      </c>
      <c r="D37" t="s">
        <v>1703</v>
      </c>
      <c r="E37" t="s">
        <v>1757</v>
      </c>
      <c r="F37" t="s">
        <v>1705</v>
      </c>
      <c r="G37" t="s">
        <v>1705</v>
      </c>
      <c r="H37" t="s">
        <v>149</v>
      </c>
      <c r="I37" t="s">
        <v>150</v>
      </c>
      <c r="K37" t="s">
        <v>1756</v>
      </c>
      <c r="L37" t="s">
        <v>1703</v>
      </c>
      <c r="M37" t="s">
        <v>2095</v>
      </c>
      <c r="N37">
        <v>16315.699999999999</v>
      </c>
      <c r="O37">
        <v>50</v>
      </c>
      <c r="P37">
        <v>1</v>
      </c>
      <c r="Q37">
        <v>1</v>
      </c>
      <c r="R37">
        <v>0.08</v>
      </c>
      <c r="T37" t="s">
        <v>2069</v>
      </c>
    </row>
    <row r="38" spans="2:20">
      <c r="B38" t="s">
        <v>562</v>
      </c>
      <c r="C38" t="s">
        <v>1758</v>
      </c>
      <c r="D38" t="s">
        <v>1703</v>
      </c>
      <c r="E38" t="s">
        <v>1759</v>
      </c>
      <c r="F38" t="s">
        <v>1705</v>
      </c>
      <c r="G38" t="s">
        <v>1705</v>
      </c>
      <c r="H38" t="s">
        <v>149</v>
      </c>
      <c r="I38" t="s">
        <v>150</v>
      </c>
      <c r="K38" t="s">
        <v>1758</v>
      </c>
      <c r="L38" t="s">
        <v>1703</v>
      </c>
      <c r="M38" t="s">
        <v>2096</v>
      </c>
      <c r="N38">
        <v>8058</v>
      </c>
      <c r="O38">
        <v>50</v>
      </c>
      <c r="P38">
        <v>1</v>
      </c>
      <c r="Q38">
        <v>1</v>
      </c>
      <c r="R38">
        <v>0.08</v>
      </c>
      <c r="T38" t="s">
        <v>2069</v>
      </c>
    </row>
    <row r="39" spans="2:20">
      <c r="B39" t="s">
        <v>562</v>
      </c>
      <c r="C39" t="s">
        <v>1760</v>
      </c>
      <c r="D39" t="s">
        <v>1703</v>
      </c>
      <c r="E39" t="s">
        <v>1761</v>
      </c>
      <c r="F39" t="s">
        <v>1705</v>
      </c>
      <c r="G39" t="s">
        <v>1705</v>
      </c>
      <c r="H39" t="s">
        <v>149</v>
      </c>
      <c r="I39" t="s">
        <v>150</v>
      </c>
      <c r="K39" t="s">
        <v>1760</v>
      </c>
      <c r="L39" t="s">
        <v>1703</v>
      </c>
      <c r="M39" t="s">
        <v>2097</v>
      </c>
      <c r="N39">
        <v>3784.2</v>
      </c>
      <c r="O39">
        <v>50</v>
      </c>
      <c r="P39">
        <v>1</v>
      </c>
      <c r="Q39">
        <v>1</v>
      </c>
      <c r="R39">
        <v>0.08</v>
      </c>
      <c r="T39" t="s">
        <v>2069</v>
      </c>
    </row>
    <row r="40" spans="2:20">
      <c r="B40" t="s">
        <v>562</v>
      </c>
      <c r="C40" t="s">
        <v>1762</v>
      </c>
      <c r="D40" t="s">
        <v>1703</v>
      </c>
      <c r="E40" t="s">
        <v>1763</v>
      </c>
      <c r="F40" t="s">
        <v>1705</v>
      </c>
      <c r="G40" t="s">
        <v>1705</v>
      </c>
      <c r="H40" t="s">
        <v>149</v>
      </c>
      <c r="I40" t="s">
        <v>150</v>
      </c>
      <c r="K40" t="s">
        <v>1762</v>
      </c>
      <c r="L40" t="s">
        <v>1703</v>
      </c>
      <c r="M40" t="s">
        <v>2098</v>
      </c>
      <c r="N40">
        <v>42986.35</v>
      </c>
      <c r="O40">
        <v>50</v>
      </c>
      <c r="P40">
        <v>1</v>
      </c>
      <c r="Q40">
        <v>1</v>
      </c>
      <c r="R40">
        <v>0.08</v>
      </c>
      <c r="T40" t="s">
        <v>2069</v>
      </c>
    </row>
    <row r="41" spans="2:20">
      <c r="B41" t="s">
        <v>562</v>
      </c>
      <c r="C41" t="s">
        <v>1764</v>
      </c>
      <c r="D41" t="s">
        <v>1703</v>
      </c>
      <c r="E41" t="s">
        <v>1765</v>
      </c>
      <c r="F41" t="s">
        <v>1705</v>
      </c>
      <c r="G41" t="s">
        <v>1705</v>
      </c>
      <c r="H41" t="s">
        <v>149</v>
      </c>
      <c r="I41" t="s">
        <v>150</v>
      </c>
      <c r="K41" t="s">
        <v>1764</v>
      </c>
      <c r="L41" t="s">
        <v>1703</v>
      </c>
      <c r="M41" t="s">
        <v>2099</v>
      </c>
      <c r="N41">
        <v>19813.499999999996</v>
      </c>
      <c r="O41">
        <v>50</v>
      </c>
      <c r="P41">
        <v>1</v>
      </c>
      <c r="Q41">
        <v>1</v>
      </c>
      <c r="R41">
        <v>0.08</v>
      </c>
      <c r="T41" t="s">
        <v>2069</v>
      </c>
    </row>
    <row r="42" spans="2:20">
      <c r="B42" t="s">
        <v>562</v>
      </c>
      <c r="C42" t="s">
        <v>1766</v>
      </c>
      <c r="D42" t="s">
        <v>1703</v>
      </c>
      <c r="E42" t="s">
        <v>1767</v>
      </c>
      <c r="F42" t="s">
        <v>1705</v>
      </c>
      <c r="G42" t="s">
        <v>1705</v>
      </c>
      <c r="H42" t="s">
        <v>149</v>
      </c>
      <c r="I42" t="s">
        <v>150</v>
      </c>
      <c r="K42" t="s">
        <v>1766</v>
      </c>
      <c r="L42" t="s">
        <v>1703</v>
      </c>
      <c r="M42" t="s">
        <v>2100</v>
      </c>
      <c r="N42">
        <v>34749.699999999997</v>
      </c>
      <c r="O42">
        <v>50</v>
      </c>
      <c r="P42">
        <v>1</v>
      </c>
      <c r="Q42">
        <v>1</v>
      </c>
      <c r="R42">
        <v>0.08</v>
      </c>
      <c r="T42" t="s">
        <v>2069</v>
      </c>
    </row>
    <row r="43" spans="2:20">
      <c r="B43" t="s">
        <v>562</v>
      </c>
      <c r="C43" t="s">
        <v>1768</v>
      </c>
      <c r="D43" t="s">
        <v>1703</v>
      </c>
      <c r="E43" t="s">
        <v>1769</v>
      </c>
      <c r="F43" t="s">
        <v>1705</v>
      </c>
      <c r="G43" t="s">
        <v>1705</v>
      </c>
      <c r="H43" t="s">
        <v>149</v>
      </c>
      <c r="I43" t="s">
        <v>150</v>
      </c>
      <c r="K43" t="s">
        <v>1768</v>
      </c>
      <c r="L43" t="s">
        <v>1703</v>
      </c>
      <c r="M43" t="s">
        <v>2101</v>
      </c>
      <c r="N43">
        <v>31105.999999999996</v>
      </c>
      <c r="O43">
        <v>50</v>
      </c>
      <c r="P43">
        <v>1</v>
      </c>
      <c r="Q43">
        <v>1</v>
      </c>
      <c r="R43">
        <v>0.08</v>
      </c>
      <c r="T43" t="s">
        <v>2069</v>
      </c>
    </row>
    <row r="44" spans="2:20">
      <c r="B44" t="s">
        <v>562</v>
      </c>
      <c r="C44" t="s">
        <v>1770</v>
      </c>
      <c r="D44" t="s">
        <v>1703</v>
      </c>
      <c r="E44" t="s">
        <v>1771</v>
      </c>
      <c r="F44" t="s">
        <v>1705</v>
      </c>
      <c r="G44" t="s">
        <v>1705</v>
      </c>
      <c r="H44" t="s">
        <v>149</v>
      </c>
      <c r="I44" t="s">
        <v>150</v>
      </c>
      <c r="K44" t="s">
        <v>1770</v>
      </c>
      <c r="L44" t="s">
        <v>1703</v>
      </c>
      <c r="M44" t="s">
        <v>2102</v>
      </c>
      <c r="N44">
        <v>29541.399999999998</v>
      </c>
      <c r="O44">
        <v>50</v>
      </c>
      <c r="P44">
        <v>1</v>
      </c>
      <c r="Q44">
        <v>1</v>
      </c>
      <c r="R44">
        <v>0.08</v>
      </c>
      <c r="T44" t="s">
        <v>2069</v>
      </c>
    </row>
    <row r="45" spans="2:20">
      <c r="B45" t="s">
        <v>562</v>
      </c>
      <c r="C45" t="s">
        <v>1772</v>
      </c>
      <c r="D45" t="s">
        <v>1703</v>
      </c>
      <c r="E45" t="s">
        <v>1773</v>
      </c>
      <c r="F45" t="s">
        <v>1705</v>
      </c>
      <c r="G45" t="s">
        <v>1705</v>
      </c>
      <c r="H45" t="s">
        <v>149</v>
      </c>
      <c r="I45" t="s">
        <v>150</v>
      </c>
      <c r="K45" t="s">
        <v>1772</v>
      </c>
      <c r="L45" t="s">
        <v>1703</v>
      </c>
      <c r="M45" t="s">
        <v>2103</v>
      </c>
      <c r="N45">
        <v>3540.25</v>
      </c>
      <c r="O45">
        <v>50</v>
      </c>
      <c r="P45">
        <v>1</v>
      </c>
      <c r="Q45">
        <v>1</v>
      </c>
      <c r="R45">
        <v>0.08</v>
      </c>
      <c r="T45" t="s">
        <v>2069</v>
      </c>
    </row>
    <row r="46" spans="2:20">
      <c r="B46" t="s">
        <v>562</v>
      </c>
      <c r="C46" t="s">
        <v>1774</v>
      </c>
      <c r="D46" t="s">
        <v>1703</v>
      </c>
      <c r="E46" t="s">
        <v>1775</v>
      </c>
      <c r="F46" t="s">
        <v>1705</v>
      </c>
      <c r="G46" t="s">
        <v>1705</v>
      </c>
      <c r="H46" t="s">
        <v>149</v>
      </c>
      <c r="I46" t="s">
        <v>150</v>
      </c>
      <c r="K46" t="s">
        <v>1774</v>
      </c>
      <c r="L46" t="s">
        <v>1703</v>
      </c>
      <c r="M46" t="s">
        <v>2104</v>
      </c>
      <c r="N46">
        <v>76123.349999999991</v>
      </c>
      <c r="O46">
        <v>50</v>
      </c>
      <c r="P46">
        <v>1</v>
      </c>
      <c r="Q46">
        <v>1</v>
      </c>
      <c r="R46">
        <v>0.08</v>
      </c>
      <c r="T46" t="s">
        <v>2069</v>
      </c>
    </row>
    <row r="47" spans="2:20">
      <c r="B47" t="s">
        <v>562</v>
      </c>
      <c r="C47" t="s">
        <v>1776</v>
      </c>
      <c r="D47" t="s">
        <v>1703</v>
      </c>
      <c r="E47" t="s">
        <v>1777</v>
      </c>
      <c r="F47" t="s">
        <v>1705</v>
      </c>
      <c r="G47" t="s">
        <v>1705</v>
      </c>
      <c r="H47" t="s">
        <v>149</v>
      </c>
      <c r="I47" t="s">
        <v>150</v>
      </c>
      <c r="K47" t="s">
        <v>1776</v>
      </c>
      <c r="L47" t="s">
        <v>1703</v>
      </c>
      <c r="M47" t="s">
        <v>2105</v>
      </c>
      <c r="N47">
        <v>30508.899999999998</v>
      </c>
      <c r="O47">
        <v>50</v>
      </c>
      <c r="P47">
        <v>1</v>
      </c>
      <c r="Q47">
        <v>1</v>
      </c>
      <c r="R47">
        <v>0.08</v>
      </c>
      <c r="T47" t="s">
        <v>2069</v>
      </c>
    </row>
    <row r="48" spans="2:20">
      <c r="B48" t="s">
        <v>562</v>
      </c>
      <c r="C48" t="s">
        <v>1778</v>
      </c>
      <c r="D48" t="s">
        <v>1703</v>
      </c>
      <c r="E48" t="s">
        <v>1779</v>
      </c>
      <c r="F48" t="s">
        <v>1705</v>
      </c>
      <c r="G48" t="s">
        <v>1705</v>
      </c>
      <c r="H48" t="s">
        <v>149</v>
      </c>
      <c r="I48" t="s">
        <v>150</v>
      </c>
      <c r="K48" t="s">
        <v>1778</v>
      </c>
      <c r="L48" t="s">
        <v>1703</v>
      </c>
      <c r="M48" t="s">
        <v>2106</v>
      </c>
      <c r="N48">
        <v>30448.799999999999</v>
      </c>
      <c r="O48">
        <v>50</v>
      </c>
      <c r="P48">
        <v>1</v>
      </c>
      <c r="Q48">
        <v>1</v>
      </c>
      <c r="R48">
        <v>0.08</v>
      </c>
      <c r="T48" t="s">
        <v>2069</v>
      </c>
    </row>
    <row r="49" spans="2:20">
      <c r="B49" t="s">
        <v>562</v>
      </c>
      <c r="C49" t="s">
        <v>1780</v>
      </c>
      <c r="D49" t="s">
        <v>1703</v>
      </c>
      <c r="E49" t="s">
        <v>1781</v>
      </c>
      <c r="F49" t="s">
        <v>1705</v>
      </c>
      <c r="G49" t="s">
        <v>1705</v>
      </c>
      <c r="H49" t="s">
        <v>149</v>
      </c>
      <c r="I49" t="s">
        <v>150</v>
      </c>
      <c r="K49" t="s">
        <v>1780</v>
      </c>
      <c r="L49" t="s">
        <v>1703</v>
      </c>
      <c r="M49" t="s">
        <v>2107</v>
      </c>
      <c r="N49">
        <v>32240.75</v>
      </c>
      <c r="O49">
        <v>50</v>
      </c>
      <c r="P49">
        <v>1</v>
      </c>
      <c r="Q49">
        <v>1</v>
      </c>
      <c r="R49">
        <v>0.08</v>
      </c>
      <c r="T49" t="s">
        <v>2069</v>
      </c>
    </row>
    <row r="50" spans="2:20">
      <c r="B50" t="s">
        <v>562</v>
      </c>
      <c r="C50" t="s">
        <v>1782</v>
      </c>
      <c r="D50" t="s">
        <v>1703</v>
      </c>
      <c r="E50" t="s">
        <v>1783</v>
      </c>
      <c r="F50" t="s">
        <v>1705</v>
      </c>
      <c r="G50" t="s">
        <v>1705</v>
      </c>
      <c r="H50" t="s">
        <v>149</v>
      </c>
      <c r="I50" t="s">
        <v>150</v>
      </c>
      <c r="K50" t="s">
        <v>1782</v>
      </c>
      <c r="L50" t="s">
        <v>1703</v>
      </c>
      <c r="M50" t="s">
        <v>2108</v>
      </c>
      <c r="N50">
        <v>9286.2000000000007</v>
      </c>
      <c r="O50">
        <v>50</v>
      </c>
      <c r="P50">
        <v>1</v>
      </c>
      <c r="Q50">
        <v>1</v>
      </c>
      <c r="R50">
        <v>0.08</v>
      </c>
      <c r="T50" t="s">
        <v>2069</v>
      </c>
    </row>
    <row r="51" spans="2:20">
      <c r="B51" t="s">
        <v>562</v>
      </c>
      <c r="C51" t="s">
        <v>1784</v>
      </c>
      <c r="D51" t="s">
        <v>1703</v>
      </c>
      <c r="E51" t="s">
        <v>1785</v>
      </c>
      <c r="F51" t="s">
        <v>1705</v>
      </c>
      <c r="G51" t="s">
        <v>1705</v>
      </c>
      <c r="H51" t="s">
        <v>149</v>
      </c>
      <c r="I51" t="s">
        <v>150</v>
      </c>
      <c r="K51" t="s">
        <v>1784</v>
      </c>
      <c r="L51" t="s">
        <v>1703</v>
      </c>
      <c r="M51" t="s">
        <v>2109</v>
      </c>
      <c r="N51">
        <v>71478.399999999994</v>
      </c>
      <c r="O51">
        <v>50</v>
      </c>
      <c r="P51">
        <v>1</v>
      </c>
      <c r="Q51">
        <v>1</v>
      </c>
      <c r="R51">
        <v>0.08</v>
      </c>
      <c r="T51" t="s">
        <v>2069</v>
      </c>
    </row>
    <row r="52" spans="2:20">
      <c r="B52" t="s">
        <v>562</v>
      </c>
      <c r="C52" t="s">
        <v>1786</v>
      </c>
      <c r="D52" t="s">
        <v>1703</v>
      </c>
      <c r="E52" t="s">
        <v>1787</v>
      </c>
      <c r="F52" t="s">
        <v>1705</v>
      </c>
      <c r="G52" t="s">
        <v>1705</v>
      </c>
      <c r="H52" t="s">
        <v>149</v>
      </c>
      <c r="I52" t="s">
        <v>150</v>
      </c>
      <c r="K52" t="s">
        <v>1786</v>
      </c>
      <c r="L52" t="s">
        <v>1703</v>
      </c>
      <c r="M52" t="s">
        <v>2110</v>
      </c>
      <c r="N52">
        <v>87067.5</v>
      </c>
      <c r="O52">
        <v>50</v>
      </c>
      <c r="P52">
        <v>1</v>
      </c>
      <c r="Q52">
        <v>1</v>
      </c>
      <c r="R52">
        <v>0.08</v>
      </c>
      <c r="T52" t="s">
        <v>2069</v>
      </c>
    </row>
    <row r="53" spans="2:20">
      <c r="B53" t="s">
        <v>562</v>
      </c>
      <c r="C53" t="s">
        <v>1788</v>
      </c>
      <c r="D53" t="s">
        <v>1703</v>
      </c>
      <c r="E53" t="s">
        <v>1789</v>
      </c>
      <c r="F53" t="s">
        <v>1705</v>
      </c>
      <c r="G53" t="s">
        <v>1705</v>
      </c>
      <c r="H53" t="s">
        <v>149</v>
      </c>
      <c r="I53" t="s">
        <v>150</v>
      </c>
      <c r="K53" t="s">
        <v>1788</v>
      </c>
      <c r="L53" t="s">
        <v>1703</v>
      </c>
      <c r="M53" t="s">
        <v>2111</v>
      </c>
      <c r="N53">
        <v>90914.724999999991</v>
      </c>
      <c r="O53">
        <v>50</v>
      </c>
      <c r="P53">
        <v>1</v>
      </c>
      <c r="Q53">
        <v>1</v>
      </c>
      <c r="R53">
        <v>0.08</v>
      </c>
      <c r="T53" t="s">
        <v>2069</v>
      </c>
    </row>
    <row r="54" spans="2:20">
      <c r="B54" t="s">
        <v>562</v>
      </c>
      <c r="C54" t="s">
        <v>1790</v>
      </c>
      <c r="D54" t="s">
        <v>1703</v>
      </c>
      <c r="E54" t="s">
        <v>1791</v>
      </c>
      <c r="F54" t="s">
        <v>1705</v>
      </c>
      <c r="G54" t="s">
        <v>1705</v>
      </c>
      <c r="H54" t="s">
        <v>149</v>
      </c>
      <c r="I54" t="s">
        <v>150</v>
      </c>
      <c r="K54" t="s">
        <v>1790</v>
      </c>
      <c r="L54" t="s">
        <v>1703</v>
      </c>
      <c r="M54" t="s">
        <v>2112</v>
      </c>
      <c r="N54">
        <v>63944.099999999991</v>
      </c>
      <c r="O54">
        <v>50</v>
      </c>
      <c r="P54">
        <v>1</v>
      </c>
      <c r="Q54">
        <v>1</v>
      </c>
      <c r="R54">
        <v>0.08</v>
      </c>
      <c r="T54" t="s">
        <v>2069</v>
      </c>
    </row>
    <row r="55" spans="2:20">
      <c r="B55" t="s">
        <v>562</v>
      </c>
      <c r="C55" t="s">
        <v>1792</v>
      </c>
      <c r="D55" t="s">
        <v>1703</v>
      </c>
      <c r="E55" t="s">
        <v>1793</v>
      </c>
      <c r="F55" t="s">
        <v>1705</v>
      </c>
      <c r="G55" t="s">
        <v>1705</v>
      </c>
      <c r="H55" t="s">
        <v>149</v>
      </c>
      <c r="I55" t="s">
        <v>150</v>
      </c>
      <c r="K55" t="s">
        <v>1792</v>
      </c>
      <c r="L55" t="s">
        <v>1703</v>
      </c>
      <c r="M55" t="s">
        <v>2113</v>
      </c>
      <c r="N55">
        <v>42135.6</v>
      </c>
      <c r="O55">
        <v>50</v>
      </c>
      <c r="P55">
        <v>1</v>
      </c>
      <c r="Q55">
        <v>1</v>
      </c>
      <c r="R55">
        <v>0.08</v>
      </c>
      <c r="T55" t="s">
        <v>2069</v>
      </c>
    </row>
    <row r="56" spans="2:20">
      <c r="B56" t="s">
        <v>562</v>
      </c>
      <c r="C56" t="s">
        <v>1794</v>
      </c>
      <c r="D56" t="s">
        <v>1703</v>
      </c>
      <c r="E56" t="s">
        <v>1795</v>
      </c>
      <c r="F56" t="s">
        <v>1705</v>
      </c>
      <c r="G56" t="s">
        <v>1705</v>
      </c>
      <c r="H56" t="s">
        <v>149</v>
      </c>
      <c r="I56" t="s">
        <v>150</v>
      </c>
      <c r="K56" t="s">
        <v>1794</v>
      </c>
      <c r="L56" t="s">
        <v>1703</v>
      </c>
      <c r="M56" t="s">
        <v>2114</v>
      </c>
      <c r="N56">
        <v>48925.799999999996</v>
      </c>
      <c r="O56">
        <v>50</v>
      </c>
      <c r="P56">
        <v>1</v>
      </c>
      <c r="Q56">
        <v>1</v>
      </c>
      <c r="R56">
        <v>0.08</v>
      </c>
      <c r="T56" t="s">
        <v>2069</v>
      </c>
    </row>
    <row r="57" spans="2:20">
      <c r="B57" t="s">
        <v>562</v>
      </c>
      <c r="C57" t="s">
        <v>1796</v>
      </c>
      <c r="D57" t="s">
        <v>1703</v>
      </c>
      <c r="E57" t="s">
        <v>1797</v>
      </c>
      <c r="F57" t="s">
        <v>1705</v>
      </c>
      <c r="G57" t="s">
        <v>1705</v>
      </c>
      <c r="H57" t="s">
        <v>149</v>
      </c>
      <c r="I57" t="s">
        <v>150</v>
      </c>
      <c r="K57" t="s">
        <v>1796</v>
      </c>
      <c r="L57" t="s">
        <v>1703</v>
      </c>
      <c r="M57" t="s">
        <v>2115</v>
      </c>
      <c r="N57">
        <v>29538.899999999998</v>
      </c>
      <c r="O57">
        <v>50</v>
      </c>
      <c r="P57">
        <v>1</v>
      </c>
      <c r="Q57">
        <v>1</v>
      </c>
      <c r="R57">
        <v>0.08</v>
      </c>
      <c r="T57" t="s">
        <v>2069</v>
      </c>
    </row>
    <row r="58" spans="2:20">
      <c r="B58" t="s">
        <v>562</v>
      </c>
      <c r="C58" t="s">
        <v>1798</v>
      </c>
      <c r="D58" t="s">
        <v>1703</v>
      </c>
      <c r="E58" t="s">
        <v>1799</v>
      </c>
      <c r="F58" t="s">
        <v>1705</v>
      </c>
      <c r="G58" t="s">
        <v>1705</v>
      </c>
      <c r="H58" t="s">
        <v>149</v>
      </c>
      <c r="I58" t="s">
        <v>150</v>
      </c>
      <c r="K58" t="s">
        <v>1798</v>
      </c>
      <c r="L58" t="s">
        <v>1703</v>
      </c>
      <c r="M58" t="s">
        <v>2116</v>
      </c>
      <c r="N58">
        <v>30733.749999999996</v>
      </c>
      <c r="O58">
        <v>50</v>
      </c>
      <c r="P58">
        <v>1</v>
      </c>
      <c r="Q58">
        <v>1</v>
      </c>
      <c r="R58">
        <v>0.08</v>
      </c>
      <c r="T58" t="s">
        <v>2069</v>
      </c>
    </row>
    <row r="59" spans="2:20">
      <c r="B59" t="s">
        <v>562</v>
      </c>
      <c r="C59" t="s">
        <v>1800</v>
      </c>
      <c r="D59" t="s">
        <v>1703</v>
      </c>
      <c r="E59" t="s">
        <v>1801</v>
      </c>
      <c r="F59" t="s">
        <v>1705</v>
      </c>
      <c r="G59" t="s">
        <v>1705</v>
      </c>
      <c r="H59" t="s">
        <v>149</v>
      </c>
      <c r="I59" t="s">
        <v>150</v>
      </c>
      <c r="K59" t="s">
        <v>1800</v>
      </c>
      <c r="L59" t="s">
        <v>1703</v>
      </c>
      <c r="M59" t="s">
        <v>2117</v>
      </c>
      <c r="N59">
        <v>10104.299999999999</v>
      </c>
      <c r="O59">
        <v>50</v>
      </c>
      <c r="P59">
        <v>1</v>
      </c>
      <c r="Q59">
        <v>1</v>
      </c>
      <c r="R59">
        <v>0.08</v>
      </c>
      <c r="T59" t="s">
        <v>2069</v>
      </c>
    </row>
    <row r="60" spans="2:20">
      <c r="B60" t="s">
        <v>562</v>
      </c>
      <c r="C60" t="s">
        <v>1802</v>
      </c>
      <c r="D60" t="s">
        <v>1703</v>
      </c>
      <c r="E60" t="s">
        <v>1803</v>
      </c>
      <c r="F60" t="s">
        <v>1705</v>
      </c>
      <c r="G60" t="s">
        <v>1705</v>
      </c>
      <c r="H60" t="s">
        <v>149</v>
      </c>
      <c r="I60" t="s">
        <v>150</v>
      </c>
      <c r="K60" t="s">
        <v>1802</v>
      </c>
      <c r="L60" t="s">
        <v>1703</v>
      </c>
      <c r="M60" t="s">
        <v>2118</v>
      </c>
      <c r="N60">
        <v>8232.2000000000007</v>
      </c>
      <c r="O60">
        <v>50</v>
      </c>
      <c r="P60">
        <v>1</v>
      </c>
      <c r="Q60">
        <v>1</v>
      </c>
      <c r="R60">
        <v>0.08</v>
      </c>
      <c r="T60" t="s">
        <v>2069</v>
      </c>
    </row>
    <row r="61" spans="2:20">
      <c r="B61" t="s">
        <v>562</v>
      </c>
      <c r="C61" t="s">
        <v>1804</v>
      </c>
      <c r="D61" t="s">
        <v>1703</v>
      </c>
      <c r="E61" t="s">
        <v>1805</v>
      </c>
      <c r="F61" t="s">
        <v>1705</v>
      </c>
      <c r="G61" t="s">
        <v>1705</v>
      </c>
      <c r="H61" t="s">
        <v>149</v>
      </c>
      <c r="I61" t="s">
        <v>150</v>
      </c>
      <c r="K61" t="s">
        <v>1804</v>
      </c>
      <c r="L61" t="s">
        <v>1703</v>
      </c>
      <c r="M61" t="s">
        <v>2119</v>
      </c>
      <c r="N61">
        <v>42208.800000000003</v>
      </c>
      <c r="O61">
        <v>50</v>
      </c>
      <c r="P61">
        <v>1</v>
      </c>
      <c r="Q61">
        <v>1</v>
      </c>
      <c r="R61">
        <v>0.08</v>
      </c>
      <c r="T61" t="s">
        <v>2069</v>
      </c>
    </row>
    <row r="62" spans="2:20">
      <c r="B62" t="s">
        <v>562</v>
      </c>
      <c r="C62" t="s">
        <v>1806</v>
      </c>
      <c r="D62" t="s">
        <v>1703</v>
      </c>
      <c r="E62" t="s">
        <v>1807</v>
      </c>
      <c r="F62" t="s">
        <v>1705</v>
      </c>
      <c r="G62" t="s">
        <v>1705</v>
      </c>
      <c r="H62" t="s">
        <v>149</v>
      </c>
      <c r="I62" t="s">
        <v>150</v>
      </c>
      <c r="K62" t="s">
        <v>1806</v>
      </c>
      <c r="L62" t="s">
        <v>1703</v>
      </c>
      <c r="M62" t="s">
        <v>2120</v>
      </c>
      <c r="N62">
        <v>33283.85</v>
      </c>
      <c r="O62">
        <v>50</v>
      </c>
      <c r="P62">
        <v>1</v>
      </c>
      <c r="Q62">
        <v>1</v>
      </c>
      <c r="R62">
        <v>0.08</v>
      </c>
      <c r="T62" t="s">
        <v>2069</v>
      </c>
    </row>
    <row r="63" spans="2:20">
      <c r="B63" t="s">
        <v>562</v>
      </c>
      <c r="C63" t="s">
        <v>1808</v>
      </c>
      <c r="D63" t="s">
        <v>1703</v>
      </c>
      <c r="E63" t="s">
        <v>1809</v>
      </c>
      <c r="F63" t="s">
        <v>1705</v>
      </c>
      <c r="G63" t="s">
        <v>1705</v>
      </c>
      <c r="H63" t="s">
        <v>149</v>
      </c>
      <c r="I63" t="s">
        <v>150</v>
      </c>
      <c r="K63" t="s">
        <v>1808</v>
      </c>
      <c r="L63" t="s">
        <v>1703</v>
      </c>
      <c r="M63" t="s">
        <v>2121</v>
      </c>
      <c r="N63">
        <v>43318</v>
      </c>
      <c r="O63">
        <v>50</v>
      </c>
      <c r="P63">
        <v>1</v>
      </c>
      <c r="Q63">
        <v>1</v>
      </c>
      <c r="R63">
        <v>0.08</v>
      </c>
      <c r="T63" t="s">
        <v>2069</v>
      </c>
    </row>
    <row r="64" spans="2:20">
      <c r="B64" t="s">
        <v>562</v>
      </c>
      <c r="C64" t="s">
        <v>1810</v>
      </c>
      <c r="D64" t="s">
        <v>1703</v>
      </c>
      <c r="E64" t="s">
        <v>1811</v>
      </c>
      <c r="F64" t="s">
        <v>1705</v>
      </c>
      <c r="G64" t="s">
        <v>1705</v>
      </c>
      <c r="H64" t="s">
        <v>149</v>
      </c>
      <c r="I64" t="s">
        <v>150</v>
      </c>
      <c r="K64" t="s">
        <v>1810</v>
      </c>
      <c r="L64" t="s">
        <v>1703</v>
      </c>
      <c r="M64" t="s">
        <v>2122</v>
      </c>
      <c r="N64">
        <v>53872.799999999996</v>
      </c>
      <c r="O64">
        <v>50</v>
      </c>
      <c r="P64">
        <v>1</v>
      </c>
      <c r="Q64">
        <v>1</v>
      </c>
      <c r="R64">
        <v>0.08</v>
      </c>
      <c r="T64" t="s">
        <v>2069</v>
      </c>
    </row>
    <row r="65" spans="2:20">
      <c r="B65" t="s">
        <v>562</v>
      </c>
      <c r="C65" t="s">
        <v>1812</v>
      </c>
      <c r="D65" t="s">
        <v>1703</v>
      </c>
      <c r="E65" t="s">
        <v>1813</v>
      </c>
      <c r="F65" t="s">
        <v>1705</v>
      </c>
      <c r="G65" t="s">
        <v>1705</v>
      </c>
      <c r="H65" t="s">
        <v>149</v>
      </c>
      <c r="I65" t="s">
        <v>150</v>
      </c>
      <c r="K65" t="s">
        <v>1812</v>
      </c>
      <c r="L65" t="s">
        <v>1703</v>
      </c>
      <c r="M65" t="s">
        <v>2123</v>
      </c>
      <c r="N65">
        <v>68509.849999999991</v>
      </c>
      <c r="O65">
        <v>50</v>
      </c>
      <c r="P65">
        <v>1</v>
      </c>
      <c r="Q65">
        <v>1</v>
      </c>
      <c r="R65">
        <v>0.08</v>
      </c>
      <c r="T65" t="s">
        <v>2069</v>
      </c>
    </row>
    <row r="66" spans="2:20">
      <c r="B66" t="s">
        <v>562</v>
      </c>
      <c r="C66" t="s">
        <v>1814</v>
      </c>
      <c r="D66" t="s">
        <v>1703</v>
      </c>
      <c r="E66" t="s">
        <v>1815</v>
      </c>
      <c r="F66" t="s">
        <v>1705</v>
      </c>
      <c r="G66" t="s">
        <v>1705</v>
      </c>
      <c r="H66" t="s">
        <v>149</v>
      </c>
      <c r="I66" t="s">
        <v>150</v>
      </c>
      <c r="K66" t="s">
        <v>1814</v>
      </c>
      <c r="L66" t="s">
        <v>1703</v>
      </c>
      <c r="M66" t="s">
        <v>2124</v>
      </c>
      <c r="N66">
        <v>12505.599999999999</v>
      </c>
      <c r="O66">
        <v>50</v>
      </c>
      <c r="P66">
        <v>1</v>
      </c>
      <c r="Q66">
        <v>1</v>
      </c>
      <c r="R66">
        <v>0.08</v>
      </c>
      <c r="T66" t="s">
        <v>2069</v>
      </c>
    </row>
    <row r="67" spans="2:20">
      <c r="B67" t="s">
        <v>562</v>
      </c>
      <c r="C67" t="s">
        <v>1816</v>
      </c>
      <c r="D67" t="s">
        <v>1703</v>
      </c>
      <c r="E67" t="s">
        <v>1817</v>
      </c>
      <c r="F67" t="s">
        <v>1705</v>
      </c>
      <c r="G67" t="s">
        <v>1705</v>
      </c>
      <c r="H67" t="s">
        <v>149</v>
      </c>
      <c r="I67" t="s">
        <v>150</v>
      </c>
      <c r="K67" t="s">
        <v>1816</v>
      </c>
      <c r="L67" t="s">
        <v>1703</v>
      </c>
      <c r="M67" t="s">
        <v>2125</v>
      </c>
      <c r="N67">
        <v>41290.799999999996</v>
      </c>
      <c r="O67">
        <v>50</v>
      </c>
      <c r="P67">
        <v>1</v>
      </c>
      <c r="Q67">
        <v>1</v>
      </c>
      <c r="R67">
        <v>0.08</v>
      </c>
      <c r="T67" t="s">
        <v>2069</v>
      </c>
    </row>
    <row r="68" spans="2:20">
      <c r="B68" t="s">
        <v>562</v>
      </c>
      <c r="C68" t="s">
        <v>1818</v>
      </c>
      <c r="D68" t="s">
        <v>1703</v>
      </c>
      <c r="E68" t="s">
        <v>1819</v>
      </c>
      <c r="F68" t="s">
        <v>1705</v>
      </c>
      <c r="G68" t="s">
        <v>1705</v>
      </c>
      <c r="H68" t="s">
        <v>149</v>
      </c>
      <c r="I68" t="s">
        <v>150</v>
      </c>
      <c r="K68" t="s">
        <v>1818</v>
      </c>
      <c r="L68" t="s">
        <v>1703</v>
      </c>
      <c r="M68" t="s">
        <v>2126</v>
      </c>
      <c r="N68">
        <v>55502.85</v>
      </c>
      <c r="O68">
        <v>50</v>
      </c>
      <c r="P68">
        <v>1</v>
      </c>
      <c r="Q68">
        <v>1</v>
      </c>
      <c r="R68">
        <v>0.08</v>
      </c>
      <c r="T68" t="s">
        <v>2069</v>
      </c>
    </row>
    <row r="69" spans="2:20">
      <c r="B69" t="s">
        <v>562</v>
      </c>
      <c r="C69" t="s">
        <v>1820</v>
      </c>
      <c r="D69" t="s">
        <v>1703</v>
      </c>
      <c r="E69" t="s">
        <v>1821</v>
      </c>
      <c r="F69" t="s">
        <v>1705</v>
      </c>
      <c r="G69" t="s">
        <v>1705</v>
      </c>
      <c r="H69" t="s">
        <v>149</v>
      </c>
      <c r="I69" t="s">
        <v>150</v>
      </c>
      <c r="K69" t="s">
        <v>1820</v>
      </c>
      <c r="L69" t="s">
        <v>1703</v>
      </c>
      <c r="M69" t="s">
        <v>2070</v>
      </c>
      <c r="N69">
        <v>1320</v>
      </c>
      <c r="O69">
        <v>50</v>
      </c>
      <c r="P69">
        <v>1</v>
      </c>
      <c r="Q69">
        <v>1</v>
      </c>
      <c r="R69">
        <v>0.06</v>
      </c>
      <c r="T69" t="s">
        <v>2069</v>
      </c>
    </row>
    <row r="70" spans="2:20">
      <c r="B70" t="s">
        <v>562</v>
      </c>
      <c r="C70" t="s">
        <v>1822</v>
      </c>
      <c r="D70" t="s">
        <v>1703</v>
      </c>
      <c r="E70" t="s">
        <v>1823</v>
      </c>
      <c r="F70" t="s">
        <v>1705</v>
      </c>
      <c r="G70" t="s">
        <v>1705</v>
      </c>
      <c r="H70" t="s">
        <v>149</v>
      </c>
      <c r="I70" t="s">
        <v>150</v>
      </c>
      <c r="K70" t="s">
        <v>1822</v>
      </c>
      <c r="L70" t="s">
        <v>1703</v>
      </c>
      <c r="M70" t="s">
        <v>2080</v>
      </c>
      <c r="N70">
        <v>1200</v>
      </c>
      <c r="O70">
        <v>50</v>
      </c>
      <c r="P70">
        <v>1</v>
      </c>
      <c r="Q70">
        <v>1</v>
      </c>
      <c r="R70">
        <v>0.06</v>
      </c>
      <c r="T70" t="s">
        <v>2069</v>
      </c>
    </row>
    <row r="71" spans="2:20">
      <c r="B71" t="s">
        <v>562</v>
      </c>
      <c r="C71" t="s">
        <v>1824</v>
      </c>
      <c r="D71" t="s">
        <v>1703</v>
      </c>
      <c r="E71" t="s">
        <v>1825</v>
      </c>
      <c r="F71" t="s">
        <v>1705</v>
      </c>
      <c r="G71" t="s">
        <v>1705</v>
      </c>
      <c r="H71" t="s">
        <v>149</v>
      </c>
      <c r="I71" t="s">
        <v>150</v>
      </c>
      <c r="K71" t="s">
        <v>1824</v>
      </c>
      <c r="L71" t="s">
        <v>1703</v>
      </c>
      <c r="M71" t="s">
        <v>2082</v>
      </c>
      <c r="N71">
        <v>2148</v>
      </c>
      <c r="O71">
        <v>50</v>
      </c>
      <c r="P71">
        <v>1</v>
      </c>
      <c r="Q71">
        <v>1</v>
      </c>
      <c r="R71">
        <v>0.06</v>
      </c>
      <c r="T71" t="s">
        <v>2069</v>
      </c>
    </row>
    <row r="72" spans="2:20">
      <c r="B72" t="s">
        <v>562</v>
      </c>
      <c r="C72" t="s">
        <v>1826</v>
      </c>
      <c r="D72" t="s">
        <v>1703</v>
      </c>
      <c r="E72" t="s">
        <v>1827</v>
      </c>
      <c r="F72" t="s">
        <v>1705</v>
      </c>
      <c r="G72" t="s">
        <v>1705</v>
      </c>
      <c r="H72" t="s">
        <v>149</v>
      </c>
      <c r="I72" t="s">
        <v>150</v>
      </c>
      <c r="K72" t="s">
        <v>1826</v>
      </c>
      <c r="L72" t="s">
        <v>1703</v>
      </c>
      <c r="M72" t="s">
        <v>2083</v>
      </c>
      <c r="N72">
        <v>1218</v>
      </c>
      <c r="O72">
        <v>50</v>
      </c>
      <c r="P72">
        <v>1</v>
      </c>
      <c r="Q72">
        <v>1</v>
      </c>
      <c r="R72">
        <v>0.06</v>
      </c>
      <c r="T72" t="s">
        <v>2069</v>
      </c>
    </row>
    <row r="73" spans="2:20">
      <c r="B73" t="s">
        <v>562</v>
      </c>
      <c r="C73" t="s">
        <v>1828</v>
      </c>
      <c r="D73" t="s">
        <v>1703</v>
      </c>
      <c r="E73" t="s">
        <v>1829</v>
      </c>
      <c r="F73" t="s">
        <v>1705</v>
      </c>
      <c r="G73" t="s">
        <v>1705</v>
      </c>
      <c r="H73" t="s">
        <v>149</v>
      </c>
      <c r="I73" t="s">
        <v>150</v>
      </c>
      <c r="K73" t="s">
        <v>1828</v>
      </c>
      <c r="L73" t="s">
        <v>1703</v>
      </c>
      <c r="M73" t="s">
        <v>2088</v>
      </c>
      <c r="N73">
        <v>3600</v>
      </c>
      <c r="O73">
        <v>50</v>
      </c>
      <c r="P73">
        <v>1</v>
      </c>
      <c r="Q73">
        <v>1</v>
      </c>
      <c r="R73">
        <v>0.06</v>
      </c>
      <c r="T73" t="s">
        <v>2069</v>
      </c>
    </row>
    <row r="74" spans="2:20">
      <c r="B74" t="s">
        <v>562</v>
      </c>
      <c r="C74" t="s">
        <v>1830</v>
      </c>
      <c r="D74" t="s">
        <v>1703</v>
      </c>
      <c r="E74" t="s">
        <v>1831</v>
      </c>
      <c r="F74" t="s">
        <v>1705</v>
      </c>
      <c r="G74" t="s">
        <v>1705</v>
      </c>
      <c r="H74" t="s">
        <v>149</v>
      </c>
      <c r="I74" t="s">
        <v>150</v>
      </c>
      <c r="K74" t="s">
        <v>1830</v>
      </c>
      <c r="L74" t="s">
        <v>1703</v>
      </c>
      <c r="M74" t="s">
        <v>2089</v>
      </c>
      <c r="N74">
        <v>1200</v>
      </c>
      <c r="O74">
        <v>50</v>
      </c>
      <c r="P74">
        <v>1</v>
      </c>
      <c r="Q74">
        <v>1</v>
      </c>
      <c r="R74">
        <v>0.06</v>
      </c>
      <c r="T74" t="s">
        <v>2069</v>
      </c>
    </row>
    <row r="75" spans="2:20">
      <c r="B75" t="s">
        <v>562</v>
      </c>
      <c r="C75" t="s">
        <v>1832</v>
      </c>
      <c r="D75" t="s">
        <v>1703</v>
      </c>
      <c r="E75" t="s">
        <v>1833</v>
      </c>
      <c r="F75" t="s">
        <v>1705</v>
      </c>
      <c r="G75" t="s">
        <v>1705</v>
      </c>
      <c r="H75" t="s">
        <v>149</v>
      </c>
      <c r="I75" t="s">
        <v>150</v>
      </c>
      <c r="K75" t="s">
        <v>1832</v>
      </c>
      <c r="L75" t="s">
        <v>1703</v>
      </c>
      <c r="M75" t="s">
        <v>2094</v>
      </c>
      <c r="N75">
        <v>960</v>
      </c>
      <c r="O75">
        <v>50</v>
      </c>
      <c r="P75">
        <v>1</v>
      </c>
      <c r="Q75">
        <v>1</v>
      </c>
      <c r="R75">
        <v>0.06</v>
      </c>
      <c r="T75" t="s">
        <v>2069</v>
      </c>
    </row>
    <row r="76" spans="2:20">
      <c r="B76" t="s">
        <v>562</v>
      </c>
      <c r="C76" t="s">
        <v>1834</v>
      </c>
      <c r="D76" t="s">
        <v>1703</v>
      </c>
      <c r="E76" t="s">
        <v>1835</v>
      </c>
      <c r="F76" t="s">
        <v>1705</v>
      </c>
      <c r="G76" t="s">
        <v>1705</v>
      </c>
      <c r="H76" t="s">
        <v>149</v>
      </c>
      <c r="I76" t="s">
        <v>150</v>
      </c>
      <c r="K76" t="s">
        <v>1834</v>
      </c>
      <c r="L76" t="s">
        <v>1703</v>
      </c>
      <c r="M76" t="s">
        <v>2098</v>
      </c>
      <c r="N76">
        <v>6600</v>
      </c>
      <c r="O76">
        <v>50</v>
      </c>
      <c r="P76">
        <v>1</v>
      </c>
      <c r="Q76">
        <v>1</v>
      </c>
      <c r="R76">
        <v>0.06</v>
      </c>
      <c r="T76" t="s">
        <v>2069</v>
      </c>
    </row>
    <row r="77" spans="2:20">
      <c r="B77" t="s">
        <v>562</v>
      </c>
      <c r="C77" t="s">
        <v>1836</v>
      </c>
      <c r="D77" t="s">
        <v>1703</v>
      </c>
      <c r="E77" t="s">
        <v>1837</v>
      </c>
      <c r="F77" t="s">
        <v>1705</v>
      </c>
      <c r="G77" t="s">
        <v>1705</v>
      </c>
      <c r="H77" t="s">
        <v>149</v>
      </c>
      <c r="I77" t="s">
        <v>150</v>
      </c>
      <c r="K77" t="s">
        <v>1836</v>
      </c>
      <c r="L77" t="s">
        <v>1703</v>
      </c>
      <c r="M77" t="s">
        <v>2100</v>
      </c>
      <c r="N77">
        <v>2820</v>
      </c>
      <c r="O77">
        <v>50</v>
      </c>
      <c r="P77">
        <v>1</v>
      </c>
      <c r="Q77">
        <v>1</v>
      </c>
      <c r="R77">
        <v>0.06</v>
      </c>
      <c r="T77" t="s">
        <v>2069</v>
      </c>
    </row>
    <row r="78" spans="2:20">
      <c r="B78" t="s">
        <v>562</v>
      </c>
      <c r="C78" t="s">
        <v>1838</v>
      </c>
      <c r="D78" t="s">
        <v>1703</v>
      </c>
      <c r="E78" t="s">
        <v>1833</v>
      </c>
      <c r="F78" t="s">
        <v>1705</v>
      </c>
      <c r="G78" t="s">
        <v>1705</v>
      </c>
      <c r="H78" t="s">
        <v>149</v>
      </c>
      <c r="I78" t="s">
        <v>150</v>
      </c>
      <c r="K78" t="s">
        <v>1838</v>
      </c>
      <c r="L78" t="s">
        <v>1703</v>
      </c>
      <c r="M78" t="s">
        <v>2101</v>
      </c>
      <c r="N78">
        <v>960</v>
      </c>
      <c r="O78">
        <v>50</v>
      </c>
      <c r="P78">
        <v>1</v>
      </c>
      <c r="Q78">
        <v>1</v>
      </c>
      <c r="R78">
        <v>0.06</v>
      </c>
      <c r="T78" t="s">
        <v>2069</v>
      </c>
    </row>
    <row r="79" spans="2:20">
      <c r="B79" t="s">
        <v>562</v>
      </c>
      <c r="C79" t="s">
        <v>1839</v>
      </c>
      <c r="D79" t="s">
        <v>1703</v>
      </c>
      <c r="E79" t="s">
        <v>1840</v>
      </c>
      <c r="F79" t="s">
        <v>1705</v>
      </c>
      <c r="G79" t="s">
        <v>1705</v>
      </c>
      <c r="H79" t="s">
        <v>149</v>
      </c>
      <c r="I79" t="s">
        <v>150</v>
      </c>
      <c r="K79" t="s">
        <v>1839</v>
      </c>
      <c r="L79" t="s">
        <v>1703</v>
      </c>
      <c r="M79" t="s">
        <v>2102</v>
      </c>
      <c r="N79">
        <v>1800</v>
      </c>
      <c r="O79">
        <v>50</v>
      </c>
      <c r="P79">
        <v>1</v>
      </c>
      <c r="Q79">
        <v>1</v>
      </c>
      <c r="R79">
        <v>0.06</v>
      </c>
      <c r="T79" t="s">
        <v>2069</v>
      </c>
    </row>
    <row r="80" spans="2:20">
      <c r="B80" t="s">
        <v>562</v>
      </c>
      <c r="C80" t="s">
        <v>1841</v>
      </c>
      <c r="D80" t="s">
        <v>1703</v>
      </c>
      <c r="E80" t="s">
        <v>1842</v>
      </c>
      <c r="F80" t="s">
        <v>1705</v>
      </c>
      <c r="G80" t="s">
        <v>1705</v>
      </c>
      <c r="H80" t="s">
        <v>149</v>
      </c>
      <c r="I80" t="s">
        <v>150</v>
      </c>
      <c r="K80" t="s">
        <v>1841</v>
      </c>
      <c r="L80" t="s">
        <v>1703</v>
      </c>
      <c r="M80" t="s">
        <v>2103</v>
      </c>
      <c r="N80">
        <v>7920</v>
      </c>
      <c r="O80">
        <v>50</v>
      </c>
      <c r="P80">
        <v>1</v>
      </c>
      <c r="Q80">
        <v>1</v>
      </c>
      <c r="R80">
        <v>0.06</v>
      </c>
      <c r="T80" t="s">
        <v>2069</v>
      </c>
    </row>
    <row r="81" spans="2:20">
      <c r="B81" t="s">
        <v>562</v>
      </c>
      <c r="C81" t="s">
        <v>1843</v>
      </c>
      <c r="D81" t="s">
        <v>1703</v>
      </c>
      <c r="E81" t="s">
        <v>1844</v>
      </c>
      <c r="F81" t="s">
        <v>1705</v>
      </c>
      <c r="G81" t="s">
        <v>1705</v>
      </c>
      <c r="H81" t="s">
        <v>149</v>
      </c>
      <c r="I81" t="s">
        <v>150</v>
      </c>
      <c r="K81" t="s">
        <v>1843</v>
      </c>
      <c r="L81" t="s">
        <v>1703</v>
      </c>
      <c r="M81" t="s">
        <v>2104</v>
      </c>
      <c r="N81">
        <v>8064</v>
      </c>
      <c r="O81">
        <v>50</v>
      </c>
      <c r="P81">
        <v>1</v>
      </c>
      <c r="Q81">
        <v>1</v>
      </c>
      <c r="R81">
        <v>0.06</v>
      </c>
      <c r="T81" t="s">
        <v>2069</v>
      </c>
    </row>
    <row r="82" spans="2:20">
      <c r="B82" t="s">
        <v>562</v>
      </c>
      <c r="C82" t="s">
        <v>1845</v>
      </c>
      <c r="D82" t="s">
        <v>1703</v>
      </c>
      <c r="E82" t="s">
        <v>1846</v>
      </c>
      <c r="F82" t="s">
        <v>1705</v>
      </c>
      <c r="G82" t="s">
        <v>1705</v>
      </c>
      <c r="H82" t="s">
        <v>149</v>
      </c>
      <c r="I82" t="s">
        <v>150</v>
      </c>
      <c r="K82" t="s">
        <v>1845</v>
      </c>
      <c r="L82" t="s">
        <v>1703</v>
      </c>
      <c r="M82" t="s">
        <v>2108</v>
      </c>
      <c r="N82">
        <v>4080</v>
      </c>
      <c r="O82">
        <v>50</v>
      </c>
      <c r="P82">
        <v>1</v>
      </c>
      <c r="Q82">
        <v>1</v>
      </c>
      <c r="R82">
        <v>0.06</v>
      </c>
      <c r="T82" t="s">
        <v>2069</v>
      </c>
    </row>
    <row r="83" spans="2:20">
      <c r="B83" t="s">
        <v>562</v>
      </c>
      <c r="C83" t="s">
        <v>1847</v>
      </c>
      <c r="D83" t="s">
        <v>1703</v>
      </c>
      <c r="E83" t="s">
        <v>1848</v>
      </c>
      <c r="F83" t="s">
        <v>1705</v>
      </c>
      <c r="G83" t="s">
        <v>1705</v>
      </c>
      <c r="H83" t="s">
        <v>149</v>
      </c>
      <c r="I83" t="s">
        <v>150</v>
      </c>
      <c r="K83" t="s">
        <v>1847</v>
      </c>
      <c r="L83" t="s">
        <v>1703</v>
      </c>
      <c r="M83" t="s">
        <v>2111</v>
      </c>
      <c r="N83">
        <v>252</v>
      </c>
      <c r="O83">
        <v>50</v>
      </c>
      <c r="P83">
        <v>1</v>
      </c>
      <c r="Q83">
        <v>1</v>
      </c>
      <c r="R83">
        <v>0.06</v>
      </c>
      <c r="T83" t="s">
        <v>2069</v>
      </c>
    </row>
    <row r="84" spans="2:20">
      <c r="B84" t="s">
        <v>562</v>
      </c>
      <c r="C84" t="s">
        <v>1849</v>
      </c>
      <c r="D84" t="s">
        <v>1703</v>
      </c>
      <c r="E84" t="s">
        <v>1821</v>
      </c>
      <c r="F84" t="s">
        <v>1705</v>
      </c>
      <c r="G84" t="s">
        <v>1705</v>
      </c>
      <c r="H84" t="s">
        <v>149</v>
      </c>
      <c r="I84" t="s">
        <v>150</v>
      </c>
      <c r="K84" t="s">
        <v>1849</v>
      </c>
      <c r="L84" t="s">
        <v>1703</v>
      </c>
      <c r="M84" t="s">
        <v>2112</v>
      </c>
      <c r="N84">
        <v>1320</v>
      </c>
      <c r="O84">
        <v>50</v>
      </c>
      <c r="P84">
        <v>1</v>
      </c>
      <c r="Q84">
        <v>1</v>
      </c>
      <c r="R84">
        <v>0.06</v>
      </c>
      <c r="T84" t="s">
        <v>2069</v>
      </c>
    </row>
    <row r="85" spans="2:20">
      <c r="B85" t="s">
        <v>562</v>
      </c>
      <c r="C85" t="s">
        <v>1850</v>
      </c>
      <c r="D85" t="s">
        <v>1703</v>
      </c>
      <c r="E85" t="s">
        <v>1851</v>
      </c>
      <c r="F85" t="s">
        <v>1705</v>
      </c>
      <c r="G85" t="s">
        <v>1705</v>
      </c>
      <c r="H85" t="s">
        <v>149</v>
      </c>
      <c r="I85" t="s">
        <v>150</v>
      </c>
      <c r="K85" t="s">
        <v>1850</v>
      </c>
      <c r="L85" t="s">
        <v>1703</v>
      </c>
      <c r="M85" t="s">
        <v>2113</v>
      </c>
      <c r="N85">
        <v>840</v>
      </c>
      <c r="O85">
        <v>50</v>
      </c>
      <c r="P85">
        <v>1</v>
      </c>
      <c r="Q85">
        <v>1</v>
      </c>
      <c r="R85">
        <v>0.06</v>
      </c>
      <c r="T85" t="s">
        <v>2069</v>
      </c>
    </row>
    <row r="86" spans="2:20">
      <c r="B86" t="s">
        <v>562</v>
      </c>
      <c r="C86" t="s">
        <v>1852</v>
      </c>
      <c r="D86" t="s">
        <v>1703</v>
      </c>
      <c r="E86" t="s">
        <v>1853</v>
      </c>
      <c r="F86" t="s">
        <v>1705</v>
      </c>
      <c r="G86" t="s">
        <v>1705</v>
      </c>
      <c r="H86" t="s">
        <v>149</v>
      </c>
      <c r="I86" t="s">
        <v>150</v>
      </c>
      <c r="K86" t="s">
        <v>1852</v>
      </c>
      <c r="L86" t="s">
        <v>1703</v>
      </c>
      <c r="M86" t="s">
        <v>2118</v>
      </c>
      <c r="N86">
        <v>4440</v>
      </c>
      <c r="O86">
        <v>50</v>
      </c>
      <c r="P86">
        <v>1</v>
      </c>
      <c r="Q86">
        <v>1</v>
      </c>
      <c r="R86">
        <v>0.06</v>
      </c>
      <c r="T86" t="s">
        <v>2069</v>
      </c>
    </row>
    <row r="87" spans="2:20">
      <c r="B87" t="s">
        <v>562</v>
      </c>
      <c r="C87" t="s">
        <v>1854</v>
      </c>
      <c r="D87" t="s">
        <v>1703</v>
      </c>
      <c r="E87" t="s">
        <v>1855</v>
      </c>
      <c r="F87" t="s">
        <v>1705</v>
      </c>
      <c r="G87" t="s">
        <v>1705</v>
      </c>
      <c r="H87" t="s">
        <v>149</v>
      </c>
      <c r="I87" t="s">
        <v>150</v>
      </c>
      <c r="K87" t="s">
        <v>1854</v>
      </c>
      <c r="L87" t="s">
        <v>1703</v>
      </c>
      <c r="M87" t="s">
        <v>2119</v>
      </c>
      <c r="N87">
        <v>2160</v>
      </c>
      <c r="O87">
        <v>50</v>
      </c>
      <c r="P87">
        <v>1</v>
      </c>
      <c r="Q87">
        <v>1</v>
      </c>
      <c r="R87">
        <v>0.06</v>
      </c>
      <c r="T87" t="s">
        <v>2069</v>
      </c>
    </row>
    <row r="88" spans="2:20">
      <c r="B88" t="s">
        <v>562</v>
      </c>
      <c r="C88" t="s">
        <v>1856</v>
      </c>
      <c r="D88" t="s">
        <v>1703</v>
      </c>
      <c r="E88" t="s">
        <v>1857</v>
      </c>
      <c r="F88" t="s">
        <v>1705</v>
      </c>
      <c r="G88" t="s">
        <v>1705</v>
      </c>
      <c r="H88" t="s">
        <v>149</v>
      </c>
      <c r="I88" t="s">
        <v>150</v>
      </c>
      <c r="K88" t="s">
        <v>1856</v>
      </c>
      <c r="L88" t="s">
        <v>1703</v>
      </c>
      <c r="M88" t="s">
        <v>2120</v>
      </c>
      <c r="N88">
        <v>3816</v>
      </c>
      <c r="O88">
        <v>50</v>
      </c>
      <c r="P88">
        <v>1</v>
      </c>
      <c r="Q88">
        <v>1</v>
      </c>
      <c r="R88">
        <v>0.06</v>
      </c>
      <c r="T88" t="s">
        <v>2069</v>
      </c>
    </row>
    <row r="89" spans="2:20">
      <c r="B89" t="s">
        <v>562</v>
      </c>
      <c r="C89" t="s">
        <v>1858</v>
      </c>
      <c r="D89" t="s">
        <v>1703</v>
      </c>
      <c r="E89" t="s">
        <v>1833</v>
      </c>
      <c r="F89" t="s">
        <v>1705</v>
      </c>
      <c r="G89" t="s">
        <v>1705</v>
      </c>
      <c r="H89" t="s">
        <v>149</v>
      </c>
      <c r="I89" t="s">
        <v>150</v>
      </c>
      <c r="K89" t="s">
        <v>1858</v>
      </c>
      <c r="L89" t="s">
        <v>1703</v>
      </c>
      <c r="M89" t="s">
        <v>2126</v>
      </c>
      <c r="N89">
        <v>960</v>
      </c>
      <c r="O89">
        <v>50</v>
      </c>
      <c r="P89">
        <v>1</v>
      </c>
      <c r="Q89">
        <v>1</v>
      </c>
      <c r="R89">
        <v>0.06</v>
      </c>
      <c r="T89" t="s">
        <v>2069</v>
      </c>
    </row>
    <row r="90" spans="2:20">
      <c r="B90" t="s">
        <v>562</v>
      </c>
      <c r="C90" t="s">
        <v>1859</v>
      </c>
      <c r="D90" t="s">
        <v>1703</v>
      </c>
      <c r="E90" t="s">
        <v>1860</v>
      </c>
      <c r="F90" t="s">
        <v>1705</v>
      </c>
      <c r="G90" t="s">
        <v>1705</v>
      </c>
      <c r="H90" t="s">
        <v>149</v>
      </c>
      <c r="I90" t="s">
        <v>150</v>
      </c>
      <c r="K90" t="s">
        <v>1859</v>
      </c>
      <c r="L90" t="s">
        <v>1703</v>
      </c>
      <c r="M90" t="s">
        <v>2068</v>
      </c>
      <c r="N90">
        <v>14953</v>
      </c>
      <c r="O90">
        <v>50</v>
      </c>
      <c r="P90">
        <v>1</v>
      </c>
      <c r="Q90">
        <v>1</v>
      </c>
      <c r="R90">
        <v>7.0000000000000007E-2</v>
      </c>
      <c r="T90" t="s">
        <v>2069</v>
      </c>
    </row>
    <row r="91" spans="2:20">
      <c r="B91" t="s">
        <v>562</v>
      </c>
      <c r="C91" t="s">
        <v>1861</v>
      </c>
      <c r="D91" t="s">
        <v>1703</v>
      </c>
      <c r="E91" t="s">
        <v>1862</v>
      </c>
      <c r="F91" t="s">
        <v>1705</v>
      </c>
      <c r="G91" t="s">
        <v>1705</v>
      </c>
      <c r="H91" t="s">
        <v>149</v>
      </c>
      <c r="I91" t="s">
        <v>150</v>
      </c>
      <c r="K91" t="s">
        <v>1861</v>
      </c>
      <c r="L91" t="s">
        <v>1703</v>
      </c>
      <c r="M91" t="s">
        <v>2070</v>
      </c>
      <c r="N91">
        <v>34374.5</v>
      </c>
      <c r="O91">
        <v>50</v>
      </c>
      <c r="P91">
        <v>1</v>
      </c>
      <c r="Q91">
        <v>1</v>
      </c>
      <c r="R91">
        <v>7.0000000000000007E-2</v>
      </c>
      <c r="T91" t="s">
        <v>2069</v>
      </c>
    </row>
    <row r="92" spans="2:20">
      <c r="B92" t="s">
        <v>562</v>
      </c>
      <c r="C92" t="s">
        <v>1863</v>
      </c>
      <c r="D92" t="s">
        <v>1703</v>
      </c>
      <c r="E92" t="s">
        <v>1864</v>
      </c>
      <c r="F92" t="s">
        <v>1705</v>
      </c>
      <c r="G92" t="s">
        <v>1705</v>
      </c>
      <c r="H92" t="s">
        <v>149</v>
      </c>
      <c r="I92" t="s">
        <v>150</v>
      </c>
      <c r="K92" t="s">
        <v>1863</v>
      </c>
      <c r="L92" t="s">
        <v>1703</v>
      </c>
      <c r="M92" t="s">
        <v>2071</v>
      </c>
      <c r="N92">
        <v>9183.7000000000007</v>
      </c>
      <c r="O92">
        <v>50</v>
      </c>
      <c r="P92">
        <v>1</v>
      </c>
      <c r="Q92">
        <v>1</v>
      </c>
      <c r="R92">
        <v>7.0000000000000007E-2</v>
      </c>
      <c r="T92" t="s">
        <v>2069</v>
      </c>
    </row>
    <row r="93" spans="2:20">
      <c r="B93" t="s">
        <v>562</v>
      </c>
      <c r="C93" t="s">
        <v>1865</v>
      </c>
      <c r="D93" t="s">
        <v>1703</v>
      </c>
      <c r="E93" t="s">
        <v>1866</v>
      </c>
      <c r="F93" t="s">
        <v>1705</v>
      </c>
      <c r="G93" t="s">
        <v>1705</v>
      </c>
      <c r="H93" t="s">
        <v>149</v>
      </c>
      <c r="I93" t="s">
        <v>150</v>
      </c>
      <c r="K93" t="s">
        <v>1865</v>
      </c>
      <c r="L93" t="s">
        <v>1703</v>
      </c>
      <c r="M93" t="s">
        <v>2073</v>
      </c>
      <c r="N93">
        <v>3180</v>
      </c>
      <c r="O93">
        <v>50</v>
      </c>
      <c r="P93">
        <v>1</v>
      </c>
      <c r="Q93">
        <v>1</v>
      </c>
      <c r="R93">
        <v>7.0000000000000007E-2</v>
      </c>
      <c r="T93" t="s">
        <v>2069</v>
      </c>
    </row>
    <row r="94" spans="2:20">
      <c r="B94" t="s">
        <v>562</v>
      </c>
      <c r="C94" t="s">
        <v>1867</v>
      </c>
      <c r="D94" t="s">
        <v>1703</v>
      </c>
      <c r="E94" t="s">
        <v>1868</v>
      </c>
      <c r="F94" t="s">
        <v>1705</v>
      </c>
      <c r="G94" t="s">
        <v>1705</v>
      </c>
      <c r="H94" t="s">
        <v>149</v>
      </c>
      <c r="I94" t="s">
        <v>150</v>
      </c>
      <c r="K94" t="s">
        <v>1867</v>
      </c>
      <c r="L94" t="s">
        <v>1703</v>
      </c>
      <c r="M94" t="s">
        <v>2075</v>
      </c>
      <c r="N94">
        <v>2965.6</v>
      </c>
      <c r="O94">
        <v>50</v>
      </c>
      <c r="P94">
        <v>1</v>
      </c>
      <c r="Q94">
        <v>1</v>
      </c>
      <c r="R94">
        <v>7.0000000000000007E-2</v>
      </c>
      <c r="T94" t="s">
        <v>2069</v>
      </c>
    </row>
    <row r="95" spans="2:20">
      <c r="B95" t="s">
        <v>562</v>
      </c>
      <c r="C95" t="s">
        <v>1869</v>
      </c>
      <c r="D95" t="s">
        <v>1703</v>
      </c>
      <c r="E95" t="s">
        <v>1870</v>
      </c>
      <c r="F95" t="s">
        <v>1705</v>
      </c>
      <c r="G95" t="s">
        <v>1705</v>
      </c>
      <c r="H95" t="s">
        <v>149</v>
      </c>
      <c r="I95" t="s">
        <v>150</v>
      </c>
      <c r="K95" t="s">
        <v>1869</v>
      </c>
      <c r="L95" t="s">
        <v>1703</v>
      </c>
      <c r="M95" t="s">
        <v>2076</v>
      </c>
      <c r="N95">
        <v>13658.9</v>
      </c>
      <c r="O95">
        <v>50</v>
      </c>
      <c r="P95">
        <v>1</v>
      </c>
      <c r="Q95">
        <v>1</v>
      </c>
      <c r="R95">
        <v>7.0000000000000007E-2</v>
      </c>
      <c r="T95" t="s">
        <v>2069</v>
      </c>
    </row>
    <row r="96" spans="2:20">
      <c r="B96" t="s">
        <v>562</v>
      </c>
      <c r="C96" t="s">
        <v>1871</v>
      </c>
      <c r="D96" t="s">
        <v>1703</v>
      </c>
      <c r="E96" t="s">
        <v>1872</v>
      </c>
      <c r="F96" t="s">
        <v>1705</v>
      </c>
      <c r="G96" t="s">
        <v>1705</v>
      </c>
      <c r="H96" t="s">
        <v>149</v>
      </c>
      <c r="I96" t="s">
        <v>150</v>
      </c>
      <c r="K96" t="s">
        <v>1871</v>
      </c>
      <c r="L96" t="s">
        <v>1703</v>
      </c>
      <c r="M96" t="s">
        <v>2077</v>
      </c>
      <c r="N96">
        <v>11362</v>
      </c>
      <c r="O96">
        <v>50</v>
      </c>
      <c r="P96">
        <v>1</v>
      </c>
      <c r="Q96">
        <v>1</v>
      </c>
      <c r="R96">
        <v>7.0000000000000007E-2</v>
      </c>
      <c r="T96" t="s">
        <v>2069</v>
      </c>
    </row>
    <row r="97" spans="2:20">
      <c r="B97" t="s">
        <v>562</v>
      </c>
      <c r="C97" t="s">
        <v>1873</v>
      </c>
      <c r="D97" t="s">
        <v>1703</v>
      </c>
      <c r="E97" t="s">
        <v>1874</v>
      </c>
      <c r="F97" t="s">
        <v>1705</v>
      </c>
      <c r="G97" t="s">
        <v>1705</v>
      </c>
      <c r="H97" t="s">
        <v>149</v>
      </c>
      <c r="I97" t="s">
        <v>150</v>
      </c>
      <c r="K97" t="s">
        <v>1873</v>
      </c>
      <c r="L97" t="s">
        <v>1703</v>
      </c>
      <c r="M97" t="s">
        <v>2078</v>
      </c>
      <c r="N97">
        <v>29476.5</v>
      </c>
      <c r="O97">
        <v>50</v>
      </c>
      <c r="P97">
        <v>1</v>
      </c>
      <c r="Q97">
        <v>1</v>
      </c>
      <c r="R97">
        <v>7.0000000000000007E-2</v>
      </c>
      <c r="T97" t="s">
        <v>2069</v>
      </c>
    </row>
    <row r="98" spans="2:20">
      <c r="B98" t="s">
        <v>562</v>
      </c>
      <c r="C98" t="s">
        <v>1875</v>
      </c>
      <c r="D98" t="s">
        <v>1703</v>
      </c>
      <c r="E98" t="s">
        <v>1876</v>
      </c>
      <c r="F98" t="s">
        <v>1705</v>
      </c>
      <c r="G98" t="s">
        <v>1705</v>
      </c>
      <c r="H98" t="s">
        <v>149</v>
      </c>
      <c r="I98" t="s">
        <v>150</v>
      </c>
      <c r="K98" t="s">
        <v>1875</v>
      </c>
      <c r="L98" t="s">
        <v>1703</v>
      </c>
      <c r="M98" t="s">
        <v>2080</v>
      </c>
      <c r="N98">
        <v>41151</v>
      </c>
      <c r="O98">
        <v>50</v>
      </c>
      <c r="P98">
        <v>1</v>
      </c>
      <c r="Q98">
        <v>1</v>
      </c>
      <c r="R98">
        <v>7.0000000000000007E-2</v>
      </c>
      <c r="T98" t="s">
        <v>2069</v>
      </c>
    </row>
    <row r="99" spans="2:20">
      <c r="B99" t="s">
        <v>562</v>
      </c>
      <c r="C99" t="s">
        <v>1877</v>
      </c>
      <c r="D99" t="s">
        <v>1703</v>
      </c>
      <c r="E99" t="s">
        <v>1878</v>
      </c>
      <c r="F99" t="s">
        <v>1705</v>
      </c>
      <c r="G99" t="s">
        <v>1705</v>
      </c>
      <c r="H99" t="s">
        <v>149</v>
      </c>
      <c r="I99" t="s">
        <v>150</v>
      </c>
      <c r="K99" t="s">
        <v>1877</v>
      </c>
      <c r="L99" t="s">
        <v>1703</v>
      </c>
      <c r="M99" t="s">
        <v>2081</v>
      </c>
      <c r="N99">
        <v>26400.7</v>
      </c>
      <c r="O99">
        <v>50</v>
      </c>
      <c r="P99">
        <v>1</v>
      </c>
      <c r="Q99">
        <v>1</v>
      </c>
      <c r="R99">
        <v>7.0000000000000007E-2</v>
      </c>
      <c r="T99" t="s">
        <v>2069</v>
      </c>
    </row>
    <row r="100" spans="2:20">
      <c r="B100" t="s">
        <v>562</v>
      </c>
      <c r="C100" t="s">
        <v>1879</v>
      </c>
      <c r="D100" t="s">
        <v>1703</v>
      </c>
      <c r="E100" t="s">
        <v>1880</v>
      </c>
      <c r="F100" t="s">
        <v>1705</v>
      </c>
      <c r="G100" t="s">
        <v>1705</v>
      </c>
      <c r="H100" t="s">
        <v>149</v>
      </c>
      <c r="I100" t="s">
        <v>150</v>
      </c>
      <c r="K100" t="s">
        <v>1879</v>
      </c>
      <c r="L100" t="s">
        <v>1703</v>
      </c>
      <c r="M100" t="s">
        <v>2082</v>
      </c>
      <c r="N100">
        <v>10528.599999999999</v>
      </c>
      <c r="O100">
        <v>50</v>
      </c>
      <c r="P100">
        <v>1</v>
      </c>
      <c r="Q100">
        <v>1</v>
      </c>
      <c r="R100">
        <v>7.0000000000000007E-2</v>
      </c>
      <c r="T100" t="s">
        <v>2069</v>
      </c>
    </row>
    <row r="101" spans="2:20">
      <c r="B101" t="s">
        <v>562</v>
      </c>
      <c r="C101" t="s">
        <v>1881</v>
      </c>
      <c r="D101" t="s">
        <v>1703</v>
      </c>
      <c r="E101" t="s">
        <v>1882</v>
      </c>
      <c r="F101" t="s">
        <v>1705</v>
      </c>
      <c r="G101" t="s">
        <v>1705</v>
      </c>
      <c r="H101" t="s">
        <v>149</v>
      </c>
      <c r="I101" t="s">
        <v>150</v>
      </c>
      <c r="K101" t="s">
        <v>1881</v>
      </c>
      <c r="L101" t="s">
        <v>1703</v>
      </c>
      <c r="M101" t="s">
        <v>2083</v>
      </c>
      <c r="N101">
        <v>14769</v>
      </c>
      <c r="O101">
        <v>50</v>
      </c>
      <c r="P101">
        <v>1</v>
      </c>
      <c r="Q101">
        <v>1</v>
      </c>
      <c r="R101">
        <v>7.0000000000000007E-2</v>
      </c>
      <c r="T101" t="s">
        <v>2069</v>
      </c>
    </row>
    <row r="102" spans="2:20">
      <c r="B102" t="s">
        <v>562</v>
      </c>
      <c r="C102" t="s">
        <v>1883</v>
      </c>
      <c r="D102" t="s">
        <v>1703</v>
      </c>
      <c r="E102" t="s">
        <v>1884</v>
      </c>
      <c r="F102" t="s">
        <v>1705</v>
      </c>
      <c r="G102" t="s">
        <v>1705</v>
      </c>
      <c r="H102" t="s">
        <v>149</v>
      </c>
      <c r="I102" t="s">
        <v>150</v>
      </c>
      <c r="K102" t="s">
        <v>1883</v>
      </c>
      <c r="L102" t="s">
        <v>1703</v>
      </c>
      <c r="M102" t="s">
        <v>2084</v>
      </c>
      <c r="N102">
        <v>51926.5</v>
      </c>
      <c r="O102">
        <v>50</v>
      </c>
      <c r="P102">
        <v>1</v>
      </c>
      <c r="Q102">
        <v>1</v>
      </c>
      <c r="R102">
        <v>7.0000000000000007E-2</v>
      </c>
      <c r="T102" t="s">
        <v>2069</v>
      </c>
    </row>
    <row r="103" spans="2:20">
      <c r="B103" t="s">
        <v>562</v>
      </c>
      <c r="C103" t="s">
        <v>1885</v>
      </c>
      <c r="D103" t="s">
        <v>1703</v>
      </c>
      <c r="E103" t="s">
        <v>1886</v>
      </c>
      <c r="F103" t="s">
        <v>1705</v>
      </c>
      <c r="G103" t="s">
        <v>1705</v>
      </c>
      <c r="H103" t="s">
        <v>149</v>
      </c>
      <c r="I103" t="s">
        <v>150</v>
      </c>
      <c r="K103" t="s">
        <v>1885</v>
      </c>
      <c r="L103" t="s">
        <v>1703</v>
      </c>
      <c r="M103" t="s">
        <v>2085</v>
      </c>
      <c r="N103">
        <v>35622</v>
      </c>
      <c r="O103">
        <v>50</v>
      </c>
      <c r="P103">
        <v>1</v>
      </c>
      <c r="Q103">
        <v>1</v>
      </c>
      <c r="R103">
        <v>7.0000000000000007E-2</v>
      </c>
      <c r="T103" t="s">
        <v>2069</v>
      </c>
    </row>
    <row r="104" spans="2:20">
      <c r="B104" t="s">
        <v>562</v>
      </c>
      <c r="C104" t="s">
        <v>1887</v>
      </c>
      <c r="D104" t="s">
        <v>1703</v>
      </c>
      <c r="E104" t="s">
        <v>1888</v>
      </c>
      <c r="F104" t="s">
        <v>1705</v>
      </c>
      <c r="G104" t="s">
        <v>1705</v>
      </c>
      <c r="H104" t="s">
        <v>149</v>
      </c>
      <c r="I104" t="s">
        <v>150</v>
      </c>
      <c r="K104" t="s">
        <v>1887</v>
      </c>
      <c r="L104" t="s">
        <v>1703</v>
      </c>
      <c r="M104" t="s">
        <v>2086</v>
      </c>
      <c r="N104">
        <v>23620.2</v>
      </c>
      <c r="O104">
        <v>50</v>
      </c>
      <c r="P104">
        <v>1</v>
      </c>
      <c r="Q104">
        <v>1</v>
      </c>
      <c r="R104">
        <v>7.0000000000000007E-2</v>
      </c>
      <c r="T104" t="s">
        <v>2069</v>
      </c>
    </row>
    <row r="105" spans="2:20">
      <c r="B105" t="s">
        <v>562</v>
      </c>
      <c r="C105" t="s">
        <v>1889</v>
      </c>
      <c r="D105" t="s">
        <v>1703</v>
      </c>
      <c r="E105" t="s">
        <v>1890</v>
      </c>
      <c r="F105" t="s">
        <v>1705</v>
      </c>
      <c r="G105" t="s">
        <v>1705</v>
      </c>
      <c r="H105" t="s">
        <v>149</v>
      </c>
      <c r="I105" t="s">
        <v>150</v>
      </c>
      <c r="K105" t="s">
        <v>1889</v>
      </c>
      <c r="L105" t="s">
        <v>1703</v>
      </c>
      <c r="M105" t="s">
        <v>2087</v>
      </c>
      <c r="N105">
        <v>2100</v>
      </c>
      <c r="O105">
        <v>50</v>
      </c>
      <c r="P105">
        <v>1</v>
      </c>
      <c r="Q105">
        <v>1</v>
      </c>
      <c r="R105">
        <v>7.0000000000000007E-2</v>
      </c>
      <c r="T105" t="s">
        <v>2069</v>
      </c>
    </row>
    <row r="106" spans="2:20">
      <c r="B106" t="s">
        <v>562</v>
      </c>
      <c r="C106" t="s">
        <v>1891</v>
      </c>
      <c r="D106" t="s">
        <v>1703</v>
      </c>
      <c r="E106" t="s">
        <v>1892</v>
      </c>
      <c r="F106" t="s">
        <v>1705</v>
      </c>
      <c r="G106" t="s">
        <v>1705</v>
      </c>
      <c r="H106" t="s">
        <v>149</v>
      </c>
      <c r="I106" t="s">
        <v>150</v>
      </c>
      <c r="K106" t="s">
        <v>1891</v>
      </c>
      <c r="L106" t="s">
        <v>1703</v>
      </c>
      <c r="M106" t="s">
        <v>2088</v>
      </c>
      <c r="N106">
        <v>9245.7999999999993</v>
      </c>
      <c r="O106">
        <v>50</v>
      </c>
      <c r="P106">
        <v>1</v>
      </c>
      <c r="Q106">
        <v>1</v>
      </c>
      <c r="R106">
        <v>7.0000000000000007E-2</v>
      </c>
      <c r="T106" t="s">
        <v>2069</v>
      </c>
    </row>
    <row r="107" spans="2:20">
      <c r="B107" t="s">
        <v>562</v>
      </c>
      <c r="C107" t="s">
        <v>1893</v>
      </c>
      <c r="D107" t="s">
        <v>1703</v>
      </c>
      <c r="E107" t="s">
        <v>1894</v>
      </c>
      <c r="F107" t="s">
        <v>1705</v>
      </c>
      <c r="G107" t="s">
        <v>1705</v>
      </c>
      <c r="H107" t="s">
        <v>149</v>
      </c>
      <c r="I107" t="s">
        <v>150</v>
      </c>
      <c r="K107" t="s">
        <v>1893</v>
      </c>
      <c r="L107" t="s">
        <v>1703</v>
      </c>
      <c r="M107" t="s">
        <v>2089</v>
      </c>
      <c r="N107">
        <v>104607.4</v>
      </c>
      <c r="O107">
        <v>50</v>
      </c>
      <c r="P107">
        <v>1</v>
      </c>
      <c r="Q107">
        <v>1</v>
      </c>
      <c r="R107">
        <v>7.0000000000000007E-2</v>
      </c>
      <c r="T107" t="s">
        <v>2069</v>
      </c>
    </row>
    <row r="108" spans="2:20">
      <c r="B108" t="s">
        <v>562</v>
      </c>
      <c r="C108" t="s">
        <v>1895</v>
      </c>
      <c r="D108" t="s">
        <v>1703</v>
      </c>
      <c r="E108" t="s">
        <v>1896</v>
      </c>
      <c r="F108" t="s">
        <v>1705</v>
      </c>
      <c r="G108" t="s">
        <v>1705</v>
      </c>
      <c r="H108" t="s">
        <v>149</v>
      </c>
      <c r="I108" t="s">
        <v>150</v>
      </c>
      <c r="K108" t="s">
        <v>1895</v>
      </c>
      <c r="L108" t="s">
        <v>1703</v>
      </c>
      <c r="M108" t="s">
        <v>2090</v>
      </c>
      <c r="N108">
        <v>22049</v>
      </c>
      <c r="O108">
        <v>50</v>
      </c>
      <c r="P108">
        <v>1</v>
      </c>
      <c r="Q108">
        <v>1</v>
      </c>
      <c r="R108">
        <v>7.0000000000000007E-2</v>
      </c>
      <c r="T108" t="s">
        <v>2069</v>
      </c>
    </row>
    <row r="109" spans="2:20">
      <c r="B109" t="s">
        <v>562</v>
      </c>
      <c r="C109" t="s">
        <v>1897</v>
      </c>
      <c r="D109" t="s">
        <v>1703</v>
      </c>
      <c r="E109" t="s">
        <v>1898</v>
      </c>
      <c r="F109" t="s">
        <v>1705</v>
      </c>
      <c r="G109" t="s">
        <v>1705</v>
      </c>
      <c r="H109" t="s">
        <v>149</v>
      </c>
      <c r="I109" t="s">
        <v>150</v>
      </c>
      <c r="K109" t="s">
        <v>1897</v>
      </c>
      <c r="L109" t="s">
        <v>1703</v>
      </c>
      <c r="M109" t="s">
        <v>2091</v>
      </c>
      <c r="N109">
        <v>19069.599999999999</v>
      </c>
      <c r="O109">
        <v>50</v>
      </c>
      <c r="P109">
        <v>1</v>
      </c>
      <c r="Q109">
        <v>1</v>
      </c>
      <c r="R109">
        <v>7.0000000000000007E-2</v>
      </c>
      <c r="T109" t="s">
        <v>2069</v>
      </c>
    </row>
    <row r="110" spans="2:20">
      <c r="B110" t="s">
        <v>562</v>
      </c>
      <c r="C110" t="s">
        <v>1899</v>
      </c>
      <c r="D110" t="s">
        <v>1703</v>
      </c>
      <c r="E110" t="s">
        <v>1900</v>
      </c>
      <c r="F110" t="s">
        <v>1705</v>
      </c>
      <c r="G110" t="s">
        <v>1705</v>
      </c>
      <c r="H110" t="s">
        <v>149</v>
      </c>
      <c r="I110" t="s">
        <v>150</v>
      </c>
      <c r="K110" t="s">
        <v>1899</v>
      </c>
      <c r="L110" t="s">
        <v>1703</v>
      </c>
      <c r="M110" t="s">
        <v>2092</v>
      </c>
      <c r="N110">
        <v>20771.400000000001</v>
      </c>
      <c r="O110">
        <v>50</v>
      </c>
      <c r="P110">
        <v>1</v>
      </c>
      <c r="Q110">
        <v>1</v>
      </c>
      <c r="R110">
        <v>7.0000000000000007E-2</v>
      </c>
      <c r="T110" t="s">
        <v>2069</v>
      </c>
    </row>
    <row r="111" spans="2:20">
      <c r="B111" t="s">
        <v>562</v>
      </c>
      <c r="C111" t="s">
        <v>1901</v>
      </c>
      <c r="D111" t="s">
        <v>1703</v>
      </c>
      <c r="E111" t="s">
        <v>1902</v>
      </c>
      <c r="F111" t="s">
        <v>1705</v>
      </c>
      <c r="G111" t="s">
        <v>1705</v>
      </c>
      <c r="H111" t="s">
        <v>149</v>
      </c>
      <c r="I111" t="s">
        <v>150</v>
      </c>
      <c r="K111" t="s">
        <v>1901</v>
      </c>
      <c r="L111" t="s">
        <v>1703</v>
      </c>
      <c r="M111" t="s">
        <v>2093</v>
      </c>
      <c r="N111">
        <v>17292</v>
      </c>
      <c r="O111">
        <v>50</v>
      </c>
      <c r="P111">
        <v>1</v>
      </c>
      <c r="Q111">
        <v>1</v>
      </c>
      <c r="R111">
        <v>7.0000000000000007E-2</v>
      </c>
      <c r="T111" t="s">
        <v>2069</v>
      </c>
    </row>
    <row r="112" spans="2:20">
      <c r="B112" t="s">
        <v>562</v>
      </c>
      <c r="C112" t="s">
        <v>1903</v>
      </c>
      <c r="D112" t="s">
        <v>1703</v>
      </c>
      <c r="E112" t="s">
        <v>1904</v>
      </c>
      <c r="F112" t="s">
        <v>1705</v>
      </c>
      <c r="G112" t="s">
        <v>1705</v>
      </c>
      <c r="H112" t="s">
        <v>149</v>
      </c>
      <c r="I112" t="s">
        <v>150</v>
      </c>
      <c r="K112" t="s">
        <v>1903</v>
      </c>
      <c r="L112" t="s">
        <v>1703</v>
      </c>
      <c r="M112" t="s">
        <v>2094</v>
      </c>
      <c r="N112">
        <v>22704.3</v>
      </c>
      <c r="O112">
        <v>50</v>
      </c>
      <c r="P112">
        <v>1</v>
      </c>
      <c r="Q112">
        <v>1</v>
      </c>
      <c r="R112">
        <v>7.0000000000000007E-2</v>
      </c>
      <c r="T112" t="s">
        <v>2069</v>
      </c>
    </row>
    <row r="113" spans="2:20">
      <c r="B113" t="s">
        <v>562</v>
      </c>
      <c r="C113" t="s">
        <v>1905</v>
      </c>
      <c r="D113" t="s">
        <v>1703</v>
      </c>
      <c r="E113" t="s">
        <v>1906</v>
      </c>
      <c r="F113" t="s">
        <v>1705</v>
      </c>
      <c r="G113" t="s">
        <v>1705</v>
      </c>
      <c r="H113" t="s">
        <v>149</v>
      </c>
      <c r="I113" t="s">
        <v>150</v>
      </c>
      <c r="K113" t="s">
        <v>1905</v>
      </c>
      <c r="L113" t="s">
        <v>1703</v>
      </c>
      <c r="M113" t="s">
        <v>2095</v>
      </c>
      <c r="N113">
        <v>52800</v>
      </c>
      <c r="O113">
        <v>50</v>
      </c>
      <c r="P113">
        <v>1</v>
      </c>
      <c r="Q113">
        <v>1</v>
      </c>
      <c r="R113">
        <v>7.0000000000000007E-2</v>
      </c>
      <c r="T113" t="s">
        <v>2069</v>
      </c>
    </row>
    <row r="114" spans="2:20">
      <c r="B114" t="s">
        <v>562</v>
      </c>
      <c r="C114" t="s">
        <v>1907</v>
      </c>
      <c r="D114" t="s">
        <v>1703</v>
      </c>
      <c r="E114" t="s">
        <v>1908</v>
      </c>
      <c r="F114" t="s">
        <v>1705</v>
      </c>
      <c r="G114" t="s">
        <v>1705</v>
      </c>
      <c r="H114" t="s">
        <v>149</v>
      </c>
      <c r="I114" t="s">
        <v>150</v>
      </c>
      <c r="K114" t="s">
        <v>1907</v>
      </c>
      <c r="L114" t="s">
        <v>1703</v>
      </c>
      <c r="M114" t="s">
        <v>2096</v>
      </c>
      <c r="N114">
        <v>83619.3</v>
      </c>
      <c r="O114">
        <v>50</v>
      </c>
      <c r="P114">
        <v>1</v>
      </c>
      <c r="Q114">
        <v>1</v>
      </c>
      <c r="R114">
        <v>7.0000000000000007E-2</v>
      </c>
      <c r="T114" t="s">
        <v>2069</v>
      </c>
    </row>
    <row r="115" spans="2:20">
      <c r="B115" t="s">
        <v>562</v>
      </c>
      <c r="C115" t="s">
        <v>1909</v>
      </c>
      <c r="D115" t="s">
        <v>1703</v>
      </c>
      <c r="E115" t="s">
        <v>1910</v>
      </c>
      <c r="F115" t="s">
        <v>1705</v>
      </c>
      <c r="G115" t="s">
        <v>1705</v>
      </c>
      <c r="H115" t="s">
        <v>149</v>
      </c>
      <c r="I115" t="s">
        <v>150</v>
      </c>
      <c r="K115" t="s">
        <v>1909</v>
      </c>
      <c r="L115" t="s">
        <v>1703</v>
      </c>
      <c r="M115" t="s">
        <v>2097</v>
      </c>
      <c r="N115">
        <v>36600.800000000003</v>
      </c>
      <c r="O115">
        <v>50</v>
      </c>
      <c r="P115">
        <v>1</v>
      </c>
      <c r="Q115">
        <v>1</v>
      </c>
      <c r="R115">
        <v>7.0000000000000007E-2</v>
      </c>
      <c r="T115" t="s">
        <v>2069</v>
      </c>
    </row>
    <row r="116" spans="2:20">
      <c r="B116" t="s">
        <v>562</v>
      </c>
      <c r="C116" t="s">
        <v>1911</v>
      </c>
      <c r="D116" t="s">
        <v>1703</v>
      </c>
      <c r="E116" t="s">
        <v>1912</v>
      </c>
      <c r="F116" t="s">
        <v>1705</v>
      </c>
      <c r="G116" t="s">
        <v>1705</v>
      </c>
      <c r="H116" t="s">
        <v>149</v>
      </c>
      <c r="I116" t="s">
        <v>150</v>
      </c>
      <c r="K116" t="s">
        <v>1911</v>
      </c>
      <c r="L116" t="s">
        <v>1703</v>
      </c>
      <c r="M116" t="s">
        <v>2098</v>
      </c>
      <c r="N116">
        <v>35258.300000000003</v>
      </c>
      <c r="O116">
        <v>50</v>
      </c>
      <c r="P116">
        <v>1</v>
      </c>
      <c r="Q116">
        <v>1</v>
      </c>
      <c r="R116">
        <v>7.0000000000000007E-2</v>
      </c>
      <c r="T116" t="s">
        <v>2069</v>
      </c>
    </row>
    <row r="117" spans="2:20">
      <c r="B117" t="s">
        <v>562</v>
      </c>
      <c r="C117" t="s">
        <v>1913</v>
      </c>
      <c r="D117" t="s">
        <v>1703</v>
      </c>
      <c r="E117" t="s">
        <v>1914</v>
      </c>
      <c r="F117" t="s">
        <v>1705</v>
      </c>
      <c r="G117" t="s">
        <v>1705</v>
      </c>
      <c r="H117" t="s">
        <v>149</v>
      </c>
      <c r="I117" t="s">
        <v>150</v>
      </c>
      <c r="K117" t="s">
        <v>1913</v>
      </c>
      <c r="L117" t="s">
        <v>1703</v>
      </c>
      <c r="M117" t="s">
        <v>2099</v>
      </c>
      <c r="N117">
        <v>1800</v>
      </c>
      <c r="O117">
        <v>50</v>
      </c>
      <c r="P117">
        <v>1</v>
      </c>
      <c r="Q117">
        <v>1</v>
      </c>
      <c r="R117">
        <v>7.0000000000000007E-2</v>
      </c>
      <c r="T117" t="s">
        <v>2069</v>
      </c>
    </row>
    <row r="118" spans="2:20">
      <c r="B118" t="s">
        <v>562</v>
      </c>
      <c r="C118" t="s">
        <v>1915</v>
      </c>
      <c r="D118" t="s">
        <v>1703</v>
      </c>
      <c r="E118" t="s">
        <v>1916</v>
      </c>
      <c r="F118" t="s">
        <v>1705</v>
      </c>
      <c r="G118" t="s">
        <v>1705</v>
      </c>
      <c r="H118" t="s">
        <v>149</v>
      </c>
      <c r="I118" t="s">
        <v>150</v>
      </c>
      <c r="K118" t="s">
        <v>1915</v>
      </c>
      <c r="L118" t="s">
        <v>1703</v>
      </c>
      <c r="M118" t="s">
        <v>2100</v>
      </c>
      <c r="N118">
        <v>82072.7</v>
      </c>
      <c r="O118">
        <v>50</v>
      </c>
      <c r="P118">
        <v>1</v>
      </c>
      <c r="Q118">
        <v>1</v>
      </c>
      <c r="R118">
        <v>7.0000000000000007E-2</v>
      </c>
      <c r="T118" t="s">
        <v>2069</v>
      </c>
    </row>
    <row r="119" spans="2:20">
      <c r="B119" t="s">
        <v>562</v>
      </c>
      <c r="C119" t="s">
        <v>1917</v>
      </c>
      <c r="D119" t="s">
        <v>1703</v>
      </c>
      <c r="E119" t="s">
        <v>1918</v>
      </c>
      <c r="F119" t="s">
        <v>1705</v>
      </c>
      <c r="G119" t="s">
        <v>1705</v>
      </c>
      <c r="H119" t="s">
        <v>149</v>
      </c>
      <c r="I119" t="s">
        <v>150</v>
      </c>
      <c r="K119" t="s">
        <v>1917</v>
      </c>
      <c r="L119" t="s">
        <v>1703</v>
      </c>
      <c r="M119" t="s">
        <v>2101</v>
      </c>
      <c r="N119">
        <v>23188.3</v>
      </c>
      <c r="O119">
        <v>50</v>
      </c>
      <c r="P119">
        <v>1</v>
      </c>
      <c r="Q119">
        <v>1</v>
      </c>
      <c r="R119">
        <v>7.0000000000000007E-2</v>
      </c>
      <c r="T119" t="s">
        <v>2069</v>
      </c>
    </row>
    <row r="120" spans="2:20">
      <c r="B120" t="s">
        <v>562</v>
      </c>
      <c r="C120" t="s">
        <v>1919</v>
      </c>
      <c r="D120" t="s">
        <v>1703</v>
      </c>
      <c r="E120" t="s">
        <v>1920</v>
      </c>
      <c r="F120" t="s">
        <v>1705</v>
      </c>
      <c r="G120" t="s">
        <v>1705</v>
      </c>
      <c r="H120" t="s">
        <v>149</v>
      </c>
      <c r="I120" t="s">
        <v>150</v>
      </c>
      <c r="K120" t="s">
        <v>1919</v>
      </c>
      <c r="L120" t="s">
        <v>1703</v>
      </c>
      <c r="M120" t="s">
        <v>2102</v>
      </c>
      <c r="N120">
        <v>27317.3</v>
      </c>
      <c r="O120">
        <v>50</v>
      </c>
      <c r="P120">
        <v>1</v>
      </c>
      <c r="Q120">
        <v>1</v>
      </c>
      <c r="R120">
        <v>7.0000000000000007E-2</v>
      </c>
      <c r="T120" t="s">
        <v>2069</v>
      </c>
    </row>
    <row r="121" spans="2:20">
      <c r="B121" t="s">
        <v>562</v>
      </c>
      <c r="C121" t="s">
        <v>1921</v>
      </c>
      <c r="D121" t="s">
        <v>1703</v>
      </c>
      <c r="E121" t="s">
        <v>1922</v>
      </c>
      <c r="F121" t="s">
        <v>1705</v>
      </c>
      <c r="G121" t="s">
        <v>1705</v>
      </c>
      <c r="H121" t="s">
        <v>149</v>
      </c>
      <c r="I121" t="s">
        <v>150</v>
      </c>
      <c r="K121" t="s">
        <v>1921</v>
      </c>
      <c r="L121" t="s">
        <v>1703</v>
      </c>
      <c r="M121" t="s">
        <v>2103</v>
      </c>
      <c r="N121">
        <v>53448</v>
      </c>
      <c r="O121">
        <v>50</v>
      </c>
      <c r="P121">
        <v>1</v>
      </c>
      <c r="Q121">
        <v>1</v>
      </c>
      <c r="R121">
        <v>7.0000000000000007E-2</v>
      </c>
      <c r="T121" t="s">
        <v>2069</v>
      </c>
    </row>
    <row r="122" spans="2:20">
      <c r="B122" t="s">
        <v>562</v>
      </c>
      <c r="C122" t="s">
        <v>1923</v>
      </c>
      <c r="D122" t="s">
        <v>1703</v>
      </c>
      <c r="E122" t="s">
        <v>1924</v>
      </c>
      <c r="F122" t="s">
        <v>1705</v>
      </c>
      <c r="G122" t="s">
        <v>1705</v>
      </c>
      <c r="H122" t="s">
        <v>149</v>
      </c>
      <c r="I122" t="s">
        <v>150</v>
      </c>
      <c r="K122" t="s">
        <v>1923</v>
      </c>
      <c r="L122" t="s">
        <v>1703</v>
      </c>
      <c r="M122" t="s">
        <v>2104</v>
      </c>
      <c r="N122">
        <v>44600.1</v>
      </c>
      <c r="O122">
        <v>50</v>
      </c>
      <c r="P122">
        <v>1</v>
      </c>
      <c r="Q122">
        <v>1</v>
      </c>
      <c r="R122">
        <v>7.0000000000000007E-2</v>
      </c>
      <c r="T122" t="s">
        <v>2069</v>
      </c>
    </row>
    <row r="123" spans="2:20">
      <c r="B123" t="s">
        <v>562</v>
      </c>
      <c r="C123" t="s">
        <v>1925</v>
      </c>
      <c r="D123" t="s">
        <v>1703</v>
      </c>
      <c r="E123" t="s">
        <v>1926</v>
      </c>
      <c r="F123" t="s">
        <v>1705</v>
      </c>
      <c r="G123" t="s">
        <v>1705</v>
      </c>
      <c r="H123" t="s">
        <v>149</v>
      </c>
      <c r="I123" t="s">
        <v>150</v>
      </c>
      <c r="K123" t="s">
        <v>1925</v>
      </c>
      <c r="L123" t="s">
        <v>1703</v>
      </c>
      <c r="M123" t="s">
        <v>2105</v>
      </c>
      <c r="N123">
        <v>40535</v>
      </c>
      <c r="O123">
        <v>50</v>
      </c>
      <c r="P123">
        <v>1</v>
      </c>
      <c r="Q123">
        <v>1</v>
      </c>
      <c r="R123">
        <v>7.0000000000000007E-2</v>
      </c>
      <c r="T123" t="s">
        <v>2069</v>
      </c>
    </row>
    <row r="124" spans="2:20">
      <c r="B124" t="s">
        <v>562</v>
      </c>
      <c r="C124" t="s">
        <v>1927</v>
      </c>
      <c r="D124" t="s">
        <v>1703</v>
      </c>
      <c r="E124" t="s">
        <v>1928</v>
      </c>
      <c r="F124" t="s">
        <v>1705</v>
      </c>
      <c r="G124" t="s">
        <v>1705</v>
      </c>
      <c r="H124" t="s">
        <v>149</v>
      </c>
      <c r="I124" t="s">
        <v>150</v>
      </c>
      <c r="K124" t="s">
        <v>1927</v>
      </c>
      <c r="L124" t="s">
        <v>1703</v>
      </c>
      <c r="M124" t="s">
        <v>2106</v>
      </c>
      <c r="N124">
        <v>16180</v>
      </c>
      <c r="O124">
        <v>50</v>
      </c>
      <c r="P124">
        <v>1</v>
      </c>
      <c r="Q124">
        <v>1</v>
      </c>
      <c r="R124">
        <v>7.0000000000000007E-2</v>
      </c>
      <c r="T124" t="s">
        <v>2069</v>
      </c>
    </row>
    <row r="125" spans="2:20">
      <c r="B125" t="s">
        <v>562</v>
      </c>
      <c r="C125" t="s">
        <v>1929</v>
      </c>
      <c r="D125" t="s">
        <v>1703</v>
      </c>
      <c r="E125" t="s">
        <v>1930</v>
      </c>
      <c r="F125" t="s">
        <v>1705</v>
      </c>
      <c r="G125" t="s">
        <v>1705</v>
      </c>
      <c r="H125" t="s">
        <v>149</v>
      </c>
      <c r="I125" t="s">
        <v>150</v>
      </c>
      <c r="K125" t="s">
        <v>1929</v>
      </c>
      <c r="L125" t="s">
        <v>1703</v>
      </c>
      <c r="M125" t="s">
        <v>2107</v>
      </c>
      <c r="N125">
        <v>180243.5</v>
      </c>
      <c r="O125">
        <v>50</v>
      </c>
      <c r="P125">
        <v>1</v>
      </c>
      <c r="Q125">
        <v>1</v>
      </c>
      <c r="R125">
        <v>7.0000000000000007E-2</v>
      </c>
      <c r="T125" t="s">
        <v>2069</v>
      </c>
    </row>
    <row r="126" spans="2:20">
      <c r="B126" t="s">
        <v>562</v>
      </c>
      <c r="C126" t="s">
        <v>1931</v>
      </c>
      <c r="D126" t="s">
        <v>1703</v>
      </c>
      <c r="E126" t="s">
        <v>1932</v>
      </c>
      <c r="F126" t="s">
        <v>1705</v>
      </c>
      <c r="G126" t="s">
        <v>1705</v>
      </c>
      <c r="H126" t="s">
        <v>149</v>
      </c>
      <c r="I126" t="s">
        <v>150</v>
      </c>
      <c r="K126" t="s">
        <v>1931</v>
      </c>
      <c r="L126" t="s">
        <v>1703</v>
      </c>
      <c r="M126" t="s">
        <v>2108</v>
      </c>
      <c r="N126">
        <v>63513.3</v>
      </c>
      <c r="O126">
        <v>50</v>
      </c>
      <c r="P126">
        <v>1</v>
      </c>
      <c r="Q126">
        <v>1</v>
      </c>
      <c r="R126">
        <v>7.0000000000000007E-2</v>
      </c>
      <c r="T126" t="s">
        <v>2069</v>
      </c>
    </row>
    <row r="127" spans="2:20">
      <c r="B127" t="s">
        <v>562</v>
      </c>
      <c r="C127" t="s">
        <v>1933</v>
      </c>
      <c r="D127" t="s">
        <v>1703</v>
      </c>
      <c r="E127" t="s">
        <v>1934</v>
      </c>
      <c r="F127" t="s">
        <v>1705</v>
      </c>
      <c r="G127" t="s">
        <v>1705</v>
      </c>
      <c r="H127" t="s">
        <v>149</v>
      </c>
      <c r="I127" t="s">
        <v>150</v>
      </c>
      <c r="K127" t="s">
        <v>1933</v>
      </c>
      <c r="L127" t="s">
        <v>1703</v>
      </c>
      <c r="M127" t="s">
        <v>2109</v>
      </c>
      <c r="N127">
        <v>15098</v>
      </c>
      <c r="O127">
        <v>50</v>
      </c>
      <c r="P127">
        <v>1</v>
      </c>
      <c r="Q127">
        <v>1</v>
      </c>
      <c r="R127">
        <v>7.0000000000000007E-2</v>
      </c>
      <c r="T127" t="s">
        <v>2069</v>
      </c>
    </row>
    <row r="128" spans="2:20">
      <c r="B128" t="s">
        <v>562</v>
      </c>
      <c r="C128" t="s">
        <v>1935</v>
      </c>
      <c r="D128" t="s">
        <v>1703</v>
      </c>
      <c r="E128" t="s">
        <v>1936</v>
      </c>
      <c r="F128" t="s">
        <v>1705</v>
      </c>
      <c r="G128" t="s">
        <v>1705</v>
      </c>
      <c r="H128" t="s">
        <v>149</v>
      </c>
      <c r="I128" t="s">
        <v>150</v>
      </c>
      <c r="K128" t="s">
        <v>1935</v>
      </c>
      <c r="L128" t="s">
        <v>1703</v>
      </c>
      <c r="M128" t="s">
        <v>2110</v>
      </c>
      <c r="N128">
        <v>23014.6</v>
      </c>
      <c r="O128">
        <v>50</v>
      </c>
      <c r="P128">
        <v>1</v>
      </c>
      <c r="Q128">
        <v>1</v>
      </c>
      <c r="R128">
        <v>7.0000000000000007E-2</v>
      </c>
      <c r="T128" t="s">
        <v>2069</v>
      </c>
    </row>
    <row r="129" spans="2:20">
      <c r="B129" t="s">
        <v>562</v>
      </c>
      <c r="C129" t="s">
        <v>1937</v>
      </c>
      <c r="D129" t="s">
        <v>1703</v>
      </c>
      <c r="E129" t="s">
        <v>1938</v>
      </c>
      <c r="F129" t="s">
        <v>1705</v>
      </c>
      <c r="G129" t="s">
        <v>1705</v>
      </c>
      <c r="H129" t="s">
        <v>149</v>
      </c>
      <c r="I129" t="s">
        <v>150</v>
      </c>
      <c r="K129" t="s">
        <v>1937</v>
      </c>
      <c r="L129" t="s">
        <v>1703</v>
      </c>
      <c r="M129" t="s">
        <v>2111</v>
      </c>
      <c r="N129">
        <v>123754.8</v>
      </c>
      <c r="O129">
        <v>50</v>
      </c>
      <c r="P129">
        <v>1</v>
      </c>
      <c r="Q129">
        <v>1</v>
      </c>
      <c r="R129">
        <v>7.0000000000000007E-2</v>
      </c>
      <c r="T129" t="s">
        <v>2069</v>
      </c>
    </row>
    <row r="130" spans="2:20">
      <c r="B130" t="s">
        <v>562</v>
      </c>
      <c r="C130" t="s">
        <v>1939</v>
      </c>
      <c r="D130" t="s">
        <v>1703</v>
      </c>
      <c r="E130" t="s">
        <v>1940</v>
      </c>
      <c r="F130" t="s">
        <v>1705</v>
      </c>
      <c r="G130" t="s">
        <v>1705</v>
      </c>
      <c r="H130" t="s">
        <v>149</v>
      </c>
      <c r="I130" t="s">
        <v>150</v>
      </c>
      <c r="K130" t="s">
        <v>1939</v>
      </c>
      <c r="L130" t="s">
        <v>1703</v>
      </c>
      <c r="M130" t="s">
        <v>2112</v>
      </c>
      <c r="N130">
        <v>58390.8</v>
      </c>
      <c r="O130">
        <v>50</v>
      </c>
      <c r="P130">
        <v>1</v>
      </c>
      <c r="Q130">
        <v>1</v>
      </c>
      <c r="R130">
        <v>7.0000000000000007E-2</v>
      </c>
      <c r="T130" t="s">
        <v>2069</v>
      </c>
    </row>
    <row r="131" spans="2:20">
      <c r="B131" t="s">
        <v>562</v>
      </c>
      <c r="C131" t="s">
        <v>1941</v>
      </c>
      <c r="D131" t="s">
        <v>1703</v>
      </c>
      <c r="E131" t="s">
        <v>1942</v>
      </c>
      <c r="F131" t="s">
        <v>1705</v>
      </c>
      <c r="G131" t="s">
        <v>1705</v>
      </c>
      <c r="H131" t="s">
        <v>149</v>
      </c>
      <c r="I131" t="s">
        <v>150</v>
      </c>
      <c r="K131" t="s">
        <v>1941</v>
      </c>
      <c r="L131" t="s">
        <v>1703</v>
      </c>
      <c r="M131" t="s">
        <v>2113</v>
      </c>
      <c r="N131">
        <v>10576</v>
      </c>
      <c r="O131">
        <v>50</v>
      </c>
      <c r="P131">
        <v>1</v>
      </c>
      <c r="Q131">
        <v>1</v>
      </c>
      <c r="R131">
        <v>7.0000000000000007E-2</v>
      </c>
      <c r="T131" t="s">
        <v>2069</v>
      </c>
    </row>
    <row r="132" spans="2:20">
      <c r="B132" t="s">
        <v>562</v>
      </c>
      <c r="C132" t="s">
        <v>1943</v>
      </c>
      <c r="D132" t="s">
        <v>1703</v>
      </c>
      <c r="E132" t="s">
        <v>1944</v>
      </c>
      <c r="F132" t="s">
        <v>1705</v>
      </c>
      <c r="G132" t="s">
        <v>1705</v>
      </c>
      <c r="H132" t="s">
        <v>149</v>
      </c>
      <c r="I132" t="s">
        <v>150</v>
      </c>
      <c r="K132" t="s">
        <v>1943</v>
      </c>
      <c r="L132" t="s">
        <v>1703</v>
      </c>
      <c r="M132" t="s">
        <v>2114</v>
      </c>
      <c r="N132">
        <v>910</v>
      </c>
      <c r="O132">
        <v>50</v>
      </c>
      <c r="P132">
        <v>1</v>
      </c>
      <c r="Q132">
        <v>1</v>
      </c>
      <c r="R132">
        <v>7.0000000000000007E-2</v>
      </c>
      <c r="T132" t="s">
        <v>2069</v>
      </c>
    </row>
    <row r="133" spans="2:20">
      <c r="B133" t="s">
        <v>562</v>
      </c>
      <c r="C133" t="s">
        <v>1945</v>
      </c>
      <c r="D133" t="s">
        <v>1703</v>
      </c>
      <c r="E133" t="s">
        <v>1946</v>
      </c>
      <c r="F133" t="s">
        <v>1705</v>
      </c>
      <c r="G133" t="s">
        <v>1705</v>
      </c>
      <c r="H133" t="s">
        <v>149</v>
      </c>
      <c r="I133" t="s">
        <v>150</v>
      </c>
      <c r="K133" t="s">
        <v>1945</v>
      </c>
      <c r="L133" t="s">
        <v>1703</v>
      </c>
      <c r="M133" t="s">
        <v>2115</v>
      </c>
      <c r="N133">
        <v>21425</v>
      </c>
      <c r="O133">
        <v>50</v>
      </c>
      <c r="P133">
        <v>1</v>
      </c>
      <c r="Q133">
        <v>1</v>
      </c>
      <c r="R133">
        <v>7.0000000000000007E-2</v>
      </c>
      <c r="T133" t="s">
        <v>2069</v>
      </c>
    </row>
    <row r="134" spans="2:20">
      <c r="B134" t="s">
        <v>562</v>
      </c>
      <c r="C134" t="s">
        <v>1947</v>
      </c>
      <c r="D134" t="s">
        <v>1703</v>
      </c>
      <c r="E134" t="s">
        <v>1948</v>
      </c>
      <c r="F134" t="s">
        <v>1705</v>
      </c>
      <c r="G134" t="s">
        <v>1705</v>
      </c>
      <c r="H134" t="s">
        <v>149</v>
      </c>
      <c r="I134" t="s">
        <v>150</v>
      </c>
      <c r="K134" t="s">
        <v>1947</v>
      </c>
      <c r="L134" t="s">
        <v>1703</v>
      </c>
      <c r="M134" t="s">
        <v>2116</v>
      </c>
      <c r="N134">
        <v>13245</v>
      </c>
      <c r="O134">
        <v>50</v>
      </c>
      <c r="P134">
        <v>1</v>
      </c>
      <c r="Q134">
        <v>1</v>
      </c>
      <c r="R134">
        <v>7.0000000000000007E-2</v>
      </c>
      <c r="T134" t="s">
        <v>2069</v>
      </c>
    </row>
    <row r="135" spans="2:20">
      <c r="B135" t="s">
        <v>562</v>
      </c>
      <c r="C135" t="s">
        <v>1949</v>
      </c>
      <c r="D135" t="s">
        <v>1703</v>
      </c>
      <c r="E135" t="s">
        <v>1950</v>
      </c>
      <c r="F135" t="s">
        <v>1705</v>
      </c>
      <c r="G135" t="s">
        <v>1705</v>
      </c>
      <c r="H135" t="s">
        <v>149</v>
      </c>
      <c r="I135" t="s">
        <v>150</v>
      </c>
      <c r="K135" t="s">
        <v>1949</v>
      </c>
      <c r="L135" t="s">
        <v>1703</v>
      </c>
      <c r="M135" t="s">
        <v>2118</v>
      </c>
      <c r="N135">
        <v>75125</v>
      </c>
      <c r="O135">
        <v>50</v>
      </c>
      <c r="P135">
        <v>1</v>
      </c>
      <c r="Q135">
        <v>1</v>
      </c>
      <c r="R135">
        <v>7.0000000000000007E-2</v>
      </c>
      <c r="T135" t="s">
        <v>2069</v>
      </c>
    </row>
    <row r="136" spans="2:20">
      <c r="B136" t="s">
        <v>562</v>
      </c>
      <c r="C136" t="s">
        <v>1951</v>
      </c>
      <c r="D136" t="s">
        <v>1703</v>
      </c>
      <c r="E136" t="s">
        <v>1952</v>
      </c>
      <c r="F136" t="s">
        <v>1705</v>
      </c>
      <c r="G136" t="s">
        <v>1705</v>
      </c>
      <c r="H136" t="s">
        <v>149</v>
      </c>
      <c r="I136" t="s">
        <v>150</v>
      </c>
      <c r="K136" t="s">
        <v>1951</v>
      </c>
      <c r="L136" t="s">
        <v>1703</v>
      </c>
      <c r="M136" t="s">
        <v>2119</v>
      </c>
      <c r="N136">
        <v>54758</v>
      </c>
      <c r="O136">
        <v>50</v>
      </c>
      <c r="P136">
        <v>1</v>
      </c>
      <c r="Q136">
        <v>1</v>
      </c>
      <c r="R136">
        <v>7.0000000000000007E-2</v>
      </c>
      <c r="T136" t="s">
        <v>2069</v>
      </c>
    </row>
    <row r="137" spans="2:20">
      <c r="B137" t="s">
        <v>562</v>
      </c>
      <c r="C137" t="s">
        <v>1953</v>
      </c>
      <c r="D137" t="s">
        <v>1703</v>
      </c>
      <c r="E137" t="s">
        <v>1954</v>
      </c>
      <c r="F137" t="s">
        <v>1705</v>
      </c>
      <c r="G137" t="s">
        <v>1705</v>
      </c>
      <c r="H137" t="s">
        <v>149</v>
      </c>
      <c r="I137" t="s">
        <v>150</v>
      </c>
      <c r="K137" t="s">
        <v>1953</v>
      </c>
      <c r="L137" t="s">
        <v>1703</v>
      </c>
      <c r="M137" t="s">
        <v>2120</v>
      </c>
      <c r="N137">
        <v>40810.199999999997</v>
      </c>
      <c r="O137">
        <v>50</v>
      </c>
      <c r="P137">
        <v>1</v>
      </c>
      <c r="Q137">
        <v>1</v>
      </c>
      <c r="R137">
        <v>7.0000000000000007E-2</v>
      </c>
      <c r="T137" t="s">
        <v>2069</v>
      </c>
    </row>
    <row r="138" spans="2:20">
      <c r="B138" t="s">
        <v>562</v>
      </c>
      <c r="C138" t="s">
        <v>1955</v>
      </c>
      <c r="D138" t="s">
        <v>1703</v>
      </c>
      <c r="E138" t="s">
        <v>1956</v>
      </c>
      <c r="F138" t="s">
        <v>1705</v>
      </c>
      <c r="G138" t="s">
        <v>1705</v>
      </c>
      <c r="H138" t="s">
        <v>149</v>
      </c>
      <c r="I138" t="s">
        <v>150</v>
      </c>
      <c r="K138" t="s">
        <v>1955</v>
      </c>
      <c r="L138" t="s">
        <v>1703</v>
      </c>
      <c r="M138" t="s">
        <v>2121</v>
      </c>
      <c r="N138">
        <v>4422</v>
      </c>
      <c r="O138">
        <v>50</v>
      </c>
      <c r="P138">
        <v>1</v>
      </c>
      <c r="Q138">
        <v>1</v>
      </c>
      <c r="R138">
        <v>7.0000000000000007E-2</v>
      </c>
      <c r="T138" t="s">
        <v>2069</v>
      </c>
    </row>
    <row r="139" spans="2:20">
      <c r="B139" t="s">
        <v>562</v>
      </c>
      <c r="C139" t="s">
        <v>1957</v>
      </c>
      <c r="D139" t="s">
        <v>1703</v>
      </c>
      <c r="E139" t="s">
        <v>1958</v>
      </c>
      <c r="F139" t="s">
        <v>1705</v>
      </c>
      <c r="G139" t="s">
        <v>1705</v>
      </c>
      <c r="H139" t="s">
        <v>149</v>
      </c>
      <c r="I139" t="s">
        <v>150</v>
      </c>
      <c r="K139" t="s">
        <v>1957</v>
      </c>
      <c r="L139" t="s">
        <v>1703</v>
      </c>
      <c r="M139" t="s">
        <v>2122</v>
      </c>
      <c r="N139">
        <v>15920.3</v>
      </c>
      <c r="O139">
        <v>50</v>
      </c>
      <c r="P139">
        <v>1</v>
      </c>
      <c r="Q139">
        <v>1</v>
      </c>
      <c r="R139">
        <v>7.0000000000000007E-2</v>
      </c>
      <c r="T139" t="s">
        <v>2069</v>
      </c>
    </row>
    <row r="140" spans="2:20">
      <c r="B140" t="s">
        <v>562</v>
      </c>
      <c r="C140" t="s">
        <v>1959</v>
      </c>
      <c r="D140" t="s">
        <v>1703</v>
      </c>
      <c r="E140" t="s">
        <v>1960</v>
      </c>
      <c r="F140" t="s">
        <v>1705</v>
      </c>
      <c r="G140" t="s">
        <v>1705</v>
      </c>
      <c r="H140" t="s">
        <v>149</v>
      </c>
      <c r="I140" t="s">
        <v>150</v>
      </c>
      <c r="K140" t="s">
        <v>1959</v>
      </c>
      <c r="L140" t="s">
        <v>1703</v>
      </c>
      <c r="M140" t="s">
        <v>2123</v>
      </c>
      <c r="N140">
        <v>42101.7</v>
      </c>
      <c r="O140">
        <v>50</v>
      </c>
      <c r="P140">
        <v>1</v>
      </c>
      <c r="Q140">
        <v>1</v>
      </c>
      <c r="R140">
        <v>7.0000000000000007E-2</v>
      </c>
      <c r="T140" t="s">
        <v>2069</v>
      </c>
    </row>
    <row r="141" spans="2:20">
      <c r="B141" t="s">
        <v>562</v>
      </c>
      <c r="C141" t="s">
        <v>1961</v>
      </c>
      <c r="D141" t="s">
        <v>1703</v>
      </c>
      <c r="E141" t="s">
        <v>1962</v>
      </c>
      <c r="F141" t="s">
        <v>1705</v>
      </c>
      <c r="G141" t="s">
        <v>1705</v>
      </c>
      <c r="H141" t="s">
        <v>149</v>
      </c>
      <c r="I141" t="s">
        <v>150</v>
      </c>
      <c r="K141" t="s">
        <v>1961</v>
      </c>
      <c r="L141" t="s">
        <v>1703</v>
      </c>
      <c r="M141" t="s">
        <v>2124</v>
      </c>
      <c r="N141">
        <v>14583</v>
      </c>
      <c r="O141">
        <v>50</v>
      </c>
      <c r="P141">
        <v>1</v>
      </c>
      <c r="Q141">
        <v>1</v>
      </c>
      <c r="R141">
        <v>7.0000000000000007E-2</v>
      </c>
      <c r="T141" t="s">
        <v>2069</v>
      </c>
    </row>
    <row r="142" spans="2:20">
      <c r="B142" t="s">
        <v>562</v>
      </c>
      <c r="C142" t="s">
        <v>1963</v>
      </c>
      <c r="D142" t="s">
        <v>1703</v>
      </c>
      <c r="E142" t="s">
        <v>1964</v>
      </c>
      <c r="F142" t="s">
        <v>1705</v>
      </c>
      <c r="G142" t="s">
        <v>1705</v>
      </c>
      <c r="H142" t="s">
        <v>149</v>
      </c>
      <c r="I142" t="s">
        <v>150</v>
      </c>
      <c r="K142" t="s">
        <v>1963</v>
      </c>
      <c r="L142" t="s">
        <v>1703</v>
      </c>
      <c r="M142" t="s">
        <v>2125</v>
      </c>
      <c r="N142">
        <v>4760</v>
      </c>
      <c r="O142">
        <v>50</v>
      </c>
      <c r="P142">
        <v>1</v>
      </c>
      <c r="Q142">
        <v>1</v>
      </c>
      <c r="R142">
        <v>7.0000000000000007E-2</v>
      </c>
      <c r="T142" t="s">
        <v>2069</v>
      </c>
    </row>
    <row r="143" spans="2:20">
      <c r="B143" t="s">
        <v>562</v>
      </c>
      <c r="C143" t="s">
        <v>1965</v>
      </c>
      <c r="D143" t="s">
        <v>1703</v>
      </c>
      <c r="E143" t="s">
        <v>1966</v>
      </c>
      <c r="F143" t="s">
        <v>1705</v>
      </c>
      <c r="G143" t="s">
        <v>1705</v>
      </c>
      <c r="H143" t="s">
        <v>149</v>
      </c>
      <c r="I143" t="s">
        <v>150</v>
      </c>
      <c r="K143" t="s">
        <v>1965</v>
      </c>
      <c r="L143" t="s">
        <v>1703</v>
      </c>
      <c r="M143" t="s">
        <v>2126</v>
      </c>
      <c r="N143">
        <v>22712</v>
      </c>
      <c r="O143">
        <v>50</v>
      </c>
      <c r="P143">
        <v>1</v>
      </c>
      <c r="Q143">
        <v>1</v>
      </c>
      <c r="R143">
        <v>7.0000000000000007E-2</v>
      </c>
      <c r="T143" t="s">
        <v>2069</v>
      </c>
    </row>
    <row r="144" spans="2:20">
      <c r="B144" t="s">
        <v>562</v>
      </c>
      <c r="C144" t="s">
        <v>1967</v>
      </c>
      <c r="D144" t="s">
        <v>1703</v>
      </c>
      <c r="E144" t="s">
        <v>1968</v>
      </c>
      <c r="F144" t="s">
        <v>1705</v>
      </c>
      <c r="G144" t="s">
        <v>1705</v>
      </c>
      <c r="H144" t="s">
        <v>149</v>
      </c>
      <c r="I144" t="s">
        <v>150</v>
      </c>
      <c r="K144" t="s">
        <v>1967</v>
      </c>
      <c r="L144" t="s">
        <v>1703</v>
      </c>
      <c r="R144">
        <v>7.7499999999999999E-3</v>
      </c>
      <c r="S144" t="s">
        <v>2127</v>
      </c>
    </row>
    <row r="145" spans="2:19">
      <c r="B145" t="s">
        <v>562</v>
      </c>
      <c r="C145" t="s">
        <v>1969</v>
      </c>
      <c r="D145" t="s">
        <v>1703</v>
      </c>
      <c r="E145" t="s">
        <v>1970</v>
      </c>
      <c r="F145" t="s">
        <v>1705</v>
      </c>
      <c r="G145" t="s">
        <v>1705</v>
      </c>
      <c r="H145" t="s">
        <v>149</v>
      </c>
      <c r="I145" t="s">
        <v>150</v>
      </c>
      <c r="K145" t="s">
        <v>1969</v>
      </c>
      <c r="L145" t="s">
        <v>1703</v>
      </c>
      <c r="R145">
        <v>7.7499999999999999E-3</v>
      </c>
      <c r="S145" t="s">
        <v>2128</v>
      </c>
    </row>
    <row r="146" spans="2:19">
      <c r="B146" t="s">
        <v>562</v>
      </c>
      <c r="C146" t="s">
        <v>1971</v>
      </c>
      <c r="D146" t="s">
        <v>1703</v>
      </c>
      <c r="E146" t="s">
        <v>1972</v>
      </c>
      <c r="F146" t="s">
        <v>1705</v>
      </c>
      <c r="G146" t="s">
        <v>1705</v>
      </c>
      <c r="H146" t="s">
        <v>149</v>
      </c>
      <c r="I146" t="s">
        <v>150</v>
      </c>
      <c r="K146" t="s">
        <v>1971</v>
      </c>
      <c r="L146" t="s">
        <v>1703</v>
      </c>
      <c r="R146">
        <v>7.7499999999999999E-3</v>
      </c>
      <c r="S146" t="s">
        <v>2129</v>
      </c>
    </row>
    <row r="147" spans="2:19">
      <c r="B147" t="s">
        <v>562</v>
      </c>
      <c r="C147" t="s">
        <v>1973</v>
      </c>
      <c r="D147" t="s">
        <v>1703</v>
      </c>
      <c r="E147" t="s">
        <v>1974</v>
      </c>
      <c r="F147" t="s">
        <v>1705</v>
      </c>
      <c r="G147" t="s">
        <v>1705</v>
      </c>
      <c r="H147" t="s">
        <v>149</v>
      </c>
      <c r="I147" t="s">
        <v>150</v>
      </c>
      <c r="K147" t="s">
        <v>1973</v>
      </c>
      <c r="L147" t="s">
        <v>1703</v>
      </c>
      <c r="R147">
        <v>7.7499999999999999E-3</v>
      </c>
      <c r="S147" t="s">
        <v>2130</v>
      </c>
    </row>
    <row r="148" spans="2:19">
      <c r="B148" t="s">
        <v>562</v>
      </c>
      <c r="C148" t="s">
        <v>1975</v>
      </c>
      <c r="D148" t="s">
        <v>1703</v>
      </c>
      <c r="E148" t="s">
        <v>1976</v>
      </c>
      <c r="F148" t="s">
        <v>1705</v>
      </c>
      <c r="G148" t="s">
        <v>1705</v>
      </c>
      <c r="H148" t="s">
        <v>149</v>
      </c>
      <c r="I148" t="s">
        <v>150</v>
      </c>
      <c r="K148" t="s">
        <v>1975</v>
      </c>
      <c r="L148" t="s">
        <v>1703</v>
      </c>
      <c r="R148">
        <v>7.7499999999999999E-3</v>
      </c>
      <c r="S148" t="s">
        <v>2131</v>
      </c>
    </row>
    <row r="149" spans="2:19">
      <c r="B149" t="s">
        <v>562</v>
      </c>
      <c r="C149" t="s">
        <v>1977</v>
      </c>
      <c r="D149" t="s">
        <v>1703</v>
      </c>
      <c r="E149" t="s">
        <v>1978</v>
      </c>
      <c r="F149" t="s">
        <v>1705</v>
      </c>
      <c r="G149" t="s">
        <v>1705</v>
      </c>
      <c r="H149" t="s">
        <v>149</v>
      </c>
      <c r="I149" t="s">
        <v>150</v>
      </c>
      <c r="K149" t="s">
        <v>1977</v>
      </c>
      <c r="L149" t="s">
        <v>1703</v>
      </c>
      <c r="R149">
        <v>7.7499999999999999E-3</v>
      </c>
      <c r="S149" t="s">
        <v>2132</v>
      </c>
    </row>
    <row r="150" spans="2:19">
      <c r="B150" t="s">
        <v>562</v>
      </c>
      <c r="C150" t="s">
        <v>1979</v>
      </c>
      <c r="D150" t="s">
        <v>1703</v>
      </c>
      <c r="E150" t="s">
        <v>1980</v>
      </c>
      <c r="F150" t="s">
        <v>1705</v>
      </c>
      <c r="G150" t="s">
        <v>1705</v>
      </c>
      <c r="H150" t="s">
        <v>149</v>
      </c>
      <c r="I150" t="s">
        <v>150</v>
      </c>
      <c r="K150" t="s">
        <v>1979</v>
      </c>
      <c r="L150" t="s">
        <v>1703</v>
      </c>
      <c r="R150">
        <v>7.7499999999999999E-3</v>
      </c>
      <c r="S150" t="s">
        <v>2133</v>
      </c>
    </row>
    <row r="151" spans="2:19">
      <c r="B151" t="s">
        <v>562</v>
      </c>
      <c r="C151" t="s">
        <v>1981</v>
      </c>
      <c r="D151" t="s">
        <v>1703</v>
      </c>
      <c r="E151" t="s">
        <v>1982</v>
      </c>
      <c r="F151" t="s">
        <v>1705</v>
      </c>
      <c r="G151" t="s">
        <v>1705</v>
      </c>
      <c r="H151" t="s">
        <v>149</v>
      </c>
      <c r="I151" t="s">
        <v>150</v>
      </c>
      <c r="K151" t="s">
        <v>1981</v>
      </c>
      <c r="L151" t="s">
        <v>1703</v>
      </c>
      <c r="R151">
        <v>7.7499999999999999E-3</v>
      </c>
      <c r="S151" t="s">
        <v>2134</v>
      </c>
    </row>
    <row r="152" spans="2:19">
      <c r="B152" t="s">
        <v>562</v>
      </c>
      <c r="C152" t="s">
        <v>1983</v>
      </c>
      <c r="D152" t="s">
        <v>1703</v>
      </c>
      <c r="E152" t="s">
        <v>1984</v>
      </c>
      <c r="F152" t="s">
        <v>1705</v>
      </c>
      <c r="G152" t="s">
        <v>1705</v>
      </c>
      <c r="H152" t="s">
        <v>149</v>
      </c>
      <c r="I152" t="s">
        <v>150</v>
      </c>
      <c r="K152" t="s">
        <v>1983</v>
      </c>
      <c r="L152" t="s">
        <v>1703</v>
      </c>
      <c r="R152">
        <v>7.7499999999999999E-3</v>
      </c>
      <c r="S152" t="s">
        <v>2135</v>
      </c>
    </row>
    <row r="153" spans="2:19">
      <c r="B153" t="s">
        <v>562</v>
      </c>
      <c r="C153" t="s">
        <v>1985</v>
      </c>
      <c r="D153" t="s">
        <v>1703</v>
      </c>
      <c r="E153" t="s">
        <v>1986</v>
      </c>
      <c r="F153" t="s">
        <v>1705</v>
      </c>
      <c r="G153" t="s">
        <v>1705</v>
      </c>
      <c r="H153" t="s">
        <v>149</v>
      </c>
      <c r="I153" t="s">
        <v>150</v>
      </c>
      <c r="K153" t="s">
        <v>1985</v>
      </c>
      <c r="L153" t="s">
        <v>1703</v>
      </c>
      <c r="R153">
        <v>7.7499999999999999E-3</v>
      </c>
      <c r="S153" t="s">
        <v>2136</v>
      </c>
    </row>
    <row r="154" spans="2:19">
      <c r="B154" t="s">
        <v>562</v>
      </c>
      <c r="C154" t="s">
        <v>1987</v>
      </c>
      <c r="D154" t="s">
        <v>1703</v>
      </c>
      <c r="E154" t="s">
        <v>1988</v>
      </c>
      <c r="F154" t="s">
        <v>1705</v>
      </c>
      <c r="G154" t="s">
        <v>1705</v>
      </c>
      <c r="H154" t="s">
        <v>149</v>
      </c>
      <c r="I154" t="s">
        <v>150</v>
      </c>
      <c r="K154" t="s">
        <v>1987</v>
      </c>
      <c r="L154" t="s">
        <v>1703</v>
      </c>
      <c r="R154">
        <v>7.7499999999999999E-3</v>
      </c>
      <c r="S154" t="s">
        <v>2137</v>
      </c>
    </row>
    <row r="155" spans="2:19">
      <c r="B155" t="s">
        <v>562</v>
      </c>
      <c r="C155" t="s">
        <v>1989</v>
      </c>
      <c r="D155" t="s">
        <v>1703</v>
      </c>
      <c r="E155" t="s">
        <v>1990</v>
      </c>
      <c r="F155" t="s">
        <v>1705</v>
      </c>
      <c r="G155" t="s">
        <v>1705</v>
      </c>
      <c r="H155" t="s">
        <v>149</v>
      </c>
      <c r="I155" t="s">
        <v>150</v>
      </c>
      <c r="K155" t="s">
        <v>1989</v>
      </c>
      <c r="L155" t="s">
        <v>1703</v>
      </c>
      <c r="R155">
        <v>7.7499999999999999E-3</v>
      </c>
      <c r="S155" t="s">
        <v>2138</v>
      </c>
    </row>
    <row r="156" spans="2:19">
      <c r="B156" t="s">
        <v>562</v>
      </c>
      <c r="C156" t="s">
        <v>1991</v>
      </c>
      <c r="D156" t="s">
        <v>1703</v>
      </c>
      <c r="E156" t="s">
        <v>1992</v>
      </c>
      <c r="F156" t="s">
        <v>1705</v>
      </c>
      <c r="G156" t="s">
        <v>1705</v>
      </c>
      <c r="H156" t="s">
        <v>149</v>
      </c>
      <c r="I156" t="s">
        <v>150</v>
      </c>
      <c r="K156" t="s">
        <v>1991</v>
      </c>
      <c r="L156" t="s">
        <v>1703</v>
      </c>
      <c r="R156">
        <v>7.7499999999999999E-3</v>
      </c>
      <c r="S156" t="s">
        <v>2139</v>
      </c>
    </row>
    <row r="157" spans="2:19">
      <c r="B157" t="s">
        <v>562</v>
      </c>
      <c r="C157" t="s">
        <v>1993</v>
      </c>
      <c r="D157" t="s">
        <v>1703</v>
      </c>
      <c r="E157" t="s">
        <v>1994</v>
      </c>
      <c r="F157" t="s">
        <v>1705</v>
      </c>
      <c r="G157" t="s">
        <v>1705</v>
      </c>
      <c r="H157" t="s">
        <v>149</v>
      </c>
      <c r="I157" t="s">
        <v>150</v>
      </c>
      <c r="K157" t="s">
        <v>1993</v>
      </c>
      <c r="L157" t="s">
        <v>1703</v>
      </c>
      <c r="R157">
        <v>7.7499999999999999E-3</v>
      </c>
      <c r="S157" t="s">
        <v>2140</v>
      </c>
    </row>
    <row r="158" spans="2:19">
      <c r="B158" t="s">
        <v>562</v>
      </c>
      <c r="C158" t="s">
        <v>1995</v>
      </c>
      <c r="D158" t="s">
        <v>1703</v>
      </c>
      <c r="E158" t="s">
        <v>1996</v>
      </c>
      <c r="F158" t="s">
        <v>1705</v>
      </c>
      <c r="G158" t="s">
        <v>1705</v>
      </c>
      <c r="H158" t="s">
        <v>149</v>
      </c>
      <c r="I158" t="s">
        <v>150</v>
      </c>
      <c r="K158" t="s">
        <v>1995</v>
      </c>
      <c r="L158" t="s">
        <v>1703</v>
      </c>
      <c r="R158">
        <v>7.7499999999999999E-3</v>
      </c>
      <c r="S158" t="s">
        <v>2141</v>
      </c>
    </row>
    <row r="159" spans="2:19">
      <c r="B159" t="s">
        <v>562</v>
      </c>
      <c r="C159" t="s">
        <v>1997</v>
      </c>
      <c r="D159" t="s">
        <v>1703</v>
      </c>
      <c r="E159" t="s">
        <v>1998</v>
      </c>
      <c r="F159" t="s">
        <v>1705</v>
      </c>
      <c r="G159" t="s">
        <v>1705</v>
      </c>
      <c r="H159" t="s">
        <v>149</v>
      </c>
      <c r="I159" t="s">
        <v>150</v>
      </c>
      <c r="K159" t="s">
        <v>1997</v>
      </c>
      <c r="L159" t="s">
        <v>1703</v>
      </c>
      <c r="R159">
        <v>7.7499999999999999E-3</v>
      </c>
      <c r="S159" t="s">
        <v>2142</v>
      </c>
    </row>
    <row r="160" spans="2:19">
      <c r="B160" t="s">
        <v>562</v>
      </c>
      <c r="C160" t="s">
        <v>1999</v>
      </c>
      <c r="D160" t="s">
        <v>1703</v>
      </c>
      <c r="E160" t="s">
        <v>2000</v>
      </c>
      <c r="F160" t="s">
        <v>1705</v>
      </c>
      <c r="G160" t="s">
        <v>1705</v>
      </c>
      <c r="H160" t="s">
        <v>149</v>
      </c>
      <c r="I160" t="s">
        <v>150</v>
      </c>
      <c r="K160" t="s">
        <v>1999</v>
      </c>
      <c r="L160" t="s">
        <v>1703</v>
      </c>
      <c r="R160">
        <v>7.7499999999999999E-3</v>
      </c>
      <c r="S160" t="s">
        <v>2143</v>
      </c>
    </row>
    <row r="161" spans="2:19">
      <c r="B161" t="s">
        <v>562</v>
      </c>
      <c r="C161" t="s">
        <v>2001</v>
      </c>
      <c r="D161" t="s">
        <v>1703</v>
      </c>
      <c r="E161" t="s">
        <v>2002</v>
      </c>
      <c r="F161" t="s">
        <v>1705</v>
      </c>
      <c r="G161" t="s">
        <v>1705</v>
      </c>
      <c r="H161" t="s">
        <v>149</v>
      </c>
      <c r="I161" t="s">
        <v>150</v>
      </c>
      <c r="K161" t="s">
        <v>2001</v>
      </c>
      <c r="L161" t="s">
        <v>1703</v>
      </c>
      <c r="R161">
        <v>7.7499999999999999E-3</v>
      </c>
      <c r="S161" t="s">
        <v>2144</v>
      </c>
    </row>
    <row r="162" spans="2:19">
      <c r="B162" t="s">
        <v>562</v>
      </c>
      <c r="C162" t="s">
        <v>2003</v>
      </c>
      <c r="D162" t="s">
        <v>1703</v>
      </c>
      <c r="E162" t="s">
        <v>2004</v>
      </c>
      <c r="F162" t="s">
        <v>1705</v>
      </c>
      <c r="G162" t="s">
        <v>1705</v>
      </c>
      <c r="H162" t="s">
        <v>149</v>
      </c>
      <c r="I162" t="s">
        <v>150</v>
      </c>
      <c r="K162" t="s">
        <v>2003</v>
      </c>
      <c r="L162" t="s">
        <v>1703</v>
      </c>
      <c r="R162">
        <v>7.7499999999999999E-3</v>
      </c>
      <c r="S162" t="s">
        <v>2145</v>
      </c>
    </row>
    <row r="163" spans="2:19">
      <c r="B163" t="s">
        <v>562</v>
      </c>
      <c r="C163" t="s">
        <v>2005</v>
      </c>
      <c r="D163" t="s">
        <v>1703</v>
      </c>
      <c r="E163" t="s">
        <v>2006</v>
      </c>
      <c r="F163" t="s">
        <v>1705</v>
      </c>
      <c r="G163" t="s">
        <v>1705</v>
      </c>
      <c r="H163" t="s">
        <v>149</v>
      </c>
      <c r="I163" t="s">
        <v>150</v>
      </c>
      <c r="K163" t="s">
        <v>2005</v>
      </c>
      <c r="L163" t="s">
        <v>1703</v>
      </c>
      <c r="R163">
        <v>7.7499999999999999E-3</v>
      </c>
      <c r="S163" t="s">
        <v>2146</v>
      </c>
    </row>
    <row r="164" spans="2:19">
      <c r="B164" t="s">
        <v>562</v>
      </c>
      <c r="C164" t="s">
        <v>2007</v>
      </c>
      <c r="D164" t="s">
        <v>1703</v>
      </c>
      <c r="E164" t="s">
        <v>2008</v>
      </c>
      <c r="F164" t="s">
        <v>1705</v>
      </c>
      <c r="G164" t="s">
        <v>1705</v>
      </c>
      <c r="H164" t="s">
        <v>149</v>
      </c>
      <c r="I164" t="s">
        <v>150</v>
      </c>
      <c r="K164" t="s">
        <v>2007</v>
      </c>
      <c r="L164" t="s">
        <v>1703</v>
      </c>
      <c r="R164">
        <v>7.7499999999999999E-3</v>
      </c>
      <c r="S164" t="s">
        <v>2147</v>
      </c>
    </row>
    <row r="165" spans="2:19">
      <c r="B165" t="s">
        <v>562</v>
      </c>
      <c r="C165" t="s">
        <v>2009</v>
      </c>
      <c r="D165" t="s">
        <v>1703</v>
      </c>
      <c r="E165" t="s">
        <v>2010</v>
      </c>
      <c r="F165" t="s">
        <v>1705</v>
      </c>
      <c r="G165" t="s">
        <v>1705</v>
      </c>
      <c r="H165" t="s">
        <v>149</v>
      </c>
      <c r="I165" t="s">
        <v>150</v>
      </c>
      <c r="K165" t="s">
        <v>2009</v>
      </c>
      <c r="L165" t="s">
        <v>1703</v>
      </c>
      <c r="R165">
        <v>7.7499999999999999E-3</v>
      </c>
      <c r="S165" t="s">
        <v>2148</v>
      </c>
    </row>
    <row r="166" spans="2:19">
      <c r="B166" t="s">
        <v>562</v>
      </c>
      <c r="C166" t="s">
        <v>2011</v>
      </c>
      <c r="D166" t="s">
        <v>1703</v>
      </c>
      <c r="E166" t="s">
        <v>2012</v>
      </c>
      <c r="F166" t="s">
        <v>1705</v>
      </c>
      <c r="G166" t="s">
        <v>1705</v>
      </c>
      <c r="H166" t="s">
        <v>149</v>
      </c>
      <c r="I166" t="s">
        <v>150</v>
      </c>
      <c r="K166" t="s">
        <v>2011</v>
      </c>
      <c r="L166" t="s">
        <v>1703</v>
      </c>
      <c r="R166">
        <v>7.7499999999999999E-3</v>
      </c>
      <c r="S166" t="s">
        <v>2149</v>
      </c>
    </row>
    <row r="167" spans="2:19">
      <c r="B167" t="s">
        <v>562</v>
      </c>
      <c r="C167" t="s">
        <v>2013</v>
      </c>
      <c r="D167" t="s">
        <v>1703</v>
      </c>
      <c r="E167" t="s">
        <v>2014</v>
      </c>
      <c r="F167" t="s">
        <v>1705</v>
      </c>
      <c r="G167" t="s">
        <v>1705</v>
      </c>
      <c r="H167" t="s">
        <v>149</v>
      </c>
      <c r="I167" t="s">
        <v>150</v>
      </c>
      <c r="K167" t="s">
        <v>2013</v>
      </c>
      <c r="L167" t="s">
        <v>1703</v>
      </c>
      <c r="R167">
        <v>7.7499999999999999E-3</v>
      </c>
      <c r="S167" t="s">
        <v>2150</v>
      </c>
    </row>
    <row r="168" spans="2:19">
      <c r="B168" t="s">
        <v>562</v>
      </c>
      <c r="C168" t="s">
        <v>2015</v>
      </c>
      <c r="D168" t="s">
        <v>1703</v>
      </c>
      <c r="E168" t="s">
        <v>2016</v>
      </c>
      <c r="F168" t="s">
        <v>1705</v>
      </c>
      <c r="G168" t="s">
        <v>1705</v>
      </c>
      <c r="H168" t="s">
        <v>149</v>
      </c>
      <c r="I168" t="s">
        <v>150</v>
      </c>
      <c r="K168" t="s">
        <v>2015</v>
      </c>
      <c r="L168" t="s">
        <v>1703</v>
      </c>
      <c r="R168">
        <v>7.7499999999999999E-3</v>
      </c>
      <c r="S168" t="s">
        <v>2151</v>
      </c>
    </row>
    <row r="169" spans="2:19">
      <c r="B169" t="s">
        <v>562</v>
      </c>
      <c r="C169" t="s">
        <v>2017</v>
      </c>
      <c r="D169" t="s">
        <v>1703</v>
      </c>
      <c r="E169" t="s">
        <v>2018</v>
      </c>
      <c r="F169" t="s">
        <v>1705</v>
      </c>
      <c r="G169" t="s">
        <v>1705</v>
      </c>
      <c r="H169" t="s">
        <v>149</v>
      </c>
      <c r="I169" t="s">
        <v>150</v>
      </c>
      <c r="K169" t="s">
        <v>2017</v>
      </c>
      <c r="L169" t="s">
        <v>1703</v>
      </c>
      <c r="R169">
        <v>7.7499999999999999E-3</v>
      </c>
      <c r="S169" t="s">
        <v>2152</v>
      </c>
    </row>
    <row r="170" spans="2:19">
      <c r="B170" t="s">
        <v>562</v>
      </c>
      <c r="C170" t="s">
        <v>2019</v>
      </c>
      <c r="D170" t="s">
        <v>1703</v>
      </c>
      <c r="E170" t="s">
        <v>2020</v>
      </c>
      <c r="F170" t="s">
        <v>1705</v>
      </c>
      <c r="G170" t="s">
        <v>1705</v>
      </c>
      <c r="H170" t="s">
        <v>149</v>
      </c>
      <c r="I170" t="s">
        <v>150</v>
      </c>
      <c r="K170" t="s">
        <v>2019</v>
      </c>
      <c r="L170" t="s">
        <v>1703</v>
      </c>
      <c r="R170">
        <v>7.7499999999999999E-3</v>
      </c>
      <c r="S170" t="s">
        <v>2153</v>
      </c>
    </row>
    <row r="171" spans="2:19">
      <c r="B171" t="s">
        <v>562</v>
      </c>
      <c r="C171" t="s">
        <v>2021</v>
      </c>
      <c r="D171" t="s">
        <v>1703</v>
      </c>
      <c r="E171" t="s">
        <v>2022</v>
      </c>
      <c r="F171" t="s">
        <v>1705</v>
      </c>
      <c r="G171" t="s">
        <v>1705</v>
      </c>
      <c r="H171" t="s">
        <v>149</v>
      </c>
      <c r="I171" t="s">
        <v>150</v>
      </c>
      <c r="K171" t="s">
        <v>2021</v>
      </c>
      <c r="L171" t="s">
        <v>1703</v>
      </c>
      <c r="R171">
        <v>7.7499999999999999E-3</v>
      </c>
      <c r="S171" t="s">
        <v>2154</v>
      </c>
    </row>
    <row r="172" spans="2:19">
      <c r="B172" t="s">
        <v>562</v>
      </c>
      <c r="C172" t="s">
        <v>2023</v>
      </c>
      <c r="D172" t="s">
        <v>1703</v>
      </c>
      <c r="E172" t="s">
        <v>2024</v>
      </c>
      <c r="F172" t="s">
        <v>1705</v>
      </c>
      <c r="G172" t="s">
        <v>1705</v>
      </c>
      <c r="H172" t="s">
        <v>149</v>
      </c>
      <c r="I172" t="s">
        <v>150</v>
      </c>
      <c r="K172" t="s">
        <v>2023</v>
      </c>
      <c r="L172" t="s">
        <v>1703</v>
      </c>
      <c r="R172">
        <v>7.7499999999999999E-3</v>
      </c>
      <c r="S172" t="s">
        <v>2155</v>
      </c>
    </row>
    <row r="173" spans="2:19">
      <c r="B173" t="s">
        <v>562</v>
      </c>
      <c r="C173" t="s">
        <v>2025</v>
      </c>
      <c r="D173" t="s">
        <v>1703</v>
      </c>
      <c r="E173" t="s">
        <v>2026</v>
      </c>
      <c r="F173" t="s">
        <v>1705</v>
      </c>
      <c r="G173" t="s">
        <v>1705</v>
      </c>
      <c r="H173" t="s">
        <v>149</v>
      </c>
      <c r="I173" t="s">
        <v>150</v>
      </c>
      <c r="K173" t="s">
        <v>2025</v>
      </c>
      <c r="L173" t="s">
        <v>1703</v>
      </c>
      <c r="R173">
        <v>7.7499999999999999E-3</v>
      </c>
      <c r="S173" t="s">
        <v>2156</v>
      </c>
    </row>
    <row r="174" spans="2:19">
      <c r="B174" t="s">
        <v>562</v>
      </c>
      <c r="C174" t="s">
        <v>2027</v>
      </c>
      <c r="D174" t="s">
        <v>1703</v>
      </c>
      <c r="E174" t="s">
        <v>2028</v>
      </c>
      <c r="F174" t="s">
        <v>1705</v>
      </c>
      <c r="G174" t="s">
        <v>1705</v>
      </c>
      <c r="H174" t="s">
        <v>149</v>
      </c>
      <c r="I174" t="s">
        <v>150</v>
      </c>
      <c r="K174" t="s">
        <v>2027</v>
      </c>
      <c r="L174" t="s">
        <v>1703</v>
      </c>
      <c r="R174">
        <v>7.7499999999999999E-3</v>
      </c>
      <c r="S174" t="s">
        <v>2157</v>
      </c>
    </row>
    <row r="175" spans="2:19">
      <c r="B175" t="s">
        <v>562</v>
      </c>
      <c r="C175" t="s">
        <v>2029</v>
      </c>
      <c r="D175" t="s">
        <v>1703</v>
      </c>
      <c r="E175" t="s">
        <v>2030</v>
      </c>
      <c r="F175" t="s">
        <v>1705</v>
      </c>
      <c r="G175" t="s">
        <v>1705</v>
      </c>
      <c r="H175" t="s">
        <v>149</v>
      </c>
      <c r="I175" t="s">
        <v>150</v>
      </c>
      <c r="K175" t="s">
        <v>2029</v>
      </c>
      <c r="L175" t="s">
        <v>1703</v>
      </c>
      <c r="R175">
        <v>7.7499999999999999E-3</v>
      </c>
      <c r="S175" t="s">
        <v>2158</v>
      </c>
    </row>
    <row r="176" spans="2:19">
      <c r="B176" t="s">
        <v>562</v>
      </c>
      <c r="C176" t="s">
        <v>2031</v>
      </c>
      <c r="D176" t="s">
        <v>1703</v>
      </c>
      <c r="E176" t="s">
        <v>2032</v>
      </c>
      <c r="F176" t="s">
        <v>1705</v>
      </c>
      <c r="G176" t="s">
        <v>1705</v>
      </c>
      <c r="H176" t="s">
        <v>149</v>
      </c>
      <c r="I176" t="s">
        <v>150</v>
      </c>
      <c r="K176" t="s">
        <v>2031</v>
      </c>
      <c r="L176" t="s">
        <v>1703</v>
      </c>
      <c r="R176">
        <v>7.7499999999999999E-3</v>
      </c>
      <c r="S176" t="s">
        <v>2159</v>
      </c>
    </row>
    <row r="177" spans="2:19">
      <c r="B177" t="s">
        <v>562</v>
      </c>
      <c r="C177" t="s">
        <v>2033</v>
      </c>
      <c r="D177" t="s">
        <v>1703</v>
      </c>
      <c r="E177" t="s">
        <v>2034</v>
      </c>
      <c r="F177" t="s">
        <v>1705</v>
      </c>
      <c r="G177" t="s">
        <v>1705</v>
      </c>
      <c r="H177" t="s">
        <v>149</v>
      </c>
      <c r="I177" t="s">
        <v>150</v>
      </c>
      <c r="K177" t="s">
        <v>2033</v>
      </c>
      <c r="L177" t="s">
        <v>1703</v>
      </c>
      <c r="R177">
        <v>7.7499999999999999E-3</v>
      </c>
      <c r="S177" t="s">
        <v>2160</v>
      </c>
    </row>
    <row r="178" spans="2:19">
      <c r="B178" t="s">
        <v>562</v>
      </c>
      <c r="C178" t="s">
        <v>2035</v>
      </c>
      <c r="D178" t="s">
        <v>1703</v>
      </c>
      <c r="E178" t="s">
        <v>2036</v>
      </c>
      <c r="F178" t="s">
        <v>1705</v>
      </c>
      <c r="G178" t="s">
        <v>1705</v>
      </c>
      <c r="H178" t="s">
        <v>149</v>
      </c>
      <c r="I178" t="s">
        <v>150</v>
      </c>
      <c r="K178" t="s">
        <v>2035</v>
      </c>
      <c r="L178" t="s">
        <v>1703</v>
      </c>
      <c r="R178">
        <v>7.7499999999999999E-3</v>
      </c>
      <c r="S178" t="s">
        <v>2161</v>
      </c>
    </row>
    <row r="179" spans="2:19">
      <c r="B179" t="s">
        <v>562</v>
      </c>
      <c r="C179" t="s">
        <v>2037</v>
      </c>
      <c r="D179" t="s">
        <v>1703</v>
      </c>
      <c r="E179" t="s">
        <v>2038</v>
      </c>
      <c r="F179" t="s">
        <v>1705</v>
      </c>
      <c r="G179" t="s">
        <v>1705</v>
      </c>
      <c r="H179" t="s">
        <v>149</v>
      </c>
      <c r="I179" t="s">
        <v>150</v>
      </c>
      <c r="K179" t="s">
        <v>2037</v>
      </c>
      <c r="L179" t="s">
        <v>1703</v>
      </c>
      <c r="R179">
        <v>7.7499999999999999E-3</v>
      </c>
      <c r="S179" t="s">
        <v>2162</v>
      </c>
    </row>
    <row r="180" spans="2:19">
      <c r="B180" t="s">
        <v>562</v>
      </c>
      <c r="C180" t="s">
        <v>2039</v>
      </c>
      <c r="D180" t="s">
        <v>1703</v>
      </c>
      <c r="E180" t="s">
        <v>2040</v>
      </c>
      <c r="F180" t="s">
        <v>1705</v>
      </c>
      <c r="G180" t="s">
        <v>1705</v>
      </c>
      <c r="H180" t="s">
        <v>149</v>
      </c>
      <c r="I180" t="s">
        <v>150</v>
      </c>
      <c r="K180" t="s">
        <v>2039</v>
      </c>
      <c r="L180" t="s">
        <v>1703</v>
      </c>
      <c r="R180">
        <v>7.7499999999999999E-3</v>
      </c>
      <c r="S180" t="s">
        <v>2163</v>
      </c>
    </row>
    <row r="181" spans="2:19">
      <c r="B181" t="s">
        <v>562</v>
      </c>
      <c r="C181" t="s">
        <v>2041</v>
      </c>
      <c r="D181" t="s">
        <v>1703</v>
      </c>
      <c r="E181" t="s">
        <v>2042</v>
      </c>
      <c r="F181" t="s">
        <v>1705</v>
      </c>
      <c r="G181" t="s">
        <v>1705</v>
      </c>
      <c r="H181" t="s">
        <v>149</v>
      </c>
      <c r="I181" t="s">
        <v>150</v>
      </c>
      <c r="K181" t="s">
        <v>2041</v>
      </c>
      <c r="L181" t="s">
        <v>1703</v>
      </c>
      <c r="R181">
        <v>7.7499999999999999E-3</v>
      </c>
      <c r="S181" t="s">
        <v>2164</v>
      </c>
    </row>
    <row r="182" spans="2:19">
      <c r="B182" t="s">
        <v>562</v>
      </c>
      <c r="C182" t="s">
        <v>2043</v>
      </c>
      <c r="D182" t="s">
        <v>1703</v>
      </c>
      <c r="E182" t="s">
        <v>2044</v>
      </c>
      <c r="F182" t="s">
        <v>1705</v>
      </c>
      <c r="G182" t="s">
        <v>1705</v>
      </c>
      <c r="H182" t="s">
        <v>149</v>
      </c>
      <c r="I182" t="s">
        <v>150</v>
      </c>
      <c r="K182" t="s">
        <v>2043</v>
      </c>
      <c r="L182" t="s">
        <v>1703</v>
      </c>
      <c r="R182">
        <v>7.7499999999999999E-3</v>
      </c>
      <c r="S182" t="s">
        <v>2165</v>
      </c>
    </row>
    <row r="183" spans="2:19">
      <c r="B183" t="s">
        <v>562</v>
      </c>
      <c r="C183" t="s">
        <v>2045</v>
      </c>
      <c r="D183" t="s">
        <v>1703</v>
      </c>
      <c r="E183" t="s">
        <v>2046</v>
      </c>
      <c r="F183" t="s">
        <v>1705</v>
      </c>
      <c r="G183" t="s">
        <v>1705</v>
      </c>
      <c r="H183" t="s">
        <v>149</v>
      </c>
      <c r="I183" t="s">
        <v>150</v>
      </c>
      <c r="K183" t="s">
        <v>2045</v>
      </c>
      <c r="L183" t="s">
        <v>1703</v>
      </c>
      <c r="R183">
        <v>7.7499999999999999E-3</v>
      </c>
      <c r="S183" t="s">
        <v>2166</v>
      </c>
    </row>
    <row r="184" spans="2:19">
      <c r="B184" t="s">
        <v>562</v>
      </c>
      <c r="C184" t="s">
        <v>2047</v>
      </c>
      <c r="D184" t="s">
        <v>1703</v>
      </c>
      <c r="E184" t="s">
        <v>2048</v>
      </c>
      <c r="F184" t="s">
        <v>1705</v>
      </c>
      <c r="G184" t="s">
        <v>1705</v>
      </c>
      <c r="H184" t="s">
        <v>149</v>
      </c>
      <c r="I184" t="s">
        <v>150</v>
      </c>
      <c r="K184" t="s">
        <v>2047</v>
      </c>
      <c r="L184" t="s">
        <v>1703</v>
      </c>
      <c r="R184">
        <v>7.7499999999999999E-3</v>
      </c>
      <c r="S184" t="s">
        <v>2167</v>
      </c>
    </row>
    <row r="185" spans="2:19">
      <c r="B185" t="s">
        <v>562</v>
      </c>
      <c r="C185" t="s">
        <v>2049</v>
      </c>
      <c r="D185" t="s">
        <v>1703</v>
      </c>
      <c r="E185" t="s">
        <v>2050</v>
      </c>
      <c r="F185" t="s">
        <v>1705</v>
      </c>
      <c r="G185" t="s">
        <v>1705</v>
      </c>
      <c r="H185" t="s">
        <v>149</v>
      </c>
      <c r="I185" t="s">
        <v>150</v>
      </c>
      <c r="K185" t="s">
        <v>2049</v>
      </c>
      <c r="L185" t="s">
        <v>1703</v>
      </c>
      <c r="R185">
        <v>7.7499999999999999E-3</v>
      </c>
      <c r="S185" t="s">
        <v>2168</v>
      </c>
    </row>
    <row r="186" spans="2:19">
      <c r="B186" t="s">
        <v>562</v>
      </c>
      <c r="C186" t="s">
        <v>2051</v>
      </c>
      <c r="D186" t="s">
        <v>1703</v>
      </c>
      <c r="E186" t="s">
        <v>2052</v>
      </c>
      <c r="F186" t="s">
        <v>1705</v>
      </c>
      <c r="G186" t="s">
        <v>1705</v>
      </c>
      <c r="H186" t="s">
        <v>149</v>
      </c>
      <c r="I186" t="s">
        <v>150</v>
      </c>
      <c r="K186" t="s">
        <v>2051</v>
      </c>
      <c r="L186" t="s">
        <v>1703</v>
      </c>
      <c r="R186">
        <v>7.7499999999999999E-3</v>
      </c>
      <c r="S186" t="s">
        <v>2169</v>
      </c>
    </row>
    <row r="187" spans="2:19">
      <c r="B187" t="s">
        <v>562</v>
      </c>
      <c r="C187" t="s">
        <v>2053</v>
      </c>
      <c r="D187" t="s">
        <v>1703</v>
      </c>
      <c r="E187" t="s">
        <v>2054</v>
      </c>
      <c r="F187" t="s">
        <v>1705</v>
      </c>
      <c r="G187" t="s">
        <v>1705</v>
      </c>
      <c r="H187" t="s">
        <v>149</v>
      </c>
      <c r="I187" t="s">
        <v>150</v>
      </c>
      <c r="K187" t="s">
        <v>2053</v>
      </c>
      <c r="L187" t="s">
        <v>1703</v>
      </c>
      <c r="R187">
        <v>7.7499999999999999E-3</v>
      </c>
      <c r="S187" t="s">
        <v>2170</v>
      </c>
    </row>
    <row r="188" spans="2:19">
      <c r="B188" t="s">
        <v>562</v>
      </c>
      <c r="C188" t="s">
        <v>2055</v>
      </c>
      <c r="D188" t="s">
        <v>1703</v>
      </c>
      <c r="E188" t="s">
        <v>2056</v>
      </c>
      <c r="F188" t="s">
        <v>1705</v>
      </c>
      <c r="G188" t="s">
        <v>1705</v>
      </c>
      <c r="H188" t="s">
        <v>149</v>
      </c>
      <c r="I188" t="s">
        <v>150</v>
      </c>
      <c r="K188" t="s">
        <v>2055</v>
      </c>
      <c r="L188" t="s">
        <v>1703</v>
      </c>
      <c r="R188">
        <v>7.7499999999999999E-3</v>
      </c>
      <c r="S188" t="s">
        <v>2171</v>
      </c>
    </row>
    <row r="189" spans="2:19">
      <c r="B189" t="s">
        <v>562</v>
      </c>
      <c r="C189" t="s">
        <v>2057</v>
      </c>
      <c r="D189" t="s">
        <v>1703</v>
      </c>
      <c r="E189" t="s">
        <v>2058</v>
      </c>
      <c r="F189" t="s">
        <v>1705</v>
      </c>
      <c r="G189" t="s">
        <v>1705</v>
      </c>
      <c r="H189" t="s">
        <v>149</v>
      </c>
      <c r="I189" t="s">
        <v>150</v>
      </c>
      <c r="K189" t="s">
        <v>2057</v>
      </c>
      <c r="L189" t="s">
        <v>1703</v>
      </c>
      <c r="R189">
        <v>7.7499999999999999E-3</v>
      </c>
      <c r="S189" t="s">
        <v>2172</v>
      </c>
    </row>
    <row r="190" spans="2:19">
      <c r="B190" t="s">
        <v>562</v>
      </c>
      <c r="C190" t="s">
        <v>2059</v>
      </c>
      <c r="D190" t="s">
        <v>1703</v>
      </c>
      <c r="E190" t="s">
        <v>2060</v>
      </c>
      <c r="F190" t="s">
        <v>1705</v>
      </c>
      <c r="G190" t="s">
        <v>1705</v>
      </c>
      <c r="H190" t="s">
        <v>149</v>
      </c>
      <c r="I190" t="s">
        <v>150</v>
      </c>
      <c r="K190" t="s">
        <v>2059</v>
      </c>
      <c r="L190" t="s">
        <v>1703</v>
      </c>
      <c r="R190">
        <v>7.7499999999999999E-3</v>
      </c>
      <c r="S190" t="s">
        <v>2173</v>
      </c>
    </row>
    <row r="191" spans="2:19">
      <c r="B191" t="s">
        <v>562</v>
      </c>
      <c r="C191" t="s">
        <v>2061</v>
      </c>
      <c r="D191" t="s">
        <v>1703</v>
      </c>
      <c r="E191" t="s">
        <v>2062</v>
      </c>
      <c r="F191" t="s">
        <v>1705</v>
      </c>
      <c r="G191" t="s">
        <v>1705</v>
      </c>
      <c r="H191" t="s">
        <v>149</v>
      </c>
      <c r="I191" t="s">
        <v>150</v>
      </c>
      <c r="K191" t="s">
        <v>2061</v>
      </c>
      <c r="L191" t="s">
        <v>1703</v>
      </c>
      <c r="R191">
        <v>7.7499999999999999E-3</v>
      </c>
      <c r="S191" t="s">
        <v>2174</v>
      </c>
    </row>
    <row r="192" spans="2:19">
      <c r="B192" t="s">
        <v>562</v>
      </c>
      <c r="C192" t="s">
        <v>2063</v>
      </c>
      <c r="D192" t="s">
        <v>1703</v>
      </c>
      <c r="E192" t="s">
        <v>2064</v>
      </c>
      <c r="F192" t="s">
        <v>1705</v>
      </c>
      <c r="G192" t="s">
        <v>1705</v>
      </c>
      <c r="H192" t="s">
        <v>149</v>
      </c>
      <c r="I192" t="s">
        <v>150</v>
      </c>
      <c r="K192" t="s">
        <v>2063</v>
      </c>
      <c r="L192" t="s">
        <v>1703</v>
      </c>
      <c r="R192">
        <v>7.7499999999999999E-3</v>
      </c>
      <c r="S192" t="s">
        <v>2175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EV Battery</vt:lpstr>
      <vt:lpstr>H2 prod</vt:lpstr>
      <vt:lpstr>solar</vt:lpstr>
      <vt:lpstr>wind</vt:lpstr>
      <vt:lpstr>conventional</vt:lpstr>
      <vt:lpstr>co2_network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2026-09-27T05:28:38Z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