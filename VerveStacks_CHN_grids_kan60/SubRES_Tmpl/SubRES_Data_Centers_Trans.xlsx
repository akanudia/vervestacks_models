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DC detail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.00_-;\-* #,##0.00_-;_-* &quot;-&quot;??_-;_-@_-"/>
  </numFmts>
  <fonts count="1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rgb="FF9C6500"/>
      <sz val="11"/>
      <scheme val="minor"/>
    </font>
    <font>
      <name val="Arial"/>
      <family val="2"/>
      <sz val="10"/>
    </font>
    <font>
      <name val="Calibri"/>
      <family val="2"/>
      <color indexed="8"/>
      <sz val="11"/>
    </font>
    <font>
      <name val="STKFLOW - 14 of 38"/>
      <sz val="10"/>
    </font>
    <font>
      <name val="Calibri"/>
      <family val="2"/>
      <color theme="1"/>
      <sz val="12"/>
      <scheme val="minor"/>
    </font>
    <font>
      <name val="Calibri"/>
      <charset val="161"/>
      <family val="2"/>
      <color theme="1"/>
      <sz val="11"/>
      <scheme val="minor"/>
    </font>
    <font>
      <name val="Calibri"/>
      <family val="2"/>
      <b val="1"/>
      <i val="1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</fills>
  <borders count="1">
    <border>
      <left/>
      <right/>
      <top/>
      <bottom/>
      <diagonal/>
    </border>
  </borders>
  <cellStyleXfs count="14">
    <xf numFmtId="0" fontId="1" fillId="0" borderId="0"/>
    <xf numFmtId="0" fontId="3" fillId="2" borderId="0"/>
    <xf numFmtId="0" fontId="4" fillId="0" borderId="0"/>
    <xf numFmtId="0" fontId="5" fillId="3" borderId="0"/>
    <xf numFmtId="0" fontId="6" fillId="0" borderId="0"/>
    <xf numFmtId="0" fontId="7" fillId="0" borderId="0"/>
    <xf numFmtId="9" fontId="7" fillId="0" borderId="0"/>
    <xf numFmtId="164" fontId="8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</cellStyleXfs>
  <cellXfs count="3">
    <xf numFmtId="0" fontId="0" fillId="0" borderId="0" pivotButton="0" quotePrefix="0" xfId="0"/>
    <xf numFmtId="0" fontId="2" fillId="0" borderId="0" pivotButton="0" quotePrefix="0" xfId="0"/>
    <xf numFmtId="0" fontId="9" fillId="0" borderId="0" pivotButton="0" quotePrefix="0" xfId="0"/>
  </cellXfs>
  <cellStyles count="14">
    <cellStyle name="Normal" xfId="0" builtinId="0"/>
    <cellStyle name="Neutral 2" xfId="1"/>
    <cellStyle name="Normal 3" xfId="2"/>
    <cellStyle name="20% - Accent3 3 2" xfId="3"/>
    <cellStyle name="Normal 3 2" xfId="4"/>
    <cellStyle name="Normal 4" xfId="5"/>
    <cellStyle name="Percent 4" xfId="6"/>
    <cellStyle name="Comma 2" xfId="7"/>
    <cellStyle name="Normal 6" xfId="8"/>
    <cellStyle name="Normal 2" xfId="9"/>
    <cellStyle name="Normal 4 2" xfId="10"/>
    <cellStyle name="Normal 5" xfId="11"/>
    <cellStyle name="Normal 5 2" xfId="12"/>
    <cellStyle name="Normal 10" xfId="1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40"/>
  <sheetViews>
    <sheetView tabSelected="1" workbookViewId="0">
      <selection activeCell="H9" sqref="H9"/>
    </sheetView>
  </sheetViews>
  <sheetFormatPr baseColWidth="8" defaultRowHeight="15"/>
  <cols>
    <col width="20.7109375" bestFit="1" customWidth="1" min="1" max="1"/>
    <col width="47.85546875" bestFit="1" customWidth="1" min="2" max="2"/>
    <col width="6.42578125" bestFit="1" customWidth="1" min="3" max="3"/>
    <col width="6.42578125" customWidth="1" min="4" max="4"/>
    <col width="10.28515625" bestFit="1" customWidth="1" min="6" max="6"/>
    <col width="7.85546875" bestFit="1" customWidth="1" min="7" max="7"/>
    <col width="19.7109375" bestFit="1" customWidth="1" min="8" max="8"/>
    <col width="36.42578125" bestFit="1" customWidth="1" min="11" max="11"/>
    <col width="5" bestFit="1" customWidth="1" min="12" max="12"/>
    <col width="6.5703125" bestFit="1" customWidth="1" min="13" max="13"/>
    <col width="4.7109375" bestFit="1" customWidth="1" min="14" max="19"/>
    <col width="1.7109375" bestFit="1" customWidth="1" min="20" max="20"/>
    <col width="5.42578125" bestFit="1" customWidth="1" min="21" max="21"/>
    <col width="15.5703125" customWidth="1" min="23" max="23"/>
    <col width="4.7109375" bestFit="1" customWidth="1" min="24" max="24"/>
    <col width="5.42578125" bestFit="1" customWidth="1" min="25" max="25"/>
  </cols>
  <sheetData>
    <row r="1">
      <c r="A1" t="inlineStr">
        <is>
          <t>node</t>
        </is>
      </c>
      <c r="B1" t="inlineStr">
        <is>
          <t>city</t>
        </is>
      </c>
      <c r="C1" t="inlineStr">
        <is>
          <t>include</t>
        </is>
      </c>
      <c r="D1" t="inlineStr">
        <is>
          <t>score</t>
        </is>
      </c>
    </row>
    <row r="2">
      <c r="A2" t="inlineStr">
        <is>
          <t>e_Yangjiang_CHN</t>
        </is>
      </c>
      <c r="B2" t="inlineStr">
        <is>
          <t>grid node -- way/462823764-500 (Yangjiang, 16 km)</t>
        </is>
      </c>
      <c r="C2" t="n">
        <v>1</v>
      </c>
      <c r="D2" t="n">
        <v>19</v>
      </c>
      <c r="K2" t="inlineStr">
        <is>
          <t>~tfm_ins</t>
        </is>
      </c>
    </row>
    <row r="3">
      <c r="A3" t="inlineStr">
        <is>
          <t>e_Shanghai_CHN</t>
        </is>
      </c>
      <c r="B3" t="inlineStr">
        <is>
          <t>grid node -- way/95783495-500 (Shanghai, 18 km)</t>
        </is>
      </c>
      <c r="C3" t="n">
        <v>1</v>
      </c>
      <c r="D3" t="n">
        <v>18</v>
      </c>
      <c r="K3" t="inlineStr">
        <is>
          <t>attribute</t>
        </is>
      </c>
      <c r="L3" t="inlineStr">
        <is>
          <t>value</t>
        </is>
      </c>
      <c r="M3" t="inlineStr">
        <is>
          <t>process</t>
        </is>
      </c>
    </row>
    <row r="4">
      <c r="A4" t="inlineStr">
        <is>
          <t>e_Sanhe_CHN</t>
        </is>
      </c>
      <c r="B4" t="inlineStr">
        <is>
          <t>grid node -- way/148727570-500 (Beijing, 47 km)</t>
        </is>
      </c>
      <c r="C4" t="n">
        <v>1</v>
      </c>
      <c r="D4" t="n">
        <v>13</v>
      </c>
      <c r="K4" t="inlineStr">
        <is>
          <t>cap2act</t>
        </is>
      </c>
      <c r="L4" t="n">
        <v>8.76</v>
      </c>
      <c r="M4" t="inlineStr">
        <is>
          <t>DC_*</t>
        </is>
      </c>
    </row>
    <row r="5">
      <c r="A5" t="inlineStr">
        <is>
          <t>e_Shaoguan_CHN</t>
        </is>
      </c>
      <c r="B5" t="inlineStr">
        <is>
          <t>grid node -- way/909794907-500 (Shaoguan, 22 km)</t>
        </is>
      </c>
      <c r="C5" t="n">
        <v>1</v>
      </c>
      <c r="D5" t="n">
        <v>4</v>
      </c>
      <c r="K5" t="inlineStr">
        <is>
          <t>eff</t>
        </is>
      </c>
      <c r="L5" t="n">
        <v>1</v>
      </c>
      <c r="M5" t="inlineStr">
        <is>
          <t>DC_*</t>
        </is>
      </c>
    </row>
    <row r="6">
      <c r="A6" t="inlineStr">
        <is>
          <t>e_Tianjin_CHN</t>
        </is>
      </c>
      <c r="B6" t="inlineStr">
        <is>
          <t>grid node -- way/133523400-500 (Tianjin, 29 km)</t>
        </is>
      </c>
      <c r="C6" t="n">
        <v>1</v>
      </c>
      <c r="D6" t="n">
        <v>2</v>
      </c>
    </row>
    <row r="7">
      <c r="A7" t="inlineStr">
        <is>
          <t>e_Hohhot_CHN</t>
        </is>
      </c>
      <c r="B7" t="inlineStr">
        <is>
          <t>grid node -- way/858207240-500 (Hohhot, 52 km)</t>
        </is>
      </c>
      <c r="D7" t="n">
        <v>2</v>
      </c>
    </row>
    <row r="8">
      <c r="A8" t="inlineStr">
        <is>
          <t>e_Mianyang_CHN</t>
        </is>
      </c>
      <c r="B8" t="inlineStr">
        <is>
          <t>grid node -- way/813559297-500 (Mianyang, 28 km)</t>
        </is>
      </c>
      <c r="D8" t="n">
        <v>1</v>
      </c>
    </row>
    <row r="9">
      <c r="A9" t="inlineStr">
        <is>
          <t>e_Nanjing_CHN</t>
        </is>
      </c>
      <c r="B9" t="inlineStr">
        <is>
          <t>grid node -- way/954148824-500 (Nanjing, 18 km)</t>
        </is>
      </c>
      <c r="D9" t="n">
        <v>1</v>
      </c>
    </row>
    <row r="10">
      <c r="F10" t="inlineStr">
        <is>
          <t>~tfm_topins</t>
        </is>
      </c>
      <c r="K10" t="inlineStr">
        <is>
          <t>~tfm_ins-TS: attribute=NCAP_PASTI</t>
        </is>
      </c>
    </row>
    <row r="11">
      <c r="F11" t="inlineStr">
        <is>
          <t>process</t>
        </is>
      </c>
      <c r="G11" t="inlineStr">
        <is>
          <t>io</t>
        </is>
      </c>
      <c r="H11" t="inlineStr">
        <is>
          <t>commodity</t>
        </is>
      </c>
      <c r="K11" t="inlineStr">
        <is>
          <t>process</t>
        </is>
      </c>
      <c r="L11" t="n">
        <v>2025</v>
      </c>
      <c r="M11">
        <f>L11+1</f>
        <v/>
      </c>
      <c r="N11">
        <f>M11+1</f>
        <v/>
      </c>
      <c r="O11">
        <f>N11+1</f>
        <v/>
      </c>
      <c r="P11">
        <f>O11+1</f>
        <v/>
      </c>
      <c r="Q11">
        <f>P11+1</f>
        <v/>
      </c>
      <c r="R11" t="n">
        <v>2032</v>
      </c>
      <c r="S11" t="n">
        <v>2035</v>
      </c>
    </row>
    <row r="12">
      <c r="F12" t="inlineStr">
        <is>
          <t>DC_1</t>
        </is>
      </c>
      <c r="G12" t="inlineStr">
        <is>
          <t>IN</t>
        </is>
      </c>
      <c r="H12">
        <f t="array" ref="H12">IFERROR(INDEX(_xlfn._xlws.FILTER($A$2:$A$500,$C$2:$C$500=1),1),"")</f>
        <v/>
      </c>
      <c r="K12" t="inlineStr">
        <is>
          <t>DC_1</t>
        </is>
      </c>
      <c r="M12" t="n">
        <v>0.5</v>
      </c>
      <c r="O12" t="n">
        <v>0.5</v>
      </c>
      <c r="Q12" t="n">
        <v>1</v>
      </c>
    </row>
    <row r="13">
      <c r="F13" t="inlineStr">
        <is>
          <t>DC_2</t>
        </is>
      </c>
      <c r="G13" t="inlineStr">
        <is>
          <t>IN</t>
        </is>
      </c>
      <c r="H13">
        <f t="array" ref="H13">IFERROR(INDEX(_xlfn._xlws.FILTER($A$2:$A$500,$C$2:$C$500=1),2),"")</f>
        <v/>
      </c>
      <c r="K13" t="inlineStr">
        <is>
          <t>DC_2</t>
        </is>
      </c>
      <c r="N13" t="n">
        <v>0.5</v>
      </c>
      <c r="P13" t="n">
        <v>0.5</v>
      </c>
      <c r="R13" t="n">
        <v>1</v>
      </c>
    </row>
    <row r="14">
      <c r="F14" t="inlineStr">
        <is>
          <t>DC_3</t>
        </is>
      </c>
      <c r="G14" t="inlineStr">
        <is>
          <t>IN</t>
        </is>
      </c>
      <c r="H14">
        <f t="array" ref="H14">IFERROR(INDEX(_xlfn._xlws.FILTER($A$2:$A$500,$C$2:$C$500=1),3),"")</f>
        <v/>
      </c>
      <c r="K14" t="inlineStr">
        <is>
          <t>DC_3</t>
        </is>
      </c>
      <c r="N14" t="n">
        <v>1</v>
      </c>
      <c r="Q14" t="n">
        <v>1</v>
      </c>
    </row>
    <row r="15">
      <c r="F15" t="inlineStr">
        <is>
          <t>DC_4</t>
        </is>
      </c>
      <c r="G15" t="inlineStr">
        <is>
          <t>IN</t>
        </is>
      </c>
      <c r="H15">
        <f t="array" ref="H15">IFERROR(INDEX(_xlfn._xlws.FILTER($A$2:$A$500,$C$2:$C$500=1),4),"")</f>
        <v/>
      </c>
      <c r="K15" t="inlineStr">
        <is>
          <t>DC_4</t>
        </is>
      </c>
      <c r="M15" t="n">
        <v>0.25</v>
      </c>
      <c r="N15" t="n">
        <v>0.25</v>
      </c>
      <c r="P15" t="n">
        <v>0.5</v>
      </c>
    </row>
    <row r="16">
      <c r="F16" t="inlineStr">
        <is>
          <t>DC_5</t>
        </is>
      </c>
      <c r="G16" t="inlineStr">
        <is>
          <t>IN</t>
        </is>
      </c>
      <c r="H16">
        <f t="array" ref="H16">IFERROR(INDEX(_xlfn._xlws.FILTER($A$2:$A$500,$C$2:$C$500=1),5),"")</f>
        <v/>
      </c>
      <c r="K16" t="inlineStr">
        <is>
          <t>DC_5</t>
        </is>
      </c>
      <c r="O16" t="n">
        <v>1</v>
      </c>
    </row>
    <row r="17"/>
    <row r="18">
      <c r="T18" s="1">
        <f>SUM(L12:T16)</f>
        <v/>
      </c>
      <c r="U18" s="2" t="inlineStr">
        <is>
          <t>Total</t>
        </is>
      </c>
    </row>
    <row r="19"/>
    <row r="20">
      <c r="K20" t="inlineStr">
        <is>
          <t>~tfm_ins-TS: attribute=NCAP_AF; limtype=FX</t>
        </is>
      </c>
    </row>
    <row r="21">
      <c r="K21" t="inlineStr">
        <is>
          <t>process</t>
        </is>
      </c>
      <c r="L21" t="n">
        <v>2025</v>
      </c>
      <c r="M21" t="n">
        <v>0</v>
      </c>
    </row>
    <row r="22">
      <c r="K22" t="inlineStr">
        <is>
          <t>DC_1</t>
        </is>
      </c>
      <c r="L22" t="n">
        <v>0.85</v>
      </c>
      <c r="M22" t="n">
        <v>3</v>
      </c>
    </row>
    <row r="23">
      <c r="K23" t="inlineStr">
        <is>
          <t>DC_2</t>
        </is>
      </c>
      <c r="L23" t="n">
        <v>0.85</v>
      </c>
      <c r="M23" t="n">
        <v>3</v>
      </c>
    </row>
    <row r="24">
      <c r="K24" t="inlineStr">
        <is>
          <t>DC_3</t>
        </is>
      </c>
      <c r="L24" t="n">
        <v>0.85</v>
      </c>
      <c r="M24" t="n">
        <v>3</v>
      </c>
    </row>
    <row r="25">
      <c r="K25" t="inlineStr">
        <is>
          <t>DC_4</t>
        </is>
      </c>
      <c r="L25" t="n">
        <v>0.85</v>
      </c>
      <c r="M25" t="n">
        <v>3</v>
      </c>
    </row>
    <row r="26">
      <c r="K26" t="inlineStr">
        <is>
          <t>DC_5</t>
        </is>
      </c>
      <c r="L26" t="n">
        <v>0.85</v>
      </c>
      <c r="M26" t="n">
        <v>3</v>
      </c>
    </row>
    <row r="27"/>
    <row r="28"/>
    <row r="29"/>
    <row r="30"/>
    <row r="31"/>
    <row r="32"/>
    <row r="33"/>
    <row r="34"/>
    <row r="35"/>
    <row r="36"/>
    <row r="37"/>
    <row r="38"/>
    <row r="39"/>
    <row r="40"/>
  </sheetData>
  <pageMargins left="0.7" right="0.7" top="0.75" bottom="0.75" header="0.3" footer="0.3"/>
  <pageSetup orientation="portrait" paperSize="9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Amit Kanudia</dc:creator>
  <dcterms:created xsi:type="dcterms:W3CDTF">2016-10-05T11:02:08Z</dcterms:created>
  <dcterms:modified xsi:type="dcterms:W3CDTF">2026-09-28T09:45:57Z</dcterms:modified>
  <cp:lastModifiedBy>KanORS-EMR Business Standard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aveCode" fmtid="{D5CDD505-2E9C-101B-9397-08002B2CF9AE}" pid="2">
    <vt:r8>273153185844421</vt:r8>
  </property>
  <property name="{A44787D4-0540-4523-9961-78E4036D8C6D}" fmtid="{D5CDD505-2E9C-101B-9397-08002B2CF9AE}" pid="3">
    <vt:lpwstr>{0E588E8C-D9B2-472E-8D6A-B5564BD29317}</vt:lpwstr>
  </property>
</Properties>
</file>