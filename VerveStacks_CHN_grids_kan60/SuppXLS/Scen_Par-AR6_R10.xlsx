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ppXLS\"/>
    </mc:Choice>
  </mc:AlternateContent>
  <xr:revisionPtr revIDLastSave="0" documentId="13_ncr:1_{36BB8DE3-48FC-4C00-B471-1DD9B96079AE}" xr6:coauthVersionLast="47" xr6:coauthVersionMax="47" xr10:uidLastSave="{00000000-0000-0000-0000-000000000000}"/>
  <bookViews>
    <workbookView xWindow="3675" yWindow="3675" windowWidth="21600" windowHeight="11423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R24" i="1" l="1"/>
  <c r="R25" i="1"/>
  <c r="U24" i="1"/>
  <c r="U25" i="1"/>
  <c r="T24" i="1"/>
  <c r="Q24" i="1"/>
  <c r="P24" i="1"/>
  <c r="P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<sst xmlns="http://schemas.openxmlformats.org/spreadsheetml/2006/main" count="1679" uniqueCount="106">
  <si>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</si>
  <si>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</si>
  <si>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</si>
  <si>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</si>
  <si>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</si>
  <si>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</si>
  <si>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</si>
  <si>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</si>
  <si>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</si>
  <si>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</si>
  <si>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</si>
  <si>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</si>
  <si>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</si>
  <si>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</si>
  <si>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</si>
  <si>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</si>
  <si>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</si>
  <si>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</si>
  <si>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</si>
  <si>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</si>
  <si>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</si>
  <si>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</si>
  <si>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</si>
  <si>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</si>
  <si>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</si>
  <si>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</si>
  <si>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</si>
  <si>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</si>
  <si>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</si>
  <si>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</si>
  <si>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</si>
  <si>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</si>
  <si>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</si>
  <si>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</si>
  <si>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</si>
  <si>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</si>
  <si>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</si>
  <si>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</si>
  <si>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</si>
  <si>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</si>
  <si>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</si>
  <si>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</si>
  <si>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</si>
  <si>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</si>
  <si>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</si>
  <si>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</si>
  <si>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</si>
  <si>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</si>
  <si>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</si>
  <si>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</si>
  <si>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</si>
  <si>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</si>
  <si>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</si>
  <si>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</si>
  <si>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</si>
  <si>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</si>
  <si>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</si>
  <si>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</si>
  <si>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</si>
  <si>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</si>
  <si>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</si>
  <si>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</si>
  <si>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</si>
  <si>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</si>
  <si>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</si>
  <si>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</si>
  <si>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</si>
  <si>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</si>
  <si>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</si>
  <si>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</si>
  <si>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</si>
  <si>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</si>
  <si>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</si>
  <si>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</si>
  <si>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</si>
  <si>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</si>
  <si>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</si>
  <si>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</si>
  <si>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</si>
  <si>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</si>
  <si>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</si>
  <si>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</si>
  <si>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</si>
  <si>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</si>
  <si>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</si>
  <si>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</si>
  <si>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</si>
  <si>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</si>
  <si>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</si>
  <si>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</si>
  <si>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</si>
  <si>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</si>
  <si>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</si>
  <si>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</si>
  <si>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</si>
  <si>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</si>
  <si>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</si>
  <si>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</si>
  <si>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</si>
  <si>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</si>
  <si>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</si>
  <si>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</si>
  <si>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</si>
  <si>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CHN</t>
  </si>
  <si>
    <t>R10CHINA+</t>
  </si>
  <si>
    <t>LNG imports expensive, domestic coal cheap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</si>
</sst>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8887.82</c:v>
                </c:pt>
                <c:pt idx="1">
                  <c:v>10398.749399999999</c:v>
                </c:pt>
                <c:pt idx="2">
                  <c:v>11109.775</c:v>
                </c:pt>
                <c:pt idx="3">
                  <c:v>11465.2878</c:v>
                </c:pt>
                <c:pt idx="4">
                  <c:v>12442.947999999999</c:v>
                </c:pt>
                <c:pt idx="5">
                  <c:v>13687.2428</c:v>
                </c:pt>
                <c:pt idx="6">
                  <c:v>14753.781199999999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49.25</c:v>
                </c:pt>
                <c:pt idx="3">
                  <c:v>97.48</c:v>
                </c:pt>
                <c:pt idx="4">
                  <c:v>128.69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8887.82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1481.569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605.54100000000005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1.17</v>
      </c>
      <c r="F15" s="11">
        <f>SUMIFS(ar6_r10!$F$2:$F$99999,ar6_r10!$A$2:$A$99999,$C$15,ar6_r10!$C$2:$C$99999,F$18,ar6_r10!$M$2:$M$99999,$B15,ar6_r10!$B$2:$B$99999,$A$2)</f>
        <v>1.25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</v>
      </c>
      <c r="I15" s="11">
        <f>SUMIFS(ar6_r10!$F$2:$F$99999,ar6_r10!$A$2:$A$99999,$C$15,ar6_r10!$C$2:$C$99999,I$18,ar6_r10!$M$2:$M$99999,$B15,ar6_r10!$B$2:$B$99999,$A$2)</f>
        <v>1.54</v>
      </c>
      <c r="J15" s="11">
        <f>SUMIFS(ar6_r10!$F$2:$F$99999,ar6_r10!$A$2:$A$99999,$C$15,ar6_r10!$C$2:$C$99999,J$18,ar6_r10!$M$2:$M$99999,$B15,ar6_r10!$B$2:$B$99999,$A$2)</f>
        <v>1.66</v>
      </c>
      <c r="O15" s="8">
        <f>N11</f>
        <v>8887.82</v>
      </c>
      <c r="P15" s="8">
        <f t="shared" ref="P15:U15" si="0">$N$11*E15</f>
        <v>10398.749399999999</v>
      </c>
      <c r="Q15" s="8">
        <f t="shared" si="0"/>
        <v>11109.775</v>
      </c>
      <c r="R15" s="8">
        <f t="shared" si="0"/>
        <v>11465.2878</v>
      </c>
      <c r="S15" s="8">
        <f t="shared" si="0"/>
        <v>12442.947999999999</v>
      </c>
      <c r="T15" s="8">
        <f t="shared" si="0"/>
        <v>13687.2428</v>
      </c>
      <c r="U15" s="8">
        <f t="shared" si="0"/>
        <v>14753.781199999999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1.2</v>
      </c>
      <c r="F16" s="11">
        <f>SUMIFS(ar6_r10!$F$2:$F$99999,ar6_r10!$A$2:$A$99999,$C$15,ar6_r10!$C$2:$C$99999,F$18,ar6_r10!$M$2:$M$99999,$B16,ar6_r10!$B$2:$B$99999,$A$2)</f>
        <v>1.26</v>
      </c>
      <c r="G16" s="11">
        <f>SUMIFS(ar6_r10!$F$2:$F$99999,ar6_r10!$A$2:$A$99999,$C$15,ar6_r10!$C$2:$C$99999,G$18,ar6_r10!$M$2:$M$99999,$B16,ar6_r10!$B$2:$B$99999,$A$2)</f>
        <v>1.38</v>
      </c>
      <c r="H16" s="11">
        <f>SUMIFS(ar6_r10!$F$2:$F$99999,ar6_r10!$A$2:$A$99999,$C$15,ar6_r10!$C$2:$C$99999,H$18,ar6_r10!$M$2:$M$99999,$B16,ar6_r10!$B$2:$B$99999,$A$2)</f>
        <v>1.3</v>
      </c>
      <c r="I16" s="11">
        <f>SUMIFS(ar6_r10!$F$2:$F$99999,ar6_r10!$A$2:$A$99999,$C$15,ar6_r10!$C$2:$C$99999,I$18,ar6_r10!$M$2:$M$99999,$B16,ar6_r10!$B$2:$B$99999,$A$2)</f>
        <v>1.1100000000000001</v>
      </c>
      <c r="J16" s="11">
        <f>SUMIFS(ar6_r10!$F$2:$F$99999,ar6_r10!$A$2:$A$99999,$C$15,ar6_r10!$C$2:$C$99999,J$18,ar6_r10!$M$2:$M$99999,$B16,ar6_r10!$B$2:$B$99999,$A$2)</f>
        <v>1.01</v>
      </c>
    </row>
    <row r="17" spans="2:24" ht="17.649999999999999" customHeight="1" thickBot="1" x14ac:dyDescent="0.55000000000000004">
      <c r="N17" s="5" t="str">
        <f>"~TFM_INS-TS: region="&amp;$A$1</f>
        <v>~TFM_INS-TS: region=CHN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0.01</v>
      </c>
      <c r="J19" s="11">
        <f>SUMIFS(ar6_r10!$F$2:$F$99999,ar6_r10!$A$2:$A$99999,$C$15,ar6_r10!$C$2:$C$99999,J$18,ar6_r10!$M$2:$M$99999,$B19,ar6_r10!$B$2:$B$99999,$A$2)</f>
        <v>0.01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136.87242800000001</v>
      </c>
      <c r="U19" s="6">
        <f t="shared" si="2"/>
        <v>147.537812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0.62</v>
      </c>
      <c r="E20" s="11">
        <f>SUMIFS(ar6_r10!$F$2:$F$99999,ar6_r10!$A$2:$A$99999,$C$15,ar6_r10!$C$2:$C$99999,E$18,ar6_r10!$M$2:$M$99999,$B20,ar6_r10!$B$2:$B$99999,$A$2)</f>
        <v>0.61</v>
      </c>
      <c r="F20" s="11">
        <f>SUMIFS(ar6_r10!$F$2:$F$99999,ar6_r10!$A$2:$A$99999,$C$15,ar6_r10!$C$2:$C$99999,F$18,ar6_r10!$M$2:$M$99999,$B20,ar6_r10!$B$2:$B$99999,$A$2)</f>
        <v>0.59</v>
      </c>
      <c r="G20" s="11">
        <f>SUMIFS(ar6_r10!$F$2:$F$99999,ar6_r10!$A$2:$A$99999,$C$15,ar6_r10!$C$2:$C$99999,G$18,ar6_r10!$M$2:$M$99999,$B20,ar6_r10!$B$2:$B$99999,$A$2)</f>
        <v>0.51</v>
      </c>
      <c r="H20" s="11">
        <f>SUMIFS(ar6_r10!$F$2:$F$99999,ar6_r10!$A$2:$A$99999,$C$15,ar6_r10!$C$2:$C$99999,H$18,ar6_r10!$M$2:$M$99999,$B20,ar6_r10!$B$2:$B$99999,$A$2)</f>
        <v>0.54</v>
      </c>
      <c r="I20" s="11">
        <f>SUMIFS(ar6_r10!$F$2:$F$99999,ar6_r10!$A$2:$A$99999,$C$15,ar6_r10!$C$2:$C$99999,I$18,ar6_r10!$M$2:$M$99999,$B20,ar6_r10!$B$2:$B$99999,$A$2)</f>
        <v>0.49</v>
      </c>
      <c r="J20" s="11">
        <f>SUMIFS(ar6_r10!$F$2:$F$99999,ar6_r10!$A$2:$A$99999,$C$15,ar6_r10!$C$2:$C$99999,J$18,ar6_r10!$M$2:$M$99999,$B20,ar6_r10!$B$2:$B$99999,$A$2)</f>
        <v>0.52</v>
      </c>
      <c r="N20" s="10" t="s">
        <v>18</v>
      </c>
      <c r="O20" s="6">
        <f t="shared" si="2"/>
        <v>5510.4484000000002</v>
      </c>
      <c r="P20" s="6">
        <f t="shared" si="2"/>
        <v>6343.2371339999991</v>
      </c>
      <c r="Q20" s="6">
        <f t="shared" si="2"/>
        <v>6554.7672499999999</v>
      </c>
      <c r="R20" s="6">
        <f t="shared" si="2"/>
        <v>5847.2967779999999</v>
      </c>
      <c r="S20" s="6">
        <f t="shared" si="2"/>
        <v>6719.1919199999993</v>
      </c>
      <c r="T20" s="6">
        <f t="shared" si="2"/>
        <v>6706.7489720000003</v>
      </c>
      <c r="U20" s="6">
        <f t="shared" si="2"/>
        <v>7671.9662239999998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0.35</v>
      </c>
      <c r="E21" s="11">
        <f>SUMIFS(ar6_r10!$F$2:$F$99999,ar6_r10!$A$2:$A$99999,$C$15,ar6_r10!$C$2:$C$99999,E$18,ar6_r10!$M$2:$M$99999,$B21,ar6_r10!$B$2:$B$99999,$A$2)</f>
        <v>0.36</v>
      </c>
      <c r="F21" s="11">
        <f>SUMIFS(ar6_r10!$F$2:$F$99999,ar6_r10!$A$2:$A$99999,$C$15,ar6_r10!$C$2:$C$99999,F$18,ar6_r10!$M$2:$M$99999,$B21,ar6_r10!$B$2:$B$99999,$A$2)</f>
        <v>0.37</v>
      </c>
      <c r="G21" s="11">
        <f>SUMIFS(ar6_r10!$F$2:$F$99999,ar6_r10!$A$2:$A$99999,$C$15,ar6_r10!$C$2:$C$99999,G$18,ar6_r10!$M$2:$M$99999,$B21,ar6_r10!$B$2:$B$99999,$A$2)</f>
        <v>0.39</v>
      </c>
      <c r="H21" s="11">
        <f>SUMIFS(ar6_r10!$F$2:$F$99999,ar6_r10!$A$2:$A$99999,$C$15,ar6_r10!$C$2:$C$99999,H$18,ar6_r10!$M$2:$M$99999,$B21,ar6_r10!$B$2:$B$99999,$A$2)</f>
        <v>0.38</v>
      </c>
      <c r="I21" s="11">
        <f>SUMIFS(ar6_r10!$F$2:$F$99999,ar6_r10!$A$2:$A$99999,$C$15,ar6_r10!$C$2:$C$99999,I$18,ar6_r10!$M$2:$M$99999,$B21,ar6_r10!$B$2:$B$99999,$A$2)</f>
        <v>0.38</v>
      </c>
      <c r="J21" s="11">
        <f>SUMIFS(ar6_r10!$F$2:$F$99999,ar6_r10!$A$2:$A$99999,$C$15,ar6_r10!$C$2:$C$99999,J$18,ar6_r10!$M$2:$M$99999,$B21,ar6_r10!$B$2:$B$99999,$A$2)</f>
        <v>0.37</v>
      </c>
      <c r="N21" s="10" t="s">
        <v>21</v>
      </c>
      <c r="O21" s="6">
        <f t="shared" si="2"/>
        <v>3110.7369999999996</v>
      </c>
      <c r="P21" s="6">
        <f t="shared" si="2"/>
        <v>3743.5497839999994</v>
      </c>
      <c r="Q21" s="6">
        <f t="shared" si="2"/>
        <v>4110.6167500000001</v>
      </c>
      <c r="R21" s="6">
        <f t="shared" si="2"/>
        <v>4471.4622420000005</v>
      </c>
      <c r="S21" s="6">
        <f t="shared" si="2"/>
        <v>4728.3202399999991</v>
      </c>
      <c r="T21" s="6">
        <f t="shared" si="2"/>
        <v>5201.1522640000003</v>
      </c>
      <c r="U21" s="6">
        <f t="shared" si="2"/>
        <v>5458.8990439999998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0.03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0.05</v>
      </c>
      <c r="H22" s="11">
        <f>SUMIFS(ar6_r10!$F$2:$F$99999,ar6_r10!$A$2:$A$99999,$C$15,ar6_r10!$C$2:$C$99999,H$18,ar6_r10!$M$2:$M$99999,$B22,ar6_r10!$B$2:$B$99999,$A$2)</f>
        <v>0.05</v>
      </c>
      <c r="I22" s="11">
        <f>SUMIFS(ar6_r10!$F$2:$F$99999,ar6_r10!$A$2:$A$99999,$C$15,ar6_r10!$C$2:$C$99999,I$18,ar6_r10!$M$2:$M$99999,$B22,ar6_r10!$B$2:$B$99999,$A$2)</f>
        <v>0.04</v>
      </c>
      <c r="J22" s="11">
        <f>SUMIFS(ar6_r10!$F$2:$F$99999,ar6_r10!$A$2:$A$99999,$C$15,ar6_r10!$C$2:$C$99999,J$18,ar6_r10!$M$2:$M$99999,$B22,ar6_r10!$B$2:$B$99999,$A$2)</f>
        <v>0.04</v>
      </c>
      <c r="N22" s="10" t="s">
        <v>23</v>
      </c>
      <c r="O22" s="6">
        <f>D22*O$15</f>
        <v>177.75639999999999</v>
      </c>
      <c r="P22" s="6">
        <f t="shared" ref="P22:U22" si="3">O22</f>
        <v>177.75639999999999</v>
      </c>
      <c r="Q22" s="6">
        <f t="shared" si="3"/>
        <v>177.75639999999999</v>
      </c>
      <c r="R22" s="6">
        <f t="shared" si="3"/>
        <v>177.75639999999999</v>
      </c>
      <c r="S22" s="6">
        <f t="shared" si="3"/>
        <v>177.75639999999999</v>
      </c>
      <c r="T22" s="6">
        <f t="shared" si="3"/>
        <v>177.75639999999999</v>
      </c>
      <c r="U22" s="6">
        <f t="shared" si="3"/>
        <v>177.75639999999999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88.878199999999197</v>
      </c>
      <c r="P23" s="6">
        <f t="shared" si="4"/>
        <v>134.20608200000061</v>
      </c>
      <c r="Q23" s="6">
        <f t="shared" si="4"/>
        <v>266.63459999999941</v>
      </c>
      <c r="R23" s="6">
        <f t="shared" si="4"/>
        <v>968.77237999999852</v>
      </c>
      <c r="S23" s="6">
        <f t="shared" si="4"/>
        <v>817.67943999999989</v>
      </c>
      <c r="T23" s="6">
        <f t="shared" si="4"/>
        <v>1601.5851639999983</v>
      </c>
      <c r="U23" s="6">
        <f t="shared" si="4"/>
        <v>1445.1595319999997</v>
      </c>
      <c r="V23" t="s">
        <v>16</v>
      </c>
    </row>
    <row r="24" spans="2:24" x14ac:dyDescent="0.45">
      <c r="N24" s="18" t="s">
        <v>101</v>
      </c>
      <c r="O24" s="19">
        <f>N12</f>
        <v>1481.569</v>
      </c>
      <c r="P24" s="20">
        <f>$N$12*E16</f>
        <v>1777.8827999999999</v>
      </c>
      <c r="Q24" s="20">
        <f>$N$12*F16</f>
        <v>1866.77694</v>
      </c>
      <c r="R24" s="20">
        <f t="shared" ref="R24:U24" si="5">$N$12*G16</f>
        <v>2044.5652199999997</v>
      </c>
      <c r="S24" s="20">
        <f t="shared" si="5"/>
        <v>1926.0397</v>
      </c>
      <c r="T24" s="20">
        <f t="shared" si="5"/>
        <v>1644.54159</v>
      </c>
      <c r="U24" s="20">
        <f t="shared" si="5"/>
        <v>1496.3846899999999</v>
      </c>
      <c r="V24" s="18" t="s">
        <v>16</v>
      </c>
    </row>
    <row r="25" spans="2:24" x14ac:dyDescent="0.45">
      <c r="N25" s="18" t="s">
        <v>102</v>
      </c>
      <c r="O25" s="19">
        <f>N13</f>
        <v>605.54100000000005</v>
      </c>
      <c r="P25" s="20">
        <f>$N$13*E16</f>
        <v>726.64920000000006</v>
      </c>
      <c r="Q25" s="20">
        <f t="shared" ref="Q25:U25" si="6">$N$13*F16</f>
        <v>762.98166000000003</v>
      </c>
      <c r="R25" s="20">
        <f t="shared" si="6"/>
        <v>835.64657999999997</v>
      </c>
      <c r="S25" s="20">
        <f t="shared" si="6"/>
        <v>787.20330000000013</v>
      </c>
      <c r="T25" s="20">
        <f t="shared" si="6"/>
        <v>672.15051000000017</v>
      </c>
      <c r="U25" s="20">
        <f t="shared" si="6"/>
        <v>611.59641000000011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49.25</v>
      </c>
      <c r="G26" s="8">
        <f>SUMIFS(ar6_r10!$F$2:$F$99999,ar6_r10!$A$2:$A$99999,$C$26,ar6_r10!$C$2:$C$99999,G$18,ar6_r10!$M$2:$M$99999,$B26,ar6_r10!$B$2:$B$99999,$A$2)</f>
        <v>97.48</v>
      </c>
      <c r="H26" s="8">
        <f>SUMIFS(ar6_r10!$F$2:$F$99999,ar6_r10!$A$2:$A$99999,$C$26,ar6_r10!$C$2:$C$99999,H$18,ar6_r10!$M$2:$M$99999,$B26,ar6_r10!$B$2:$B$99999,$A$2)</f>
        <v>128.69</v>
      </c>
      <c r="I26" s="8">
        <f>SUMIFS(ar6_r10!$F$2:$F$99999,ar6_r10!$A$2:$A$99999,$C$26,ar6_r10!$C$2:$C$99999,I$18,ar6_r10!$M$2:$M$99999,$B26,ar6_r10!$B$2:$B$99999,$A$2)</f>
        <v>171.28</v>
      </c>
      <c r="J26" s="8">
        <f>SUMIFS(ar6_r10!$F$2:$F$99999,ar6_r10!$A$2:$A$99999,$C$26,ar6_r10!$C$2:$C$99999,J$18,ar6_r10!$M$2:$M$99999,$B26,ar6_r10!$B$2:$B$99999,$A$2)</f>
        <v>208.73</v>
      </c>
      <c r="N26" s="21" t="s">
        <v>26</v>
      </c>
      <c r="O26" s="22"/>
      <c r="P26" s="22">
        <v>0</v>
      </c>
      <c r="Q26" s="23">
        <f>F26/1000</f>
        <v>4.9250000000000002E-2</v>
      </c>
      <c r="R26" s="23">
        <f>G26/1000</f>
        <v>9.7479999999999997E-2</v>
      </c>
      <c r="S26" s="23">
        <f>H26/1000</f>
        <v>0.12869</v>
      </c>
      <c r="T26" s="23">
        <f>I26/1000</f>
        <v>0.17127999999999999</v>
      </c>
      <c r="U26" s="23">
        <f>J26/1000</f>
        <v>0.20873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region=CHN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7.14</v>
      </c>
      <c r="N30" t="s">
        <v>30</v>
      </c>
      <c r="O30" s="3">
        <f>L30</f>
        <v>7.14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20.09</v>
      </c>
      <c r="N31" t="s">
        <v>33</v>
      </c>
      <c r="O31" s="3">
        <f>ABS(L31)</f>
        <v>20.09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1.24</v>
      </c>
      <c r="F39" s="11">
        <f>SUMIFS(ar6_r10!$F$2:$F$99999,ar6_r10!$A$2:$A$99999,$B$38,ar6_r10!$C$2:$C$99999,F$18,ar6_r10!$M$2:$M$99999,$B39,ar6_r10!$B$2:$B$99999,$A$2)</f>
        <v>1.32</v>
      </c>
      <c r="G39" s="11">
        <f>SUMIFS(ar6_r10!$F$2:$F$99999,ar6_r10!$A$2:$A$99999,$B$38,ar6_r10!$C$2:$C$99999,G$18,ar6_r10!$M$2:$M$99999,$B39,ar6_r10!$B$2:$B$99999,$A$2)</f>
        <v>1.39</v>
      </c>
      <c r="H39" s="11">
        <f>SUMIFS(ar6_r10!$F$2:$F$99999,ar6_r10!$A$2:$A$99999,$B$38,ar6_r10!$C$2:$C$99999,H$18,ar6_r10!$M$2:$M$99999,$B39,ar6_r10!$B$2:$B$99999,$A$2)</f>
        <v>1.28</v>
      </c>
      <c r="I39" s="11">
        <f>SUMIFS(ar6_r10!$F$2:$F$99999,ar6_r10!$A$2:$A$99999,$B$38,ar6_r10!$C$2:$C$99999,I$18,ar6_r10!$M$2:$M$99999,$B39,ar6_r10!$B$2:$B$99999,$A$2)</f>
        <v>1.51</v>
      </c>
      <c r="J39" s="11">
        <f>SUMIFS(ar6_r10!$F$2:$F$99999,ar6_r10!$A$2:$A$99999,$B$38,ar6_r10!$C$2:$C$99999,J$18,ar6_r10!$M$2:$M$99999,$B39,ar6_r10!$B$2:$B$99999,$A$2)</f>
        <v>1.6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1.04</v>
      </c>
      <c r="F40" s="11">
        <f>SUMIFS(ar6_r10!$F$2:$F$99999,ar6_r10!$A$2:$A$99999,$B$38,ar6_r10!$C$2:$C$99999,F$18,ar6_r10!$M$2:$M$99999,$B40,ar6_r10!$B$2:$B$99999,$A$2)</f>
        <v>1.1100000000000001</v>
      </c>
      <c r="G40" s="11">
        <f>SUMIFS(ar6_r10!$F$2:$F$99999,ar6_r10!$A$2:$A$99999,$B$38,ar6_r10!$C$2:$C$99999,G$18,ar6_r10!$M$2:$M$99999,$B40,ar6_r10!$B$2:$B$99999,$A$2)</f>
        <v>1.21</v>
      </c>
      <c r="H40" s="11">
        <f>SUMIFS(ar6_r10!$F$2:$F$99999,ar6_r10!$A$2:$A$99999,$B$38,ar6_r10!$C$2:$C$99999,H$18,ar6_r10!$M$2:$M$99999,$B40,ar6_r10!$B$2:$B$99999,$A$2)</f>
        <v>1.23</v>
      </c>
      <c r="I40" s="11">
        <f>SUMIFS(ar6_r10!$F$2:$F$99999,ar6_r10!$A$2:$A$99999,$B$38,ar6_r10!$C$2:$C$99999,I$18,ar6_r10!$M$2:$M$99999,$B40,ar6_r10!$B$2:$B$99999,$A$2)</f>
        <v>1.24</v>
      </c>
      <c r="J40" s="11">
        <f>SUMIFS(ar6_r10!$F$2:$F$99999,ar6_r10!$A$2:$A$99999,$B$38,ar6_r10!$C$2:$C$99999,J$18,ar6_r10!$M$2:$M$99999,$B40,ar6_r10!$B$2:$B$99999,$A$2)</f>
        <v>1.25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1.07</v>
      </c>
      <c r="F41" s="11">
        <f>SUMIFS(ar6_r10!$F$2:$F$99999,ar6_r10!$A$2:$A$99999,$B$38,ar6_r10!$C$2:$C$99999,F$18,ar6_r10!$M$2:$M$99999,$B41,ar6_r10!$B$2:$B$99999,$A$2)</f>
        <v>1.1599999999999999</v>
      </c>
      <c r="G41" s="11">
        <f>SUMIFS(ar6_r10!$F$2:$F$99999,ar6_r10!$A$2:$A$99999,$B$38,ar6_r10!$C$2:$C$99999,G$18,ar6_r10!$M$2:$M$99999,$B41,ar6_r10!$B$2:$B$99999,$A$2)</f>
        <v>1.1499999999999999</v>
      </c>
      <c r="H41" s="11">
        <f>SUMIFS(ar6_r10!$F$2:$F$99999,ar6_r10!$A$2:$A$99999,$B$38,ar6_r10!$C$2:$C$99999,H$18,ar6_r10!$M$2:$M$99999,$B41,ar6_r10!$B$2:$B$99999,$A$2)</f>
        <v>1.25</v>
      </c>
      <c r="I41" s="11">
        <f>SUMIFS(ar6_r10!$F$2:$F$99999,ar6_r10!$A$2:$A$99999,$B$38,ar6_r10!$C$2:$C$99999,I$18,ar6_r10!$M$2:$M$99999,$B41,ar6_r10!$B$2:$B$99999,$A$2)</f>
        <v>1.53</v>
      </c>
      <c r="J41" s="11">
        <f>SUMIFS(ar6_r10!$F$2:$F$99999,ar6_r10!$A$2:$A$99999,$B$38,ar6_r10!$C$2:$C$99999,J$18,ar6_r10!$M$2:$M$99999,$B41,ar6_r10!$B$2:$B$99999,$A$2)</f>
        <v>1.75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1.06</v>
      </c>
      <c r="F42" s="11">
        <f>SUMIFS(ar6_r10!$F$2:$F$99999,ar6_r10!$A$2:$A$99999,$B$38,ar6_r10!$C$2:$C$99999,F$18,ar6_r10!$M$2:$M$99999,$B42,ar6_r10!$B$2:$B$99999,$A$2)</f>
        <v>1.08</v>
      </c>
      <c r="G42" s="11">
        <f>SUMIFS(ar6_r10!$F$2:$F$99999,ar6_r10!$A$2:$A$99999,$B$38,ar6_r10!$C$2:$C$99999,G$18,ar6_r10!$M$2:$M$99999,$B42,ar6_r10!$B$2:$B$99999,$A$2)</f>
        <v>0.97</v>
      </c>
      <c r="H42" s="11">
        <f>SUMIFS(ar6_r10!$F$2:$F$99999,ar6_r10!$A$2:$A$99999,$B$38,ar6_r10!$C$2:$C$99999,H$18,ar6_r10!$M$2:$M$99999,$B42,ar6_r10!$B$2:$B$99999,$A$2)</f>
        <v>1.05</v>
      </c>
      <c r="I42" s="11">
        <f>SUMIFS(ar6_r10!$F$2:$F$99999,ar6_r10!$A$2:$A$99999,$B$38,ar6_r10!$C$2:$C$99999,I$18,ar6_r10!$M$2:$M$99999,$B42,ar6_r10!$B$2:$B$99999,$A$2)</f>
        <v>1.1000000000000001</v>
      </c>
      <c r="J42" s="11">
        <f>SUMIFS(ar6_r10!$F$2:$F$99999,ar6_r10!$A$2:$A$99999,$B$38,ar6_r10!$C$2:$C$99999,J$18,ar6_r10!$M$2:$M$99999,$B42,ar6_r10!$B$2:$B$99999,$A$2)</f>
        <v>1.1100000000000001</v>
      </c>
    </row>
    <row r="45" spans="2:14" ht="17.25" thickBot="1" x14ac:dyDescent="0.55000000000000004">
      <c r="B45" s="5" t="str">
        <f>"~TFM_INS-TS: region="&amp;$A$1&amp;"; attribute=flo_cost;pset_pn=-IMP*Z"</f>
        <v>~TFM_INS-TS: region=CHN;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20.55</v>
      </c>
      <c r="E47">
        <f t="shared" si="9"/>
        <v>25.481999999999999</v>
      </c>
      <c r="F47">
        <f t="shared" si="9"/>
        <v>27.126000000000001</v>
      </c>
      <c r="G47">
        <f t="shared" si="9"/>
        <v>28.564499999999999</v>
      </c>
      <c r="H47">
        <f t="shared" si="9"/>
        <v>26.304000000000002</v>
      </c>
      <c r="I47">
        <f t="shared" si="9"/>
        <v>31.0305</v>
      </c>
      <c r="J47">
        <f t="shared" si="9"/>
        <v>32.880000000000003</v>
      </c>
      <c r="M47">
        <f>HLOOKUP($B47&amp;"_"&amp;M$46,fuel_prices!$B$10:$I$100,MATCH($A$1,fuel_prices!$A$10:$A$100,0),FALSE)</f>
        <v>17.100000000000001</v>
      </c>
      <c r="N47">
        <f>HLOOKUP($B47&amp;"_"&amp;N$46,fuel_prices!$B$10:$I$100,MATCH($A$1,fuel_prices!$A$10:$A$100,0),FALSE)</f>
        <v>24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10.649999999999999</v>
      </c>
      <c r="E48">
        <f t="shared" si="9"/>
        <v>11.075999999999999</v>
      </c>
      <c r="F48">
        <f t="shared" si="9"/>
        <v>11.8215</v>
      </c>
      <c r="G48">
        <f t="shared" si="9"/>
        <v>12.886499999999998</v>
      </c>
      <c r="H48">
        <f t="shared" si="9"/>
        <v>13.099499999999997</v>
      </c>
      <c r="I48">
        <f t="shared" si="9"/>
        <v>13.205999999999998</v>
      </c>
      <c r="J48">
        <f t="shared" si="9"/>
        <v>13.312499999999998</v>
      </c>
      <c r="M48">
        <f>HLOOKUP($B48&amp;"_"&amp;M$46,fuel_prices!$B$10:$I$100,MATCH($A$1,fuel_prices!$A$10:$A$100,0),FALSE)</f>
        <v>9.1</v>
      </c>
      <c r="N48">
        <f>HLOOKUP($B48&amp;"_"&amp;N$46,fuel_prices!$B$10:$I$100,MATCH($A$1,fuel_prices!$A$10:$A$100,0),FALSE)</f>
        <v>12.2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56.71</v>
      </c>
      <c r="F49">
        <f t="shared" si="9"/>
        <v>61.48</v>
      </c>
      <c r="G49">
        <f t="shared" si="9"/>
        <v>60.949999999999996</v>
      </c>
      <c r="H49">
        <f t="shared" si="9"/>
        <v>66.25</v>
      </c>
      <c r="I49">
        <f t="shared" si="9"/>
        <v>81.09</v>
      </c>
      <c r="J49">
        <f t="shared" si="9"/>
        <v>92.75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24</v>
      </c>
      <c r="J50">
        <f>VLOOKUP($C$15,$AF$9:$AH$16,3,FALSE)*D50</f>
        <v>72</v>
      </c>
      <c r="M50">
        <f>HLOOKUP($B50&amp;"_"&amp;M$46,fuel_prices!$B$10:$I$100,MATCH($A$1,fuel_prices!$A$10:$A$100,0),FALSE)</f>
        <v>20</v>
      </c>
      <c r="N50">
        <f>HLOOKUP($B50&amp;"_"&amp;N$46,fuel_prices!$B$10:$I$100,MATCH($A$1,fuel_prices!$A$10:$A$100,0),FALSE)</f>
        <v>28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17.100000000000001</v>
      </c>
      <c r="C11">
        <v>24</v>
      </c>
      <c r="D11">
        <v>9.1</v>
      </c>
      <c r="E11">
        <v>12.2</v>
      </c>
      <c r="F11">
        <v>48</v>
      </c>
      <c r="G11">
        <v>58</v>
      </c>
      <c r="H11">
        <v>20</v>
      </c>
      <c r="I11">
        <v>28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3822.68</v>
      </c>
      <c r="D11">
        <v>1165.2</v>
      </c>
      <c r="E11">
        <v>62.18</v>
      </c>
      <c r="F11">
        <v>9.98</v>
      </c>
      <c r="G11">
        <v>6.21</v>
      </c>
      <c r="H11">
        <v>18.649999999999999</v>
      </c>
      <c r="I11">
        <v>5838.44</v>
      </c>
      <c r="J11">
        <v>963.41600000000005</v>
      </c>
      <c r="K11">
        <v>1005.298</v>
      </c>
      <c r="L11">
        <v>682.59500000000003</v>
      </c>
      <c r="M11">
        <v>322.70299999999997</v>
      </c>
    </row>
    <row r="12" spans="1:13" x14ac:dyDescent="0.45">
      <c r="A12" t="s">
        <v>103</v>
      </c>
      <c r="B12">
        <v>2016</v>
      </c>
      <c r="C12">
        <v>4031.75</v>
      </c>
      <c r="D12">
        <v>1284.2</v>
      </c>
      <c r="E12">
        <v>69.61</v>
      </c>
      <c r="F12">
        <v>15.8</v>
      </c>
      <c r="G12">
        <v>6.19</v>
      </c>
      <c r="H12">
        <v>18.91</v>
      </c>
      <c r="I12">
        <v>6169.04</v>
      </c>
      <c r="J12">
        <v>1045.3779999999999</v>
      </c>
      <c r="K12">
        <v>1092.779</v>
      </c>
      <c r="L12">
        <v>745.41399999999999</v>
      </c>
      <c r="M12">
        <v>347.36500000000001</v>
      </c>
    </row>
    <row r="13" spans="1:13" x14ac:dyDescent="0.45">
      <c r="A13" t="s">
        <v>103</v>
      </c>
      <c r="B13">
        <v>2017</v>
      </c>
      <c r="C13">
        <v>4457.93</v>
      </c>
      <c r="D13">
        <v>1390.36</v>
      </c>
      <c r="E13">
        <v>78.92</v>
      </c>
      <c r="F13">
        <v>21.95</v>
      </c>
      <c r="G13">
        <v>6.42</v>
      </c>
      <c r="H13">
        <v>19.47</v>
      </c>
      <c r="I13">
        <v>6682.04</v>
      </c>
      <c r="J13">
        <v>1139.069</v>
      </c>
      <c r="K13">
        <v>1168.42</v>
      </c>
      <c r="L13">
        <v>788.00199999999995</v>
      </c>
      <c r="M13">
        <v>380.41800000000001</v>
      </c>
    </row>
    <row r="14" spans="1:13" x14ac:dyDescent="0.45">
      <c r="A14" t="s">
        <v>103</v>
      </c>
      <c r="B14">
        <v>2018</v>
      </c>
      <c r="C14">
        <v>4743.37</v>
      </c>
      <c r="D14">
        <v>1545.3</v>
      </c>
      <c r="E14">
        <v>89.52</v>
      </c>
      <c r="F14">
        <v>30.54</v>
      </c>
      <c r="G14">
        <v>5.69</v>
      </c>
      <c r="H14">
        <v>20.91</v>
      </c>
      <c r="I14">
        <v>7109.94</v>
      </c>
      <c r="J14">
        <v>1293.4939999999999</v>
      </c>
      <c r="K14">
        <v>1311.952</v>
      </c>
      <c r="L14">
        <v>873.505</v>
      </c>
      <c r="M14">
        <v>438.447</v>
      </c>
    </row>
    <row r="15" spans="1:13" x14ac:dyDescent="0.45">
      <c r="A15" t="s">
        <v>103</v>
      </c>
      <c r="B15">
        <v>2019</v>
      </c>
      <c r="C15">
        <v>4997.47</v>
      </c>
      <c r="D15">
        <v>1654.79</v>
      </c>
      <c r="E15">
        <v>97.53</v>
      </c>
      <c r="F15">
        <v>33.14</v>
      </c>
      <c r="G15">
        <v>4.8600000000000003</v>
      </c>
      <c r="H15">
        <v>21.65</v>
      </c>
      <c r="I15">
        <v>7472.59</v>
      </c>
      <c r="J15">
        <v>1381.6030000000001</v>
      </c>
      <c r="K15">
        <v>1368.2429999999999</v>
      </c>
      <c r="L15">
        <v>898.18700000000001</v>
      </c>
      <c r="M15">
        <v>470.05599999999998</v>
      </c>
    </row>
    <row r="16" spans="1:13" x14ac:dyDescent="0.45">
      <c r="A16" t="s">
        <v>103</v>
      </c>
      <c r="B16">
        <v>2020</v>
      </c>
      <c r="C16">
        <v>5252.18</v>
      </c>
      <c r="D16">
        <v>1742.4</v>
      </c>
      <c r="E16">
        <v>97.45</v>
      </c>
      <c r="F16">
        <v>34.93</v>
      </c>
      <c r="G16">
        <v>4.75</v>
      </c>
      <c r="H16">
        <v>21.79</v>
      </c>
      <c r="I16">
        <v>7732.07</v>
      </c>
      <c r="J16">
        <v>1497.04</v>
      </c>
      <c r="K16">
        <v>1489.7750000000001</v>
      </c>
      <c r="L16">
        <v>975.55399999999997</v>
      </c>
      <c r="M16">
        <v>514.221</v>
      </c>
    </row>
    <row r="17" spans="1:13" x14ac:dyDescent="0.45">
      <c r="A17" t="s">
        <v>103</v>
      </c>
      <c r="B17">
        <v>2021</v>
      </c>
      <c r="C17">
        <v>5810.51</v>
      </c>
      <c r="D17">
        <v>1937.61</v>
      </c>
      <c r="E17">
        <v>110.92</v>
      </c>
      <c r="F17">
        <v>46.41</v>
      </c>
      <c r="G17">
        <v>5.94</v>
      </c>
      <c r="H17">
        <v>20.18</v>
      </c>
      <c r="I17">
        <v>8560.0499999999993</v>
      </c>
      <c r="J17">
        <v>1788.7370000000001</v>
      </c>
      <c r="K17">
        <v>1802.8209999999999</v>
      </c>
      <c r="L17">
        <v>1229.2180000000001</v>
      </c>
      <c r="M17">
        <v>573.60299999999995</v>
      </c>
    </row>
    <row r="18" spans="1:13" x14ac:dyDescent="0.45">
      <c r="A18" t="s">
        <v>103</v>
      </c>
      <c r="B18">
        <v>2022</v>
      </c>
      <c r="C18">
        <v>6011.06</v>
      </c>
      <c r="D18">
        <v>2141.63</v>
      </c>
      <c r="E18">
        <v>113.61</v>
      </c>
      <c r="F18">
        <v>62.32</v>
      </c>
      <c r="G18">
        <v>7.14</v>
      </c>
      <c r="H18">
        <v>20.09</v>
      </c>
      <c r="I18">
        <v>8900.77</v>
      </c>
      <c r="J18">
        <v>2060.7950000000001</v>
      </c>
      <c r="K18">
        <v>2087.11</v>
      </c>
      <c r="L18">
        <v>1481.569</v>
      </c>
      <c r="M18">
        <v>605.54100000000005</v>
      </c>
    </row>
    <row r="19" spans="1:13" x14ac:dyDescent="0.45">
      <c r="A19" t="s">
        <v>103</v>
      </c>
      <c r="B19">
        <v>2023</v>
      </c>
      <c r="C19">
        <v>6603.51</v>
      </c>
      <c r="D19">
        <v>2269.2199999999998</v>
      </c>
      <c r="E19">
        <v>121.12</v>
      </c>
      <c r="F19">
        <v>79.92</v>
      </c>
      <c r="G19">
        <v>5.0199999999999996</v>
      </c>
      <c r="H19">
        <v>22.1</v>
      </c>
      <c r="I19">
        <v>9558.7199999999993</v>
      </c>
      <c r="J19">
        <v>2222.616</v>
      </c>
      <c r="K19">
        <v>2293.4609999999998</v>
      </c>
      <c r="L19">
        <v>1641.0930000000001</v>
      </c>
      <c r="M19">
        <v>652.36800000000005</v>
      </c>
    </row>
    <row r="20" spans="1:13" x14ac:dyDescent="0.45">
      <c r="A20" t="s">
        <v>103</v>
      </c>
      <c r="B20">
        <v>2024</v>
      </c>
      <c r="C20">
        <v>7267.71</v>
      </c>
      <c r="D20">
        <v>2474.91</v>
      </c>
      <c r="E20">
        <v>129.12</v>
      </c>
      <c r="F20">
        <v>102.5</v>
      </c>
      <c r="G20">
        <v>2.92</v>
      </c>
      <c r="H20">
        <v>20.55</v>
      </c>
      <c r="I20">
        <v>10181.09</v>
      </c>
      <c r="J20">
        <v>2311.1509999999998</v>
      </c>
      <c r="K20">
        <v>2453.4189999999999</v>
      </c>
      <c r="L20">
        <v>1768.442</v>
      </c>
      <c r="M20">
        <v>684.97699999999998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0.69</v>
      </c>
      <c r="F11">
        <v>0.28000000000000003</v>
      </c>
      <c r="G11">
        <v>1.59</v>
      </c>
      <c r="H11">
        <v>0</v>
      </c>
      <c r="I11">
        <v>5.54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162.87</v>
      </c>
      <c r="F12">
        <v>128.21</v>
      </c>
      <c r="G12">
        <v>116.85</v>
      </c>
      <c r="H12">
        <v>33.32</v>
      </c>
      <c r="I12">
        <v>626.48</v>
      </c>
      <c r="J12">
        <v>101.54</v>
      </c>
      <c r="K12">
        <v>190.02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221.04</v>
      </c>
      <c r="F13">
        <v>194.33</v>
      </c>
      <c r="G13">
        <v>110.97</v>
      </c>
      <c r="H13">
        <v>9.59</v>
      </c>
      <c r="I13">
        <v>673.46</v>
      </c>
      <c r="J13">
        <v>164.67</v>
      </c>
      <c r="K13">
        <v>244.32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309.55</v>
      </c>
      <c r="F14">
        <v>256.63</v>
      </c>
      <c r="G14">
        <v>148.94</v>
      </c>
      <c r="H14">
        <v>40.909999999999997</v>
      </c>
      <c r="I14">
        <v>859.53</v>
      </c>
      <c r="J14">
        <v>220.16</v>
      </c>
      <c r="K14">
        <v>396.19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419.54</v>
      </c>
      <c r="F15">
        <v>338.71</v>
      </c>
      <c r="G15">
        <v>205.73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529.29</v>
      </c>
      <c r="F16">
        <v>460.87</v>
      </c>
      <c r="G16">
        <v>243.66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625.14</v>
      </c>
      <c r="F17">
        <v>581.84</v>
      </c>
      <c r="G17">
        <v>257.52999999999997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1.06</v>
      </c>
      <c r="F18">
        <v>0</v>
      </c>
      <c r="G18">
        <v>1.95</v>
      </c>
      <c r="H18">
        <v>0</v>
      </c>
      <c r="I18">
        <v>5.54</v>
      </c>
      <c r="J18">
        <v>0</v>
      </c>
      <c r="K18">
        <v>1.1100000000000001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41.97</v>
      </c>
      <c r="F19">
        <v>24.75</v>
      </c>
      <c r="G19">
        <v>46.37</v>
      </c>
      <c r="H19">
        <v>0</v>
      </c>
      <c r="I19">
        <v>174.97</v>
      </c>
      <c r="J19">
        <v>1.1100000000000001</v>
      </c>
      <c r="K19">
        <v>73.930000000000007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52.54</v>
      </c>
      <c r="F20">
        <v>41.97</v>
      </c>
      <c r="G20">
        <v>54.78</v>
      </c>
      <c r="H20">
        <v>0</v>
      </c>
      <c r="I20">
        <v>221.93</v>
      </c>
      <c r="J20">
        <v>8.23</v>
      </c>
      <c r="K20">
        <v>77.17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195.34</v>
      </c>
      <c r="F21">
        <v>135.74</v>
      </c>
      <c r="G21">
        <v>289.95</v>
      </c>
      <c r="H21">
        <v>54.48</v>
      </c>
      <c r="I21">
        <v>2037.12</v>
      </c>
      <c r="J21">
        <v>87.35</v>
      </c>
      <c r="K21">
        <v>201.85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247.32</v>
      </c>
      <c r="F22">
        <v>165.64</v>
      </c>
      <c r="G22">
        <v>359.74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295.25</v>
      </c>
      <c r="F23">
        <v>249.21</v>
      </c>
      <c r="G23">
        <v>189.78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309.04000000000002</v>
      </c>
      <c r="F24">
        <v>285.02999999999997</v>
      </c>
      <c r="G24">
        <v>169.99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192</v>
      </c>
      <c r="E25">
        <v>3.3</v>
      </c>
      <c r="F25">
        <v>0.28000000000000003</v>
      </c>
      <c r="G25">
        <v>11.14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169</v>
      </c>
      <c r="E26">
        <v>38.979999999999997</v>
      </c>
      <c r="F26">
        <v>39</v>
      </c>
      <c r="G26">
        <v>35.840000000000003</v>
      </c>
      <c r="H26">
        <v>0</v>
      </c>
      <c r="I26">
        <v>134.68</v>
      </c>
      <c r="J26">
        <v>1.1100000000000001</v>
      </c>
      <c r="K26">
        <v>60.99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192</v>
      </c>
      <c r="E27">
        <v>51.64</v>
      </c>
      <c r="F27">
        <v>49.25</v>
      </c>
      <c r="G27">
        <v>46.79</v>
      </c>
      <c r="H27">
        <v>0</v>
      </c>
      <c r="I27">
        <v>216.75</v>
      </c>
      <c r="J27">
        <v>8.23</v>
      </c>
      <c r="K27">
        <v>80.62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169</v>
      </c>
      <c r="E28">
        <v>116.51</v>
      </c>
      <c r="F28">
        <v>97.48</v>
      </c>
      <c r="G28">
        <v>86.9</v>
      </c>
      <c r="H28">
        <v>29.81</v>
      </c>
      <c r="I28">
        <v>960.63</v>
      </c>
      <c r="J28">
        <v>69.64</v>
      </c>
      <c r="K28">
        <v>138.58000000000001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192</v>
      </c>
      <c r="E29">
        <v>156.22</v>
      </c>
      <c r="F29">
        <v>128.69</v>
      </c>
      <c r="G29">
        <v>109.62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169</v>
      </c>
      <c r="E30">
        <v>200.44</v>
      </c>
      <c r="F30">
        <v>171.28</v>
      </c>
      <c r="G30">
        <v>143.47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192</v>
      </c>
      <c r="E31">
        <v>240.71</v>
      </c>
      <c r="F31">
        <v>208.73</v>
      </c>
      <c r="G31">
        <v>125.2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1.9</v>
      </c>
      <c r="F32">
        <v>0</v>
      </c>
      <c r="G32">
        <v>3.42</v>
      </c>
      <c r="H32">
        <v>0</v>
      </c>
      <c r="I32">
        <v>14.45</v>
      </c>
      <c r="J32">
        <v>0</v>
      </c>
      <c r="K32">
        <v>4.8499999999999996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10.97</v>
      </c>
      <c r="F33">
        <v>4.67</v>
      </c>
      <c r="G33">
        <v>13.26</v>
      </c>
      <c r="H33">
        <v>0</v>
      </c>
      <c r="I33">
        <v>48.97</v>
      </c>
      <c r="J33">
        <v>0</v>
      </c>
      <c r="K33">
        <v>19.61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19.46</v>
      </c>
      <c r="F34">
        <v>12.91</v>
      </c>
      <c r="G34">
        <v>22.41</v>
      </c>
      <c r="H34">
        <v>0</v>
      </c>
      <c r="I34">
        <v>82.5</v>
      </c>
      <c r="J34">
        <v>0</v>
      </c>
      <c r="K34">
        <v>32.54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61.54</v>
      </c>
      <c r="F35">
        <v>52.06</v>
      </c>
      <c r="G35">
        <v>29.84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57</v>
      </c>
      <c r="E39">
        <v>0.68</v>
      </c>
      <c r="F39">
        <v>0</v>
      </c>
      <c r="G39">
        <v>1.9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52</v>
      </c>
      <c r="E40">
        <v>0.2</v>
      </c>
      <c r="F40">
        <v>0</v>
      </c>
      <c r="G40">
        <v>0.61</v>
      </c>
      <c r="H40">
        <v>0</v>
      </c>
      <c r="I40">
        <v>4.24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57</v>
      </c>
      <c r="E41">
        <v>0.88</v>
      </c>
      <c r="F41">
        <v>0</v>
      </c>
      <c r="G41">
        <v>2.84</v>
      </c>
      <c r="H41">
        <v>0</v>
      </c>
      <c r="I41">
        <v>17.87</v>
      </c>
      <c r="J41">
        <v>0</v>
      </c>
      <c r="K41">
        <v>0.63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52</v>
      </c>
      <c r="E42">
        <v>0.48</v>
      </c>
      <c r="F42">
        <v>0</v>
      </c>
      <c r="G42">
        <v>0.6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57</v>
      </c>
      <c r="E43">
        <v>0.6</v>
      </c>
      <c r="F43">
        <v>0</v>
      </c>
      <c r="G43">
        <v>0.82</v>
      </c>
      <c r="H43">
        <v>0</v>
      </c>
      <c r="I43">
        <v>2.48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52</v>
      </c>
      <c r="E44">
        <v>0.86</v>
      </c>
      <c r="F44">
        <v>0</v>
      </c>
      <c r="G44">
        <v>1.1000000000000001</v>
      </c>
      <c r="H44">
        <v>0</v>
      </c>
      <c r="I44">
        <v>3.73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57</v>
      </c>
      <c r="E45">
        <v>0.98</v>
      </c>
      <c r="F45">
        <v>0</v>
      </c>
      <c r="G45">
        <v>1.37</v>
      </c>
      <c r="H45">
        <v>0</v>
      </c>
      <c r="I45">
        <v>4.97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1.0900000000000001</v>
      </c>
      <c r="F47">
        <v>1.1200000000000001</v>
      </c>
      <c r="G47">
        <v>0.16</v>
      </c>
      <c r="H47">
        <v>0.64</v>
      </c>
      <c r="I47">
        <v>1.48</v>
      </c>
      <c r="J47">
        <v>1.08</v>
      </c>
      <c r="K47">
        <v>1.1499999999999999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1.33</v>
      </c>
      <c r="F48">
        <v>1.35</v>
      </c>
      <c r="G48">
        <v>0.24</v>
      </c>
      <c r="H48">
        <v>0.86</v>
      </c>
      <c r="I48">
        <v>2.25</v>
      </c>
      <c r="J48">
        <v>1.2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1.57</v>
      </c>
      <c r="F49">
        <v>1.56</v>
      </c>
      <c r="G49">
        <v>0.27</v>
      </c>
      <c r="H49">
        <v>1.17</v>
      </c>
      <c r="I49">
        <v>2.56</v>
      </c>
      <c r="J49">
        <v>1.38</v>
      </c>
      <c r="K49">
        <v>1.67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1.75</v>
      </c>
      <c r="F50">
        <v>1.69</v>
      </c>
      <c r="G50">
        <v>0.28999999999999998</v>
      </c>
      <c r="H50">
        <v>1.38</v>
      </c>
      <c r="I50">
        <v>2.65</v>
      </c>
      <c r="J50">
        <v>1.56</v>
      </c>
      <c r="K50">
        <v>1.84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1.88</v>
      </c>
      <c r="F51">
        <v>1.82</v>
      </c>
      <c r="G51">
        <v>0.33</v>
      </c>
      <c r="H51">
        <v>1.38</v>
      </c>
      <c r="I51">
        <v>2.73</v>
      </c>
      <c r="J51">
        <v>1.64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1.98</v>
      </c>
      <c r="F52">
        <v>1.9</v>
      </c>
      <c r="G52">
        <v>0.38</v>
      </c>
      <c r="H52">
        <v>1.37</v>
      </c>
      <c r="I52">
        <v>2.76</v>
      </c>
      <c r="J52">
        <v>1.69</v>
      </c>
      <c r="K52">
        <v>2.15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89</v>
      </c>
      <c r="E54">
        <v>1.1399999999999999</v>
      </c>
      <c r="F54">
        <v>1.17</v>
      </c>
      <c r="G54">
        <v>0.11</v>
      </c>
      <c r="H54">
        <v>0.87</v>
      </c>
      <c r="I54">
        <v>1.34</v>
      </c>
      <c r="J54">
        <v>1.05</v>
      </c>
      <c r="K54">
        <v>1.24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100</v>
      </c>
      <c r="E55">
        <v>1.35</v>
      </c>
      <c r="F55">
        <v>1.39</v>
      </c>
      <c r="G55">
        <v>0.17</v>
      </c>
      <c r="H55">
        <v>0.98</v>
      </c>
      <c r="I55">
        <v>1.77</v>
      </c>
      <c r="J55">
        <v>1.23</v>
      </c>
      <c r="K55">
        <v>1.47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89</v>
      </c>
      <c r="E56">
        <v>1.51</v>
      </c>
      <c r="F56">
        <v>1.59</v>
      </c>
      <c r="G56">
        <v>0.22</v>
      </c>
      <c r="H56">
        <v>1.05</v>
      </c>
      <c r="I56">
        <v>2.12</v>
      </c>
      <c r="J56">
        <v>1.32</v>
      </c>
      <c r="K56">
        <v>1.66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100</v>
      </c>
      <c r="E57">
        <v>1.74</v>
      </c>
      <c r="F57">
        <v>1.75</v>
      </c>
      <c r="G57">
        <v>0.28000000000000003</v>
      </c>
      <c r="H57">
        <v>1.28</v>
      </c>
      <c r="I57">
        <v>2.38</v>
      </c>
      <c r="J57">
        <v>1.48</v>
      </c>
      <c r="K57">
        <v>1.95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89</v>
      </c>
      <c r="E58">
        <v>1.85</v>
      </c>
      <c r="F58">
        <v>1.79</v>
      </c>
      <c r="G58">
        <v>0.28000000000000003</v>
      </c>
      <c r="H58">
        <v>1.41</v>
      </c>
      <c r="I58">
        <v>2.4</v>
      </c>
      <c r="J58">
        <v>1.6</v>
      </c>
      <c r="K58">
        <v>2.14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100</v>
      </c>
      <c r="E59">
        <v>2.06</v>
      </c>
      <c r="F59">
        <v>1.97</v>
      </c>
      <c r="G59">
        <v>0.37</v>
      </c>
      <c r="H59">
        <v>1.53</v>
      </c>
      <c r="I59">
        <v>2.95</v>
      </c>
      <c r="J59">
        <v>1.75</v>
      </c>
      <c r="K59">
        <v>2.34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235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212</v>
      </c>
      <c r="E61">
        <v>1.1399999999999999</v>
      </c>
      <c r="F61">
        <v>1.18</v>
      </c>
      <c r="G61">
        <v>0.16</v>
      </c>
      <c r="H61">
        <v>0.66</v>
      </c>
      <c r="I61">
        <v>1.36</v>
      </c>
      <c r="J61">
        <v>1.06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235</v>
      </c>
      <c r="E62">
        <v>1.3</v>
      </c>
      <c r="F62">
        <v>1.35</v>
      </c>
      <c r="G62">
        <v>0.2</v>
      </c>
      <c r="H62">
        <v>0.86</v>
      </c>
      <c r="I62">
        <v>1.8</v>
      </c>
      <c r="J62">
        <v>1.18</v>
      </c>
      <c r="K62">
        <v>1.44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212</v>
      </c>
      <c r="E63">
        <v>1.43</v>
      </c>
      <c r="F63">
        <v>1.52</v>
      </c>
      <c r="G63">
        <v>0.26</v>
      </c>
      <c r="H63">
        <v>0.9</v>
      </c>
      <c r="I63">
        <v>2.35</v>
      </c>
      <c r="J63">
        <v>1.1599999999999999</v>
      </c>
      <c r="K63">
        <v>1.62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235</v>
      </c>
      <c r="E64">
        <v>1.6</v>
      </c>
      <c r="F64">
        <v>1.62</v>
      </c>
      <c r="G64">
        <v>0.27</v>
      </c>
      <c r="H64">
        <v>1.06</v>
      </c>
      <c r="I64">
        <v>2.4300000000000002</v>
      </c>
      <c r="J64">
        <v>1.39</v>
      </c>
      <c r="K64">
        <v>1.79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212</v>
      </c>
      <c r="E65">
        <v>1.78</v>
      </c>
      <c r="F65">
        <v>1.81</v>
      </c>
      <c r="G65">
        <v>0.28000000000000003</v>
      </c>
      <c r="H65">
        <v>1.1200000000000001</v>
      </c>
      <c r="I65">
        <v>2.52</v>
      </c>
      <c r="J65">
        <v>1.56</v>
      </c>
      <c r="K65">
        <v>1.93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235</v>
      </c>
      <c r="E66">
        <v>1.91</v>
      </c>
      <c r="F66">
        <v>1.93</v>
      </c>
      <c r="G66">
        <v>0.32</v>
      </c>
      <c r="H66">
        <v>1.18</v>
      </c>
      <c r="I66">
        <v>2.67</v>
      </c>
      <c r="J66">
        <v>1.65</v>
      </c>
      <c r="K66">
        <v>2.08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96</v>
      </c>
      <c r="E68">
        <v>1.1200000000000001</v>
      </c>
      <c r="F68">
        <v>1.17</v>
      </c>
      <c r="G68">
        <v>0.16</v>
      </c>
      <c r="H68">
        <v>0.8</v>
      </c>
      <c r="I68">
        <v>1.5</v>
      </c>
      <c r="J68">
        <v>1.04</v>
      </c>
      <c r="K68">
        <v>1.23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102</v>
      </c>
      <c r="E69">
        <v>1.25</v>
      </c>
      <c r="F69">
        <v>1.25</v>
      </c>
      <c r="G69">
        <v>0.18</v>
      </c>
      <c r="H69">
        <v>0.89</v>
      </c>
      <c r="I69">
        <v>1.7</v>
      </c>
      <c r="J69">
        <v>1.1299999999999999</v>
      </c>
      <c r="K69">
        <v>1.38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96</v>
      </c>
      <c r="E70">
        <v>1.33</v>
      </c>
      <c r="F70">
        <v>1.29</v>
      </c>
      <c r="G70">
        <v>0.21</v>
      </c>
      <c r="H70">
        <v>1.01</v>
      </c>
      <c r="I70">
        <v>1.93</v>
      </c>
      <c r="J70">
        <v>1.17</v>
      </c>
      <c r="K70">
        <v>1.52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102</v>
      </c>
      <c r="E71">
        <v>1.46</v>
      </c>
      <c r="F71">
        <v>1.4</v>
      </c>
      <c r="G71">
        <v>0.25</v>
      </c>
      <c r="H71">
        <v>1.0900000000000001</v>
      </c>
      <c r="I71">
        <v>2.1800000000000002</v>
      </c>
      <c r="J71">
        <v>1.27</v>
      </c>
      <c r="K71">
        <v>1.68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96</v>
      </c>
      <c r="E72">
        <v>1.61</v>
      </c>
      <c r="F72">
        <v>1.54</v>
      </c>
      <c r="G72">
        <v>0.31</v>
      </c>
      <c r="H72">
        <v>1.1000000000000001</v>
      </c>
      <c r="I72">
        <v>2.38</v>
      </c>
      <c r="J72">
        <v>1.35</v>
      </c>
      <c r="K72">
        <v>1.85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102</v>
      </c>
      <c r="E73">
        <v>1.75</v>
      </c>
      <c r="F73">
        <v>1.66</v>
      </c>
      <c r="G73">
        <v>0.34</v>
      </c>
      <c r="H73">
        <v>1.1000000000000001</v>
      </c>
      <c r="I73">
        <v>2.57</v>
      </c>
      <c r="J73">
        <v>1.48</v>
      </c>
      <c r="K73">
        <v>2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59</v>
      </c>
      <c r="E75">
        <v>1.2</v>
      </c>
      <c r="F75">
        <v>1.23</v>
      </c>
      <c r="G75">
        <v>0.09</v>
      </c>
      <c r="H75">
        <v>0.87</v>
      </c>
      <c r="I75">
        <v>1.39</v>
      </c>
      <c r="J75">
        <v>1.17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64</v>
      </c>
      <c r="E76">
        <v>1.4</v>
      </c>
      <c r="F76">
        <v>1.42</v>
      </c>
      <c r="G76">
        <v>0.15</v>
      </c>
      <c r="H76">
        <v>0.98</v>
      </c>
      <c r="I76">
        <v>1.87</v>
      </c>
      <c r="J76">
        <v>1.33</v>
      </c>
      <c r="K76">
        <v>1.48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59</v>
      </c>
      <c r="E77">
        <v>1.57</v>
      </c>
      <c r="F77">
        <v>1.6</v>
      </c>
      <c r="G77">
        <v>0.2</v>
      </c>
      <c r="H77">
        <v>1.07</v>
      </c>
      <c r="I77">
        <v>2.2999999999999998</v>
      </c>
      <c r="J77">
        <v>1.49</v>
      </c>
      <c r="K77">
        <v>1.69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64</v>
      </c>
      <c r="E78">
        <v>1.66</v>
      </c>
      <c r="F78">
        <v>1.67</v>
      </c>
      <c r="G78">
        <v>0.24</v>
      </c>
      <c r="H78">
        <v>1.1200000000000001</v>
      </c>
      <c r="I78">
        <v>2.44</v>
      </c>
      <c r="J78">
        <v>1.5</v>
      </c>
      <c r="K78">
        <v>1.82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59</v>
      </c>
      <c r="E79">
        <v>1.78</v>
      </c>
      <c r="F79">
        <v>1.76</v>
      </c>
      <c r="G79">
        <v>0.27</v>
      </c>
      <c r="H79">
        <v>1.17</v>
      </c>
      <c r="I79">
        <v>2.46</v>
      </c>
      <c r="J79">
        <v>1.67</v>
      </c>
      <c r="K79">
        <v>2.0099999999999998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64</v>
      </c>
      <c r="E80">
        <v>1.82</v>
      </c>
      <c r="F80">
        <v>1.8</v>
      </c>
      <c r="G80">
        <v>0.31</v>
      </c>
      <c r="H80">
        <v>1.27</v>
      </c>
      <c r="I80">
        <v>2.5</v>
      </c>
      <c r="J80">
        <v>1.57</v>
      </c>
      <c r="K80">
        <v>2.0699999999999998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58</v>
      </c>
      <c r="E82">
        <v>1.03</v>
      </c>
      <c r="F82">
        <v>1.08</v>
      </c>
      <c r="G82">
        <v>0.15</v>
      </c>
      <c r="H82">
        <v>0.66</v>
      </c>
      <c r="I82">
        <v>1.29</v>
      </c>
      <c r="J82">
        <v>0.95</v>
      </c>
      <c r="K82">
        <v>1.1299999999999999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58</v>
      </c>
      <c r="E83">
        <v>1.07</v>
      </c>
      <c r="F83">
        <v>1.17</v>
      </c>
      <c r="G83">
        <v>0.28999999999999998</v>
      </c>
      <c r="H83">
        <v>0.23</v>
      </c>
      <c r="I83">
        <v>1.6</v>
      </c>
      <c r="J83">
        <v>0.78</v>
      </c>
      <c r="K83">
        <v>1.26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58</v>
      </c>
      <c r="E84">
        <v>1.05</v>
      </c>
      <c r="F84">
        <v>1.18</v>
      </c>
      <c r="G84">
        <v>0.34</v>
      </c>
      <c r="H84">
        <v>0.11</v>
      </c>
      <c r="I84">
        <v>1.86</v>
      </c>
      <c r="J84">
        <v>0.77</v>
      </c>
      <c r="K84">
        <v>1.27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58</v>
      </c>
      <c r="E85">
        <v>1.08</v>
      </c>
      <c r="F85">
        <v>1.1299999999999999</v>
      </c>
      <c r="G85">
        <v>0.38</v>
      </c>
      <c r="H85">
        <v>0.11</v>
      </c>
      <c r="I85">
        <v>2.09</v>
      </c>
      <c r="J85">
        <v>0.99</v>
      </c>
      <c r="K85">
        <v>1.27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58</v>
      </c>
      <c r="E86">
        <v>1.02</v>
      </c>
      <c r="F86">
        <v>1.08</v>
      </c>
      <c r="G86">
        <v>0.45</v>
      </c>
      <c r="H86">
        <v>0.08</v>
      </c>
      <c r="I86">
        <v>2.27</v>
      </c>
      <c r="J86">
        <v>0.75</v>
      </c>
      <c r="K86">
        <v>1.28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58</v>
      </c>
      <c r="E87">
        <v>0.93</v>
      </c>
      <c r="F87">
        <v>0.92</v>
      </c>
      <c r="G87">
        <v>0.49</v>
      </c>
      <c r="H87">
        <v>0.02</v>
      </c>
      <c r="I87">
        <v>2.38</v>
      </c>
      <c r="J87">
        <v>0.67</v>
      </c>
      <c r="K87">
        <v>1.27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84</v>
      </c>
      <c r="E89">
        <v>1.1299999999999999</v>
      </c>
      <c r="F89">
        <v>1.17</v>
      </c>
      <c r="G89">
        <v>0.17</v>
      </c>
      <c r="H89">
        <v>0.67</v>
      </c>
      <c r="I89">
        <v>1.47</v>
      </c>
      <c r="J89">
        <v>1.08</v>
      </c>
      <c r="K89">
        <v>1.25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95</v>
      </c>
      <c r="E90">
        <v>1.24</v>
      </c>
      <c r="F90">
        <v>1.31</v>
      </c>
      <c r="G90">
        <v>0.3</v>
      </c>
      <c r="H90">
        <v>0.56000000000000005</v>
      </c>
      <c r="I90">
        <v>1.89</v>
      </c>
      <c r="J90">
        <v>1.03</v>
      </c>
      <c r="K90">
        <v>1.46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84</v>
      </c>
      <c r="E91">
        <v>1.18</v>
      </c>
      <c r="F91">
        <v>1.27</v>
      </c>
      <c r="G91">
        <v>0.35</v>
      </c>
      <c r="H91">
        <v>0.48</v>
      </c>
      <c r="I91">
        <v>1.95</v>
      </c>
      <c r="J91">
        <v>0.81</v>
      </c>
      <c r="K91">
        <v>1.42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95</v>
      </c>
      <c r="E92">
        <v>1.07</v>
      </c>
      <c r="F92">
        <v>1.1000000000000001</v>
      </c>
      <c r="G92">
        <v>0.34</v>
      </c>
      <c r="H92">
        <v>0.51</v>
      </c>
      <c r="I92">
        <v>1.98</v>
      </c>
      <c r="J92">
        <v>0.75</v>
      </c>
      <c r="K92">
        <v>1.33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84</v>
      </c>
      <c r="E93">
        <v>0.98</v>
      </c>
      <c r="F93">
        <v>0.99</v>
      </c>
      <c r="G93">
        <v>0.36</v>
      </c>
      <c r="H93">
        <v>0.32</v>
      </c>
      <c r="I93">
        <v>2.14</v>
      </c>
      <c r="J93">
        <v>0.71</v>
      </c>
      <c r="K93">
        <v>1.17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95</v>
      </c>
      <c r="E94">
        <v>0.85</v>
      </c>
      <c r="F94">
        <v>0.87</v>
      </c>
      <c r="G94">
        <v>0.42</v>
      </c>
      <c r="H94">
        <v>0.16</v>
      </c>
      <c r="I94">
        <v>2.31</v>
      </c>
      <c r="J94">
        <v>0.52</v>
      </c>
      <c r="K94">
        <v>1.07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170</v>
      </c>
      <c r="E96">
        <v>1.1399999999999999</v>
      </c>
      <c r="F96">
        <v>1.18</v>
      </c>
      <c r="G96">
        <v>0.15</v>
      </c>
      <c r="H96">
        <v>0.78</v>
      </c>
      <c r="I96">
        <v>1.47</v>
      </c>
      <c r="J96">
        <v>1.1000000000000001</v>
      </c>
      <c r="K96">
        <v>1.25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193</v>
      </c>
      <c r="E97">
        <v>1.1299999999999999</v>
      </c>
      <c r="F97">
        <v>1.32</v>
      </c>
      <c r="G97">
        <v>0.45</v>
      </c>
      <c r="H97">
        <v>0</v>
      </c>
      <c r="I97">
        <v>1.88</v>
      </c>
      <c r="J97">
        <v>0.85</v>
      </c>
      <c r="K97">
        <v>1.45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170</v>
      </c>
      <c r="E98">
        <v>1.2</v>
      </c>
      <c r="F98">
        <v>1.28</v>
      </c>
      <c r="G98">
        <v>0.35</v>
      </c>
      <c r="H98">
        <v>0.25</v>
      </c>
      <c r="I98">
        <v>1.93</v>
      </c>
      <c r="J98">
        <v>0.86</v>
      </c>
      <c r="K98">
        <v>1.4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193</v>
      </c>
      <c r="E99">
        <v>1.02</v>
      </c>
      <c r="F99">
        <v>1.17</v>
      </c>
      <c r="G99">
        <v>0.48</v>
      </c>
      <c r="H99">
        <v>0</v>
      </c>
      <c r="I99">
        <v>2.02</v>
      </c>
      <c r="J99">
        <v>0.65</v>
      </c>
      <c r="K99">
        <v>1.29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170</v>
      </c>
      <c r="E100">
        <v>1.05</v>
      </c>
      <c r="F100">
        <v>1.1000000000000001</v>
      </c>
      <c r="G100">
        <v>0.41</v>
      </c>
      <c r="H100">
        <v>0.21</v>
      </c>
      <c r="I100">
        <v>2.21</v>
      </c>
      <c r="J100">
        <v>0.7</v>
      </c>
      <c r="K100">
        <v>1.22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193</v>
      </c>
      <c r="E101">
        <v>0.86</v>
      </c>
      <c r="F101">
        <v>0.95</v>
      </c>
      <c r="G101">
        <v>0.52</v>
      </c>
      <c r="H101">
        <v>0</v>
      </c>
      <c r="I101">
        <v>2.34</v>
      </c>
      <c r="J101">
        <v>0.5</v>
      </c>
      <c r="K101">
        <v>1.0900000000000001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67</v>
      </c>
      <c r="E103">
        <v>1.17</v>
      </c>
      <c r="F103">
        <v>1.2</v>
      </c>
      <c r="G103">
        <v>0.17</v>
      </c>
      <c r="H103">
        <v>0.79</v>
      </c>
      <c r="I103">
        <v>1.46</v>
      </c>
      <c r="J103">
        <v>0.98</v>
      </c>
      <c r="K103">
        <v>1.3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73</v>
      </c>
      <c r="E104">
        <v>1.17</v>
      </c>
      <c r="F104">
        <v>1.26</v>
      </c>
      <c r="G104">
        <v>0.45</v>
      </c>
      <c r="H104">
        <v>0</v>
      </c>
      <c r="I104">
        <v>1.81</v>
      </c>
      <c r="J104">
        <v>0.88</v>
      </c>
      <c r="K104">
        <v>1.46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67</v>
      </c>
      <c r="E105">
        <v>1.26</v>
      </c>
      <c r="F105">
        <v>1.38</v>
      </c>
      <c r="G105">
        <v>0.4</v>
      </c>
      <c r="H105">
        <v>0.64</v>
      </c>
      <c r="I105">
        <v>1.89</v>
      </c>
      <c r="J105">
        <v>0.82</v>
      </c>
      <c r="K105">
        <v>1.62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73</v>
      </c>
      <c r="E106">
        <v>1.1399999999999999</v>
      </c>
      <c r="F106">
        <v>1.3</v>
      </c>
      <c r="G106">
        <v>0.54</v>
      </c>
      <c r="H106">
        <v>0</v>
      </c>
      <c r="I106">
        <v>1.97</v>
      </c>
      <c r="J106">
        <v>0.72</v>
      </c>
      <c r="K106">
        <v>1.53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67</v>
      </c>
      <c r="E107">
        <v>1.1299999999999999</v>
      </c>
      <c r="F107">
        <v>1.1100000000000001</v>
      </c>
      <c r="G107">
        <v>0.44</v>
      </c>
      <c r="H107">
        <v>0.4</v>
      </c>
      <c r="I107">
        <v>2.11</v>
      </c>
      <c r="J107">
        <v>0.69</v>
      </c>
      <c r="K107">
        <v>1.37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73</v>
      </c>
      <c r="E108">
        <v>1</v>
      </c>
      <c r="F108">
        <v>1.01</v>
      </c>
      <c r="G108">
        <v>0.56999999999999995</v>
      </c>
      <c r="H108">
        <v>0</v>
      </c>
      <c r="I108">
        <v>2.19</v>
      </c>
      <c r="J108">
        <v>0.6</v>
      </c>
      <c r="K108">
        <v>1.35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54</v>
      </c>
      <c r="E110">
        <v>1.18</v>
      </c>
      <c r="F110">
        <v>1.22</v>
      </c>
      <c r="G110">
        <v>0.13</v>
      </c>
      <c r="H110">
        <v>0.89</v>
      </c>
      <c r="I110">
        <v>1.38</v>
      </c>
      <c r="J110">
        <v>1.1100000000000001</v>
      </c>
      <c r="K110">
        <v>1.24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59</v>
      </c>
      <c r="E111">
        <v>1.19</v>
      </c>
      <c r="F111">
        <v>1.37</v>
      </c>
      <c r="G111">
        <v>0.45</v>
      </c>
      <c r="H111">
        <v>0</v>
      </c>
      <c r="I111">
        <v>1.67</v>
      </c>
      <c r="J111">
        <v>0.99</v>
      </c>
      <c r="K111">
        <v>1.45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54</v>
      </c>
      <c r="E112">
        <v>1.37</v>
      </c>
      <c r="F112">
        <v>1.45</v>
      </c>
      <c r="G112">
        <v>0.33</v>
      </c>
      <c r="H112">
        <v>0.57999999999999996</v>
      </c>
      <c r="I112">
        <v>1.88</v>
      </c>
      <c r="J112">
        <v>1.24</v>
      </c>
      <c r="K112">
        <v>1.56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59</v>
      </c>
      <c r="E113">
        <v>1.27</v>
      </c>
      <c r="F113">
        <v>1.37</v>
      </c>
      <c r="G113">
        <v>0.5</v>
      </c>
      <c r="H113">
        <v>0</v>
      </c>
      <c r="I113">
        <v>1.95</v>
      </c>
      <c r="J113">
        <v>1.03</v>
      </c>
      <c r="K113">
        <v>1.56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54</v>
      </c>
      <c r="E114">
        <v>1.38</v>
      </c>
      <c r="F114">
        <v>1.44</v>
      </c>
      <c r="G114">
        <v>0.32</v>
      </c>
      <c r="H114">
        <v>0.62</v>
      </c>
      <c r="I114">
        <v>2.0299999999999998</v>
      </c>
      <c r="J114">
        <v>1.24</v>
      </c>
      <c r="K114">
        <v>1.57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59</v>
      </c>
      <c r="E115">
        <v>1.21</v>
      </c>
      <c r="F115">
        <v>1.32</v>
      </c>
      <c r="G115">
        <v>0.46</v>
      </c>
      <c r="H115">
        <v>0</v>
      </c>
      <c r="I115">
        <v>2.1</v>
      </c>
      <c r="J115">
        <v>1.03</v>
      </c>
      <c r="K115">
        <v>1.48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62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62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62</v>
      </c>
      <c r="E119">
        <v>0.02</v>
      </c>
      <c r="F119">
        <v>0.02</v>
      </c>
      <c r="G119">
        <v>0.01</v>
      </c>
      <c r="H119">
        <v>0</v>
      </c>
      <c r="I119">
        <v>0.05</v>
      </c>
      <c r="J119">
        <v>0.01</v>
      </c>
      <c r="K119">
        <v>0.03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0.16</v>
      </c>
      <c r="J120">
        <v>0.02</v>
      </c>
      <c r="K120">
        <v>0.05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0.19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62</v>
      </c>
      <c r="E122">
        <v>0.06</v>
      </c>
      <c r="F122">
        <v>0.05</v>
      </c>
      <c r="G122">
        <v>0.04</v>
      </c>
      <c r="H122">
        <v>0</v>
      </c>
      <c r="I122">
        <v>0.15</v>
      </c>
      <c r="J122">
        <v>0.02</v>
      </c>
      <c r="K122">
        <v>0.09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100</v>
      </c>
      <c r="E125">
        <v>0.01</v>
      </c>
      <c r="F125">
        <v>0</v>
      </c>
      <c r="G125">
        <v>0.01</v>
      </c>
      <c r="H125">
        <v>0</v>
      </c>
      <c r="I125">
        <v>0.06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0.05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0.12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89</v>
      </c>
      <c r="E128">
        <v>0.04</v>
      </c>
      <c r="F128">
        <v>0.03</v>
      </c>
      <c r="G128">
        <v>0.04</v>
      </c>
      <c r="H128">
        <v>0</v>
      </c>
      <c r="I128">
        <v>0.18</v>
      </c>
      <c r="J128">
        <v>0.02</v>
      </c>
      <c r="K128">
        <v>0.06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100</v>
      </c>
      <c r="E129">
        <v>7.0000000000000007E-2</v>
      </c>
      <c r="F129">
        <v>7.0000000000000007E-2</v>
      </c>
      <c r="G129">
        <v>0.05</v>
      </c>
      <c r="H129">
        <v>0</v>
      </c>
      <c r="I129">
        <v>0.21</v>
      </c>
      <c r="J129">
        <v>0.03</v>
      </c>
      <c r="K129">
        <v>0.1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232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209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232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209</v>
      </c>
      <c r="E133">
        <v>0.01</v>
      </c>
      <c r="F133">
        <v>0.01</v>
      </c>
      <c r="G133">
        <v>0.02</v>
      </c>
      <c r="H133">
        <v>0</v>
      </c>
      <c r="I133">
        <v>0.1</v>
      </c>
      <c r="J133">
        <v>0</v>
      </c>
      <c r="K133">
        <v>0.01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232</v>
      </c>
      <c r="E134">
        <v>0.03</v>
      </c>
      <c r="F134">
        <v>0.02</v>
      </c>
      <c r="G134">
        <v>0.03</v>
      </c>
      <c r="H134">
        <v>0</v>
      </c>
      <c r="I134">
        <v>0.23</v>
      </c>
      <c r="J134">
        <v>0.01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209</v>
      </c>
      <c r="E135">
        <v>0.04</v>
      </c>
      <c r="F135">
        <v>0.03</v>
      </c>
      <c r="G135">
        <v>0.04</v>
      </c>
      <c r="H135">
        <v>0</v>
      </c>
      <c r="I135">
        <v>0.24</v>
      </c>
      <c r="J135">
        <v>0.01</v>
      </c>
      <c r="K135">
        <v>0.06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232</v>
      </c>
      <c r="E136">
        <v>0.06</v>
      </c>
      <c r="F136">
        <v>0.05</v>
      </c>
      <c r="G136">
        <v>0.04</v>
      </c>
      <c r="H136">
        <v>0</v>
      </c>
      <c r="I136">
        <v>0.16</v>
      </c>
      <c r="J136">
        <v>0.02</v>
      </c>
      <c r="K136">
        <v>0.09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102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96</v>
      </c>
      <c r="E140">
        <v>0.01</v>
      </c>
      <c r="F140">
        <v>0</v>
      </c>
      <c r="G140">
        <v>0.01</v>
      </c>
      <c r="H140">
        <v>0</v>
      </c>
      <c r="I140">
        <v>0.05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102</v>
      </c>
      <c r="E141">
        <v>0.01</v>
      </c>
      <c r="F141">
        <v>0</v>
      </c>
      <c r="G141">
        <v>0.02</v>
      </c>
      <c r="H141">
        <v>0</v>
      </c>
      <c r="I141">
        <v>7.0000000000000007E-2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96</v>
      </c>
      <c r="E142">
        <v>0.02</v>
      </c>
      <c r="F142">
        <v>0.01</v>
      </c>
      <c r="G142">
        <v>0.03</v>
      </c>
      <c r="H142">
        <v>0</v>
      </c>
      <c r="I142">
        <v>0.1</v>
      </c>
      <c r="J142">
        <v>0</v>
      </c>
      <c r="K142">
        <v>0.02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102</v>
      </c>
      <c r="E143">
        <v>0.03</v>
      </c>
      <c r="F143">
        <v>0.01</v>
      </c>
      <c r="G143">
        <v>0.04</v>
      </c>
      <c r="H143">
        <v>0</v>
      </c>
      <c r="I143">
        <v>0.14000000000000001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57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62</v>
      </c>
      <c r="E146">
        <v>0</v>
      </c>
      <c r="F146">
        <v>0</v>
      </c>
      <c r="G146">
        <v>0</v>
      </c>
      <c r="H146">
        <v>0</v>
      </c>
      <c r="I146">
        <v>0.01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57</v>
      </c>
      <c r="E147">
        <v>0.01</v>
      </c>
      <c r="F147">
        <v>0.01</v>
      </c>
      <c r="G147">
        <v>0.01</v>
      </c>
      <c r="H147">
        <v>0</v>
      </c>
      <c r="I147">
        <v>0.04</v>
      </c>
      <c r="J147">
        <v>0</v>
      </c>
      <c r="K147">
        <v>0.01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62</v>
      </c>
      <c r="E148">
        <v>0.01</v>
      </c>
      <c r="F148">
        <v>0.01</v>
      </c>
      <c r="G148">
        <v>0.01</v>
      </c>
      <c r="H148">
        <v>0</v>
      </c>
      <c r="I148">
        <v>0.06</v>
      </c>
      <c r="J148">
        <v>0</v>
      </c>
      <c r="K148">
        <v>0.02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57</v>
      </c>
      <c r="E149">
        <v>0.02</v>
      </c>
      <c r="F149">
        <v>0.02</v>
      </c>
      <c r="G149">
        <v>0.01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62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58</v>
      </c>
      <c r="E151">
        <v>0.61</v>
      </c>
      <c r="F151">
        <v>0.61</v>
      </c>
      <c r="G151">
        <v>0.04</v>
      </c>
      <c r="H151">
        <v>0.56000000000000005</v>
      </c>
      <c r="I151">
        <v>0.69</v>
      </c>
      <c r="J151">
        <v>0.56999999999999995</v>
      </c>
      <c r="K151">
        <v>0.63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58</v>
      </c>
      <c r="E152">
        <v>0.54</v>
      </c>
      <c r="F152">
        <v>0.54</v>
      </c>
      <c r="G152">
        <v>0.06</v>
      </c>
      <c r="H152">
        <v>0.39</v>
      </c>
      <c r="I152">
        <v>0.7</v>
      </c>
      <c r="J152">
        <v>0.52</v>
      </c>
      <c r="K152">
        <v>0.57999999999999996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58</v>
      </c>
      <c r="E153">
        <v>0.52</v>
      </c>
      <c r="F153">
        <v>0.51</v>
      </c>
      <c r="G153">
        <v>0.06</v>
      </c>
      <c r="H153">
        <v>0.4</v>
      </c>
      <c r="I153">
        <v>0.74</v>
      </c>
      <c r="J153">
        <v>0.5</v>
      </c>
      <c r="K153">
        <v>0.54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58</v>
      </c>
      <c r="E154">
        <v>0.5</v>
      </c>
      <c r="F154">
        <v>0.49</v>
      </c>
      <c r="G154">
        <v>0.05</v>
      </c>
      <c r="H154">
        <v>0.41</v>
      </c>
      <c r="I154">
        <v>0.7</v>
      </c>
      <c r="J154">
        <v>0.47</v>
      </c>
      <c r="K154">
        <v>0.51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58</v>
      </c>
      <c r="E155">
        <v>0.48</v>
      </c>
      <c r="F155">
        <v>0.47</v>
      </c>
      <c r="G155">
        <v>0.05</v>
      </c>
      <c r="H155">
        <v>0.42</v>
      </c>
      <c r="I155">
        <v>0.69</v>
      </c>
      <c r="J155">
        <v>0.45</v>
      </c>
      <c r="K155">
        <v>0.5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58</v>
      </c>
      <c r="E156">
        <v>0.48</v>
      </c>
      <c r="F156">
        <v>0.46</v>
      </c>
      <c r="G156">
        <v>0.06</v>
      </c>
      <c r="H156">
        <v>0.39</v>
      </c>
      <c r="I156">
        <v>0.67</v>
      </c>
      <c r="J156">
        <v>0.44</v>
      </c>
      <c r="K156">
        <v>0.51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58</v>
      </c>
      <c r="E157">
        <v>0.47</v>
      </c>
      <c r="F157">
        <v>0.47</v>
      </c>
      <c r="G157">
        <v>7.0000000000000007E-2</v>
      </c>
      <c r="H157">
        <v>0.35</v>
      </c>
      <c r="I157">
        <v>0.66</v>
      </c>
      <c r="J157">
        <v>0.45</v>
      </c>
      <c r="K157">
        <v>0.51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100</v>
      </c>
      <c r="E158">
        <v>0.61</v>
      </c>
      <c r="F158">
        <v>0.61</v>
      </c>
      <c r="G158">
        <v>0.04</v>
      </c>
      <c r="H158">
        <v>0.52</v>
      </c>
      <c r="I158">
        <v>0.69</v>
      </c>
      <c r="J158">
        <v>0.59</v>
      </c>
      <c r="K158">
        <v>0.62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89</v>
      </c>
      <c r="E159">
        <v>0.57999999999999996</v>
      </c>
      <c r="F159">
        <v>0.57999999999999996</v>
      </c>
      <c r="G159">
        <v>0.05</v>
      </c>
      <c r="H159">
        <v>0.5</v>
      </c>
      <c r="I159">
        <v>0.74</v>
      </c>
      <c r="J159">
        <v>0.54</v>
      </c>
      <c r="K159">
        <v>0.59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100</v>
      </c>
      <c r="E160">
        <v>0.55000000000000004</v>
      </c>
      <c r="F160">
        <v>0.53</v>
      </c>
      <c r="G160">
        <v>7.0000000000000007E-2</v>
      </c>
      <c r="H160">
        <v>0.47</v>
      </c>
      <c r="I160">
        <v>0.76</v>
      </c>
      <c r="J160">
        <v>0.5</v>
      </c>
      <c r="K160">
        <v>0.56999999999999995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89</v>
      </c>
      <c r="E161">
        <v>0.53</v>
      </c>
      <c r="F161">
        <v>0.49</v>
      </c>
      <c r="G161">
        <v>0.09</v>
      </c>
      <c r="H161">
        <v>0.42</v>
      </c>
      <c r="I161">
        <v>0.76</v>
      </c>
      <c r="J161">
        <v>0.47</v>
      </c>
      <c r="K161">
        <v>0.55000000000000004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100</v>
      </c>
      <c r="E162">
        <v>0.5</v>
      </c>
      <c r="F162">
        <v>0.47</v>
      </c>
      <c r="G162">
        <v>0.09</v>
      </c>
      <c r="H162">
        <v>0.38</v>
      </c>
      <c r="I162">
        <v>0.76</v>
      </c>
      <c r="J162">
        <v>0.44</v>
      </c>
      <c r="K162">
        <v>0.52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89</v>
      </c>
      <c r="E163">
        <v>0.5</v>
      </c>
      <c r="F163">
        <v>0.46</v>
      </c>
      <c r="G163">
        <v>0.1</v>
      </c>
      <c r="H163">
        <v>0.35</v>
      </c>
      <c r="I163">
        <v>0.76</v>
      </c>
      <c r="J163">
        <v>0.42</v>
      </c>
      <c r="K163">
        <v>0.52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100</v>
      </c>
      <c r="E164">
        <v>0.48</v>
      </c>
      <c r="F164">
        <v>0.45</v>
      </c>
      <c r="G164">
        <v>0.11</v>
      </c>
      <c r="H164">
        <v>0.32</v>
      </c>
      <c r="I164">
        <v>0.76</v>
      </c>
      <c r="J164">
        <v>0.42</v>
      </c>
      <c r="K164">
        <v>0.52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218</v>
      </c>
      <c r="E165">
        <v>0.62</v>
      </c>
      <c r="F165">
        <v>0.61</v>
      </c>
      <c r="G165">
        <v>0.05</v>
      </c>
      <c r="H165">
        <v>0.56000000000000005</v>
      </c>
      <c r="I165">
        <v>0.74</v>
      </c>
      <c r="J165">
        <v>0.56999999999999995</v>
      </c>
      <c r="K165">
        <v>0.65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195</v>
      </c>
      <c r="E166">
        <v>0.56999999999999995</v>
      </c>
      <c r="F166">
        <v>0.57999999999999996</v>
      </c>
      <c r="G166">
        <v>0.06</v>
      </c>
      <c r="H166">
        <v>0.39</v>
      </c>
      <c r="I166">
        <v>0.66</v>
      </c>
      <c r="J166">
        <v>0.52</v>
      </c>
      <c r="K166">
        <v>0.63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218</v>
      </c>
      <c r="E167">
        <v>0.56000000000000005</v>
      </c>
      <c r="F167">
        <v>0.54</v>
      </c>
      <c r="G167">
        <v>7.0000000000000007E-2</v>
      </c>
      <c r="H167">
        <v>0.41</v>
      </c>
      <c r="I167">
        <v>0.71</v>
      </c>
      <c r="J167">
        <v>0.51</v>
      </c>
      <c r="K167">
        <v>0.62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195</v>
      </c>
      <c r="E168">
        <v>0.51</v>
      </c>
      <c r="F168">
        <v>0.48</v>
      </c>
      <c r="G168">
        <v>7.0000000000000007E-2</v>
      </c>
      <c r="H168">
        <v>0.43</v>
      </c>
      <c r="I168">
        <v>0.72</v>
      </c>
      <c r="J168">
        <v>0.48</v>
      </c>
      <c r="K168">
        <v>0.51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218</v>
      </c>
      <c r="E169">
        <v>0.51</v>
      </c>
      <c r="F169">
        <v>0.48</v>
      </c>
      <c r="G169">
        <v>0.08</v>
      </c>
      <c r="H169">
        <v>0.38</v>
      </c>
      <c r="I169">
        <v>0.73</v>
      </c>
      <c r="J169">
        <v>0.46</v>
      </c>
      <c r="K169">
        <v>0.56000000000000005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195</v>
      </c>
      <c r="E170">
        <v>0.48</v>
      </c>
      <c r="F170">
        <v>0.47</v>
      </c>
      <c r="G170">
        <v>7.0000000000000007E-2</v>
      </c>
      <c r="H170">
        <v>0.36</v>
      </c>
      <c r="I170">
        <v>0.68</v>
      </c>
      <c r="J170">
        <v>0.44</v>
      </c>
      <c r="K170">
        <v>0.5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218</v>
      </c>
      <c r="E171">
        <v>0.49</v>
      </c>
      <c r="F171">
        <v>0.47</v>
      </c>
      <c r="G171">
        <v>0.09</v>
      </c>
      <c r="H171">
        <v>0.33</v>
      </c>
      <c r="I171">
        <v>0.75</v>
      </c>
      <c r="J171">
        <v>0.43</v>
      </c>
      <c r="K171">
        <v>0.54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102</v>
      </c>
      <c r="E172">
        <v>0.63</v>
      </c>
      <c r="F172">
        <v>0.62</v>
      </c>
      <c r="G172">
        <v>0.04</v>
      </c>
      <c r="H172">
        <v>0.56999999999999995</v>
      </c>
      <c r="I172">
        <v>0.74</v>
      </c>
      <c r="J172">
        <v>0.61</v>
      </c>
      <c r="K172">
        <v>0.64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96</v>
      </c>
      <c r="E173">
        <v>0.6</v>
      </c>
      <c r="F173">
        <v>0.61</v>
      </c>
      <c r="G173">
        <v>7.0000000000000007E-2</v>
      </c>
      <c r="H173">
        <v>0.39</v>
      </c>
      <c r="I173">
        <v>0.73</v>
      </c>
      <c r="J173">
        <v>0.57999999999999996</v>
      </c>
      <c r="K173">
        <v>0.64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102</v>
      </c>
      <c r="E174">
        <v>0.6</v>
      </c>
      <c r="F174">
        <v>0.59</v>
      </c>
      <c r="G174">
        <v>0.08</v>
      </c>
      <c r="H174">
        <v>0.42</v>
      </c>
      <c r="I174">
        <v>0.75</v>
      </c>
      <c r="J174">
        <v>0.55000000000000004</v>
      </c>
      <c r="K174">
        <v>0.65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96</v>
      </c>
      <c r="E175">
        <v>0.56999999999999995</v>
      </c>
      <c r="F175">
        <v>0.51</v>
      </c>
      <c r="G175">
        <v>0.1</v>
      </c>
      <c r="H175">
        <v>0.45</v>
      </c>
      <c r="I175">
        <v>0.75</v>
      </c>
      <c r="J175">
        <v>0.49</v>
      </c>
      <c r="K175">
        <v>0.62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102</v>
      </c>
      <c r="E176">
        <v>0.56000000000000005</v>
      </c>
      <c r="F176">
        <v>0.54</v>
      </c>
      <c r="G176">
        <v>0.11</v>
      </c>
      <c r="H176">
        <v>0.44</v>
      </c>
      <c r="I176">
        <v>0.76</v>
      </c>
      <c r="J176">
        <v>0.46</v>
      </c>
      <c r="K176">
        <v>0.66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96</v>
      </c>
      <c r="E177">
        <v>0.54</v>
      </c>
      <c r="F177">
        <v>0.49</v>
      </c>
      <c r="G177">
        <v>0.12</v>
      </c>
      <c r="H177">
        <v>0.39</v>
      </c>
      <c r="I177">
        <v>0.76</v>
      </c>
      <c r="J177">
        <v>0.42</v>
      </c>
      <c r="K177">
        <v>0.62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102</v>
      </c>
      <c r="E178">
        <v>0.54</v>
      </c>
      <c r="F178">
        <v>0.52</v>
      </c>
      <c r="G178">
        <v>0.13</v>
      </c>
      <c r="H178">
        <v>0.36</v>
      </c>
      <c r="I178">
        <v>0.77</v>
      </c>
      <c r="J178">
        <v>0.4</v>
      </c>
      <c r="K178">
        <v>0.61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63</v>
      </c>
      <c r="E179">
        <v>0.62</v>
      </c>
      <c r="F179">
        <v>0.62</v>
      </c>
      <c r="G179">
        <v>0.05</v>
      </c>
      <c r="H179">
        <v>0.52</v>
      </c>
      <c r="I179">
        <v>0.74</v>
      </c>
      <c r="J179">
        <v>0.57999999999999996</v>
      </c>
      <c r="K179">
        <v>0.66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58</v>
      </c>
      <c r="E180">
        <v>0.56999999999999995</v>
      </c>
      <c r="F180">
        <v>0.57999999999999996</v>
      </c>
      <c r="G180">
        <v>0.04</v>
      </c>
      <c r="H180">
        <v>0.48</v>
      </c>
      <c r="I180">
        <v>0.64</v>
      </c>
      <c r="J180">
        <v>0.52</v>
      </c>
      <c r="K180">
        <v>0.6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63</v>
      </c>
      <c r="E181">
        <v>0.55000000000000004</v>
      </c>
      <c r="F181">
        <v>0.53</v>
      </c>
      <c r="G181">
        <v>0.06</v>
      </c>
      <c r="H181">
        <v>0.48</v>
      </c>
      <c r="I181">
        <v>0.69</v>
      </c>
      <c r="J181">
        <v>0.51</v>
      </c>
      <c r="K181">
        <v>0.57999999999999996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58</v>
      </c>
      <c r="E182">
        <v>0.52</v>
      </c>
      <c r="F182">
        <v>0.5</v>
      </c>
      <c r="G182">
        <v>0.06</v>
      </c>
      <c r="H182">
        <v>0.45</v>
      </c>
      <c r="I182">
        <v>0.7</v>
      </c>
      <c r="J182">
        <v>0.48</v>
      </c>
      <c r="K182">
        <v>0.55000000000000004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63</v>
      </c>
      <c r="E183">
        <v>0.51</v>
      </c>
      <c r="F183">
        <v>0.48</v>
      </c>
      <c r="G183">
        <v>0.08</v>
      </c>
      <c r="H183">
        <v>0.4</v>
      </c>
      <c r="I183">
        <v>0.71</v>
      </c>
      <c r="J183">
        <v>0.45</v>
      </c>
      <c r="K183">
        <v>0.56000000000000005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58</v>
      </c>
      <c r="E184">
        <v>0.48</v>
      </c>
      <c r="F184">
        <v>0.45</v>
      </c>
      <c r="G184">
        <v>7.0000000000000007E-2</v>
      </c>
      <c r="H184">
        <v>0.37</v>
      </c>
      <c r="I184">
        <v>0.64</v>
      </c>
      <c r="J184">
        <v>0.44</v>
      </c>
      <c r="K184">
        <v>0.53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63</v>
      </c>
      <c r="E185">
        <v>0.48</v>
      </c>
      <c r="F185">
        <v>0.45</v>
      </c>
      <c r="G185">
        <v>0.08</v>
      </c>
      <c r="H185">
        <v>0.35</v>
      </c>
      <c r="I185">
        <v>0.69</v>
      </c>
      <c r="J185">
        <v>0.43</v>
      </c>
      <c r="K185">
        <v>0.53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63</v>
      </c>
      <c r="E186">
        <v>0.35</v>
      </c>
      <c r="F186">
        <v>0.36</v>
      </c>
      <c r="G186">
        <v>0.05</v>
      </c>
      <c r="H186">
        <v>0.23</v>
      </c>
      <c r="I186">
        <v>0.4</v>
      </c>
      <c r="J186">
        <v>0.33</v>
      </c>
      <c r="K186">
        <v>0.39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63</v>
      </c>
      <c r="E187">
        <v>0.39</v>
      </c>
      <c r="F187">
        <v>0.39</v>
      </c>
      <c r="G187">
        <v>0.06</v>
      </c>
      <c r="H187">
        <v>0.23</v>
      </c>
      <c r="I187">
        <v>0.51</v>
      </c>
      <c r="J187">
        <v>0.35</v>
      </c>
      <c r="K187">
        <v>0.44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63</v>
      </c>
      <c r="E188">
        <v>0.39</v>
      </c>
      <c r="F188">
        <v>0.42</v>
      </c>
      <c r="G188">
        <v>7.0000000000000007E-2</v>
      </c>
      <c r="H188">
        <v>0.2</v>
      </c>
      <c r="I188">
        <v>0.56000000000000005</v>
      </c>
      <c r="J188">
        <v>0.34</v>
      </c>
      <c r="K188">
        <v>0.45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63</v>
      </c>
      <c r="E189">
        <v>0.4</v>
      </c>
      <c r="F189">
        <v>0.44</v>
      </c>
      <c r="G189">
        <v>0.08</v>
      </c>
      <c r="H189">
        <v>0.19</v>
      </c>
      <c r="I189">
        <v>0.55000000000000004</v>
      </c>
      <c r="J189">
        <v>0.33</v>
      </c>
      <c r="K189">
        <v>0.46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63</v>
      </c>
      <c r="E190">
        <v>0.4</v>
      </c>
      <c r="F190">
        <v>0.43</v>
      </c>
      <c r="G190">
        <v>0.08</v>
      </c>
      <c r="H190">
        <v>0.19</v>
      </c>
      <c r="I190">
        <v>0.51</v>
      </c>
      <c r="J190">
        <v>0.34</v>
      </c>
      <c r="K190">
        <v>0.47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63</v>
      </c>
      <c r="E191">
        <v>0.4</v>
      </c>
      <c r="F191">
        <v>0.41</v>
      </c>
      <c r="G191">
        <v>7.0000000000000007E-2</v>
      </c>
      <c r="H191">
        <v>0.19</v>
      </c>
      <c r="I191">
        <v>0.51</v>
      </c>
      <c r="J191">
        <v>0.36</v>
      </c>
      <c r="K191">
        <v>0.47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63</v>
      </c>
      <c r="E192">
        <v>0.4</v>
      </c>
      <c r="F192">
        <v>0.4</v>
      </c>
      <c r="G192">
        <v>0.08</v>
      </c>
      <c r="H192">
        <v>0.19</v>
      </c>
      <c r="I192">
        <v>0.54</v>
      </c>
      <c r="J192">
        <v>0.33</v>
      </c>
      <c r="K192">
        <v>0.45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96</v>
      </c>
      <c r="E193">
        <v>0.36</v>
      </c>
      <c r="F193">
        <v>0.36</v>
      </c>
      <c r="G193">
        <v>0.04</v>
      </c>
      <c r="H193">
        <v>0.23</v>
      </c>
      <c r="I193">
        <v>0.45</v>
      </c>
      <c r="J193">
        <v>0.35</v>
      </c>
      <c r="K193">
        <v>0.39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85</v>
      </c>
      <c r="E194">
        <v>0.38</v>
      </c>
      <c r="F194">
        <v>0.37</v>
      </c>
      <c r="G194">
        <v>0.06</v>
      </c>
      <c r="H194">
        <v>0.23</v>
      </c>
      <c r="I194">
        <v>0.46</v>
      </c>
      <c r="J194">
        <v>0.35</v>
      </c>
      <c r="K194">
        <v>0.43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96</v>
      </c>
      <c r="E195">
        <v>0.39</v>
      </c>
      <c r="F195">
        <v>0.41</v>
      </c>
      <c r="G195">
        <v>7.0000000000000007E-2</v>
      </c>
      <c r="H195">
        <v>0.2</v>
      </c>
      <c r="I195">
        <v>0.48</v>
      </c>
      <c r="J195">
        <v>0.35</v>
      </c>
      <c r="K195">
        <v>0.46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85</v>
      </c>
      <c r="E196">
        <v>0.4</v>
      </c>
      <c r="F196">
        <v>0.41</v>
      </c>
      <c r="G196">
        <v>0.08</v>
      </c>
      <c r="H196">
        <v>0.2</v>
      </c>
      <c r="I196">
        <v>0.49</v>
      </c>
      <c r="J196">
        <v>0.35</v>
      </c>
      <c r="K196">
        <v>0.47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96</v>
      </c>
      <c r="E197">
        <v>0.4</v>
      </c>
      <c r="F197">
        <v>0.41</v>
      </c>
      <c r="G197">
        <v>7.0000000000000007E-2</v>
      </c>
      <c r="H197">
        <v>0.2</v>
      </c>
      <c r="I197">
        <v>0.5</v>
      </c>
      <c r="J197">
        <v>0.36</v>
      </c>
      <c r="K197">
        <v>0.46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85</v>
      </c>
      <c r="E198">
        <v>0.41</v>
      </c>
      <c r="F198">
        <v>0.42</v>
      </c>
      <c r="G198">
        <v>0.08</v>
      </c>
      <c r="H198">
        <v>0.2</v>
      </c>
      <c r="I198">
        <v>0.52</v>
      </c>
      <c r="J198">
        <v>0.34</v>
      </c>
      <c r="K198">
        <v>0.47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96</v>
      </c>
      <c r="E199">
        <v>0.41</v>
      </c>
      <c r="F199">
        <v>0.43</v>
      </c>
      <c r="G199">
        <v>0.08</v>
      </c>
      <c r="H199">
        <v>0.19</v>
      </c>
      <c r="I199">
        <v>0.52</v>
      </c>
      <c r="J199">
        <v>0.38</v>
      </c>
      <c r="K199">
        <v>0.46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235</v>
      </c>
      <c r="E200">
        <v>0.33</v>
      </c>
      <c r="F200">
        <v>0.36</v>
      </c>
      <c r="G200">
        <v>0.06</v>
      </c>
      <c r="H200">
        <v>0.23</v>
      </c>
      <c r="I200">
        <v>0.41</v>
      </c>
      <c r="J200">
        <v>0.3</v>
      </c>
      <c r="K200">
        <v>0.39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212</v>
      </c>
      <c r="E201">
        <v>0.36</v>
      </c>
      <c r="F201">
        <v>0.37</v>
      </c>
      <c r="G201">
        <v>7.0000000000000007E-2</v>
      </c>
      <c r="H201">
        <v>0.23</v>
      </c>
      <c r="I201">
        <v>0.46</v>
      </c>
      <c r="J201">
        <v>0.33</v>
      </c>
      <c r="K201">
        <v>0.44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235</v>
      </c>
      <c r="E202">
        <v>0.37</v>
      </c>
      <c r="F202">
        <v>0.38</v>
      </c>
      <c r="G202">
        <v>0.08</v>
      </c>
      <c r="H202">
        <v>0.2</v>
      </c>
      <c r="I202">
        <v>0.47</v>
      </c>
      <c r="J202">
        <v>0.31</v>
      </c>
      <c r="K202">
        <v>0.46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212</v>
      </c>
      <c r="E203">
        <v>0.39</v>
      </c>
      <c r="F203">
        <v>0.4</v>
      </c>
      <c r="G203">
        <v>0.08</v>
      </c>
      <c r="H203">
        <v>0.2</v>
      </c>
      <c r="I203">
        <v>0.49</v>
      </c>
      <c r="J203">
        <v>0.33</v>
      </c>
      <c r="K203">
        <v>0.47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235</v>
      </c>
      <c r="E204">
        <v>0.39</v>
      </c>
      <c r="F204">
        <v>0.4</v>
      </c>
      <c r="G204">
        <v>0.08</v>
      </c>
      <c r="H204">
        <v>0.2</v>
      </c>
      <c r="I204">
        <v>0.5</v>
      </c>
      <c r="J204">
        <v>0.32</v>
      </c>
      <c r="K204">
        <v>0.47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212</v>
      </c>
      <c r="E205">
        <v>0.39</v>
      </c>
      <c r="F205">
        <v>0.43</v>
      </c>
      <c r="G205">
        <v>0.08</v>
      </c>
      <c r="H205">
        <v>0.19</v>
      </c>
      <c r="I205">
        <v>0.52</v>
      </c>
      <c r="J205">
        <v>0.32</v>
      </c>
      <c r="K205">
        <v>0.46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235</v>
      </c>
      <c r="E206">
        <v>0.39</v>
      </c>
      <c r="F206">
        <v>0.42</v>
      </c>
      <c r="G206">
        <v>0.08</v>
      </c>
      <c r="H206">
        <v>0.19</v>
      </c>
      <c r="I206">
        <v>0.52</v>
      </c>
      <c r="J206">
        <v>0.32</v>
      </c>
      <c r="K206">
        <v>0.46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102</v>
      </c>
      <c r="E207">
        <v>0.32</v>
      </c>
      <c r="F207">
        <v>0.35</v>
      </c>
      <c r="G207">
        <v>0.05</v>
      </c>
      <c r="H207">
        <v>0.23</v>
      </c>
      <c r="I207">
        <v>0.4</v>
      </c>
      <c r="J207">
        <v>0.3</v>
      </c>
      <c r="K207">
        <v>0.36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96</v>
      </c>
      <c r="E208">
        <v>0.34</v>
      </c>
      <c r="F208">
        <v>0.36</v>
      </c>
      <c r="G208">
        <v>0.05</v>
      </c>
      <c r="H208">
        <v>0.23</v>
      </c>
      <c r="I208">
        <v>0.45</v>
      </c>
      <c r="J208">
        <v>0.33</v>
      </c>
      <c r="K208">
        <v>0.38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102</v>
      </c>
      <c r="E209">
        <v>0.35</v>
      </c>
      <c r="F209">
        <v>0.37</v>
      </c>
      <c r="G209">
        <v>7.0000000000000007E-2</v>
      </c>
      <c r="H209">
        <v>0.22</v>
      </c>
      <c r="I209">
        <v>0.46</v>
      </c>
      <c r="J209">
        <v>0.28999999999999998</v>
      </c>
      <c r="K209">
        <v>0.4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96</v>
      </c>
      <c r="E210">
        <v>0.36</v>
      </c>
      <c r="F210">
        <v>0.39</v>
      </c>
      <c r="G210">
        <v>0.08</v>
      </c>
      <c r="H210">
        <v>0.22</v>
      </c>
      <c r="I210">
        <v>0.49</v>
      </c>
      <c r="J210">
        <v>0.32</v>
      </c>
      <c r="K210">
        <v>0.43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102</v>
      </c>
      <c r="E211">
        <v>0.36</v>
      </c>
      <c r="F211">
        <v>0.38</v>
      </c>
      <c r="G211">
        <v>0.08</v>
      </c>
      <c r="H211">
        <v>0.2</v>
      </c>
      <c r="I211">
        <v>0.51</v>
      </c>
      <c r="J211">
        <v>0.32</v>
      </c>
      <c r="K211">
        <v>0.42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96</v>
      </c>
      <c r="E212">
        <v>0.36</v>
      </c>
      <c r="F212">
        <v>0.38</v>
      </c>
      <c r="G212">
        <v>0.08</v>
      </c>
      <c r="H212">
        <v>0.2</v>
      </c>
      <c r="I212">
        <v>0.52</v>
      </c>
      <c r="J212">
        <v>0.32</v>
      </c>
      <c r="K212">
        <v>0.43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102</v>
      </c>
      <c r="E213">
        <v>0.36</v>
      </c>
      <c r="F213">
        <v>0.37</v>
      </c>
      <c r="G213">
        <v>0.08</v>
      </c>
      <c r="H213">
        <v>0.2</v>
      </c>
      <c r="I213">
        <v>0.52</v>
      </c>
      <c r="J213">
        <v>0.32</v>
      </c>
      <c r="K213">
        <v>0.45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61</v>
      </c>
      <c r="E214">
        <v>0.34</v>
      </c>
      <c r="F214">
        <v>0.34</v>
      </c>
      <c r="G214">
        <v>0.06</v>
      </c>
      <c r="H214">
        <v>0.23</v>
      </c>
      <c r="I214">
        <v>0.45</v>
      </c>
      <c r="J214">
        <v>0.3</v>
      </c>
      <c r="K214">
        <v>0.39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56</v>
      </c>
      <c r="E215">
        <v>0.39</v>
      </c>
      <c r="F215">
        <v>0.39</v>
      </c>
      <c r="G215">
        <v>7.0000000000000007E-2</v>
      </c>
      <c r="H215">
        <v>0.23</v>
      </c>
      <c r="I215">
        <v>0.49</v>
      </c>
      <c r="J215">
        <v>0.33</v>
      </c>
      <c r="K215">
        <v>0.44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61</v>
      </c>
      <c r="E216">
        <v>0.4</v>
      </c>
      <c r="F216">
        <v>0.43</v>
      </c>
      <c r="G216">
        <v>0.08</v>
      </c>
      <c r="H216">
        <v>0.22</v>
      </c>
      <c r="I216">
        <v>0.5</v>
      </c>
      <c r="J216">
        <v>0.37</v>
      </c>
      <c r="K216">
        <v>0.46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56</v>
      </c>
      <c r="E217">
        <v>0.43</v>
      </c>
      <c r="F217">
        <v>0.46</v>
      </c>
      <c r="G217">
        <v>0.08</v>
      </c>
      <c r="H217">
        <v>0.22</v>
      </c>
      <c r="I217">
        <v>0.52</v>
      </c>
      <c r="J217">
        <v>0.38</v>
      </c>
      <c r="K217">
        <v>0.49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61</v>
      </c>
      <c r="E218">
        <v>0.43</v>
      </c>
      <c r="F218">
        <v>0.47</v>
      </c>
      <c r="G218">
        <v>0.09</v>
      </c>
      <c r="H218">
        <v>0.21</v>
      </c>
      <c r="I218">
        <v>0.52</v>
      </c>
      <c r="J218">
        <v>0.39</v>
      </c>
      <c r="K218">
        <v>0.51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56</v>
      </c>
      <c r="E219">
        <v>0.45</v>
      </c>
      <c r="F219">
        <v>0.49</v>
      </c>
      <c r="G219">
        <v>0.09</v>
      </c>
      <c r="H219">
        <v>0.22</v>
      </c>
      <c r="I219">
        <v>0.54</v>
      </c>
      <c r="J219">
        <v>0.4</v>
      </c>
      <c r="K219">
        <v>0.5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61</v>
      </c>
      <c r="E220">
        <v>0.44</v>
      </c>
      <c r="F220">
        <v>0.48</v>
      </c>
      <c r="G220">
        <v>0.09</v>
      </c>
      <c r="H220">
        <v>0.22</v>
      </c>
      <c r="I220">
        <v>0.55000000000000004</v>
      </c>
      <c r="J220">
        <v>0.41</v>
      </c>
      <c r="K220">
        <v>0.49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64</v>
      </c>
      <c r="E221">
        <v>0.03</v>
      </c>
      <c r="F221">
        <v>0.04</v>
      </c>
      <c r="G221">
        <v>0.01</v>
      </c>
      <c r="H221">
        <v>0</v>
      </c>
      <c r="I221">
        <v>0.04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64</v>
      </c>
      <c r="E222">
        <v>0.04</v>
      </c>
      <c r="F222">
        <v>0.03</v>
      </c>
      <c r="G222">
        <v>0.02</v>
      </c>
      <c r="H222">
        <v>0.01</v>
      </c>
      <c r="I222">
        <v>0.08</v>
      </c>
      <c r="J222">
        <v>0.03</v>
      </c>
      <c r="K222">
        <v>0.06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64</v>
      </c>
      <c r="E223">
        <v>0.05</v>
      </c>
      <c r="F223">
        <v>0.04</v>
      </c>
      <c r="G223">
        <v>0.03</v>
      </c>
      <c r="H223">
        <v>0.02</v>
      </c>
      <c r="I223">
        <v>0.1</v>
      </c>
      <c r="J223">
        <v>0.04</v>
      </c>
      <c r="K223">
        <v>0.08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64</v>
      </c>
      <c r="E224">
        <v>7.0000000000000007E-2</v>
      </c>
      <c r="F224">
        <v>0.06</v>
      </c>
      <c r="G224">
        <v>0.03</v>
      </c>
      <c r="H224">
        <v>0.02</v>
      </c>
      <c r="I224">
        <v>0.14000000000000001</v>
      </c>
      <c r="J224">
        <v>0.05</v>
      </c>
      <c r="K224">
        <v>0.09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64</v>
      </c>
      <c r="E225">
        <v>0.08</v>
      </c>
      <c r="F225">
        <v>7.0000000000000007E-2</v>
      </c>
      <c r="G225">
        <v>0.03</v>
      </c>
      <c r="H225">
        <v>0.02</v>
      </c>
      <c r="I225">
        <v>0.14000000000000001</v>
      </c>
      <c r="J225">
        <v>0.06</v>
      </c>
      <c r="K225">
        <v>0.1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64</v>
      </c>
      <c r="E226">
        <v>0.09</v>
      </c>
      <c r="F226">
        <v>0.09</v>
      </c>
      <c r="G226">
        <v>0.04</v>
      </c>
      <c r="H226">
        <v>0.02</v>
      </c>
      <c r="I226">
        <v>0.17</v>
      </c>
      <c r="J226">
        <v>0.06</v>
      </c>
      <c r="K226">
        <v>0.11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64</v>
      </c>
      <c r="E227">
        <v>0.09</v>
      </c>
      <c r="F227">
        <v>0.1</v>
      </c>
      <c r="G227">
        <v>0.04</v>
      </c>
      <c r="H227">
        <v>0.02</v>
      </c>
      <c r="I227">
        <v>0.18</v>
      </c>
      <c r="J227">
        <v>7.0000000000000007E-2</v>
      </c>
      <c r="K227">
        <v>0.11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100</v>
      </c>
      <c r="E228">
        <v>0.03</v>
      </c>
      <c r="F228">
        <v>0.02</v>
      </c>
      <c r="G228">
        <v>0.01</v>
      </c>
      <c r="H228">
        <v>0</v>
      </c>
      <c r="I228">
        <v>0.04</v>
      </c>
      <c r="J228">
        <v>0.02</v>
      </c>
      <c r="K228">
        <v>0.03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89</v>
      </c>
      <c r="E229">
        <v>0.04</v>
      </c>
      <c r="F229">
        <v>0.03</v>
      </c>
      <c r="G229">
        <v>0.02</v>
      </c>
      <c r="H229">
        <v>0</v>
      </c>
      <c r="I229">
        <v>7.0000000000000007E-2</v>
      </c>
      <c r="J229">
        <v>0.02</v>
      </c>
      <c r="K229">
        <v>0.06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100</v>
      </c>
      <c r="E230">
        <v>0.05</v>
      </c>
      <c r="F230">
        <v>0.04</v>
      </c>
      <c r="G230">
        <v>0.03</v>
      </c>
      <c r="H230">
        <v>0</v>
      </c>
      <c r="I230">
        <v>0.11</v>
      </c>
      <c r="J230">
        <v>0.03</v>
      </c>
      <c r="K230">
        <v>0.08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89</v>
      </c>
      <c r="E231">
        <v>7.0000000000000007E-2</v>
      </c>
      <c r="F231">
        <v>0.06</v>
      </c>
      <c r="G231">
        <v>0.04</v>
      </c>
      <c r="H231">
        <v>0</v>
      </c>
      <c r="I231">
        <v>0.17</v>
      </c>
      <c r="J231">
        <v>0.03</v>
      </c>
      <c r="K231">
        <v>0.09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100</v>
      </c>
      <c r="E232">
        <v>0.09</v>
      </c>
      <c r="F232">
        <v>0.08</v>
      </c>
      <c r="G232">
        <v>0.05</v>
      </c>
      <c r="H232">
        <v>0</v>
      </c>
      <c r="I232">
        <v>0.18</v>
      </c>
      <c r="J232">
        <v>0.05</v>
      </c>
      <c r="K232">
        <v>0.13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89</v>
      </c>
      <c r="E233">
        <v>0.09</v>
      </c>
      <c r="F233">
        <v>0.08</v>
      </c>
      <c r="G233">
        <v>0.04</v>
      </c>
      <c r="H233">
        <v>0.01</v>
      </c>
      <c r="I233">
        <v>0.16</v>
      </c>
      <c r="J233">
        <v>0.05</v>
      </c>
      <c r="K233">
        <v>0.12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100</v>
      </c>
      <c r="E234">
        <v>0.1</v>
      </c>
      <c r="F234">
        <v>0.09</v>
      </c>
      <c r="G234">
        <v>0.05</v>
      </c>
      <c r="H234">
        <v>0.01</v>
      </c>
      <c r="I234">
        <v>0.22</v>
      </c>
      <c r="J234">
        <v>7.0000000000000007E-2</v>
      </c>
      <c r="K234">
        <v>0.13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235</v>
      </c>
      <c r="E235">
        <v>0.03</v>
      </c>
      <c r="F235">
        <v>0.03</v>
      </c>
      <c r="G235">
        <v>0.01</v>
      </c>
      <c r="H235">
        <v>0</v>
      </c>
      <c r="I235">
        <v>0.05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212</v>
      </c>
      <c r="E236">
        <v>0.04</v>
      </c>
      <c r="F236">
        <v>0.04</v>
      </c>
      <c r="G236">
        <v>0.02</v>
      </c>
      <c r="H236">
        <v>0</v>
      </c>
      <c r="I236">
        <v>0.08</v>
      </c>
      <c r="J236">
        <v>0.02</v>
      </c>
      <c r="K236">
        <v>0.04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235</v>
      </c>
      <c r="E237">
        <v>0.04</v>
      </c>
      <c r="F237">
        <v>0.04</v>
      </c>
      <c r="G237">
        <v>0.03</v>
      </c>
      <c r="H237">
        <v>0</v>
      </c>
      <c r="I237">
        <v>0.11</v>
      </c>
      <c r="J237">
        <v>0.02</v>
      </c>
      <c r="K237">
        <v>0.04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212</v>
      </c>
      <c r="E238">
        <v>0.06</v>
      </c>
      <c r="F238">
        <v>0.05</v>
      </c>
      <c r="G238">
        <v>0.04</v>
      </c>
      <c r="H238">
        <v>0</v>
      </c>
      <c r="I238">
        <v>0.17</v>
      </c>
      <c r="J238">
        <v>0.03</v>
      </c>
      <c r="K238">
        <v>7.0000000000000007E-2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235</v>
      </c>
      <c r="E239">
        <v>0.06</v>
      </c>
      <c r="F239">
        <v>0.05</v>
      </c>
      <c r="G239">
        <v>0.05</v>
      </c>
      <c r="H239">
        <v>0</v>
      </c>
      <c r="I239">
        <v>0.19</v>
      </c>
      <c r="J239">
        <v>0.03</v>
      </c>
      <c r="K239">
        <v>0.08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212</v>
      </c>
      <c r="E240">
        <v>0.08</v>
      </c>
      <c r="F240">
        <v>7.0000000000000007E-2</v>
      </c>
      <c r="G240">
        <v>0.05</v>
      </c>
      <c r="H240">
        <v>0</v>
      </c>
      <c r="I240">
        <v>0.18</v>
      </c>
      <c r="J240">
        <v>0.04</v>
      </c>
      <c r="K240">
        <v>0.12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235</v>
      </c>
      <c r="E241">
        <v>0.08</v>
      </c>
      <c r="F241">
        <v>0.08</v>
      </c>
      <c r="G241">
        <v>0.05</v>
      </c>
      <c r="H241">
        <v>0</v>
      </c>
      <c r="I241">
        <v>0.21</v>
      </c>
      <c r="J241">
        <v>0.04</v>
      </c>
      <c r="K241">
        <v>0.12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</v>
      </c>
      <c r="I242">
        <v>0.04</v>
      </c>
      <c r="J242">
        <v>0.02</v>
      </c>
      <c r="K242">
        <v>0.03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96</v>
      </c>
      <c r="E243">
        <v>0.03</v>
      </c>
      <c r="F243">
        <v>0.03</v>
      </c>
      <c r="G243">
        <v>0.02</v>
      </c>
      <c r="H243">
        <v>0</v>
      </c>
      <c r="I243">
        <v>7.0000000000000007E-2</v>
      </c>
      <c r="J243">
        <v>0.02</v>
      </c>
      <c r="K243">
        <v>0.04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102</v>
      </c>
      <c r="E244">
        <v>0.03</v>
      </c>
      <c r="F244">
        <v>0.04</v>
      </c>
      <c r="G244">
        <v>0.02</v>
      </c>
      <c r="H244">
        <v>0</v>
      </c>
      <c r="I244">
        <v>0.08</v>
      </c>
      <c r="J244">
        <v>0.02</v>
      </c>
      <c r="K244">
        <v>0.04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96</v>
      </c>
      <c r="E245">
        <v>0.04</v>
      </c>
      <c r="F245">
        <v>0.05</v>
      </c>
      <c r="G245">
        <v>0.03</v>
      </c>
      <c r="H245">
        <v>0</v>
      </c>
      <c r="I245">
        <v>0.09</v>
      </c>
      <c r="J245">
        <v>0.02</v>
      </c>
      <c r="K245">
        <v>7.0000000000000007E-2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102</v>
      </c>
      <c r="E246">
        <v>0.05</v>
      </c>
      <c r="F246">
        <v>0.05</v>
      </c>
      <c r="G246">
        <v>0.04</v>
      </c>
      <c r="H246">
        <v>0</v>
      </c>
      <c r="I246">
        <v>0.15</v>
      </c>
      <c r="J246">
        <v>0.02</v>
      </c>
      <c r="K246">
        <v>0.09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96</v>
      </c>
      <c r="E247">
        <v>7.0000000000000007E-2</v>
      </c>
      <c r="F247">
        <v>0.04</v>
      </c>
      <c r="G247">
        <v>0.06</v>
      </c>
      <c r="H247">
        <v>0</v>
      </c>
      <c r="I247">
        <v>0.19</v>
      </c>
      <c r="J247">
        <v>0.02</v>
      </c>
      <c r="K247">
        <v>0.13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102</v>
      </c>
      <c r="E248">
        <v>7.0000000000000007E-2</v>
      </c>
      <c r="F248">
        <v>0.04</v>
      </c>
      <c r="G248">
        <v>0.06</v>
      </c>
      <c r="H248">
        <v>0</v>
      </c>
      <c r="I248">
        <v>0.19</v>
      </c>
      <c r="J248">
        <v>0.02</v>
      </c>
      <c r="K248">
        <v>0.14000000000000001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63</v>
      </c>
      <c r="E249">
        <v>0.03</v>
      </c>
      <c r="F249">
        <v>0.02</v>
      </c>
      <c r="G249">
        <v>0.01</v>
      </c>
      <c r="H249">
        <v>0</v>
      </c>
      <c r="I249">
        <v>0.04</v>
      </c>
      <c r="J249">
        <v>0.02</v>
      </c>
      <c r="K249">
        <v>0.04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58</v>
      </c>
      <c r="E250">
        <v>0.03</v>
      </c>
      <c r="F250">
        <v>0.03</v>
      </c>
      <c r="G250">
        <v>0.01</v>
      </c>
      <c r="H250">
        <v>0.01</v>
      </c>
      <c r="I250">
        <v>7.0000000000000007E-2</v>
      </c>
      <c r="J250">
        <v>0.02</v>
      </c>
      <c r="K250">
        <v>0.04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63</v>
      </c>
      <c r="E251">
        <v>0.03</v>
      </c>
      <c r="F251">
        <v>0.03</v>
      </c>
      <c r="G251">
        <v>0.01</v>
      </c>
      <c r="H251">
        <v>0</v>
      </c>
      <c r="I251">
        <v>0.08</v>
      </c>
      <c r="J251">
        <v>0.02</v>
      </c>
      <c r="K251">
        <v>0.04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58</v>
      </c>
      <c r="E252">
        <v>0.04</v>
      </c>
      <c r="F252">
        <v>0.04</v>
      </c>
      <c r="G252">
        <v>0.01</v>
      </c>
      <c r="H252">
        <v>0.02</v>
      </c>
      <c r="I252">
        <v>7.0000000000000007E-2</v>
      </c>
      <c r="J252">
        <v>0.03</v>
      </c>
      <c r="K252">
        <v>0.05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63</v>
      </c>
      <c r="E253">
        <v>0.04</v>
      </c>
      <c r="F253">
        <v>0.04</v>
      </c>
      <c r="G253">
        <v>0.02</v>
      </c>
      <c r="H253">
        <v>0</v>
      </c>
      <c r="I253">
        <v>0.08</v>
      </c>
      <c r="J253">
        <v>0.03</v>
      </c>
      <c r="K253">
        <v>0.05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58</v>
      </c>
      <c r="E254">
        <v>0.05</v>
      </c>
      <c r="F254">
        <v>0.05</v>
      </c>
      <c r="G254">
        <v>0.02</v>
      </c>
      <c r="H254">
        <v>0.02</v>
      </c>
      <c r="I254">
        <v>0.09</v>
      </c>
      <c r="J254">
        <v>0.04</v>
      </c>
      <c r="K254">
        <v>0.06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63</v>
      </c>
      <c r="E255">
        <v>0.06</v>
      </c>
      <c r="F255">
        <v>0.06</v>
      </c>
      <c r="G255">
        <v>0.03</v>
      </c>
      <c r="H255">
        <v>0</v>
      </c>
      <c r="I255">
        <v>0.13</v>
      </c>
      <c r="J255">
        <v>0.04</v>
      </c>
      <c r="K255">
        <v>7.0000000000000007E-2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32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45</v>
      </c>
      <c r="E257">
        <v>65535</v>
      </c>
      <c r="F257">
        <v>4.7300000000000004</v>
      </c>
      <c r="H257">
        <v>1.48</v>
      </c>
      <c r="I257">
        <v>65535</v>
      </c>
      <c r="J257">
        <v>2.0299999999999998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45</v>
      </c>
      <c r="E258">
        <v>65535</v>
      </c>
      <c r="F258">
        <v>6.24</v>
      </c>
      <c r="H258">
        <v>1.1499999999999999</v>
      </c>
      <c r="I258">
        <v>65535</v>
      </c>
      <c r="J258">
        <v>3.89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44</v>
      </c>
      <c r="E259">
        <v>65535</v>
      </c>
      <c r="F259">
        <v>6.77</v>
      </c>
      <c r="H259">
        <v>1.51</v>
      </c>
      <c r="I259">
        <v>65535</v>
      </c>
      <c r="J259">
        <v>5.48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44</v>
      </c>
      <c r="E260">
        <v>65535</v>
      </c>
      <c r="F260">
        <v>9.09</v>
      </c>
      <c r="H260">
        <v>1.58</v>
      </c>
      <c r="I260">
        <v>65535</v>
      </c>
      <c r="J260">
        <v>6.22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44</v>
      </c>
      <c r="E261">
        <v>65535</v>
      </c>
      <c r="F261">
        <v>10.95</v>
      </c>
      <c r="H261">
        <v>2.0699999999999998</v>
      </c>
      <c r="I261">
        <v>65535</v>
      </c>
      <c r="J261">
        <v>7.06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44</v>
      </c>
      <c r="E262">
        <v>65535</v>
      </c>
      <c r="F262">
        <v>12.4</v>
      </c>
      <c r="H262">
        <v>2.27</v>
      </c>
      <c r="I262">
        <v>65535</v>
      </c>
      <c r="J262">
        <v>6.97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30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42</v>
      </c>
      <c r="E264">
        <v>65535</v>
      </c>
      <c r="F264">
        <v>1.77</v>
      </c>
      <c r="H264">
        <v>1.01</v>
      </c>
      <c r="I264">
        <v>65535</v>
      </c>
      <c r="J264">
        <v>1.25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42</v>
      </c>
      <c r="E265">
        <v>65535</v>
      </c>
      <c r="F265">
        <v>1.74</v>
      </c>
      <c r="H265">
        <v>1.05</v>
      </c>
      <c r="I265">
        <v>65535</v>
      </c>
      <c r="J265">
        <v>1.27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42</v>
      </c>
      <c r="E266">
        <v>65535</v>
      </c>
      <c r="F266">
        <v>2.5299999999999998</v>
      </c>
      <c r="H266">
        <v>1.05</v>
      </c>
      <c r="I266">
        <v>65535</v>
      </c>
      <c r="J266">
        <v>1.83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42</v>
      </c>
      <c r="E267">
        <v>65535</v>
      </c>
      <c r="F267">
        <v>2.78</v>
      </c>
      <c r="H267">
        <v>1.04</v>
      </c>
      <c r="I267">
        <v>65535</v>
      </c>
      <c r="J267">
        <v>1.84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42</v>
      </c>
      <c r="E268">
        <v>65535</v>
      </c>
      <c r="F268">
        <v>3.56</v>
      </c>
      <c r="H268">
        <v>1.1000000000000001</v>
      </c>
      <c r="I268">
        <v>65535</v>
      </c>
      <c r="J268">
        <v>2.4700000000000002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42</v>
      </c>
      <c r="E269">
        <v>65535</v>
      </c>
      <c r="F269">
        <v>3.2</v>
      </c>
      <c r="H269">
        <v>1.2</v>
      </c>
      <c r="I269">
        <v>65535</v>
      </c>
      <c r="J269">
        <v>2.5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76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113</v>
      </c>
      <c r="E271">
        <v>65535</v>
      </c>
      <c r="F271">
        <v>2.89</v>
      </c>
      <c r="H271">
        <v>1.02</v>
      </c>
      <c r="I271">
        <v>65535</v>
      </c>
      <c r="J271">
        <v>1.64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113</v>
      </c>
      <c r="E272">
        <v>65535</v>
      </c>
      <c r="F272">
        <v>3.57</v>
      </c>
      <c r="H272">
        <v>1.04</v>
      </c>
      <c r="I272">
        <v>65535</v>
      </c>
      <c r="J272">
        <v>1.82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113</v>
      </c>
      <c r="E273">
        <v>65535</v>
      </c>
      <c r="F273">
        <v>3.71</v>
      </c>
      <c r="H273">
        <v>1.05</v>
      </c>
      <c r="I273">
        <v>65535</v>
      </c>
      <c r="J273">
        <v>2.56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113</v>
      </c>
      <c r="E274">
        <v>65535</v>
      </c>
      <c r="F274">
        <v>3.69</v>
      </c>
      <c r="H274">
        <v>1.06</v>
      </c>
      <c r="I274">
        <v>65535</v>
      </c>
      <c r="J274">
        <v>2.93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113</v>
      </c>
      <c r="E275">
        <v>65535</v>
      </c>
      <c r="F275">
        <v>4.1100000000000003</v>
      </c>
      <c r="H275">
        <v>1.08</v>
      </c>
      <c r="I275">
        <v>65535</v>
      </c>
      <c r="J275">
        <v>3.45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113</v>
      </c>
      <c r="E276">
        <v>65535</v>
      </c>
      <c r="F276">
        <v>4.49</v>
      </c>
      <c r="H276">
        <v>1.1100000000000001</v>
      </c>
      <c r="I276">
        <v>65535</v>
      </c>
      <c r="J276">
        <v>3.65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24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30</v>
      </c>
      <c r="E278">
        <v>65535</v>
      </c>
      <c r="F278">
        <v>1.25</v>
      </c>
      <c r="H278">
        <v>1.02</v>
      </c>
      <c r="I278">
        <v>65535</v>
      </c>
      <c r="J278">
        <v>1.02</v>
      </c>
      <c r="K278">
        <v>1.46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30</v>
      </c>
      <c r="E279">
        <v>65535</v>
      </c>
      <c r="F279">
        <v>1.57</v>
      </c>
      <c r="H279">
        <v>1.01</v>
      </c>
      <c r="I279">
        <v>65535</v>
      </c>
      <c r="J279">
        <v>1.04</v>
      </c>
      <c r="K279">
        <v>1.88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30</v>
      </c>
      <c r="E280">
        <v>65535</v>
      </c>
      <c r="F280">
        <v>1.86</v>
      </c>
      <c r="H280">
        <v>0.84</v>
      </c>
      <c r="I280">
        <v>65535</v>
      </c>
      <c r="J280">
        <v>1.71</v>
      </c>
      <c r="K280">
        <v>2.14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30</v>
      </c>
      <c r="E281">
        <v>65535</v>
      </c>
      <c r="F281">
        <v>2.17</v>
      </c>
      <c r="H281">
        <v>0.95</v>
      </c>
      <c r="I281">
        <v>65535</v>
      </c>
      <c r="J281">
        <v>1.99</v>
      </c>
      <c r="K281">
        <v>2.46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30</v>
      </c>
      <c r="E282">
        <v>65535</v>
      </c>
      <c r="F282">
        <v>2.38</v>
      </c>
      <c r="H282">
        <v>0.93</v>
      </c>
      <c r="I282">
        <v>65535</v>
      </c>
      <c r="J282">
        <v>2.1800000000000002</v>
      </c>
      <c r="K282">
        <v>2.88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30</v>
      </c>
      <c r="E283">
        <v>65535</v>
      </c>
      <c r="F283">
        <v>2.5499999999999998</v>
      </c>
      <c r="H283">
        <v>0.92</v>
      </c>
      <c r="I283">
        <v>65535</v>
      </c>
      <c r="J283">
        <v>2.16</v>
      </c>
      <c r="K283">
        <v>2.95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48</v>
      </c>
      <c r="E285">
        <v>65535</v>
      </c>
      <c r="F285">
        <v>1.24</v>
      </c>
      <c r="H285">
        <v>0.86</v>
      </c>
      <c r="I285">
        <v>65535</v>
      </c>
      <c r="J285">
        <v>1.04</v>
      </c>
      <c r="K285">
        <v>1.93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48</v>
      </c>
      <c r="E286">
        <v>65535</v>
      </c>
      <c r="F286">
        <v>1.32</v>
      </c>
      <c r="H286">
        <v>1</v>
      </c>
      <c r="I286">
        <v>65535</v>
      </c>
      <c r="J286">
        <v>1.1399999999999999</v>
      </c>
      <c r="K286">
        <v>2.46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48</v>
      </c>
      <c r="E287">
        <v>65535</v>
      </c>
      <c r="F287">
        <v>1.39</v>
      </c>
      <c r="H287">
        <v>0.97</v>
      </c>
      <c r="I287">
        <v>65535</v>
      </c>
      <c r="J287">
        <v>1.19</v>
      </c>
      <c r="K287">
        <v>2.04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48</v>
      </c>
      <c r="E288">
        <v>65535</v>
      </c>
      <c r="F288">
        <v>1.28</v>
      </c>
      <c r="H288">
        <v>1</v>
      </c>
      <c r="I288">
        <v>65535</v>
      </c>
      <c r="J288">
        <v>1.1000000000000001</v>
      </c>
      <c r="K288">
        <v>2.34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48</v>
      </c>
      <c r="E289">
        <v>65535</v>
      </c>
      <c r="F289">
        <v>1.51</v>
      </c>
      <c r="H289">
        <v>1.05</v>
      </c>
      <c r="I289">
        <v>65535</v>
      </c>
      <c r="J289">
        <v>1.21</v>
      </c>
      <c r="K289">
        <v>2.25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48</v>
      </c>
      <c r="E290">
        <v>65535</v>
      </c>
      <c r="F290">
        <v>1.6</v>
      </c>
      <c r="H290">
        <v>1.07</v>
      </c>
      <c r="I290">
        <v>65535</v>
      </c>
      <c r="J290">
        <v>1.23</v>
      </c>
      <c r="K290">
        <v>2.7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48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65535</v>
      </c>
      <c r="F292">
        <v>1.54</v>
      </c>
      <c r="H292">
        <v>-16.25</v>
      </c>
      <c r="I292">
        <v>65535</v>
      </c>
      <c r="J292">
        <v>1.31</v>
      </c>
      <c r="K292">
        <v>1.77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65535</v>
      </c>
      <c r="F293">
        <v>2.48</v>
      </c>
      <c r="H293">
        <v>-15.85</v>
      </c>
      <c r="I293">
        <v>65535</v>
      </c>
      <c r="J293">
        <v>1.72</v>
      </c>
      <c r="K293">
        <v>3.1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65535</v>
      </c>
      <c r="F294">
        <v>2.44</v>
      </c>
      <c r="H294">
        <v>-14.22</v>
      </c>
      <c r="I294">
        <v>65535</v>
      </c>
      <c r="J294">
        <v>1.79</v>
      </c>
      <c r="K294">
        <v>3.07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65535</v>
      </c>
      <c r="F295">
        <v>3.11</v>
      </c>
      <c r="H295">
        <v>-7.23</v>
      </c>
      <c r="I295">
        <v>65535</v>
      </c>
      <c r="J295">
        <v>2.6</v>
      </c>
      <c r="K295">
        <v>4.07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65535</v>
      </c>
      <c r="F296">
        <v>3.46</v>
      </c>
      <c r="H296">
        <v>-15.97</v>
      </c>
      <c r="I296">
        <v>65535</v>
      </c>
      <c r="J296">
        <v>2.76</v>
      </c>
      <c r="K296">
        <v>4.66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65535</v>
      </c>
      <c r="F297">
        <v>4.0199999999999996</v>
      </c>
      <c r="H297">
        <v>-22.11</v>
      </c>
      <c r="I297">
        <v>65535</v>
      </c>
      <c r="J297">
        <v>2.88</v>
      </c>
      <c r="K297">
        <v>5.49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65535</v>
      </c>
      <c r="F299">
        <v>1.27</v>
      </c>
      <c r="H299">
        <v>0.88</v>
      </c>
      <c r="I299">
        <v>65535</v>
      </c>
      <c r="J299">
        <v>1.17</v>
      </c>
      <c r="K299">
        <v>1.48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65535</v>
      </c>
      <c r="F300">
        <v>1.53</v>
      </c>
      <c r="H300">
        <v>0.81</v>
      </c>
      <c r="I300">
        <v>65535</v>
      </c>
      <c r="J300">
        <v>1.29</v>
      </c>
      <c r="K300">
        <v>2.0499999999999998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65535</v>
      </c>
      <c r="F301">
        <v>1.87</v>
      </c>
      <c r="H301">
        <v>0.36</v>
      </c>
      <c r="I301">
        <v>65535</v>
      </c>
      <c r="J301">
        <v>1.19</v>
      </c>
      <c r="K301">
        <v>2.67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65535</v>
      </c>
      <c r="F302">
        <v>1.98</v>
      </c>
      <c r="H302">
        <v>-4.24</v>
      </c>
      <c r="I302">
        <v>65535</v>
      </c>
      <c r="J302">
        <v>1.37</v>
      </c>
      <c r="K302">
        <v>2.8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65535</v>
      </c>
      <c r="F303">
        <v>2.27</v>
      </c>
      <c r="H303">
        <v>-3.34</v>
      </c>
      <c r="I303">
        <v>65535</v>
      </c>
      <c r="J303">
        <v>1.61</v>
      </c>
      <c r="K303">
        <v>3.06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65535</v>
      </c>
      <c r="F304">
        <v>2.17</v>
      </c>
      <c r="H304">
        <v>-3.27</v>
      </c>
      <c r="I304">
        <v>65535</v>
      </c>
      <c r="J304">
        <v>1.49</v>
      </c>
      <c r="K304">
        <v>3.64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163</v>
      </c>
      <c r="E306">
        <v>65535</v>
      </c>
      <c r="F306">
        <v>1.21</v>
      </c>
      <c r="H306">
        <v>0.84</v>
      </c>
      <c r="I306">
        <v>65535</v>
      </c>
      <c r="J306">
        <v>1.1399999999999999</v>
      </c>
      <c r="K306">
        <v>1.29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166</v>
      </c>
      <c r="E307">
        <v>65535</v>
      </c>
      <c r="F307">
        <v>1.43</v>
      </c>
      <c r="H307">
        <v>0.91</v>
      </c>
      <c r="I307">
        <v>65535</v>
      </c>
      <c r="J307">
        <v>1.26</v>
      </c>
      <c r="K307">
        <v>1.72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163</v>
      </c>
      <c r="E308">
        <v>65535</v>
      </c>
      <c r="F308">
        <v>1.61</v>
      </c>
      <c r="H308">
        <v>0.91</v>
      </c>
      <c r="I308">
        <v>65535</v>
      </c>
      <c r="J308">
        <v>1.41</v>
      </c>
      <c r="K308">
        <v>1.89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166</v>
      </c>
      <c r="E309">
        <v>65535</v>
      </c>
      <c r="F309">
        <v>1.84</v>
      </c>
      <c r="H309">
        <v>-7.42</v>
      </c>
      <c r="I309">
        <v>65535</v>
      </c>
      <c r="J309">
        <v>1.48</v>
      </c>
      <c r="K309">
        <v>2.2200000000000002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163</v>
      </c>
      <c r="E310">
        <v>65535</v>
      </c>
      <c r="F310">
        <v>2.14</v>
      </c>
      <c r="H310">
        <v>-4.37</v>
      </c>
      <c r="I310">
        <v>65535</v>
      </c>
      <c r="J310">
        <v>1.61</v>
      </c>
      <c r="K310">
        <v>2.59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166</v>
      </c>
      <c r="E311">
        <v>65535</v>
      </c>
      <c r="F311">
        <v>2.33</v>
      </c>
      <c r="H311">
        <v>-4.53</v>
      </c>
      <c r="I311">
        <v>65535</v>
      </c>
      <c r="J311">
        <v>1.72</v>
      </c>
      <c r="K311">
        <v>2.97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52</v>
      </c>
      <c r="E313">
        <v>1.18</v>
      </c>
      <c r="F313">
        <v>1.2</v>
      </c>
      <c r="G313">
        <v>0.1</v>
      </c>
      <c r="H313">
        <v>1.01</v>
      </c>
      <c r="I313">
        <v>1.29</v>
      </c>
      <c r="J313">
        <v>1.08</v>
      </c>
      <c r="K313">
        <v>1.27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52</v>
      </c>
      <c r="E314">
        <v>1.24</v>
      </c>
      <c r="F314">
        <v>1.27</v>
      </c>
      <c r="G314">
        <v>0.13</v>
      </c>
      <c r="H314">
        <v>1</v>
      </c>
      <c r="I314">
        <v>1.44</v>
      </c>
      <c r="J314">
        <v>1.1000000000000001</v>
      </c>
      <c r="K314">
        <v>1.35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52</v>
      </c>
      <c r="E315">
        <v>1.42</v>
      </c>
      <c r="F315">
        <v>1.44</v>
      </c>
      <c r="G315">
        <v>0.2</v>
      </c>
      <c r="H315">
        <v>1</v>
      </c>
      <c r="I315">
        <v>2.3199999999999998</v>
      </c>
      <c r="J315">
        <v>1.27</v>
      </c>
      <c r="K315">
        <v>1.51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52</v>
      </c>
      <c r="E316">
        <v>1.56</v>
      </c>
      <c r="F316">
        <v>1.53</v>
      </c>
      <c r="G316">
        <v>0.33</v>
      </c>
      <c r="H316">
        <v>0.98</v>
      </c>
      <c r="I316">
        <v>3.25</v>
      </c>
      <c r="J316">
        <v>1.35</v>
      </c>
      <c r="K316">
        <v>1.66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52</v>
      </c>
      <c r="E317">
        <v>1.54</v>
      </c>
      <c r="F317">
        <v>1.46</v>
      </c>
      <c r="G317">
        <v>0.43</v>
      </c>
      <c r="H317">
        <v>0.79</v>
      </c>
      <c r="I317">
        <v>3.76</v>
      </c>
      <c r="J317">
        <v>1.37</v>
      </c>
      <c r="K317">
        <v>1.6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52</v>
      </c>
      <c r="E318">
        <v>1.78</v>
      </c>
      <c r="F318">
        <v>1.77</v>
      </c>
      <c r="G318">
        <v>0.47</v>
      </c>
      <c r="H318">
        <v>0.81</v>
      </c>
      <c r="I318">
        <v>4.2</v>
      </c>
      <c r="J318">
        <v>1.49</v>
      </c>
      <c r="K318">
        <v>1.97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42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43</v>
      </c>
      <c r="E320">
        <v>65535</v>
      </c>
      <c r="F320">
        <v>1.07</v>
      </c>
      <c r="H320">
        <v>0.6</v>
      </c>
      <c r="I320">
        <v>65535</v>
      </c>
      <c r="J320">
        <v>1.01</v>
      </c>
      <c r="K320">
        <v>1.1499999999999999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43</v>
      </c>
      <c r="E321">
        <v>65535</v>
      </c>
      <c r="F321">
        <v>1.1599999999999999</v>
      </c>
      <c r="H321">
        <v>0.93</v>
      </c>
      <c r="I321">
        <v>65535</v>
      </c>
      <c r="J321">
        <v>1.08</v>
      </c>
      <c r="K321">
        <v>1.43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43</v>
      </c>
      <c r="E322">
        <v>65535</v>
      </c>
      <c r="F322">
        <v>1.1499999999999999</v>
      </c>
      <c r="H322">
        <v>0.75</v>
      </c>
      <c r="I322">
        <v>65535</v>
      </c>
      <c r="J322">
        <v>1.0900000000000001</v>
      </c>
      <c r="K322">
        <v>1.24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43</v>
      </c>
      <c r="E323">
        <v>65535</v>
      </c>
      <c r="F323">
        <v>1.25</v>
      </c>
      <c r="H323">
        <v>0.93</v>
      </c>
      <c r="I323">
        <v>65535</v>
      </c>
      <c r="J323">
        <v>1.1000000000000001</v>
      </c>
      <c r="K323">
        <v>1.5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43</v>
      </c>
      <c r="E324">
        <v>65535</v>
      </c>
      <c r="F324">
        <v>1.53</v>
      </c>
      <c r="H324">
        <v>0.9</v>
      </c>
      <c r="I324">
        <v>65535</v>
      </c>
      <c r="J324">
        <v>1.08</v>
      </c>
      <c r="K324">
        <v>1.78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43</v>
      </c>
      <c r="E325">
        <v>65535</v>
      </c>
      <c r="F325">
        <v>1.75</v>
      </c>
      <c r="H325">
        <v>0.96</v>
      </c>
      <c r="I325">
        <v>65535</v>
      </c>
      <c r="J325">
        <v>1.08</v>
      </c>
      <c r="K325">
        <v>1.85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4.92</v>
      </c>
      <c r="F327">
        <v>3.11</v>
      </c>
      <c r="G327">
        <v>3.9</v>
      </c>
      <c r="H327">
        <v>1.91</v>
      </c>
      <c r="I327">
        <v>17.399999999999999</v>
      </c>
      <c r="J327">
        <v>2.87</v>
      </c>
      <c r="K327">
        <v>5.39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7.99</v>
      </c>
      <c r="F328">
        <v>6.81</v>
      </c>
      <c r="G328">
        <v>6.52</v>
      </c>
      <c r="H328">
        <v>0</v>
      </c>
      <c r="I328">
        <v>27.54</v>
      </c>
      <c r="J328">
        <v>3.73</v>
      </c>
      <c r="K328">
        <v>10.67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10.93</v>
      </c>
      <c r="F329">
        <v>12.57</v>
      </c>
      <c r="G329">
        <v>8.16</v>
      </c>
      <c r="H329">
        <v>0</v>
      </c>
      <c r="I329">
        <v>33.619999999999997</v>
      </c>
      <c r="J329">
        <v>4.6399999999999997</v>
      </c>
      <c r="K329">
        <v>12.86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13.67</v>
      </c>
      <c r="F330">
        <v>16.809999999999999</v>
      </c>
      <c r="G330">
        <v>10.55</v>
      </c>
      <c r="H330">
        <v>0</v>
      </c>
      <c r="I330">
        <v>39.950000000000003</v>
      </c>
      <c r="J330">
        <v>3.6</v>
      </c>
      <c r="K330">
        <v>17.559999999999999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16.41</v>
      </c>
      <c r="F331">
        <v>21.14</v>
      </c>
      <c r="G331">
        <v>13.04</v>
      </c>
      <c r="H331">
        <v>0</v>
      </c>
      <c r="I331">
        <v>48.72</v>
      </c>
      <c r="J331">
        <v>3.56</v>
      </c>
      <c r="K331">
        <v>21.82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18.170000000000002</v>
      </c>
      <c r="F332">
        <v>23.55</v>
      </c>
      <c r="G332">
        <v>14.56</v>
      </c>
      <c r="H332">
        <v>0</v>
      </c>
      <c r="I332">
        <v>52.53</v>
      </c>
      <c r="J332">
        <v>3.48</v>
      </c>
      <c r="K332">
        <v>25.36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1.41</v>
      </c>
      <c r="F334">
        <v>0.6</v>
      </c>
      <c r="G334">
        <v>0.98</v>
      </c>
      <c r="H334">
        <v>0.54</v>
      </c>
      <c r="I334">
        <v>3.22</v>
      </c>
      <c r="J334">
        <v>0.56000000000000005</v>
      </c>
      <c r="K334">
        <v>2.2799999999999998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1.67</v>
      </c>
      <c r="F335">
        <v>1.1200000000000001</v>
      </c>
      <c r="G335">
        <v>0.81</v>
      </c>
      <c r="H335">
        <v>0.95</v>
      </c>
      <c r="I335">
        <v>2.93</v>
      </c>
      <c r="J335">
        <v>0.97</v>
      </c>
      <c r="K335">
        <v>2.58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4.9400000000000004</v>
      </c>
      <c r="F336">
        <v>3.66</v>
      </c>
      <c r="G336">
        <v>2.52</v>
      </c>
      <c r="H336">
        <v>3.08</v>
      </c>
      <c r="I336">
        <v>10.52</v>
      </c>
      <c r="J336">
        <v>3.57</v>
      </c>
      <c r="K336">
        <v>3.9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7.8</v>
      </c>
      <c r="F337">
        <v>4.3600000000000003</v>
      </c>
      <c r="G337">
        <v>7.07</v>
      </c>
      <c r="H337">
        <v>3.22</v>
      </c>
      <c r="I337">
        <v>24.68</v>
      </c>
      <c r="J337">
        <v>3.66</v>
      </c>
      <c r="K337">
        <v>5.58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6.38</v>
      </c>
      <c r="F338">
        <v>4.3099999999999996</v>
      </c>
      <c r="G338">
        <v>4.8899999999999997</v>
      </c>
      <c r="H338">
        <v>2.2799999999999998</v>
      </c>
      <c r="I338">
        <v>21.65</v>
      </c>
      <c r="J338">
        <v>4.1399999999999997</v>
      </c>
      <c r="K338">
        <v>5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4.32</v>
      </c>
      <c r="F339">
        <v>4.17</v>
      </c>
      <c r="G339">
        <v>1.2</v>
      </c>
      <c r="H339">
        <v>3.12</v>
      </c>
      <c r="I339">
        <v>7.43</v>
      </c>
      <c r="J339">
        <v>3.29</v>
      </c>
      <c r="K339">
        <v>4.8600000000000003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70</v>
      </c>
      <c r="E341">
        <v>2.0499999999999998</v>
      </c>
      <c r="F341">
        <v>1.39</v>
      </c>
      <c r="G341">
        <v>1.82</v>
      </c>
      <c r="H341">
        <v>0.54</v>
      </c>
      <c r="I341">
        <v>8.61</v>
      </c>
      <c r="J341">
        <v>1.04</v>
      </c>
      <c r="K341">
        <v>2.25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70</v>
      </c>
      <c r="E342">
        <v>2.73</v>
      </c>
      <c r="F342">
        <v>1.36</v>
      </c>
      <c r="G342">
        <v>2.92</v>
      </c>
      <c r="H342">
        <v>0.95</v>
      </c>
      <c r="I342">
        <v>13.4</v>
      </c>
      <c r="J342">
        <v>1.08</v>
      </c>
      <c r="K342">
        <v>2.39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70</v>
      </c>
      <c r="E343">
        <v>5.91</v>
      </c>
      <c r="F343">
        <v>3.77</v>
      </c>
      <c r="G343">
        <v>4.04</v>
      </c>
      <c r="H343">
        <v>1.62</v>
      </c>
      <c r="I343">
        <v>17.54</v>
      </c>
      <c r="J343">
        <v>2.37</v>
      </c>
      <c r="K343">
        <v>8.9600000000000009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70</v>
      </c>
      <c r="E344">
        <v>8.15</v>
      </c>
      <c r="F344">
        <v>5.36</v>
      </c>
      <c r="G344">
        <v>5.99</v>
      </c>
      <c r="H344">
        <v>1.95</v>
      </c>
      <c r="I344">
        <v>21.3</v>
      </c>
      <c r="J344">
        <v>2.77</v>
      </c>
      <c r="K344">
        <v>12.57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70</v>
      </c>
      <c r="E345">
        <v>9.3800000000000008</v>
      </c>
      <c r="F345">
        <v>4.9400000000000004</v>
      </c>
      <c r="G345">
        <v>7.59</v>
      </c>
      <c r="H345">
        <v>1.85</v>
      </c>
      <c r="I345">
        <v>27.09</v>
      </c>
      <c r="J345">
        <v>2.81</v>
      </c>
      <c r="K345">
        <v>15.39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70</v>
      </c>
      <c r="E346">
        <v>10.27</v>
      </c>
      <c r="F346">
        <v>4.09</v>
      </c>
      <c r="G346">
        <v>9.07</v>
      </c>
      <c r="H346">
        <v>1.78</v>
      </c>
      <c r="I346">
        <v>33.270000000000003</v>
      </c>
      <c r="J346">
        <v>2.52</v>
      </c>
      <c r="K346">
        <v>16.97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1.59</v>
      </c>
      <c r="F348">
        <v>1.04</v>
      </c>
      <c r="G348">
        <v>0.98</v>
      </c>
      <c r="H348">
        <v>0.56000000000000005</v>
      </c>
      <c r="I348">
        <v>3.83</v>
      </c>
      <c r="J348">
        <v>1.04</v>
      </c>
      <c r="K348">
        <v>1.77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2.2599999999999998</v>
      </c>
      <c r="F349">
        <v>1.25</v>
      </c>
      <c r="G349">
        <v>1.61</v>
      </c>
      <c r="H349">
        <v>0.97</v>
      </c>
      <c r="I349">
        <v>5.77</v>
      </c>
      <c r="J349">
        <v>1.08</v>
      </c>
      <c r="K349">
        <v>3.38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4.34</v>
      </c>
      <c r="F350">
        <v>4.8600000000000003</v>
      </c>
      <c r="G350">
        <v>1.94</v>
      </c>
      <c r="H350">
        <v>1.2</v>
      </c>
      <c r="I350">
        <v>7.22</v>
      </c>
      <c r="J350">
        <v>2.81</v>
      </c>
      <c r="K350">
        <v>5.78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6.02</v>
      </c>
      <c r="F351">
        <v>6.53</v>
      </c>
      <c r="G351">
        <v>2.77</v>
      </c>
      <c r="H351">
        <v>1.39</v>
      </c>
      <c r="I351">
        <v>12.52</v>
      </c>
      <c r="J351">
        <v>5.48</v>
      </c>
      <c r="K351">
        <v>7.84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7.07</v>
      </c>
      <c r="F352">
        <v>7.96</v>
      </c>
      <c r="G352">
        <v>3.54</v>
      </c>
      <c r="H352">
        <v>1.36</v>
      </c>
      <c r="I352">
        <v>15.14</v>
      </c>
      <c r="J352">
        <v>5.42</v>
      </c>
      <c r="K352">
        <v>9.44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7.43</v>
      </c>
      <c r="F353">
        <v>8.59</v>
      </c>
      <c r="G353">
        <v>3.71</v>
      </c>
      <c r="H353">
        <v>1.57</v>
      </c>
      <c r="I353">
        <v>12.22</v>
      </c>
      <c r="J353">
        <v>4.93</v>
      </c>
      <c r="K353">
        <v>10.3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17</v>
      </c>
      <c r="E355">
        <v>0.95</v>
      </c>
      <c r="F355">
        <v>1.04</v>
      </c>
      <c r="G355">
        <v>0.27</v>
      </c>
      <c r="H355">
        <v>0.36</v>
      </c>
      <c r="I355">
        <v>1.27</v>
      </c>
      <c r="J355">
        <v>1.04</v>
      </c>
      <c r="K355">
        <v>1.0900000000000001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17</v>
      </c>
      <c r="E356">
        <v>1.08</v>
      </c>
      <c r="F356">
        <v>1.1100000000000001</v>
      </c>
      <c r="G356">
        <v>0.13</v>
      </c>
      <c r="H356">
        <v>0.77</v>
      </c>
      <c r="I356">
        <v>1.25</v>
      </c>
      <c r="J356">
        <v>1.08</v>
      </c>
      <c r="K356">
        <v>1.17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17</v>
      </c>
      <c r="E357">
        <v>1.1599999999999999</v>
      </c>
      <c r="F357">
        <v>1.21</v>
      </c>
      <c r="G357">
        <v>0.1</v>
      </c>
      <c r="H357">
        <v>0.94</v>
      </c>
      <c r="I357">
        <v>1.26</v>
      </c>
      <c r="J357">
        <v>1.1200000000000001</v>
      </c>
      <c r="K357">
        <v>1.22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17</v>
      </c>
      <c r="E358">
        <v>1.23</v>
      </c>
      <c r="F358">
        <v>1.23</v>
      </c>
      <c r="G358">
        <v>0.09</v>
      </c>
      <c r="H358">
        <v>1.05</v>
      </c>
      <c r="I358">
        <v>1.41</v>
      </c>
      <c r="J358">
        <v>1.17</v>
      </c>
      <c r="K358">
        <v>1.26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17</v>
      </c>
      <c r="E359">
        <v>1.26</v>
      </c>
      <c r="F359">
        <v>1.24</v>
      </c>
      <c r="G359">
        <v>0.13</v>
      </c>
      <c r="H359">
        <v>1.06</v>
      </c>
      <c r="I359">
        <v>1.57</v>
      </c>
      <c r="J359">
        <v>1.19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17</v>
      </c>
      <c r="E360">
        <v>1.34</v>
      </c>
      <c r="F360">
        <v>1.25</v>
      </c>
      <c r="G360">
        <v>0.15</v>
      </c>
      <c r="H360">
        <v>1.21</v>
      </c>
      <c r="I360">
        <v>1.74</v>
      </c>
      <c r="J360">
        <v>1.24</v>
      </c>
      <c r="K360">
        <v>1.38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6</v>
      </c>
      <c r="E362">
        <v>0.99</v>
      </c>
      <c r="F362">
        <v>0.99</v>
      </c>
      <c r="G362">
        <v>0</v>
      </c>
      <c r="H362">
        <v>0.99</v>
      </c>
      <c r="I362">
        <v>0.99</v>
      </c>
      <c r="J362">
        <v>0.99</v>
      </c>
      <c r="K362">
        <v>0.99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6</v>
      </c>
      <c r="E363">
        <v>0.97</v>
      </c>
      <c r="F363">
        <v>0.97</v>
      </c>
      <c r="G363">
        <v>0</v>
      </c>
      <c r="H363">
        <v>0.97</v>
      </c>
      <c r="I363">
        <v>0.97</v>
      </c>
      <c r="J363">
        <v>0.97</v>
      </c>
      <c r="K363">
        <v>0.97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6</v>
      </c>
      <c r="E364">
        <v>0.95</v>
      </c>
      <c r="F364">
        <v>0.94</v>
      </c>
      <c r="G364">
        <v>0.01</v>
      </c>
      <c r="H364">
        <v>0.93</v>
      </c>
      <c r="I364">
        <v>0.97</v>
      </c>
      <c r="J364">
        <v>0.94</v>
      </c>
      <c r="K364">
        <v>0.95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6</v>
      </c>
      <c r="E365">
        <v>0.98</v>
      </c>
      <c r="F365">
        <v>0.98</v>
      </c>
      <c r="G365">
        <v>0.01</v>
      </c>
      <c r="H365">
        <v>0.97</v>
      </c>
      <c r="I365">
        <v>1.01</v>
      </c>
      <c r="J365">
        <v>0.97</v>
      </c>
      <c r="K365">
        <v>0.99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6</v>
      </c>
      <c r="E366">
        <v>1.03</v>
      </c>
      <c r="F366">
        <v>1.02</v>
      </c>
      <c r="G366">
        <v>0.01</v>
      </c>
      <c r="H366">
        <v>1.02</v>
      </c>
      <c r="I366">
        <v>1.05</v>
      </c>
      <c r="J366">
        <v>1.02</v>
      </c>
      <c r="K366">
        <v>1.03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6</v>
      </c>
      <c r="E367">
        <v>1.05</v>
      </c>
      <c r="F367">
        <v>1.05</v>
      </c>
      <c r="G367">
        <v>0.02</v>
      </c>
      <c r="H367">
        <v>1.03</v>
      </c>
      <c r="I367">
        <v>1.08</v>
      </c>
      <c r="J367">
        <v>1.04</v>
      </c>
      <c r="K367">
        <v>1.05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0.99</v>
      </c>
      <c r="F369">
        <v>0.99</v>
      </c>
      <c r="G369">
        <v>0</v>
      </c>
      <c r="H369">
        <v>0.99</v>
      </c>
      <c r="I369">
        <v>0.99</v>
      </c>
      <c r="J369">
        <v>0.99</v>
      </c>
      <c r="K369">
        <v>0.99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0.97</v>
      </c>
      <c r="F370">
        <v>0.97</v>
      </c>
      <c r="G370">
        <v>0</v>
      </c>
      <c r="H370">
        <v>0.97</v>
      </c>
      <c r="I370">
        <v>0.97</v>
      </c>
      <c r="J370">
        <v>0.97</v>
      </c>
      <c r="K370">
        <v>0.97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0.96</v>
      </c>
      <c r="F371">
        <v>0.96</v>
      </c>
      <c r="G371">
        <v>0.01</v>
      </c>
      <c r="H371">
        <v>0.94</v>
      </c>
      <c r="I371">
        <v>0.97</v>
      </c>
      <c r="J371">
        <v>0.95</v>
      </c>
      <c r="K371">
        <v>0.97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1.01</v>
      </c>
      <c r="F372">
        <v>1.01</v>
      </c>
      <c r="G372">
        <v>0.01</v>
      </c>
      <c r="H372">
        <v>0.99</v>
      </c>
      <c r="I372">
        <v>1.02</v>
      </c>
      <c r="J372">
        <v>1</v>
      </c>
      <c r="K372">
        <v>1.02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1.06</v>
      </c>
      <c r="F373">
        <v>1.06</v>
      </c>
      <c r="G373">
        <v>0.01</v>
      </c>
      <c r="H373">
        <v>1.04</v>
      </c>
      <c r="I373">
        <v>1.08</v>
      </c>
      <c r="J373">
        <v>1.05</v>
      </c>
      <c r="K373">
        <v>1.07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1.1100000000000001</v>
      </c>
      <c r="F374">
        <v>1.1200000000000001</v>
      </c>
      <c r="G374">
        <v>0.02</v>
      </c>
      <c r="H374">
        <v>1.0900000000000001</v>
      </c>
      <c r="I374">
        <v>1.1299999999999999</v>
      </c>
      <c r="J374">
        <v>1.1000000000000001</v>
      </c>
      <c r="K374">
        <v>1.1200000000000001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18</v>
      </c>
      <c r="E376">
        <v>1.1000000000000001</v>
      </c>
      <c r="F376">
        <v>1.03</v>
      </c>
      <c r="G376">
        <v>0.13</v>
      </c>
      <c r="H376">
        <v>0.99</v>
      </c>
      <c r="I376">
        <v>1.3</v>
      </c>
      <c r="J376">
        <v>0.99</v>
      </c>
      <c r="K376">
        <v>1.22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18</v>
      </c>
      <c r="E377">
        <v>1.1299999999999999</v>
      </c>
      <c r="F377">
        <v>1.03</v>
      </c>
      <c r="G377">
        <v>0.21</v>
      </c>
      <c r="H377">
        <v>0.97</v>
      </c>
      <c r="I377">
        <v>1.71</v>
      </c>
      <c r="J377">
        <v>0.97</v>
      </c>
      <c r="K377">
        <v>1.24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18</v>
      </c>
      <c r="E378">
        <v>1.36</v>
      </c>
      <c r="F378">
        <v>1.1599999999999999</v>
      </c>
      <c r="G378">
        <v>0.45</v>
      </c>
      <c r="H378">
        <v>0.93</v>
      </c>
      <c r="I378">
        <v>2.15</v>
      </c>
      <c r="J378">
        <v>0.95</v>
      </c>
      <c r="K378">
        <v>1.74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18</v>
      </c>
      <c r="E379">
        <v>1.7</v>
      </c>
      <c r="F379">
        <v>1.45</v>
      </c>
      <c r="G379">
        <v>0.79</v>
      </c>
      <c r="H379">
        <v>0.98</v>
      </c>
      <c r="I379">
        <v>3.18</v>
      </c>
      <c r="J379">
        <v>0.99</v>
      </c>
      <c r="K379">
        <v>2.33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18</v>
      </c>
      <c r="E380">
        <v>2.11</v>
      </c>
      <c r="F380">
        <v>1.74</v>
      </c>
      <c r="G380">
        <v>1.21</v>
      </c>
      <c r="H380">
        <v>1.03</v>
      </c>
      <c r="I380">
        <v>4.3499999999999996</v>
      </c>
      <c r="J380">
        <v>1.04</v>
      </c>
      <c r="K380">
        <v>2.95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18</v>
      </c>
      <c r="E381">
        <v>2.5099999999999998</v>
      </c>
      <c r="F381">
        <v>2.0299999999999998</v>
      </c>
      <c r="G381">
        <v>1.6</v>
      </c>
      <c r="H381">
        <v>1.08</v>
      </c>
      <c r="I381">
        <v>5.38</v>
      </c>
      <c r="J381">
        <v>1.0900000000000001</v>
      </c>
      <c r="K381">
        <v>3.53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1.2</v>
      </c>
      <c r="F383">
        <v>1.2</v>
      </c>
      <c r="G383">
        <v>0.03</v>
      </c>
      <c r="H383">
        <v>1.18</v>
      </c>
      <c r="I383">
        <v>1.24</v>
      </c>
      <c r="J383">
        <v>1.18</v>
      </c>
      <c r="K383">
        <v>1.22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1.18</v>
      </c>
      <c r="F384">
        <v>1.1599999999999999</v>
      </c>
      <c r="G384">
        <v>0.1</v>
      </c>
      <c r="H384">
        <v>1.08</v>
      </c>
      <c r="I384">
        <v>1.3</v>
      </c>
      <c r="J384">
        <v>1.08</v>
      </c>
      <c r="K384">
        <v>1.27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1.43</v>
      </c>
      <c r="F385">
        <v>1.44</v>
      </c>
      <c r="G385">
        <v>0.13</v>
      </c>
      <c r="H385">
        <v>1.26</v>
      </c>
      <c r="I385">
        <v>1.59</v>
      </c>
      <c r="J385">
        <v>1.33</v>
      </c>
      <c r="K385">
        <v>1.53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1.57</v>
      </c>
      <c r="F386">
        <v>1.57</v>
      </c>
      <c r="G386">
        <v>0.16</v>
      </c>
      <c r="H386">
        <v>1.34</v>
      </c>
      <c r="I386">
        <v>1.77</v>
      </c>
      <c r="J386">
        <v>1.48</v>
      </c>
      <c r="K386">
        <v>1.69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1.95</v>
      </c>
      <c r="F387">
        <v>1.95</v>
      </c>
      <c r="G387">
        <v>0.19</v>
      </c>
      <c r="H387">
        <v>1.63</v>
      </c>
      <c r="I387">
        <v>2.2200000000000002</v>
      </c>
      <c r="J387">
        <v>1.86</v>
      </c>
      <c r="K387">
        <v>2.06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2.4700000000000002</v>
      </c>
      <c r="F388">
        <v>2.5099999999999998</v>
      </c>
      <c r="G388">
        <v>0.35</v>
      </c>
      <c r="H388">
        <v>1.94</v>
      </c>
      <c r="I388">
        <v>2.95</v>
      </c>
      <c r="J388">
        <v>2.2599999999999998</v>
      </c>
      <c r="K388">
        <v>2.69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10</v>
      </c>
      <c r="E390">
        <v>1.08</v>
      </c>
      <c r="F390">
        <v>1.06</v>
      </c>
      <c r="G390">
        <v>0.1</v>
      </c>
      <c r="H390">
        <v>0.99</v>
      </c>
      <c r="I390">
        <v>1.23</v>
      </c>
      <c r="J390">
        <v>0.99</v>
      </c>
      <c r="K390">
        <v>1.17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10</v>
      </c>
      <c r="E391">
        <v>1.07</v>
      </c>
      <c r="F391">
        <v>1.08</v>
      </c>
      <c r="G391">
        <v>0.09</v>
      </c>
      <c r="H391">
        <v>0.97</v>
      </c>
      <c r="I391">
        <v>1.1599999999999999</v>
      </c>
      <c r="J391">
        <v>0.98</v>
      </c>
      <c r="K391">
        <v>1.1599999999999999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10</v>
      </c>
      <c r="E392">
        <v>1.03</v>
      </c>
      <c r="F392">
        <v>0.97</v>
      </c>
      <c r="G392">
        <v>0.12</v>
      </c>
      <c r="H392">
        <v>0.91</v>
      </c>
      <c r="I392">
        <v>1.19</v>
      </c>
      <c r="J392">
        <v>0.93</v>
      </c>
      <c r="K392">
        <v>1.1399999999999999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10</v>
      </c>
      <c r="E393">
        <v>1.03</v>
      </c>
      <c r="F393">
        <v>1.05</v>
      </c>
      <c r="G393">
        <v>0.09</v>
      </c>
      <c r="H393">
        <v>0.9</v>
      </c>
      <c r="I393">
        <v>1.1399999999999999</v>
      </c>
      <c r="J393">
        <v>0.95</v>
      </c>
      <c r="K393">
        <v>1.0900000000000001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10</v>
      </c>
      <c r="E394">
        <v>1.05</v>
      </c>
      <c r="F394">
        <v>1.1000000000000001</v>
      </c>
      <c r="G394">
        <v>0.12</v>
      </c>
      <c r="H394">
        <v>0.89</v>
      </c>
      <c r="I394">
        <v>1.19</v>
      </c>
      <c r="J394">
        <v>0.94</v>
      </c>
      <c r="K394">
        <v>1.1299999999999999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10</v>
      </c>
      <c r="E395">
        <v>1.0900000000000001</v>
      </c>
      <c r="F395">
        <v>1.1100000000000001</v>
      </c>
      <c r="G395">
        <v>0.14000000000000001</v>
      </c>
      <c r="H395">
        <v>0.91</v>
      </c>
      <c r="I395">
        <v>1.29</v>
      </c>
      <c r="J395">
        <v>0.96</v>
      </c>
      <c r="K395">
        <v>1.1399999999999999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2026-09-28T13:37:41Z</dcterms:modified>
</cp:coreProperties>
</file>