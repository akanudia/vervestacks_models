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B0F9BFA0-BABC-4168-8692-8476B8A902A6}" xr6:coauthVersionLast="47" xr6:coauthVersionMax="47" xr10:uidLastSave="{00000000-0000-0000-0000-000000000000}"/>
  <bookViews>
    <workbookView xWindow="3675" yWindow="3675" windowWidth="21600" windowHeight="11423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R24" i="1" l="1"/>
  <c r="R25" i="1"/>
  <c r="U24" i="1"/>
  <c r="U25" i="1"/>
  <c r="T24" i="1"/>
  <c r="Q24" i="1"/>
  <c r="P24" i="1"/>
  <c r="P25" i="1"/>
  <c r="S24" i="1"/>
  <c r="S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23" i="1" s="1"/>
  <c r="R19" i="1"/>
  <c r="S19" i="1"/>
  <c r="Q19" i="1"/>
  <c r="S23" i="1" l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<sst xmlns="http://schemas.openxmlformats.org/spreadsheetml/2006/main" count="1679" uniqueCount="106">
  <si>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</si>
  <si>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</si>
  <si>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</si>
  <si>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</si>
  <si>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</si>
  <si>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</si>
  <si>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</si>
  <si>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</si>
  <si>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</si>
  <si>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</si>
  <si>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</si>
  <si>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</si>
  <si>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</si>
  <si>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</si>
  <si>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</si>
  <si>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</si>
  <si>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</si>
  <si>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</si>
  <si>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</si>
  <si>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</si>
  <si>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</si>
  <si>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</si>
  <si>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</si>
  <si>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</si>
  <si>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</si>
  <si>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</si>
  <si>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</si>
  <si>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</si>
  <si>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</si>
  <si>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</si>
  <si>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</si>
  <si>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</si>
  <si>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</si>
  <si>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</si>
  <si>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</si>
  <si>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</si>
  <si>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</si>
  <si>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</si>
  <si>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</si>
  <si>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</si>
  <si>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</si>
  <si>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</si>
  <si>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</si>
  <si>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</si>
  <si>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</si>
  <si>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</si>
  <si>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</si>
  <si>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</si>
  <si>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</si>
  <si>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</si>
  <si>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</si>
  <si>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</si>
  <si>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</si>
  <si>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</si>
  <si>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</si>
  <si>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</si>
  <si>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</si>
  <si>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</si>
  <si>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</si>
  <si>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</si>
  <si>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</si>
  <si>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</si>
  <si>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</si>
  <si>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</si>
  <si>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</si>
  <si>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</si>
  <si>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</si>
  <si>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</si>
  <si>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</si>
  <si>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</si>
  <si>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</si>
  <si>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</si>
  <si>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</si>
  <si>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</si>
  <si>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</si>
  <si>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</si>
  <si>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</si>
  <si>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</si>
  <si>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</si>
  <si>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</si>
  <si>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</si>
  <si>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</si>
  <si>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</si>
  <si>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</si>
  <si>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</si>
  <si>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</si>
  <si>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</si>
  <si>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</si>
  <si>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</si>
  <si>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</si>
  <si>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</si>
  <si>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</si>
  <si>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</si>
  <si>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Heat growth relative to 2020</t>
  </si>
  <si>
    <t>base</t>
  </si>
  <si>
    <t>co2price</t>
  </si>
  <si>
    <t>heat_tfc_twh</t>
  </si>
  <si>
    <t>1-8</t>
  </si>
  <si>
    <t>chp_heat_twh</t>
  </si>
  <si>
    <t>heat_industry_twh</t>
  </si>
  <si>
    <t>heat_buildings_twh</t>
  </si>
  <si>
    <t>het_industry</t>
  </si>
  <si>
    <t>het_buildings</t>
  </si>
  <si>
    <t>CHN</t>
  </si>
  <si>
    <t>R10CHINA+</t>
  </si>
  <si>
    <t>LNG imports expensive, domestic coal cheap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</si>
</sst>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8887.82</c:v>
                </c:pt>
                <c:pt idx="1">
                  <c:v>10398.749399999999</c:v>
                </c:pt>
                <c:pt idx="2">
                  <c:v>11109.775</c:v>
                </c:pt>
                <c:pt idx="3">
                  <c:v>11465.2878</c:v>
                </c:pt>
                <c:pt idx="4">
                  <c:v>12442.947999999999</c:v>
                </c:pt>
                <c:pt idx="5">
                  <c:v>13687.2428</c:v>
                </c:pt>
                <c:pt idx="6">
                  <c:v>14753.781199999999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49.25</c:v>
                </c:pt>
                <c:pt idx="3">
                  <c:v>97.48</c:v>
                </c:pt>
                <c:pt idx="4">
                  <c:v>128.69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97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95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94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94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94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94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0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103</v>
      </c>
      <c r="B1" s="16"/>
    </row>
    <row r="2" spans="1:34" x14ac:dyDescent="0.45">
      <c r="A2" s="15" t="s">
        <v>104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94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8887.82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1481.569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605.54100000000005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1.17</v>
      </c>
      <c r="F15" s="11">
        <f>SUMIFS(ar6_r10!$F$2:$F$99999,ar6_r10!$A$2:$A$99999,$C$15,ar6_r10!$C$2:$C$99999,F$18,ar6_r10!$M$2:$M$99999,$B15,ar6_r10!$B$2:$B$99999,$A$2)</f>
        <v>1.25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</v>
      </c>
      <c r="I15" s="11">
        <f>SUMIFS(ar6_r10!$F$2:$F$99999,ar6_r10!$A$2:$A$99999,$C$15,ar6_r10!$C$2:$C$99999,I$18,ar6_r10!$M$2:$M$99999,$B15,ar6_r10!$B$2:$B$99999,$A$2)</f>
        <v>1.54</v>
      </c>
      <c r="J15" s="11">
        <f>SUMIFS(ar6_r10!$F$2:$F$99999,ar6_r10!$A$2:$A$99999,$C$15,ar6_r10!$C$2:$C$99999,J$18,ar6_r10!$M$2:$M$99999,$B15,ar6_r10!$B$2:$B$99999,$A$2)</f>
        <v>1.66</v>
      </c>
      <c r="O15" s="8">
        <f>N11</f>
        <v>8887.82</v>
      </c>
      <c r="P15" s="8">
        <f t="shared" ref="P15:U15" si="0">$N$11*E15</f>
        <v>10398.749399999999</v>
      </c>
      <c r="Q15" s="8">
        <f t="shared" si="0"/>
        <v>11109.775</v>
      </c>
      <c r="R15" s="8">
        <f t="shared" si="0"/>
        <v>11465.2878</v>
      </c>
      <c r="S15" s="8">
        <f t="shared" si="0"/>
        <v>12442.947999999999</v>
      </c>
      <c r="T15" s="8">
        <f t="shared" si="0"/>
        <v>13687.2428</v>
      </c>
      <c r="U15" s="8">
        <f t="shared" si="0"/>
        <v>14753.781199999999</v>
      </c>
    </row>
    <row r="16" spans="1:34" ht="14.65" thickTop="1" x14ac:dyDescent="0.45">
      <c r="B16" t="s">
        <v>93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1.2</v>
      </c>
      <c r="F16" s="11">
        <f>SUMIFS(ar6_r10!$F$2:$F$99999,ar6_r10!$A$2:$A$99999,$C$15,ar6_r10!$C$2:$C$99999,F$18,ar6_r10!$M$2:$M$99999,$B16,ar6_r10!$B$2:$B$99999,$A$2)</f>
        <v>1.26</v>
      </c>
      <c r="G16" s="11">
        <f>SUMIFS(ar6_r10!$F$2:$F$99999,ar6_r10!$A$2:$A$99999,$C$15,ar6_r10!$C$2:$C$99999,G$18,ar6_r10!$M$2:$M$99999,$B16,ar6_r10!$B$2:$B$99999,$A$2)</f>
        <v>1.38</v>
      </c>
      <c r="H16" s="11">
        <f>SUMIFS(ar6_r10!$F$2:$F$99999,ar6_r10!$A$2:$A$99999,$C$15,ar6_r10!$C$2:$C$99999,H$18,ar6_r10!$M$2:$M$99999,$B16,ar6_r10!$B$2:$B$99999,$A$2)</f>
        <v>1.3</v>
      </c>
      <c r="I16" s="11">
        <f>SUMIFS(ar6_r10!$F$2:$F$99999,ar6_r10!$A$2:$A$99999,$C$15,ar6_r10!$C$2:$C$99999,I$18,ar6_r10!$M$2:$M$99999,$B16,ar6_r10!$B$2:$B$99999,$A$2)</f>
        <v>1.1100000000000001</v>
      </c>
      <c r="J16" s="11">
        <f>SUMIFS(ar6_r10!$F$2:$F$99999,ar6_r10!$A$2:$A$99999,$C$15,ar6_r10!$C$2:$C$99999,J$18,ar6_r10!$M$2:$M$99999,$B16,ar6_r10!$B$2:$B$99999,$A$2)</f>
        <v>1.01</v>
      </c>
    </row>
    <row r="17" spans="2:24" ht="17.649999999999999" customHeight="1" thickBot="1" x14ac:dyDescent="0.55000000000000004">
      <c r="N17" s="5" t="str">
        <f>"~TFM_INS-TS: region="&amp;$A$1</f>
        <v>~TFM_INS-TS: region=CHN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0.01</v>
      </c>
      <c r="J19" s="11">
        <f>SUMIFS(ar6_r10!$F$2:$F$99999,ar6_r10!$A$2:$A$99999,$C$15,ar6_r10!$C$2:$C$99999,J$18,ar6_r10!$M$2:$M$99999,$B19,ar6_r10!$B$2:$B$99999,$A$2)</f>
        <v>0.01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136.87242800000001</v>
      </c>
      <c r="U19" s="6">
        <f t="shared" si="2"/>
        <v>147.537812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0.62</v>
      </c>
      <c r="E20" s="11">
        <f>SUMIFS(ar6_r10!$F$2:$F$99999,ar6_r10!$A$2:$A$99999,$C$15,ar6_r10!$C$2:$C$99999,E$18,ar6_r10!$M$2:$M$99999,$B20,ar6_r10!$B$2:$B$99999,$A$2)</f>
        <v>0.61</v>
      </c>
      <c r="F20" s="11">
        <f>SUMIFS(ar6_r10!$F$2:$F$99999,ar6_r10!$A$2:$A$99999,$C$15,ar6_r10!$C$2:$C$99999,F$18,ar6_r10!$M$2:$M$99999,$B20,ar6_r10!$B$2:$B$99999,$A$2)</f>
        <v>0.59</v>
      </c>
      <c r="G20" s="11">
        <f>SUMIFS(ar6_r10!$F$2:$F$99999,ar6_r10!$A$2:$A$99999,$C$15,ar6_r10!$C$2:$C$99999,G$18,ar6_r10!$M$2:$M$99999,$B20,ar6_r10!$B$2:$B$99999,$A$2)</f>
        <v>0.51</v>
      </c>
      <c r="H20" s="11">
        <f>SUMIFS(ar6_r10!$F$2:$F$99999,ar6_r10!$A$2:$A$99999,$C$15,ar6_r10!$C$2:$C$99999,H$18,ar6_r10!$M$2:$M$99999,$B20,ar6_r10!$B$2:$B$99999,$A$2)</f>
        <v>0.54</v>
      </c>
      <c r="I20" s="11">
        <f>SUMIFS(ar6_r10!$F$2:$F$99999,ar6_r10!$A$2:$A$99999,$C$15,ar6_r10!$C$2:$C$99999,I$18,ar6_r10!$M$2:$M$99999,$B20,ar6_r10!$B$2:$B$99999,$A$2)</f>
        <v>0.49</v>
      </c>
      <c r="J20" s="11">
        <f>SUMIFS(ar6_r10!$F$2:$F$99999,ar6_r10!$A$2:$A$99999,$C$15,ar6_r10!$C$2:$C$99999,J$18,ar6_r10!$M$2:$M$99999,$B20,ar6_r10!$B$2:$B$99999,$A$2)</f>
        <v>0.52</v>
      </c>
      <c r="N20" s="10" t="s">
        <v>18</v>
      </c>
      <c r="O20" s="6">
        <f t="shared" si="2"/>
        <v>5510.4484000000002</v>
      </c>
      <c r="P20" s="6">
        <f t="shared" si="2"/>
        <v>6343.2371339999991</v>
      </c>
      <c r="Q20" s="6">
        <f t="shared" si="2"/>
        <v>6554.7672499999999</v>
      </c>
      <c r="R20" s="6">
        <f t="shared" si="2"/>
        <v>5847.2967779999999</v>
      </c>
      <c r="S20" s="6">
        <f t="shared" si="2"/>
        <v>6719.1919199999993</v>
      </c>
      <c r="T20" s="6">
        <f t="shared" si="2"/>
        <v>6706.7489720000003</v>
      </c>
      <c r="U20" s="6">
        <f t="shared" si="2"/>
        <v>7671.9662239999998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0.35</v>
      </c>
      <c r="E21" s="11">
        <f>SUMIFS(ar6_r10!$F$2:$F$99999,ar6_r10!$A$2:$A$99999,$C$15,ar6_r10!$C$2:$C$99999,E$18,ar6_r10!$M$2:$M$99999,$B21,ar6_r10!$B$2:$B$99999,$A$2)</f>
        <v>0.36</v>
      </c>
      <c r="F21" s="11">
        <f>SUMIFS(ar6_r10!$F$2:$F$99999,ar6_r10!$A$2:$A$99999,$C$15,ar6_r10!$C$2:$C$99999,F$18,ar6_r10!$M$2:$M$99999,$B21,ar6_r10!$B$2:$B$99999,$A$2)</f>
        <v>0.37</v>
      </c>
      <c r="G21" s="11">
        <f>SUMIFS(ar6_r10!$F$2:$F$99999,ar6_r10!$A$2:$A$99999,$C$15,ar6_r10!$C$2:$C$99999,G$18,ar6_r10!$M$2:$M$99999,$B21,ar6_r10!$B$2:$B$99999,$A$2)</f>
        <v>0.39</v>
      </c>
      <c r="H21" s="11">
        <f>SUMIFS(ar6_r10!$F$2:$F$99999,ar6_r10!$A$2:$A$99999,$C$15,ar6_r10!$C$2:$C$99999,H$18,ar6_r10!$M$2:$M$99999,$B21,ar6_r10!$B$2:$B$99999,$A$2)</f>
        <v>0.38</v>
      </c>
      <c r="I21" s="11">
        <f>SUMIFS(ar6_r10!$F$2:$F$99999,ar6_r10!$A$2:$A$99999,$C$15,ar6_r10!$C$2:$C$99999,I$18,ar6_r10!$M$2:$M$99999,$B21,ar6_r10!$B$2:$B$99999,$A$2)</f>
        <v>0.38</v>
      </c>
      <c r="J21" s="11">
        <f>SUMIFS(ar6_r10!$F$2:$F$99999,ar6_r10!$A$2:$A$99999,$C$15,ar6_r10!$C$2:$C$99999,J$18,ar6_r10!$M$2:$M$99999,$B21,ar6_r10!$B$2:$B$99999,$A$2)</f>
        <v>0.37</v>
      </c>
      <c r="N21" s="10" t="s">
        <v>21</v>
      </c>
      <c r="O21" s="6">
        <f t="shared" si="2"/>
        <v>3110.7369999999996</v>
      </c>
      <c r="P21" s="6">
        <f t="shared" si="2"/>
        <v>3743.5497839999994</v>
      </c>
      <c r="Q21" s="6">
        <f t="shared" si="2"/>
        <v>4110.6167500000001</v>
      </c>
      <c r="R21" s="6">
        <f t="shared" si="2"/>
        <v>4471.4622420000005</v>
      </c>
      <c r="S21" s="6">
        <f t="shared" si="2"/>
        <v>4728.3202399999991</v>
      </c>
      <c r="T21" s="6">
        <f t="shared" si="2"/>
        <v>5201.1522640000003</v>
      </c>
      <c r="U21" s="6">
        <f t="shared" si="2"/>
        <v>5458.8990439999998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0.02</v>
      </c>
      <c r="E22" s="11">
        <f>SUMIFS(ar6_r10!$F$2:$F$99999,ar6_r10!$A$2:$A$99999,$C$15,ar6_r10!$C$2:$C$99999,E$18,ar6_r10!$M$2:$M$99999,$B22,ar6_r10!$B$2:$B$99999,$A$2)</f>
        <v>0.03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0.05</v>
      </c>
      <c r="H22" s="11">
        <f>SUMIFS(ar6_r10!$F$2:$F$99999,ar6_r10!$A$2:$A$99999,$C$15,ar6_r10!$C$2:$C$99999,H$18,ar6_r10!$M$2:$M$99999,$B22,ar6_r10!$B$2:$B$99999,$A$2)</f>
        <v>0.05</v>
      </c>
      <c r="I22" s="11">
        <f>SUMIFS(ar6_r10!$F$2:$F$99999,ar6_r10!$A$2:$A$99999,$C$15,ar6_r10!$C$2:$C$99999,I$18,ar6_r10!$M$2:$M$99999,$B22,ar6_r10!$B$2:$B$99999,$A$2)</f>
        <v>0.04</v>
      </c>
      <c r="J22" s="11">
        <f>SUMIFS(ar6_r10!$F$2:$F$99999,ar6_r10!$A$2:$A$99999,$C$15,ar6_r10!$C$2:$C$99999,J$18,ar6_r10!$M$2:$M$99999,$B22,ar6_r10!$B$2:$B$99999,$A$2)</f>
        <v>0.04</v>
      </c>
      <c r="N22" s="10" t="s">
        <v>23</v>
      </c>
      <c r="O22" s="6">
        <f>D22*O$15</f>
        <v>177.75639999999999</v>
      </c>
      <c r="P22" s="6">
        <f t="shared" ref="P22:U22" si="3">O22</f>
        <v>177.75639999999999</v>
      </c>
      <c r="Q22" s="6">
        <f t="shared" si="3"/>
        <v>177.75639999999999</v>
      </c>
      <c r="R22" s="6">
        <f t="shared" si="3"/>
        <v>177.75639999999999</v>
      </c>
      <c r="S22" s="6">
        <f t="shared" si="3"/>
        <v>177.75639999999999</v>
      </c>
      <c r="T22" s="6">
        <f t="shared" si="3"/>
        <v>177.75639999999999</v>
      </c>
      <c r="U22" s="6">
        <f t="shared" si="3"/>
        <v>177.75639999999999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88.878199999999197</v>
      </c>
      <c r="P23" s="6">
        <f t="shared" si="4"/>
        <v>134.20608200000061</v>
      </c>
      <c r="Q23" s="6">
        <f t="shared" si="4"/>
        <v>266.63459999999941</v>
      </c>
      <c r="R23" s="6">
        <f t="shared" si="4"/>
        <v>968.77237999999852</v>
      </c>
      <c r="S23" s="6">
        <f t="shared" si="4"/>
        <v>817.67943999999989</v>
      </c>
      <c r="T23" s="6">
        <f t="shared" si="4"/>
        <v>1601.5851639999983</v>
      </c>
      <c r="U23" s="6">
        <f t="shared" si="4"/>
        <v>1445.1595319999997</v>
      </c>
      <c r="V23" t="s">
        <v>16</v>
      </c>
    </row>
    <row r="24" spans="2:24" x14ac:dyDescent="0.45">
      <c r="N24" s="18" t="s">
        <v>101</v>
      </c>
      <c r="O24" s="19">
        <f>N12</f>
        <v>1481.569</v>
      </c>
      <c r="P24" s="20">
        <f>$N$12*E16</f>
        <v>1777.8827999999999</v>
      </c>
      <c r="Q24" s="20">
        <f>$N$12*F16</f>
        <v>1866.77694</v>
      </c>
      <c r="R24" s="20">
        <f t="shared" ref="R24:U24" si="5">$N$12*G16</f>
        <v>2044.5652199999997</v>
      </c>
      <c r="S24" s="20">
        <f t="shared" si="5"/>
        <v>1926.0397</v>
      </c>
      <c r="T24" s="20">
        <f t="shared" si="5"/>
        <v>1644.54159</v>
      </c>
      <c r="U24" s="20">
        <f t="shared" si="5"/>
        <v>1496.3846899999999</v>
      </c>
      <c r="V24" s="18" t="s">
        <v>16</v>
      </c>
    </row>
    <row r="25" spans="2:24" x14ac:dyDescent="0.45">
      <c r="N25" s="18" t="s">
        <v>102</v>
      </c>
      <c r="O25" s="19">
        <f>N13</f>
        <v>605.54100000000005</v>
      </c>
      <c r="P25" s="20">
        <f>$N$13*E16</f>
        <v>726.64920000000006</v>
      </c>
      <c r="Q25" s="20">
        <f t="shared" ref="Q25:U25" si="6">$N$13*F16</f>
        <v>762.98166000000003</v>
      </c>
      <c r="R25" s="20">
        <f t="shared" si="6"/>
        <v>835.64657999999997</v>
      </c>
      <c r="S25" s="20">
        <f t="shared" si="6"/>
        <v>787.20330000000013</v>
      </c>
      <c r="T25" s="20">
        <f t="shared" si="6"/>
        <v>672.15051000000017</v>
      </c>
      <c r="U25" s="20">
        <f t="shared" si="6"/>
        <v>611.59641000000011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49.25</v>
      </c>
      <c r="G26" s="8">
        <f>SUMIFS(ar6_r10!$F$2:$F$99999,ar6_r10!$A$2:$A$99999,$C$26,ar6_r10!$C$2:$C$99999,G$18,ar6_r10!$M$2:$M$99999,$B26,ar6_r10!$B$2:$B$99999,$A$2)</f>
        <v>97.48</v>
      </c>
      <c r="H26" s="8">
        <f>SUMIFS(ar6_r10!$F$2:$F$99999,ar6_r10!$A$2:$A$99999,$C$26,ar6_r10!$C$2:$C$99999,H$18,ar6_r10!$M$2:$M$99999,$B26,ar6_r10!$B$2:$B$99999,$A$2)</f>
        <v>128.69</v>
      </c>
      <c r="I26" s="8">
        <f>SUMIFS(ar6_r10!$F$2:$F$99999,ar6_r10!$A$2:$A$99999,$C$26,ar6_r10!$C$2:$C$99999,I$18,ar6_r10!$M$2:$M$99999,$B26,ar6_r10!$B$2:$B$99999,$A$2)</f>
        <v>171.28</v>
      </c>
      <c r="J26" s="8">
        <f>SUMIFS(ar6_r10!$F$2:$F$99999,ar6_r10!$A$2:$A$99999,$C$26,ar6_r10!$C$2:$C$99999,J$18,ar6_r10!$M$2:$M$99999,$B26,ar6_r10!$B$2:$B$99999,$A$2)</f>
        <v>208.73</v>
      </c>
      <c r="N26" s="21" t="s">
        <v>26</v>
      </c>
      <c r="O26" s="22"/>
      <c r="P26" s="22">
        <v>0</v>
      </c>
      <c r="Q26" s="23">
        <f>F26/1000</f>
        <v>4.9250000000000002E-2</v>
      </c>
      <c r="R26" s="23">
        <f>G26/1000</f>
        <v>9.7479999999999997E-2</v>
      </c>
      <c r="S26" s="23">
        <f>H26/1000</f>
        <v>0.12869</v>
      </c>
      <c r="T26" s="23">
        <f>I26/1000</f>
        <v>0.17127999999999999</v>
      </c>
      <c r="U26" s="23">
        <f>J26/1000</f>
        <v>0.20873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55000000000000004">
      <c r="N28" s="5" t="str">
        <f>"~TFM_INS-TS: region="&amp;$A$1</f>
        <v>~TFM_INS-TS: region=CHN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7.14</v>
      </c>
      <c r="N30" t="s">
        <v>30</v>
      </c>
      <c r="O30" s="3">
        <f>L30</f>
        <v>7.14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20.09</v>
      </c>
      <c r="N31" t="s">
        <v>33</v>
      </c>
      <c r="O31" s="3">
        <f>ABS(L31)</f>
        <v>20.09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1.24</v>
      </c>
      <c r="F39" s="11">
        <f>SUMIFS(ar6_r10!$F$2:$F$99999,ar6_r10!$A$2:$A$99999,$B$38,ar6_r10!$C$2:$C$99999,F$18,ar6_r10!$M$2:$M$99999,$B39,ar6_r10!$B$2:$B$99999,$A$2)</f>
        <v>1.32</v>
      </c>
      <c r="G39" s="11">
        <f>SUMIFS(ar6_r10!$F$2:$F$99999,ar6_r10!$A$2:$A$99999,$B$38,ar6_r10!$C$2:$C$99999,G$18,ar6_r10!$M$2:$M$99999,$B39,ar6_r10!$B$2:$B$99999,$A$2)</f>
        <v>1.39</v>
      </c>
      <c r="H39" s="11">
        <f>SUMIFS(ar6_r10!$F$2:$F$99999,ar6_r10!$A$2:$A$99999,$B$38,ar6_r10!$C$2:$C$99999,H$18,ar6_r10!$M$2:$M$99999,$B39,ar6_r10!$B$2:$B$99999,$A$2)</f>
        <v>1.28</v>
      </c>
      <c r="I39" s="11">
        <f>SUMIFS(ar6_r10!$F$2:$F$99999,ar6_r10!$A$2:$A$99999,$B$38,ar6_r10!$C$2:$C$99999,I$18,ar6_r10!$M$2:$M$99999,$B39,ar6_r10!$B$2:$B$99999,$A$2)</f>
        <v>1.51</v>
      </c>
      <c r="J39" s="11">
        <f>SUMIFS(ar6_r10!$F$2:$F$99999,ar6_r10!$A$2:$A$99999,$B$38,ar6_r10!$C$2:$C$99999,J$18,ar6_r10!$M$2:$M$99999,$B39,ar6_r10!$B$2:$B$99999,$A$2)</f>
        <v>1.6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1.04</v>
      </c>
      <c r="F40" s="11">
        <f>SUMIFS(ar6_r10!$F$2:$F$99999,ar6_r10!$A$2:$A$99999,$B$38,ar6_r10!$C$2:$C$99999,F$18,ar6_r10!$M$2:$M$99999,$B40,ar6_r10!$B$2:$B$99999,$A$2)</f>
        <v>1.1100000000000001</v>
      </c>
      <c r="G40" s="11">
        <f>SUMIFS(ar6_r10!$F$2:$F$99999,ar6_r10!$A$2:$A$99999,$B$38,ar6_r10!$C$2:$C$99999,G$18,ar6_r10!$M$2:$M$99999,$B40,ar6_r10!$B$2:$B$99999,$A$2)</f>
        <v>1.21</v>
      </c>
      <c r="H40" s="11">
        <f>SUMIFS(ar6_r10!$F$2:$F$99999,ar6_r10!$A$2:$A$99999,$B$38,ar6_r10!$C$2:$C$99999,H$18,ar6_r10!$M$2:$M$99999,$B40,ar6_r10!$B$2:$B$99999,$A$2)</f>
        <v>1.23</v>
      </c>
      <c r="I40" s="11">
        <f>SUMIFS(ar6_r10!$F$2:$F$99999,ar6_r10!$A$2:$A$99999,$B$38,ar6_r10!$C$2:$C$99999,I$18,ar6_r10!$M$2:$M$99999,$B40,ar6_r10!$B$2:$B$99999,$A$2)</f>
        <v>1.24</v>
      </c>
      <c r="J40" s="11">
        <f>SUMIFS(ar6_r10!$F$2:$F$99999,ar6_r10!$A$2:$A$99999,$B$38,ar6_r10!$C$2:$C$99999,J$18,ar6_r10!$M$2:$M$99999,$B40,ar6_r10!$B$2:$B$99999,$A$2)</f>
        <v>1.25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1.07</v>
      </c>
      <c r="F41" s="11">
        <f>SUMIFS(ar6_r10!$F$2:$F$99999,ar6_r10!$A$2:$A$99999,$B$38,ar6_r10!$C$2:$C$99999,F$18,ar6_r10!$M$2:$M$99999,$B41,ar6_r10!$B$2:$B$99999,$A$2)</f>
        <v>1.1599999999999999</v>
      </c>
      <c r="G41" s="11">
        <f>SUMIFS(ar6_r10!$F$2:$F$99999,ar6_r10!$A$2:$A$99999,$B$38,ar6_r10!$C$2:$C$99999,G$18,ar6_r10!$M$2:$M$99999,$B41,ar6_r10!$B$2:$B$99999,$A$2)</f>
        <v>1.1499999999999999</v>
      </c>
      <c r="H41" s="11">
        <f>SUMIFS(ar6_r10!$F$2:$F$99999,ar6_r10!$A$2:$A$99999,$B$38,ar6_r10!$C$2:$C$99999,H$18,ar6_r10!$M$2:$M$99999,$B41,ar6_r10!$B$2:$B$99999,$A$2)</f>
        <v>1.25</v>
      </c>
      <c r="I41" s="11">
        <f>SUMIFS(ar6_r10!$F$2:$F$99999,ar6_r10!$A$2:$A$99999,$B$38,ar6_r10!$C$2:$C$99999,I$18,ar6_r10!$M$2:$M$99999,$B41,ar6_r10!$B$2:$B$99999,$A$2)</f>
        <v>1.53</v>
      </c>
      <c r="J41" s="11">
        <f>SUMIFS(ar6_r10!$F$2:$F$99999,ar6_r10!$A$2:$A$99999,$B$38,ar6_r10!$C$2:$C$99999,J$18,ar6_r10!$M$2:$M$99999,$B41,ar6_r10!$B$2:$B$99999,$A$2)</f>
        <v>1.75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1.06</v>
      </c>
      <c r="F42" s="11">
        <f>SUMIFS(ar6_r10!$F$2:$F$99999,ar6_r10!$A$2:$A$99999,$B$38,ar6_r10!$C$2:$C$99999,F$18,ar6_r10!$M$2:$M$99999,$B42,ar6_r10!$B$2:$B$99999,$A$2)</f>
        <v>1.08</v>
      </c>
      <c r="G42" s="11">
        <f>SUMIFS(ar6_r10!$F$2:$F$99999,ar6_r10!$A$2:$A$99999,$B$38,ar6_r10!$C$2:$C$99999,G$18,ar6_r10!$M$2:$M$99999,$B42,ar6_r10!$B$2:$B$99999,$A$2)</f>
        <v>0.97</v>
      </c>
      <c r="H42" s="11">
        <f>SUMIFS(ar6_r10!$F$2:$F$99999,ar6_r10!$A$2:$A$99999,$B$38,ar6_r10!$C$2:$C$99999,H$18,ar6_r10!$M$2:$M$99999,$B42,ar6_r10!$B$2:$B$99999,$A$2)</f>
        <v>1.05</v>
      </c>
      <c r="I42" s="11">
        <f>SUMIFS(ar6_r10!$F$2:$F$99999,ar6_r10!$A$2:$A$99999,$B$38,ar6_r10!$C$2:$C$99999,I$18,ar6_r10!$M$2:$M$99999,$B42,ar6_r10!$B$2:$B$99999,$A$2)</f>
        <v>1.1000000000000001</v>
      </c>
      <c r="J42" s="11">
        <f>SUMIFS(ar6_r10!$F$2:$F$99999,ar6_r10!$A$2:$A$99999,$B$38,ar6_r10!$C$2:$C$99999,J$18,ar6_r10!$M$2:$M$99999,$B42,ar6_r10!$B$2:$B$99999,$A$2)</f>
        <v>1.1100000000000001</v>
      </c>
    </row>
    <row r="45" spans="2:14" ht="17.25" thickBot="1" x14ac:dyDescent="0.55000000000000004">
      <c r="B45" s="5" t="str">
        <f>"~TFM_INS-TS: region="&amp;$A$1&amp;"; attribute=flo_cost;pset_pn=-IMP*Z"</f>
        <v>~TFM_INS-TS: region=CHN;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20.55</v>
      </c>
      <c r="E47">
        <f t="shared" si="9"/>
        <v>25.481999999999999</v>
      </c>
      <c r="F47">
        <f t="shared" si="9"/>
        <v>27.126000000000001</v>
      </c>
      <c r="G47">
        <f t="shared" si="9"/>
        <v>28.564499999999999</v>
      </c>
      <c r="H47">
        <f t="shared" si="9"/>
        <v>26.304000000000002</v>
      </c>
      <c r="I47">
        <f t="shared" si="9"/>
        <v>31.0305</v>
      </c>
      <c r="J47">
        <f t="shared" si="9"/>
        <v>32.880000000000003</v>
      </c>
      <c r="M47">
        <f>HLOOKUP($B47&amp;"_"&amp;M$46,fuel_prices!$B$10:$I$100,MATCH($A$1,fuel_prices!$A$10:$A$100,0),FALSE)</f>
        <v>17.100000000000001</v>
      </c>
      <c r="N47">
        <f>HLOOKUP($B47&amp;"_"&amp;N$46,fuel_prices!$B$10:$I$100,MATCH($A$1,fuel_prices!$A$10:$A$100,0),FALSE)</f>
        <v>24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10.649999999999999</v>
      </c>
      <c r="E48">
        <f t="shared" si="9"/>
        <v>11.075999999999999</v>
      </c>
      <c r="F48">
        <f t="shared" si="9"/>
        <v>11.8215</v>
      </c>
      <c r="G48">
        <f t="shared" si="9"/>
        <v>12.886499999999998</v>
      </c>
      <c r="H48">
        <f t="shared" si="9"/>
        <v>13.099499999999997</v>
      </c>
      <c r="I48">
        <f t="shared" si="9"/>
        <v>13.205999999999998</v>
      </c>
      <c r="J48">
        <f t="shared" si="9"/>
        <v>13.312499999999998</v>
      </c>
      <c r="M48">
        <f>HLOOKUP($B48&amp;"_"&amp;M$46,fuel_prices!$B$10:$I$100,MATCH($A$1,fuel_prices!$A$10:$A$100,0),FALSE)</f>
        <v>9.1</v>
      </c>
      <c r="N48">
        <f>HLOOKUP($B48&amp;"_"&amp;N$46,fuel_prices!$B$10:$I$100,MATCH($A$1,fuel_prices!$A$10:$A$100,0),FALSE)</f>
        <v>12.2</v>
      </c>
    </row>
    <row r="49" spans="2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56.71</v>
      </c>
      <c r="F49">
        <f t="shared" si="9"/>
        <v>61.48</v>
      </c>
      <c r="G49">
        <f t="shared" si="9"/>
        <v>60.949999999999996</v>
      </c>
      <c r="H49">
        <f t="shared" si="9"/>
        <v>66.25</v>
      </c>
      <c r="I49">
        <f t="shared" si="9"/>
        <v>81.09</v>
      </c>
      <c r="J49">
        <f t="shared" si="9"/>
        <v>92.75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2:14" x14ac:dyDescent="0.45">
      <c r="B50" t="s">
        <v>79</v>
      </c>
      <c r="C50" t="str">
        <f t="shared" si="10"/>
        <v>Bioenergy</v>
      </c>
      <c r="D50">
        <f t="shared" si="9"/>
        <v>24</v>
      </c>
      <c r="J50">
        <f>VLOOKUP($C$15,$AF$9:$AH$16,3,FALSE)*D50</f>
        <v>72</v>
      </c>
      <c r="M50">
        <f>HLOOKUP($B50&amp;"_"&amp;M$46,fuel_prices!$B$10:$I$100,MATCH($A$1,fuel_prices!$A$10:$A$100,0),FALSE)</f>
        <v>20</v>
      </c>
      <c r="N50">
        <f>HLOOKUP($B50&amp;"_"&amp;N$46,fuel_prices!$B$10:$I$100,MATCH($A$1,fuel_prices!$A$10:$A$100,0),FALSE)</f>
        <v>28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103</v>
      </c>
      <c r="B11">
        <v>17.100000000000001</v>
      </c>
      <c r="C11">
        <v>24</v>
      </c>
      <c r="D11">
        <v>9.1</v>
      </c>
      <c r="E11">
        <v>12.2</v>
      </c>
      <c r="F11">
        <v>48</v>
      </c>
      <c r="G11">
        <v>58</v>
      </c>
      <c r="H11">
        <v>20</v>
      </c>
      <c r="I11">
        <v>28</v>
      </c>
      <c r="J11" t="s">
        <v>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98</v>
      </c>
      <c r="K10" t="s">
        <v>96</v>
      </c>
      <c r="L10" t="s">
        <v>99</v>
      </c>
      <c r="M10" t="s">
        <v>100</v>
      </c>
    </row>
    <row r="11" spans="1:13" x14ac:dyDescent="0.45">
      <c r="A11" t="s">
        <v>103</v>
      </c>
      <c r="B11">
        <v>2015</v>
      </c>
      <c r="C11">
        <v>3822.68</v>
      </c>
      <c r="D11">
        <v>1165.2</v>
      </c>
      <c r="E11">
        <v>62.18</v>
      </c>
      <c r="F11">
        <v>9.98</v>
      </c>
      <c r="G11">
        <v>6.21</v>
      </c>
      <c r="H11">
        <v>18.649999999999999</v>
      </c>
      <c r="I11">
        <v>5838.44</v>
      </c>
      <c r="J11">
        <v>963.41600000000005</v>
      </c>
      <c r="K11">
        <v>1005.298</v>
      </c>
      <c r="L11">
        <v>682.59500000000003</v>
      </c>
      <c r="M11">
        <v>322.70299999999997</v>
      </c>
    </row>
    <row r="12" spans="1:13" x14ac:dyDescent="0.45">
      <c r="A12" t="s">
        <v>103</v>
      </c>
      <c r="B12">
        <v>2016</v>
      </c>
      <c r="C12">
        <v>4031.75</v>
      </c>
      <c r="D12">
        <v>1284.2</v>
      </c>
      <c r="E12">
        <v>69.61</v>
      </c>
      <c r="F12">
        <v>15.8</v>
      </c>
      <c r="G12">
        <v>6.19</v>
      </c>
      <c r="H12">
        <v>18.91</v>
      </c>
      <c r="I12">
        <v>6169.04</v>
      </c>
      <c r="J12">
        <v>1045.3779999999999</v>
      </c>
      <c r="K12">
        <v>1092.779</v>
      </c>
      <c r="L12">
        <v>745.41399999999999</v>
      </c>
      <c r="M12">
        <v>347.36500000000001</v>
      </c>
    </row>
    <row r="13" spans="1:13" x14ac:dyDescent="0.45">
      <c r="A13" t="s">
        <v>103</v>
      </c>
      <c r="B13">
        <v>2017</v>
      </c>
      <c r="C13">
        <v>4457.93</v>
      </c>
      <c r="D13">
        <v>1390.36</v>
      </c>
      <c r="E13">
        <v>78.92</v>
      </c>
      <c r="F13">
        <v>21.95</v>
      </c>
      <c r="G13">
        <v>6.42</v>
      </c>
      <c r="H13">
        <v>19.47</v>
      </c>
      <c r="I13">
        <v>6682.04</v>
      </c>
      <c r="J13">
        <v>1139.069</v>
      </c>
      <c r="K13">
        <v>1168.42</v>
      </c>
      <c r="L13">
        <v>788.00199999999995</v>
      </c>
      <c r="M13">
        <v>380.41800000000001</v>
      </c>
    </row>
    <row r="14" spans="1:13" x14ac:dyDescent="0.45">
      <c r="A14" t="s">
        <v>103</v>
      </c>
      <c r="B14">
        <v>2018</v>
      </c>
      <c r="C14">
        <v>4743.37</v>
      </c>
      <c r="D14">
        <v>1545.3</v>
      </c>
      <c r="E14">
        <v>89.52</v>
      </c>
      <c r="F14">
        <v>30.54</v>
      </c>
      <c r="G14">
        <v>5.69</v>
      </c>
      <c r="H14">
        <v>20.91</v>
      </c>
      <c r="I14">
        <v>7109.94</v>
      </c>
      <c r="J14">
        <v>1293.4939999999999</v>
      </c>
      <c r="K14">
        <v>1311.952</v>
      </c>
      <c r="L14">
        <v>873.505</v>
      </c>
      <c r="M14">
        <v>438.447</v>
      </c>
    </row>
    <row r="15" spans="1:13" x14ac:dyDescent="0.45">
      <c r="A15" t="s">
        <v>103</v>
      </c>
      <c r="B15">
        <v>2019</v>
      </c>
      <c r="C15">
        <v>4997.47</v>
      </c>
      <c r="D15">
        <v>1654.79</v>
      </c>
      <c r="E15">
        <v>97.53</v>
      </c>
      <c r="F15">
        <v>33.14</v>
      </c>
      <c r="G15">
        <v>4.8600000000000003</v>
      </c>
      <c r="H15">
        <v>21.65</v>
      </c>
      <c r="I15">
        <v>7472.59</v>
      </c>
      <c r="J15">
        <v>1381.6030000000001</v>
      </c>
      <c r="K15">
        <v>1368.2429999999999</v>
      </c>
      <c r="L15">
        <v>898.18700000000001</v>
      </c>
      <c r="M15">
        <v>470.05599999999998</v>
      </c>
    </row>
    <row r="16" spans="1:13" x14ac:dyDescent="0.45">
      <c r="A16" t="s">
        <v>103</v>
      </c>
      <c r="B16">
        <v>2020</v>
      </c>
      <c r="C16">
        <v>5252.18</v>
      </c>
      <c r="D16">
        <v>1742.4</v>
      </c>
      <c r="E16">
        <v>97.45</v>
      </c>
      <c r="F16">
        <v>34.93</v>
      </c>
      <c r="G16">
        <v>4.75</v>
      </c>
      <c r="H16">
        <v>21.79</v>
      </c>
      <c r="I16">
        <v>7732.07</v>
      </c>
      <c r="J16">
        <v>1497.04</v>
      </c>
      <c r="K16">
        <v>1489.7750000000001</v>
      </c>
      <c r="L16">
        <v>975.55399999999997</v>
      </c>
      <c r="M16">
        <v>514.221</v>
      </c>
    </row>
    <row r="17" spans="1:13" x14ac:dyDescent="0.45">
      <c r="A17" t="s">
        <v>103</v>
      </c>
      <c r="B17">
        <v>2021</v>
      </c>
      <c r="C17">
        <v>5810.51</v>
      </c>
      <c r="D17">
        <v>1937.61</v>
      </c>
      <c r="E17">
        <v>110.92</v>
      </c>
      <c r="F17">
        <v>46.41</v>
      </c>
      <c r="G17">
        <v>5.94</v>
      </c>
      <c r="H17">
        <v>20.18</v>
      </c>
      <c r="I17">
        <v>8560.0499999999993</v>
      </c>
      <c r="J17">
        <v>1788.7370000000001</v>
      </c>
      <c r="K17">
        <v>1802.8209999999999</v>
      </c>
      <c r="L17">
        <v>1229.2180000000001</v>
      </c>
      <c r="M17">
        <v>573.60299999999995</v>
      </c>
    </row>
    <row r="18" spans="1:13" x14ac:dyDescent="0.45">
      <c r="A18" t="s">
        <v>103</v>
      </c>
      <c r="B18">
        <v>2022</v>
      </c>
      <c r="C18">
        <v>6011.06</v>
      </c>
      <c r="D18">
        <v>2141.63</v>
      </c>
      <c r="E18">
        <v>113.61</v>
      </c>
      <c r="F18">
        <v>62.32</v>
      </c>
      <c r="G18">
        <v>7.14</v>
      </c>
      <c r="H18">
        <v>20.09</v>
      </c>
      <c r="I18">
        <v>8900.77</v>
      </c>
      <c r="J18">
        <v>2060.7950000000001</v>
      </c>
      <c r="K18">
        <v>2087.11</v>
      </c>
      <c r="L18">
        <v>1481.569</v>
      </c>
      <c r="M18">
        <v>605.54100000000005</v>
      </c>
    </row>
    <row r="19" spans="1:13" x14ac:dyDescent="0.45">
      <c r="A19" t="s">
        <v>103</v>
      </c>
      <c r="B19">
        <v>2023</v>
      </c>
      <c r="C19">
        <v>6603.51</v>
      </c>
      <c r="D19">
        <v>2269.2199999999998</v>
      </c>
      <c r="E19">
        <v>121.12</v>
      </c>
      <c r="F19">
        <v>79.92</v>
      </c>
      <c r="G19">
        <v>5.0199999999999996</v>
      </c>
      <c r="H19">
        <v>22.1</v>
      </c>
      <c r="I19">
        <v>9558.7199999999993</v>
      </c>
      <c r="J19">
        <v>2222.616</v>
      </c>
      <c r="K19">
        <v>2293.4609999999998</v>
      </c>
      <c r="L19">
        <v>1641.0930000000001</v>
      </c>
      <c r="M19">
        <v>652.36800000000005</v>
      </c>
    </row>
    <row r="20" spans="1:13" x14ac:dyDescent="0.45">
      <c r="A20" t="s">
        <v>103</v>
      </c>
      <c r="B20">
        <v>2024</v>
      </c>
      <c r="C20">
        <v>7267.71</v>
      </c>
      <c r="D20">
        <v>2474.91</v>
      </c>
      <c r="E20">
        <v>129.12</v>
      </c>
      <c r="F20">
        <v>102.5</v>
      </c>
      <c r="G20">
        <v>2.92</v>
      </c>
      <c r="H20">
        <v>20.55</v>
      </c>
      <c r="I20">
        <v>10181.09</v>
      </c>
      <c r="J20">
        <v>2311.1509999999998</v>
      </c>
      <c r="K20">
        <v>2453.4189999999999</v>
      </c>
      <c r="L20">
        <v>1768.442</v>
      </c>
      <c r="M20">
        <v>684.97699999999998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104</v>
      </c>
      <c r="C11">
        <v>2020</v>
      </c>
      <c r="D11">
        <v>60</v>
      </c>
      <c r="E11">
        <v>0.69</v>
      </c>
      <c r="F11">
        <v>0.28000000000000003</v>
      </c>
      <c r="G11">
        <v>1.59</v>
      </c>
      <c r="H11">
        <v>0</v>
      </c>
      <c r="I11">
        <v>5.54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45">
      <c r="A12" t="s">
        <v>0</v>
      </c>
      <c r="B12" t="s">
        <v>104</v>
      </c>
      <c r="C12">
        <v>2025</v>
      </c>
      <c r="D12">
        <v>60</v>
      </c>
      <c r="E12">
        <v>162.87</v>
      </c>
      <c r="F12">
        <v>128.21</v>
      </c>
      <c r="G12">
        <v>116.85</v>
      </c>
      <c r="H12">
        <v>33.32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104</v>
      </c>
      <c r="C13">
        <v>2030</v>
      </c>
      <c r="D13">
        <v>60</v>
      </c>
      <c r="E13">
        <v>221.04</v>
      </c>
      <c r="F13">
        <v>194.33</v>
      </c>
      <c r="G13">
        <v>110.97</v>
      </c>
      <c r="H13">
        <v>9.59</v>
      </c>
      <c r="I13">
        <v>673.46</v>
      </c>
      <c r="J13">
        <v>164.67</v>
      </c>
      <c r="K13">
        <v>244.32</v>
      </c>
      <c r="L13" t="s">
        <v>1</v>
      </c>
      <c r="M13" t="s">
        <v>25</v>
      </c>
    </row>
    <row r="14" spans="1:13" x14ac:dyDescent="0.45">
      <c r="A14" t="s">
        <v>0</v>
      </c>
      <c r="B14" t="s">
        <v>104</v>
      </c>
      <c r="C14">
        <v>2035</v>
      </c>
      <c r="D14">
        <v>60</v>
      </c>
      <c r="E14">
        <v>309.55</v>
      </c>
      <c r="F14">
        <v>256.63</v>
      </c>
      <c r="G14">
        <v>148.94</v>
      </c>
      <c r="H14">
        <v>40.909999999999997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104</v>
      </c>
      <c r="C15">
        <v>2040</v>
      </c>
      <c r="D15">
        <v>60</v>
      </c>
      <c r="E15">
        <v>419.54</v>
      </c>
      <c r="F15">
        <v>338.71</v>
      </c>
      <c r="G15">
        <v>205.73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104</v>
      </c>
      <c r="C16">
        <v>2045</v>
      </c>
      <c r="D16">
        <v>60</v>
      </c>
      <c r="E16">
        <v>529.29</v>
      </c>
      <c r="F16">
        <v>460.87</v>
      </c>
      <c r="G16">
        <v>243.66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104</v>
      </c>
      <c r="C17">
        <v>2050</v>
      </c>
      <c r="D17">
        <v>60</v>
      </c>
      <c r="E17">
        <v>625.14</v>
      </c>
      <c r="F17">
        <v>581.84</v>
      </c>
      <c r="G17">
        <v>257.52999999999997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104</v>
      </c>
      <c r="C18">
        <v>2020</v>
      </c>
      <c r="D18">
        <v>86</v>
      </c>
      <c r="E18">
        <v>1.06</v>
      </c>
      <c r="F18">
        <v>0</v>
      </c>
      <c r="G18">
        <v>1.95</v>
      </c>
      <c r="H18">
        <v>0</v>
      </c>
      <c r="I18">
        <v>5.54</v>
      </c>
      <c r="J18">
        <v>0</v>
      </c>
      <c r="K18">
        <v>1.1100000000000001</v>
      </c>
      <c r="L18" t="s">
        <v>3</v>
      </c>
      <c r="M18" t="s">
        <v>25</v>
      </c>
    </row>
    <row r="19" spans="1:13" x14ac:dyDescent="0.45">
      <c r="A19" t="s">
        <v>2</v>
      </c>
      <c r="B19" t="s">
        <v>104</v>
      </c>
      <c r="C19">
        <v>2025</v>
      </c>
      <c r="D19">
        <v>75</v>
      </c>
      <c r="E19">
        <v>41.97</v>
      </c>
      <c r="F19">
        <v>24.75</v>
      </c>
      <c r="G19">
        <v>46.37</v>
      </c>
      <c r="H19">
        <v>0</v>
      </c>
      <c r="I19">
        <v>174.97</v>
      </c>
      <c r="J19">
        <v>1.1100000000000001</v>
      </c>
      <c r="K19">
        <v>73.930000000000007</v>
      </c>
      <c r="L19" t="s">
        <v>3</v>
      </c>
      <c r="M19" t="s">
        <v>25</v>
      </c>
    </row>
    <row r="20" spans="1:13" x14ac:dyDescent="0.45">
      <c r="A20" t="s">
        <v>2</v>
      </c>
      <c r="B20" t="s">
        <v>104</v>
      </c>
      <c r="C20">
        <v>2030</v>
      </c>
      <c r="D20">
        <v>86</v>
      </c>
      <c r="E20">
        <v>52.54</v>
      </c>
      <c r="F20">
        <v>41.97</v>
      </c>
      <c r="G20">
        <v>54.78</v>
      </c>
      <c r="H20">
        <v>0</v>
      </c>
      <c r="I20">
        <v>221.93</v>
      </c>
      <c r="J20">
        <v>8.23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104</v>
      </c>
      <c r="C21">
        <v>2035</v>
      </c>
      <c r="D21">
        <v>75</v>
      </c>
      <c r="E21">
        <v>195.34</v>
      </c>
      <c r="F21">
        <v>135.74</v>
      </c>
      <c r="G21">
        <v>289.95</v>
      </c>
      <c r="H21">
        <v>54.48</v>
      </c>
      <c r="I21">
        <v>2037.12</v>
      </c>
      <c r="J21">
        <v>87.35</v>
      </c>
      <c r="K21">
        <v>201.85</v>
      </c>
      <c r="L21" t="s">
        <v>3</v>
      </c>
      <c r="M21" t="s">
        <v>25</v>
      </c>
    </row>
    <row r="22" spans="1:13" x14ac:dyDescent="0.45">
      <c r="A22" t="s">
        <v>2</v>
      </c>
      <c r="B22" t="s">
        <v>104</v>
      </c>
      <c r="C22">
        <v>2040</v>
      </c>
      <c r="D22">
        <v>86</v>
      </c>
      <c r="E22">
        <v>247.32</v>
      </c>
      <c r="F22">
        <v>165.64</v>
      </c>
      <c r="G22">
        <v>359.74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104</v>
      </c>
      <c r="C23">
        <v>2045</v>
      </c>
      <c r="D23">
        <v>75</v>
      </c>
      <c r="E23">
        <v>295.25</v>
      </c>
      <c r="F23">
        <v>249.21</v>
      </c>
      <c r="G23">
        <v>189.78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104</v>
      </c>
      <c r="C24">
        <v>2050</v>
      </c>
      <c r="D24">
        <v>86</v>
      </c>
      <c r="E24">
        <v>309.04000000000002</v>
      </c>
      <c r="F24">
        <v>285.02999999999997</v>
      </c>
      <c r="G24">
        <v>169.99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104</v>
      </c>
      <c r="C25">
        <v>2020</v>
      </c>
      <c r="D25">
        <v>192</v>
      </c>
      <c r="E25">
        <v>3.3</v>
      </c>
      <c r="F25">
        <v>0.28000000000000003</v>
      </c>
      <c r="G25">
        <v>11.14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45">
      <c r="A26" t="s">
        <v>5</v>
      </c>
      <c r="B26" t="s">
        <v>104</v>
      </c>
      <c r="C26">
        <v>2025</v>
      </c>
      <c r="D26">
        <v>169</v>
      </c>
      <c r="E26">
        <v>38.979999999999997</v>
      </c>
      <c r="F26">
        <v>39</v>
      </c>
      <c r="G26">
        <v>35.840000000000003</v>
      </c>
      <c r="H26">
        <v>0</v>
      </c>
      <c r="I26">
        <v>134.68</v>
      </c>
      <c r="J26">
        <v>1.1100000000000001</v>
      </c>
      <c r="K26">
        <v>60.99</v>
      </c>
      <c r="L26" t="s">
        <v>6</v>
      </c>
      <c r="M26" t="s">
        <v>25</v>
      </c>
    </row>
    <row r="27" spans="1:13" x14ac:dyDescent="0.45">
      <c r="A27" t="s">
        <v>5</v>
      </c>
      <c r="B27" t="s">
        <v>104</v>
      </c>
      <c r="C27">
        <v>2030</v>
      </c>
      <c r="D27">
        <v>192</v>
      </c>
      <c r="E27">
        <v>51.64</v>
      </c>
      <c r="F27">
        <v>49.25</v>
      </c>
      <c r="G27">
        <v>46.79</v>
      </c>
      <c r="H27">
        <v>0</v>
      </c>
      <c r="I27">
        <v>216.75</v>
      </c>
      <c r="J27">
        <v>8.23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104</v>
      </c>
      <c r="C28">
        <v>2035</v>
      </c>
      <c r="D28">
        <v>169</v>
      </c>
      <c r="E28">
        <v>116.51</v>
      </c>
      <c r="F28">
        <v>97.48</v>
      </c>
      <c r="G28">
        <v>86.9</v>
      </c>
      <c r="H28">
        <v>29.81</v>
      </c>
      <c r="I28">
        <v>960.63</v>
      </c>
      <c r="J28">
        <v>69.64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104</v>
      </c>
      <c r="C29">
        <v>2040</v>
      </c>
      <c r="D29">
        <v>192</v>
      </c>
      <c r="E29">
        <v>156.22</v>
      </c>
      <c r="F29">
        <v>128.69</v>
      </c>
      <c r="G29">
        <v>109.62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104</v>
      </c>
      <c r="C30">
        <v>2045</v>
      </c>
      <c r="D30">
        <v>169</v>
      </c>
      <c r="E30">
        <v>200.44</v>
      </c>
      <c r="F30">
        <v>171.28</v>
      </c>
      <c r="G30">
        <v>143.47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104</v>
      </c>
      <c r="C31">
        <v>2050</v>
      </c>
      <c r="D31">
        <v>192</v>
      </c>
      <c r="E31">
        <v>240.71</v>
      </c>
      <c r="F31">
        <v>208.73</v>
      </c>
      <c r="G31">
        <v>125.2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104</v>
      </c>
      <c r="C32">
        <v>2020</v>
      </c>
      <c r="D32">
        <v>74</v>
      </c>
      <c r="E32">
        <v>1.9</v>
      </c>
      <c r="F32">
        <v>0</v>
      </c>
      <c r="G32">
        <v>3.42</v>
      </c>
      <c r="H32">
        <v>0</v>
      </c>
      <c r="I32">
        <v>14.45</v>
      </c>
      <c r="J32">
        <v>0</v>
      </c>
      <c r="K32">
        <v>4.8499999999999996</v>
      </c>
      <c r="L32" t="s">
        <v>8</v>
      </c>
      <c r="M32" t="s">
        <v>25</v>
      </c>
    </row>
    <row r="33" spans="1:13" x14ac:dyDescent="0.45">
      <c r="A33" t="s">
        <v>7</v>
      </c>
      <c r="B33" t="s">
        <v>104</v>
      </c>
      <c r="C33">
        <v>2025</v>
      </c>
      <c r="D33">
        <v>68</v>
      </c>
      <c r="E33">
        <v>10.97</v>
      </c>
      <c r="F33">
        <v>4.67</v>
      </c>
      <c r="G33">
        <v>13.26</v>
      </c>
      <c r="H33">
        <v>0</v>
      </c>
      <c r="I33">
        <v>48.97</v>
      </c>
      <c r="J33">
        <v>0</v>
      </c>
      <c r="K33">
        <v>19.61</v>
      </c>
      <c r="L33" t="s">
        <v>8</v>
      </c>
      <c r="M33" t="s">
        <v>25</v>
      </c>
    </row>
    <row r="34" spans="1:13" x14ac:dyDescent="0.45">
      <c r="A34" t="s">
        <v>7</v>
      </c>
      <c r="B34" t="s">
        <v>104</v>
      </c>
      <c r="C34">
        <v>2030</v>
      </c>
      <c r="D34">
        <v>74</v>
      </c>
      <c r="E34">
        <v>19.46</v>
      </c>
      <c r="F34">
        <v>12.91</v>
      </c>
      <c r="G34">
        <v>22.41</v>
      </c>
      <c r="H34">
        <v>0</v>
      </c>
      <c r="I34">
        <v>82.5</v>
      </c>
      <c r="J34">
        <v>0</v>
      </c>
      <c r="K34">
        <v>32.54</v>
      </c>
      <c r="L34" t="s">
        <v>8</v>
      </c>
      <c r="M34" t="s">
        <v>25</v>
      </c>
    </row>
    <row r="35" spans="1:13" x14ac:dyDescent="0.45">
      <c r="A35" t="s">
        <v>7</v>
      </c>
      <c r="B35" t="s">
        <v>104</v>
      </c>
      <c r="C35">
        <v>2035</v>
      </c>
      <c r="D35">
        <v>68</v>
      </c>
      <c r="E35">
        <v>61.54</v>
      </c>
      <c r="F35">
        <v>52.06</v>
      </c>
      <c r="G35">
        <v>29.84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104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104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104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104</v>
      </c>
      <c r="C39">
        <v>2020</v>
      </c>
      <c r="D39">
        <v>57</v>
      </c>
      <c r="E39">
        <v>0.68</v>
      </c>
      <c r="F39">
        <v>0</v>
      </c>
      <c r="G39">
        <v>1.9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45">
      <c r="A40" t="s">
        <v>9</v>
      </c>
      <c r="B40" t="s">
        <v>104</v>
      </c>
      <c r="C40">
        <v>2025</v>
      </c>
      <c r="D40">
        <v>52</v>
      </c>
      <c r="E40">
        <v>0.2</v>
      </c>
      <c r="F40">
        <v>0</v>
      </c>
      <c r="G40">
        <v>0.61</v>
      </c>
      <c r="H40">
        <v>0</v>
      </c>
      <c r="I40">
        <v>4.24</v>
      </c>
      <c r="J40">
        <v>0</v>
      </c>
      <c r="K40">
        <v>0.26</v>
      </c>
      <c r="L40" t="s">
        <v>10</v>
      </c>
      <c r="M40" t="s">
        <v>25</v>
      </c>
    </row>
    <row r="41" spans="1:13" x14ac:dyDescent="0.45">
      <c r="A41" t="s">
        <v>9</v>
      </c>
      <c r="B41" t="s">
        <v>104</v>
      </c>
      <c r="C41">
        <v>2030</v>
      </c>
      <c r="D41">
        <v>57</v>
      </c>
      <c r="E41">
        <v>0.88</v>
      </c>
      <c r="F41">
        <v>0</v>
      </c>
      <c r="G41">
        <v>2.84</v>
      </c>
      <c r="H41">
        <v>0</v>
      </c>
      <c r="I41">
        <v>17.87</v>
      </c>
      <c r="J41">
        <v>0</v>
      </c>
      <c r="K41">
        <v>0.63</v>
      </c>
      <c r="L41" t="s">
        <v>10</v>
      </c>
      <c r="M41" t="s">
        <v>25</v>
      </c>
    </row>
    <row r="42" spans="1:13" x14ac:dyDescent="0.45">
      <c r="A42" t="s">
        <v>9</v>
      </c>
      <c r="B42" t="s">
        <v>104</v>
      </c>
      <c r="C42">
        <v>2035</v>
      </c>
      <c r="D42">
        <v>52</v>
      </c>
      <c r="E42">
        <v>0.48</v>
      </c>
      <c r="F42">
        <v>0</v>
      </c>
      <c r="G42">
        <v>0.6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45">
      <c r="A43" t="s">
        <v>9</v>
      </c>
      <c r="B43" t="s">
        <v>104</v>
      </c>
      <c r="C43">
        <v>2040</v>
      </c>
      <c r="D43">
        <v>57</v>
      </c>
      <c r="E43">
        <v>0.6</v>
      </c>
      <c r="F43">
        <v>0</v>
      </c>
      <c r="G43">
        <v>0.82</v>
      </c>
      <c r="H43">
        <v>0</v>
      </c>
      <c r="I43">
        <v>2.48</v>
      </c>
      <c r="J43">
        <v>0</v>
      </c>
      <c r="K43">
        <v>1.54</v>
      </c>
      <c r="L43" t="s">
        <v>10</v>
      </c>
      <c r="M43" t="s">
        <v>25</v>
      </c>
    </row>
    <row r="44" spans="1:13" x14ac:dyDescent="0.45">
      <c r="A44" t="s">
        <v>9</v>
      </c>
      <c r="B44" t="s">
        <v>104</v>
      </c>
      <c r="C44">
        <v>2045</v>
      </c>
      <c r="D44">
        <v>52</v>
      </c>
      <c r="E44">
        <v>0.86</v>
      </c>
      <c r="F44">
        <v>0</v>
      </c>
      <c r="G44">
        <v>1.1000000000000001</v>
      </c>
      <c r="H44">
        <v>0</v>
      </c>
      <c r="I44">
        <v>3.73</v>
      </c>
      <c r="J44">
        <v>0</v>
      </c>
      <c r="K44">
        <v>2.08</v>
      </c>
      <c r="L44" t="s">
        <v>10</v>
      </c>
      <c r="M44" t="s">
        <v>25</v>
      </c>
    </row>
    <row r="45" spans="1:13" x14ac:dyDescent="0.45">
      <c r="A45" t="s">
        <v>9</v>
      </c>
      <c r="B45" t="s">
        <v>104</v>
      </c>
      <c r="C45">
        <v>2050</v>
      </c>
      <c r="D45">
        <v>57</v>
      </c>
      <c r="E45">
        <v>0.98</v>
      </c>
      <c r="F45">
        <v>0</v>
      </c>
      <c r="G45">
        <v>1.37</v>
      </c>
      <c r="H45">
        <v>0</v>
      </c>
      <c r="I45">
        <v>4.97</v>
      </c>
      <c r="J45">
        <v>0</v>
      </c>
      <c r="K45">
        <v>2.68</v>
      </c>
      <c r="L45" t="s">
        <v>10</v>
      </c>
      <c r="M45" t="s">
        <v>25</v>
      </c>
    </row>
    <row r="46" spans="1:13" x14ac:dyDescent="0.45">
      <c r="A46" t="s">
        <v>0</v>
      </c>
      <c r="B46" t="s">
        <v>104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104</v>
      </c>
      <c r="C47">
        <v>2025</v>
      </c>
      <c r="D47">
        <v>64</v>
      </c>
      <c r="E47">
        <v>1.0900000000000001</v>
      </c>
      <c r="F47">
        <v>1.1200000000000001</v>
      </c>
      <c r="G47">
        <v>0.16</v>
      </c>
      <c r="H47">
        <v>0.64</v>
      </c>
      <c r="I47">
        <v>1.48</v>
      </c>
      <c r="J47">
        <v>1.08</v>
      </c>
      <c r="K47">
        <v>1.1499999999999999</v>
      </c>
      <c r="L47" t="s">
        <v>1</v>
      </c>
      <c r="M47" t="s">
        <v>11</v>
      </c>
    </row>
    <row r="48" spans="1:13" x14ac:dyDescent="0.45">
      <c r="A48" t="s">
        <v>0</v>
      </c>
      <c r="B48" t="s">
        <v>104</v>
      </c>
      <c r="C48">
        <v>2030</v>
      </c>
      <c r="D48">
        <v>64</v>
      </c>
      <c r="E48">
        <v>1.33</v>
      </c>
      <c r="F48">
        <v>1.35</v>
      </c>
      <c r="G48">
        <v>0.24</v>
      </c>
      <c r="H48">
        <v>0.86</v>
      </c>
      <c r="I48">
        <v>2.25</v>
      </c>
      <c r="J48">
        <v>1.2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104</v>
      </c>
      <c r="C49">
        <v>2035</v>
      </c>
      <c r="D49">
        <v>64</v>
      </c>
      <c r="E49">
        <v>1.57</v>
      </c>
      <c r="F49">
        <v>1.56</v>
      </c>
      <c r="G49">
        <v>0.27</v>
      </c>
      <c r="H49">
        <v>1.17</v>
      </c>
      <c r="I49">
        <v>2.56</v>
      </c>
      <c r="J49">
        <v>1.38</v>
      </c>
      <c r="K49">
        <v>1.67</v>
      </c>
      <c r="L49" t="s">
        <v>1</v>
      </c>
      <c r="M49" t="s">
        <v>11</v>
      </c>
    </row>
    <row r="50" spans="1:13" x14ac:dyDescent="0.45">
      <c r="A50" t="s">
        <v>0</v>
      </c>
      <c r="B50" t="s">
        <v>104</v>
      </c>
      <c r="C50">
        <v>2040</v>
      </c>
      <c r="D50">
        <v>64</v>
      </c>
      <c r="E50">
        <v>1.75</v>
      </c>
      <c r="F50">
        <v>1.69</v>
      </c>
      <c r="G50">
        <v>0.28999999999999998</v>
      </c>
      <c r="H50">
        <v>1.38</v>
      </c>
      <c r="I50">
        <v>2.65</v>
      </c>
      <c r="J50">
        <v>1.56</v>
      </c>
      <c r="K50">
        <v>1.84</v>
      </c>
      <c r="L50" t="s">
        <v>1</v>
      </c>
      <c r="M50" t="s">
        <v>11</v>
      </c>
    </row>
    <row r="51" spans="1:13" x14ac:dyDescent="0.45">
      <c r="A51" t="s">
        <v>0</v>
      </c>
      <c r="B51" t="s">
        <v>104</v>
      </c>
      <c r="C51">
        <v>2045</v>
      </c>
      <c r="D51">
        <v>64</v>
      </c>
      <c r="E51">
        <v>1.88</v>
      </c>
      <c r="F51">
        <v>1.82</v>
      </c>
      <c r="G51">
        <v>0.33</v>
      </c>
      <c r="H51">
        <v>1.38</v>
      </c>
      <c r="I51">
        <v>2.73</v>
      </c>
      <c r="J51">
        <v>1.64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104</v>
      </c>
      <c r="C52">
        <v>2050</v>
      </c>
      <c r="D52">
        <v>64</v>
      </c>
      <c r="E52">
        <v>1.98</v>
      </c>
      <c r="F52">
        <v>1.9</v>
      </c>
      <c r="G52">
        <v>0.38</v>
      </c>
      <c r="H52">
        <v>1.37</v>
      </c>
      <c r="I52">
        <v>2.76</v>
      </c>
      <c r="J52">
        <v>1.69</v>
      </c>
      <c r="K52">
        <v>2.15</v>
      </c>
      <c r="L52" t="s">
        <v>1</v>
      </c>
      <c r="M52" t="s">
        <v>11</v>
      </c>
    </row>
    <row r="53" spans="1:13" x14ac:dyDescent="0.45">
      <c r="A53" t="s">
        <v>2</v>
      </c>
      <c r="B53" t="s">
        <v>104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104</v>
      </c>
      <c r="C54">
        <v>2025</v>
      </c>
      <c r="D54">
        <v>89</v>
      </c>
      <c r="E54">
        <v>1.1399999999999999</v>
      </c>
      <c r="F54">
        <v>1.17</v>
      </c>
      <c r="G54">
        <v>0.11</v>
      </c>
      <c r="H54">
        <v>0.87</v>
      </c>
      <c r="I54">
        <v>1.34</v>
      </c>
      <c r="J54">
        <v>1.05</v>
      </c>
      <c r="K54">
        <v>1.24</v>
      </c>
      <c r="L54" t="s">
        <v>3</v>
      </c>
      <c r="M54" t="s">
        <v>11</v>
      </c>
    </row>
    <row r="55" spans="1:13" x14ac:dyDescent="0.45">
      <c r="A55" t="s">
        <v>2</v>
      </c>
      <c r="B55" t="s">
        <v>104</v>
      </c>
      <c r="C55">
        <v>2030</v>
      </c>
      <c r="D55">
        <v>100</v>
      </c>
      <c r="E55">
        <v>1.35</v>
      </c>
      <c r="F55">
        <v>1.39</v>
      </c>
      <c r="G55">
        <v>0.17</v>
      </c>
      <c r="H55">
        <v>0.98</v>
      </c>
      <c r="I55">
        <v>1.77</v>
      </c>
      <c r="J55">
        <v>1.23</v>
      </c>
      <c r="K55">
        <v>1.47</v>
      </c>
      <c r="L55" t="s">
        <v>3</v>
      </c>
      <c r="M55" t="s">
        <v>11</v>
      </c>
    </row>
    <row r="56" spans="1:13" x14ac:dyDescent="0.45">
      <c r="A56" t="s">
        <v>2</v>
      </c>
      <c r="B56" t="s">
        <v>104</v>
      </c>
      <c r="C56">
        <v>2035</v>
      </c>
      <c r="D56">
        <v>89</v>
      </c>
      <c r="E56">
        <v>1.51</v>
      </c>
      <c r="F56">
        <v>1.59</v>
      </c>
      <c r="G56">
        <v>0.22</v>
      </c>
      <c r="H56">
        <v>1.05</v>
      </c>
      <c r="I56">
        <v>2.12</v>
      </c>
      <c r="J56">
        <v>1.32</v>
      </c>
      <c r="K56">
        <v>1.66</v>
      </c>
      <c r="L56" t="s">
        <v>3</v>
      </c>
      <c r="M56" t="s">
        <v>11</v>
      </c>
    </row>
    <row r="57" spans="1:13" x14ac:dyDescent="0.45">
      <c r="A57" t="s">
        <v>2</v>
      </c>
      <c r="B57" t="s">
        <v>104</v>
      </c>
      <c r="C57">
        <v>2040</v>
      </c>
      <c r="D57">
        <v>100</v>
      </c>
      <c r="E57">
        <v>1.74</v>
      </c>
      <c r="F57">
        <v>1.75</v>
      </c>
      <c r="G57">
        <v>0.28000000000000003</v>
      </c>
      <c r="H57">
        <v>1.28</v>
      </c>
      <c r="I57">
        <v>2.38</v>
      </c>
      <c r="J57">
        <v>1.48</v>
      </c>
      <c r="K57">
        <v>1.95</v>
      </c>
      <c r="L57" t="s">
        <v>3</v>
      </c>
      <c r="M57" t="s">
        <v>11</v>
      </c>
    </row>
    <row r="58" spans="1:13" x14ac:dyDescent="0.45">
      <c r="A58" t="s">
        <v>2</v>
      </c>
      <c r="B58" t="s">
        <v>104</v>
      </c>
      <c r="C58">
        <v>2045</v>
      </c>
      <c r="D58">
        <v>89</v>
      </c>
      <c r="E58">
        <v>1.85</v>
      </c>
      <c r="F58">
        <v>1.79</v>
      </c>
      <c r="G58">
        <v>0.28000000000000003</v>
      </c>
      <c r="H58">
        <v>1.41</v>
      </c>
      <c r="I58">
        <v>2.4</v>
      </c>
      <c r="J58">
        <v>1.6</v>
      </c>
      <c r="K58">
        <v>2.14</v>
      </c>
      <c r="L58" t="s">
        <v>3</v>
      </c>
      <c r="M58" t="s">
        <v>11</v>
      </c>
    </row>
    <row r="59" spans="1:13" x14ac:dyDescent="0.45">
      <c r="A59" t="s">
        <v>2</v>
      </c>
      <c r="B59" t="s">
        <v>104</v>
      </c>
      <c r="C59">
        <v>2050</v>
      </c>
      <c r="D59">
        <v>100</v>
      </c>
      <c r="E59">
        <v>2.06</v>
      </c>
      <c r="F59">
        <v>1.97</v>
      </c>
      <c r="G59">
        <v>0.37</v>
      </c>
      <c r="H59">
        <v>1.53</v>
      </c>
      <c r="I59">
        <v>2.95</v>
      </c>
      <c r="J59">
        <v>1.75</v>
      </c>
      <c r="K59">
        <v>2.34</v>
      </c>
      <c r="L59" t="s">
        <v>3</v>
      </c>
      <c r="M59" t="s">
        <v>11</v>
      </c>
    </row>
    <row r="60" spans="1:13" x14ac:dyDescent="0.45">
      <c r="A60" t="s">
        <v>5</v>
      </c>
      <c r="B60" t="s">
        <v>104</v>
      </c>
      <c r="C60">
        <v>2020</v>
      </c>
      <c r="D60">
        <v>235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104</v>
      </c>
      <c r="C61">
        <v>2025</v>
      </c>
      <c r="D61">
        <v>212</v>
      </c>
      <c r="E61">
        <v>1.1399999999999999</v>
      </c>
      <c r="F61">
        <v>1.18</v>
      </c>
      <c r="G61">
        <v>0.16</v>
      </c>
      <c r="H61">
        <v>0.66</v>
      </c>
      <c r="I61">
        <v>1.36</v>
      </c>
      <c r="J61">
        <v>1.06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104</v>
      </c>
      <c r="C62">
        <v>2030</v>
      </c>
      <c r="D62">
        <v>235</v>
      </c>
      <c r="E62">
        <v>1.3</v>
      </c>
      <c r="F62">
        <v>1.35</v>
      </c>
      <c r="G62">
        <v>0.2</v>
      </c>
      <c r="H62">
        <v>0.86</v>
      </c>
      <c r="I62">
        <v>1.8</v>
      </c>
      <c r="J62">
        <v>1.18</v>
      </c>
      <c r="K62">
        <v>1.44</v>
      </c>
      <c r="L62" t="s">
        <v>6</v>
      </c>
      <c r="M62" t="s">
        <v>11</v>
      </c>
    </row>
    <row r="63" spans="1:13" x14ac:dyDescent="0.45">
      <c r="A63" t="s">
        <v>5</v>
      </c>
      <c r="B63" t="s">
        <v>104</v>
      </c>
      <c r="C63">
        <v>2035</v>
      </c>
      <c r="D63">
        <v>212</v>
      </c>
      <c r="E63">
        <v>1.43</v>
      </c>
      <c r="F63">
        <v>1.52</v>
      </c>
      <c r="G63">
        <v>0.26</v>
      </c>
      <c r="H63">
        <v>0.9</v>
      </c>
      <c r="I63">
        <v>2.35</v>
      </c>
      <c r="J63">
        <v>1.1599999999999999</v>
      </c>
      <c r="K63">
        <v>1.62</v>
      </c>
      <c r="L63" t="s">
        <v>6</v>
      </c>
      <c r="M63" t="s">
        <v>11</v>
      </c>
    </row>
    <row r="64" spans="1:13" x14ac:dyDescent="0.45">
      <c r="A64" t="s">
        <v>5</v>
      </c>
      <c r="B64" t="s">
        <v>104</v>
      </c>
      <c r="C64">
        <v>2040</v>
      </c>
      <c r="D64">
        <v>235</v>
      </c>
      <c r="E64">
        <v>1.6</v>
      </c>
      <c r="F64">
        <v>1.62</v>
      </c>
      <c r="G64">
        <v>0.27</v>
      </c>
      <c r="H64">
        <v>1.06</v>
      </c>
      <c r="I64">
        <v>2.4300000000000002</v>
      </c>
      <c r="J64">
        <v>1.39</v>
      </c>
      <c r="K64">
        <v>1.79</v>
      </c>
      <c r="L64" t="s">
        <v>6</v>
      </c>
      <c r="M64" t="s">
        <v>11</v>
      </c>
    </row>
    <row r="65" spans="1:13" x14ac:dyDescent="0.45">
      <c r="A65" t="s">
        <v>5</v>
      </c>
      <c r="B65" t="s">
        <v>104</v>
      </c>
      <c r="C65">
        <v>2045</v>
      </c>
      <c r="D65">
        <v>212</v>
      </c>
      <c r="E65">
        <v>1.78</v>
      </c>
      <c r="F65">
        <v>1.81</v>
      </c>
      <c r="G65">
        <v>0.28000000000000003</v>
      </c>
      <c r="H65">
        <v>1.1200000000000001</v>
      </c>
      <c r="I65">
        <v>2.52</v>
      </c>
      <c r="J65">
        <v>1.56</v>
      </c>
      <c r="K65">
        <v>1.93</v>
      </c>
      <c r="L65" t="s">
        <v>6</v>
      </c>
      <c r="M65" t="s">
        <v>11</v>
      </c>
    </row>
    <row r="66" spans="1:13" x14ac:dyDescent="0.45">
      <c r="A66" t="s">
        <v>5</v>
      </c>
      <c r="B66" t="s">
        <v>104</v>
      </c>
      <c r="C66">
        <v>2050</v>
      </c>
      <c r="D66">
        <v>235</v>
      </c>
      <c r="E66">
        <v>1.91</v>
      </c>
      <c r="F66">
        <v>1.93</v>
      </c>
      <c r="G66">
        <v>0.32</v>
      </c>
      <c r="H66">
        <v>1.18</v>
      </c>
      <c r="I66">
        <v>2.67</v>
      </c>
      <c r="J66">
        <v>1.65</v>
      </c>
      <c r="K66">
        <v>2.08</v>
      </c>
      <c r="L66" t="s">
        <v>6</v>
      </c>
      <c r="M66" t="s">
        <v>11</v>
      </c>
    </row>
    <row r="67" spans="1:13" x14ac:dyDescent="0.45">
      <c r="A67" t="s">
        <v>7</v>
      </c>
      <c r="B67" t="s">
        <v>104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104</v>
      </c>
      <c r="C68">
        <v>2025</v>
      </c>
      <c r="D68">
        <v>96</v>
      </c>
      <c r="E68">
        <v>1.1200000000000001</v>
      </c>
      <c r="F68">
        <v>1.17</v>
      </c>
      <c r="G68">
        <v>0.16</v>
      </c>
      <c r="H68">
        <v>0.8</v>
      </c>
      <c r="I68">
        <v>1.5</v>
      </c>
      <c r="J68">
        <v>1.04</v>
      </c>
      <c r="K68">
        <v>1.23</v>
      </c>
      <c r="L68" t="s">
        <v>8</v>
      </c>
      <c r="M68" t="s">
        <v>11</v>
      </c>
    </row>
    <row r="69" spans="1:13" x14ac:dyDescent="0.45">
      <c r="A69" t="s">
        <v>7</v>
      </c>
      <c r="B69" t="s">
        <v>104</v>
      </c>
      <c r="C69">
        <v>2030</v>
      </c>
      <c r="D69">
        <v>102</v>
      </c>
      <c r="E69">
        <v>1.25</v>
      </c>
      <c r="F69">
        <v>1.25</v>
      </c>
      <c r="G69">
        <v>0.18</v>
      </c>
      <c r="H69">
        <v>0.89</v>
      </c>
      <c r="I69">
        <v>1.7</v>
      </c>
      <c r="J69">
        <v>1.1299999999999999</v>
      </c>
      <c r="K69">
        <v>1.38</v>
      </c>
      <c r="L69" t="s">
        <v>8</v>
      </c>
      <c r="M69" t="s">
        <v>11</v>
      </c>
    </row>
    <row r="70" spans="1:13" x14ac:dyDescent="0.45">
      <c r="A70" t="s">
        <v>7</v>
      </c>
      <c r="B70" t="s">
        <v>104</v>
      </c>
      <c r="C70">
        <v>2035</v>
      </c>
      <c r="D70">
        <v>96</v>
      </c>
      <c r="E70">
        <v>1.33</v>
      </c>
      <c r="F70">
        <v>1.29</v>
      </c>
      <c r="G70">
        <v>0.21</v>
      </c>
      <c r="H70">
        <v>1.01</v>
      </c>
      <c r="I70">
        <v>1.93</v>
      </c>
      <c r="J70">
        <v>1.17</v>
      </c>
      <c r="K70">
        <v>1.52</v>
      </c>
      <c r="L70" t="s">
        <v>8</v>
      </c>
      <c r="M70" t="s">
        <v>11</v>
      </c>
    </row>
    <row r="71" spans="1:13" x14ac:dyDescent="0.45">
      <c r="A71" t="s">
        <v>7</v>
      </c>
      <c r="B71" t="s">
        <v>104</v>
      </c>
      <c r="C71">
        <v>2040</v>
      </c>
      <c r="D71">
        <v>102</v>
      </c>
      <c r="E71">
        <v>1.46</v>
      </c>
      <c r="F71">
        <v>1.4</v>
      </c>
      <c r="G71">
        <v>0.25</v>
      </c>
      <c r="H71">
        <v>1.0900000000000001</v>
      </c>
      <c r="I71">
        <v>2.1800000000000002</v>
      </c>
      <c r="J71">
        <v>1.27</v>
      </c>
      <c r="K71">
        <v>1.68</v>
      </c>
      <c r="L71" t="s">
        <v>8</v>
      </c>
      <c r="M71" t="s">
        <v>11</v>
      </c>
    </row>
    <row r="72" spans="1:13" x14ac:dyDescent="0.45">
      <c r="A72" t="s">
        <v>7</v>
      </c>
      <c r="B72" t="s">
        <v>104</v>
      </c>
      <c r="C72">
        <v>2045</v>
      </c>
      <c r="D72">
        <v>96</v>
      </c>
      <c r="E72">
        <v>1.61</v>
      </c>
      <c r="F72">
        <v>1.54</v>
      </c>
      <c r="G72">
        <v>0.31</v>
      </c>
      <c r="H72">
        <v>1.1000000000000001</v>
      </c>
      <c r="I72">
        <v>2.38</v>
      </c>
      <c r="J72">
        <v>1.35</v>
      </c>
      <c r="K72">
        <v>1.85</v>
      </c>
      <c r="L72" t="s">
        <v>8</v>
      </c>
      <c r="M72" t="s">
        <v>11</v>
      </c>
    </row>
    <row r="73" spans="1:13" x14ac:dyDescent="0.45">
      <c r="A73" t="s">
        <v>7</v>
      </c>
      <c r="B73" t="s">
        <v>104</v>
      </c>
      <c r="C73">
        <v>2050</v>
      </c>
      <c r="D73">
        <v>102</v>
      </c>
      <c r="E73">
        <v>1.75</v>
      </c>
      <c r="F73">
        <v>1.66</v>
      </c>
      <c r="G73">
        <v>0.34</v>
      </c>
      <c r="H73">
        <v>1.1000000000000001</v>
      </c>
      <c r="I73">
        <v>2.57</v>
      </c>
      <c r="J73">
        <v>1.48</v>
      </c>
      <c r="K73">
        <v>2</v>
      </c>
      <c r="L73" t="s">
        <v>8</v>
      </c>
      <c r="M73" t="s">
        <v>11</v>
      </c>
    </row>
    <row r="74" spans="1:13" x14ac:dyDescent="0.45">
      <c r="A74" t="s">
        <v>9</v>
      </c>
      <c r="B74" t="s">
        <v>104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104</v>
      </c>
      <c r="C75">
        <v>2025</v>
      </c>
      <c r="D75">
        <v>59</v>
      </c>
      <c r="E75">
        <v>1.2</v>
      </c>
      <c r="F75">
        <v>1.23</v>
      </c>
      <c r="G75">
        <v>0.09</v>
      </c>
      <c r="H75">
        <v>0.87</v>
      </c>
      <c r="I75">
        <v>1.39</v>
      </c>
      <c r="J75">
        <v>1.17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104</v>
      </c>
      <c r="C76">
        <v>2030</v>
      </c>
      <c r="D76">
        <v>64</v>
      </c>
      <c r="E76">
        <v>1.4</v>
      </c>
      <c r="F76">
        <v>1.42</v>
      </c>
      <c r="G76">
        <v>0.15</v>
      </c>
      <c r="H76">
        <v>0.98</v>
      </c>
      <c r="I76">
        <v>1.87</v>
      </c>
      <c r="J76">
        <v>1.33</v>
      </c>
      <c r="K76">
        <v>1.48</v>
      </c>
      <c r="L76" t="s">
        <v>10</v>
      </c>
      <c r="M76" t="s">
        <v>11</v>
      </c>
    </row>
    <row r="77" spans="1:13" x14ac:dyDescent="0.45">
      <c r="A77" t="s">
        <v>9</v>
      </c>
      <c r="B77" t="s">
        <v>104</v>
      </c>
      <c r="C77">
        <v>2035</v>
      </c>
      <c r="D77">
        <v>59</v>
      </c>
      <c r="E77">
        <v>1.57</v>
      </c>
      <c r="F77">
        <v>1.6</v>
      </c>
      <c r="G77">
        <v>0.2</v>
      </c>
      <c r="H77">
        <v>1.07</v>
      </c>
      <c r="I77">
        <v>2.2999999999999998</v>
      </c>
      <c r="J77">
        <v>1.49</v>
      </c>
      <c r="K77">
        <v>1.69</v>
      </c>
      <c r="L77" t="s">
        <v>10</v>
      </c>
      <c r="M77" t="s">
        <v>11</v>
      </c>
    </row>
    <row r="78" spans="1:13" x14ac:dyDescent="0.45">
      <c r="A78" t="s">
        <v>9</v>
      </c>
      <c r="B78" t="s">
        <v>104</v>
      </c>
      <c r="C78">
        <v>2040</v>
      </c>
      <c r="D78">
        <v>64</v>
      </c>
      <c r="E78">
        <v>1.66</v>
      </c>
      <c r="F78">
        <v>1.67</v>
      </c>
      <c r="G78">
        <v>0.24</v>
      </c>
      <c r="H78">
        <v>1.1200000000000001</v>
      </c>
      <c r="I78">
        <v>2.44</v>
      </c>
      <c r="J78">
        <v>1.5</v>
      </c>
      <c r="K78">
        <v>1.82</v>
      </c>
      <c r="L78" t="s">
        <v>10</v>
      </c>
      <c r="M78" t="s">
        <v>11</v>
      </c>
    </row>
    <row r="79" spans="1:13" x14ac:dyDescent="0.45">
      <c r="A79" t="s">
        <v>9</v>
      </c>
      <c r="B79" t="s">
        <v>104</v>
      </c>
      <c r="C79">
        <v>2045</v>
      </c>
      <c r="D79">
        <v>59</v>
      </c>
      <c r="E79">
        <v>1.78</v>
      </c>
      <c r="F79">
        <v>1.76</v>
      </c>
      <c r="G79">
        <v>0.27</v>
      </c>
      <c r="H79">
        <v>1.17</v>
      </c>
      <c r="I79">
        <v>2.46</v>
      </c>
      <c r="J79">
        <v>1.67</v>
      </c>
      <c r="K79">
        <v>2.0099999999999998</v>
      </c>
      <c r="L79" t="s">
        <v>10</v>
      </c>
      <c r="M79" t="s">
        <v>11</v>
      </c>
    </row>
    <row r="80" spans="1:13" x14ac:dyDescent="0.45">
      <c r="A80" t="s">
        <v>9</v>
      </c>
      <c r="B80" t="s">
        <v>104</v>
      </c>
      <c r="C80">
        <v>2050</v>
      </c>
      <c r="D80">
        <v>64</v>
      </c>
      <c r="E80">
        <v>1.82</v>
      </c>
      <c r="F80">
        <v>1.8</v>
      </c>
      <c r="G80">
        <v>0.31</v>
      </c>
      <c r="H80">
        <v>1.27</v>
      </c>
      <c r="I80">
        <v>2.5</v>
      </c>
      <c r="J80">
        <v>1.57</v>
      </c>
      <c r="K80">
        <v>2.0699999999999998</v>
      </c>
      <c r="L80" t="s">
        <v>10</v>
      </c>
      <c r="M80" t="s">
        <v>11</v>
      </c>
    </row>
    <row r="81" spans="1:13" x14ac:dyDescent="0.45">
      <c r="A81" t="s">
        <v>0</v>
      </c>
      <c r="B81" t="s">
        <v>104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93</v>
      </c>
    </row>
    <row r="82" spans="1:13" x14ac:dyDescent="0.45">
      <c r="A82" t="s">
        <v>0</v>
      </c>
      <c r="B82" t="s">
        <v>104</v>
      </c>
      <c r="C82">
        <v>2025</v>
      </c>
      <c r="D82">
        <v>58</v>
      </c>
      <c r="E82">
        <v>1.03</v>
      </c>
      <c r="F82">
        <v>1.08</v>
      </c>
      <c r="G82">
        <v>0.15</v>
      </c>
      <c r="H82">
        <v>0.66</v>
      </c>
      <c r="I82">
        <v>1.29</v>
      </c>
      <c r="J82">
        <v>0.95</v>
      </c>
      <c r="K82">
        <v>1.1299999999999999</v>
      </c>
      <c r="L82" t="s">
        <v>1</v>
      </c>
      <c r="M82" t="s">
        <v>93</v>
      </c>
    </row>
    <row r="83" spans="1:13" x14ac:dyDescent="0.45">
      <c r="A83" t="s">
        <v>0</v>
      </c>
      <c r="B83" t="s">
        <v>104</v>
      </c>
      <c r="C83">
        <v>2030</v>
      </c>
      <c r="D83">
        <v>58</v>
      </c>
      <c r="E83">
        <v>1.07</v>
      </c>
      <c r="F83">
        <v>1.17</v>
      </c>
      <c r="G83">
        <v>0.28999999999999998</v>
      </c>
      <c r="H83">
        <v>0.23</v>
      </c>
      <c r="I83">
        <v>1.6</v>
      </c>
      <c r="J83">
        <v>0.78</v>
      </c>
      <c r="K83">
        <v>1.26</v>
      </c>
      <c r="L83" t="s">
        <v>1</v>
      </c>
      <c r="M83" t="s">
        <v>93</v>
      </c>
    </row>
    <row r="84" spans="1:13" x14ac:dyDescent="0.45">
      <c r="A84" t="s">
        <v>0</v>
      </c>
      <c r="B84" t="s">
        <v>104</v>
      </c>
      <c r="C84">
        <v>2035</v>
      </c>
      <c r="D84">
        <v>58</v>
      </c>
      <c r="E84">
        <v>1.05</v>
      </c>
      <c r="F84">
        <v>1.18</v>
      </c>
      <c r="G84">
        <v>0.34</v>
      </c>
      <c r="H84">
        <v>0.11</v>
      </c>
      <c r="I84">
        <v>1.86</v>
      </c>
      <c r="J84">
        <v>0.77</v>
      </c>
      <c r="K84">
        <v>1.27</v>
      </c>
      <c r="L84" t="s">
        <v>1</v>
      </c>
      <c r="M84" t="s">
        <v>93</v>
      </c>
    </row>
    <row r="85" spans="1:13" x14ac:dyDescent="0.45">
      <c r="A85" t="s">
        <v>0</v>
      </c>
      <c r="B85" t="s">
        <v>104</v>
      </c>
      <c r="C85">
        <v>2040</v>
      </c>
      <c r="D85">
        <v>58</v>
      </c>
      <c r="E85">
        <v>1.08</v>
      </c>
      <c r="F85">
        <v>1.1299999999999999</v>
      </c>
      <c r="G85">
        <v>0.38</v>
      </c>
      <c r="H85">
        <v>0.11</v>
      </c>
      <c r="I85">
        <v>2.09</v>
      </c>
      <c r="J85">
        <v>0.99</v>
      </c>
      <c r="K85">
        <v>1.27</v>
      </c>
      <c r="L85" t="s">
        <v>1</v>
      </c>
      <c r="M85" t="s">
        <v>93</v>
      </c>
    </row>
    <row r="86" spans="1:13" x14ac:dyDescent="0.45">
      <c r="A86" t="s">
        <v>0</v>
      </c>
      <c r="B86" t="s">
        <v>104</v>
      </c>
      <c r="C86">
        <v>2045</v>
      </c>
      <c r="D86">
        <v>58</v>
      </c>
      <c r="E86">
        <v>1.02</v>
      </c>
      <c r="F86">
        <v>1.08</v>
      </c>
      <c r="G86">
        <v>0.45</v>
      </c>
      <c r="H86">
        <v>0.08</v>
      </c>
      <c r="I86">
        <v>2.27</v>
      </c>
      <c r="J86">
        <v>0.75</v>
      </c>
      <c r="K86">
        <v>1.28</v>
      </c>
      <c r="L86" t="s">
        <v>1</v>
      </c>
      <c r="M86" t="s">
        <v>93</v>
      </c>
    </row>
    <row r="87" spans="1:13" x14ac:dyDescent="0.45">
      <c r="A87" t="s">
        <v>0</v>
      </c>
      <c r="B87" t="s">
        <v>104</v>
      </c>
      <c r="C87">
        <v>2050</v>
      </c>
      <c r="D87">
        <v>58</v>
      </c>
      <c r="E87">
        <v>0.93</v>
      </c>
      <c r="F87">
        <v>0.92</v>
      </c>
      <c r="G87">
        <v>0.49</v>
      </c>
      <c r="H87">
        <v>0.02</v>
      </c>
      <c r="I87">
        <v>2.38</v>
      </c>
      <c r="J87">
        <v>0.67</v>
      </c>
      <c r="K87">
        <v>1.27</v>
      </c>
      <c r="L87" t="s">
        <v>1</v>
      </c>
      <c r="M87" t="s">
        <v>93</v>
      </c>
    </row>
    <row r="88" spans="1:13" x14ac:dyDescent="0.45">
      <c r="A88" t="s">
        <v>2</v>
      </c>
      <c r="B88" t="s">
        <v>104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93</v>
      </c>
    </row>
    <row r="89" spans="1:13" x14ac:dyDescent="0.45">
      <c r="A89" t="s">
        <v>2</v>
      </c>
      <c r="B89" t="s">
        <v>104</v>
      </c>
      <c r="C89">
        <v>2025</v>
      </c>
      <c r="D89">
        <v>84</v>
      </c>
      <c r="E89">
        <v>1.1299999999999999</v>
      </c>
      <c r="F89">
        <v>1.17</v>
      </c>
      <c r="G89">
        <v>0.17</v>
      </c>
      <c r="H89">
        <v>0.67</v>
      </c>
      <c r="I89">
        <v>1.47</v>
      </c>
      <c r="J89">
        <v>1.08</v>
      </c>
      <c r="K89">
        <v>1.25</v>
      </c>
      <c r="L89" t="s">
        <v>3</v>
      </c>
      <c r="M89" t="s">
        <v>93</v>
      </c>
    </row>
    <row r="90" spans="1:13" x14ac:dyDescent="0.45">
      <c r="A90" t="s">
        <v>2</v>
      </c>
      <c r="B90" t="s">
        <v>104</v>
      </c>
      <c r="C90">
        <v>2030</v>
      </c>
      <c r="D90">
        <v>95</v>
      </c>
      <c r="E90">
        <v>1.24</v>
      </c>
      <c r="F90">
        <v>1.31</v>
      </c>
      <c r="G90">
        <v>0.3</v>
      </c>
      <c r="H90">
        <v>0.56000000000000005</v>
      </c>
      <c r="I90">
        <v>1.89</v>
      </c>
      <c r="J90">
        <v>1.03</v>
      </c>
      <c r="K90">
        <v>1.46</v>
      </c>
      <c r="L90" t="s">
        <v>3</v>
      </c>
      <c r="M90" t="s">
        <v>93</v>
      </c>
    </row>
    <row r="91" spans="1:13" x14ac:dyDescent="0.45">
      <c r="A91" t="s">
        <v>2</v>
      </c>
      <c r="B91" t="s">
        <v>104</v>
      </c>
      <c r="C91">
        <v>2035</v>
      </c>
      <c r="D91">
        <v>84</v>
      </c>
      <c r="E91">
        <v>1.18</v>
      </c>
      <c r="F91">
        <v>1.27</v>
      </c>
      <c r="G91">
        <v>0.35</v>
      </c>
      <c r="H91">
        <v>0.48</v>
      </c>
      <c r="I91">
        <v>1.95</v>
      </c>
      <c r="J91">
        <v>0.81</v>
      </c>
      <c r="K91">
        <v>1.42</v>
      </c>
      <c r="L91" t="s">
        <v>3</v>
      </c>
      <c r="M91" t="s">
        <v>93</v>
      </c>
    </row>
    <row r="92" spans="1:13" x14ac:dyDescent="0.45">
      <c r="A92" t="s">
        <v>2</v>
      </c>
      <c r="B92" t="s">
        <v>104</v>
      </c>
      <c r="C92">
        <v>2040</v>
      </c>
      <c r="D92">
        <v>95</v>
      </c>
      <c r="E92">
        <v>1.07</v>
      </c>
      <c r="F92">
        <v>1.1000000000000001</v>
      </c>
      <c r="G92">
        <v>0.34</v>
      </c>
      <c r="H92">
        <v>0.51</v>
      </c>
      <c r="I92">
        <v>1.98</v>
      </c>
      <c r="J92">
        <v>0.75</v>
      </c>
      <c r="K92">
        <v>1.33</v>
      </c>
      <c r="L92" t="s">
        <v>3</v>
      </c>
      <c r="M92" t="s">
        <v>93</v>
      </c>
    </row>
    <row r="93" spans="1:13" x14ac:dyDescent="0.45">
      <c r="A93" t="s">
        <v>2</v>
      </c>
      <c r="B93" t="s">
        <v>104</v>
      </c>
      <c r="C93">
        <v>2045</v>
      </c>
      <c r="D93">
        <v>84</v>
      </c>
      <c r="E93">
        <v>0.98</v>
      </c>
      <c r="F93">
        <v>0.99</v>
      </c>
      <c r="G93">
        <v>0.36</v>
      </c>
      <c r="H93">
        <v>0.32</v>
      </c>
      <c r="I93">
        <v>2.14</v>
      </c>
      <c r="J93">
        <v>0.71</v>
      </c>
      <c r="K93">
        <v>1.17</v>
      </c>
      <c r="L93" t="s">
        <v>3</v>
      </c>
      <c r="M93" t="s">
        <v>93</v>
      </c>
    </row>
    <row r="94" spans="1:13" x14ac:dyDescent="0.45">
      <c r="A94" t="s">
        <v>2</v>
      </c>
      <c r="B94" t="s">
        <v>104</v>
      </c>
      <c r="C94">
        <v>2050</v>
      </c>
      <c r="D94">
        <v>95</v>
      </c>
      <c r="E94">
        <v>0.85</v>
      </c>
      <c r="F94">
        <v>0.87</v>
      </c>
      <c r="G94">
        <v>0.42</v>
      </c>
      <c r="H94">
        <v>0.16</v>
      </c>
      <c r="I94">
        <v>2.31</v>
      </c>
      <c r="J94">
        <v>0.52</v>
      </c>
      <c r="K94">
        <v>1.07</v>
      </c>
      <c r="L94" t="s">
        <v>3</v>
      </c>
      <c r="M94" t="s">
        <v>93</v>
      </c>
    </row>
    <row r="95" spans="1:13" x14ac:dyDescent="0.45">
      <c r="A95" t="s">
        <v>5</v>
      </c>
      <c r="B95" t="s">
        <v>104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93</v>
      </c>
    </row>
    <row r="96" spans="1:13" x14ac:dyDescent="0.45">
      <c r="A96" t="s">
        <v>5</v>
      </c>
      <c r="B96" t="s">
        <v>104</v>
      </c>
      <c r="C96">
        <v>2025</v>
      </c>
      <c r="D96">
        <v>170</v>
      </c>
      <c r="E96">
        <v>1.1399999999999999</v>
      </c>
      <c r="F96">
        <v>1.18</v>
      </c>
      <c r="G96">
        <v>0.15</v>
      </c>
      <c r="H96">
        <v>0.78</v>
      </c>
      <c r="I96">
        <v>1.47</v>
      </c>
      <c r="J96">
        <v>1.1000000000000001</v>
      </c>
      <c r="K96">
        <v>1.25</v>
      </c>
      <c r="L96" t="s">
        <v>6</v>
      </c>
      <c r="M96" t="s">
        <v>93</v>
      </c>
    </row>
    <row r="97" spans="1:13" x14ac:dyDescent="0.45">
      <c r="A97" t="s">
        <v>5</v>
      </c>
      <c r="B97" t="s">
        <v>104</v>
      </c>
      <c r="C97">
        <v>2030</v>
      </c>
      <c r="D97">
        <v>193</v>
      </c>
      <c r="E97">
        <v>1.1299999999999999</v>
      </c>
      <c r="F97">
        <v>1.32</v>
      </c>
      <c r="G97">
        <v>0.45</v>
      </c>
      <c r="H97">
        <v>0</v>
      </c>
      <c r="I97">
        <v>1.88</v>
      </c>
      <c r="J97">
        <v>0.85</v>
      </c>
      <c r="K97">
        <v>1.45</v>
      </c>
      <c r="L97" t="s">
        <v>6</v>
      </c>
      <c r="M97" t="s">
        <v>93</v>
      </c>
    </row>
    <row r="98" spans="1:13" x14ac:dyDescent="0.45">
      <c r="A98" t="s">
        <v>5</v>
      </c>
      <c r="B98" t="s">
        <v>104</v>
      </c>
      <c r="C98">
        <v>2035</v>
      </c>
      <c r="D98">
        <v>170</v>
      </c>
      <c r="E98">
        <v>1.2</v>
      </c>
      <c r="F98">
        <v>1.28</v>
      </c>
      <c r="G98">
        <v>0.35</v>
      </c>
      <c r="H98">
        <v>0.25</v>
      </c>
      <c r="I98">
        <v>1.93</v>
      </c>
      <c r="J98">
        <v>0.86</v>
      </c>
      <c r="K98">
        <v>1.4</v>
      </c>
      <c r="L98" t="s">
        <v>6</v>
      </c>
      <c r="M98" t="s">
        <v>93</v>
      </c>
    </row>
    <row r="99" spans="1:13" x14ac:dyDescent="0.45">
      <c r="A99" t="s">
        <v>5</v>
      </c>
      <c r="B99" t="s">
        <v>104</v>
      </c>
      <c r="C99">
        <v>2040</v>
      </c>
      <c r="D99">
        <v>193</v>
      </c>
      <c r="E99">
        <v>1.02</v>
      </c>
      <c r="F99">
        <v>1.17</v>
      </c>
      <c r="G99">
        <v>0.48</v>
      </c>
      <c r="H99">
        <v>0</v>
      </c>
      <c r="I99">
        <v>2.02</v>
      </c>
      <c r="J99">
        <v>0.65</v>
      </c>
      <c r="K99">
        <v>1.29</v>
      </c>
      <c r="L99" t="s">
        <v>6</v>
      </c>
      <c r="M99" t="s">
        <v>93</v>
      </c>
    </row>
    <row r="100" spans="1:13" x14ac:dyDescent="0.45">
      <c r="A100" t="s">
        <v>5</v>
      </c>
      <c r="B100" t="s">
        <v>104</v>
      </c>
      <c r="C100">
        <v>2045</v>
      </c>
      <c r="D100">
        <v>170</v>
      </c>
      <c r="E100">
        <v>1.05</v>
      </c>
      <c r="F100">
        <v>1.1000000000000001</v>
      </c>
      <c r="G100">
        <v>0.41</v>
      </c>
      <c r="H100">
        <v>0.21</v>
      </c>
      <c r="I100">
        <v>2.21</v>
      </c>
      <c r="J100">
        <v>0.7</v>
      </c>
      <c r="K100">
        <v>1.22</v>
      </c>
      <c r="L100" t="s">
        <v>6</v>
      </c>
      <c r="M100" t="s">
        <v>93</v>
      </c>
    </row>
    <row r="101" spans="1:13" x14ac:dyDescent="0.45">
      <c r="A101" t="s">
        <v>5</v>
      </c>
      <c r="B101" t="s">
        <v>104</v>
      </c>
      <c r="C101">
        <v>2050</v>
      </c>
      <c r="D101">
        <v>193</v>
      </c>
      <c r="E101">
        <v>0.86</v>
      </c>
      <c r="F101">
        <v>0.95</v>
      </c>
      <c r="G101">
        <v>0.52</v>
      </c>
      <c r="H101">
        <v>0</v>
      </c>
      <c r="I101">
        <v>2.34</v>
      </c>
      <c r="J101">
        <v>0.5</v>
      </c>
      <c r="K101">
        <v>1.0900000000000001</v>
      </c>
      <c r="L101" t="s">
        <v>6</v>
      </c>
      <c r="M101" t="s">
        <v>93</v>
      </c>
    </row>
    <row r="102" spans="1:13" x14ac:dyDescent="0.45">
      <c r="A102" t="s">
        <v>7</v>
      </c>
      <c r="B102" t="s">
        <v>104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93</v>
      </c>
    </row>
    <row r="103" spans="1:13" x14ac:dyDescent="0.45">
      <c r="A103" t="s">
        <v>7</v>
      </c>
      <c r="B103" t="s">
        <v>104</v>
      </c>
      <c r="C103">
        <v>2025</v>
      </c>
      <c r="D103">
        <v>67</v>
      </c>
      <c r="E103">
        <v>1.17</v>
      </c>
      <c r="F103">
        <v>1.2</v>
      </c>
      <c r="G103">
        <v>0.17</v>
      </c>
      <c r="H103">
        <v>0.79</v>
      </c>
      <c r="I103">
        <v>1.46</v>
      </c>
      <c r="J103">
        <v>0.98</v>
      </c>
      <c r="K103">
        <v>1.3</v>
      </c>
      <c r="L103" t="s">
        <v>8</v>
      </c>
      <c r="M103" t="s">
        <v>93</v>
      </c>
    </row>
    <row r="104" spans="1:13" x14ac:dyDescent="0.45">
      <c r="A104" t="s">
        <v>7</v>
      </c>
      <c r="B104" t="s">
        <v>104</v>
      </c>
      <c r="C104">
        <v>2030</v>
      </c>
      <c r="D104">
        <v>73</v>
      </c>
      <c r="E104">
        <v>1.17</v>
      </c>
      <c r="F104">
        <v>1.26</v>
      </c>
      <c r="G104">
        <v>0.45</v>
      </c>
      <c r="H104">
        <v>0</v>
      </c>
      <c r="I104">
        <v>1.81</v>
      </c>
      <c r="J104">
        <v>0.88</v>
      </c>
      <c r="K104">
        <v>1.46</v>
      </c>
      <c r="L104" t="s">
        <v>8</v>
      </c>
      <c r="M104" t="s">
        <v>93</v>
      </c>
    </row>
    <row r="105" spans="1:13" x14ac:dyDescent="0.45">
      <c r="A105" t="s">
        <v>7</v>
      </c>
      <c r="B105" t="s">
        <v>104</v>
      </c>
      <c r="C105">
        <v>2035</v>
      </c>
      <c r="D105">
        <v>67</v>
      </c>
      <c r="E105">
        <v>1.26</v>
      </c>
      <c r="F105">
        <v>1.38</v>
      </c>
      <c r="G105">
        <v>0.4</v>
      </c>
      <c r="H105">
        <v>0.64</v>
      </c>
      <c r="I105">
        <v>1.89</v>
      </c>
      <c r="J105">
        <v>0.82</v>
      </c>
      <c r="K105">
        <v>1.62</v>
      </c>
      <c r="L105" t="s">
        <v>8</v>
      </c>
      <c r="M105" t="s">
        <v>93</v>
      </c>
    </row>
    <row r="106" spans="1:13" x14ac:dyDescent="0.45">
      <c r="A106" t="s">
        <v>7</v>
      </c>
      <c r="B106" t="s">
        <v>104</v>
      </c>
      <c r="C106">
        <v>2040</v>
      </c>
      <c r="D106">
        <v>73</v>
      </c>
      <c r="E106">
        <v>1.1399999999999999</v>
      </c>
      <c r="F106">
        <v>1.3</v>
      </c>
      <c r="G106">
        <v>0.54</v>
      </c>
      <c r="H106">
        <v>0</v>
      </c>
      <c r="I106">
        <v>1.97</v>
      </c>
      <c r="J106">
        <v>0.72</v>
      </c>
      <c r="K106">
        <v>1.53</v>
      </c>
      <c r="L106" t="s">
        <v>8</v>
      </c>
      <c r="M106" t="s">
        <v>93</v>
      </c>
    </row>
    <row r="107" spans="1:13" x14ac:dyDescent="0.45">
      <c r="A107" t="s">
        <v>7</v>
      </c>
      <c r="B107" t="s">
        <v>104</v>
      </c>
      <c r="C107">
        <v>2045</v>
      </c>
      <c r="D107">
        <v>67</v>
      </c>
      <c r="E107">
        <v>1.1299999999999999</v>
      </c>
      <c r="F107">
        <v>1.1100000000000001</v>
      </c>
      <c r="G107">
        <v>0.44</v>
      </c>
      <c r="H107">
        <v>0.4</v>
      </c>
      <c r="I107">
        <v>2.11</v>
      </c>
      <c r="J107">
        <v>0.69</v>
      </c>
      <c r="K107">
        <v>1.37</v>
      </c>
      <c r="L107" t="s">
        <v>8</v>
      </c>
      <c r="M107" t="s">
        <v>93</v>
      </c>
    </row>
    <row r="108" spans="1:13" x14ac:dyDescent="0.45">
      <c r="A108" t="s">
        <v>7</v>
      </c>
      <c r="B108" t="s">
        <v>104</v>
      </c>
      <c r="C108">
        <v>2050</v>
      </c>
      <c r="D108">
        <v>73</v>
      </c>
      <c r="E108">
        <v>1</v>
      </c>
      <c r="F108">
        <v>1.01</v>
      </c>
      <c r="G108">
        <v>0.56999999999999995</v>
      </c>
      <c r="H108">
        <v>0</v>
      </c>
      <c r="I108">
        <v>2.19</v>
      </c>
      <c r="J108">
        <v>0.6</v>
      </c>
      <c r="K108">
        <v>1.35</v>
      </c>
      <c r="L108" t="s">
        <v>8</v>
      </c>
      <c r="M108" t="s">
        <v>93</v>
      </c>
    </row>
    <row r="109" spans="1:13" x14ac:dyDescent="0.45">
      <c r="A109" t="s">
        <v>9</v>
      </c>
      <c r="B109" t="s">
        <v>104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93</v>
      </c>
    </row>
    <row r="110" spans="1:13" x14ac:dyDescent="0.45">
      <c r="A110" t="s">
        <v>9</v>
      </c>
      <c r="B110" t="s">
        <v>104</v>
      </c>
      <c r="C110">
        <v>2025</v>
      </c>
      <c r="D110">
        <v>54</v>
      </c>
      <c r="E110">
        <v>1.18</v>
      </c>
      <c r="F110">
        <v>1.22</v>
      </c>
      <c r="G110">
        <v>0.13</v>
      </c>
      <c r="H110">
        <v>0.89</v>
      </c>
      <c r="I110">
        <v>1.38</v>
      </c>
      <c r="J110">
        <v>1.1100000000000001</v>
      </c>
      <c r="K110">
        <v>1.24</v>
      </c>
      <c r="L110" t="s">
        <v>10</v>
      </c>
      <c r="M110" t="s">
        <v>93</v>
      </c>
    </row>
    <row r="111" spans="1:13" x14ac:dyDescent="0.45">
      <c r="A111" t="s">
        <v>9</v>
      </c>
      <c r="B111" t="s">
        <v>104</v>
      </c>
      <c r="C111">
        <v>2030</v>
      </c>
      <c r="D111">
        <v>59</v>
      </c>
      <c r="E111">
        <v>1.19</v>
      </c>
      <c r="F111">
        <v>1.37</v>
      </c>
      <c r="G111">
        <v>0.45</v>
      </c>
      <c r="H111">
        <v>0</v>
      </c>
      <c r="I111">
        <v>1.67</v>
      </c>
      <c r="J111">
        <v>0.99</v>
      </c>
      <c r="K111">
        <v>1.45</v>
      </c>
      <c r="L111" t="s">
        <v>10</v>
      </c>
      <c r="M111" t="s">
        <v>93</v>
      </c>
    </row>
    <row r="112" spans="1:13" x14ac:dyDescent="0.45">
      <c r="A112" t="s">
        <v>9</v>
      </c>
      <c r="B112" t="s">
        <v>104</v>
      </c>
      <c r="C112">
        <v>2035</v>
      </c>
      <c r="D112">
        <v>54</v>
      </c>
      <c r="E112">
        <v>1.37</v>
      </c>
      <c r="F112">
        <v>1.45</v>
      </c>
      <c r="G112">
        <v>0.33</v>
      </c>
      <c r="H112">
        <v>0.57999999999999996</v>
      </c>
      <c r="I112">
        <v>1.88</v>
      </c>
      <c r="J112">
        <v>1.24</v>
      </c>
      <c r="K112">
        <v>1.56</v>
      </c>
      <c r="L112" t="s">
        <v>10</v>
      </c>
      <c r="M112" t="s">
        <v>93</v>
      </c>
    </row>
    <row r="113" spans="1:13" x14ac:dyDescent="0.45">
      <c r="A113" t="s">
        <v>9</v>
      </c>
      <c r="B113" t="s">
        <v>104</v>
      </c>
      <c r="C113">
        <v>2040</v>
      </c>
      <c r="D113">
        <v>59</v>
      </c>
      <c r="E113">
        <v>1.27</v>
      </c>
      <c r="F113">
        <v>1.37</v>
      </c>
      <c r="G113">
        <v>0.5</v>
      </c>
      <c r="H113">
        <v>0</v>
      </c>
      <c r="I113">
        <v>1.95</v>
      </c>
      <c r="J113">
        <v>1.03</v>
      </c>
      <c r="K113">
        <v>1.56</v>
      </c>
      <c r="L113" t="s">
        <v>10</v>
      </c>
      <c r="M113" t="s">
        <v>93</v>
      </c>
    </row>
    <row r="114" spans="1:13" x14ac:dyDescent="0.45">
      <c r="A114" t="s">
        <v>9</v>
      </c>
      <c r="B114" t="s">
        <v>104</v>
      </c>
      <c r="C114">
        <v>2045</v>
      </c>
      <c r="D114">
        <v>54</v>
      </c>
      <c r="E114">
        <v>1.38</v>
      </c>
      <c r="F114">
        <v>1.44</v>
      </c>
      <c r="G114">
        <v>0.32</v>
      </c>
      <c r="H114">
        <v>0.62</v>
      </c>
      <c r="I114">
        <v>2.0299999999999998</v>
      </c>
      <c r="J114">
        <v>1.24</v>
      </c>
      <c r="K114">
        <v>1.57</v>
      </c>
      <c r="L114" t="s">
        <v>10</v>
      </c>
      <c r="M114" t="s">
        <v>93</v>
      </c>
    </row>
    <row r="115" spans="1:13" x14ac:dyDescent="0.45">
      <c r="A115" t="s">
        <v>9</v>
      </c>
      <c r="B115" t="s">
        <v>104</v>
      </c>
      <c r="C115">
        <v>2050</v>
      </c>
      <c r="D115">
        <v>59</v>
      </c>
      <c r="E115">
        <v>1.21</v>
      </c>
      <c r="F115">
        <v>1.32</v>
      </c>
      <c r="G115">
        <v>0.46</v>
      </c>
      <c r="H115">
        <v>0</v>
      </c>
      <c r="I115">
        <v>2.1</v>
      </c>
      <c r="J115">
        <v>1.03</v>
      </c>
      <c r="K115">
        <v>1.48</v>
      </c>
      <c r="L115" t="s">
        <v>10</v>
      </c>
      <c r="M115" t="s">
        <v>93</v>
      </c>
    </row>
    <row r="116" spans="1:13" x14ac:dyDescent="0.45">
      <c r="A116" t="s">
        <v>0</v>
      </c>
      <c r="B116" t="s">
        <v>104</v>
      </c>
      <c r="C116">
        <v>2020</v>
      </c>
      <c r="D116">
        <v>62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</v>
      </c>
      <c r="L116" t="s">
        <v>1</v>
      </c>
      <c r="M116" t="s">
        <v>14</v>
      </c>
    </row>
    <row r="117" spans="1:13" x14ac:dyDescent="0.45">
      <c r="A117" t="s">
        <v>0</v>
      </c>
      <c r="B117" t="s">
        <v>104</v>
      </c>
      <c r="C117">
        <v>2025</v>
      </c>
      <c r="D117">
        <v>62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</v>
      </c>
      <c r="L117" t="s">
        <v>1</v>
      </c>
      <c r="M117" t="s">
        <v>14</v>
      </c>
    </row>
    <row r="118" spans="1:13" x14ac:dyDescent="0.45">
      <c r="A118" t="s">
        <v>0</v>
      </c>
      <c r="B118" t="s">
        <v>104</v>
      </c>
      <c r="C118">
        <v>2030</v>
      </c>
      <c r="D118">
        <v>62</v>
      </c>
      <c r="E118">
        <v>0.01</v>
      </c>
      <c r="F118">
        <v>0.01</v>
      </c>
      <c r="G118">
        <v>0.01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14</v>
      </c>
    </row>
    <row r="119" spans="1:13" x14ac:dyDescent="0.45">
      <c r="A119" t="s">
        <v>0</v>
      </c>
      <c r="B119" t="s">
        <v>104</v>
      </c>
      <c r="C119">
        <v>2035</v>
      </c>
      <c r="D119">
        <v>62</v>
      </c>
      <c r="E119">
        <v>0.02</v>
      </c>
      <c r="F119">
        <v>0.02</v>
      </c>
      <c r="G119">
        <v>0.01</v>
      </c>
      <c r="H119">
        <v>0</v>
      </c>
      <c r="I119">
        <v>0.05</v>
      </c>
      <c r="J119">
        <v>0.01</v>
      </c>
      <c r="K119">
        <v>0.03</v>
      </c>
      <c r="L119" t="s">
        <v>1</v>
      </c>
      <c r="M119" t="s">
        <v>14</v>
      </c>
    </row>
    <row r="120" spans="1:13" x14ac:dyDescent="0.45">
      <c r="A120" t="s">
        <v>0</v>
      </c>
      <c r="B120" t="s">
        <v>104</v>
      </c>
      <c r="C120">
        <v>2040</v>
      </c>
      <c r="D120">
        <v>62</v>
      </c>
      <c r="E120">
        <v>0.04</v>
      </c>
      <c r="F120">
        <v>0.03</v>
      </c>
      <c r="G120">
        <v>0.03</v>
      </c>
      <c r="H120">
        <v>0</v>
      </c>
      <c r="I120">
        <v>0.16</v>
      </c>
      <c r="J120">
        <v>0.02</v>
      </c>
      <c r="K120">
        <v>0.05</v>
      </c>
      <c r="L120" t="s">
        <v>1</v>
      </c>
      <c r="M120" t="s">
        <v>14</v>
      </c>
    </row>
    <row r="121" spans="1:13" x14ac:dyDescent="0.45">
      <c r="A121" t="s">
        <v>0</v>
      </c>
      <c r="B121" t="s">
        <v>104</v>
      </c>
      <c r="C121">
        <v>2045</v>
      </c>
      <c r="D121">
        <v>62</v>
      </c>
      <c r="E121">
        <v>0.05</v>
      </c>
      <c r="F121">
        <v>0.04</v>
      </c>
      <c r="G121">
        <v>0.03</v>
      </c>
      <c r="H121">
        <v>0</v>
      </c>
      <c r="I121">
        <v>0.19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104</v>
      </c>
      <c r="C122">
        <v>2050</v>
      </c>
      <c r="D122">
        <v>62</v>
      </c>
      <c r="E122">
        <v>0.06</v>
      </c>
      <c r="F122">
        <v>0.05</v>
      </c>
      <c r="G122">
        <v>0.04</v>
      </c>
      <c r="H122">
        <v>0</v>
      </c>
      <c r="I122">
        <v>0.15</v>
      </c>
      <c r="J122">
        <v>0.02</v>
      </c>
      <c r="K122">
        <v>0.09</v>
      </c>
      <c r="L122" t="s">
        <v>1</v>
      </c>
      <c r="M122" t="s">
        <v>14</v>
      </c>
    </row>
    <row r="123" spans="1:13" x14ac:dyDescent="0.45">
      <c r="A123" t="s">
        <v>2</v>
      </c>
      <c r="B123" t="s">
        <v>104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104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</v>
      </c>
      <c r="L124" t="s">
        <v>3</v>
      </c>
      <c r="M124" t="s">
        <v>14</v>
      </c>
    </row>
    <row r="125" spans="1:13" x14ac:dyDescent="0.45">
      <c r="A125" t="s">
        <v>2</v>
      </c>
      <c r="B125" t="s">
        <v>104</v>
      </c>
      <c r="C125">
        <v>2030</v>
      </c>
      <c r="D125">
        <v>100</v>
      </c>
      <c r="E125">
        <v>0.01</v>
      </c>
      <c r="F125">
        <v>0</v>
      </c>
      <c r="G125">
        <v>0.01</v>
      </c>
      <c r="H125">
        <v>0</v>
      </c>
      <c r="I125">
        <v>0.06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104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0.05</v>
      </c>
      <c r="J126">
        <v>0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104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0.12</v>
      </c>
      <c r="J127">
        <v>0.01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104</v>
      </c>
      <c r="C128">
        <v>2045</v>
      </c>
      <c r="D128">
        <v>89</v>
      </c>
      <c r="E128">
        <v>0.04</v>
      </c>
      <c r="F128">
        <v>0.03</v>
      </c>
      <c r="G128">
        <v>0.04</v>
      </c>
      <c r="H128">
        <v>0</v>
      </c>
      <c r="I128">
        <v>0.18</v>
      </c>
      <c r="J128">
        <v>0.02</v>
      </c>
      <c r="K128">
        <v>0.06</v>
      </c>
      <c r="L128" t="s">
        <v>3</v>
      </c>
      <c r="M128" t="s">
        <v>14</v>
      </c>
    </row>
    <row r="129" spans="1:13" x14ac:dyDescent="0.45">
      <c r="A129" t="s">
        <v>2</v>
      </c>
      <c r="B129" t="s">
        <v>104</v>
      </c>
      <c r="C129">
        <v>2050</v>
      </c>
      <c r="D129">
        <v>100</v>
      </c>
      <c r="E129">
        <v>7.0000000000000007E-2</v>
      </c>
      <c r="F129">
        <v>7.0000000000000007E-2</v>
      </c>
      <c r="G129">
        <v>0.05</v>
      </c>
      <c r="H129">
        <v>0</v>
      </c>
      <c r="I129">
        <v>0.21</v>
      </c>
      <c r="J129">
        <v>0.03</v>
      </c>
      <c r="K129">
        <v>0.1</v>
      </c>
      <c r="L129" t="s">
        <v>3</v>
      </c>
      <c r="M129" t="s">
        <v>14</v>
      </c>
    </row>
    <row r="130" spans="1:13" x14ac:dyDescent="0.45">
      <c r="A130" t="s">
        <v>5</v>
      </c>
      <c r="B130" t="s">
        <v>104</v>
      </c>
      <c r="C130">
        <v>2020</v>
      </c>
      <c r="D130">
        <v>232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</v>
      </c>
      <c r="L130" t="s">
        <v>6</v>
      </c>
      <c r="M130" t="s">
        <v>14</v>
      </c>
    </row>
    <row r="131" spans="1:13" x14ac:dyDescent="0.45">
      <c r="A131" t="s">
        <v>5</v>
      </c>
      <c r="B131" t="s">
        <v>104</v>
      </c>
      <c r="C131">
        <v>2025</v>
      </c>
      <c r="D131">
        <v>209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</v>
      </c>
      <c r="L131" t="s">
        <v>6</v>
      </c>
      <c r="M131" t="s">
        <v>14</v>
      </c>
    </row>
    <row r="132" spans="1:13" x14ac:dyDescent="0.45">
      <c r="A132" t="s">
        <v>5</v>
      </c>
      <c r="B132" t="s">
        <v>104</v>
      </c>
      <c r="C132">
        <v>2030</v>
      </c>
      <c r="D132">
        <v>232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104</v>
      </c>
      <c r="C133">
        <v>2035</v>
      </c>
      <c r="D133">
        <v>209</v>
      </c>
      <c r="E133">
        <v>0.01</v>
      </c>
      <c r="F133">
        <v>0.01</v>
      </c>
      <c r="G133">
        <v>0.02</v>
      </c>
      <c r="H133">
        <v>0</v>
      </c>
      <c r="I133">
        <v>0.1</v>
      </c>
      <c r="J133">
        <v>0</v>
      </c>
      <c r="K133">
        <v>0.01</v>
      </c>
      <c r="L133" t="s">
        <v>6</v>
      </c>
      <c r="M133" t="s">
        <v>14</v>
      </c>
    </row>
    <row r="134" spans="1:13" x14ac:dyDescent="0.45">
      <c r="A134" t="s">
        <v>5</v>
      </c>
      <c r="B134" t="s">
        <v>104</v>
      </c>
      <c r="C134">
        <v>2040</v>
      </c>
      <c r="D134">
        <v>232</v>
      </c>
      <c r="E134">
        <v>0.03</v>
      </c>
      <c r="F134">
        <v>0.02</v>
      </c>
      <c r="G134">
        <v>0.03</v>
      </c>
      <c r="H134">
        <v>0</v>
      </c>
      <c r="I134">
        <v>0.23</v>
      </c>
      <c r="J134">
        <v>0.01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104</v>
      </c>
      <c r="C135">
        <v>2045</v>
      </c>
      <c r="D135">
        <v>209</v>
      </c>
      <c r="E135">
        <v>0.04</v>
      </c>
      <c r="F135">
        <v>0.03</v>
      </c>
      <c r="G135">
        <v>0.04</v>
      </c>
      <c r="H135">
        <v>0</v>
      </c>
      <c r="I135">
        <v>0.24</v>
      </c>
      <c r="J135">
        <v>0.01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104</v>
      </c>
      <c r="C136">
        <v>2050</v>
      </c>
      <c r="D136">
        <v>232</v>
      </c>
      <c r="E136">
        <v>0.06</v>
      </c>
      <c r="F136">
        <v>0.05</v>
      </c>
      <c r="G136">
        <v>0.04</v>
      </c>
      <c r="H136">
        <v>0</v>
      </c>
      <c r="I136">
        <v>0.16</v>
      </c>
      <c r="J136">
        <v>0.02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104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104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104</v>
      </c>
      <c r="C139">
        <v>2030</v>
      </c>
      <c r="D139">
        <v>102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104</v>
      </c>
      <c r="C140">
        <v>2035</v>
      </c>
      <c r="D140">
        <v>96</v>
      </c>
      <c r="E140">
        <v>0.01</v>
      </c>
      <c r="F140">
        <v>0</v>
      </c>
      <c r="G140">
        <v>0.01</v>
      </c>
      <c r="H140">
        <v>0</v>
      </c>
      <c r="I140">
        <v>0.05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104</v>
      </c>
      <c r="C141">
        <v>2040</v>
      </c>
      <c r="D141">
        <v>102</v>
      </c>
      <c r="E141">
        <v>0.01</v>
      </c>
      <c r="F141">
        <v>0</v>
      </c>
      <c r="G141">
        <v>0.02</v>
      </c>
      <c r="H141">
        <v>0</v>
      </c>
      <c r="I141">
        <v>7.0000000000000007E-2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104</v>
      </c>
      <c r="C142">
        <v>2045</v>
      </c>
      <c r="D142">
        <v>96</v>
      </c>
      <c r="E142">
        <v>0.02</v>
      </c>
      <c r="F142">
        <v>0.01</v>
      </c>
      <c r="G142">
        <v>0.03</v>
      </c>
      <c r="H142">
        <v>0</v>
      </c>
      <c r="I142">
        <v>0.1</v>
      </c>
      <c r="J142">
        <v>0</v>
      </c>
      <c r="K142">
        <v>0.02</v>
      </c>
      <c r="L142" t="s">
        <v>8</v>
      </c>
      <c r="M142" t="s">
        <v>14</v>
      </c>
    </row>
    <row r="143" spans="1:13" x14ac:dyDescent="0.45">
      <c r="A143" t="s">
        <v>7</v>
      </c>
      <c r="B143" t="s">
        <v>104</v>
      </c>
      <c r="C143">
        <v>2050</v>
      </c>
      <c r="D143">
        <v>102</v>
      </c>
      <c r="E143">
        <v>0.03</v>
      </c>
      <c r="F143">
        <v>0.01</v>
      </c>
      <c r="G143">
        <v>0.04</v>
      </c>
      <c r="H143">
        <v>0</v>
      </c>
      <c r="I143">
        <v>0.14000000000000001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104</v>
      </c>
      <c r="C144">
        <v>2020</v>
      </c>
      <c r="D144">
        <v>62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</v>
      </c>
      <c r="L144" t="s">
        <v>10</v>
      </c>
      <c r="M144" t="s">
        <v>14</v>
      </c>
    </row>
    <row r="145" spans="1:13" x14ac:dyDescent="0.45">
      <c r="A145" t="s">
        <v>9</v>
      </c>
      <c r="B145" t="s">
        <v>104</v>
      </c>
      <c r="C145">
        <v>2025</v>
      </c>
      <c r="D145">
        <v>57</v>
      </c>
      <c r="E145">
        <v>0</v>
      </c>
      <c r="F145">
        <v>0</v>
      </c>
      <c r="G145">
        <v>0</v>
      </c>
      <c r="H145">
        <v>0</v>
      </c>
      <c r="I145">
        <v>0.02</v>
      </c>
      <c r="J145">
        <v>0</v>
      </c>
      <c r="K145">
        <v>0</v>
      </c>
      <c r="L145" t="s">
        <v>10</v>
      </c>
      <c r="M145" t="s">
        <v>14</v>
      </c>
    </row>
    <row r="146" spans="1:13" x14ac:dyDescent="0.45">
      <c r="A146" t="s">
        <v>9</v>
      </c>
      <c r="B146" t="s">
        <v>104</v>
      </c>
      <c r="C146">
        <v>2030</v>
      </c>
      <c r="D146">
        <v>62</v>
      </c>
      <c r="E146">
        <v>0</v>
      </c>
      <c r="F146">
        <v>0</v>
      </c>
      <c r="G146">
        <v>0</v>
      </c>
      <c r="H146">
        <v>0</v>
      </c>
      <c r="I146">
        <v>0.01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104</v>
      </c>
      <c r="C147">
        <v>2035</v>
      </c>
      <c r="D147">
        <v>57</v>
      </c>
      <c r="E147">
        <v>0.01</v>
      </c>
      <c r="F147">
        <v>0.01</v>
      </c>
      <c r="G147">
        <v>0.01</v>
      </c>
      <c r="H147">
        <v>0</v>
      </c>
      <c r="I147">
        <v>0.04</v>
      </c>
      <c r="J147">
        <v>0</v>
      </c>
      <c r="K147">
        <v>0.01</v>
      </c>
      <c r="L147" t="s">
        <v>10</v>
      </c>
      <c r="M147" t="s">
        <v>14</v>
      </c>
    </row>
    <row r="148" spans="1:13" x14ac:dyDescent="0.45">
      <c r="A148" t="s">
        <v>9</v>
      </c>
      <c r="B148" t="s">
        <v>104</v>
      </c>
      <c r="C148">
        <v>2040</v>
      </c>
      <c r="D148">
        <v>62</v>
      </c>
      <c r="E148">
        <v>0.01</v>
      </c>
      <c r="F148">
        <v>0.01</v>
      </c>
      <c r="G148">
        <v>0.01</v>
      </c>
      <c r="H148">
        <v>0</v>
      </c>
      <c r="I148">
        <v>0.06</v>
      </c>
      <c r="J148">
        <v>0</v>
      </c>
      <c r="K148">
        <v>0.02</v>
      </c>
      <c r="L148" t="s">
        <v>10</v>
      </c>
      <c r="M148" t="s">
        <v>14</v>
      </c>
    </row>
    <row r="149" spans="1:13" x14ac:dyDescent="0.45">
      <c r="A149" t="s">
        <v>9</v>
      </c>
      <c r="B149" t="s">
        <v>104</v>
      </c>
      <c r="C149">
        <v>2045</v>
      </c>
      <c r="D149">
        <v>57</v>
      </c>
      <c r="E149">
        <v>0.02</v>
      </c>
      <c r="F149">
        <v>0.02</v>
      </c>
      <c r="G149">
        <v>0.01</v>
      </c>
      <c r="H149">
        <v>0</v>
      </c>
      <c r="I149">
        <v>0.09</v>
      </c>
      <c r="J149">
        <v>0</v>
      </c>
      <c r="K149">
        <v>0.03</v>
      </c>
      <c r="L149" t="s">
        <v>10</v>
      </c>
      <c r="M149" t="s">
        <v>14</v>
      </c>
    </row>
    <row r="150" spans="1:13" x14ac:dyDescent="0.45">
      <c r="A150" t="s">
        <v>9</v>
      </c>
      <c r="B150" t="s">
        <v>104</v>
      </c>
      <c r="C150">
        <v>2050</v>
      </c>
      <c r="D150">
        <v>62</v>
      </c>
      <c r="E150">
        <v>0.02</v>
      </c>
      <c r="F150">
        <v>0.02</v>
      </c>
      <c r="G150">
        <v>0.02</v>
      </c>
      <c r="H150">
        <v>0</v>
      </c>
      <c r="I150">
        <v>0.08</v>
      </c>
      <c r="J150">
        <v>0.01</v>
      </c>
      <c r="K150">
        <v>0.03</v>
      </c>
      <c r="L150" t="s">
        <v>10</v>
      </c>
      <c r="M150" t="s">
        <v>14</v>
      </c>
    </row>
    <row r="151" spans="1:13" x14ac:dyDescent="0.45">
      <c r="A151" t="s">
        <v>0</v>
      </c>
      <c r="B151" t="s">
        <v>104</v>
      </c>
      <c r="C151">
        <v>2020</v>
      </c>
      <c r="D151">
        <v>58</v>
      </c>
      <c r="E151">
        <v>0.61</v>
      </c>
      <c r="F151">
        <v>0.61</v>
      </c>
      <c r="G151">
        <v>0.04</v>
      </c>
      <c r="H151">
        <v>0.56000000000000005</v>
      </c>
      <c r="I151">
        <v>0.69</v>
      </c>
      <c r="J151">
        <v>0.56999999999999995</v>
      </c>
      <c r="K151">
        <v>0.63</v>
      </c>
      <c r="L151" t="s">
        <v>1</v>
      </c>
      <c r="M151" t="s">
        <v>17</v>
      </c>
    </row>
    <row r="152" spans="1:13" x14ac:dyDescent="0.45">
      <c r="A152" t="s">
        <v>0</v>
      </c>
      <c r="B152" t="s">
        <v>104</v>
      </c>
      <c r="C152">
        <v>2025</v>
      </c>
      <c r="D152">
        <v>58</v>
      </c>
      <c r="E152">
        <v>0.54</v>
      </c>
      <c r="F152">
        <v>0.54</v>
      </c>
      <c r="G152">
        <v>0.06</v>
      </c>
      <c r="H152">
        <v>0.39</v>
      </c>
      <c r="I152">
        <v>0.7</v>
      </c>
      <c r="J152">
        <v>0.52</v>
      </c>
      <c r="K152">
        <v>0.57999999999999996</v>
      </c>
      <c r="L152" t="s">
        <v>1</v>
      </c>
      <c r="M152" t="s">
        <v>17</v>
      </c>
    </row>
    <row r="153" spans="1:13" x14ac:dyDescent="0.45">
      <c r="A153" t="s">
        <v>0</v>
      </c>
      <c r="B153" t="s">
        <v>104</v>
      </c>
      <c r="C153">
        <v>2030</v>
      </c>
      <c r="D153">
        <v>58</v>
      </c>
      <c r="E153">
        <v>0.52</v>
      </c>
      <c r="F153">
        <v>0.51</v>
      </c>
      <c r="G153">
        <v>0.06</v>
      </c>
      <c r="H153">
        <v>0.4</v>
      </c>
      <c r="I153">
        <v>0.74</v>
      </c>
      <c r="J153">
        <v>0.5</v>
      </c>
      <c r="K153">
        <v>0.54</v>
      </c>
      <c r="L153" t="s">
        <v>1</v>
      </c>
      <c r="M153" t="s">
        <v>17</v>
      </c>
    </row>
    <row r="154" spans="1:13" x14ac:dyDescent="0.45">
      <c r="A154" t="s">
        <v>0</v>
      </c>
      <c r="B154" t="s">
        <v>104</v>
      </c>
      <c r="C154">
        <v>2035</v>
      </c>
      <c r="D154">
        <v>58</v>
      </c>
      <c r="E154">
        <v>0.5</v>
      </c>
      <c r="F154">
        <v>0.49</v>
      </c>
      <c r="G154">
        <v>0.05</v>
      </c>
      <c r="H154">
        <v>0.41</v>
      </c>
      <c r="I154">
        <v>0.7</v>
      </c>
      <c r="J154">
        <v>0.47</v>
      </c>
      <c r="K154">
        <v>0.51</v>
      </c>
      <c r="L154" t="s">
        <v>1</v>
      </c>
      <c r="M154" t="s">
        <v>17</v>
      </c>
    </row>
    <row r="155" spans="1:13" x14ac:dyDescent="0.45">
      <c r="A155" t="s">
        <v>0</v>
      </c>
      <c r="B155" t="s">
        <v>104</v>
      </c>
      <c r="C155">
        <v>2040</v>
      </c>
      <c r="D155">
        <v>58</v>
      </c>
      <c r="E155">
        <v>0.48</v>
      </c>
      <c r="F155">
        <v>0.47</v>
      </c>
      <c r="G155">
        <v>0.05</v>
      </c>
      <c r="H155">
        <v>0.42</v>
      </c>
      <c r="I155">
        <v>0.69</v>
      </c>
      <c r="J155">
        <v>0.45</v>
      </c>
      <c r="K155">
        <v>0.5</v>
      </c>
      <c r="L155" t="s">
        <v>1</v>
      </c>
      <c r="M155" t="s">
        <v>17</v>
      </c>
    </row>
    <row r="156" spans="1:13" x14ac:dyDescent="0.45">
      <c r="A156" t="s">
        <v>0</v>
      </c>
      <c r="B156" t="s">
        <v>104</v>
      </c>
      <c r="C156">
        <v>2045</v>
      </c>
      <c r="D156">
        <v>58</v>
      </c>
      <c r="E156">
        <v>0.48</v>
      </c>
      <c r="F156">
        <v>0.46</v>
      </c>
      <c r="G156">
        <v>0.06</v>
      </c>
      <c r="H156">
        <v>0.39</v>
      </c>
      <c r="I156">
        <v>0.67</v>
      </c>
      <c r="J156">
        <v>0.44</v>
      </c>
      <c r="K156">
        <v>0.51</v>
      </c>
      <c r="L156" t="s">
        <v>1</v>
      </c>
      <c r="M156" t="s">
        <v>17</v>
      </c>
    </row>
    <row r="157" spans="1:13" x14ac:dyDescent="0.45">
      <c r="A157" t="s">
        <v>0</v>
      </c>
      <c r="B157" t="s">
        <v>104</v>
      </c>
      <c r="C157">
        <v>2050</v>
      </c>
      <c r="D157">
        <v>58</v>
      </c>
      <c r="E157">
        <v>0.47</v>
      </c>
      <c r="F157">
        <v>0.47</v>
      </c>
      <c r="G157">
        <v>7.0000000000000007E-2</v>
      </c>
      <c r="H157">
        <v>0.35</v>
      </c>
      <c r="I157">
        <v>0.66</v>
      </c>
      <c r="J157">
        <v>0.45</v>
      </c>
      <c r="K157">
        <v>0.51</v>
      </c>
      <c r="L157" t="s">
        <v>1</v>
      </c>
      <c r="M157" t="s">
        <v>17</v>
      </c>
    </row>
    <row r="158" spans="1:13" x14ac:dyDescent="0.45">
      <c r="A158" t="s">
        <v>2</v>
      </c>
      <c r="B158" t="s">
        <v>104</v>
      </c>
      <c r="C158">
        <v>2020</v>
      </c>
      <c r="D158">
        <v>100</v>
      </c>
      <c r="E158">
        <v>0.61</v>
      </c>
      <c r="F158">
        <v>0.61</v>
      </c>
      <c r="G158">
        <v>0.04</v>
      </c>
      <c r="H158">
        <v>0.52</v>
      </c>
      <c r="I158">
        <v>0.69</v>
      </c>
      <c r="J158">
        <v>0.59</v>
      </c>
      <c r="K158">
        <v>0.62</v>
      </c>
      <c r="L158" t="s">
        <v>3</v>
      </c>
      <c r="M158" t="s">
        <v>17</v>
      </c>
    </row>
    <row r="159" spans="1:13" x14ac:dyDescent="0.45">
      <c r="A159" t="s">
        <v>2</v>
      </c>
      <c r="B159" t="s">
        <v>104</v>
      </c>
      <c r="C159">
        <v>2025</v>
      </c>
      <c r="D159">
        <v>89</v>
      </c>
      <c r="E159">
        <v>0.57999999999999996</v>
      </c>
      <c r="F159">
        <v>0.57999999999999996</v>
      </c>
      <c r="G159">
        <v>0.05</v>
      </c>
      <c r="H159">
        <v>0.5</v>
      </c>
      <c r="I159">
        <v>0.74</v>
      </c>
      <c r="J159">
        <v>0.54</v>
      </c>
      <c r="K159">
        <v>0.59</v>
      </c>
      <c r="L159" t="s">
        <v>3</v>
      </c>
      <c r="M159" t="s">
        <v>17</v>
      </c>
    </row>
    <row r="160" spans="1:13" x14ac:dyDescent="0.45">
      <c r="A160" t="s">
        <v>2</v>
      </c>
      <c r="B160" t="s">
        <v>104</v>
      </c>
      <c r="C160">
        <v>2030</v>
      </c>
      <c r="D160">
        <v>100</v>
      </c>
      <c r="E160">
        <v>0.55000000000000004</v>
      </c>
      <c r="F160">
        <v>0.53</v>
      </c>
      <c r="G160">
        <v>7.0000000000000007E-2</v>
      </c>
      <c r="H160">
        <v>0.47</v>
      </c>
      <c r="I160">
        <v>0.76</v>
      </c>
      <c r="J160">
        <v>0.5</v>
      </c>
      <c r="K160">
        <v>0.56999999999999995</v>
      </c>
      <c r="L160" t="s">
        <v>3</v>
      </c>
      <c r="M160" t="s">
        <v>17</v>
      </c>
    </row>
    <row r="161" spans="1:13" x14ac:dyDescent="0.45">
      <c r="A161" t="s">
        <v>2</v>
      </c>
      <c r="B161" t="s">
        <v>104</v>
      </c>
      <c r="C161">
        <v>2035</v>
      </c>
      <c r="D161">
        <v>89</v>
      </c>
      <c r="E161">
        <v>0.53</v>
      </c>
      <c r="F161">
        <v>0.49</v>
      </c>
      <c r="G161">
        <v>0.09</v>
      </c>
      <c r="H161">
        <v>0.42</v>
      </c>
      <c r="I161">
        <v>0.76</v>
      </c>
      <c r="J161">
        <v>0.47</v>
      </c>
      <c r="K161">
        <v>0.55000000000000004</v>
      </c>
      <c r="L161" t="s">
        <v>3</v>
      </c>
      <c r="M161" t="s">
        <v>17</v>
      </c>
    </row>
    <row r="162" spans="1:13" x14ac:dyDescent="0.45">
      <c r="A162" t="s">
        <v>2</v>
      </c>
      <c r="B162" t="s">
        <v>104</v>
      </c>
      <c r="C162">
        <v>2040</v>
      </c>
      <c r="D162">
        <v>100</v>
      </c>
      <c r="E162">
        <v>0.5</v>
      </c>
      <c r="F162">
        <v>0.47</v>
      </c>
      <c r="G162">
        <v>0.09</v>
      </c>
      <c r="H162">
        <v>0.38</v>
      </c>
      <c r="I162">
        <v>0.76</v>
      </c>
      <c r="J162">
        <v>0.44</v>
      </c>
      <c r="K162">
        <v>0.52</v>
      </c>
      <c r="L162" t="s">
        <v>3</v>
      </c>
      <c r="M162" t="s">
        <v>17</v>
      </c>
    </row>
    <row r="163" spans="1:13" x14ac:dyDescent="0.45">
      <c r="A163" t="s">
        <v>2</v>
      </c>
      <c r="B163" t="s">
        <v>104</v>
      </c>
      <c r="C163">
        <v>2045</v>
      </c>
      <c r="D163">
        <v>89</v>
      </c>
      <c r="E163">
        <v>0.5</v>
      </c>
      <c r="F163">
        <v>0.46</v>
      </c>
      <c r="G163">
        <v>0.1</v>
      </c>
      <c r="H163">
        <v>0.35</v>
      </c>
      <c r="I163">
        <v>0.76</v>
      </c>
      <c r="J163">
        <v>0.42</v>
      </c>
      <c r="K163">
        <v>0.52</v>
      </c>
      <c r="L163" t="s">
        <v>3</v>
      </c>
      <c r="M163" t="s">
        <v>17</v>
      </c>
    </row>
    <row r="164" spans="1:13" x14ac:dyDescent="0.45">
      <c r="A164" t="s">
        <v>2</v>
      </c>
      <c r="B164" t="s">
        <v>104</v>
      </c>
      <c r="C164">
        <v>2050</v>
      </c>
      <c r="D164">
        <v>100</v>
      </c>
      <c r="E164">
        <v>0.48</v>
      </c>
      <c r="F164">
        <v>0.45</v>
      </c>
      <c r="G164">
        <v>0.11</v>
      </c>
      <c r="H164">
        <v>0.32</v>
      </c>
      <c r="I164">
        <v>0.76</v>
      </c>
      <c r="J164">
        <v>0.42</v>
      </c>
      <c r="K164">
        <v>0.52</v>
      </c>
      <c r="L164" t="s">
        <v>3</v>
      </c>
      <c r="M164" t="s">
        <v>17</v>
      </c>
    </row>
    <row r="165" spans="1:13" x14ac:dyDescent="0.45">
      <c r="A165" t="s">
        <v>5</v>
      </c>
      <c r="B165" t="s">
        <v>104</v>
      </c>
      <c r="C165">
        <v>2020</v>
      </c>
      <c r="D165">
        <v>218</v>
      </c>
      <c r="E165">
        <v>0.62</v>
      </c>
      <c r="F165">
        <v>0.61</v>
      </c>
      <c r="G165">
        <v>0.05</v>
      </c>
      <c r="H165">
        <v>0.56000000000000005</v>
      </c>
      <c r="I165">
        <v>0.74</v>
      </c>
      <c r="J165">
        <v>0.56999999999999995</v>
      </c>
      <c r="K165">
        <v>0.65</v>
      </c>
      <c r="L165" t="s">
        <v>6</v>
      </c>
      <c r="M165" t="s">
        <v>17</v>
      </c>
    </row>
    <row r="166" spans="1:13" x14ac:dyDescent="0.45">
      <c r="A166" t="s">
        <v>5</v>
      </c>
      <c r="B166" t="s">
        <v>104</v>
      </c>
      <c r="C166">
        <v>2025</v>
      </c>
      <c r="D166">
        <v>195</v>
      </c>
      <c r="E166">
        <v>0.56999999999999995</v>
      </c>
      <c r="F166">
        <v>0.57999999999999996</v>
      </c>
      <c r="G166">
        <v>0.06</v>
      </c>
      <c r="H166">
        <v>0.39</v>
      </c>
      <c r="I166">
        <v>0.66</v>
      </c>
      <c r="J166">
        <v>0.52</v>
      </c>
      <c r="K166">
        <v>0.63</v>
      </c>
      <c r="L166" t="s">
        <v>6</v>
      </c>
      <c r="M166" t="s">
        <v>17</v>
      </c>
    </row>
    <row r="167" spans="1:13" x14ac:dyDescent="0.45">
      <c r="A167" t="s">
        <v>5</v>
      </c>
      <c r="B167" t="s">
        <v>104</v>
      </c>
      <c r="C167">
        <v>2030</v>
      </c>
      <c r="D167">
        <v>218</v>
      </c>
      <c r="E167">
        <v>0.56000000000000005</v>
      </c>
      <c r="F167">
        <v>0.54</v>
      </c>
      <c r="G167">
        <v>7.0000000000000007E-2</v>
      </c>
      <c r="H167">
        <v>0.41</v>
      </c>
      <c r="I167">
        <v>0.71</v>
      </c>
      <c r="J167">
        <v>0.51</v>
      </c>
      <c r="K167">
        <v>0.62</v>
      </c>
      <c r="L167" t="s">
        <v>6</v>
      </c>
      <c r="M167" t="s">
        <v>17</v>
      </c>
    </row>
    <row r="168" spans="1:13" x14ac:dyDescent="0.45">
      <c r="A168" t="s">
        <v>5</v>
      </c>
      <c r="B168" t="s">
        <v>104</v>
      </c>
      <c r="C168">
        <v>2035</v>
      </c>
      <c r="D168">
        <v>195</v>
      </c>
      <c r="E168">
        <v>0.51</v>
      </c>
      <c r="F168">
        <v>0.48</v>
      </c>
      <c r="G168">
        <v>7.0000000000000007E-2</v>
      </c>
      <c r="H168">
        <v>0.43</v>
      </c>
      <c r="I168">
        <v>0.72</v>
      </c>
      <c r="J168">
        <v>0.48</v>
      </c>
      <c r="K168">
        <v>0.51</v>
      </c>
      <c r="L168" t="s">
        <v>6</v>
      </c>
      <c r="M168" t="s">
        <v>17</v>
      </c>
    </row>
    <row r="169" spans="1:13" x14ac:dyDescent="0.45">
      <c r="A169" t="s">
        <v>5</v>
      </c>
      <c r="B169" t="s">
        <v>104</v>
      </c>
      <c r="C169">
        <v>2040</v>
      </c>
      <c r="D169">
        <v>218</v>
      </c>
      <c r="E169">
        <v>0.51</v>
      </c>
      <c r="F169">
        <v>0.48</v>
      </c>
      <c r="G169">
        <v>0.08</v>
      </c>
      <c r="H169">
        <v>0.38</v>
      </c>
      <c r="I169">
        <v>0.73</v>
      </c>
      <c r="J169">
        <v>0.46</v>
      </c>
      <c r="K169">
        <v>0.56000000000000005</v>
      </c>
      <c r="L169" t="s">
        <v>6</v>
      </c>
      <c r="M169" t="s">
        <v>17</v>
      </c>
    </row>
    <row r="170" spans="1:13" x14ac:dyDescent="0.45">
      <c r="A170" t="s">
        <v>5</v>
      </c>
      <c r="B170" t="s">
        <v>104</v>
      </c>
      <c r="C170">
        <v>2045</v>
      </c>
      <c r="D170">
        <v>195</v>
      </c>
      <c r="E170">
        <v>0.48</v>
      </c>
      <c r="F170">
        <v>0.47</v>
      </c>
      <c r="G170">
        <v>7.0000000000000007E-2</v>
      </c>
      <c r="H170">
        <v>0.36</v>
      </c>
      <c r="I170">
        <v>0.68</v>
      </c>
      <c r="J170">
        <v>0.44</v>
      </c>
      <c r="K170">
        <v>0.5</v>
      </c>
      <c r="L170" t="s">
        <v>6</v>
      </c>
      <c r="M170" t="s">
        <v>17</v>
      </c>
    </row>
    <row r="171" spans="1:13" x14ac:dyDescent="0.45">
      <c r="A171" t="s">
        <v>5</v>
      </c>
      <c r="B171" t="s">
        <v>104</v>
      </c>
      <c r="C171">
        <v>2050</v>
      </c>
      <c r="D171">
        <v>218</v>
      </c>
      <c r="E171">
        <v>0.49</v>
      </c>
      <c r="F171">
        <v>0.47</v>
      </c>
      <c r="G171">
        <v>0.09</v>
      </c>
      <c r="H171">
        <v>0.33</v>
      </c>
      <c r="I171">
        <v>0.75</v>
      </c>
      <c r="J171">
        <v>0.43</v>
      </c>
      <c r="K171">
        <v>0.54</v>
      </c>
      <c r="L171" t="s">
        <v>6</v>
      </c>
      <c r="M171" t="s">
        <v>17</v>
      </c>
    </row>
    <row r="172" spans="1:13" x14ac:dyDescent="0.45">
      <c r="A172" t="s">
        <v>7</v>
      </c>
      <c r="B172" t="s">
        <v>104</v>
      </c>
      <c r="C172">
        <v>2020</v>
      </c>
      <c r="D172">
        <v>102</v>
      </c>
      <c r="E172">
        <v>0.63</v>
      </c>
      <c r="F172">
        <v>0.62</v>
      </c>
      <c r="G172">
        <v>0.04</v>
      </c>
      <c r="H172">
        <v>0.56999999999999995</v>
      </c>
      <c r="I172">
        <v>0.74</v>
      </c>
      <c r="J172">
        <v>0.61</v>
      </c>
      <c r="K172">
        <v>0.64</v>
      </c>
      <c r="L172" t="s">
        <v>8</v>
      </c>
      <c r="M172" t="s">
        <v>17</v>
      </c>
    </row>
    <row r="173" spans="1:13" x14ac:dyDescent="0.45">
      <c r="A173" t="s">
        <v>7</v>
      </c>
      <c r="B173" t="s">
        <v>104</v>
      </c>
      <c r="C173">
        <v>2025</v>
      </c>
      <c r="D173">
        <v>96</v>
      </c>
      <c r="E173">
        <v>0.6</v>
      </c>
      <c r="F173">
        <v>0.61</v>
      </c>
      <c r="G173">
        <v>7.0000000000000007E-2</v>
      </c>
      <c r="H173">
        <v>0.39</v>
      </c>
      <c r="I173">
        <v>0.73</v>
      </c>
      <c r="J173">
        <v>0.57999999999999996</v>
      </c>
      <c r="K173">
        <v>0.64</v>
      </c>
      <c r="L173" t="s">
        <v>8</v>
      </c>
      <c r="M173" t="s">
        <v>17</v>
      </c>
    </row>
    <row r="174" spans="1:13" x14ac:dyDescent="0.45">
      <c r="A174" t="s">
        <v>7</v>
      </c>
      <c r="B174" t="s">
        <v>104</v>
      </c>
      <c r="C174">
        <v>2030</v>
      </c>
      <c r="D174">
        <v>102</v>
      </c>
      <c r="E174">
        <v>0.6</v>
      </c>
      <c r="F174">
        <v>0.59</v>
      </c>
      <c r="G174">
        <v>0.08</v>
      </c>
      <c r="H174">
        <v>0.42</v>
      </c>
      <c r="I174">
        <v>0.75</v>
      </c>
      <c r="J174">
        <v>0.55000000000000004</v>
      </c>
      <c r="K174">
        <v>0.65</v>
      </c>
      <c r="L174" t="s">
        <v>8</v>
      </c>
      <c r="M174" t="s">
        <v>17</v>
      </c>
    </row>
    <row r="175" spans="1:13" x14ac:dyDescent="0.45">
      <c r="A175" t="s">
        <v>7</v>
      </c>
      <c r="B175" t="s">
        <v>104</v>
      </c>
      <c r="C175">
        <v>2035</v>
      </c>
      <c r="D175">
        <v>96</v>
      </c>
      <c r="E175">
        <v>0.56999999999999995</v>
      </c>
      <c r="F175">
        <v>0.51</v>
      </c>
      <c r="G175">
        <v>0.1</v>
      </c>
      <c r="H175">
        <v>0.45</v>
      </c>
      <c r="I175">
        <v>0.75</v>
      </c>
      <c r="J175">
        <v>0.49</v>
      </c>
      <c r="K175">
        <v>0.62</v>
      </c>
      <c r="L175" t="s">
        <v>8</v>
      </c>
      <c r="M175" t="s">
        <v>17</v>
      </c>
    </row>
    <row r="176" spans="1:13" x14ac:dyDescent="0.45">
      <c r="A176" t="s">
        <v>7</v>
      </c>
      <c r="B176" t="s">
        <v>104</v>
      </c>
      <c r="C176">
        <v>2040</v>
      </c>
      <c r="D176">
        <v>102</v>
      </c>
      <c r="E176">
        <v>0.56000000000000005</v>
      </c>
      <c r="F176">
        <v>0.54</v>
      </c>
      <c r="G176">
        <v>0.11</v>
      </c>
      <c r="H176">
        <v>0.44</v>
      </c>
      <c r="I176">
        <v>0.76</v>
      </c>
      <c r="J176">
        <v>0.46</v>
      </c>
      <c r="K176">
        <v>0.66</v>
      </c>
      <c r="L176" t="s">
        <v>8</v>
      </c>
      <c r="M176" t="s">
        <v>17</v>
      </c>
    </row>
    <row r="177" spans="1:13" x14ac:dyDescent="0.45">
      <c r="A177" t="s">
        <v>7</v>
      </c>
      <c r="B177" t="s">
        <v>104</v>
      </c>
      <c r="C177">
        <v>2045</v>
      </c>
      <c r="D177">
        <v>96</v>
      </c>
      <c r="E177">
        <v>0.54</v>
      </c>
      <c r="F177">
        <v>0.49</v>
      </c>
      <c r="G177">
        <v>0.12</v>
      </c>
      <c r="H177">
        <v>0.39</v>
      </c>
      <c r="I177">
        <v>0.76</v>
      </c>
      <c r="J177">
        <v>0.42</v>
      </c>
      <c r="K177">
        <v>0.62</v>
      </c>
      <c r="L177" t="s">
        <v>8</v>
      </c>
      <c r="M177" t="s">
        <v>17</v>
      </c>
    </row>
    <row r="178" spans="1:13" x14ac:dyDescent="0.45">
      <c r="A178" t="s">
        <v>7</v>
      </c>
      <c r="B178" t="s">
        <v>104</v>
      </c>
      <c r="C178">
        <v>2050</v>
      </c>
      <c r="D178">
        <v>102</v>
      </c>
      <c r="E178">
        <v>0.54</v>
      </c>
      <c r="F178">
        <v>0.52</v>
      </c>
      <c r="G178">
        <v>0.13</v>
      </c>
      <c r="H178">
        <v>0.36</v>
      </c>
      <c r="I178">
        <v>0.77</v>
      </c>
      <c r="J178">
        <v>0.4</v>
      </c>
      <c r="K178">
        <v>0.61</v>
      </c>
      <c r="L178" t="s">
        <v>8</v>
      </c>
      <c r="M178" t="s">
        <v>17</v>
      </c>
    </row>
    <row r="179" spans="1:13" x14ac:dyDescent="0.45">
      <c r="A179" t="s">
        <v>9</v>
      </c>
      <c r="B179" t="s">
        <v>104</v>
      </c>
      <c r="C179">
        <v>2020</v>
      </c>
      <c r="D179">
        <v>63</v>
      </c>
      <c r="E179">
        <v>0.62</v>
      </c>
      <c r="F179">
        <v>0.62</v>
      </c>
      <c r="G179">
        <v>0.05</v>
      </c>
      <c r="H179">
        <v>0.52</v>
      </c>
      <c r="I179">
        <v>0.74</v>
      </c>
      <c r="J179">
        <v>0.57999999999999996</v>
      </c>
      <c r="K179">
        <v>0.66</v>
      </c>
      <c r="L179" t="s">
        <v>10</v>
      </c>
      <c r="M179" t="s">
        <v>17</v>
      </c>
    </row>
    <row r="180" spans="1:13" x14ac:dyDescent="0.45">
      <c r="A180" t="s">
        <v>9</v>
      </c>
      <c r="B180" t="s">
        <v>104</v>
      </c>
      <c r="C180">
        <v>2025</v>
      </c>
      <c r="D180">
        <v>58</v>
      </c>
      <c r="E180">
        <v>0.56999999999999995</v>
      </c>
      <c r="F180">
        <v>0.57999999999999996</v>
      </c>
      <c r="G180">
        <v>0.04</v>
      </c>
      <c r="H180">
        <v>0.48</v>
      </c>
      <c r="I180">
        <v>0.64</v>
      </c>
      <c r="J180">
        <v>0.52</v>
      </c>
      <c r="K180">
        <v>0.6</v>
      </c>
      <c r="L180" t="s">
        <v>10</v>
      </c>
      <c r="M180" t="s">
        <v>17</v>
      </c>
    </row>
    <row r="181" spans="1:13" x14ac:dyDescent="0.45">
      <c r="A181" t="s">
        <v>9</v>
      </c>
      <c r="B181" t="s">
        <v>104</v>
      </c>
      <c r="C181">
        <v>2030</v>
      </c>
      <c r="D181">
        <v>63</v>
      </c>
      <c r="E181">
        <v>0.55000000000000004</v>
      </c>
      <c r="F181">
        <v>0.53</v>
      </c>
      <c r="G181">
        <v>0.06</v>
      </c>
      <c r="H181">
        <v>0.48</v>
      </c>
      <c r="I181">
        <v>0.69</v>
      </c>
      <c r="J181">
        <v>0.51</v>
      </c>
      <c r="K181">
        <v>0.57999999999999996</v>
      </c>
      <c r="L181" t="s">
        <v>10</v>
      </c>
      <c r="M181" t="s">
        <v>17</v>
      </c>
    </row>
    <row r="182" spans="1:13" x14ac:dyDescent="0.45">
      <c r="A182" t="s">
        <v>9</v>
      </c>
      <c r="B182" t="s">
        <v>104</v>
      </c>
      <c r="C182">
        <v>2035</v>
      </c>
      <c r="D182">
        <v>58</v>
      </c>
      <c r="E182">
        <v>0.52</v>
      </c>
      <c r="F182">
        <v>0.5</v>
      </c>
      <c r="G182">
        <v>0.06</v>
      </c>
      <c r="H182">
        <v>0.45</v>
      </c>
      <c r="I182">
        <v>0.7</v>
      </c>
      <c r="J182">
        <v>0.48</v>
      </c>
      <c r="K182">
        <v>0.55000000000000004</v>
      </c>
      <c r="L182" t="s">
        <v>10</v>
      </c>
      <c r="M182" t="s">
        <v>17</v>
      </c>
    </row>
    <row r="183" spans="1:13" x14ac:dyDescent="0.45">
      <c r="A183" t="s">
        <v>9</v>
      </c>
      <c r="B183" t="s">
        <v>104</v>
      </c>
      <c r="C183">
        <v>2040</v>
      </c>
      <c r="D183">
        <v>63</v>
      </c>
      <c r="E183">
        <v>0.51</v>
      </c>
      <c r="F183">
        <v>0.48</v>
      </c>
      <c r="G183">
        <v>0.08</v>
      </c>
      <c r="H183">
        <v>0.4</v>
      </c>
      <c r="I183">
        <v>0.71</v>
      </c>
      <c r="J183">
        <v>0.45</v>
      </c>
      <c r="K183">
        <v>0.56000000000000005</v>
      </c>
      <c r="L183" t="s">
        <v>10</v>
      </c>
      <c r="M183" t="s">
        <v>17</v>
      </c>
    </row>
    <row r="184" spans="1:13" x14ac:dyDescent="0.45">
      <c r="A184" t="s">
        <v>9</v>
      </c>
      <c r="B184" t="s">
        <v>104</v>
      </c>
      <c r="C184">
        <v>2045</v>
      </c>
      <c r="D184">
        <v>58</v>
      </c>
      <c r="E184">
        <v>0.48</v>
      </c>
      <c r="F184">
        <v>0.45</v>
      </c>
      <c r="G184">
        <v>7.0000000000000007E-2</v>
      </c>
      <c r="H184">
        <v>0.37</v>
      </c>
      <c r="I184">
        <v>0.64</v>
      </c>
      <c r="J184">
        <v>0.44</v>
      </c>
      <c r="K184">
        <v>0.53</v>
      </c>
      <c r="L184" t="s">
        <v>10</v>
      </c>
      <c r="M184" t="s">
        <v>17</v>
      </c>
    </row>
    <row r="185" spans="1:13" x14ac:dyDescent="0.45">
      <c r="A185" t="s">
        <v>9</v>
      </c>
      <c r="B185" t="s">
        <v>104</v>
      </c>
      <c r="C185">
        <v>2050</v>
      </c>
      <c r="D185">
        <v>63</v>
      </c>
      <c r="E185">
        <v>0.48</v>
      </c>
      <c r="F185">
        <v>0.45</v>
      </c>
      <c r="G185">
        <v>0.08</v>
      </c>
      <c r="H185">
        <v>0.35</v>
      </c>
      <c r="I185">
        <v>0.69</v>
      </c>
      <c r="J185">
        <v>0.43</v>
      </c>
      <c r="K185">
        <v>0.53</v>
      </c>
      <c r="L185" t="s">
        <v>10</v>
      </c>
      <c r="M185" t="s">
        <v>17</v>
      </c>
    </row>
    <row r="186" spans="1:13" x14ac:dyDescent="0.45">
      <c r="A186" t="s">
        <v>0</v>
      </c>
      <c r="B186" t="s">
        <v>104</v>
      </c>
      <c r="C186">
        <v>2020</v>
      </c>
      <c r="D186">
        <v>63</v>
      </c>
      <c r="E186">
        <v>0.35</v>
      </c>
      <c r="F186">
        <v>0.36</v>
      </c>
      <c r="G186">
        <v>0.05</v>
      </c>
      <c r="H186">
        <v>0.23</v>
      </c>
      <c r="I186">
        <v>0.4</v>
      </c>
      <c r="J186">
        <v>0.33</v>
      </c>
      <c r="K186">
        <v>0.39</v>
      </c>
      <c r="L186" t="s">
        <v>1</v>
      </c>
      <c r="M186" t="s">
        <v>20</v>
      </c>
    </row>
    <row r="187" spans="1:13" x14ac:dyDescent="0.45">
      <c r="A187" t="s">
        <v>0</v>
      </c>
      <c r="B187" t="s">
        <v>104</v>
      </c>
      <c r="C187">
        <v>2025</v>
      </c>
      <c r="D187">
        <v>63</v>
      </c>
      <c r="E187">
        <v>0.39</v>
      </c>
      <c r="F187">
        <v>0.39</v>
      </c>
      <c r="G187">
        <v>0.06</v>
      </c>
      <c r="H187">
        <v>0.23</v>
      </c>
      <c r="I187">
        <v>0.51</v>
      </c>
      <c r="J187">
        <v>0.35</v>
      </c>
      <c r="K187">
        <v>0.44</v>
      </c>
      <c r="L187" t="s">
        <v>1</v>
      </c>
      <c r="M187" t="s">
        <v>20</v>
      </c>
    </row>
    <row r="188" spans="1:13" x14ac:dyDescent="0.45">
      <c r="A188" t="s">
        <v>0</v>
      </c>
      <c r="B188" t="s">
        <v>104</v>
      </c>
      <c r="C188">
        <v>2030</v>
      </c>
      <c r="D188">
        <v>63</v>
      </c>
      <c r="E188">
        <v>0.39</v>
      </c>
      <c r="F188">
        <v>0.42</v>
      </c>
      <c r="G188">
        <v>7.0000000000000007E-2</v>
      </c>
      <c r="H188">
        <v>0.2</v>
      </c>
      <c r="I188">
        <v>0.56000000000000005</v>
      </c>
      <c r="J188">
        <v>0.34</v>
      </c>
      <c r="K188">
        <v>0.45</v>
      </c>
      <c r="L188" t="s">
        <v>1</v>
      </c>
      <c r="M188" t="s">
        <v>20</v>
      </c>
    </row>
    <row r="189" spans="1:13" x14ac:dyDescent="0.45">
      <c r="A189" t="s">
        <v>0</v>
      </c>
      <c r="B189" t="s">
        <v>104</v>
      </c>
      <c r="C189">
        <v>2035</v>
      </c>
      <c r="D189">
        <v>63</v>
      </c>
      <c r="E189">
        <v>0.4</v>
      </c>
      <c r="F189">
        <v>0.44</v>
      </c>
      <c r="G189">
        <v>0.08</v>
      </c>
      <c r="H189">
        <v>0.19</v>
      </c>
      <c r="I189">
        <v>0.55000000000000004</v>
      </c>
      <c r="J189">
        <v>0.33</v>
      </c>
      <c r="K189">
        <v>0.46</v>
      </c>
      <c r="L189" t="s">
        <v>1</v>
      </c>
      <c r="M189" t="s">
        <v>20</v>
      </c>
    </row>
    <row r="190" spans="1:13" x14ac:dyDescent="0.45">
      <c r="A190" t="s">
        <v>0</v>
      </c>
      <c r="B190" t="s">
        <v>104</v>
      </c>
      <c r="C190">
        <v>2040</v>
      </c>
      <c r="D190">
        <v>63</v>
      </c>
      <c r="E190">
        <v>0.4</v>
      </c>
      <c r="F190">
        <v>0.43</v>
      </c>
      <c r="G190">
        <v>0.08</v>
      </c>
      <c r="H190">
        <v>0.19</v>
      </c>
      <c r="I190">
        <v>0.51</v>
      </c>
      <c r="J190">
        <v>0.34</v>
      </c>
      <c r="K190">
        <v>0.47</v>
      </c>
      <c r="L190" t="s">
        <v>1</v>
      </c>
      <c r="M190" t="s">
        <v>20</v>
      </c>
    </row>
    <row r="191" spans="1:13" x14ac:dyDescent="0.45">
      <c r="A191" t="s">
        <v>0</v>
      </c>
      <c r="B191" t="s">
        <v>104</v>
      </c>
      <c r="C191">
        <v>2045</v>
      </c>
      <c r="D191">
        <v>63</v>
      </c>
      <c r="E191">
        <v>0.4</v>
      </c>
      <c r="F191">
        <v>0.41</v>
      </c>
      <c r="G191">
        <v>7.0000000000000007E-2</v>
      </c>
      <c r="H191">
        <v>0.19</v>
      </c>
      <c r="I191">
        <v>0.51</v>
      </c>
      <c r="J191">
        <v>0.36</v>
      </c>
      <c r="K191">
        <v>0.47</v>
      </c>
      <c r="L191" t="s">
        <v>1</v>
      </c>
      <c r="M191" t="s">
        <v>20</v>
      </c>
    </row>
    <row r="192" spans="1:13" x14ac:dyDescent="0.45">
      <c r="A192" t="s">
        <v>0</v>
      </c>
      <c r="B192" t="s">
        <v>104</v>
      </c>
      <c r="C192">
        <v>2050</v>
      </c>
      <c r="D192">
        <v>63</v>
      </c>
      <c r="E192">
        <v>0.4</v>
      </c>
      <c r="F192">
        <v>0.4</v>
      </c>
      <c r="G192">
        <v>0.08</v>
      </c>
      <c r="H192">
        <v>0.19</v>
      </c>
      <c r="I192">
        <v>0.54</v>
      </c>
      <c r="J192">
        <v>0.33</v>
      </c>
      <c r="K192">
        <v>0.45</v>
      </c>
      <c r="L192" t="s">
        <v>1</v>
      </c>
      <c r="M192" t="s">
        <v>20</v>
      </c>
    </row>
    <row r="193" spans="1:13" x14ac:dyDescent="0.45">
      <c r="A193" t="s">
        <v>2</v>
      </c>
      <c r="B193" t="s">
        <v>104</v>
      </c>
      <c r="C193">
        <v>2020</v>
      </c>
      <c r="D193">
        <v>96</v>
      </c>
      <c r="E193">
        <v>0.36</v>
      </c>
      <c r="F193">
        <v>0.36</v>
      </c>
      <c r="G193">
        <v>0.04</v>
      </c>
      <c r="H193">
        <v>0.23</v>
      </c>
      <c r="I193">
        <v>0.45</v>
      </c>
      <c r="J193">
        <v>0.35</v>
      </c>
      <c r="K193">
        <v>0.39</v>
      </c>
      <c r="L193" t="s">
        <v>3</v>
      </c>
      <c r="M193" t="s">
        <v>20</v>
      </c>
    </row>
    <row r="194" spans="1:13" x14ac:dyDescent="0.45">
      <c r="A194" t="s">
        <v>2</v>
      </c>
      <c r="B194" t="s">
        <v>104</v>
      </c>
      <c r="C194">
        <v>2025</v>
      </c>
      <c r="D194">
        <v>85</v>
      </c>
      <c r="E194">
        <v>0.38</v>
      </c>
      <c r="F194">
        <v>0.37</v>
      </c>
      <c r="G194">
        <v>0.06</v>
      </c>
      <c r="H194">
        <v>0.23</v>
      </c>
      <c r="I194">
        <v>0.46</v>
      </c>
      <c r="J194">
        <v>0.35</v>
      </c>
      <c r="K194">
        <v>0.43</v>
      </c>
      <c r="L194" t="s">
        <v>3</v>
      </c>
      <c r="M194" t="s">
        <v>20</v>
      </c>
    </row>
    <row r="195" spans="1:13" x14ac:dyDescent="0.45">
      <c r="A195" t="s">
        <v>2</v>
      </c>
      <c r="B195" t="s">
        <v>104</v>
      </c>
      <c r="C195">
        <v>2030</v>
      </c>
      <c r="D195">
        <v>96</v>
      </c>
      <c r="E195">
        <v>0.39</v>
      </c>
      <c r="F195">
        <v>0.41</v>
      </c>
      <c r="G195">
        <v>7.0000000000000007E-2</v>
      </c>
      <c r="H195">
        <v>0.2</v>
      </c>
      <c r="I195">
        <v>0.48</v>
      </c>
      <c r="J195">
        <v>0.35</v>
      </c>
      <c r="K195">
        <v>0.46</v>
      </c>
      <c r="L195" t="s">
        <v>3</v>
      </c>
      <c r="M195" t="s">
        <v>20</v>
      </c>
    </row>
    <row r="196" spans="1:13" x14ac:dyDescent="0.45">
      <c r="A196" t="s">
        <v>2</v>
      </c>
      <c r="B196" t="s">
        <v>104</v>
      </c>
      <c r="C196">
        <v>2035</v>
      </c>
      <c r="D196">
        <v>85</v>
      </c>
      <c r="E196">
        <v>0.4</v>
      </c>
      <c r="F196">
        <v>0.41</v>
      </c>
      <c r="G196">
        <v>0.08</v>
      </c>
      <c r="H196">
        <v>0.2</v>
      </c>
      <c r="I196">
        <v>0.49</v>
      </c>
      <c r="J196">
        <v>0.35</v>
      </c>
      <c r="K196">
        <v>0.47</v>
      </c>
      <c r="L196" t="s">
        <v>3</v>
      </c>
      <c r="M196" t="s">
        <v>20</v>
      </c>
    </row>
    <row r="197" spans="1:13" x14ac:dyDescent="0.45">
      <c r="A197" t="s">
        <v>2</v>
      </c>
      <c r="B197" t="s">
        <v>104</v>
      </c>
      <c r="C197">
        <v>2040</v>
      </c>
      <c r="D197">
        <v>96</v>
      </c>
      <c r="E197">
        <v>0.4</v>
      </c>
      <c r="F197">
        <v>0.41</v>
      </c>
      <c r="G197">
        <v>7.0000000000000007E-2</v>
      </c>
      <c r="H197">
        <v>0.2</v>
      </c>
      <c r="I197">
        <v>0.5</v>
      </c>
      <c r="J197">
        <v>0.36</v>
      </c>
      <c r="K197">
        <v>0.46</v>
      </c>
      <c r="L197" t="s">
        <v>3</v>
      </c>
      <c r="M197" t="s">
        <v>20</v>
      </c>
    </row>
    <row r="198" spans="1:13" x14ac:dyDescent="0.45">
      <c r="A198" t="s">
        <v>2</v>
      </c>
      <c r="B198" t="s">
        <v>104</v>
      </c>
      <c r="C198">
        <v>2045</v>
      </c>
      <c r="D198">
        <v>85</v>
      </c>
      <c r="E198">
        <v>0.41</v>
      </c>
      <c r="F198">
        <v>0.42</v>
      </c>
      <c r="G198">
        <v>0.08</v>
      </c>
      <c r="H198">
        <v>0.2</v>
      </c>
      <c r="I198">
        <v>0.52</v>
      </c>
      <c r="J198">
        <v>0.34</v>
      </c>
      <c r="K198">
        <v>0.47</v>
      </c>
      <c r="L198" t="s">
        <v>3</v>
      </c>
      <c r="M198" t="s">
        <v>20</v>
      </c>
    </row>
    <row r="199" spans="1:13" x14ac:dyDescent="0.45">
      <c r="A199" t="s">
        <v>2</v>
      </c>
      <c r="B199" t="s">
        <v>104</v>
      </c>
      <c r="C199">
        <v>2050</v>
      </c>
      <c r="D199">
        <v>96</v>
      </c>
      <c r="E199">
        <v>0.41</v>
      </c>
      <c r="F199">
        <v>0.43</v>
      </c>
      <c r="G199">
        <v>0.08</v>
      </c>
      <c r="H199">
        <v>0.19</v>
      </c>
      <c r="I199">
        <v>0.52</v>
      </c>
      <c r="J199">
        <v>0.38</v>
      </c>
      <c r="K199">
        <v>0.46</v>
      </c>
      <c r="L199" t="s">
        <v>3</v>
      </c>
      <c r="M199" t="s">
        <v>20</v>
      </c>
    </row>
    <row r="200" spans="1:13" x14ac:dyDescent="0.45">
      <c r="A200" t="s">
        <v>5</v>
      </c>
      <c r="B200" t="s">
        <v>104</v>
      </c>
      <c r="C200">
        <v>2020</v>
      </c>
      <c r="D200">
        <v>235</v>
      </c>
      <c r="E200">
        <v>0.33</v>
      </c>
      <c r="F200">
        <v>0.36</v>
      </c>
      <c r="G200">
        <v>0.06</v>
      </c>
      <c r="H200">
        <v>0.23</v>
      </c>
      <c r="I200">
        <v>0.41</v>
      </c>
      <c r="J200">
        <v>0.3</v>
      </c>
      <c r="K200">
        <v>0.39</v>
      </c>
      <c r="L200" t="s">
        <v>6</v>
      </c>
      <c r="M200" t="s">
        <v>20</v>
      </c>
    </row>
    <row r="201" spans="1:13" x14ac:dyDescent="0.45">
      <c r="A201" t="s">
        <v>5</v>
      </c>
      <c r="B201" t="s">
        <v>104</v>
      </c>
      <c r="C201">
        <v>2025</v>
      </c>
      <c r="D201">
        <v>212</v>
      </c>
      <c r="E201">
        <v>0.36</v>
      </c>
      <c r="F201">
        <v>0.37</v>
      </c>
      <c r="G201">
        <v>7.0000000000000007E-2</v>
      </c>
      <c r="H201">
        <v>0.23</v>
      </c>
      <c r="I201">
        <v>0.46</v>
      </c>
      <c r="J201">
        <v>0.33</v>
      </c>
      <c r="K201">
        <v>0.44</v>
      </c>
      <c r="L201" t="s">
        <v>6</v>
      </c>
      <c r="M201" t="s">
        <v>20</v>
      </c>
    </row>
    <row r="202" spans="1:13" x14ac:dyDescent="0.45">
      <c r="A202" t="s">
        <v>5</v>
      </c>
      <c r="B202" t="s">
        <v>104</v>
      </c>
      <c r="C202">
        <v>2030</v>
      </c>
      <c r="D202">
        <v>235</v>
      </c>
      <c r="E202">
        <v>0.37</v>
      </c>
      <c r="F202">
        <v>0.38</v>
      </c>
      <c r="G202">
        <v>0.08</v>
      </c>
      <c r="H202">
        <v>0.2</v>
      </c>
      <c r="I202">
        <v>0.47</v>
      </c>
      <c r="J202">
        <v>0.31</v>
      </c>
      <c r="K202">
        <v>0.46</v>
      </c>
      <c r="L202" t="s">
        <v>6</v>
      </c>
      <c r="M202" t="s">
        <v>20</v>
      </c>
    </row>
    <row r="203" spans="1:13" x14ac:dyDescent="0.45">
      <c r="A203" t="s">
        <v>5</v>
      </c>
      <c r="B203" t="s">
        <v>104</v>
      </c>
      <c r="C203">
        <v>2035</v>
      </c>
      <c r="D203">
        <v>212</v>
      </c>
      <c r="E203">
        <v>0.39</v>
      </c>
      <c r="F203">
        <v>0.4</v>
      </c>
      <c r="G203">
        <v>0.08</v>
      </c>
      <c r="H203">
        <v>0.2</v>
      </c>
      <c r="I203">
        <v>0.49</v>
      </c>
      <c r="J203">
        <v>0.33</v>
      </c>
      <c r="K203">
        <v>0.47</v>
      </c>
      <c r="L203" t="s">
        <v>6</v>
      </c>
      <c r="M203" t="s">
        <v>20</v>
      </c>
    </row>
    <row r="204" spans="1:13" x14ac:dyDescent="0.45">
      <c r="A204" t="s">
        <v>5</v>
      </c>
      <c r="B204" t="s">
        <v>104</v>
      </c>
      <c r="C204">
        <v>2040</v>
      </c>
      <c r="D204">
        <v>235</v>
      </c>
      <c r="E204">
        <v>0.39</v>
      </c>
      <c r="F204">
        <v>0.4</v>
      </c>
      <c r="G204">
        <v>0.08</v>
      </c>
      <c r="H204">
        <v>0.2</v>
      </c>
      <c r="I204">
        <v>0.5</v>
      </c>
      <c r="J204">
        <v>0.32</v>
      </c>
      <c r="K204">
        <v>0.47</v>
      </c>
      <c r="L204" t="s">
        <v>6</v>
      </c>
      <c r="M204" t="s">
        <v>20</v>
      </c>
    </row>
    <row r="205" spans="1:13" x14ac:dyDescent="0.45">
      <c r="A205" t="s">
        <v>5</v>
      </c>
      <c r="B205" t="s">
        <v>104</v>
      </c>
      <c r="C205">
        <v>2045</v>
      </c>
      <c r="D205">
        <v>212</v>
      </c>
      <c r="E205">
        <v>0.39</v>
      </c>
      <c r="F205">
        <v>0.43</v>
      </c>
      <c r="G205">
        <v>0.08</v>
      </c>
      <c r="H205">
        <v>0.19</v>
      </c>
      <c r="I205">
        <v>0.52</v>
      </c>
      <c r="J205">
        <v>0.32</v>
      </c>
      <c r="K205">
        <v>0.46</v>
      </c>
      <c r="L205" t="s">
        <v>6</v>
      </c>
      <c r="M205" t="s">
        <v>20</v>
      </c>
    </row>
    <row r="206" spans="1:13" x14ac:dyDescent="0.45">
      <c r="A206" t="s">
        <v>5</v>
      </c>
      <c r="B206" t="s">
        <v>104</v>
      </c>
      <c r="C206">
        <v>2050</v>
      </c>
      <c r="D206">
        <v>235</v>
      </c>
      <c r="E206">
        <v>0.39</v>
      </c>
      <c r="F206">
        <v>0.42</v>
      </c>
      <c r="G206">
        <v>0.08</v>
      </c>
      <c r="H206">
        <v>0.19</v>
      </c>
      <c r="I206">
        <v>0.52</v>
      </c>
      <c r="J206">
        <v>0.32</v>
      </c>
      <c r="K206">
        <v>0.46</v>
      </c>
      <c r="L206" t="s">
        <v>6</v>
      </c>
      <c r="M206" t="s">
        <v>20</v>
      </c>
    </row>
    <row r="207" spans="1:13" x14ac:dyDescent="0.45">
      <c r="A207" t="s">
        <v>7</v>
      </c>
      <c r="B207" t="s">
        <v>104</v>
      </c>
      <c r="C207">
        <v>2020</v>
      </c>
      <c r="D207">
        <v>102</v>
      </c>
      <c r="E207">
        <v>0.32</v>
      </c>
      <c r="F207">
        <v>0.35</v>
      </c>
      <c r="G207">
        <v>0.05</v>
      </c>
      <c r="H207">
        <v>0.23</v>
      </c>
      <c r="I207">
        <v>0.4</v>
      </c>
      <c r="J207">
        <v>0.3</v>
      </c>
      <c r="K207">
        <v>0.36</v>
      </c>
      <c r="L207" t="s">
        <v>8</v>
      </c>
      <c r="M207" t="s">
        <v>20</v>
      </c>
    </row>
    <row r="208" spans="1:13" x14ac:dyDescent="0.45">
      <c r="A208" t="s">
        <v>7</v>
      </c>
      <c r="B208" t="s">
        <v>104</v>
      </c>
      <c r="C208">
        <v>2025</v>
      </c>
      <c r="D208">
        <v>96</v>
      </c>
      <c r="E208">
        <v>0.34</v>
      </c>
      <c r="F208">
        <v>0.36</v>
      </c>
      <c r="G208">
        <v>0.05</v>
      </c>
      <c r="H208">
        <v>0.23</v>
      </c>
      <c r="I208">
        <v>0.45</v>
      </c>
      <c r="J208">
        <v>0.33</v>
      </c>
      <c r="K208">
        <v>0.38</v>
      </c>
      <c r="L208" t="s">
        <v>8</v>
      </c>
      <c r="M208" t="s">
        <v>20</v>
      </c>
    </row>
    <row r="209" spans="1:13" x14ac:dyDescent="0.45">
      <c r="A209" t="s">
        <v>7</v>
      </c>
      <c r="B209" t="s">
        <v>104</v>
      </c>
      <c r="C209">
        <v>2030</v>
      </c>
      <c r="D209">
        <v>102</v>
      </c>
      <c r="E209">
        <v>0.35</v>
      </c>
      <c r="F209">
        <v>0.37</v>
      </c>
      <c r="G209">
        <v>7.0000000000000007E-2</v>
      </c>
      <c r="H209">
        <v>0.22</v>
      </c>
      <c r="I209">
        <v>0.46</v>
      </c>
      <c r="J209">
        <v>0.28999999999999998</v>
      </c>
      <c r="K209">
        <v>0.4</v>
      </c>
      <c r="L209" t="s">
        <v>8</v>
      </c>
      <c r="M209" t="s">
        <v>20</v>
      </c>
    </row>
    <row r="210" spans="1:13" x14ac:dyDescent="0.45">
      <c r="A210" t="s">
        <v>7</v>
      </c>
      <c r="B210" t="s">
        <v>104</v>
      </c>
      <c r="C210">
        <v>2035</v>
      </c>
      <c r="D210">
        <v>96</v>
      </c>
      <c r="E210">
        <v>0.36</v>
      </c>
      <c r="F210">
        <v>0.39</v>
      </c>
      <c r="G210">
        <v>0.08</v>
      </c>
      <c r="H210">
        <v>0.22</v>
      </c>
      <c r="I210">
        <v>0.49</v>
      </c>
      <c r="J210">
        <v>0.32</v>
      </c>
      <c r="K210">
        <v>0.43</v>
      </c>
      <c r="L210" t="s">
        <v>8</v>
      </c>
      <c r="M210" t="s">
        <v>20</v>
      </c>
    </row>
    <row r="211" spans="1:13" x14ac:dyDescent="0.45">
      <c r="A211" t="s">
        <v>7</v>
      </c>
      <c r="B211" t="s">
        <v>104</v>
      </c>
      <c r="C211">
        <v>2040</v>
      </c>
      <c r="D211">
        <v>102</v>
      </c>
      <c r="E211">
        <v>0.36</v>
      </c>
      <c r="F211">
        <v>0.38</v>
      </c>
      <c r="G211">
        <v>0.08</v>
      </c>
      <c r="H211">
        <v>0.2</v>
      </c>
      <c r="I211">
        <v>0.51</v>
      </c>
      <c r="J211">
        <v>0.32</v>
      </c>
      <c r="K211">
        <v>0.42</v>
      </c>
      <c r="L211" t="s">
        <v>8</v>
      </c>
      <c r="M211" t="s">
        <v>20</v>
      </c>
    </row>
    <row r="212" spans="1:13" x14ac:dyDescent="0.45">
      <c r="A212" t="s">
        <v>7</v>
      </c>
      <c r="B212" t="s">
        <v>104</v>
      </c>
      <c r="C212">
        <v>2045</v>
      </c>
      <c r="D212">
        <v>96</v>
      </c>
      <c r="E212">
        <v>0.36</v>
      </c>
      <c r="F212">
        <v>0.38</v>
      </c>
      <c r="G212">
        <v>0.08</v>
      </c>
      <c r="H212">
        <v>0.2</v>
      </c>
      <c r="I212">
        <v>0.52</v>
      </c>
      <c r="J212">
        <v>0.32</v>
      </c>
      <c r="K212">
        <v>0.43</v>
      </c>
      <c r="L212" t="s">
        <v>8</v>
      </c>
      <c r="M212" t="s">
        <v>20</v>
      </c>
    </row>
    <row r="213" spans="1:13" x14ac:dyDescent="0.45">
      <c r="A213" t="s">
        <v>7</v>
      </c>
      <c r="B213" t="s">
        <v>104</v>
      </c>
      <c r="C213">
        <v>2050</v>
      </c>
      <c r="D213">
        <v>102</v>
      </c>
      <c r="E213">
        <v>0.36</v>
      </c>
      <c r="F213">
        <v>0.37</v>
      </c>
      <c r="G213">
        <v>0.08</v>
      </c>
      <c r="H213">
        <v>0.2</v>
      </c>
      <c r="I213">
        <v>0.52</v>
      </c>
      <c r="J213">
        <v>0.32</v>
      </c>
      <c r="K213">
        <v>0.45</v>
      </c>
      <c r="L213" t="s">
        <v>8</v>
      </c>
      <c r="M213" t="s">
        <v>20</v>
      </c>
    </row>
    <row r="214" spans="1:13" x14ac:dyDescent="0.45">
      <c r="A214" t="s">
        <v>9</v>
      </c>
      <c r="B214" t="s">
        <v>104</v>
      </c>
      <c r="C214">
        <v>2020</v>
      </c>
      <c r="D214">
        <v>61</v>
      </c>
      <c r="E214">
        <v>0.34</v>
      </c>
      <c r="F214">
        <v>0.34</v>
      </c>
      <c r="G214">
        <v>0.06</v>
      </c>
      <c r="H214">
        <v>0.23</v>
      </c>
      <c r="I214">
        <v>0.45</v>
      </c>
      <c r="J214">
        <v>0.3</v>
      </c>
      <c r="K214">
        <v>0.39</v>
      </c>
      <c r="L214" t="s">
        <v>10</v>
      </c>
      <c r="M214" t="s">
        <v>20</v>
      </c>
    </row>
    <row r="215" spans="1:13" x14ac:dyDescent="0.45">
      <c r="A215" t="s">
        <v>9</v>
      </c>
      <c r="B215" t="s">
        <v>104</v>
      </c>
      <c r="C215">
        <v>2025</v>
      </c>
      <c r="D215">
        <v>56</v>
      </c>
      <c r="E215">
        <v>0.39</v>
      </c>
      <c r="F215">
        <v>0.39</v>
      </c>
      <c r="G215">
        <v>7.0000000000000007E-2</v>
      </c>
      <c r="H215">
        <v>0.23</v>
      </c>
      <c r="I215">
        <v>0.49</v>
      </c>
      <c r="J215">
        <v>0.33</v>
      </c>
      <c r="K215">
        <v>0.44</v>
      </c>
      <c r="L215" t="s">
        <v>10</v>
      </c>
      <c r="M215" t="s">
        <v>20</v>
      </c>
    </row>
    <row r="216" spans="1:13" x14ac:dyDescent="0.45">
      <c r="A216" t="s">
        <v>9</v>
      </c>
      <c r="B216" t="s">
        <v>104</v>
      </c>
      <c r="C216">
        <v>2030</v>
      </c>
      <c r="D216">
        <v>61</v>
      </c>
      <c r="E216">
        <v>0.4</v>
      </c>
      <c r="F216">
        <v>0.43</v>
      </c>
      <c r="G216">
        <v>0.08</v>
      </c>
      <c r="H216">
        <v>0.22</v>
      </c>
      <c r="I216">
        <v>0.5</v>
      </c>
      <c r="J216">
        <v>0.37</v>
      </c>
      <c r="K216">
        <v>0.46</v>
      </c>
      <c r="L216" t="s">
        <v>10</v>
      </c>
      <c r="M216" t="s">
        <v>20</v>
      </c>
    </row>
    <row r="217" spans="1:13" x14ac:dyDescent="0.45">
      <c r="A217" t="s">
        <v>9</v>
      </c>
      <c r="B217" t="s">
        <v>104</v>
      </c>
      <c r="C217">
        <v>2035</v>
      </c>
      <c r="D217">
        <v>56</v>
      </c>
      <c r="E217">
        <v>0.43</v>
      </c>
      <c r="F217">
        <v>0.46</v>
      </c>
      <c r="G217">
        <v>0.08</v>
      </c>
      <c r="H217">
        <v>0.22</v>
      </c>
      <c r="I217">
        <v>0.52</v>
      </c>
      <c r="J217">
        <v>0.38</v>
      </c>
      <c r="K217">
        <v>0.49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104</v>
      </c>
      <c r="C218">
        <v>2040</v>
      </c>
      <c r="D218">
        <v>61</v>
      </c>
      <c r="E218">
        <v>0.43</v>
      </c>
      <c r="F218">
        <v>0.47</v>
      </c>
      <c r="G218">
        <v>0.09</v>
      </c>
      <c r="H218">
        <v>0.21</v>
      </c>
      <c r="I218">
        <v>0.52</v>
      </c>
      <c r="J218">
        <v>0.39</v>
      </c>
      <c r="K218">
        <v>0.51</v>
      </c>
      <c r="L218" t="s">
        <v>10</v>
      </c>
      <c r="M218" t="s">
        <v>20</v>
      </c>
    </row>
    <row r="219" spans="1:13" x14ac:dyDescent="0.45">
      <c r="A219" t="s">
        <v>9</v>
      </c>
      <c r="B219" t="s">
        <v>104</v>
      </c>
      <c r="C219">
        <v>2045</v>
      </c>
      <c r="D219">
        <v>56</v>
      </c>
      <c r="E219">
        <v>0.45</v>
      </c>
      <c r="F219">
        <v>0.49</v>
      </c>
      <c r="G219">
        <v>0.09</v>
      </c>
      <c r="H219">
        <v>0.22</v>
      </c>
      <c r="I219">
        <v>0.54</v>
      </c>
      <c r="J219">
        <v>0.4</v>
      </c>
      <c r="K219">
        <v>0.5</v>
      </c>
      <c r="L219" t="s">
        <v>10</v>
      </c>
      <c r="M219" t="s">
        <v>20</v>
      </c>
    </row>
    <row r="220" spans="1:13" x14ac:dyDescent="0.45">
      <c r="A220" t="s">
        <v>9</v>
      </c>
      <c r="B220" t="s">
        <v>104</v>
      </c>
      <c r="C220">
        <v>2050</v>
      </c>
      <c r="D220">
        <v>61</v>
      </c>
      <c r="E220">
        <v>0.44</v>
      </c>
      <c r="F220">
        <v>0.48</v>
      </c>
      <c r="G220">
        <v>0.09</v>
      </c>
      <c r="H220">
        <v>0.22</v>
      </c>
      <c r="I220">
        <v>0.55000000000000004</v>
      </c>
      <c r="J220">
        <v>0.41</v>
      </c>
      <c r="K220">
        <v>0.49</v>
      </c>
      <c r="L220" t="s">
        <v>10</v>
      </c>
      <c r="M220" t="s">
        <v>20</v>
      </c>
    </row>
    <row r="221" spans="1:13" x14ac:dyDescent="0.45">
      <c r="A221" t="s">
        <v>0</v>
      </c>
      <c r="B221" t="s">
        <v>104</v>
      </c>
      <c r="C221">
        <v>2020</v>
      </c>
      <c r="D221">
        <v>64</v>
      </c>
      <c r="E221">
        <v>0.03</v>
      </c>
      <c r="F221">
        <v>0.04</v>
      </c>
      <c r="G221">
        <v>0.01</v>
      </c>
      <c r="H221">
        <v>0</v>
      </c>
      <c r="I221">
        <v>0.04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104</v>
      </c>
      <c r="C222">
        <v>2025</v>
      </c>
      <c r="D222">
        <v>64</v>
      </c>
      <c r="E222">
        <v>0.04</v>
      </c>
      <c r="F222">
        <v>0.03</v>
      </c>
      <c r="G222">
        <v>0.02</v>
      </c>
      <c r="H222">
        <v>0.01</v>
      </c>
      <c r="I222">
        <v>0.08</v>
      </c>
      <c r="J222">
        <v>0.03</v>
      </c>
      <c r="K222">
        <v>0.06</v>
      </c>
      <c r="L222" t="s">
        <v>1</v>
      </c>
      <c r="M222" t="s">
        <v>22</v>
      </c>
    </row>
    <row r="223" spans="1:13" x14ac:dyDescent="0.45">
      <c r="A223" t="s">
        <v>0</v>
      </c>
      <c r="B223" t="s">
        <v>104</v>
      </c>
      <c r="C223">
        <v>2030</v>
      </c>
      <c r="D223">
        <v>64</v>
      </c>
      <c r="E223">
        <v>0.05</v>
      </c>
      <c r="F223">
        <v>0.04</v>
      </c>
      <c r="G223">
        <v>0.03</v>
      </c>
      <c r="H223">
        <v>0.02</v>
      </c>
      <c r="I223">
        <v>0.1</v>
      </c>
      <c r="J223">
        <v>0.04</v>
      </c>
      <c r="K223">
        <v>0.08</v>
      </c>
      <c r="L223" t="s">
        <v>1</v>
      </c>
      <c r="M223" t="s">
        <v>22</v>
      </c>
    </row>
    <row r="224" spans="1:13" x14ac:dyDescent="0.45">
      <c r="A224" t="s">
        <v>0</v>
      </c>
      <c r="B224" t="s">
        <v>104</v>
      </c>
      <c r="C224">
        <v>2035</v>
      </c>
      <c r="D224">
        <v>64</v>
      </c>
      <c r="E224">
        <v>7.0000000000000007E-2</v>
      </c>
      <c r="F224">
        <v>0.06</v>
      </c>
      <c r="G224">
        <v>0.03</v>
      </c>
      <c r="H224">
        <v>0.02</v>
      </c>
      <c r="I224">
        <v>0.14000000000000001</v>
      </c>
      <c r="J224">
        <v>0.05</v>
      </c>
      <c r="K224">
        <v>0.09</v>
      </c>
      <c r="L224" t="s">
        <v>1</v>
      </c>
      <c r="M224" t="s">
        <v>22</v>
      </c>
    </row>
    <row r="225" spans="1:13" x14ac:dyDescent="0.45">
      <c r="A225" t="s">
        <v>0</v>
      </c>
      <c r="B225" t="s">
        <v>104</v>
      </c>
      <c r="C225">
        <v>2040</v>
      </c>
      <c r="D225">
        <v>64</v>
      </c>
      <c r="E225">
        <v>0.08</v>
      </c>
      <c r="F225">
        <v>7.0000000000000007E-2</v>
      </c>
      <c r="G225">
        <v>0.03</v>
      </c>
      <c r="H225">
        <v>0.02</v>
      </c>
      <c r="I225">
        <v>0.14000000000000001</v>
      </c>
      <c r="J225">
        <v>0.06</v>
      </c>
      <c r="K225">
        <v>0.1</v>
      </c>
      <c r="L225" t="s">
        <v>1</v>
      </c>
      <c r="M225" t="s">
        <v>22</v>
      </c>
    </row>
    <row r="226" spans="1:13" x14ac:dyDescent="0.45">
      <c r="A226" t="s">
        <v>0</v>
      </c>
      <c r="B226" t="s">
        <v>104</v>
      </c>
      <c r="C226">
        <v>2045</v>
      </c>
      <c r="D226">
        <v>64</v>
      </c>
      <c r="E226">
        <v>0.09</v>
      </c>
      <c r="F226">
        <v>0.09</v>
      </c>
      <c r="G226">
        <v>0.04</v>
      </c>
      <c r="H226">
        <v>0.02</v>
      </c>
      <c r="I226">
        <v>0.17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104</v>
      </c>
      <c r="C227">
        <v>2050</v>
      </c>
      <c r="D227">
        <v>64</v>
      </c>
      <c r="E227">
        <v>0.09</v>
      </c>
      <c r="F227">
        <v>0.1</v>
      </c>
      <c r="G227">
        <v>0.04</v>
      </c>
      <c r="H227">
        <v>0.02</v>
      </c>
      <c r="I227">
        <v>0.18</v>
      </c>
      <c r="J227">
        <v>7.0000000000000007E-2</v>
      </c>
      <c r="K227">
        <v>0.11</v>
      </c>
      <c r="L227" t="s">
        <v>1</v>
      </c>
      <c r="M227" t="s">
        <v>22</v>
      </c>
    </row>
    <row r="228" spans="1:13" x14ac:dyDescent="0.45">
      <c r="A228" t="s">
        <v>2</v>
      </c>
      <c r="B228" t="s">
        <v>104</v>
      </c>
      <c r="C228">
        <v>2020</v>
      </c>
      <c r="D228">
        <v>100</v>
      </c>
      <c r="E228">
        <v>0.03</v>
      </c>
      <c r="F228">
        <v>0.02</v>
      </c>
      <c r="G228">
        <v>0.01</v>
      </c>
      <c r="H228">
        <v>0</v>
      </c>
      <c r="I228">
        <v>0.04</v>
      </c>
      <c r="J228">
        <v>0.02</v>
      </c>
      <c r="K228">
        <v>0.03</v>
      </c>
      <c r="L228" t="s">
        <v>3</v>
      </c>
      <c r="M228" t="s">
        <v>22</v>
      </c>
    </row>
    <row r="229" spans="1:13" x14ac:dyDescent="0.45">
      <c r="A229" t="s">
        <v>2</v>
      </c>
      <c r="B229" t="s">
        <v>104</v>
      </c>
      <c r="C229">
        <v>2025</v>
      </c>
      <c r="D229">
        <v>89</v>
      </c>
      <c r="E229">
        <v>0.04</v>
      </c>
      <c r="F229">
        <v>0.03</v>
      </c>
      <c r="G229">
        <v>0.02</v>
      </c>
      <c r="H229">
        <v>0</v>
      </c>
      <c r="I229">
        <v>7.0000000000000007E-2</v>
      </c>
      <c r="J229">
        <v>0.02</v>
      </c>
      <c r="K229">
        <v>0.06</v>
      </c>
      <c r="L229" t="s">
        <v>3</v>
      </c>
      <c r="M229" t="s">
        <v>22</v>
      </c>
    </row>
    <row r="230" spans="1:13" x14ac:dyDescent="0.45">
      <c r="A230" t="s">
        <v>2</v>
      </c>
      <c r="B230" t="s">
        <v>104</v>
      </c>
      <c r="C230">
        <v>2030</v>
      </c>
      <c r="D230">
        <v>100</v>
      </c>
      <c r="E230">
        <v>0.05</v>
      </c>
      <c r="F230">
        <v>0.04</v>
      </c>
      <c r="G230">
        <v>0.03</v>
      </c>
      <c r="H230">
        <v>0</v>
      </c>
      <c r="I230">
        <v>0.11</v>
      </c>
      <c r="J230">
        <v>0.03</v>
      </c>
      <c r="K230">
        <v>0.08</v>
      </c>
      <c r="L230" t="s">
        <v>3</v>
      </c>
      <c r="M230" t="s">
        <v>22</v>
      </c>
    </row>
    <row r="231" spans="1:13" x14ac:dyDescent="0.45">
      <c r="A231" t="s">
        <v>2</v>
      </c>
      <c r="B231" t="s">
        <v>104</v>
      </c>
      <c r="C231">
        <v>2035</v>
      </c>
      <c r="D231">
        <v>89</v>
      </c>
      <c r="E231">
        <v>7.0000000000000007E-2</v>
      </c>
      <c r="F231">
        <v>0.06</v>
      </c>
      <c r="G231">
        <v>0.04</v>
      </c>
      <c r="H231">
        <v>0</v>
      </c>
      <c r="I231">
        <v>0.17</v>
      </c>
      <c r="J231">
        <v>0.03</v>
      </c>
      <c r="K231">
        <v>0.09</v>
      </c>
      <c r="L231" t="s">
        <v>3</v>
      </c>
      <c r="M231" t="s">
        <v>22</v>
      </c>
    </row>
    <row r="232" spans="1:13" x14ac:dyDescent="0.45">
      <c r="A232" t="s">
        <v>2</v>
      </c>
      <c r="B232" t="s">
        <v>104</v>
      </c>
      <c r="C232">
        <v>2040</v>
      </c>
      <c r="D232">
        <v>100</v>
      </c>
      <c r="E232">
        <v>0.09</v>
      </c>
      <c r="F232">
        <v>0.08</v>
      </c>
      <c r="G232">
        <v>0.05</v>
      </c>
      <c r="H232">
        <v>0</v>
      </c>
      <c r="I232">
        <v>0.18</v>
      </c>
      <c r="J232">
        <v>0.05</v>
      </c>
      <c r="K232">
        <v>0.13</v>
      </c>
      <c r="L232" t="s">
        <v>3</v>
      </c>
      <c r="M232" t="s">
        <v>22</v>
      </c>
    </row>
    <row r="233" spans="1:13" x14ac:dyDescent="0.45">
      <c r="A233" t="s">
        <v>2</v>
      </c>
      <c r="B233" t="s">
        <v>104</v>
      </c>
      <c r="C233">
        <v>2045</v>
      </c>
      <c r="D233">
        <v>89</v>
      </c>
      <c r="E233">
        <v>0.09</v>
      </c>
      <c r="F233">
        <v>0.08</v>
      </c>
      <c r="G233">
        <v>0.04</v>
      </c>
      <c r="H233">
        <v>0.01</v>
      </c>
      <c r="I233">
        <v>0.16</v>
      </c>
      <c r="J233">
        <v>0.05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104</v>
      </c>
      <c r="C234">
        <v>2050</v>
      </c>
      <c r="D234">
        <v>100</v>
      </c>
      <c r="E234">
        <v>0.1</v>
      </c>
      <c r="F234">
        <v>0.09</v>
      </c>
      <c r="G234">
        <v>0.05</v>
      </c>
      <c r="H234">
        <v>0.01</v>
      </c>
      <c r="I234">
        <v>0.22</v>
      </c>
      <c r="J234">
        <v>7.0000000000000007E-2</v>
      </c>
      <c r="K234">
        <v>0.13</v>
      </c>
      <c r="L234" t="s">
        <v>3</v>
      </c>
      <c r="M234" t="s">
        <v>22</v>
      </c>
    </row>
    <row r="235" spans="1:13" x14ac:dyDescent="0.45">
      <c r="A235" t="s">
        <v>5</v>
      </c>
      <c r="B235" t="s">
        <v>104</v>
      </c>
      <c r="C235">
        <v>2020</v>
      </c>
      <c r="D235">
        <v>235</v>
      </c>
      <c r="E235">
        <v>0.03</v>
      </c>
      <c r="F235">
        <v>0.03</v>
      </c>
      <c r="G235">
        <v>0.01</v>
      </c>
      <c r="H235">
        <v>0</v>
      </c>
      <c r="I235">
        <v>0.05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104</v>
      </c>
      <c r="C236">
        <v>2025</v>
      </c>
      <c r="D236">
        <v>212</v>
      </c>
      <c r="E236">
        <v>0.04</v>
      </c>
      <c r="F236">
        <v>0.04</v>
      </c>
      <c r="G236">
        <v>0.02</v>
      </c>
      <c r="H236">
        <v>0</v>
      </c>
      <c r="I236">
        <v>0.08</v>
      </c>
      <c r="J236">
        <v>0.02</v>
      </c>
      <c r="K236">
        <v>0.04</v>
      </c>
      <c r="L236" t="s">
        <v>6</v>
      </c>
      <c r="M236" t="s">
        <v>22</v>
      </c>
    </row>
    <row r="237" spans="1:13" x14ac:dyDescent="0.45">
      <c r="A237" t="s">
        <v>5</v>
      </c>
      <c r="B237" t="s">
        <v>104</v>
      </c>
      <c r="C237">
        <v>2030</v>
      </c>
      <c r="D237">
        <v>235</v>
      </c>
      <c r="E237">
        <v>0.04</v>
      </c>
      <c r="F237">
        <v>0.04</v>
      </c>
      <c r="G237">
        <v>0.03</v>
      </c>
      <c r="H237">
        <v>0</v>
      </c>
      <c r="I237">
        <v>0.11</v>
      </c>
      <c r="J237">
        <v>0.02</v>
      </c>
      <c r="K237">
        <v>0.04</v>
      </c>
      <c r="L237" t="s">
        <v>6</v>
      </c>
      <c r="M237" t="s">
        <v>22</v>
      </c>
    </row>
    <row r="238" spans="1:13" x14ac:dyDescent="0.45">
      <c r="A238" t="s">
        <v>5</v>
      </c>
      <c r="B238" t="s">
        <v>104</v>
      </c>
      <c r="C238">
        <v>2035</v>
      </c>
      <c r="D238">
        <v>212</v>
      </c>
      <c r="E238">
        <v>0.06</v>
      </c>
      <c r="F238">
        <v>0.05</v>
      </c>
      <c r="G238">
        <v>0.04</v>
      </c>
      <c r="H238">
        <v>0</v>
      </c>
      <c r="I238">
        <v>0.17</v>
      </c>
      <c r="J238">
        <v>0.03</v>
      </c>
      <c r="K238">
        <v>7.0000000000000007E-2</v>
      </c>
      <c r="L238" t="s">
        <v>6</v>
      </c>
      <c r="M238" t="s">
        <v>22</v>
      </c>
    </row>
    <row r="239" spans="1:13" x14ac:dyDescent="0.45">
      <c r="A239" t="s">
        <v>5</v>
      </c>
      <c r="B239" t="s">
        <v>104</v>
      </c>
      <c r="C239">
        <v>2040</v>
      </c>
      <c r="D239">
        <v>235</v>
      </c>
      <c r="E239">
        <v>0.06</v>
      </c>
      <c r="F239">
        <v>0.05</v>
      </c>
      <c r="G239">
        <v>0.05</v>
      </c>
      <c r="H239">
        <v>0</v>
      </c>
      <c r="I239">
        <v>0.19</v>
      </c>
      <c r="J239">
        <v>0.03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104</v>
      </c>
      <c r="C240">
        <v>2045</v>
      </c>
      <c r="D240">
        <v>212</v>
      </c>
      <c r="E240">
        <v>0.08</v>
      </c>
      <c r="F240">
        <v>7.0000000000000007E-2</v>
      </c>
      <c r="G240">
        <v>0.05</v>
      </c>
      <c r="H240">
        <v>0</v>
      </c>
      <c r="I240">
        <v>0.18</v>
      </c>
      <c r="J240">
        <v>0.04</v>
      </c>
      <c r="K240">
        <v>0.12</v>
      </c>
      <c r="L240" t="s">
        <v>6</v>
      </c>
      <c r="M240" t="s">
        <v>22</v>
      </c>
    </row>
    <row r="241" spans="1:13" x14ac:dyDescent="0.45">
      <c r="A241" t="s">
        <v>5</v>
      </c>
      <c r="B241" t="s">
        <v>104</v>
      </c>
      <c r="C241">
        <v>2050</v>
      </c>
      <c r="D241">
        <v>235</v>
      </c>
      <c r="E241">
        <v>0.08</v>
      </c>
      <c r="F241">
        <v>0.08</v>
      </c>
      <c r="G241">
        <v>0.05</v>
      </c>
      <c r="H241">
        <v>0</v>
      </c>
      <c r="I241">
        <v>0.21</v>
      </c>
      <c r="J241">
        <v>0.04</v>
      </c>
      <c r="K241">
        <v>0.12</v>
      </c>
      <c r="L241" t="s">
        <v>6</v>
      </c>
      <c r="M241" t="s">
        <v>22</v>
      </c>
    </row>
    <row r="242" spans="1:13" x14ac:dyDescent="0.45">
      <c r="A242" t="s">
        <v>7</v>
      </c>
      <c r="B242" t="s">
        <v>104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</v>
      </c>
      <c r="I242">
        <v>0.04</v>
      </c>
      <c r="J242">
        <v>0.02</v>
      </c>
      <c r="K242">
        <v>0.03</v>
      </c>
      <c r="L242" t="s">
        <v>8</v>
      </c>
      <c r="M242" t="s">
        <v>22</v>
      </c>
    </row>
    <row r="243" spans="1:13" x14ac:dyDescent="0.45">
      <c r="A243" t="s">
        <v>7</v>
      </c>
      <c r="B243" t="s">
        <v>104</v>
      </c>
      <c r="C243">
        <v>2025</v>
      </c>
      <c r="D243">
        <v>96</v>
      </c>
      <c r="E243">
        <v>0.03</v>
      </c>
      <c r="F243">
        <v>0.03</v>
      </c>
      <c r="G243">
        <v>0.02</v>
      </c>
      <c r="H243">
        <v>0</v>
      </c>
      <c r="I243">
        <v>7.0000000000000007E-2</v>
      </c>
      <c r="J243">
        <v>0.02</v>
      </c>
      <c r="K243">
        <v>0.04</v>
      </c>
      <c r="L243" t="s">
        <v>8</v>
      </c>
      <c r="M243" t="s">
        <v>22</v>
      </c>
    </row>
    <row r="244" spans="1:13" x14ac:dyDescent="0.45">
      <c r="A244" t="s">
        <v>7</v>
      </c>
      <c r="B244" t="s">
        <v>104</v>
      </c>
      <c r="C244">
        <v>2030</v>
      </c>
      <c r="D244">
        <v>102</v>
      </c>
      <c r="E244">
        <v>0.03</v>
      </c>
      <c r="F244">
        <v>0.04</v>
      </c>
      <c r="G244">
        <v>0.02</v>
      </c>
      <c r="H244">
        <v>0</v>
      </c>
      <c r="I244">
        <v>0.08</v>
      </c>
      <c r="J244">
        <v>0.02</v>
      </c>
      <c r="K244">
        <v>0.04</v>
      </c>
      <c r="L244" t="s">
        <v>8</v>
      </c>
      <c r="M244" t="s">
        <v>22</v>
      </c>
    </row>
    <row r="245" spans="1:13" x14ac:dyDescent="0.45">
      <c r="A245" t="s">
        <v>7</v>
      </c>
      <c r="B245" t="s">
        <v>104</v>
      </c>
      <c r="C245">
        <v>2035</v>
      </c>
      <c r="D245">
        <v>96</v>
      </c>
      <c r="E245">
        <v>0.04</v>
      </c>
      <c r="F245">
        <v>0.05</v>
      </c>
      <c r="G245">
        <v>0.03</v>
      </c>
      <c r="H245">
        <v>0</v>
      </c>
      <c r="I245">
        <v>0.09</v>
      </c>
      <c r="J245">
        <v>0.02</v>
      </c>
      <c r="K245">
        <v>7.0000000000000007E-2</v>
      </c>
      <c r="L245" t="s">
        <v>8</v>
      </c>
      <c r="M245" t="s">
        <v>22</v>
      </c>
    </row>
    <row r="246" spans="1:13" x14ac:dyDescent="0.45">
      <c r="A246" t="s">
        <v>7</v>
      </c>
      <c r="B246" t="s">
        <v>104</v>
      </c>
      <c r="C246">
        <v>2040</v>
      </c>
      <c r="D246">
        <v>102</v>
      </c>
      <c r="E246">
        <v>0.05</v>
      </c>
      <c r="F246">
        <v>0.05</v>
      </c>
      <c r="G246">
        <v>0.04</v>
      </c>
      <c r="H246">
        <v>0</v>
      </c>
      <c r="I246">
        <v>0.15</v>
      </c>
      <c r="J246">
        <v>0.02</v>
      </c>
      <c r="K246">
        <v>0.09</v>
      </c>
      <c r="L246" t="s">
        <v>8</v>
      </c>
      <c r="M246" t="s">
        <v>22</v>
      </c>
    </row>
    <row r="247" spans="1:13" x14ac:dyDescent="0.45">
      <c r="A247" t="s">
        <v>7</v>
      </c>
      <c r="B247" t="s">
        <v>104</v>
      </c>
      <c r="C247">
        <v>2045</v>
      </c>
      <c r="D247">
        <v>96</v>
      </c>
      <c r="E247">
        <v>7.0000000000000007E-2</v>
      </c>
      <c r="F247">
        <v>0.04</v>
      </c>
      <c r="G247">
        <v>0.06</v>
      </c>
      <c r="H247">
        <v>0</v>
      </c>
      <c r="I247">
        <v>0.19</v>
      </c>
      <c r="J247">
        <v>0.02</v>
      </c>
      <c r="K247">
        <v>0.13</v>
      </c>
      <c r="L247" t="s">
        <v>8</v>
      </c>
      <c r="M247" t="s">
        <v>22</v>
      </c>
    </row>
    <row r="248" spans="1:13" x14ac:dyDescent="0.45">
      <c r="A248" t="s">
        <v>7</v>
      </c>
      <c r="B248" t="s">
        <v>104</v>
      </c>
      <c r="C248">
        <v>2050</v>
      </c>
      <c r="D248">
        <v>102</v>
      </c>
      <c r="E248">
        <v>7.0000000000000007E-2</v>
      </c>
      <c r="F248">
        <v>0.04</v>
      </c>
      <c r="G248">
        <v>0.06</v>
      </c>
      <c r="H248">
        <v>0</v>
      </c>
      <c r="I248">
        <v>0.19</v>
      </c>
      <c r="J248">
        <v>0.02</v>
      </c>
      <c r="K248">
        <v>0.14000000000000001</v>
      </c>
      <c r="L248" t="s">
        <v>8</v>
      </c>
      <c r="M248" t="s">
        <v>22</v>
      </c>
    </row>
    <row r="249" spans="1:13" x14ac:dyDescent="0.45">
      <c r="A249" t="s">
        <v>9</v>
      </c>
      <c r="B249" t="s">
        <v>104</v>
      </c>
      <c r="C249">
        <v>2020</v>
      </c>
      <c r="D249">
        <v>63</v>
      </c>
      <c r="E249">
        <v>0.03</v>
      </c>
      <c r="F249">
        <v>0.02</v>
      </c>
      <c r="G249">
        <v>0.01</v>
      </c>
      <c r="H249">
        <v>0</v>
      </c>
      <c r="I249">
        <v>0.04</v>
      </c>
      <c r="J249">
        <v>0.02</v>
      </c>
      <c r="K249">
        <v>0.04</v>
      </c>
      <c r="L249" t="s">
        <v>10</v>
      </c>
      <c r="M249" t="s">
        <v>22</v>
      </c>
    </row>
    <row r="250" spans="1:13" x14ac:dyDescent="0.45">
      <c r="A250" t="s">
        <v>9</v>
      </c>
      <c r="B250" t="s">
        <v>104</v>
      </c>
      <c r="C250">
        <v>2025</v>
      </c>
      <c r="D250">
        <v>58</v>
      </c>
      <c r="E250">
        <v>0.03</v>
      </c>
      <c r="F250">
        <v>0.03</v>
      </c>
      <c r="G250">
        <v>0.01</v>
      </c>
      <c r="H250">
        <v>0.01</v>
      </c>
      <c r="I250">
        <v>7.0000000000000007E-2</v>
      </c>
      <c r="J250">
        <v>0.02</v>
      </c>
      <c r="K250">
        <v>0.04</v>
      </c>
      <c r="L250" t="s">
        <v>10</v>
      </c>
      <c r="M250" t="s">
        <v>22</v>
      </c>
    </row>
    <row r="251" spans="1:13" x14ac:dyDescent="0.45">
      <c r="A251" t="s">
        <v>9</v>
      </c>
      <c r="B251" t="s">
        <v>104</v>
      </c>
      <c r="C251">
        <v>2030</v>
      </c>
      <c r="D251">
        <v>63</v>
      </c>
      <c r="E251">
        <v>0.03</v>
      </c>
      <c r="F251">
        <v>0.03</v>
      </c>
      <c r="G251">
        <v>0.01</v>
      </c>
      <c r="H251">
        <v>0</v>
      </c>
      <c r="I251">
        <v>0.08</v>
      </c>
      <c r="J251">
        <v>0.02</v>
      </c>
      <c r="K251">
        <v>0.04</v>
      </c>
      <c r="L251" t="s">
        <v>10</v>
      </c>
      <c r="M251" t="s">
        <v>22</v>
      </c>
    </row>
    <row r="252" spans="1:13" x14ac:dyDescent="0.45">
      <c r="A252" t="s">
        <v>9</v>
      </c>
      <c r="B252" t="s">
        <v>104</v>
      </c>
      <c r="C252">
        <v>2035</v>
      </c>
      <c r="D252">
        <v>58</v>
      </c>
      <c r="E252">
        <v>0.04</v>
      </c>
      <c r="F252">
        <v>0.04</v>
      </c>
      <c r="G252">
        <v>0.01</v>
      </c>
      <c r="H252">
        <v>0.02</v>
      </c>
      <c r="I252">
        <v>7.0000000000000007E-2</v>
      </c>
      <c r="J252">
        <v>0.03</v>
      </c>
      <c r="K252">
        <v>0.05</v>
      </c>
      <c r="L252" t="s">
        <v>10</v>
      </c>
      <c r="M252" t="s">
        <v>22</v>
      </c>
    </row>
    <row r="253" spans="1:13" x14ac:dyDescent="0.45">
      <c r="A253" t="s">
        <v>9</v>
      </c>
      <c r="B253" t="s">
        <v>104</v>
      </c>
      <c r="C253">
        <v>2040</v>
      </c>
      <c r="D253">
        <v>63</v>
      </c>
      <c r="E253">
        <v>0.04</v>
      </c>
      <c r="F253">
        <v>0.04</v>
      </c>
      <c r="G253">
        <v>0.02</v>
      </c>
      <c r="H253">
        <v>0</v>
      </c>
      <c r="I253">
        <v>0.08</v>
      </c>
      <c r="J253">
        <v>0.03</v>
      </c>
      <c r="K253">
        <v>0.05</v>
      </c>
      <c r="L253" t="s">
        <v>10</v>
      </c>
      <c r="M253" t="s">
        <v>22</v>
      </c>
    </row>
    <row r="254" spans="1:13" x14ac:dyDescent="0.45">
      <c r="A254" t="s">
        <v>9</v>
      </c>
      <c r="B254" t="s">
        <v>104</v>
      </c>
      <c r="C254">
        <v>2045</v>
      </c>
      <c r="D254">
        <v>58</v>
      </c>
      <c r="E254">
        <v>0.05</v>
      </c>
      <c r="F254">
        <v>0.05</v>
      </c>
      <c r="G254">
        <v>0.02</v>
      </c>
      <c r="H254">
        <v>0.02</v>
      </c>
      <c r="I254">
        <v>0.09</v>
      </c>
      <c r="J254">
        <v>0.04</v>
      </c>
      <c r="K254">
        <v>0.06</v>
      </c>
      <c r="L254" t="s">
        <v>10</v>
      </c>
      <c r="M254" t="s">
        <v>22</v>
      </c>
    </row>
    <row r="255" spans="1:13" x14ac:dyDescent="0.45">
      <c r="A255" t="s">
        <v>9</v>
      </c>
      <c r="B255" t="s">
        <v>104</v>
      </c>
      <c r="C255">
        <v>2050</v>
      </c>
      <c r="D255">
        <v>63</v>
      </c>
      <c r="E255">
        <v>0.06</v>
      </c>
      <c r="F255">
        <v>0.06</v>
      </c>
      <c r="G255">
        <v>0.03</v>
      </c>
      <c r="H255">
        <v>0</v>
      </c>
      <c r="I255">
        <v>0.13</v>
      </c>
      <c r="J255">
        <v>0.04</v>
      </c>
      <c r="K255">
        <v>7.0000000000000007E-2</v>
      </c>
      <c r="L255" t="s">
        <v>10</v>
      </c>
      <c r="M255" t="s">
        <v>22</v>
      </c>
    </row>
    <row r="256" spans="1:13" x14ac:dyDescent="0.45">
      <c r="A256" t="s">
        <v>0</v>
      </c>
      <c r="B256" t="s">
        <v>104</v>
      </c>
      <c r="C256">
        <v>2020</v>
      </c>
      <c r="D256">
        <v>32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104</v>
      </c>
      <c r="C257">
        <v>2025</v>
      </c>
      <c r="D257">
        <v>45</v>
      </c>
      <c r="E257">
        <v>65535</v>
      </c>
      <c r="F257">
        <v>4.7300000000000004</v>
      </c>
      <c r="H257">
        <v>1.48</v>
      </c>
      <c r="I257">
        <v>65535</v>
      </c>
      <c r="J257">
        <v>2.0299999999999998</v>
      </c>
      <c r="L257" t="s">
        <v>1</v>
      </c>
      <c r="M257" t="s">
        <v>68</v>
      </c>
    </row>
    <row r="258" spans="1:13" x14ac:dyDescent="0.45">
      <c r="A258" t="s">
        <v>0</v>
      </c>
      <c r="B258" t="s">
        <v>104</v>
      </c>
      <c r="C258">
        <v>2030</v>
      </c>
      <c r="D258">
        <v>45</v>
      </c>
      <c r="E258">
        <v>65535</v>
      </c>
      <c r="F258">
        <v>6.24</v>
      </c>
      <c r="H258">
        <v>1.1499999999999999</v>
      </c>
      <c r="I258">
        <v>65535</v>
      </c>
      <c r="J258">
        <v>3.89</v>
      </c>
      <c r="L258" t="s">
        <v>1</v>
      </c>
      <c r="M258" t="s">
        <v>68</v>
      </c>
    </row>
    <row r="259" spans="1:13" x14ac:dyDescent="0.45">
      <c r="A259" t="s">
        <v>0</v>
      </c>
      <c r="B259" t="s">
        <v>104</v>
      </c>
      <c r="C259">
        <v>2035</v>
      </c>
      <c r="D259">
        <v>44</v>
      </c>
      <c r="E259">
        <v>65535</v>
      </c>
      <c r="F259">
        <v>6.77</v>
      </c>
      <c r="H259">
        <v>1.51</v>
      </c>
      <c r="I259">
        <v>65535</v>
      </c>
      <c r="J259">
        <v>5.48</v>
      </c>
      <c r="L259" t="s">
        <v>1</v>
      </c>
      <c r="M259" t="s">
        <v>68</v>
      </c>
    </row>
    <row r="260" spans="1:13" x14ac:dyDescent="0.45">
      <c r="A260" t="s">
        <v>0</v>
      </c>
      <c r="B260" t="s">
        <v>104</v>
      </c>
      <c r="C260">
        <v>2040</v>
      </c>
      <c r="D260">
        <v>44</v>
      </c>
      <c r="E260">
        <v>65535</v>
      </c>
      <c r="F260">
        <v>9.09</v>
      </c>
      <c r="H260">
        <v>1.58</v>
      </c>
      <c r="I260">
        <v>65535</v>
      </c>
      <c r="J260">
        <v>6.22</v>
      </c>
      <c r="L260" t="s">
        <v>1</v>
      </c>
      <c r="M260" t="s">
        <v>68</v>
      </c>
    </row>
    <row r="261" spans="1:13" x14ac:dyDescent="0.45">
      <c r="A261" t="s">
        <v>0</v>
      </c>
      <c r="B261" t="s">
        <v>104</v>
      </c>
      <c r="C261">
        <v>2045</v>
      </c>
      <c r="D261">
        <v>44</v>
      </c>
      <c r="E261">
        <v>65535</v>
      </c>
      <c r="F261">
        <v>10.95</v>
      </c>
      <c r="H261">
        <v>2.0699999999999998</v>
      </c>
      <c r="I261">
        <v>65535</v>
      </c>
      <c r="J261">
        <v>7.06</v>
      </c>
      <c r="L261" t="s">
        <v>1</v>
      </c>
      <c r="M261" t="s">
        <v>68</v>
      </c>
    </row>
    <row r="262" spans="1:13" x14ac:dyDescent="0.45">
      <c r="A262" t="s">
        <v>0</v>
      </c>
      <c r="B262" t="s">
        <v>104</v>
      </c>
      <c r="C262">
        <v>2050</v>
      </c>
      <c r="D262">
        <v>44</v>
      </c>
      <c r="E262">
        <v>65535</v>
      </c>
      <c r="F262">
        <v>12.4</v>
      </c>
      <c r="H262">
        <v>2.27</v>
      </c>
      <c r="I262">
        <v>65535</v>
      </c>
      <c r="J262">
        <v>6.97</v>
      </c>
      <c r="L262" t="s">
        <v>1</v>
      </c>
      <c r="M262" t="s">
        <v>68</v>
      </c>
    </row>
    <row r="263" spans="1:13" x14ac:dyDescent="0.45">
      <c r="A263" t="s">
        <v>2</v>
      </c>
      <c r="B263" t="s">
        <v>104</v>
      </c>
      <c r="C263">
        <v>2020</v>
      </c>
      <c r="D263">
        <v>30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104</v>
      </c>
      <c r="C264">
        <v>2025</v>
      </c>
      <c r="D264">
        <v>42</v>
      </c>
      <c r="E264">
        <v>65535</v>
      </c>
      <c r="F264">
        <v>1.77</v>
      </c>
      <c r="H264">
        <v>1.01</v>
      </c>
      <c r="I264">
        <v>65535</v>
      </c>
      <c r="J264">
        <v>1.25</v>
      </c>
      <c r="L264" t="s">
        <v>3</v>
      </c>
      <c r="M264" t="s">
        <v>68</v>
      </c>
    </row>
    <row r="265" spans="1:13" x14ac:dyDescent="0.45">
      <c r="A265" t="s">
        <v>2</v>
      </c>
      <c r="B265" t="s">
        <v>104</v>
      </c>
      <c r="C265">
        <v>2030</v>
      </c>
      <c r="D265">
        <v>42</v>
      </c>
      <c r="E265">
        <v>65535</v>
      </c>
      <c r="F265">
        <v>1.74</v>
      </c>
      <c r="H265">
        <v>1.05</v>
      </c>
      <c r="I265">
        <v>65535</v>
      </c>
      <c r="J265">
        <v>1.27</v>
      </c>
      <c r="L265" t="s">
        <v>3</v>
      </c>
      <c r="M265" t="s">
        <v>68</v>
      </c>
    </row>
    <row r="266" spans="1:13" x14ac:dyDescent="0.45">
      <c r="A266" t="s">
        <v>2</v>
      </c>
      <c r="B266" t="s">
        <v>104</v>
      </c>
      <c r="C266">
        <v>2035</v>
      </c>
      <c r="D266">
        <v>42</v>
      </c>
      <c r="E266">
        <v>65535</v>
      </c>
      <c r="F266">
        <v>2.5299999999999998</v>
      </c>
      <c r="H266">
        <v>1.05</v>
      </c>
      <c r="I266">
        <v>65535</v>
      </c>
      <c r="J266">
        <v>1.83</v>
      </c>
      <c r="L266" t="s">
        <v>3</v>
      </c>
      <c r="M266" t="s">
        <v>68</v>
      </c>
    </row>
    <row r="267" spans="1:13" x14ac:dyDescent="0.45">
      <c r="A267" t="s">
        <v>2</v>
      </c>
      <c r="B267" t="s">
        <v>104</v>
      </c>
      <c r="C267">
        <v>2040</v>
      </c>
      <c r="D267">
        <v>42</v>
      </c>
      <c r="E267">
        <v>65535</v>
      </c>
      <c r="F267">
        <v>2.78</v>
      </c>
      <c r="H267">
        <v>1.04</v>
      </c>
      <c r="I267">
        <v>65535</v>
      </c>
      <c r="J267">
        <v>1.84</v>
      </c>
      <c r="L267" t="s">
        <v>3</v>
      </c>
      <c r="M267" t="s">
        <v>68</v>
      </c>
    </row>
    <row r="268" spans="1:13" x14ac:dyDescent="0.45">
      <c r="A268" t="s">
        <v>2</v>
      </c>
      <c r="B268" t="s">
        <v>104</v>
      </c>
      <c r="C268">
        <v>2045</v>
      </c>
      <c r="D268">
        <v>42</v>
      </c>
      <c r="E268">
        <v>65535</v>
      </c>
      <c r="F268">
        <v>3.56</v>
      </c>
      <c r="H268">
        <v>1.1000000000000001</v>
      </c>
      <c r="I268">
        <v>65535</v>
      </c>
      <c r="J268">
        <v>2.4700000000000002</v>
      </c>
      <c r="L268" t="s">
        <v>3</v>
      </c>
      <c r="M268" t="s">
        <v>68</v>
      </c>
    </row>
    <row r="269" spans="1:13" x14ac:dyDescent="0.45">
      <c r="A269" t="s">
        <v>2</v>
      </c>
      <c r="B269" t="s">
        <v>104</v>
      </c>
      <c r="C269">
        <v>2050</v>
      </c>
      <c r="D269">
        <v>42</v>
      </c>
      <c r="E269">
        <v>65535</v>
      </c>
      <c r="F269">
        <v>3.2</v>
      </c>
      <c r="H269">
        <v>1.2</v>
      </c>
      <c r="I269">
        <v>65535</v>
      </c>
      <c r="J269">
        <v>2.5</v>
      </c>
      <c r="L269" t="s">
        <v>3</v>
      </c>
      <c r="M269" t="s">
        <v>68</v>
      </c>
    </row>
    <row r="270" spans="1:13" x14ac:dyDescent="0.45">
      <c r="A270" t="s">
        <v>5</v>
      </c>
      <c r="B270" t="s">
        <v>104</v>
      </c>
      <c r="C270">
        <v>2020</v>
      </c>
      <c r="D270">
        <v>76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104</v>
      </c>
      <c r="C271">
        <v>2025</v>
      </c>
      <c r="D271">
        <v>113</v>
      </c>
      <c r="E271">
        <v>65535</v>
      </c>
      <c r="F271">
        <v>2.89</v>
      </c>
      <c r="H271">
        <v>1.02</v>
      </c>
      <c r="I271">
        <v>65535</v>
      </c>
      <c r="J271">
        <v>1.64</v>
      </c>
      <c r="L271" t="s">
        <v>6</v>
      </c>
      <c r="M271" t="s">
        <v>68</v>
      </c>
    </row>
    <row r="272" spans="1:13" x14ac:dyDescent="0.45">
      <c r="A272" t="s">
        <v>5</v>
      </c>
      <c r="B272" t="s">
        <v>104</v>
      </c>
      <c r="C272">
        <v>2030</v>
      </c>
      <c r="D272">
        <v>113</v>
      </c>
      <c r="E272">
        <v>65535</v>
      </c>
      <c r="F272">
        <v>3.57</v>
      </c>
      <c r="H272">
        <v>1.04</v>
      </c>
      <c r="I272">
        <v>65535</v>
      </c>
      <c r="J272">
        <v>1.82</v>
      </c>
      <c r="L272" t="s">
        <v>6</v>
      </c>
      <c r="M272" t="s">
        <v>68</v>
      </c>
    </row>
    <row r="273" spans="1:13" x14ac:dyDescent="0.45">
      <c r="A273" t="s">
        <v>5</v>
      </c>
      <c r="B273" t="s">
        <v>104</v>
      </c>
      <c r="C273">
        <v>2035</v>
      </c>
      <c r="D273">
        <v>113</v>
      </c>
      <c r="E273">
        <v>65535</v>
      </c>
      <c r="F273">
        <v>3.71</v>
      </c>
      <c r="H273">
        <v>1.05</v>
      </c>
      <c r="I273">
        <v>65535</v>
      </c>
      <c r="J273">
        <v>2.56</v>
      </c>
      <c r="L273" t="s">
        <v>6</v>
      </c>
      <c r="M273" t="s">
        <v>68</v>
      </c>
    </row>
    <row r="274" spans="1:13" x14ac:dyDescent="0.45">
      <c r="A274" t="s">
        <v>5</v>
      </c>
      <c r="B274" t="s">
        <v>104</v>
      </c>
      <c r="C274">
        <v>2040</v>
      </c>
      <c r="D274">
        <v>113</v>
      </c>
      <c r="E274">
        <v>65535</v>
      </c>
      <c r="F274">
        <v>3.69</v>
      </c>
      <c r="H274">
        <v>1.06</v>
      </c>
      <c r="I274">
        <v>65535</v>
      </c>
      <c r="J274">
        <v>2.93</v>
      </c>
      <c r="L274" t="s">
        <v>6</v>
      </c>
      <c r="M274" t="s">
        <v>68</v>
      </c>
    </row>
    <row r="275" spans="1:13" x14ac:dyDescent="0.45">
      <c r="A275" t="s">
        <v>5</v>
      </c>
      <c r="B275" t="s">
        <v>104</v>
      </c>
      <c r="C275">
        <v>2045</v>
      </c>
      <c r="D275">
        <v>113</v>
      </c>
      <c r="E275">
        <v>65535</v>
      </c>
      <c r="F275">
        <v>4.1100000000000003</v>
      </c>
      <c r="H275">
        <v>1.08</v>
      </c>
      <c r="I275">
        <v>65535</v>
      </c>
      <c r="J275">
        <v>3.45</v>
      </c>
      <c r="L275" t="s">
        <v>6</v>
      </c>
      <c r="M275" t="s">
        <v>68</v>
      </c>
    </row>
    <row r="276" spans="1:13" x14ac:dyDescent="0.45">
      <c r="A276" t="s">
        <v>5</v>
      </c>
      <c r="B276" t="s">
        <v>104</v>
      </c>
      <c r="C276">
        <v>2050</v>
      </c>
      <c r="D276">
        <v>113</v>
      </c>
      <c r="E276">
        <v>65535</v>
      </c>
      <c r="F276">
        <v>4.49</v>
      </c>
      <c r="H276">
        <v>1.1100000000000001</v>
      </c>
      <c r="I276">
        <v>65535</v>
      </c>
      <c r="J276">
        <v>3.65</v>
      </c>
      <c r="L276" t="s">
        <v>6</v>
      </c>
      <c r="M276" t="s">
        <v>68</v>
      </c>
    </row>
    <row r="277" spans="1:13" x14ac:dyDescent="0.45">
      <c r="A277" t="s">
        <v>7</v>
      </c>
      <c r="B277" t="s">
        <v>104</v>
      </c>
      <c r="C277">
        <v>2020</v>
      </c>
      <c r="D277">
        <v>24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104</v>
      </c>
      <c r="C278">
        <v>2025</v>
      </c>
      <c r="D278">
        <v>30</v>
      </c>
      <c r="E278">
        <v>65535</v>
      </c>
      <c r="F278">
        <v>1.25</v>
      </c>
      <c r="H278">
        <v>1.02</v>
      </c>
      <c r="I278">
        <v>65535</v>
      </c>
      <c r="J278">
        <v>1.02</v>
      </c>
      <c r="K278">
        <v>1.46</v>
      </c>
      <c r="L278" t="s">
        <v>8</v>
      </c>
      <c r="M278" t="s">
        <v>68</v>
      </c>
    </row>
    <row r="279" spans="1:13" x14ac:dyDescent="0.45">
      <c r="A279" t="s">
        <v>7</v>
      </c>
      <c r="B279" t="s">
        <v>104</v>
      </c>
      <c r="C279">
        <v>2030</v>
      </c>
      <c r="D279">
        <v>30</v>
      </c>
      <c r="E279">
        <v>65535</v>
      </c>
      <c r="F279">
        <v>1.57</v>
      </c>
      <c r="H279">
        <v>1.01</v>
      </c>
      <c r="I279">
        <v>65535</v>
      </c>
      <c r="J279">
        <v>1.04</v>
      </c>
      <c r="K279">
        <v>1.88</v>
      </c>
      <c r="L279" t="s">
        <v>8</v>
      </c>
      <c r="M279" t="s">
        <v>68</v>
      </c>
    </row>
    <row r="280" spans="1:13" x14ac:dyDescent="0.45">
      <c r="A280" t="s">
        <v>7</v>
      </c>
      <c r="B280" t="s">
        <v>104</v>
      </c>
      <c r="C280">
        <v>2035</v>
      </c>
      <c r="D280">
        <v>30</v>
      </c>
      <c r="E280">
        <v>65535</v>
      </c>
      <c r="F280">
        <v>1.86</v>
      </c>
      <c r="H280">
        <v>0.84</v>
      </c>
      <c r="I280">
        <v>65535</v>
      </c>
      <c r="J280">
        <v>1.71</v>
      </c>
      <c r="K280">
        <v>2.14</v>
      </c>
      <c r="L280" t="s">
        <v>8</v>
      </c>
      <c r="M280" t="s">
        <v>68</v>
      </c>
    </row>
    <row r="281" spans="1:13" x14ac:dyDescent="0.45">
      <c r="A281" t="s">
        <v>7</v>
      </c>
      <c r="B281" t="s">
        <v>104</v>
      </c>
      <c r="C281">
        <v>2040</v>
      </c>
      <c r="D281">
        <v>30</v>
      </c>
      <c r="E281">
        <v>65535</v>
      </c>
      <c r="F281">
        <v>2.17</v>
      </c>
      <c r="H281">
        <v>0.95</v>
      </c>
      <c r="I281">
        <v>65535</v>
      </c>
      <c r="J281">
        <v>1.99</v>
      </c>
      <c r="K281">
        <v>2.46</v>
      </c>
      <c r="L281" t="s">
        <v>8</v>
      </c>
      <c r="M281" t="s">
        <v>68</v>
      </c>
    </row>
    <row r="282" spans="1:13" x14ac:dyDescent="0.45">
      <c r="A282" t="s">
        <v>7</v>
      </c>
      <c r="B282" t="s">
        <v>104</v>
      </c>
      <c r="C282">
        <v>2045</v>
      </c>
      <c r="D282">
        <v>30</v>
      </c>
      <c r="E282">
        <v>65535</v>
      </c>
      <c r="F282">
        <v>2.38</v>
      </c>
      <c r="H282">
        <v>0.93</v>
      </c>
      <c r="I282">
        <v>65535</v>
      </c>
      <c r="J282">
        <v>2.1800000000000002</v>
      </c>
      <c r="K282">
        <v>2.88</v>
      </c>
      <c r="L282" t="s">
        <v>8</v>
      </c>
      <c r="M282" t="s">
        <v>68</v>
      </c>
    </row>
    <row r="283" spans="1:13" x14ac:dyDescent="0.45">
      <c r="A283" t="s">
        <v>7</v>
      </c>
      <c r="B283" t="s">
        <v>104</v>
      </c>
      <c r="C283">
        <v>2050</v>
      </c>
      <c r="D283">
        <v>30</v>
      </c>
      <c r="E283">
        <v>65535</v>
      </c>
      <c r="F283">
        <v>2.5499999999999998</v>
      </c>
      <c r="H283">
        <v>0.92</v>
      </c>
      <c r="I283">
        <v>65535</v>
      </c>
      <c r="J283">
        <v>2.16</v>
      </c>
      <c r="K283">
        <v>2.95</v>
      </c>
      <c r="L283" t="s">
        <v>8</v>
      </c>
      <c r="M283" t="s">
        <v>68</v>
      </c>
    </row>
    <row r="284" spans="1:13" x14ac:dyDescent="0.45">
      <c r="A284" t="s">
        <v>9</v>
      </c>
      <c r="B284" t="s">
        <v>104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104</v>
      </c>
      <c r="C285">
        <v>2025</v>
      </c>
      <c r="D285">
        <v>48</v>
      </c>
      <c r="E285">
        <v>65535</v>
      </c>
      <c r="F285">
        <v>1.24</v>
      </c>
      <c r="H285">
        <v>0.86</v>
      </c>
      <c r="I285">
        <v>65535</v>
      </c>
      <c r="J285">
        <v>1.04</v>
      </c>
      <c r="K285">
        <v>1.93</v>
      </c>
      <c r="L285" t="s">
        <v>10</v>
      </c>
      <c r="M285" t="s">
        <v>68</v>
      </c>
    </row>
    <row r="286" spans="1:13" x14ac:dyDescent="0.45">
      <c r="A286" t="s">
        <v>9</v>
      </c>
      <c r="B286" t="s">
        <v>104</v>
      </c>
      <c r="C286">
        <v>2030</v>
      </c>
      <c r="D286">
        <v>48</v>
      </c>
      <c r="E286">
        <v>65535</v>
      </c>
      <c r="F286">
        <v>1.32</v>
      </c>
      <c r="H286">
        <v>1</v>
      </c>
      <c r="I286">
        <v>65535</v>
      </c>
      <c r="J286">
        <v>1.1399999999999999</v>
      </c>
      <c r="K286">
        <v>2.46</v>
      </c>
      <c r="L286" t="s">
        <v>10</v>
      </c>
      <c r="M286" t="s">
        <v>68</v>
      </c>
    </row>
    <row r="287" spans="1:13" x14ac:dyDescent="0.45">
      <c r="A287" t="s">
        <v>9</v>
      </c>
      <c r="B287" t="s">
        <v>104</v>
      </c>
      <c r="C287">
        <v>2035</v>
      </c>
      <c r="D287">
        <v>48</v>
      </c>
      <c r="E287">
        <v>65535</v>
      </c>
      <c r="F287">
        <v>1.39</v>
      </c>
      <c r="H287">
        <v>0.97</v>
      </c>
      <c r="I287">
        <v>65535</v>
      </c>
      <c r="J287">
        <v>1.19</v>
      </c>
      <c r="K287">
        <v>2.04</v>
      </c>
      <c r="L287" t="s">
        <v>10</v>
      </c>
      <c r="M287" t="s">
        <v>68</v>
      </c>
    </row>
    <row r="288" spans="1:13" x14ac:dyDescent="0.45">
      <c r="A288" t="s">
        <v>9</v>
      </c>
      <c r="B288" t="s">
        <v>104</v>
      </c>
      <c r="C288">
        <v>2040</v>
      </c>
      <c r="D288">
        <v>48</v>
      </c>
      <c r="E288">
        <v>65535</v>
      </c>
      <c r="F288">
        <v>1.28</v>
      </c>
      <c r="H288">
        <v>1</v>
      </c>
      <c r="I288">
        <v>65535</v>
      </c>
      <c r="J288">
        <v>1.1000000000000001</v>
      </c>
      <c r="K288">
        <v>2.34</v>
      </c>
      <c r="L288" t="s">
        <v>10</v>
      </c>
      <c r="M288" t="s">
        <v>68</v>
      </c>
    </row>
    <row r="289" spans="1:13" x14ac:dyDescent="0.45">
      <c r="A289" t="s">
        <v>9</v>
      </c>
      <c r="B289" t="s">
        <v>104</v>
      </c>
      <c r="C289">
        <v>2045</v>
      </c>
      <c r="D289">
        <v>48</v>
      </c>
      <c r="E289">
        <v>65535</v>
      </c>
      <c r="F289">
        <v>1.51</v>
      </c>
      <c r="H289">
        <v>1.05</v>
      </c>
      <c r="I289">
        <v>65535</v>
      </c>
      <c r="J289">
        <v>1.21</v>
      </c>
      <c r="K289">
        <v>2.25</v>
      </c>
      <c r="L289" t="s">
        <v>10</v>
      </c>
      <c r="M289" t="s">
        <v>68</v>
      </c>
    </row>
    <row r="290" spans="1:13" x14ac:dyDescent="0.45">
      <c r="A290" t="s">
        <v>9</v>
      </c>
      <c r="B290" t="s">
        <v>104</v>
      </c>
      <c r="C290">
        <v>2050</v>
      </c>
      <c r="D290">
        <v>48</v>
      </c>
      <c r="E290">
        <v>65535</v>
      </c>
      <c r="F290">
        <v>1.6</v>
      </c>
      <c r="H290">
        <v>1.07</v>
      </c>
      <c r="I290">
        <v>65535</v>
      </c>
      <c r="J290">
        <v>1.23</v>
      </c>
      <c r="K290">
        <v>2.7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104</v>
      </c>
      <c r="C291">
        <v>2020</v>
      </c>
      <c r="D291">
        <v>48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104</v>
      </c>
      <c r="C292">
        <v>2025</v>
      </c>
      <c r="D292">
        <v>50</v>
      </c>
      <c r="E292">
        <v>65535</v>
      </c>
      <c r="F292">
        <v>1.54</v>
      </c>
      <c r="H292">
        <v>-16.25</v>
      </c>
      <c r="I292">
        <v>65535</v>
      </c>
      <c r="J292">
        <v>1.31</v>
      </c>
      <c r="K292">
        <v>1.77</v>
      </c>
      <c r="L292" t="s">
        <v>1</v>
      </c>
      <c r="M292" t="s">
        <v>69</v>
      </c>
    </row>
    <row r="293" spans="1:13" x14ac:dyDescent="0.45">
      <c r="A293" t="s">
        <v>0</v>
      </c>
      <c r="B293" t="s">
        <v>104</v>
      </c>
      <c r="C293">
        <v>2030</v>
      </c>
      <c r="D293">
        <v>50</v>
      </c>
      <c r="E293">
        <v>65535</v>
      </c>
      <c r="F293">
        <v>2.48</v>
      </c>
      <c r="H293">
        <v>-15.85</v>
      </c>
      <c r="I293">
        <v>65535</v>
      </c>
      <c r="J293">
        <v>1.72</v>
      </c>
      <c r="K293">
        <v>3.1</v>
      </c>
      <c r="L293" t="s">
        <v>1</v>
      </c>
      <c r="M293" t="s">
        <v>69</v>
      </c>
    </row>
    <row r="294" spans="1:13" x14ac:dyDescent="0.45">
      <c r="A294" t="s">
        <v>0</v>
      </c>
      <c r="B294" t="s">
        <v>104</v>
      </c>
      <c r="C294">
        <v>2035</v>
      </c>
      <c r="D294">
        <v>50</v>
      </c>
      <c r="E294">
        <v>65535</v>
      </c>
      <c r="F294">
        <v>2.44</v>
      </c>
      <c r="H294">
        <v>-14.22</v>
      </c>
      <c r="I294">
        <v>65535</v>
      </c>
      <c r="J294">
        <v>1.79</v>
      </c>
      <c r="K294">
        <v>3.07</v>
      </c>
      <c r="L294" t="s">
        <v>1</v>
      </c>
      <c r="M294" t="s">
        <v>69</v>
      </c>
    </row>
    <row r="295" spans="1:13" x14ac:dyDescent="0.45">
      <c r="A295" t="s">
        <v>0</v>
      </c>
      <c r="B295" t="s">
        <v>104</v>
      </c>
      <c r="C295">
        <v>2040</v>
      </c>
      <c r="D295">
        <v>50</v>
      </c>
      <c r="E295">
        <v>65535</v>
      </c>
      <c r="F295">
        <v>3.11</v>
      </c>
      <c r="H295">
        <v>-7.23</v>
      </c>
      <c r="I295">
        <v>65535</v>
      </c>
      <c r="J295">
        <v>2.6</v>
      </c>
      <c r="K295">
        <v>4.07</v>
      </c>
      <c r="L295" t="s">
        <v>1</v>
      </c>
      <c r="M295" t="s">
        <v>69</v>
      </c>
    </row>
    <row r="296" spans="1:13" x14ac:dyDescent="0.45">
      <c r="A296" t="s">
        <v>0</v>
      </c>
      <c r="B296" t="s">
        <v>104</v>
      </c>
      <c r="C296">
        <v>2045</v>
      </c>
      <c r="D296">
        <v>50</v>
      </c>
      <c r="E296">
        <v>65535</v>
      </c>
      <c r="F296">
        <v>3.46</v>
      </c>
      <c r="H296">
        <v>-15.97</v>
      </c>
      <c r="I296">
        <v>65535</v>
      </c>
      <c r="J296">
        <v>2.76</v>
      </c>
      <c r="K296">
        <v>4.66</v>
      </c>
      <c r="L296" t="s">
        <v>1</v>
      </c>
      <c r="M296" t="s">
        <v>69</v>
      </c>
    </row>
    <row r="297" spans="1:13" x14ac:dyDescent="0.45">
      <c r="A297" t="s">
        <v>0</v>
      </c>
      <c r="B297" t="s">
        <v>104</v>
      </c>
      <c r="C297">
        <v>2050</v>
      </c>
      <c r="D297">
        <v>50</v>
      </c>
      <c r="E297">
        <v>65535</v>
      </c>
      <c r="F297">
        <v>4.0199999999999996</v>
      </c>
      <c r="H297">
        <v>-22.11</v>
      </c>
      <c r="I297">
        <v>65535</v>
      </c>
      <c r="J297">
        <v>2.88</v>
      </c>
      <c r="K297">
        <v>5.49</v>
      </c>
      <c r="L297" t="s">
        <v>1</v>
      </c>
      <c r="M297" t="s">
        <v>69</v>
      </c>
    </row>
    <row r="298" spans="1:13" x14ac:dyDescent="0.45">
      <c r="A298" t="s">
        <v>2</v>
      </c>
      <c r="B298" t="s">
        <v>104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104</v>
      </c>
      <c r="C299">
        <v>2025</v>
      </c>
      <c r="D299">
        <v>52</v>
      </c>
      <c r="E299">
        <v>65535</v>
      </c>
      <c r="F299">
        <v>1.27</v>
      </c>
      <c r="H299">
        <v>0.88</v>
      </c>
      <c r="I299">
        <v>65535</v>
      </c>
      <c r="J299">
        <v>1.17</v>
      </c>
      <c r="K299">
        <v>1.48</v>
      </c>
      <c r="L299" t="s">
        <v>3</v>
      </c>
      <c r="M299" t="s">
        <v>69</v>
      </c>
    </row>
    <row r="300" spans="1:13" x14ac:dyDescent="0.45">
      <c r="A300" t="s">
        <v>2</v>
      </c>
      <c r="B300" t="s">
        <v>104</v>
      </c>
      <c r="C300">
        <v>2030</v>
      </c>
      <c r="D300">
        <v>63</v>
      </c>
      <c r="E300">
        <v>65535</v>
      </c>
      <c r="F300">
        <v>1.53</v>
      </c>
      <c r="H300">
        <v>0.81</v>
      </c>
      <c r="I300">
        <v>65535</v>
      </c>
      <c r="J300">
        <v>1.29</v>
      </c>
      <c r="K300">
        <v>2.0499999999999998</v>
      </c>
      <c r="L300" t="s">
        <v>3</v>
      </c>
      <c r="M300" t="s">
        <v>69</v>
      </c>
    </row>
    <row r="301" spans="1:13" x14ac:dyDescent="0.45">
      <c r="A301" t="s">
        <v>2</v>
      </c>
      <c r="B301" t="s">
        <v>104</v>
      </c>
      <c r="C301">
        <v>2035</v>
      </c>
      <c r="D301">
        <v>52</v>
      </c>
      <c r="E301">
        <v>65535</v>
      </c>
      <c r="F301">
        <v>1.87</v>
      </c>
      <c r="H301">
        <v>0.36</v>
      </c>
      <c r="I301">
        <v>65535</v>
      </c>
      <c r="J301">
        <v>1.19</v>
      </c>
      <c r="K301">
        <v>2.67</v>
      </c>
      <c r="L301" t="s">
        <v>3</v>
      </c>
      <c r="M301" t="s">
        <v>69</v>
      </c>
    </row>
    <row r="302" spans="1:13" x14ac:dyDescent="0.45">
      <c r="A302" t="s">
        <v>2</v>
      </c>
      <c r="B302" t="s">
        <v>104</v>
      </c>
      <c r="C302">
        <v>2040</v>
      </c>
      <c r="D302">
        <v>63</v>
      </c>
      <c r="E302">
        <v>65535</v>
      </c>
      <c r="F302">
        <v>1.98</v>
      </c>
      <c r="H302">
        <v>-4.24</v>
      </c>
      <c r="I302">
        <v>65535</v>
      </c>
      <c r="J302">
        <v>1.37</v>
      </c>
      <c r="K302">
        <v>2.8</v>
      </c>
      <c r="L302" t="s">
        <v>3</v>
      </c>
      <c r="M302" t="s">
        <v>69</v>
      </c>
    </row>
    <row r="303" spans="1:13" x14ac:dyDescent="0.45">
      <c r="A303" t="s">
        <v>2</v>
      </c>
      <c r="B303" t="s">
        <v>104</v>
      </c>
      <c r="C303">
        <v>2045</v>
      </c>
      <c r="D303">
        <v>52</v>
      </c>
      <c r="E303">
        <v>65535</v>
      </c>
      <c r="F303">
        <v>2.27</v>
      </c>
      <c r="H303">
        <v>-3.34</v>
      </c>
      <c r="I303">
        <v>65535</v>
      </c>
      <c r="J303">
        <v>1.61</v>
      </c>
      <c r="K303">
        <v>3.06</v>
      </c>
      <c r="L303" t="s">
        <v>3</v>
      </c>
      <c r="M303" t="s">
        <v>69</v>
      </c>
    </row>
    <row r="304" spans="1:13" x14ac:dyDescent="0.45">
      <c r="A304" t="s">
        <v>2</v>
      </c>
      <c r="B304" t="s">
        <v>104</v>
      </c>
      <c r="C304">
        <v>2050</v>
      </c>
      <c r="D304">
        <v>63</v>
      </c>
      <c r="E304">
        <v>65535</v>
      </c>
      <c r="F304">
        <v>2.17</v>
      </c>
      <c r="H304">
        <v>-3.27</v>
      </c>
      <c r="I304">
        <v>65535</v>
      </c>
      <c r="J304">
        <v>1.49</v>
      </c>
      <c r="K304">
        <v>3.64</v>
      </c>
      <c r="L304" t="s">
        <v>3</v>
      </c>
      <c r="M304" t="s">
        <v>69</v>
      </c>
    </row>
    <row r="305" spans="1:13" x14ac:dyDescent="0.45">
      <c r="A305" t="s">
        <v>5</v>
      </c>
      <c r="B305" t="s">
        <v>104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104</v>
      </c>
      <c r="C306">
        <v>2025</v>
      </c>
      <c r="D306">
        <v>163</v>
      </c>
      <c r="E306">
        <v>65535</v>
      </c>
      <c r="F306">
        <v>1.21</v>
      </c>
      <c r="H306">
        <v>0.84</v>
      </c>
      <c r="I306">
        <v>65535</v>
      </c>
      <c r="J306">
        <v>1.1399999999999999</v>
      </c>
      <c r="K306">
        <v>1.29</v>
      </c>
      <c r="L306" t="s">
        <v>6</v>
      </c>
      <c r="M306" t="s">
        <v>69</v>
      </c>
    </row>
    <row r="307" spans="1:13" x14ac:dyDescent="0.45">
      <c r="A307" t="s">
        <v>5</v>
      </c>
      <c r="B307" t="s">
        <v>104</v>
      </c>
      <c r="C307">
        <v>2030</v>
      </c>
      <c r="D307">
        <v>166</v>
      </c>
      <c r="E307">
        <v>65535</v>
      </c>
      <c r="F307">
        <v>1.43</v>
      </c>
      <c r="H307">
        <v>0.91</v>
      </c>
      <c r="I307">
        <v>65535</v>
      </c>
      <c r="J307">
        <v>1.26</v>
      </c>
      <c r="K307">
        <v>1.72</v>
      </c>
      <c r="L307" t="s">
        <v>6</v>
      </c>
      <c r="M307" t="s">
        <v>69</v>
      </c>
    </row>
    <row r="308" spans="1:13" x14ac:dyDescent="0.45">
      <c r="A308" t="s">
        <v>5</v>
      </c>
      <c r="B308" t="s">
        <v>104</v>
      </c>
      <c r="C308">
        <v>2035</v>
      </c>
      <c r="D308">
        <v>163</v>
      </c>
      <c r="E308">
        <v>65535</v>
      </c>
      <c r="F308">
        <v>1.61</v>
      </c>
      <c r="H308">
        <v>0.91</v>
      </c>
      <c r="I308">
        <v>65535</v>
      </c>
      <c r="J308">
        <v>1.41</v>
      </c>
      <c r="K308">
        <v>1.89</v>
      </c>
      <c r="L308" t="s">
        <v>6</v>
      </c>
      <c r="M308" t="s">
        <v>69</v>
      </c>
    </row>
    <row r="309" spans="1:13" x14ac:dyDescent="0.45">
      <c r="A309" t="s">
        <v>5</v>
      </c>
      <c r="B309" t="s">
        <v>104</v>
      </c>
      <c r="C309">
        <v>2040</v>
      </c>
      <c r="D309">
        <v>166</v>
      </c>
      <c r="E309">
        <v>65535</v>
      </c>
      <c r="F309">
        <v>1.84</v>
      </c>
      <c r="H309">
        <v>-7.42</v>
      </c>
      <c r="I309">
        <v>65535</v>
      </c>
      <c r="J309">
        <v>1.48</v>
      </c>
      <c r="K309">
        <v>2.2200000000000002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104</v>
      </c>
      <c r="C310">
        <v>2045</v>
      </c>
      <c r="D310">
        <v>163</v>
      </c>
      <c r="E310">
        <v>65535</v>
      </c>
      <c r="F310">
        <v>2.14</v>
      </c>
      <c r="H310">
        <v>-4.37</v>
      </c>
      <c r="I310">
        <v>65535</v>
      </c>
      <c r="J310">
        <v>1.61</v>
      </c>
      <c r="K310">
        <v>2.59</v>
      </c>
      <c r="L310" t="s">
        <v>6</v>
      </c>
      <c r="M310" t="s">
        <v>69</v>
      </c>
    </row>
    <row r="311" spans="1:13" x14ac:dyDescent="0.45">
      <c r="A311" t="s">
        <v>5</v>
      </c>
      <c r="B311" t="s">
        <v>104</v>
      </c>
      <c r="C311">
        <v>2050</v>
      </c>
      <c r="D311">
        <v>166</v>
      </c>
      <c r="E311">
        <v>65535</v>
      </c>
      <c r="F311">
        <v>2.33</v>
      </c>
      <c r="H311">
        <v>-4.53</v>
      </c>
      <c r="I311">
        <v>65535</v>
      </c>
      <c r="J311">
        <v>1.72</v>
      </c>
      <c r="K311">
        <v>2.97</v>
      </c>
      <c r="L311" t="s">
        <v>6</v>
      </c>
      <c r="M311" t="s">
        <v>69</v>
      </c>
    </row>
    <row r="312" spans="1:13" x14ac:dyDescent="0.45">
      <c r="A312" t="s">
        <v>7</v>
      </c>
      <c r="B312" t="s">
        <v>104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104</v>
      </c>
      <c r="C313">
        <v>2025</v>
      </c>
      <c r="D313">
        <v>52</v>
      </c>
      <c r="E313">
        <v>1.18</v>
      </c>
      <c r="F313">
        <v>1.2</v>
      </c>
      <c r="G313">
        <v>0.1</v>
      </c>
      <c r="H313">
        <v>1.01</v>
      </c>
      <c r="I313">
        <v>1.29</v>
      </c>
      <c r="J313">
        <v>1.08</v>
      </c>
      <c r="K313">
        <v>1.27</v>
      </c>
      <c r="L313" t="s">
        <v>8</v>
      </c>
      <c r="M313" t="s">
        <v>69</v>
      </c>
    </row>
    <row r="314" spans="1:13" x14ac:dyDescent="0.45">
      <c r="A314" t="s">
        <v>7</v>
      </c>
      <c r="B314" t="s">
        <v>104</v>
      </c>
      <c r="C314">
        <v>2030</v>
      </c>
      <c r="D314">
        <v>52</v>
      </c>
      <c r="E314">
        <v>1.24</v>
      </c>
      <c r="F314">
        <v>1.27</v>
      </c>
      <c r="G314">
        <v>0.13</v>
      </c>
      <c r="H314">
        <v>1</v>
      </c>
      <c r="I314">
        <v>1.44</v>
      </c>
      <c r="J314">
        <v>1.1000000000000001</v>
      </c>
      <c r="K314">
        <v>1.35</v>
      </c>
      <c r="L314" t="s">
        <v>8</v>
      </c>
      <c r="M314" t="s">
        <v>69</v>
      </c>
    </row>
    <row r="315" spans="1:13" x14ac:dyDescent="0.45">
      <c r="A315" t="s">
        <v>7</v>
      </c>
      <c r="B315" t="s">
        <v>104</v>
      </c>
      <c r="C315">
        <v>2035</v>
      </c>
      <c r="D315">
        <v>52</v>
      </c>
      <c r="E315">
        <v>1.42</v>
      </c>
      <c r="F315">
        <v>1.44</v>
      </c>
      <c r="G315">
        <v>0.2</v>
      </c>
      <c r="H315">
        <v>1</v>
      </c>
      <c r="I315">
        <v>2.3199999999999998</v>
      </c>
      <c r="J315">
        <v>1.27</v>
      </c>
      <c r="K315">
        <v>1.51</v>
      </c>
      <c r="L315" t="s">
        <v>8</v>
      </c>
      <c r="M315" t="s">
        <v>69</v>
      </c>
    </row>
    <row r="316" spans="1:13" x14ac:dyDescent="0.45">
      <c r="A316" t="s">
        <v>7</v>
      </c>
      <c r="B316" t="s">
        <v>104</v>
      </c>
      <c r="C316">
        <v>2040</v>
      </c>
      <c r="D316">
        <v>52</v>
      </c>
      <c r="E316">
        <v>1.56</v>
      </c>
      <c r="F316">
        <v>1.53</v>
      </c>
      <c r="G316">
        <v>0.33</v>
      </c>
      <c r="H316">
        <v>0.98</v>
      </c>
      <c r="I316">
        <v>3.25</v>
      </c>
      <c r="J316">
        <v>1.35</v>
      </c>
      <c r="K316">
        <v>1.66</v>
      </c>
      <c r="L316" t="s">
        <v>8</v>
      </c>
      <c r="M316" t="s">
        <v>69</v>
      </c>
    </row>
    <row r="317" spans="1:13" x14ac:dyDescent="0.45">
      <c r="A317" t="s">
        <v>7</v>
      </c>
      <c r="B317" t="s">
        <v>104</v>
      </c>
      <c r="C317">
        <v>2045</v>
      </c>
      <c r="D317">
        <v>52</v>
      </c>
      <c r="E317">
        <v>1.54</v>
      </c>
      <c r="F317">
        <v>1.46</v>
      </c>
      <c r="G317">
        <v>0.43</v>
      </c>
      <c r="H317">
        <v>0.79</v>
      </c>
      <c r="I317">
        <v>3.76</v>
      </c>
      <c r="J317">
        <v>1.37</v>
      </c>
      <c r="K317">
        <v>1.6</v>
      </c>
      <c r="L317" t="s">
        <v>8</v>
      </c>
      <c r="M317" t="s">
        <v>69</v>
      </c>
    </row>
    <row r="318" spans="1:13" x14ac:dyDescent="0.45">
      <c r="A318" t="s">
        <v>7</v>
      </c>
      <c r="B318" t="s">
        <v>104</v>
      </c>
      <c r="C318">
        <v>2050</v>
      </c>
      <c r="D318">
        <v>52</v>
      </c>
      <c r="E318">
        <v>1.78</v>
      </c>
      <c r="F318">
        <v>1.77</v>
      </c>
      <c r="G318">
        <v>0.47</v>
      </c>
      <c r="H318">
        <v>0.81</v>
      </c>
      <c r="I318">
        <v>4.2</v>
      </c>
      <c r="J318">
        <v>1.49</v>
      </c>
      <c r="K318">
        <v>1.97</v>
      </c>
      <c r="L318" t="s">
        <v>8</v>
      </c>
      <c r="M318" t="s">
        <v>69</v>
      </c>
    </row>
    <row r="319" spans="1:13" x14ac:dyDescent="0.45">
      <c r="A319" t="s">
        <v>9</v>
      </c>
      <c r="B319" t="s">
        <v>104</v>
      </c>
      <c r="C319">
        <v>2020</v>
      </c>
      <c r="D319">
        <v>42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104</v>
      </c>
      <c r="C320">
        <v>2025</v>
      </c>
      <c r="D320">
        <v>43</v>
      </c>
      <c r="E320">
        <v>65535</v>
      </c>
      <c r="F320">
        <v>1.07</v>
      </c>
      <c r="H320">
        <v>0.6</v>
      </c>
      <c r="I320">
        <v>65535</v>
      </c>
      <c r="J320">
        <v>1.01</v>
      </c>
      <c r="K320">
        <v>1.1499999999999999</v>
      </c>
      <c r="L320" t="s">
        <v>10</v>
      </c>
      <c r="M320" t="s">
        <v>69</v>
      </c>
    </row>
    <row r="321" spans="1:13" x14ac:dyDescent="0.45">
      <c r="A321" t="s">
        <v>9</v>
      </c>
      <c r="B321" t="s">
        <v>104</v>
      </c>
      <c r="C321">
        <v>2030</v>
      </c>
      <c r="D321">
        <v>43</v>
      </c>
      <c r="E321">
        <v>65535</v>
      </c>
      <c r="F321">
        <v>1.1599999999999999</v>
      </c>
      <c r="H321">
        <v>0.93</v>
      </c>
      <c r="I321">
        <v>65535</v>
      </c>
      <c r="J321">
        <v>1.08</v>
      </c>
      <c r="K321">
        <v>1.43</v>
      </c>
      <c r="L321" t="s">
        <v>10</v>
      </c>
      <c r="M321" t="s">
        <v>69</v>
      </c>
    </row>
    <row r="322" spans="1:13" x14ac:dyDescent="0.45">
      <c r="A322" t="s">
        <v>9</v>
      </c>
      <c r="B322" t="s">
        <v>104</v>
      </c>
      <c r="C322">
        <v>2035</v>
      </c>
      <c r="D322">
        <v>43</v>
      </c>
      <c r="E322">
        <v>65535</v>
      </c>
      <c r="F322">
        <v>1.1499999999999999</v>
      </c>
      <c r="H322">
        <v>0.75</v>
      </c>
      <c r="I322">
        <v>65535</v>
      </c>
      <c r="J322">
        <v>1.0900000000000001</v>
      </c>
      <c r="K322">
        <v>1.24</v>
      </c>
      <c r="L322" t="s">
        <v>10</v>
      </c>
      <c r="M322" t="s">
        <v>69</v>
      </c>
    </row>
    <row r="323" spans="1:13" x14ac:dyDescent="0.45">
      <c r="A323" t="s">
        <v>9</v>
      </c>
      <c r="B323" t="s">
        <v>104</v>
      </c>
      <c r="C323">
        <v>2040</v>
      </c>
      <c r="D323">
        <v>43</v>
      </c>
      <c r="E323">
        <v>65535</v>
      </c>
      <c r="F323">
        <v>1.25</v>
      </c>
      <c r="H323">
        <v>0.93</v>
      </c>
      <c r="I323">
        <v>65535</v>
      </c>
      <c r="J323">
        <v>1.1000000000000001</v>
      </c>
      <c r="K323">
        <v>1.5</v>
      </c>
      <c r="L323" t="s">
        <v>10</v>
      </c>
      <c r="M323" t="s">
        <v>69</v>
      </c>
    </row>
    <row r="324" spans="1:13" x14ac:dyDescent="0.45">
      <c r="A324" t="s">
        <v>9</v>
      </c>
      <c r="B324" t="s">
        <v>104</v>
      </c>
      <c r="C324">
        <v>2045</v>
      </c>
      <c r="D324">
        <v>43</v>
      </c>
      <c r="E324">
        <v>65535</v>
      </c>
      <c r="F324">
        <v>1.53</v>
      </c>
      <c r="H324">
        <v>0.9</v>
      </c>
      <c r="I324">
        <v>65535</v>
      </c>
      <c r="J324">
        <v>1.08</v>
      </c>
      <c r="K324">
        <v>1.78</v>
      </c>
      <c r="L324" t="s">
        <v>10</v>
      </c>
      <c r="M324" t="s">
        <v>69</v>
      </c>
    </row>
    <row r="325" spans="1:13" x14ac:dyDescent="0.45">
      <c r="A325" t="s">
        <v>9</v>
      </c>
      <c r="B325" t="s">
        <v>104</v>
      </c>
      <c r="C325">
        <v>2050</v>
      </c>
      <c r="D325">
        <v>43</v>
      </c>
      <c r="E325">
        <v>65535</v>
      </c>
      <c r="F325">
        <v>1.75</v>
      </c>
      <c r="H325">
        <v>0.96</v>
      </c>
      <c r="I325">
        <v>65535</v>
      </c>
      <c r="J325">
        <v>1.08</v>
      </c>
      <c r="K325">
        <v>1.85</v>
      </c>
      <c r="L325" t="s">
        <v>10</v>
      </c>
      <c r="M325" t="s">
        <v>69</v>
      </c>
    </row>
    <row r="326" spans="1:13" x14ac:dyDescent="0.45">
      <c r="A326" t="s">
        <v>0</v>
      </c>
      <c r="B326" t="s">
        <v>104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104</v>
      </c>
      <c r="C327">
        <v>2025</v>
      </c>
      <c r="D327">
        <v>20</v>
      </c>
      <c r="E327">
        <v>4.92</v>
      </c>
      <c r="F327">
        <v>3.11</v>
      </c>
      <c r="G327">
        <v>3.9</v>
      </c>
      <c r="H327">
        <v>1.91</v>
      </c>
      <c r="I327">
        <v>17.399999999999999</v>
      </c>
      <c r="J327">
        <v>2.87</v>
      </c>
      <c r="K327">
        <v>5.39</v>
      </c>
      <c r="L327" t="s">
        <v>1</v>
      </c>
      <c r="M327" t="s">
        <v>70</v>
      </c>
    </row>
    <row r="328" spans="1:13" x14ac:dyDescent="0.45">
      <c r="A328" t="s">
        <v>0</v>
      </c>
      <c r="B328" t="s">
        <v>104</v>
      </c>
      <c r="C328">
        <v>2030</v>
      </c>
      <c r="D328">
        <v>20</v>
      </c>
      <c r="E328">
        <v>7.99</v>
      </c>
      <c r="F328">
        <v>6.81</v>
      </c>
      <c r="G328">
        <v>6.52</v>
      </c>
      <c r="H328">
        <v>0</v>
      </c>
      <c r="I328">
        <v>27.54</v>
      </c>
      <c r="J328">
        <v>3.73</v>
      </c>
      <c r="K328">
        <v>10.67</v>
      </c>
      <c r="L328" t="s">
        <v>1</v>
      </c>
      <c r="M328" t="s">
        <v>70</v>
      </c>
    </row>
    <row r="329" spans="1:13" x14ac:dyDescent="0.45">
      <c r="A329" t="s">
        <v>0</v>
      </c>
      <c r="B329" t="s">
        <v>104</v>
      </c>
      <c r="C329">
        <v>2035</v>
      </c>
      <c r="D329">
        <v>20</v>
      </c>
      <c r="E329">
        <v>10.93</v>
      </c>
      <c r="F329">
        <v>12.57</v>
      </c>
      <c r="G329">
        <v>8.16</v>
      </c>
      <c r="H329">
        <v>0</v>
      </c>
      <c r="I329">
        <v>33.619999999999997</v>
      </c>
      <c r="J329">
        <v>4.6399999999999997</v>
      </c>
      <c r="K329">
        <v>12.86</v>
      </c>
      <c r="L329" t="s">
        <v>1</v>
      </c>
      <c r="M329" t="s">
        <v>70</v>
      </c>
    </row>
    <row r="330" spans="1:13" x14ac:dyDescent="0.45">
      <c r="A330" t="s">
        <v>0</v>
      </c>
      <c r="B330" t="s">
        <v>104</v>
      </c>
      <c r="C330">
        <v>2040</v>
      </c>
      <c r="D330">
        <v>20</v>
      </c>
      <c r="E330">
        <v>13.67</v>
      </c>
      <c r="F330">
        <v>16.809999999999999</v>
      </c>
      <c r="G330">
        <v>10.55</v>
      </c>
      <c r="H330">
        <v>0</v>
      </c>
      <c r="I330">
        <v>39.950000000000003</v>
      </c>
      <c r="J330">
        <v>3.6</v>
      </c>
      <c r="K330">
        <v>17.559999999999999</v>
      </c>
      <c r="L330" t="s">
        <v>1</v>
      </c>
      <c r="M330" t="s">
        <v>70</v>
      </c>
    </row>
    <row r="331" spans="1:13" x14ac:dyDescent="0.45">
      <c r="A331" t="s">
        <v>0</v>
      </c>
      <c r="B331" t="s">
        <v>104</v>
      </c>
      <c r="C331">
        <v>2045</v>
      </c>
      <c r="D331">
        <v>20</v>
      </c>
      <c r="E331">
        <v>16.41</v>
      </c>
      <c r="F331">
        <v>21.14</v>
      </c>
      <c r="G331">
        <v>13.04</v>
      </c>
      <c r="H331">
        <v>0</v>
      </c>
      <c r="I331">
        <v>48.72</v>
      </c>
      <c r="J331">
        <v>3.56</v>
      </c>
      <c r="K331">
        <v>21.82</v>
      </c>
      <c r="L331" t="s">
        <v>1</v>
      </c>
      <c r="M331" t="s">
        <v>70</v>
      </c>
    </row>
    <row r="332" spans="1:13" x14ac:dyDescent="0.45">
      <c r="A332" t="s">
        <v>0</v>
      </c>
      <c r="B332" t="s">
        <v>104</v>
      </c>
      <c r="C332">
        <v>2050</v>
      </c>
      <c r="D332">
        <v>20</v>
      </c>
      <c r="E332">
        <v>18.170000000000002</v>
      </c>
      <c r="F332">
        <v>23.55</v>
      </c>
      <c r="G332">
        <v>14.56</v>
      </c>
      <c r="H332">
        <v>0</v>
      </c>
      <c r="I332">
        <v>52.53</v>
      </c>
      <c r="J332">
        <v>3.48</v>
      </c>
      <c r="K332">
        <v>25.36</v>
      </c>
      <c r="L332" t="s">
        <v>1</v>
      </c>
      <c r="M332" t="s">
        <v>70</v>
      </c>
    </row>
    <row r="333" spans="1:13" x14ac:dyDescent="0.45">
      <c r="A333" t="s">
        <v>2</v>
      </c>
      <c r="B333" t="s">
        <v>104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104</v>
      </c>
      <c r="C334">
        <v>2025</v>
      </c>
      <c r="D334">
        <v>17</v>
      </c>
      <c r="E334">
        <v>1.41</v>
      </c>
      <c r="F334">
        <v>0.6</v>
      </c>
      <c r="G334">
        <v>0.98</v>
      </c>
      <c r="H334">
        <v>0.54</v>
      </c>
      <c r="I334">
        <v>3.22</v>
      </c>
      <c r="J334">
        <v>0.56000000000000005</v>
      </c>
      <c r="K334">
        <v>2.2799999999999998</v>
      </c>
      <c r="L334" t="s">
        <v>3</v>
      </c>
      <c r="M334" t="s">
        <v>70</v>
      </c>
    </row>
    <row r="335" spans="1:13" x14ac:dyDescent="0.45">
      <c r="A335" t="s">
        <v>2</v>
      </c>
      <c r="B335" t="s">
        <v>104</v>
      </c>
      <c r="C335">
        <v>2030</v>
      </c>
      <c r="D335">
        <v>17</v>
      </c>
      <c r="E335">
        <v>1.67</v>
      </c>
      <c r="F335">
        <v>1.1200000000000001</v>
      </c>
      <c r="G335">
        <v>0.81</v>
      </c>
      <c r="H335">
        <v>0.95</v>
      </c>
      <c r="I335">
        <v>2.93</v>
      </c>
      <c r="J335">
        <v>0.97</v>
      </c>
      <c r="K335">
        <v>2.58</v>
      </c>
      <c r="L335" t="s">
        <v>3</v>
      </c>
      <c r="M335" t="s">
        <v>70</v>
      </c>
    </row>
    <row r="336" spans="1:13" x14ac:dyDescent="0.45">
      <c r="A336" t="s">
        <v>2</v>
      </c>
      <c r="B336" t="s">
        <v>104</v>
      </c>
      <c r="C336">
        <v>2035</v>
      </c>
      <c r="D336">
        <v>17</v>
      </c>
      <c r="E336">
        <v>4.9400000000000004</v>
      </c>
      <c r="F336">
        <v>3.66</v>
      </c>
      <c r="G336">
        <v>2.52</v>
      </c>
      <c r="H336">
        <v>3.08</v>
      </c>
      <c r="I336">
        <v>10.52</v>
      </c>
      <c r="J336">
        <v>3.57</v>
      </c>
      <c r="K336">
        <v>3.9</v>
      </c>
      <c r="L336" t="s">
        <v>3</v>
      </c>
      <c r="M336" t="s">
        <v>70</v>
      </c>
    </row>
    <row r="337" spans="1:13" x14ac:dyDescent="0.45">
      <c r="A337" t="s">
        <v>2</v>
      </c>
      <c r="B337" t="s">
        <v>104</v>
      </c>
      <c r="C337">
        <v>2040</v>
      </c>
      <c r="D337">
        <v>17</v>
      </c>
      <c r="E337">
        <v>7.8</v>
      </c>
      <c r="F337">
        <v>4.3600000000000003</v>
      </c>
      <c r="G337">
        <v>7.07</v>
      </c>
      <c r="H337">
        <v>3.22</v>
      </c>
      <c r="I337">
        <v>24.68</v>
      </c>
      <c r="J337">
        <v>3.66</v>
      </c>
      <c r="K337">
        <v>5.58</v>
      </c>
      <c r="L337" t="s">
        <v>3</v>
      </c>
      <c r="M337" t="s">
        <v>70</v>
      </c>
    </row>
    <row r="338" spans="1:13" x14ac:dyDescent="0.45">
      <c r="A338" t="s">
        <v>2</v>
      </c>
      <c r="B338" t="s">
        <v>104</v>
      </c>
      <c r="C338">
        <v>2045</v>
      </c>
      <c r="D338">
        <v>17</v>
      </c>
      <c r="E338">
        <v>6.38</v>
      </c>
      <c r="F338">
        <v>4.3099999999999996</v>
      </c>
      <c r="G338">
        <v>4.8899999999999997</v>
      </c>
      <c r="H338">
        <v>2.2799999999999998</v>
      </c>
      <c r="I338">
        <v>21.65</v>
      </c>
      <c r="J338">
        <v>4.1399999999999997</v>
      </c>
      <c r="K338">
        <v>5</v>
      </c>
      <c r="L338" t="s">
        <v>3</v>
      </c>
      <c r="M338" t="s">
        <v>70</v>
      </c>
    </row>
    <row r="339" spans="1:13" x14ac:dyDescent="0.45">
      <c r="A339" t="s">
        <v>2</v>
      </c>
      <c r="B339" t="s">
        <v>104</v>
      </c>
      <c r="C339">
        <v>2050</v>
      </c>
      <c r="D339">
        <v>17</v>
      </c>
      <c r="E339">
        <v>4.32</v>
      </c>
      <c r="F339">
        <v>4.17</v>
      </c>
      <c r="G339">
        <v>1.2</v>
      </c>
      <c r="H339">
        <v>3.12</v>
      </c>
      <c r="I339">
        <v>7.43</v>
      </c>
      <c r="J339">
        <v>3.29</v>
      </c>
      <c r="K339">
        <v>4.8600000000000003</v>
      </c>
      <c r="L339" t="s">
        <v>3</v>
      </c>
      <c r="M339" t="s">
        <v>70</v>
      </c>
    </row>
    <row r="340" spans="1:13" x14ac:dyDescent="0.45">
      <c r="A340" t="s">
        <v>5</v>
      </c>
      <c r="B340" t="s">
        <v>104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104</v>
      </c>
      <c r="C341">
        <v>2025</v>
      </c>
      <c r="D341">
        <v>70</v>
      </c>
      <c r="E341">
        <v>2.0499999999999998</v>
      </c>
      <c r="F341">
        <v>1.39</v>
      </c>
      <c r="G341">
        <v>1.82</v>
      </c>
      <c r="H341">
        <v>0.54</v>
      </c>
      <c r="I341">
        <v>8.61</v>
      </c>
      <c r="J341">
        <v>1.04</v>
      </c>
      <c r="K341">
        <v>2.25</v>
      </c>
      <c r="L341" t="s">
        <v>6</v>
      </c>
      <c r="M341" t="s">
        <v>70</v>
      </c>
    </row>
    <row r="342" spans="1:13" x14ac:dyDescent="0.45">
      <c r="A342" t="s">
        <v>5</v>
      </c>
      <c r="B342" t="s">
        <v>104</v>
      </c>
      <c r="C342">
        <v>2030</v>
      </c>
      <c r="D342">
        <v>70</v>
      </c>
      <c r="E342">
        <v>2.73</v>
      </c>
      <c r="F342">
        <v>1.36</v>
      </c>
      <c r="G342">
        <v>2.92</v>
      </c>
      <c r="H342">
        <v>0.95</v>
      </c>
      <c r="I342">
        <v>13.4</v>
      </c>
      <c r="J342">
        <v>1.08</v>
      </c>
      <c r="K342">
        <v>2.39</v>
      </c>
      <c r="L342" t="s">
        <v>6</v>
      </c>
      <c r="M342" t="s">
        <v>70</v>
      </c>
    </row>
    <row r="343" spans="1:13" x14ac:dyDescent="0.45">
      <c r="A343" t="s">
        <v>5</v>
      </c>
      <c r="B343" t="s">
        <v>104</v>
      </c>
      <c r="C343">
        <v>2035</v>
      </c>
      <c r="D343">
        <v>70</v>
      </c>
      <c r="E343">
        <v>5.91</v>
      </c>
      <c r="F343">
        <v>3.77</v>
      </c>
      <c r="G343">
        <v>4.04</v>
      </c>
      <c r="H343">
        <v>1.62</v>
      </c>
      <c r="I343">
        <v>17.54</v>
      </c>
      <c r="J343">
        <v>2.37</v>
      </c>
      <c r="K343">
        <v>8.9600000000000009</v>
      </c>
      <c r="L343" t="s">
        <v>6</v>
      </c>
      <c r="M343" t="s">
        <v>70</v>
      </c>
    </row>
    <row r="344" spans="1:13" x14ac:dyDescent="0.45">
      <c r="A344" t="s">
        <v>5</v>
      </c>
      <c r="B344" t="s">
        <v>104</v>
      </c>
      <c r="C344">
        <v>2040</v>
      </c>
      <c r="D344">
        <v>70</v>
      </c>
      <c r="E344">
        <v>8.15</v>
      </c>
      <c r="F344">
        <v>5.36</v>
      </c>
      <c r="G344">
        <v>5.99</v>
      </c>
      <c r="H344">
        <v>1.95</v>
      </c>
      <c r="I344">
        <v>21.3</v>
      </c>
      <c r="J344">
        <v>2.77</v>
      </c>
      <c r="K344">
        <v>12.57</v>
      </c>
      <c r="L344" t="s">
        <v>6</v>
      </c>
      <c r="M344" t="s">
        <v>70</v>
      </c>
    </row>
    <row r="345" spans="1:13" x14ac:dyDescent="0.45">
      <c r="A345" t="s">
        <v>5</v>
      </c>
      <c r="B345" t="s">
        <v>104</v>
      </c>
      <c r="C345">
        <v>2045</v>
      </c>
      <c r="D345">
        <v>70</v>
      </c>
      <c r="E345">
        <v>9.3800000000000008</v>
      </c>
      <c r="F345">
        <v>4.9400000000000004</v>
      </c>
      <c r="G345">
        <v>7.59</v>
      </c>
      <c r="H345">
        <v>1.85</v>
      </c>
      <c r="I345">
        <v>27.09</v>
      </c>
      <c r="J345">
        <v>2.81</v>
      </c>
      <c r="K345">
        <v>15.39</v>
      </c>
      <c r="L345" t="s">
        <v>6</v>
      </c>
      <c r="M345" t="s">
        <v>70</v>
      </c>
    </row>
    <row r="346" spans="1:13" x14ac:dyDescent="0.45">
      <c r="A346" t="s">
        <v>5</v>
      </c>
      <c r="B346" t="s">
        <v>104</v>
      </c>
      <c r="C346">
        <v>2050</v>
      </c>
      <c r="D346">
        <v>70</v>
      </c>
      <c r="E346">
        <v>10.27</v>
      </c>
      <c r="F346">
        <v>4.09</v>
      </c>
      <c r="G346">
        <v>9.07</v>
      </c>
      <c r="H346">
        <v>1.78</v>
      </c>
      <c r="I346">
        <v>33.270000000000003</v>
      </c>
      <c r="J346">
        <v>2.52</v>
      </c>
      <c r="K346">
        <v>16.97</v>
      </c>
      <c r="L346" t="s">
        <v>6</v>
      </c>
      <c r="M346" t="s">
        <v>70</v>
      </c>
    </row>
    <row r="347" spans="1:13" x14ac:dyDescent="0.45">
      <c r="A347" t="s">
        <v>7</v>
      </c>
      <c r="B347" t="s">
        <v>104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104</v>
      </c>
      <c r="C348">
        <v>2025</v>
      </c>
      <c r="D348">
        <v>27</v>
      </c>
      <c r="E348">
        <v>1.59</v>
      </c>
      <c r="F348">
        <v>1.04</v>
      </c>
      <c r="G348">
        <v>0.98</v>
      </c>
      <c r="H348">
        <v>0.56000000000000005</v>
      </c>
      <c r="I348">
        <v>3.83</v>
      </c>
      <c r="J348">
        <v>1.04</v>
      </c>
      <c r="K348">
        <v>1.77</v>
      </c>
      <c r="L348" t="s">
        <v>8</v>
      </c>
      <c r="M348" t="s">
        <v>70</v>
      </c>
    </row>
    <row r="349" spans="1:13" x14ac:dyDescent="0.45">
      <c r="A349" t="s">
        <v>7</v>
      </c>
      <c r="B349" t="s">
        <v>104</v>
      </c>
      <c r="C349">
        <v>2030</v>
      </c>
      <c r="D349">
        <v>27</v>
      </c>
      <c r="E349">
        <v>2.2599999999999998</v>
      </c>
      <c r="F349">
        <v>1.25</v>
      </c>
      <c r="G349">
        <v>1.61</v>
      </c>
      <c r="H349">
        <v>0.97</v>
      </c>
      <c r="I349">
        <v>5.77</v>
      </c>
      <c r="J349">
        <v>1.08</v>
      </c>
      <c r="K349">
        <v>3.38</v>
      </c>
      <c r="L349" t="s">
        <v>8</v>
      </c>
      <c r="M349" t="s">
        <v>70</v>
      </c>
    </row>
    <row r="350" spans="1:13" x14ac:dyDescent="0.45">
      <c r="A350" t="s">
        <v>7</v>
      </c>
      <c r="B350" t="s">
        <v>104</v>
      </c>
      <c r="C350">
        <v>2035</v>
      </c>
      <c r="D350">
        <v>27</v>
      </c>
      <c r="E350">
        <v>4.34</v>
      </c>
      <c r="F350">
        <v>4.8600000000000003</v>
      </c>
      <c r="G350">
        <v>1.94</v>
      </c>
      <c r="H350">
        <v>1.2</v>
      </c>
      <c r="I350">
        <v>7.22</v>
      </c>
      <c r="J350">
        <v>2.81</v>
      </c>
      <c r="K350">
        <v>5.78</v>
      </c>
      <c r="L350" t="s">
        <v>8</v>
      </c>
      <c r="M350" t="s">
        <v>70</v>
      </c>
    </row>
    <row r="351" spans="1:13" x14ac:dyDescent="0.45">
      <c r="A351" t="s">
        <v>7</v>
      </c>
      <c r="B351" t="s">
        <v>104</v>
      </c>
      <c r="C351">
        <v>2040</v>
      </c>
      <c r="D351">
        <v>27</v>
      </c>
      <c r="E351">
        <v>6.02</v>
      </c>
      <c r="F351">
        <v>6.53</v>
      </c>
      <c r="G351">
        <v>2.77</v>
      </c>
      <c r="H351">
        <v>1.39</v>
      </c>
      <c r="I351">
        <v>12.52</v>
      </c>
      <c r="J351">
        <v>5.48</v>
      </c>
      <c r="K351">
        <v>7.84</v>
      </c>
      <c r="L351" t="s">
        <v>8</v>
      </c>
      <c r="M351" t="s">
        <v>70</v>
      </c>
    </row>
    <row r="352" spans="1:13" x14ac:dyDescent="0.45">
      <c r="A352" t="s">
        <v>7</v>
      </c>
      <c r="B352" t="s">
        <v>104</v>
      </c>
      <c r="C352">
        <v>2045</v>
      </c>
      <c r="D352">
        <v>27</v>
      </c>
      <c r="E352">
        <v>7.07</v>
      </c>
      <c r="F352">
        <v>7.96</v>
      </c>
      <c r="G352">
        <v>3.54</v>
      </c>
      <c r="H352">
        <v>1.36</v>
      </c>
      <c r="I352">
        <v>15.14</v>
      </c>
      <c r="J352">
        <v>5.42</v>
      </c>
      <c r="K352">
        <v>9.44</v>
      </c>
      <c r="L352" t="s">
        <v>8</v>
      </c>
      <c r="M352" t="s">
        <v>70</v>
      </c>
    </row>
    <row r="353" spans="1:13" x14ac:dyDescent="0.45">
      <c r="A353" t="s">
        <v>7</v>
      </c>
      <c r="B353" t="s">
        <v>104</v>
      </c>
      <c r="C353">
        <v>2050</v>
      </c>
      <c r="D353">
        <v>27</v>
      </c>
      <c r="E353">
        <v>7.43</v>
      </c>
      <c r="F353">
        <v>8.59</v>
      </c>
      <c r="G353">
        <v>3.71</v>
      </c>
      <c r="H353">
        <v>1.57</v>
      </c>
      <c r="I353">
        <v>12.22</v>
      </c>
      <c r="J353">
        <v>4.93</v>
      </c>
      <c r="K353">
        <v>10.3</v>
      </c>
      <c r="L353" t="s">
        <v>8</v>
      </c>
      <c r="M353" t="s">
        <v>70</v>
      </c>
    </row>
    <row r="354" spans="1:13" x14ac:dyDescent="0.45">
      <c r="A354" t="s">
        <v>9</v>
      </c>
      <c r="B354" t="s">
        <v>104</v>
      </c>
      <c r="C354">
        <v>2020</v>
      </c>
      <c r="D354">
        <v>17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104</v>
      </c>
      <c r="C355">
        <v>2025</v>
      </c>
      <c r="D355">
        <v>17</v>
      </c>
      <c r="E355">
        <v>0.95</v>
      </c>
      <c r="F355">
        <v>1.04</v>
      </c>
      <c r="G355">
        <v>0.27</v>
      </c>
      <c r="H355">
        <v>0.36</v>
      </c>
      <c r="I355">
        <v>1.27</v>
      </c>
      <c r="J355">
        <v>1.04</v>
      </c>
      <c r="K355">
        <v>1.0900000000000001</v>
      </c>
      <c r="L355" t="s">
        <v>10</v>
      </c>
      <c r="M355" t="s">
        <v>70</v>
      </c>
    </row>
    <row r="356" spans="1:13" x14ac:dyDescent="0.45">
      <c r="A356" t="s">
        <v>9</v>
      </c>
      <c r="B356" t="s">
        <v>104</v>
      </c>
      <c r="C356">
        <v>2030</v>
      </c>
      <c r="D356">
        <v>17</v>
      </c>
      <c r="E356">
        <v>1.08</v>
      </c>
      <c r="F356">
        <v>1.1100000000000001</v>
      </c>
      <c r="G356">
        <v>0.13</v>
      </c>
      <c r="H356">
        <v>0.77</v>
      </c>
      <c r="I356">
        <v>1.25</v>
      </c>
      <c r="J356">
        <v>1.08</v>
      </c>
      <c r="K356">
        <v>1.17</v>
      </c>
      <c r="L356" t="s">
        <v>10</v>
      </c>
      <c r="M356" t="s">
        <v>70</v>
      </c>
    </row>
    <row r="357" spans="1:13" x14ac:dyDescent="0.45">
      <c r="A357" t="s">
        <v>9</v>
      </c>
      <c r="B357" t="s">
        <v>104</v>
      </c>
      <c r="C357">
        <v>2035</v>
      </c>
      <c r="D357">
        <v>17</v>
      </c>
      <c r="E357">
        <v>1.1599999999999999</v>
      </c>
      <c r="F357">
        <v>1.21</v>
      </c>
      <c r="G357">
        <v>0.1</v>
      </c>
      <c r="H357">
        <v>0.94</v>
      </c>
      <c r="I357">
        <v>1.26</v>
      </c>
      <c r="J357">
        <v>1.1200000000000001</v>
      </c>
      <c r="K357">
        <v>1.22</v>
      </c>
      <c r="L357" t="s">
        <v>10</v>
      </c>
      <c r="M357" t="s">
        <v>70</v>
      </c>
    </row>
    <row r="358" spans="1:13" x14ac:dyDescent="0.45">
      <c r="A358" t="s">
        <v>9</v>
      </c>
      <c r="B358" t="s">
        <v>104</v>
      </c>
      <c r="C358">
        <v>2040</v>
      </c>
      <c r="D358">
        <v>17</v>
      </c>
      <c r="E358">
        <v>1.23</v>
      </c>
      <c r="F358">
        <v>1.23</v>
      </c>
      <c r="G358">
        <v>0.09</v>
      </c>
      <c r="H358">
        <v>1.05</v>
      </c>
      <c r="I358">
        <v>1.41</v>
      </c>
      <c r="J358">
        <v>1.17</v>
      </c>
      <c r="K358">
        <v>1.26</v>
      </c>
      <c r="L358" t="s">
        <v>10</v>
      </c>
      <c r="M358" t="s">
        <v>70</v>
      </c>
    </row>
    <row r="359" spans="1:13" x14ac:dyDescent="0.45">
      <c r="A359" t="s">
        <v>9</v>
      </c>
      <c r="B359" t="s">
        <v>104</v>
      </c>
      <c r="C359">
        <v>2045</v>
      </c>
      <c r="D359">
        <v>17</v>
      </c>
      <c r="E359">
        <v>1.26</v>
      </c>
      <c r="F359">
        <v>1.24</v>
      </c>
      <c r="G359">
        <v>0.13</v>
      </c>
      <c r="H359">
        <v>1.06</v>
      </c>
      <c r="I359">
        <v>1.57</v>
      </c>
      <c r="J359">
        <v>1.19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104</v>
      </c>
      <c r="C360">
        <v>2050</v>
      </c>
      <c r="D360">
        <v>17</v>
      </c>
      <c r="E360">
        <v>1.34</v>
      </c>
      <c r="F360">
        <v>1.25</v>
      </c>
      <c r="G360">
        <v>0.15</v>
      </c>
      <c r="H360">
        <v>1.21</v>
      </c>
      <c r="I360">
        <v>1.74</v>
      </c>
      <c r="J360">
        <v>1.24</v>
      </c>
      <c r="K360">
        <v>1.38</v>
      </c>
      <c r="L360" t="s">
        <v>10</v>
      </c>
      <c r="M360" t="s">
        <v>70</v>
      </c>
    </row>
    <row r="361" spans="1:13" x14ac:dyDescent="0.45">
      <c r="A361" t="s">
        <v>0</v>
      </c>
      <c r="B361" t="s">
        <v>104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104</v>
      </c>
      <c r="C362">
        <v>2025</v>
      </c>
      <c r="D362">
        <v>6</v>
      </c>
      <c r="E362">
        <v>0.99</v>
      </c>
      <c r="F362">
        <v>0.99</v>
      </c>
      <c r="G362">
        <v>0</v>
      </c>
      <c r="H362">
        <v>0.99</v>
      </c>
      <c r="I362">
        <v>0.99</v>
      </c>
      <c r="J362">
        <v>0.99</v>
      </c>
      <c r="K362">
        <v>0.99</v>
      </c>
      <c r="L362" t="s">
        <v>1</v>
      </c>
      <c r="M362" t="s">
        <v>71</v>
      </c>
    </row>
    <row r="363" spans="1:13" x14ac:dyDescent="0.45">
      <c r="A363" t="s">
        <v>0</v>
      </c>
      <c r="B363" t="s">
        <v>104</v>
      </c>
      <c r="C363">
        <v>2030</v>
      </c>
      <c r="D363">
        <v>6</v>
      </c>
      <c r="E363">
        <v>0.97</v>
      </c>
      <c r="F363">
        <v>0.97</v>
      </c>
      <c r="G363">
        <v>0</v>
      </c>
      <c r="H363">
        <v>0.97</v>
      </c>
      <c r="I363">
        <v>0.97</v>
      </c>
      <c r="J363">
        <v>0.97</v>
      </c>
      <c r="K363">
        <v>0.97</v>
      </c>
      <c r="L363" t="s">
        <v>1</v>
      </c>
      <c r="M363" t="s">
        <v>71</v>
      </c>
    </row>
    <row r="364" spans="1:13" x14ac:dyDescent="0.45">
      <c r="A364" t="s">
        <v>0</v>
      </c>
      <c r="B364" t="s">
        <v>104</v>
      </c>
      <c r="C364">
        <v>2035</v>
      </c>
      <c r="D364">
        <v>6</v>
      </c>
      <c r="E364">
        <v>0.95</v>
      </c>
      <c r="F364">
        <v>0.94</v>
      </c>
      <c r="G364">
        <v>0.01</v>
      </c>
      <c r="H364">
        <v>0.93</v>
      </c>
      <c r="I364">
        <v>0.97</v>
      </c>
      <c r="J364">
        <v>0.94</v>
      </c>
      <c r="K364">
        <v>0.95</v>
      </c>
      <c r="L364" t="s">
        <v>1</v>
      </c>
      <c r="M364" t="s">
        <v>71</v>
      </c>
    </row>
    <row r="365" spans="1:13" x14ac:dyDescent="0.45">
      <c r="A365" t="s">
        <v>0</v>
      </c>
      <c r="B365" t="s">
        <v>104</v>
      </c>
      <c r="C365">
        <v>2040</v>
      </c>
      <c r="D365">
        <v>6</v>
      </c>
      <c r="E365">
        <v>0.98</v>
      </c>
      <c r="F365">
        <v>0.98</v>
      </c>
      <c r="G365">
        <v>0.01</v>
      </c>
      <c r="H365">
        <v>0.97</v>
      </c>
      <c r="I365">
        <v>1.01</v>
      </c>
      <c r="J365">
        <v>0.97</v>
      </c>
      <c r="K365">
        <v>0.99</v>
      </c>
      <c r="L365" t="s">
        <v>1</v>
      </c>
      <c r="M365" t="s">
        <v>71</v>
      </c>
    </row>
    <row r="366" spans="1:13" x14ac:dyDescent="0.45">
      <c r="A366" t="s">
        <v>0</v>
      </c>
      <c r="B366" t="s">
        <v>104</v>
      </c>
      <c r="C366">
        <v>2045</v>
      </c>
      <c r="D366">
        <v>6</v>
      </c>
      <c r="E366">
        <v>1.03</v>
      </c>
      <c r="F366">
        <v>1.02</v>
      </c>
      <c r="G366">
        <v>0.01</v>
      </c>
      <c r="H366">
        <v>1.02</v>
      </c>
      <c r="I366">
        <v>1.05</v>
      </c>
      <c r="J366">
        <v>1.02</v>
      </c>
      <c r="K366">
        <v>1.03</v>
      </c>
      <c r="L366" t="s">
        <v>1</v>
      </c>
      <c r="M366" t="s">
        <v>71</v>
      </c>
    </row>
    <row r="367" spans="1:13" x14ac:dyDescent="0.45">
      <c r="A367" t="s">
        <v>0</v>
      </c>
      <c r="B367" t="s">
        <v>104</v>
      </c>
      <c r="C367">
        <v>2050</v>
      </c>
      <c r="D367">
        <v>6</v>
      </c>
      <c r="E367">
        <v>1.05</v>
      </c>
      <c r="F367">
        <v>1.05</v>
      </c>
      <c r="G367">
        <v>0.02</v>
      </c>
      <c r="H367">
        <v>1.03</v>
      </c>
      <c r="I367">
        <v>1.08</v>
      </c>
      <c r="J367">
        <v>1.04</v>
      </c>
      <c r="K367">
        <v>1.05</v>
      </c>
      <c r="L367" t="s">
        <v>1</v>
      </c>
      <c r="M367" t="s">
        <v>71</v>
      </c>
    </row>
    <row r="368" spans="1:13" x14ac:dyDescent="0.45">
      <c r="A368" t="s">
        <v>2</v>
      </c>
      <c r="B368" t="s">
        <v>104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104</v>
      </c>
      <c r="C369">
        <v>2025</v>
      </c>
      <c r="D369">
        <v>7</v>
      </c>
      <c r="E369">
        <v>0.99</v>
      </c>
      <c r="F369">
        <v>0.99</v>
      </c>
      <c r="G369">
        <v>0</v>
      </c>
      <c r="H369">
        <v>0.99</v>
      </c>
      <c r="I369">
        <v>0.99</v>
      </c>
      <c r="J369">
        <v>0.99</v>
      </c>
      <c r="K369">
        <v>0.99</v>
      </c>
      <c r="L369" t="s">
        <v>3</v>
      </c>
      <c r="M369" t="s">
        <v>71</v>
      </c>
    </row>
    <row r="370" spans="1:13" x14ac:dyDescent="0.45">
      <c r="A370" t="s">
        <v>2</v>
      </c>
      <c r="B370" t="s">
        <v>104</v>
      </c>
      <c r="C370">
        <v>2030</v>
      </c>
      <c r="D370">
        <v>7</v>
      </c>
      <c r="E370">
        <v>0.97</v>
      </c>
      <c r="F370">
        <v>0.97</v>
      </c>
      <c r="G370">
        <v>0</v>
      </c>
      <c r="H370">
        <v>0.97</v>
      </c>
      <c r="I370">
        <v>0.97</v>
      </c>
      <c r="J370">
        <v>0.97</v>
      </c>
      <c r="K370">
        <v>0.97</v>
      </c>
      <c r="L370" t="s">
        <v>3</v>
      </c>
      <c r="M370" t="s">
        <v>71</v>
      </c>
    </row>
    <row r="371" spans="1:13" x14ac:dyDescent="0.45">
      <c r="A371" t="s">
        <v>2</v>
      </c>
      <c r="B371" t="s">
        <v>104</v>
      </c>
      <c r="C371">
        <v>2035</v>
      </c>
      <c r="D371">
        <v>7</v>
      </c>
      <c r="E371">
        <v>0.96</v>
      </c>
      <c r="F371">
        <v>0.96</v>
      </c>
      <c r="G371">
        <v>0.01</v>
      </c>
      <c r="H371">
        <v>0.94</v>
      </c>
      <c r="I371">
        <v>0.97</v>
      </c>
      <c r="J371">
        <v>0.95</v>
      </c>
      <c r="K371">
        <v>0.97</v>
      </c>
      <c r="L371" t="s">
        <v>3</v>
      </c>
      <c r="M371" t="s">
        <v>71</v>
      </c>
    </row>
    <row r="372" spans="1:13" x14ac:dyDescent="0.45">
      <c r="A372" t="s">
        <v>2</v>
      </c>
      <c r="B372" t="s">
        <v>104</v>
      </c>
      <c r="C372">
        <v>2040</v>
      </c>
      <c r="D372">
        <v>7</v>
      </c>
      <c r="E372">
        <v>1.01</v>
      </c>
      <c r="F372">
        <v>1.01</v>
      </c>
      <c r="G372">
        <v>0.01</v>
      </c>
      <c r="H372">
        <v>0.99</v>
      </c>
      <c r="I372">
        <v>1.02</v>
      </c>
      <c r="J372">
        <v>1</v>
      </c>
      <c r="K372">
        <v>1.02</v>
      </c>
      <c r="L372" t="s">
        <v>3</v>
      </c>
      <c r="M372" t="s">
        <v>71</v>
      </c>
    </row>
    <row r="373" spans="1:13" x14ac:dyDescent="0.45">
      <c r="A373" t="s">
        <v>2</v>
      </c>
      <c r="B373" t="s">
        <v>104</v>
      </c>
      <c r="C373">
        <v>2045</v>
      </c>
      <c r="D373">
        <v>7</v>
      </c>
      <c r="E373">
        <v>1.06</v>
      </c>
      <c r="F373">
        <v>1.06</v>
      </c>
      <c r="G373">
        <v>0.01</v>
      </c>
      <c r="H373">
        <v>1.04</v>
      </c>
      <c r="I373">
        <v>1.08</v>
      </c>
      <c r="J373">
        <v>1.05</v>
      </c>
      <c r="K373">
        <v>1.07</v>
      </c>
      <c r="L373" t="s">
        <v>3</v>
      </c>
      <c r="M373" t="s">
        <v>71</v>
      </c>
    </row>
    <row r="374" spans="1:13" x14ac:dyDescent="0.45">
      <c r="A374" t="s">
        <v>2</v>
      </c>
      <c r="B374" t="s">
        <v>104</v>
      </c>
      <c r="C374">
        <v>2050</v>
      </c>
      <c r="D374">
        <v>7</v>
      </c>
      <c r="E374">
        <v>1.1100000000000001</v>
      </c>
      <c r="F374">
        <v>1.1200000000000001</v>
      </c>
      <c r="G374">
        <v>0.02</v>
      </c>
      <c r="H374">
        <v>1.0900000000000001</v>
      </c>
      <c r="I374">
        <v>1.1299999999999999</v>
      </c>
      <c r="J374">
        <v>1.1000000000000001</v>
      </c>
      <c r="K374">
        <v>1.1200000000000001</v>
      </c>
      <c r="L374" t="s">
        <v>3</v>
      </c>
      <c r="M374" t="s">
        <v>71</v>
      </c>
    </row>
    <row r="375" spans="1:13" x14ac:dyDescent="0.45">
      <c r="A375" t="s">
        <v>5</v>
      </c>
      <c r="B375" t="s">
        <v>104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104</v>
      </c>
      <c r="C376">
        <v>2025</v>
      </c>
      <c r="D376">
        <v>18</v>
      </c>
      <c r="E376">
        <v>1.1000000000000001</v>
      </c>
      <c r="F376">
        <v>1.03</v>
      </c>
      <c r="G376">
        <v>0.13</v>
      </c>
      <c r="H376">
        <v>0.99</v>
      </c>
      <c r="I376">
        <v>1.3</v>
      </c>
      <c r="J376">
        <v>0.99</v>
      </c>
      <c r="K376">
        <v>1.22</v>
      </c>
      <c r="L376" t="s">
        <v>6</v>
      </c>
      <c r="M376" t="s">
        <v>71</v>
      </c>
    </row>
    <row r="377" spans="1:13" x14ac:dyDescent="0.45">
      <c r="A377" t="s">
        <v>5</v>
      </c>
      <c r="B377" t="s">
        <v>104</v>
      </c>
      <c r="C377">
        <v>2030</v>
      </c>
      <c r="D377">
        <v>18</v>
      </c>
      <c r="E377">
        <v>1.1299999999999999</v>
      </c>
      <c r="F377">
        <v>1.03</v>
      </c>
      <c r="G377">
        <v>0.21</v>
      </c>
      <c r="H377">
        <v>0.97</v>
      </c>
      <c r="I377">
        <v>1.71</v>
      </c>
      <c r="J377">
        <v>0.97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104</v>
      </c>
      <c r="C378">
        <v>2035</v>
      </c>
      <c r="D378">
        <v>18</v>
      </c>
      <c r="E378">
        <v>1.36</v>
      </c>
      <c r="F378">
        <v>1.1599999999999999</v>
      </c>
      <c r="G378">
        <v>0.45</v>
      </c>
      <c r="H378">
        <v>0.93</v>
      </c>
      <c r="I378">
        <v>2.15</v>
      </c>
      <c r="J378">
        <v>0.95</v>
      </c>
      <c r="K378">
        <v>1.74</v>
      </c>
      <c r="L378" t="s">
        <v>6</v>
      </c>
      <c r="M378" t="s">
        <v>71</v>
      </c>
    </row>
    <row r="379" spans="1:13" x14ac:dyDescent="0.45">
      <c r="A379" t="s">
        <v>5</v>
      </c>
      <c r="B379" t="s">
        <v>104</v>
      </c>
      <c r="C379">
        <v>2040</v>
      </c>
      <c r="D379">
        <v>18</v>
      </c>
      <c r="E379">
        <v>1.7</v>
      </c>
      <c r="F379">
        <v>1.45</v>
      </c>
      <c r="G379">
        <v>0.79</v>
      </c>
      <c r="H379">
        <v>0.98</v>
      </c>
      <c r="I379">
        <v>3.18</v>
      </c>
      <c r="J379">
        <v>0.99</v>
      </c>
      <c r="K379">
        <v>2.33</v>
      </c>
      <c r="L379" t="s">
        <v>6</v>
      </c>
      <c r="M379" t="s">
        <v>71</v>
      </c>
    </row>
    <row r="380" spans="1:13" x14ac:dyDescent="0.45">
      <c r="A380" t="s">
        <v>5</v>
      </c>
      <c r="B380" t="s">
        <v>104</v>
      </c>
      <c r="C380">
        <v>2045</v>
      </c>
      <c r="D380">
        <v>18</v>
      </c>
      <c r="E380">
        <v>2.11</v>
      </c>
      <c r="F380">
        <v>1.74</v>
      </c>
      <c r="G380">
        <v>1.21</v>
      </c>
      <c r="H380">
        <v>1.03</v>
      </c>
      <c r="I380">
        <v>4.3499999999999996</v>
      </c>
      <c r="J380">
        <v>1.04</v>
      </c>
      <c r="K380">
        <v>2.95</v>
      </c>
      <c r="L380" t="s">
        <v>6</v>
      </c>
      <c r="M380" t="s">
        <v>71</v>
      </c>
    </row>
    <row r="381" spans="1:13" x14ac:dyDescent="0.45">
      <c r="A381" t="s">
        <v>5</v>
      </c>
      <c r="B381" t="s">
        <v>104</v>
      </c>
      <c r="C381">
        <v>2050</v>
      </c>
      <c r="D381">
        <v>18</v>
      </c>
      <c r="E381">
        <v>2.5099999999999998</v>
      </c>
      <c r="F381">
        <v>2.0299999999999998</v>
      </c>
      <c r="G381">
        <v>1.6</v>
      </c>
      <c r="H381">
        <v>1.08</v>
      </c>
      <c r="I381">
        <v>5.38</v>
      </c>
      <c r="J381">
        <v>1.0900000000000001</v>
      </c>
      <c r="K381">
        <v>3.53</v>
      </c>
      <c r="L381" t="s">
        <v>6</v>
      </c>
      <c r="M381" t="s">
        <v>71</v>
      </c>
    </row>
    <row r="382" spans="1:13" x14ac:dyDescent="0.45">
      <c r="A382" t="s">
        <v>7</v>
      </c>
      <c r="B382" t="s">
        <v>104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104</v>
      </c>
      <c r="C383">
        <v>2025</v>
      </c>
      <c r="D383">
        <v>8</v>
      </c>
      <c r="E383">
        <v>1.2</v>
      </c>
      <c r="F383">
        <v>1.2</v>
      </c>
      <c r="G383">
        <v>0.03</v>
      </c>
      <c r="H383">
        <v>1.18</v>
      </c>
      <c r="I383">
        <v>1.24</v>
      </c>
      <c r="J383">
        <v>1.18</v>
      </c>
      <c r="K383">
        <v>1.22</v>
      </c>
      <c r="L383" t="s">
        <v>8</v>
      </c>
      <c r="M383" t="s">
        <v>71</v>
      </c>
    </row>
    <row r="384" spans="1:13" x14ac:dyDescent="0.45">
      <c r="A384" t="s">
        <v>7</v>
      </c>
      <c r="B384" t="s">
        <v>104</v>
      </c>
      <c r="C384">
        <v>2030</v>
      </c>
      <c r="D384">
        <v>8</v>
      </c>
      <c r="E384">
        <v>1.18</v>
      </c>
      <c r="F384">
        <v>1.1599999999999999</v>
      </c>
      <c r="G384">
        <v>0.1</v>
      </c>
      <c r="H384">
        <v>1.08</v>
      </c>
      <c r="I384">
        <v>1.3</v>
      </c>
      <c r="J384">
        <v>1.08</v>
      </c>
      <c r="K384">
        <v>1.27</v>
      </c>
      <c r="L384" t="s">
        <v>8</v>
      </c>
      <c r="M384" t="s">
        <v>71</v>
      </c>
    </row>
    <row r="385" spans="1:13" x14ac:dyDescent="0.45">
      <c r="A385" t="s">
        <v>7</v>
      </c>
      <c r="B385" t="s">
        <v>104</v>
      </c>
      <c r="C385">
        <v>2035</v>
      </c>
      <c r="D385">
        <v>8</v>
      </c>
      <c r="E385">
        <v>1.43</v>
      </c>
      <c r="F385">
        <v>1.44</v>
      </c>
      <c r="G385">
        <v>0.13</v>
      </c>
      <c r="H385">
        <v>1.26</v>
      </c>
      <c r="I385">
        <v>1.59</v>
      </c>
      <c r="J385">
        <v>1.33</v>
      </c>
      <c r="K385">
        <v>1.53</v>
      </c>
      <c r="L385" t="s">
        <v>8</v>
      </c>
      <c r="M385" t="s">
        <v>71</v>
      </c>
    </row>
    <row r="386" spans="1:13" x14ac:dyDescent="0.45">
      <c r="A386" t="s">
        <v>7</v>
      </c>
      <c r="B386" t="s">
        <v>104</v>
      </c>
      <c r="C386">
        <v>2040</v>
      </c>
      <c r="D386">
        <v>8</v>
      </c>
      <c r="E386">
        <v>1.57</v>
      </c>
      <c r="F386">
        <v>1.57</v>
      </c>
      <c r="G386">
        <v>0.16</v>
      </c>
      <c r="H386">
        <v>1.34</v>
      </c>
      <c r="I386">
        <v>1.77</v>
      </c>
      <c r="J386">
        <v>1.48</v>
      </c>
      <c r="K386">
        <v>1.69</v>
      </c>
      <c r="L386" t="s">
        <v>8</v>
      </c>
      <c r="M386" t="s">
        <v>71</v>
      </c>
    </row>
    <row r="387" spans="1:13" x14ac:dyDescent="0.45">
      <c r="A387" t="s">
        <v>7</v>
      </c>
      <c r="B387" t="s">
        <v>104</v>
      </c>
      <c r="C387">
        <v>2045</v>
      </c>
      <c r="D387">
        <v>8</v>
      </c>
      <c r="E387">
        <v>1.95</v>
      </c>
      <c r="F387">
        <v>1.95</v>
      </c>
      <c r="G387">
        <v>0.19</v>
      </c>
      <c r="H387">
        <v>1.63</v>
      </c>
      <c r="I387">
        <v>2.2200000000000002</v>
      </c>
      <c r="J387">
        <v>1.86</v>
      </c>
      <c r="K387">
        <v>2.06</v>
      </c>
      <c r="L387" t="s">
        <v>8</v>
      </c>
      <c r="M387" t="s">
        <v>71</v>
      </c>
    </row>
    <row r="388" spans="1:13" x14ac:dyDescent="0.45">
      <c r="A388" t="s">
        <v>7</v>
      </c>
      <c r="B388" t="s">
        <v>104</v>
      </c>
      <c r="C388">
        <v>2050</v>
      </c>
      <c r="D388">
        <v>8</v>
      </c>
      <c r="E388">
        <v>2.4700000000000002</v>
      </c>
      <c r="F388">
        <v>2.5099999999999998</v>
      </c>
      <c r="G388">
        <v>0.35</v>
      </c>
      <c r="H388">
        <v>1.94</v>
      </c>
      <c r="I388">
        <v>2.95</v>
      </c>
      <c r="J388">
        <v>2.2599999999999998</v>
      </c>
      <c r="K388">
        <v>2.69</v>
      </c>
      <c r="L388" t="s">
        <v>8</v>
      </c>
      <c r="M388" t="s">
        <v>71</v>
      </c>
    </row>
    <row r="389" spans="1:13" x14ac:dyDescent="0.45">
      <c r="A389" t="s">
        <v>9</v>
      </c>
      <c r="B389" t="s">
        <v>104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104</v>
      </c>
      <c r="C390">
        <v>2025</v>
      </c>
      <c r="D390">
        <v>10</v>
      </c>
      <c r="E390">
        <v>1.08</v>
      </c>
      <c r="F390">
        <v>1.06</v>
      </c>
      <c r="G390">
        <v>0.1</v>
      </c>
      <c r="H390">
        <v>0.99</v>
      </c>
      <c r="I390">
        <v>1.23</v>
      </c>
      <c r="J390">
        <v>0.99</v>
      </c>
      <c r="K390">
        <v>1.17</v>
      </c>
      <c r="L390" t="s">
        <v>10</v>
      </c>
      <c r="M390" t="s">
        <v>71</v>
      </c>
    </row>
    <row r="391" spans="1:13" x14ac:dyDescent="0.45">
      <c r="A391" t="s">
        <v>9</v>
      </c>
      <c r="B391" t="s">
        <v>104</v>
      </c>
      <c r="C391">
        <v>2030</v>
      </c>
      <c r="D391">
        <v>10</v>
      </c>
      <c r="E391">
        <v>1.07</v>
      </c>
      <c r="F391">
        <v>1.08</v>
      </c>
      <c r="G391">
        <v>0.09</v>
      </c>
      <c r="H391">
        <v>0.97</v>
      </c>
      <c r="I391">
        <v>1.1599999999999999</v>
      </c>
      <c r="J391">
        <v>0.98</v>
      </c>
      <c r="K391">
        <v>1.1599999999999999</v>
      </c>
      <c r="L391" t="s">
        <v>10</v>
      </c>
      <c r="M391" t="s">
        <v>71</v>
      </c>
    </row>
    <row r="392" spans="1:13" x14ac:dyDescent="0.45">
      <c r="A392" t="s">
        <v>9</v>
      </c>
      <c r="B392" t="s">
        <v>104</v>
      </c>
      <c r="C392">
        <v>2035</v>
      </c>
      <c r="D392">
        <v>10</v>
      </c>
      <c r="E392">
        <v>1.03</v>
      </c>
      <c r="F392">
        <v>0.97</v>
      </c>
      <c r="G392">
        <v>0.12</v>
      </c>
      <c r="H392">
        <v>0.91</v>
      </c>
      <c r="I392">
        <v>1.19</v>
      </c>
      <c r="J392">
        <v>0.93</v>
      </c>
      <c r="K392">
        <v>1.1399999999999999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104</v>
      </c>
      <c r="C393">
        <v>2040</v>
      </c>
      <c r="D393">
        <v>10</v>
      </c>
      <c r="E393">
        <v>1.03</v>
      </c>
      <c r="F393">
        <v>1.05</v>
      </c>
      <c r="G393">
        <v>0.09</v>
      </c>
      <c r="H393">
        <v>0.9</v>
      </c>
      <c r="I393">
        <v>1.1399999999999999</v>
      </c>
      <c r="J393">
        <v>0.95</v>
      </c>
      <c r="K393">
        <v>1.0900000000000001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104</v>
      </c>
      <c r="C394">
        <v>2045</v>
      </c>
      <c r="D394">
        <v>10</v>
      </c>
      <c r="E394">
        <v>1.05</v>
      </c>
      <c r="F394">
        <v>1.1000000000000001</v>
      </c>
      <c r="G394">
        <v>0.12</v>
      </c>
      <c r="H394">
        <v>0.89</v>
      </c>
      <c r="I394">
        <v>1.19</v>
      </c>
      <c r="J394">
        <v>0.94</v>
      </c>
      <c r="K394">
        <v>1.1299999999999999</v>
      </c>
      <c r="L394" t="s">
        <v>10</v>
      </c>
      <c r="M394" t="s">
        <v>71</v>
      </c>
    </row>
    <row r="395" spans="1:13" x14ac:dyDescent="0.45">
      <c r="A395" t="s">
        <v>9</v>
      </c>
      <c r="B395" t="s">
        <v>104</v>
      </c>
      <c r="C395">
        <v>2050</v>
      </c>
      <c r="D395">
        <v>10</v>
      </c>
      <c r="E395">
        <v>1.0900000000000001</v>
      </c>
      <c r="F395">
        <v>1.1100000000000001</v>
      </c>
      <c r="G395">
        <v>0.14000000000000001</v>
      </c>
      <c r="H395">
        <v>0.91</v>
      </c>
      <c r="I395">
        <v>1.29</v>
      </c>
      <c r="J395">
        <v>0.96</v>
      </c>
      <c r="K395">
        <v>1.1399999999999999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2026-09-28T13:11:27Z</dcterms:modified>
</cp:coreProperties>
</file>