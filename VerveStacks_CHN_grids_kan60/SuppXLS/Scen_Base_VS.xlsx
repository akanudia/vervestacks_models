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928"/>
  <workbookPr defaultThemeVersion="166925"/>
  <mc:AlternateContent xmlns:mc="http://schemas.openxmlformats.org/markup-compatibility/2006">
    <mc:Choice Requires="x15">
      <x15ac:absPath xmlns:x15ac="http://schemas.microsoft.com/office/spreadsheetml/2010/11/ac" url="C:\Veda\Veda\Veda_models\vervestacks_models\VerveStacks_CHN_grids_kan60\SuppXLS\"/>
    </mc:Choice>
  </mc:AlternateContent>
  <xr:revisionPtr revIDLastSave="0" documentId="13_ncr:1_{34168BBA-7C69-4011-AF72-3471C0A5E0F5}" xr6:coauthVersionLast="47" xr6:coauthVersionMax="47" xr10:uidLastSave="{00000000-0000-0000-0000-000000000000}"/>
  <bookViews>
    <workbookView xWindow="3675" yWindow="3675" windowWidth="21600" windowHeight="11423"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<sst xmlns="http://schemas.openxmlformats.org/spreadsheetml/2006/main" count="23884" uniqueCount="5469">
  <si>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</si>
  <si>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</si>
  <si>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</si>
  <si>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</si>
  <si>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</si>
  <si>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</si>
  <si>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</si>
  <si>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</si>
  <si>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</si>
  <si>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</si>
  <si>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</si>
  <si>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</si>
  <si>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</si>
  <si>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</si>
  <si>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</si>
  <si>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</si>
  <si>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</si>
  <si>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</si>
  <si>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</si>
  <si>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</si>
  <si>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</si>
  <si>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</si>
  <si>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</si>
  <si>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</si>
  <si>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</si>
  <si>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</si>
  <si>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</si>
  <si>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</si>
  <si>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</si>
  <si>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</si>
  <si>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</si>
  <si>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</si>
  <si>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</si>
  <si>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</si>
  <si>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</si>
  <si>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</si>
  <si>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</si>
  <si>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</si>
  <si>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</si>
  <si>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</si>
  <si>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</si>
  <si>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</si>
  <si>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</si>
  <si>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</si>
  <si>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</si>
  <si>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</si>
  <si>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</si>
  <si>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</si>
  <si>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</si>
  <si>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</si>
  <si>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</si>
  <si>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</si>
  <si>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</si>
  <si>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</si>
  <si>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</si>
  <si>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</si>
  <si>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</si>
  <si>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</si>
  <si>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</si>
  <si>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</si>
  <si>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</si>
  <si>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</si>
  <si>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</si>
  <si>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</si>
  <si>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</si>
  <si>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</si>
  <si>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</si>
  <si>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</si>
  <si>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</si>
  <si>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</si>
  <si>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</si>
  <si>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</si>
  <si>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</si>
  <si>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</si>
  <si>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</si>
  <si>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</si>
  <si>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</si>
  <si>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</si>
  <si>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</si>
  <si>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</si>
  <si>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</si>
  <si>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</si>
  <si>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</si>
  <si>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</si>
  <si>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</si>
  <si>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</si>
  <si>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</si>
  <si>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</si>
  <si>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</si>
  <si>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Executive order</t>
  </si>
  <si>
    <t>Announcement of China's 3rd Nationally Determined Contribution</t>
  </si>
  <si>
    <t>Xi Jinping, President of the People's Republic of China</t>
  </si>
  <si>
    <t>https://www.mfa.gov.cn/zyxw/202509/t20250925_11716488.shtml</t>
  </si>
  <si>
    <t>Xi Jinping, President of the People's Republic of China announced the third Nationally Determined Contribution for China. In his speech he announced a series of 2035 targets. This includes an aim to reach economy-wide net  greenhouse gas emissions reduction of 7-10% from their peak and a non-fossil energy consumption to account for over 30% of total energy consumption. The total installed capacity of wind and solar power generation by 2035 will be more than six times the 2020 level, aiming to reach 3,600 GW.</t>
  </si>
  <si>
    <t>Hydro</t>
  </si>
  <si>
    <t>Solar</t>
  </si>
  <si>
    <t>Wind</t>
  </si>
  <si>
    <t>Wind and solar</t>
  </si>
  <si>
    <t>Official projections</t>
  </si>
  <si>
    <t xml:space="preserve">中国2030年能源电力发展规划研究及2060年展望 (China's 2030 Energy and Power Development Planning Research and 2060 Outlook) </t>
  </si>
  <si>
    <t>Global Energy Interconnection Development and Cooperation Organisation (GEIDO)</t>
  </si>
  <si>
    <t>https://www.gei-journal.com/cn/wonderfulReportCn/20211209/1468969880752623616.html</t>
  </si>
  <si>
    <t xml:space="preserve">GEIDO, a government-affiliated think-tank and chaired by the Chairman of State Grid Corporation of China and China Electricity Council, produced a study that projects power capacity development pathways for 2030 and onwards. President Xi's statement on renewable ambition and the 14th Five-Year Plan are incorporated into this study, including goals to peak emissions by 2030 and reach carbon neutrality by 2060. While results of this study is not an explicit target, they can provide an estimate for what China's ambition for 2030 may look like in their power sector planning.  The research suggests that clean power will account for 52.5% electricity consumption by 2030. </t>
  </si>
  <si>
    <t xml:space="preserve">p.21, table "The total installed capacity and structure of power supply fomr 2020 to 2060", machine-translated from Chinese.
p. 21 "Clean energy power generation will be 5.8 trillion kwh, accounting for 52.5% of total electricity generation." </t>
  </si>
  <si>
    <t>Coal</t>
  </si>
  <si>
    <t>Gas</t>
  </si>
  <si>
    <t>Nuclear</t>
  </si>
  <si>
    <t>Storage</t>
  </si>
  <si>
    <t>Clean</t>
  </si>
  <si>
    <t>share_of_generation_pct</t>
  </si>
  <si>
    <t>BUILD RATE ASSUMPTIONS</t>
  </si>
  <si>
    <t>iso</t>
  </si>
  <si>
    <t>CHN</t>
  </si>
  <si>
    <t>~TFM_DINS-AT</t>
  </si>
  <si>
    <t>pasti</t>
  </si>
  <si>
    <t>ncap_cost</t>
  </si>
  <si>
    <t>efficiency</t>
  </si>
  <si>
    <t>g_Anqing_CHN-Tongling_CHN</t>
  </si>
  <si>
    <t>g_Anqing_CHN-Tongshan_CHN</t>
  </si>
  <si>
    <t>g_Anqing_CHN-Wuhan_CHN</t>
  </si>
  <si>
    <t>g_Anshun_CHN-Chongqing_CHN</t>
  </si>
  <si>
    <t>g_Anshun_CHN-Jinbi_CHN</t>
  </si>
  <si>
    <t>g_Anshun_CHN-ZhongdongShequ_CHN</t>
  </si>
  <si>
    <t>g_Beichengqu_CHN-CHN44p2N116p5E_CHN</t>
  </si>
  <si>
    <t>g_Beichengqu_CHN-Sanhe_CHN</t>
  </si>
  <si>
    <t>g_Beichengqu_CHN-Shijiazhuang_CHN</t>
  </si>
  <si>
    <t>g_Beichengqu_CHN-Tianjin_CHN</t>
  </si>
  <si>
    <t>g_Beichengqu_CHN-Wuan_CHN</t>
  </si>
  <si>
    <t>g_CHN44p2N116p5E_CHN-Shahezhai_CHN</t>
  </si>
  <si>
    <t>g_CHN44p4N121p8E_CHN-Anshan_CHN</t>
  </si>
  <si>
    <t>g_CHN44p4N121p8E_CHN-Harbin_CHN</t>
  </si>
  <si>
    <t>g_CHN44p4N121p8E_CHN-Liaoyang_CHN</t>
  </si>
  <si>
    <t>g_CHN44p7N89p1E_CHN-Yuanquan_CHN</t>
  </si>
  <si>
    <t>g_Changzhou_CHN-Hangzhou_CHN</t>
  </si>
  <si>
    <t>g_Changzhou_CHN-Nantong_CHN</t>
  </si>
  <si>
    <t>g_Changzhou_CHN-Shanghai_CHN</t>
  </si>
  <si>
    <t>g_Changzhou_CHN-Yicheng_CHN</t>
  </si>
  <si>
    <t>g_Chongqing_CHN-Liuzhou_CHN</t>
  </si>
  <si>
    <t>g_Chongqing_CHN-Mianyang_CHN</t>
  </si>
  <si>
    <t>g_Chongqing_CHN-Xiaoxita_CHN</t>
  </si>
  <si>
    <t>g_Dayan_CHN-Bayi_CHN</t>
  </si>
  <si>
    <t>g_Dayan_CHN-Manlin_CHN</t>
  </si>
  <si>
    <t>g_Dayan_CHN-Xichang_CHN</t>
  </si>
  <si>
    <t>g_Fangchenggang_CHN-Liuzhou_CHN</t>
  </si>
  <si>
    <t>g_Fangchenggang_CHN-Yangjiang_CHN</t>
  </si>
  <si>
    <t>g_Fangchenggang_CHN-ZhongdongShequ_CHN</t>
  </si>
  <si>
    <t>g_Fuzhou_CHN-Anqing_CHN</t>
  </si>
  <si>
    <t>g_Fuzhou_CHN-Yiyang_CHN</t>
  </si>
  <si>
    <t>g_Hangzhou_CHN-Ningde_CHN</t>
  </si>
  <si>
    <t>g_Hangzhou_CHN-Shanghai_CHN</t>
  </si>
  <si>
    <t>g_Harbin_CHN-CHN45p9N129p3E_CHN</t>
  </si>
  <si>
    <t>g_Hejin_CHN-Sizhan_CHN</t>
  </si>
  <si>
    <t>g_Hejin_CHN-Xiaoyi_CHN</t>
  </si>
  <si>
    <t>g_Hejin_CHN-Yingchuan_CHN</t>
  </si>
  <si>
    <t>g_Hohhot_CHN-Beichengqu_CHN</t>
  </si>
  <si>
    <t>g_Hohhot_CHN-Hejin_CHN</t>
  </si>
  <si>
    <t>g_Hohhot_CHN-Shijiazhuang_CHN</t>
  </si>
  <si>
    <t>g_Hohhot_CHN-Xiaoyi_CHN</t>
  </si>
  <si>
    <t>g_Jinbi_CHN-Dayan_CHN</t>
  </si>
  <si>
    <t>g_Jinbi_CHN-Manlin_CHN</t>
  </si>
  <si>
    <t>g_Jinbi_CHN-Xichang_CHN</t>
  </si>
  <si>
    <t>g_Jingling_CHN-Yingchuan_CHN</t>
  </si>
  <si>
    <t>g_Jingling_CHN-Yiyang_CHN</t>
  </si>
  <si>
    <t>g_Kuqa_CHN-CHN44p7N89p1E_CHN</t>
  </si>
  <si>
    <t>g_Liaoyang_CHN-Anshan_CHN</t>
  </si>
  <si>
    <t>g_Liaoyang_CHN-Harbin_CHN</t>
  </si>
  <si>
    <t>g_Linyi_CHN-Rizhao_CHN</t>
  </si>
  <si>
    <t>g_Linyi_CHN-Tongshan_CHN</t>
  </si>
  <si>
    <t>g_Liuzhou_CHN-Anshun_CHN</t>
  </si>
  <si>
    <t>g_Liuzhou_CHN-Shaoguan_CHN</t>
  </si>
  <si>
    <t>g_Liuzhou_CHN-Yangjiang_CHN</t>
  </si>
  <si>
    <t>g_Liuzhou_CHN-Yiyang_CHN</t>
  </si>
  <si>
    <t>g_Luohe_CHN-Tongshan_CHN</t>
  </si>
  <si>
    <t>g_Luohe_CHN-Wuhan_CHN</t>
  </si>
  <si>
    <t>g_Manlin_CHN-Anshun_CHN</t>
  </si>
  <si>
    <t>g_Mianyang_CHN-Xichang_CHN</t>
  </si>
  <si>
    <t>g_Nanjing_CHN-Yangzhou_CHN</t>
  </si>
  <si>
    <t>g_Nanjing_CHN-Yicheng_CHN</t>
  </si>
  <si>
    <t>g_Nantong_CHN-Shanghai_CHN</t>
  </si>
  <si>
    <t>g_Putian_CHN-Ningde_CHN</t>
  </si>
  <si>
    <t>g_Putian_CHN-Shaoguan_CHN</t>
  </si>
  <si>
    <t>g_Qabqa_CHN-Yuanquan_CHN</t>
  </si>
  <si>
    <t>g_Rizhao_CHN-Nantong_CHN</t>
  </si>
  <si>
    <t>g_Rizhao_CHN-Tongshan_CHN</t>
  </si>
  <si>
    <t>g_Rizhao_CHN-Yanggezhuang_CHN</t>
  </si>
  <si>
    <t>g_Rizhao_CHN-Yangzhou_CHN</t>
  </si>
  <si>
    <t>g_Sanhe_CHN-CHN44p2N116p5E_CHN</t>
  </si>
  <si>
    <t>g_Sanhe_CHN-Shijiazhuang_CHN</t>
  </si>
  <si>
    <t>g_Sanhe_CHN-Tangshan_CHN</t>
  </si>
  <si>
    <t>g_Shahezhai_CHN-Anshan_CHN</t>
  </si>
  <si>
    <t>g_Shaoguan_CHN-Fuzhou_CHN</t>
  </si>
  <si>
    <t>g_Shijiazhuang_CHN-Tianjin_CHN</t>
  </si>
  <si>
    <t>g_Shijiazhuang_CHN-Zouping_CHN</t>
  </si>
  <si>
    <t>g_Sizhan_CHN-Hohhot_CHN</t>
  </si>
  <si>
    <t>g_Tangshan_CHN-CHN44p2N116p5E_CHN</t>
  </si>
  <si>
    <t>g_Tangshan_CHN-Yanggezhuang_CHN</t>
  </si>
  <si>
    <t>g_Tianjin_CHN-Sanhe_CHN</t>
  </si>
  <si>
    <t>g_Tianjin_CHN-Tangshan_CHN</t>
  </si>
  <si>
    <t>g_Tianjin_CHN-Zouping_CHN</t>
  </si>
  <si>
    <t>g_Tongling_CHN-Hangzhou_CHN</t>
  </si>
  <si>
    <t>g_Tongling_CHN-Nanjing_CHN</t>
  </si>
  <si>
    <t>g_Tongling_CHN-Yicheng_CHN</t>
  </si>
  <si>
    <t>g_Tongshan_CHN-Nanjing_CHN</t>
  </si>
  <si>
    <t>g_Tongshan_CHN-Tongling_CHN</t>
  </si>
  <si>
    <t>g_Wuan_CHN-Linyi_CHN</t>
  </si>
  <si>
    <t>g_Wuan_CHN-Shijiazhuang_CHN</t>
  </si>
  <si>
    <t>g_Wuan_CHN-Tongshan_CHN</t>
  </si>
  <si>
    <t>g_Wuan_CHN-Zouping_CHN</t>
  </si>
  <si>
    <t>g_Wuhan_CHN-Fuzhou_CHN</t>
  </si>
  <si>
    <t>g_Wuhan_CHN-Jingling_CHN</t>
  </si>
  <si>
    <t>g_Wulan_CHN-Hejin_CHN</t>
  </si>
  <si>
    <t>g_Wulan_CHN-Qabqa_CHN</t>
  </si>
  <si>
    <t>g_Wulan_CHN-Sizhan_CHN</t>
  </si>
  <si>
    <t>g_Xiaoxita_CHN-Jingling_CHN</t>
  </si>
  <si>
    <t>g_Xiaoxita_CHN-Wuhan_CHN</t>
  </si>
  <si>
    <t>g_Xiaoxita_CHN-Yingchuan_CHN</t>
  </si>
  <si>
    <t>g_Xiaoxita_CHN-Yiyang_CHN</t>
  </si>
  <si>
    <t>g_Xiaoyi_CHN-Wuan_CHN</t>
  </si>
  <si>
    <t>g_Xiaoyi_CHN-Yingchuan_CHN</t>
  </si>
  <si>
    <t>g_Xichang_CHN-Anshun_CHN</t>
  </si>
  <si>
    <t>g_Xichang_CHN-Chongqing_CHN</t>
  </si>
  <si>
    <t>g_Yakeshi_CHN-CHN44p4N121p8E_CHN</t>
  </si>
  <si>
    <t>g_Yakeshi_CHN-Harbin_CHN</t>
  </si>
  <si>
    <t>g_Yanggezhuang_CHN-Shahezhai_CHN</t>
  </si>
  <si>
    <t>g_Yangjiang_CHN-Shaoguan_CHN</t>
  </si>
  <si>
    <t>g_Yangzhou_CHN-Changzhou_CHN</t>
  </si>
  <si>
    <t>g_Yangzhou_CHN-Nantong_CHN</t>
  </si>
  <si>
    <t>g_Yangzhou_CHN-Tongshan_CHN</t>
  </si>
  <si>
    <t>g_Yangzhou_CHN-Yicheng_CHN</t>
  </si>
  <si>
    <t>g_Yicheng_CHN-Hangzhou_CHN</t>
  </si>
  <si>
    <t>g_Yingchuan_CHN-Luohe_CHN</t>
  </si>
  <si>
    <t>g_Yingchuan_CHN-Wuan_CHN</t>
  </si>
  <si>
    <t>g_Yiyang_CHN-Shaoguan_CHN</t>
  </si>
  <si>
    <t>g_ZhongdongShequ_CHN-Liuzhou_CHN</t>
  </si>
  <si>
    <t>g_Zouping_CHN-Linyi_CHN</t>
  </si>
  <si>
    <t>g_Zouping_CHN-Rizhao_CHN</t>
  </si>
  <si>
    <t>g_Zouping_CHN-Tongshan_CHN</t>
  </si>
  <si>
    <t>g_Zouping_CHN-Yanggezhuang_CHN</t>
  </si>
  <si>
    <t>commodity</t>
  </si>
  <si>
    <t>flo_mark</t>
  </si>
  <si>
    <t>lim_type</t>
  </si>
  <si>
    <t>e_demand_Shanghai_CHN</t>
  </si>
  <si>
    <t>elc_buildings</t>
  </si>
  <si>
    <t>lo</t>
  </si>
  <si>
    <t>elc_transport</t>
  </si>
  <si>
    <t>elc_roadtransport</t>
  </si>
  <si>
    <t>e_demand_Shijiazhuang_CHN</t>
  </si>
  <si>
    <t>e_demand_Tianjin_CHN</t>
  </si>
  <si>
    <t>e_demand_Anshan_CHN</t>
  </si>
  <si>
    <t>e_demand_Wuhan_CHN</t>
  </si>
  <si>
    <t>e_demand_Sanhe_CHN</t>
  </si>
  <si>
    <t>e_demand_Harbin_CHN</t>
  </si>
  <si>
    <t>e_demand_Changzhou_CHN</t>
  </si>
  <si>
    <t>e_demand_Anshun_CHN</t>
  </si>
  <si>
    <t>e_demand_Yiyang_CHN</t>
  </si>
  <si>
    <t>e_demand_Yakeshi_CHN</t>
  </si>
  <si>
    <t>e_demand_Linyi_CHN</t>
  </si>
  <si>
    <t>e_demand_Hangzhou_CHN</t>
  </si>
  <si>
    <t>e_demand_Manlin_CHN</t>
  </si>
  <si>
    <t>e_demand_Chongqing_CHN</t>
  </si>
  <si>
    <t>e_demand_Dayan_CHN</t>
  </si>
  <si>
    <t>e_demand_Shahezhai_CHN</t>
  </si>
  <si>
    <t>e_demand_Kuqa_CHN</t>
  </si>
  <si>
    <t>e_demand_Wulan_CHN</t>
  </si>
  <si>
    <t>e_demand_ZhongdongShequ_CHN</t>
  </si>
  <si>
    <t>e_demand_Yangjiang_CHN</t>
  </si>
  <si>
    <t>e_demand_Jinbi_CHN</t>
  </si>
  <si>
    <t>e_demand_Liuzhou_CHN</t>
  </si>
  <si>
    <t>e_demand_Xichang_CHN</t>
  </si>
  <si>
    <t>e_demand_Putian_CHN</t>
  </si>
  <si>
    <t>e_demand_Fangchenggang_CHN</t>
  </si>
  <si>
    <t>e_demand_Zouping_CHN</t>
  </si>
  <si>
    <t>e_demand_Jingling_CHN</t>
  </si>
  <si>
    <t>e_demand_Yingchuan_CHN</t>
  </si>
  <si>
    <t>e_demand_Luohe_CHN</t>
  </si>
  <si>
    <t>e_demand_Fuzhou_CHN</t>
  </si>
  <si>
    <t>e_demand_Mianyang_CHN</t>
  </si>
  <si>
    <t>e_demand_Bayi_CHN</t>
  </si>
  <si>
    <t>e_demand_Hohhot_CHN</t>
  </si>
  <si>
    <t>e_demand_Beichengqu_CHN</t>
  </si>
  <si>
    <t>e_demand_Qabqa_CHN</t>
  </si>
  <si>
    <t>e_demand_Shaoguan_CHN</t>
  </si>
  <si>
    <t>e_demand_Nanjing_CHN</t>
  </si>
  <si>
    <t>e_demand_Yicheng_CHN</t>
  </si>
  <si>
    <t>e_demand_Xiaoyi_CHN</t>
  </si>
  <si>
    <t>e_demand_Ningde_CHN</t>
  </si>
  <si>
    <t>e_demand_Rizhao_CHN</t>
  </si>
  <si>
    <t>e_demand_Yanggezhuang_CHN</t>
  </si>
  <si>
    <t>e_demand_Yuanquan_CHN</t>
  </si>
  <si>
    <t>e_demand_Xiaoxita_CHN</t>
  </si>
  <si>
    <t>e_demand_Nantong_CHN</t>
  </si>
  <si>
    <t>e_demand_Liaoyang_CHN</t>
  </si>
  <si>
    <t>e_demand_Tangshan_CHN</t>
  </si>
  <si>
    <t>e_demand_Hejin_CHN</t>
  </si>
  <si>
    <t>e_demand_CHN44p4N121p8E_CHN</t>
  </si>
  <si>
    <t>e_demand_Sizhan_CHN</t>
  </si>
  <si>
    <t>e_demand_Yangzhou_CHN</t>
  </si>
  <si>
    <t>e_demand_Tongshan_CHN</t>
  </si>
  <si>
    <t>e_demand_Wuan_CHN</t>
  </si>
  <si>
    <t>e_demand_Tongling_CHN</t>
  </si>
  <si>
    <t>e_demand_Anqing_CHN</t>
  </si>
  <si>
    <t>ev_battery_Shanghai_CHN</t>
  </si>
  <si>
    <t>ev_battery_Shijiazhuang_CHN</t>
  </si>
  <si>
    <t>ev_battery_Tianjin_CHN</t>
  </si>
  <si>
    <t>ev_battery_Anshan_CHN</t>
  </si>
  <si>
    <t>ev_battery_Wuhan_CHN</t>
  </si>
  <si>
    <t>ev_battery_Sanhe_CHN</t>
  </si>
  <si>
    <t>ev_battery_Harbin_CHN</t>
  </si>
  <si>
    <t>ev_battery_Changzhou_CHN</t>
  </si>
  <si>
    <t>ev_battery_Anshun_CHN</t>
  </si>
  <si>
    <t>ev_battery_Yiyang_CHN</t>
  </si>
  <si>
    <t>ev_battery_Yakeshi_CHN</t>
  </si>
  <si>
    <t>ev_battery_Linyi_CHN</t>
  </si>
  <si>
    <t>ev_battery_Hangzhou_CHN</t>
  </si>
  <si>
    <t>ev_battery_Manlin_CHN</t>
  </si>
  <si>
    <t>ev_battery_Chongqing_CHN</t>
  </si>
  <si>
    <t>ev_battery_Dayan_CHN</t>
  </si>
  <si>
    <t>ev_battery_Shahezhai_CHN</t>
  </si>
  <si>
    <t>ev_battery_Kuqa_CHN</t>
  </si>
  <si>
    <t>ev_battery_Wulan_CHN</t>
  </si>
  <si>
    <t>ev_battery_ZhongdongShequ_CHN</t>
  </si>
  <si>
    <t>ev_battery_Yangjiang_CHN</t>
  </si>
  <si>
    <t>ev_battery_Jinbi_CHN</t>
  </si>
  <si>
    <t>ev_battery_Liuzhou_CHN</t>
  </si>
  <si>
    <t>ev_battery_Xichang_CHN</t>
  </si>
  <si>
    <t>ev_battery_Putian_CHN</t>
  </si>
  <si>
    <t>ev_battery_Fangchenggang_CHN</t>
  </si>
  <si>
    <t>ev_battery_Zouping_CHN</t>
  </si>
  <si>
    <t>ev_battery_Jingling_CHN</t>
  </si>
  <si>
    <t>ev_battery_Yingchuan_CHN</t>
  </si>
  <si>
    <t>ev_battery_Luohe_CHN</t>
  </si>
  <si>
    <t>ev_battery_Fuzhou_CHN</t>
  </si>
  <si>
    <t>ev_battery_Mianyang_CHN</t>
  </si>
  <si>
    <t>ev_battery_Bayi_CHN</t>
  </si>
  <si>
    <t>ev_battery_Hohhot_CHN</t>
  </si>
  <si>
    <t>ev_battery_Beichengqu_CHN</t>
  </si>
  <si>
    <t>ev_battery_Qabqa_CHN</t>
  </si>
  <si>
    <t>ev_battery_Shaoguan_CHN</t>
  </si>
  <si>
    <t>ev_battery_Nanjing_CHN</t>
  </si>
  <si>
    <t>ev_battery_Yicheng_CHN</t>
  </si>
  <si>
    <t>ev_battery_Xiaoyi_CHN</t>
  </si>
  <si>
    <t>ev_battery_Ningde_CHN</t>
  </si>
  <si>
    <t>ev_battery_Rizhao_CHN</t>
  </si>
  <si>
    <t>ev_battery_Yanggezhuang_CHN</t>
  </si>
  <si>
    <t>ev_battery_Yuanquan_CHN</t>
  </si>
  <si>
    <t>ev_battery_Xiaoxita_CHN</t>
  </si>
  <si>
    <t>ev_battery_Nantong_CHN</t>
  </si>
  <si>
    <t>ev_battery_Liaoyang_CHN</t>
  </si>
  <si>
    <t>ev_battery_Tangshan_CHN</t>
  </si>
  <si>
    <t>ev_battery_Hejin_CHN</t>
  </si>
  <si>
    <t>ev_battery_CHN44p4N121p8E_CHN</t>
  </si>
  <si>
    <t>ev_battery_Sizhan_CHN</t>
  </si>
  <si>
    <t>ev_battery_Yangzhou_CHN</t>
  </si>
  <si>
    <t>ev_battery_Tongshan_CHN</t>
  </si>
  <si>
    <t>ev_battery_Wuan_CHN</t>
  </si>
  <si>
    <t>ev_battery_Tongling_CHN</t>
  </si>
  <si>
    <t>ev_battery_Anqing_CHN</t>
  </si>
  <si>
    <t>H2prd_Elc_PEM_Shanghai_CHN</t>
  </si>
  <si>
    <t>H2prd_Elc_PEM_Shijiazhuang_CHN</t>
  </si>
  <si>
    <t>H2prd_Elc_PEM_Tianjin_CHN</t>
  </si>
  <si>
    <t>H2prd_Elc_PEM_Anshan_CHN</t>
  </si>
  <si>
    <t>H2prd_Elc_PEM_Wuhan_CHN</t>
  </si>
  <si>
    <t>H2prd_Elc_PEM_Sanhe_CHN</t>
  </si>
  <si>
    <t>H2prd_Elc_PEM_Harbin_CHN</t>
  </si>
  <si>
    <t>H2prd_Elc_PEM_Changzhou_CHN</t>
  </si>
  <si>
    <t>H2prd_Elc_PEM_Anshun_CHN</t>
  </si>
  <si>
    <t>H2prd_Elc_PEM_Yiyang_CHN</t>
  </si>
  <si>
    <t>H2prd_Elc_PEM_Yakeshi_CHN</t>
  </si>
  <si>
    <t>H2prd_Elc_PEM_Linyi_CHN</t>
  </si>
  <si>
    <t>H2prd_Elc_PEM_Hangzhou_CHN</t>
  </si>
  <si>
    <t>H2prd_Elc_PEM_Manlin_CHN</t>
  </si>
  <si>
    <t>H2prd_Elc_PEM_Chongqing_CHN</t>
  </si>
  <si>
    <t>H2prd_Elc_PEM_Dayan_CHN</t>
  </si>
  <si>
    <t>H2prd_Elc_PEM_Shahezhai_CHN</t>
  </si>
  <si>
    <t>H2prd_Elc_PEM_Kuqa_CHN</t>
  </si>
  <si>
    <t>H2prd_Elc_PEM_Wulan_CHN</t>
  </si>
  <si>
    <t>H2prd_Elc_PEM_ZhongdongShequ_CHN</t>
  </si>
  <si>
    <t>H2prd_Elc_PEM_Yangjiang_CHN</t>
  </si>
  <si>
    <t>H2prd_Elc_PEM_Jinbi_CHN</t>
  </si>
  <si>
    <t>H2prd_Elc_PEM_Liuzhou_CHN</t>
  </si>
  <si>
    <t>H2prd_Elc_PEM_Xichang_CHN</t>
  </si>
  <si>
    <t>H2prd_Elc_PEM_Putian_CHN</t>
  </si>
  <si>
    <t>H2prd_Elc_PEM_Fangchenggang_CHN</t>
  </si>
  <si>
    <t>H2prd_Elc_PEM_Zouping_CHN</t>
  </si>
  <si>
    <t>H2prd_Elc_PEM_Jingling_CHN</t>
  </si>
  <si>
    <t>H2prd_Elc_PEM_Yingchuan_CHN</t>
  </si>
  <si>
    <t>H2prd_Elc_PEM_Luohe_CHN</t>
  </si>
  <si>
    <t>H2prd_Elc_PEM_Fuzhou_CHN</t>
  </si>
  <si>
    <t>H2prd_Elc_PEM_Mianyang_CHN</t>
  </si>
  <si>
    <t>H2prd_Elc_PEM_Bayi_CHN</t>
  </si>
  <si>
    <t>H2prd_Elc_PEM_Hohhot_CHN</t>
  </si>
  <si>
    <t>H2prd_Elc_PEM_Beichengqu_CHN</t>
  </si>
  <si>
    <t>H2prd_Elc_PEM_Qabqa_CHN</t>
  </si>
  <si>
    <t>H2prd_Elc_PEM_Shaoguan_CHN</t>
  </si>
  <si>
    <t>H2prd_Elc_PEM_Nanjing_CHN</t>
  </si>
  <si>
    <t>H2prd_Elc_PEM_Yicheng_CHN</t>
  </si>
  <si>
    <t>H2prd_Elc_PEM_Xiaoyi_CHN</t>
  </si>
  <si>
    <t>H2prd_Elc_PEM_Ningde_CHN</t>
  </si>
  <si>
    <t>H2prd_Elc_PEM_Rizhao_CHN</t>
  </si>
  <si>
    <t>H2prd_Elc_PEM_Yanggezhuang_CHN</t>
  </si>
  <si>
    <t>H2prd_Elc_PEM_Yuanquan_CHN</t>
  </si>
  <si>
    <t>H2prd_Elc_PEM_Xiaoxita_CHN</t>
  </si>
  <si>
    <t>H2prd_Elc_PEM_Nantong_CHN</t>
  </si>
  <si>
    <t>H2prd_Elc_PEM_Liaoyang_CHN</t>
  </si>
  <si>
    <t>H2prd_Elc_PEM_Tangshan_CHN</t>
  </si>
  <si>
    <t>H2prd_Elc_PEM_Hejin_CHN</t>
  </si>
  <si>
    <t>H2prd_Elc_PEM_CHN44p4N121p8E_CHN</t>
  </si>
  <si>
    <t>H2prd_Elc_PEM_Sizhan_CHN</t>
  </si>
  <si>
    <t>H2prd_Elc_PEM_Yangzhou_CHN</t>
  </si>
  <si>
    <t>H2prd_Elc_PEM_Tongshan_CHN</t>
  </si>
  <si>
    <t>H2prd_Elc_PEM_Wuan_CHN</t>
  </si>
  <si>
    <t>H2prd_Elc_PEM_Tongling_CHN</t>
  </si>
  <si>
    <t>H2prd_Elc_PEM_Anqing_CHN</t>
  </si>
  <si>
    <t>H2prd_Elc_ALK_Shanghai_CHN</t>
  </si>
  <si>
    <t>H2prd_Elc_ALK_Shijiazhuang_CHN</t>
  </si>
  <si>
    <t>H2prd_Elc_ALK_Tianjin_CHN</t>
  </si>
  <si>
    <t>H2prd_Elc_ALK_Anshan_CHN</t>
  </si>
  <si>
    <t>H2prd_Elc_ALK_Wuhan_CHN</t>
  </si>
  <si>
    <t>H2prd_Elc_ALK_Sanhe_CHN</t>
  </si>
  <si>
    <t>H2prd_Elc_ALK_Harbin_CHN</t>
  </si>
  <si>
    <t>H2prd_Elc_ALK_Changzhou_CHN</t>
  </si>
  <si>
    <t>H2prd_Elc_ALK_Anshun_CHN</t>
  </si>
  <si>
    <t>H2prd_Elc_ALK_Yiyang_CHN</t>
  </si>
  <si>
    <t>H2prd_Elc_ALK_Yakeshi_CHN</t>
  </si>
  <si>
    <t>H2prd_Elc_ALK_Linyi_CHN</t>
  </si>
  <si>
    <t>H2prd_Elc_ALK_Hangzhou_CHN</t>
  </si>
  <si>
    <t>H2prd_Elc_ALK_Manlin_CHN</t>
  </si>
  <si>
    <t>H2prd_Elc_ALK_Chongqing_CHN</t>
  </si>
  <si>
    <t>H2prd_Elc_ALK_Dayan_CHN</t>
  </si>
  <si>
    <t>H2prd_Elc_ALK_Shahezhai_CHN</t>
  </si>
  <si>
    <t>H2prd_Elc_ALK_Kuqa_CHN</t>
  </si>
  <si>
    <t>H2prd_Elc_ALK_Wulan_CHN</t>
  </si>
  <si>
    <t>H2prd_Elc_ALK_ZhongdongShequ_CHN</t>
  </si>
  <si>
    <t>H2prd_Elc_ALK_Yangjiang_CHN</t>
  </si>
  <si>
    <t>H2prd_Elc_ALK_Jinbi_CHN</t>
  </si>
  <si>
    <t>H2prd_Elc_ALK_Liuzhou_CHN</t>
  </si>
  <si>
    <t>H2prd_Elc_ALK_Xichang_CHN</t>
  </si>
  <si>
    <t>H2prd_Elc_ALK_Putian_CHN</t>
  </si>
  <si>
    <t>H2prd_Elc_ALK_Fangchenggang_CHN</t>
  </si>
  <si>
    <t>H2prd_Elc_ALK_Zouping_CHN</t>
  </si>
  <si>
    <t>H2prd_Elc_ALK_Jingling_CHN</t>
  </si>
  <si>
    <t>H2prd_Elc_ALK_Yingchuan_CHN</t>
  </si>
  <si>
    <t>H2prd_Elc_ALK_Luohe_CHN</t>
  </si>
  <si>
    <t>H2prd_Elc_ALK_Fuzhou_CHN</t>
  </si>
  <si>
    <t>H2prd_Elc_ALK_Mianyang_CHN</t>
  </si>
  <si>
    <t>H2prd_Elc_ALK_Bayi_CHN</t>
  </si>
  <si>
    <t>H2prd_Elc_ALK_Hohhot_CHN</t>
  </si>
  <si>
    <t>H2prd_Elc_ALK_Beichengqu_CHN</t>
  </si>
  <si>
    <t>H2prd_Elc_ALK_Qabqa_CHN</t>
  </si>
  <si>
    <t>H2prd_Elc_ALK_Shaoguan_CHN</t>
  </si>
  <si>
    <t>H2prd_Elc_ALK_Nanjing_CHN</t>
  </si>
  <si>
    <t>H2prd_Elc_ALK_Yicheng_CHN</t>
  </si>
  <si>
    <t>H2prd_Elc_ALK_Xiaoyi_CHN</t>
  </si>
  <si>
    <t>H2prd_Elc_ALK_Ningde_CHN</t>
  </si>
  <si>
    <t>H2prd_Elc_ALK_Rizhao_CHN</t>
  </si>
  <si>
    <t>H2prd_Elc_ALK_Yanggezhuang_CHN</t>
  </si>
  <si>
    <t>H2prd_Elc_ALK_Yuanquan_CHN</t>
  </si>
  <si>
    <t>H2prd_Elc_ALK_Xiaoxita_CHN</t>
  </si>
  <si>
    <t>H2prd_Elc_ALK_Nantong_CHN</t>
  </si>
  <si>
    <t>H2prd_Elc_ALK_Liaoyang_CHN</t>
  </si>
  <si>
    <t>H2prd_Elc_ALK_Tangshan_CHN</t>
  </si>
  <si>
    <t>H2prd_Elc_ALK_Hejin_CHN</t>
  </si>
  <si>
    <t>H2prd_Elc_ALK_CHN44p4N121p8E_CHN</t>
  </si>
  <si>
    <t>H2prd_Elc_ALK_Sizhan_CHN</t>
  </si>
  <si>
    <t>H2prd_Elc_ALK_Yangzhou_CHN</t>
  </si>
  <si>
    <t>H2prd_Elc_ALK_Tongshan_CHN</t>
  </si>
  <si>
    <t>H2prd_Elc_ALK_Wuan_CHN</t>
  </si>
  <si>
    <t>H2prd_Elc_ALK_Tongling_CHN</t>
  </si>
  <si>
    <t>H2prd_Elc_ALK_Anqing_CHN</t>
  </si>
  <si>
    <t>elc_industry</t>
  </si>
  <si>
    <t>e_demand_CHN44p7N89p1E_CHN</t>
  </si>
  <si>
    <t>e_demand_CHN45p9N129p3E_CHN</t>
  </si>
  <si>
    <t>e_demand_CHN44p2N116p5E_CHN</t>
  </si>
  <si>
    <t>ev_battery_CHN44p7N89p1E_CHN</t>
  </si>
  <si>
    <t>ev_battery_CHN45p9N129p3E_CHN</t>
  </si>
  <si>
    <t>ev_battery_CHN44p2N116p5E_CHN</t>
  </si>
  <si>
    <t>H2prd_Elc_PEM_CHN44p7N89p1E_CHN</t>
  </si>
  <si>
    <t>H2prd_Elc_PEM_CHN45p9N129p3E_CHN</t>
  </si>
  <si>
    <t>H2prd_Elc_PEM_CHN44p2N116p5E_CHN</t>
  </si>
  <si>
    <t>H2prd_Elc_ALK_CHN44p7N89p1E_CHN</t>
  </si>
  <si>
    <t>H2prd_Elc_ALK_CHN45p9N129p3E_CHN</t>
  </si>
  <si>
    <t>H2prd_Elc_ALK_CHN44p2N116p5E_CHN</t>
  </si>
  <si>
    <t>h_demand_CHN44p7N89p1E_CHN</t>
  </si>
  <si>
    <t>het_industry</t>
  </si>
  <si>
    <t>h_demand_Wuan_CHN</t>
  </si>
  <si>
    <t>het_buildings</t>
  </si>
  <si>
    <t>h_demand_CHN45p9N129p3E_CHN</t>
  </si>
  <si>
    <t>h_demand_Zouping_CHN</t>
  </si>
  <si>
    <t>h_demand_Nanjing_CHN</t>
  </si>
  <si>
    <t>h_demand_Yangjiang_CHN</t>
  </si>
  <si>
    <t>h_demand_Harbin_CHN</t>
  </si>
  <si>
    <t>h_demand_Tongshan_CHN</t>
  </si>
  <si>
    <t>h_demand_Anqing_CHN</t>
  </si>
  <si>
    <t>h_demand_Sizhan_CHN</t>
  </si>
  <si>
    <t>h_demand_Hangzhou_CHN</t>
  </si>
  <si>
    <t>h_demand_Hejin_CHN</t>
  </si>
  <si>
    <t>h_demand_Xiaoyi_CHN</t>
  </si>
  <si>
    <t>h_demand_Anshun_CHN</t>
  </si>
  <si>
    <t>h_demand_Sanhe_CHN</t>
  </si>
  <si>
    <t>h_demand_Yingchuan_CHN</t>
  </si>
  <si>
    <t>h_demand_Liaoyang_CHN</t>
  </si>
  <si>
    <t>h_demand_Wuhan_CHN</t>
  </si>
  <si>
    <t>h_demand_Xiaoxita_CHN</t>
  </si>
  <si>
    <t>h_demand_Putian_CHN</t>
  </si>
  <si>
    <t>h_demand_Nantong_CHN</t>
  </si>
  <si>
    <t>h_demand_Anshan_CHN</t>
  </si>
  <si>
    <t>h_demand_Jingling_CHN</t>
  </si>
  <si>
    <t>h_demand_Shanghai_CHN</t>
  </si>
  <si>
    <t>h_demand_Chongqing_CHN</t>
  </si>
  <si>
    <t>h_demand_CHN44p4N121p8E_CHN</t>
  </si>
  <si>
    <t>h_demand_Fuzhou_CHN</t>
  </si>
  <si>
    <t>h_demand_Luohe_CHN</t>
  </si>
  <si>
    <t>h_demand_Fangchenggang_CHN</t>
  </si>
  <si>
    <t>h_demand_Shahezhai_CHN</t>
  </si>
  <si>
    <t>h_demand_Rizhao_CHN</t>
  </si>
  <si>
    <t>h_demand_Tianjin_CHN</t>
  </si>
  <si>
    <t>h_demand_Yiyang_CHN</t>
  </si>
  <si>
    <t>h_demand_Shaoguan_CHN</t>
  </si>
  <si>
    <t>h_demand_Tangshan_CHN</t>
  </si>
  <si>
    <t>h_demand_Yangzhou_CHN</t>
  </si>
  <si>
    <t>h_demand_Liuzhou_CHN</t>
  </si>
  <si>
    <t>h_demand_Beichengqu_CHN</t>
  </si>
  <si>
    <t>h_demand_Yicheng_CHN</t>
  </si>
  <si>
    <t>h_demand_Tongling_CHN</t>
  </si>
  <si>
    <t>h_demand_Linyi_CHN</t>
  </si>
  <si>
    <t>h_demand_Ningde_CHN</t>
  </si>
  <si>
    <t>h_demand_Shijiazhuang_CHN</t>
  </si>
  <si>
    <t>h_demand_Wulan_CHN</t>
  </si>
  <si>
    <t>h_demand_Yakeshi_CHN</t>
  </si>
  <si>
    <t>h_demand_ZhongdongShequ_CHN</t>
  </si>
  <si>
    <t>h_demand_Dayan_CHN</t>
  </si>
  <si>
    <t>h_demand_Kuqa_CHN</t>
  </si>
  <si>
    <t>h_demand_Manlin_CHN</t>
  </si>
  <si>
    <t>h_demand_Hohhot_CHN</t>
  </si>
  <si>
    <t>h_demand_Changzhou_CHN</t>
  </si>
  <si>
    <t>h_demand_Jinbi_CHN</t>
  </si>
  <si>
    <t>h_demand_Mianyang_CHN</t>
  </si>
  <si>
    <t>h_demand_Bayi_CHN</t>
  </si>
  <si>
    <t>h_demand_Xichang_CHN</t>
  </si>
  <si>
    <t>h_demand_Yanggezhuang_CHN</t>
  </si>
  <si>
    <t>h_demand_Yuanquan_CHN</t>
  </si>
  <si>
    <t>h_demand_CHN44p2N116p5E_CHN</t>
  </si>
  <si>
    <t>h_demand_Qabqa_CHN</t>
  </si>
  <si>
    <t>~TFM_TOPDINS</t>
  </si>
  <si>
    <t>region</t>
  </si>
  <si>
    <t>io</t>
  </si>
  <si>
    <t>e_Shanghai_CHN</t>
  </si>
  <si>
    <t>IN</t>
  </si>
  <si>
    <t>e_Shijiazhuang_CHN</t>
  </si>
  <si>
    <t>e_Tianjin_CHN</t>
  </si>
  <si>
    <t>e_Anshan_CHN</t>
  </si>
  <si>
    <t>e_Wuhan_CHN</t>
  </si>
  <si>
    <t>e_Sanhe_CHN</t>
  </si>
  <si>
    <t>e_Harbin_CHN</t>
  </si>
  <si>
    <t>e_Changzhou_CHN</t>
  </si>
  <si>
    <t>e_Anshun_CHN</t>
  </si>
  <si>
    <t>e_Yiyang_CHN</t>
  </si>
  <si>
    <t>e_Yakeshi_CHN</t>
  </si>
  <si>
    <t>e_Linyi_CHN</t>
  </si>
  <si>
    <t>e_Hangzhou_CHN</t>
  </si>
  <si>
    <t>e_Manlin_CHN</t>
  </si>
  <si>
    <t>e_Chongqing_CHN</t>
  </si>
  <si>
    <t>e_Dayan_CHN</t>
  </si>
  <si>
    <t>e_Shahezhai_CHN</t>
  </si>
  <si>
    <t>e_Kuqa_CHN</t>
  </si>
  <si>
    <t>e_Wulan_CHN</t>
  </si>
  <si>
    <t>e_ZhongdongShequ_CHN</t>
  </si>
  <si>
    <t>e_Yangjiang_CHN</t>
  </si>
  <si>
    <t>e_Jinbi_CHN</t>
  </si>
  <si>
    <t>e_Liuzhou_CHN</t>
  </si>
  <si>
    <t>e_Xichang_CHN</t>
  </si>
  <si>
    <t>e_Putian_CHN</t>
  </si>
  <si>
    <t>e_Fangchenggang_CHN</t>
  </si>
  <si>
    <t>e_Zouping_CHN</t>
  </si>
  <si>
    <t>e_Jingling_CHN</t>
  </si>
  <si>
    <t>e_Yingchuan_CHN</t>
  </si>
  <si>
    <t>e_Luohe_CHN</t>
  </si>
  <si>
    <t>e_Fuzhou_CHN</t>
  </si>
  <si>
    <t>e_Mianyang_CHN</t>
  </si>
  <si>
    <t>e_Bayi_CHN</t>
  </si>
  <si>
    <t>e_Hohhot_CHN</t>
  </si>
  <si>
    <t>e_Beichengqu_CHN</t>
  </si>
  <si>
    <t>e_Qabqa_CHN</t>
  </si>
  <si>
    <t>e_Shaoguan_CHN</t>
  </si>
  <si>
    <t>e_Nanjing_CHN</t>
  </si>
  <si>
    <t>e_Yicheng_CHN</t>
  </si>
  <si>
    <t>e_Xiaoyi_CHN</t>
  </si>
  <si>
    <t>e_Ningde_CHN</t>
  </si>
  <si>
    <t>e_Rizhao_CHN</t>
  </si>
  <si>
    <t>e_Yanggezhuang_CHN</t>
  </si>
  <si>
    <t>e_Yuanquan_CHN</t>
  </si>
  <si>
    <t>e_Xiaoxita_CHN</t>
  </si>
  <si>
    <t>e_Nantong_CHN</t>
  </si>
  <si>
    <t>e_Liaoyang_CHN</t>
  </si>
  <si>
    <t>e_Tangshan_CHN</t>
  </si>
  <si>
    <t>e_Hejin_CHN</t>
  </si>
  <si>
    <t>e_CHN44p4N121p8E_CHN</t>
  </si>
  <si>
    <t>e_Sizhan_CHN</t>
  </si>
  <si>
    <t>e_Yangzhou_CHN</t>
  </si>
  <si>
    <t>e_Tongshan_CHN</t>
  </si>
  <si>
    <t>e_Wuan_CHN</t>
  </si>
  <si>
    <t>e_Tongling_CHN</t>
  </si>
  <si>
    <t>e_Anqing_CHN</t>
  </si>
  <si>
    <t>e_CHN44p7N89p1E_CHN</t>
  </si>
  <si>
    <t>e_CHN45p9N129p3E_CHN</t>
  </si>
  <si>
    <t>e_CHN44p2N116p5E_CHN</t>
  </si>
  <si>
    <t>h_CHN44p7N89p1E_CHN</t>
  </si>
  <si>
    <t>h_Wuan_CHN</t>
  </si>
  <si>
    <t>h_CHN45p9N129p3E_CHN</t>
  </si>
  <si>
    <t>h_Zouping_CHN</t>
  </si>
  <si>
    <t>h_Nanjing_CHN</t>
  </si>
  <si>
    <t>h_Yangjiang_CHN</t>
  </si>
  <si>
    <t>h_Harbin_CHN</t>
  </si>
  <si>
    <t>h_Tongshan_CHN</t>
  </si>
  <si>
    <t>h_Anqing_CHN</t>
  </si>
  <si>
    <t>h_Sizhan_CHN</t>
  </si>
  <si>
    <t>h_Hangzhou_CHN</t>
  </si>
  <si>
    <t>h_Hejin_CHN</t>
  </si>
  <si>
    <t>h_Xiaoyi_CHN</t>
  </si>
  <si>
    <t>h_Anshun_CHN</t>
  </si>
  <si>
    <t>h_Sanhe_CHN</t>
  </si>
  <si>
    <t>h_Yingchuan_CHN</t>
  </si>
  <si>
    <t>h_Liaoyang_CHN</t>
  </si>
  <si>
    <t>h_Wuhan_CHN</t>
  </si>
  <si>
    <t>h_Xiaoxita_CHN</t>
  </si>
  <si>
    <t>h_Putian_CHN</t>
  </si>
  <si>
    <t>h_Nantong_CHN</t>
  </si>
  <si>
    <t>h_Anshan_CHN</t>
  </si>
  <si>
    <t>h_Jingling_CHN</t>
  </si>
  <si>
    <t>h_Shanghai_CHN</t>
  </si>
  <si>
    <t>h_Chongqing_CHN</t>
  </si>
  <si>
    <t>h_CHN44p4N121p8E_CHN</t>
  </si>
  <si>
    <t>h_Fuzhou_CHN</t>
  </si>
  <si>
    <t>h_Luohe_CHN</t>
  </si>
  <si>
    <t>h_Fangchenggang_CHN</t>
  </si>
  <si>
    <t>h_Shahezhai_CHN</t>
  </si>
  <si>
    <t>h_Rizhao_CHN</t>
  </si>
  <si>
    <t>h_Tianjin_CHN</t>
  </si>
  <si>
    <t>h_Yiyang_CHN</t>
  </si>
  <si>
    <t>h_Shaoguan_CHN</t>
  </si>
  <si>
    <t>h_Tangshan_CHN</t>
  </si>
  <si>
    <t>h_Yangzhou_CHN</t>
  </si>
  <si>
    <t>h_Liuzhou_CHN</t>
  </si>
  <si>
    <t>h_Beichengqu_CHN</t>
  </si>
  <si>
    <t>h_Yicheng_CHN</t>
  </si>
  <si>
    <t>h_Tongling_CHN</t>
  </si>
  <si>
    <t>h_Linyi_CHN</t>
  </si>
  <si>
    <t>h_Ningde_CHN</t>
  </si>
  <si>
    <t>h_Shijiazhuang_CHN</t>
  </si>
  <si>
    <t>h_Wulan_CHN</t>
  </si>
  <si>
    <t>h_Yakeshi_CHN</t>
  </si>
  <si>
    <t>h_ZhongdongShequ_CHN</t>
  </si>
  <si>
    <t>h_Dayan_CHN</t>
  </si>
  <si>
    <t>h_Kuqa_CHN</t>
  </si>
  <si>
    <t>h_Manlin_CHN</t>
  </si>
  <si>
    <t>h_Hohhot_CHN</t>
  </si>
  <si>
    <t>h_Changzhou_CHN</t>
  </si>
  <si>
    <t>h_Jinbi_CHN</t>
  </si>
  <si>
    <t>h_Mianyang_CHN</t>
  </si>
  <si>
    <t>h_Bayi_CHN</t>
  </si>
  <si>
    <t>h_Xichang_CHN</t>
  </si>
  <si>
    <t>h_Yanggezhuang_CHN</t>
  </si>
  <si>
    <t>h_Yuanquan_CHN</t>
  </si>
  <si>
    <t>h_CHN44p2N116p5E_CHN</t>
  </si>
  <si>
    <t>h_Qabqa_CHN</t>
  </si>
  <si>
    <t>en_gas_ccgt_Shanghai_CHN</t>
  </si>
  <si>
    <t>OUT</t>
  </si>
  <si>
    <t>en_gas_turbine_Shanghai_CHN</t>
  </si>
  <si>
    <t>en_gas_ccs_Shanghai_CHN</t>
  </si>
  <si>
    <t>en_coal_subcritical_Shanghai_CHN</t>
  </si>
  <si>
    <t>en_coal_supercritical_Shanghai_CHN</t>
  </si>
  <si>
    <t>en_coal_ultrasupercritical_Shanghai_CHN</t>
  </si>
  <si>
    <t>en_coal_igcc_Shanghai_CHN</t>
  </si>
  <si>
    <t>en_nuclear_Shanghai_CHN</t>
  </si>
  <si>
    <t>en_nuclear_smr_Shanghai_CHN</t>
  </si>
  <si>
    <t>en_biomass_Shanghai_CHN</t>
  </si>
  <si>
    <t>en_biomass_ccs_Shanghai_CHN</t>
  </si>
  <si>
    <t>en_chp_gas_cc_ext_Shanghai_CHN</t>
  </si>
  <si>
    <t>en_chp_biomass_chips_ext_Shanghai_CHN</t>
  </si>
  <si>
    <t>en_chp_biomass_pellets_ext_ccs_Shanghai_CHN</t>
  </si>
  <si>
    <t>en_chp_gas_cc_ext_ccs_Shanghai_CHN</t>
  </si>
  <si>
    <t>en_hop_gas_boiler_Shanghai_CHN</t>
  </si>
  <si>
    <t>en_hop_biomass_chips_Shanghai_CHN</t>
  </si>
  <si>
    <t>en_hop_electric_boiler_Shanghai_CHN</t>
  </si>
  <si>
    <t>en_hp_air_10mw_Shanghai_CHN</t>
  </si>
  <si>
    <t>en_gas_ccgt_Shijiazhuang_CHN</t>
  </si>
  <si>
    <t>en_gas_turbine_Shijiazhuang_CHN</t>
  </si>
  <si>
    <t>en_gas_ccs_Shijiazhuang_CHN</t>
  </si>
  <si>
    <t>en_coal_subcritical_Shijiazhuang_CHN</t>
  </si>
  <si>
    <t>en_coal_supercritical_Shijiazhuang_CHN</t>
  </si>
  <si>
    <t>en_coal_ultrasupercritical_Shijiazhuang_CHN</t>
  </si>
  <si>
    <t>en_coal_igcc_Shijiazhuang_CHN</t>
  </si>
  <si>
    <t>en_nuclear_Shijiazhuang_CHN</t>
  </si>
  <si>
    <t>en_nuclear_smr_Shijiazhuang_CHN</t>
  </si>
  <si>
    <t>en_biomass_Shijiazhuang_CHN</t>
  </si>
  <si>
    <t>en_biomass_ccs_Shijiazhuang_CHN</t>
  </si>
  <si>
    <t>en_chp_gas_cc_ext_Shijiazhuang_CHN</t>
  </si>
  <si>
    <t>en_chp_biomass_chips_ext_Shijiazhuang_CHN</t>
  </si>
  <si>
    <t>en_chp_biomass_pellets_ext_ccs_Shijiazhuang_CHN</t>
  </si>
  <si>
    <t>en_chp_gas_cc_ext_ccs_Shijiazhuang_CHN</t>
  </si>
  <si>
    <t>en_hop_gas_boiler_Shijiazhuang_CHN</t>
  </si>
  <si>
    <t>en_hop_biomass_chips_Shijiazhuang_CHN</t>
  </si>
  <si>
    <t>en_hop_electric_boiler_Shijiazhuang_CHN</t>
  </si>
  <si>
    <t>en_hp_air_10mw_Shijiazhuang_CHN</t>
  </si>
  <si>
    <t>en_gas_ccgt_Tianjin_CHN</t>
  </si>
  <si>
    <t>en_gas_turbine_Tianjin_CHN</t>
  </si>
  <si>
    <t>en_gas_ccs_Tianjin_CHN</t>
  </si>
  <si>
    <t>en_coal_subcritical_Tianjin_CHN</t>
  </si>
  <si>
    <t>en_coal_supercritical_Tianjin_CHN</t>
  </si>
  <si>
    <t>en_coal_ultrasupercritical_Tianjin_CHN</t>
  </si>
  <si>
    <t>en_coal_igcc_Tianjin_CHN</t>
  </si>
  <si>
    <t>en_nuclear_Tianjin_CHN</t>
  </si>
  <si>
    <t>en_nuclear_smr_Tianjin_CHN</t>
  </si>
  <si>
    <t>en_biomass_Tianjin_CHN</t>
  </si>
  <si>
    <t>en_biomass_ccs_Tianjin_CHN</t>
  </si>
  <si>
    <t>en_chp_gas_cc_ext_Tianjin_CHN</t>
  </si>
  <si>
    <t>en_chp_biomass_chips_ext_Tianjin_CHN</t>
  </si>
  <si>
    <t>en_chp_biomass_pellets_ext_ccs_Tianjin_CHN</t>
  </si>
  <si>
    <t>en_chp_gas_cc_ext_ccs_Tianjin_CHN</t>
  </si>
  <si>
    <t>en_hop_gas_boiler_Tianjin_CHN</t>
  </si>
  <si>
    <t>en_hop_biomass_chips_Tianjin_CHN</t>
  </si>
  <si>
    <t>en_hop_electric_boiler_Tianjin_CHN</t>
  </si>
  <si>
    <t>en_hp_air_10mw_Tianjin_CHN</t>
  </si>
  <si>
    <t>en_gas_ccgt_Anshan_CHN</t>
  </si>
  <si>
    <t>en_gas_turbine_Anshan_CHN</t>
  </si>
  <si>
    <t>en_gas_ccs_Anshan_CHN</t>
  </si>
  <si>
    <t>en_coal_subcritical_Anshan_CHN</t>
  </si>
  <si>
    <t>en_coal_supercritical_Anshan_CHN</t>
  </si>
  <si>
    <t>en_coal_ultrasupercritical_Anshan_CHN</t>
  </si>
  <si>
    <t>en_coal_igcc_Anshan_CHN</t>
  </si>
  <si>
    <t>en_nuclear_Anshan_CHN</t>
  </si>
  <si>
    <t>en_nuclear_smr_Anshan_CHN</t>
  </si>
  <si>
    <t>en_biomass_Anshan_CHN</t>
  </si>
  <si>
    <t>en_biomass_ccs_Anshan_CHN</t>
  </si>
  <si>
    <t>en_chp_gas_cc_ext_Anshan_CHN</t>
  </si>
  <si>
    <t>en_chp_biomass_chips_ext_Anshan_CHN</t>
  </si>
  <si>
    <t>en_chp_biomass_pellets_ext_ccs_Anshan_CHN</t>
  </si>
  <si>
    <t>en_chp_gas_cc_ext_ccs_Anshan_CHN</t>
  </si>
  <si>
    <t>en_hop_gas_boiler_Anshan_CHN</t>
  </si>
  <si>
    <t>en_hop_biomass_chips_Anshan_CHN</t>
  </si>
  <si>
    <t>en_hop_electric_boiler_Anshan_CHN</t>
  </si>
  <si>
    <t>en_hp_air_10mw_Anshan_CHN</t>
  </si>
  <si>
    <t>en_gas_ccgt_Wuhan_CHN</t>
  </si>
  <si>
    <t>en_gas_turbine_Wuhan_CHN</t>
  </si>
  <si>
    <t>en_gas_ccs_Wuhan_CHN</t>
  </si>
  <si>
    <t>en_coal_subcritical_Wuhan_CHN</t>
  </si>
  <si>
    <t>en_coal_supercritical_Wuhan_CHN</t>
  </si>
  <si>
    <t>en_coal_ultrasupercritical_Wuhan_CHN</t>
  </si>
  <si>
    <t>en_coal_igcc_Wuhan_CHN</t>
  </si>
  <si>
    <t>en_nuclear_Wuhan_CHN</t>
  </si>
  <si>
    <t>en_nuclear_smr_Wuhan_CHN</t>
  </si>
  <si>
    <t>en_biomass_Wuhan_CHN</t>
  </si>
  <si>
    <t>en_biomass_ccs_Wuhan_CHN</t>
  </si>
  <si>
    <t>en_chp_gas_cc_ext_Wuhan_CHN</t>
  </si>
  <si>
    <t>en_chp_biomass_chips_ext_Wuhan_CHN</t>
  </si>
  <si>
    <t>en_chp_biomass_pellets_ext_ccs_Wuhan_CHN</t>
  </si>
  <si>
    <t>en_chp_gas_cc_ext_ccs_Wuhan_CHN</t>
  </si>
  <si>
    <t>en_hop_gas_boiler_Wuhan_CHN</t>
  </si>
  <si>
    <t>en_hop_biomass_chips_Wuhan_CHN</t>
  </si>
  <si>
    <t>en_hop_electric_boiler_Wuhan_CHN</t>
  </si>
  <si>
    <t>en_hp_air_10mw_Wuhan_CHN</t>
  </si>
  <si>
    <t>en_gas_ccgt_Sanhe_CHN</t>
  </si>
  <si>
    <t>en_gas_turbine_Sanhe_CHN</t>
  </si>
  <si>
    <t>en_gas_ccs_Sanhe_CHN</t>
  </si>
  <si>
    <t>en_coal_subcritical_Sanhe_CHN</t>
  </si>
  <si>
    <t>en_coal_supercritical_Sanhe_CHN</t>
  </si>
  <si>
    <t>en_coal_ultrasupercritical_Sanhe_CHN</t>
  </si>
  <si>
    <t>en_coal_igcc_Sanhe_CHN</t>
  </si>
  <si>
    <t>en_nuclear_Sanhe_CHN</t>
  </si>
  <si>
    <t>en_nuclear_smr_Sanhe_CHN</t>
  </si>
  <si>
    <t>en_biomass_Sanhe_CHN</t>
  </si>
  <si>
    <t>en_biomass_ccs_Sanhe_CHN</t>
  </si>
  <si>
    <t>en_chp_gas_cc_ext_Sanhe_CHN</t>
  </si>
  <si>
    <t>en_chp_biomass_chips_ext_Sanhe_CHN</t>
  </si>
  <si>
    <t>en_chp_biomass_pellets_ext_ccs_Sanhe_CHN</t>
  </si>
  <si>
    <t>en_chp_gas_cc_ext_ccs_Sanhe_CHN</t>
  </si>
  <si>
    <t>en_hop_gas_boiler_Sanhe_CHN</t>
  </si>
  <si>
    <t>en_hop_biomass_chips_Sanhe_CHN</t>
  </si>
  <si>
    <t>en_hop_electric_boiler_Sanhe_CHN</t>
  </si>
  <si>
    <t>en_hp_air_10mw_Sanhe_CHN</t>
  </si>
  <si>
    <t>en_gas_ccgt_Harbin_CHN</t>
  </si>
  <si>
    <t>en_gas_turbine_Harbin_CHN</t>
  </si>
  <si>
    <t>en_gas_ccs_Harbin_CHN</t>
  </si>
  <si>
    <t>en_coal_subcritical_Harbin_CHN</t>
  </si>
  <si>
    <t>en_coal_supercritical_Harbin_CHN</t>
  </si>
  <si>
    <t>en_coal_ultrasupercritical_Harbin_CHN</t>
  </si>
  <si>
    <t>en_coal_igcc_Harbin_CHN</t>
  </si>
  <si>
    <t>en_nuclear_Harbin_CHN</t>
  </si>
  <si>
    <t>en_nuclear_smr_Harbin_CHN</t>
  </si>
  <si>
    <t>en_biomass_Harbin_CHN</t>
  </si>
  <si>
    <t>en_biomass_ccs_Harbin_CHN</t>
  </si>
  <si>
    <t>en_chp_gas_cc_ext_Harbin_CHN</t>
  </si>
  <si>
    <t>en_chp_biomass_chips_ext_Harbin_CHN</t>
  </si>
  <si>
    <t>en_chp_biomass_pellets_ext_ccs_Harbin_CHN</t>
  </si>
  <si>
    <t>en_chp_gas_cc_ext_ccs_Harbin_CHN</t>
  </si>
  <si>
    <t>en_hop_gas_boiler_Harbin_CHN</t>
  </si>
  <si>
    <t>en_hop_biomass_chips_Harbin_CHN</t>
  </si>
  <si>
    <t>en_hop_electric_boiler_Harbin_CHN</t>
  </si>
  <si>
    <t>en_hp_air_10mw_Harbin_CHN</t>
  </si>
  <si>
    <t>en_gas_ccgt_Changzhou_CHN</t>
  </si>
  <si>
    <t>en_gas_turbine_Changzhou_CHN</t>
  </si>
  <si>
    <t>en_gas_ccs_Changzhou_CHN</t>
  </si>
  <si>
    <t>en_coal_subcritical_Changzhou_CHN</t>
  </si>
  <si>
    <t>en_coal_supercritical_Changzhou_CHN</t>
  </si>
  <si>
    <t>en_coal_ultrasupercritical_Changzhou_CHN</t>
  </si>
  <si>
    <t>en_coal_igcc_Changzhou_CHN</t>
  </si>
  <si>
    <t>en_nuclear_Changzhou_CHN</t>
  </si>
  <si>
    <t>en_nuclear_smr_Changzhou_CHN</t>
  </si>
  <si>
    <t>en_biomass_Changzhou_CHN</t>
  </si>
  <si>
    <t>en_biomass_ccs_Changzhou_CHN</t>
  </si>
  <si>
    <t>en_chp_gas_cc_ext_Changzhou_CHN</t>
  </si>
  <si>
    <t>en_chp_biomass_chips_ext_Changzhou_CHN</t>
  </si>
  <si>
    <t>en_chp_biomass_pellets_ext_ccs_Changzhou_CHN</t>
  </si>
  <si>
    <t>en_chp_gas_cc_ext_ccs_Changzhou_CHN</t>
  </si>
  <si>
    <t>en_hop_gas_boiler_Changzhou_CHN</t>
  </si>
  <si>
    <t>en_hop_biomass_chips_Changzhou_CHN</t>
  </si>
  <si>
    <t>en_hop_electric_boiler_Changzhou_CHN</t>
  </si>
  <si>
    <t>en_hp_air_10mw_Changzhou_CHN</t>
  </si>
  <si>
    <t>en_gas_ccgt_Anshun_CHN</t>
  </si>
  <si>
    <t>en_gas_turbine_Anshun_CHN</t>
  </si>
  <si>
    <t>en_gas_ccs_Anshun_CHN</t>
  </si>
  <si>
    <t>en_coal_subcritical_Anshun_CHN</t>
  </si>
  <si>
    <t>en_coal_supercritical_Anshun_CHN</t>
  </si>
  <si>
    <t>en_coal_ultrasupercritical_Anshun_CHN</t>
  </si>
  <si>
    <t>en_coal_igcc_Anshun_CHN</t>
  </si>
  <si>
    <t>en_nuclear_Anshun_CHN</t>
  </si>
  <si>
    <t>en_nuclear_smr_Anshun_CHN</t>
  </si>
  <si>
    <t>en_biomass_Anshun_CHN</t>
  </si>
  <si>
    <t>en_biomass_ccs_Anshun_CHN</t>
  </si>
  <si>
    <t>en_chp_gas_cc_ext_Anshun_CHN</t>
  </si>
  <si>
    <t>en_chp_biomass_chips_ext_Anshun_CHN</t>
  </si>
  <si>
    <t>en_chp_biomass_pellets_ext_ccs_Anshun_CHN</t>
  </si>
  <si>
    <t>en_chp_gas_cc_ext_ccs_Anshun_CHN</t>
  </si>
  <si>
    <t>en_hop_gas_boiler_Anshun_CHN</t>
  </si>
  <si>
    <t>en_hop_biomass_chips_Anshun_CHN</t>
  </si>
  <si>
    <t>en_hop_electric_boiler_Anshun_CHN</t>
  </si>
  <si>
    <t>en_hp_air_10mw_Anshun_CHN</t>
  </si>
  <si>
    <t>en_gas_ccgt_Yiyang_CHN</t>
  </si>
  <si>
    <t>en_gas_turbine_Yiyang_CHN</t>
  </si>
  <si>
    <t>en_gas_ccs_Yiyang_CHN</t>
  </si>
  <si>
    <t>en_coal_subcritical_Yiyang_CHN</t>
  </si>
  <si>
    <t>en_coal_supercritical_Yiyang_CHN</t>
  </si>
  <si>
    <t>en_coal_ultrasupercritical_Yiyang_CHN</t>
  </si>
  <si>
    <t>en_coal_igcc_Yiyang_CHN</t>
  </si>
  <si>
    <t>en_nuclear_Yiyang_CHN</t>
  </si>
  <si>
    <t>en_nuclear_smr_Yiyang_CHN</t>
  </si>
  <si>
    <t>en_biomass_Yiyang_CHN</t>
  </si>
  <si>
    <t>en_biomass_ccs_Yiyang_CHN</t>
  </si>
  <si>
    <t>en_chp_gas_cc_ext_Yiyang_CHN</t>
  </si>
  <si>
    <t>en_chp_biomass_chips_ext_Yiyang_CHN</t>
  </si>
  <si>
    <t>en_chp_biomass_pellets_ext_ccs_Yiyang_CHN</t>
  </si>
  <si>
    <t>en_chp_gas_cc_ext_ccs_Yiyang_CHN</t>
  </si>
  <si>
    <t>en_hop_gas_boiler_Yiyang_CHN</t>
  </si>
  <si>
    <t>en_hop_biomass_chips_Yiyang_CHN</t>
  </si>
  <si>
    <t>en_hop_electric_boiler_Yiyang_CHN</t>
  </si>
  <si>
    <t>en_hp_air_10mw_Yiyang_CHN</t>
  </si>
  <si>
    <t>en_gas_ccgt_Yakeshi_CHN</t>
  </si>
  <si>
    <t>en_gas_turbine_Yakeshi_CHN</t>
  </si>
  <si>
    <t>en_gas_ccs_Yakeshi_CHN</t>
  </si>
  <si>
    <t>en_coal_subcritical_Yakeshi_CHN</t>
  </si>
  <si>
    <t>en_coal_supercritical_Yakeshi_CHN</t>
  </si>
  <si>
    <t>en_coal_ultrasupercritical_Yakeshi_CHN</t>
  </si>
  <si>
    <t>en_coal_igcc_Yakeshi_CHN</t>
  </si>
  <si>
    <t>en_nuclear_Yakeshi_CHN</t>
  </si>
  <si>
    <t>en_nuclear_smr_Yakeshi_CHN</t>
  </si>
  <si>
    <t>en_biomass_Yakeshi_CHN</t>
  </si>
  <si>
    <t>en_biomass_ccs_Yakeshi_CHN</t>
  </si>
  <si>
    <t>en_chp_gas_cc_ext_Yakeshi_CHN</t>
  </si>
  <si>
    <t>en_chp_biomass_chips_ext_Yakeshi_CHN</t>
  </si>
  <si>
    <t>en_chp_biomass_pellets_ext_ccs_Yakeshi_CHN</t>
  </si>
  <si>
    <t>en_chp_gas_cc_ext_ccs_Yakeshi_CHN</t>
  </si>
  <si>
    <t>en_hop_gas_boiler_Yakeshi_CHN</t>
  </si>
  <si>
    <t>en_hop_biomass_chips_Yakeshi_CHN</t>
  </si>
  <si>
    <t>en_hop_electric_boiler_Yakeshi_CHN</t>
  </si>
  <si>
    <t>en_hp_air_10mw_Yakeshi_CHN</t>
  </si>
  <si>
    <t>en_gas_ccgt_Linyi_CHN</t>
  </si>
  <si>
    <t>en_gas_turbine_Linyi_CHN</t>
  </si>
  <si>
    <t>en_gas_ccs_Linyi_CHN</t>
  </si>
  <si>
    <t>en_coal_subcritical_Linyi_CHN</t>
  </si>
  <si>
    <t>en_coal_supercritical_Linyi_CHN</t>
  </si>
  <si>
    <t>en_coal_ultrasupercritical_Linyi_CHN</t>
  </si>
  <si>
    <t>en_coal_igcc_Linyi_CHN</t>
  </si>
  <si>
    <t>en_nuclear_Linyi_CHN</t>
  </si>
  <si>
    <t>en_nuclear_smr_Linyi_CHN</t>
  </si>
  <si>
    <t>en_biomass_Linyi_CHN</t>
  </si>
  <si>
    <t>en_biomass_ccs_Linyi_CHN</t>
  </si>
  <si>
    <t>en_chp_gas_cc_ext_Linyi_CHN</t>
  </si>
  <si>
    <t>en_chp_biomass_chips_ext_Linyi_CHN</t>
  </si>
  <si>
    <t>en_chp_biomass_pellets_ext_ccs_Linyi_CHN</t>
  </si>
  <si>
    <t>en_chp_gas_cc_ext_ccs_Linyi_CHN</t>
  </si>
  <si>
    <t>en_hop_gas_boiler_Linyi_CHN</t>
  </si>
  <si>
    <t>en_hop_biomass_chips_Linyi_CHN</t>
  </si>
  <si>
    <t>en_hop_electric_boiler_Linyi_CHN</t>
  </si>
  <si>
    <t>en_hp_air_10mw_Linyi_CHN</t>
  </si>
  <si>
    <t>en_gas_ccgt_Hangzhou_CHN</t>
  </si>
  <si>
    <t>en_gas_turbine_Hangzhou_CHN</t>
  </si>
  <si>
    <t>en_gas_ccs_Hangzhou_CHN</t>
  </si>
  <si>
    <t>en_coal_subcritical_Hangzhou_CHN</t>
  </si>
  <si>
    <t>en_coal_supercritical_Hangzhou_CHN</t>
  </si>
  <si>
    <t>en_coal_ultrasupercritical_Hangzhou_CHN</t>
  </si>
  <si>
    <t>en_coal_igcc_Hangzhou_CHN</t>
  </si>
  <si>
    <t>en_nuclear_Hangzhou_CHN</t>
  </si>
  <si>
    <t>en_nuclear_smr_Hangzhou_CHN</t>
  </si>
  <si>
    <t>en_biomass_Hangzhou_CHN</t>
  </si>
  <si>
    <t>en_biomass_ccs_Hangzhou_CHN</t>
  </si>
  <si>
    <t>en_chp_gas_cc_ext_Hangzhou_CHN</t>
  </si>
  <si>
    <t>en_chp_biomass_chips_ext_Hangzhou_CHN</t>
  </si>
  <si>
    <t>en_chp_biomass_pellets_ext_ccs_Hangzhou_CHN</t>
  </si>
  <si>
    <t>en_chp_gas_cc_ext_ccs_Hangzhou_CHN</t>
  </si>
  <si>
    <t>en_hop_gas_boiler_Hangzhou_CHN</t>
  </si>
  <si>
    <t>en_hop_biomass_chips_Hangzhou_CHN</t>
  </si>
  <si>
    <t>en_hop_electric_boiler_Hangzhou_CHN</t>
  </si>
  <si>
    <t>en_hp_air_10mw_Hangzhou_CHN</t>
  </si>
  <si>
    <t>en_gas_ccgt_Manlin_CHN</t>
  </si>
  <si>
    <t>en_gas_turbine_Manlin_CHN</t>
  </si>
  <si>
    <t>en_gas_ccs_Manlin_CHN</t>
  </si>
  <si>
    <t>en_coal_subcritical_Manlin_CHN</t>
  </si>
  <si>
    <t>en_coal_supercritical_Manlin_CHN</t>
  </si>
  <si>
    <t>en_coal_ultrasupercritical_Manlin_CHN</t>
  </si>
  <si>
    <t>en_coal_igcc_Manlin_CHN</t>
  </si>
  <si>
    <t>en_nuclear_Manlin_CHN</t>
  </si>
  <si>
    <t>en_nuclear_smr_Manlin_CHN</t>
  </si>
  <si>
    <t>en_biomass_Manlin_CHN</t>
  </si>
  <si>
    <t>en_biomass_ccs_Manlin_CHN</t>
  </si>
  <si>
    <t>en_chp_gas_cc_ext_Manlin_CHN</t>
  </si>
  <si>
    <t>en_chp_biomass_chips_ext_Manlin_CHN</t>
  </si>
  <si>
    <t>en_chp_biomass_pellets_ext_ccs_Manlin_CHN</t>
  </si>
  <si>
    <t>en_chp_gas_cc_ext_ccs_Manlin_CHN</t>
  </si>
  <si>
    <t>en_hop_gas_boiler_Manlin_CHN</t>
  </si>
  <si>
    <t>en_hop_biomass_chips_Manlin_CHN</t>
  </si>
  <si>
    <t>en_hop_electric_boiler_Manlin_CHN</t>
  </si>
  <si>
    <t>en_hp_air_10mw_Manlin_CHN</t>
  </si>
  <si>
    <t>en_gas_ccgt_Chongqing_CHN</t>
  </si>
  <si>
    <t>en_gas_turbine_Chongqing_CHN</t>
  </si>
  <si>
    <t>en_gas_ccs_Chongqing_CHN</t>
  </si>
  <si>
    <t>en_coal_subcritical_Chongqing_CHN</t>
  </si>
  <si>
    <t>en_coal_supercritical_Chongqing_CHN</t>
  </si>
  <si>
    <t>en_coal_ultrasupercritical_Chongqing_CHN</t>
  </si>
  <si>
    <t>en_coal_igcc_Chongqing_CHN</t>
  </si>
  <si>
    <t>en_nuclear_Chongqing_CHN</t>
  </si>
  <si>
    <t>en_nuclear_smr_Chongqing_CHN</t>
  </si>
  <si>
    <t>en_biomass_Chongqing_CHN</t>
  </si>
  <si>
    <t>en_biomass_ccs_Chongqing_CHN</t>
  </si>
  <si>
    <t>en_chp_gas_cc_ext_Chongqing_CHN</t>
  </si>
  <si>
    <t>en_chp_biomass_chips_ext_Chongqing_CHN</t>
  </si>
  <si>
    <t>en_chp_biomass_pellets_ext_ccs_Chongqing_CHN</t>
  </si>
  <si>
    <t>en_chp_gas_cc_ext_ccs_Chongqing_CHN</t>
  </si>
  <si>
    <t>en_hop_gas_boiler_Chongqing_CHN</t>
  </si>
  <si>
    <t>en_hop_biomass_chips_Chongqing_CHN</t>
  </si>
  <si>
    <t>en_hop_electric_boiler_Chongqing_CHN</t>
  </si>
  <si>
    <t>en_hp_air_10mw_Chongqing_CHN</t>
  </si>
  <si>
    <t>en_gas_ccgt_Dayan_CHN</t>
  </si>
  <si>
    <t>en_gas_turbine_Dayan_CHN</t>
  </si>
  <si>
    <t>en_gas_ccs_Dayan_CHN</t>
  </si>
  <si>
    <t>en_coal_subcritical_Dayan_CHN</t>
  </si>
  <si>
    <t>en_coal_supercritical_Dayan_CHN</t>
  </si>
  <si>
    <t>en_coal_ultrasupercritical_Dayan_CHN</t>
  </si>
  <si>
    <t>en_coal_igcc_Dayan_CHN</t>
  </si>
  <si>
    <t>en_nuclear_Dayan_CHN</t>
  </si>
  <si>
    <t>en_nuclear_smr_Dayan_CHN</t>
  </si>
  <si>
    <t>en_biomass_Dayan_CHN</t>
  </si>
  <si>
    <t>en_biomass_ccs_Dayan_CHN</t>
  </si>
  <si>
    <t>en_chp_gas_cc_ext_Dayan_CHN</t>
  </si>
  <si>
    <t>en_chp_biomass_chips_ext_Dayan_CHN</t>
  </si>
  <si>
    <t>en_chp_biomass_pellets_ext_ccs_Dayan_CHN</t>
  </si>
  <si>
    <t>en_chp_gas_cc_ext_ccs_Dayan_CHN</t>
  </si>
  <si>
    <t>en_hop_gas_boiler_Dayan_CHN</t>
  </si>
  <si>
    <t>en_hop_biomass_chips_Dayan_CHN</t>
  </si>
  <si>
    <t>en_hop_electric_boiler_Dayan_CHN</t>
  </si>
  <si>
    <t>en_hp_air_10mw_Dayan_CHN</t>
  </si>
  <si>
    <t>en_gas_ccgt_Shahezhai_CHN</t>
  </si>
  <si>
    <t>en_gas_turbine_Shahezhai_CHN</t>
  </si>
  <si>
    <t>en_gas_ccs_Shahezhai_CHN</t>
  </si>
  <si>
    <t>en_coal_subcritical_Shahezhai_CHN</t>
  </si>
  <si>
    <t>en_coal_supercritical_Shahezhai_CHN</t>
  </si>
  <si>
    <t>en_coal_ultrasupercritical_Shahezhai_CHN</t>
  </si>
  <si>
    <t>en_coal_igcc_Shahezhai_CHN</t>
  </si>
  <si>
    <t>en_nuclear_Shahezhai_CHN</t>
  </si>
  <si>
    <t>en_nuclear_smr_Shahezhai_CHN</t>
  </si>
  <si>
    <t>en_biomass_Shahezhai_CHN</t>
  </si>
  <si>
    <t>en_biomass_ccs_Shahezhai_CHN</t>
  </si>
  <si>
    <t>en_chp_gas_cc_ext_Shahezhai_CHN</t>
  </si>
  <si>
    <t>en_chp_biomass_chips_ext_Shahezhai_CHN</t>
  </si>
  <si>
    <t>en_chp_biomass_pellets_ext_ccs_Shahezhai_CHN</t>
  </si>
  <si>
    <t>en_chp_gas_cc_ext_ccs_Shahezhai_CHN</t>
  </si>
  <si>
    <t>en_hop_gas_boiler_Shahezhai_CHN</t>
  </si>
  <si>
    <t>en_hop_biomass_chips_Shahezhai_CHN</t>
  </si>
  <si>
    <t>en_hop_electric_boiler_Shahezhai_CHN</t>
  </si>
  <si>
    <t>en_hp_air_10mw_Shahezhai_CHN</t>
  </si>
  <si>
    <t>en_gas_ccgt_Kuqa_CHN</t>
  </si>
  <si>
    <t>en_gas_turbine_Kuqa_CHN</t>
  </si>
  <si>
    <t>en_gas_ccs_Kuqa_CHN</t>
  </si>
  <si>
    <t>en_coal_subcritical_Kuqa_CHN</t>
  </si>
  <si>
    <t>en_coal_supercritical_Kuqa_CHN</t>
  </si>
  <si>
    <t>en_coal_ultrasupercritical_Kuqa_CHN</t>
  </si>
  <si>
    <t>en_coal_igcc_Kuqa_CHN</t>
  </si>
  <si>
    <t>en_nuclear_Kuqa_CHN</t>
  </si>
  <si>
    <t>en_nuclear_smr_Kuqa_CHN</t>
  </si>
  <si>
    <t>en_biomass_Kuqa_CHN</t>
  </si>
  <si>
    <t>en_biomass_ccs_Kuqa_CHN</t>
  </si>
  <si>
    <t>en_chp_gas_cc_ext_Kuqa_CHN</t>
  </si>
  <si>
    <t>en_chp_biomass_chips_ext_Kuqa_CHN</t>
  </si>
  <si>
    <t>en_chp_biomass_pellets_ext_ccs_Kuqa_CHN</t>
  </si>
  <si>
    <t>en_chp_gas_cc_ext_ccs_Kuqa_CHN</t>
  </si>
  <si>
    <t>en_hop_gas_boiler_Kuqa_CHN</t>
  </si>
  <si>
    <t>en_hop_biomass_chips_Kuqa_CHN</t>
  </si>
  <si>
    <t>en_hop_electric_boiler_Kuqa_CHN</t>
  </si>
  <si>
    <t>en_hp_air_10mw_Kuqa_CHN</t>
  </si>
  <si>
    <t>en_gas_ccgt_Wulan_CHN</t>
  </si>
  <si>
    <t>en_gas_turbine_Wulan_CHN</t>
  </si>
  <si>
    <t>en_gas_ccs_Wulan_CHN</t>
  </si>
  <si>
    <t>en_coal_subcritical_Wulan_CHN</t>
  </si>
  <si>
    <t>en_coal_supercritical_Wulan_CHN</t>
  </si>
  <si>
    <t>en_coal_ultrasupercritical_Wulan_CHN</t>
  </si>
  <si>
    <t>en_coal_igcc_Wulan_CHN</t>
  </si>
  <si>
    <t>en_nuclear_Wulan_CHN</t>
  </si>
  <si>
    <t>en_nuclear_smr_Wulan_CHN</t>
  </si>
  <si>
    <t>en_biomass_Wulan_CHN</t>
  </si>
  <si>
    <t>en_biomass_ccs_Wulan_CHN</t>
  </si>
  <si>
    <t>en_chp_gas_cc_ext_Wulan_CHN</t>
  </si>
  <si>
    <t>en_chp_biomass_chips_ext_Wulan_CHN</t>
  </si>
  <si>
    <t>en_chp_biomass_pellets_ext_ccs_Wulan_CHN</t>
  </si>
  <si>
    <t>en_chp_gas_cc_ext_ccs_Wulan_CHN</t>
  </si>
  <si>
    <t>en_hop_gas_boiler_Wulan_CHN</t>
  </si>
  <si>
    <t>en_hop_biomass_chips_Wulan_CHN</t>
  </si>
  <si>
    <t>en_hop_electric_boiler_Wulan_CHN</t>
  </si>
  <si>
    <t>en_hp_air_10mw_Wulan_CHN</t>
  </si>
  <si>
    <t>en_gas_ccgt_ZhongdongShequ_CHN</t>
  </si>
  <si>
    <t>en_gas_turbine_ZhongdongShequ_CHN</t>
  </si>
  <si>
    <t>en_gas_ccs_ZhongdongShequ_CHN</t>
  </si>
  <si>
    <t>en_coal_subcritical_ZhongdongShequ_CHN</t>
  </si>
  <si>
    <t>en_coal_supercritical_ZhongdongShequ_CHN</t>
  </si>
  <si>
    <t>en_coal_ultrasupercritical_ZhongdongShequ_CHN</t>
  </si>
  <si>
    <t>en_coal_igcc_ZhongdongShequ_CHN</t>
  </si>
  <si>
    <t>en_nuclear_ZhongdongShequ_CHN</t>
  </si>
  <si>
    <t>en_nuclear_smr_ZhongdongShequ_CHN</t>
  </si>
  <si>
    <t>en_biomass_ZhongdongShequ_CHN</t>
  </si>
  <si>
    <t>en_biomass_ccs_ZhongdongShequ_CHN</t>
  </si>
  <si>
    <t>en_chp_gas_cc_ext_ZhongdongShequ_CHN</t>
  </si>
  <si>
    <t>en_chp_biomass_chips_ext_ZhongdongShequ_CHN</t>
  </si>
  <si>
    <t>en_chp_biomass_pellets_ext_ccs_ZhongdongShequ_CHN</t>
  </si>
  <si>
    <t>en_chp_gas_cc_ext_ccs_ZhongdongShequ_CHN</t>
  </si>
  <si>
    <t>en_hop_gas_boiler_ZhongdongShequ_CHN</t>
  </si>
  <si>
    <t>en_hop_biomass_chips_ZhongdongShequ_CHN</t>
  </si>
  <si>
    <t>en_hop_electric_boiler_ZhongdongShequ_CHN</t>
  </si>
  <si>
    <t>en_hp_air_10mw_ZhongdongShequ_CHN</t>
  </si>
  <si>
    <t>en_gas_ccgt_Yangjiang_CHN</t>
  </si>
  <si>
    <t>en_gas_turbine_Yangjiang_CHN</t>
  </si>
  <si>
    <t>en_gas_ccs_Yangjiang_CHN</t>
  </si>
  <si>
    <t>en_coal_subcritical_Yangjiang_CHN</t>
  </si>
  <si>
    <t>en_coal_supercritical_Yangjiang_CHN</t>
  </si>
  <si>
    <t>en_coal_ultrasupercritical_Yangjiang_CHN</t>
  </si>
  <si>
    <t>en_coal_igcc_Yangjiang_CHN</t>
  </si>
  <si>
    <t>en_nuclear_Yangjiang_CHN</t>
  </si>
  <si>
    <t>en_nuclear_smr_Yangjiang_CHN</t>
  </si>
  <si>
    <t>en_biomass_Yangjiang_CHN</t>
  </si>
  <si>
    <t>en_biomass_ccs_Yangjiang_CHN</t>
  </si>
  <si>
    <t>en_chp_gas_cc_ext_Yangjiang_CHN</t>
  </si>
  <si>
    <t>en_chp_biomass_chips_ext_Yangjiang_CHN</t>
  </si>
  <si>
    <t>en_chp_biomass_pellets_ext_ccs_Yangjiang_CHN</t>
  </si>
  <si>
    <t>en_chp_gas_cc_ext_ccs_Yangjiang_CHN</t>
  </si>
  <si>
    <t>en_hop_gas_boiler_Yangjiang_CHN</t>
  </si>
  <si>
    <t>en_hop_biomass_chips_Yangjiang_CHN</t>
  </si>
  <si>
    <t>en_hop_electric_boiler_Yangjiang_CHN</t>
  </si>
  <si>
    <t>en_hp_air_10mw_Yangjiang_CHN</t>
  </si>
  <si>
    <t>en_gas_ccgt_Jinbi_CHN</t>
  </si>
  <si>
    <t>en_gas_turbine_Jinbi_CHN</t>
  </si>
  <si>
    <t>en_gas_ccs_Jinbi_CHN</t>
  </si>
  <si>
    <t>en_coal_subcritical_Jinbi_CHN</t>
  </si>
  <si>
    <t>en_coal_supercritical_Jinbi_CHN</t>
  </si>
  <si>
    <t>en_coal_ultrasupercritical_Jinbi_CHN</t>
  </si>
  <si>
    <t>en_coal_igcc_Jinbi_CHN</t>
  </si>
  <si>
    <t>en_nuclear_Jinbi_CHN</t>
  </si>
  <si>
    <t>en_nuclear_smr_Jinbi_CHN</t>
  </si>
  <si>
    <t>en_biomass_Jinbi_CHN</t>
  </si>
  <si>
    <t>en_biomass_ccs_Jinbi_CHN</t>
  </si>
  <si>
    <t>en_chp_gas_cc_ext_Jinbi_CHN</t>
  </si>
  <si>
    <t>en_chp_biomass_chips_ext_Jinbi_CHN</t>
  </si>
  <si>
    <t>en_chp_biomass_pellets_ext_ccs_Jinbi_CHN</t>
  </si>
  <si>
    <t>en_chp_gas_cc_ext_ccs_Jinbi_CHN</t>
  </si>
  <si>
    <t>en_hop_gas_boiler_Jinbi_CHN</t>
  </si>
  <si>
    <t>en_hop_biomass_chips_Jinbi_CHN</t>
  </si>
  <si>
    <t>en_hop_electric_boiler_Jinbi_CHN</t>
  </si>
  <si>
    <t>en_hp_air_10mw_Jinbi_CHN</t>
  </si>
  <si>
    <t>en_gas_ccgt_Liuzhou_CHN</t>
  </si>
  <si>
    <t>en_gas_turbine_Liuzhou_CHN</t>
  </si>
  <si>
    <t>en_gas_ccs_Liuzhou_CHN</t>
  </si>
  <si>
    <t>en_coal_subcritical_Liuzhou_CHN</t>
  </si>
  <si>
    <t>en_coal_supercritical_Liuzhou_CHN</t>
  </si>
  <si>
    <t>en_coal_ultrasupercritical_Liuzhou_CHN</t>
  </si>
  <si>
    <t>en_coal_igcc_Liuzhou_CHN</t>
  </si>
  <si>
    <t>en_nuclear_Liuzhou_CHN</t>
  </si>
  <si>
    <t>en_nuclear_smr_Liuzhou_CHN</t>
  </si>
  <si>
    <t>en_biomass_Liuzhou_CHN</t>
  </si>
  <si>
    <t>en_biomass_ccs_Liuzhou_CHN</t>
  </si>
  <si>
    <t>en_chp_gas_cc_ext_Liuzhou_CHN</t>
  </si>
  <si>
    <t>en_chp_biomass_chips_ext_Liuzhou_CHN</t>
  </si>
  <si>
    <t>en_chp_biomass_pellets_ext_ccs_Liuzhou_CHN</t>
  </si>
  <si>
    <t>en_chp_gas_cc_ext_ccs_Liuzhou_CHN</t>
  </si>
  <si>
    <t>en_hop_gas_boiler_Liuzhou_CHN</t>
  </si>
  <si>
    <t>en_hop_biomass_chips_Liuzhou_CHN</t>
  </si>
  <si>
    <t>en_hop_electric_boiler_Liuzhou_CHN</t>
  </si>
  <si>
    <t>en_hp_air_10mw_Liuzhou_CHN</t>
  </si>
  <si>
    <t>en_gas_ccgt_Xichang_CHN</t>
  </si>
  <si>
    <t>en_gas_turbine_Xichang_CHN</t>
  </si>
  <si>
    <t>en_gas_ccs_Xichang_CHN</t>
  </si>
  <si>
    <t>en_coal_subcritical_Xichang_CHN</t>
  </si>
  <si>
    <t>en_coal_supercritical_Xichang_CHN</t>
  </si>
  <si>
    <t>en_coal_ultrasupercritical_Xichang_CHN</t>
  </si>
  <si>
    <t>en_coal_igcc_Xichang_CHN</t>
  </si>
  <si>
    <t>en_nuclear_Xichang_CHN</t>
  </si>
  <si>
    <t>en_nuclear_smr_Xichang_CHN</t>
  </si>
  <si>
    <t>en_biomass_Xichang_CHN</t>
  </si>
  <si>
    <t>en_biomass_ccs_Xichang_CHN</t>
  </si>
  <si>
    <t>en_chp_gas_cc_ext_Xichang_CHN</t>
  </si>
  <si>
    <t>en_chp_biomass_chips_ext_Xichang_CHN</t>
  </si>
  <si>
    <t>en_chp_biomass_pellets_ext_ccs_Xichang_CHN</t>
  </si>
  <si>
    <t>en_chp_gas_cc_ext_ccs_Xichang_CHN</t>
  </si>
  <si>
    <t>en_hop_gas_boiler_Xichang_CHN</t>
  </si>
  <si>
    <t>en_hop_biomass_chips_Xichang_CHN</t>
  </si>
  <si>
    <t>en_hop_electric_boiler_Xichang_CHN</t>
  </si>
  <si>
    <t>en_hp_air_10mw_Xichang_CHN</t>
  </si>
  <si>
    <t>en_gas_ccgt_CHN44p7N89p1E_CHN</t>
  </si>
  <si>
    <t>en_gas_turbine_CHN44p7N89p1E_CHN</t>
  </si>
  <si>
    <t>en_gas_ccs_CHN44p7N89p1E_CHN</t>
  </si>
  <si>
    <t>en_coal_subcritical_CHN44p7N89p1E_CHN</t>
  </si>
  <si>
    <t>en_coal_supercritical_CHN44p7N89p1E_CHN</t>
  </si>
  <si>
    <t>en_coal_ultrasupercritical_CHN44p7N89p1E_CHN</t>
  </si>
  <si>
    <t>en_coal_igcc_CHN44p7N89p1E_CHN</t>
  </si>
  <si>
    <t>en_nuclear_CHN44p7N89p1E_CHN</t>
  </si>
  <si>
    <t>en_nuclear_smr_CHN44p7N89p1E_CHN</t>
  </si>
  <si>
    <t>en_biomass_CHN44p7N89p1E_CHN</t>
  </si>
  <si>
    <t>en_biomass_ccs_CHN44p7N89p1E_CHN</t>
  </si>
  <si>
    <t>en_chp_gas_cc_ext_CHN44p7N89p1E_CHN</t>
  </si>
  <si>
    <t>en_chp_biomass_chips_ext_CHN44p7N89p1E_CHN</t>
  </si>
  <si>
    <t>en_chp_biomass_pellets_ext_ccs_CHN44p7N89p1E_CHN</t>
  </si>
  <si>
    <t>en_chp_gas_cc_ext_ccs_CHN44p7N89p1E_CHN</t>
  </si>
  <si>
    <t>en_hop_gas_boiler_CHN44p7N89p1E_CHN</t>
  </si>
  <si>
    <t>en_hop_biomass_chips_CHN44p7N89p1E_CHN</t>
  </si>
  <si>
    <t>en_hop_electric_boiler_CHN44p7N89p1E_CHN</t>
  </si>
  <si>
    <t>en_hp_air_10mw_CHN44p7N89p1E_CHN</t>
  </si>
  <si>
    <t>en_gas_ccgt_Putian_CHN</t>
  </si>
  <si>
    <t>en_gas_turbine_Putian_CHN</t>
  </si>
  <si>
    <t>en_gas_ccs_Putian_CHN</t>
  </si>
  <si>
    <t>en_coal_subcritical_Putian_CHN</t>
  </si>
  <si>
    <t>en_coal_supercritical_Putian_CHN</t>
  </si>
  <si>
    <t>en_coal_ultrasupercritical_Putian_CHN</t>
  </si>
  <si>
    <t>en_coal_igcc_Putian_CHN</t>
  </si>
  <si>
    <t>en_nuclear_Putian_CHN</t>
  </si>
  <si>
    <t>en_nuclear_smr_Putian_CHN</t>
  </si>
  <si>
    <t>en_biomass_Putian_CHN</t>
  </si>
  <si>
    <t>en_biomass_ccs_Putian_CHN</t>
  </si>
  <si>
    <t>en_chp_gas_cc_ext_Putian_CHN</t>
  </si>
  <si>
    <t>en_chp_biomass_chips_ext_Putian_CHN</t>
  </si>
  <si>
    <t>en_chp_biomass_pellets_ext_ccs_Putian_CHN</t>
  </si>
  <si>
    <t>en_chp_gas_cc_ext_ccs_Putian_CHN</t>
  </si>
  <si>
    <t>en_hop_gas_boiler_Putian_CHN</t>
  </si>
  <si>
    <t>en_hop_biomass_chips_Putian_CHN</t>
  </si>
  <si>
    <t>en_hop_electric_boiler_Putian_CHN</t>
  </si>
  <si>
    <t>en_hp_air_10mw_Putian_CHN</t>
  </si>
  <si>
    <t>en_gas_ccgt_Fangchenggang_CHN</t>
  </si>
  <si>
    <t>en_gas_turbine_Fangchenggang_CHN</t>
  </si>
  <si>
    <t>en_gas_ccs_Fangchenggang_CHN</t>
  </si>
  <si>
    <t>en_coal_subcritical_Fangchenggang_CHN</t>
  </si>
  <si>
    <t>en_coal_supercritical_Fangchenggang_CHN</t>
  </si>
  <si>
    <t>en_coal_ultrasupercritical_Fangchenggang_CHN</t>
  </si>
  <si>
    <t>en_coal_igcc_Fangchenggang_CHN</t>
  </si>
  <si>
    <t>en_nuclear_Fangchenggang_CHN</t>
  </si>
  <si>
    <t>en_nuclear_smr_Fangchenggang_CHN</t>
  </si>
  <si>
    <t>en_biomass_Fangchenggang_CHN</t>
  </si>
  <si>
    <t>en_biomass_ccs_Fangchenggang_CHN</t>
  </si>
  <si>
    <t>en_chp_gas_cc_ext_Fangchenggang_CHN</t>
  </si>
  <si>
    <t>en_chp_biomass_chips_ext_Fangchenggang_CHN</t>
  </si>
  <si>
    <t>en_chp_biomass_pellets_ext_ccs_Fangchenggang_CHN</t>
  </si>
  <si>
    <t>en_chp_gas_cc_ext_ccs_Fangchenggang_CHN</t>
  </si>
  <si>
    <t>en_hop_gas_boiler_Fangchenggang_CHN</t>
  </si>
  <si>
    <t>en_hop_biomass_chips_Fangchenggang_CHN</t>
  </si>
  <si>
    <t>en_hop_electric_boiler_Fangchenggang_CHN</t>
  </si>
  <si>
    <t>en_hp_air_10mw_Fangchenggang_CHN</t>
  </si>
  <si>
    <t>en_gas_ccgt_Zouping_CHN</t>
  </si>
  <si>
    <t>en_gas_turbine_Zouping_CHN</t>
  </si>
  <si>
    <t>en_gas_ccs_Zouping_CHN</t>
  </si>
  <si>
    <t>en_coal_subcritical_Zouping_CHN</t>
  </si>
  <si>
    <t>en_coal_supercritical_Zouping_CHN</t>
  </si>
  <si>
    <t>en_coal_ultrasupercritical_Zouping_CHN</t>
  </si>
  <si>
    <t>en_coal_igcc_Zouping_CHN</t>
  </si>
  <si>
    <t>en_nuclear_Zouping_CHN</t>
  </si>
  <si>
    <t>en_nuclear_smr_Zouping_CHN</t>
  </si>
  <si>
    <t>en_biomass_Zouping_CHN</t>
  </si>
  <si>
    <t>en_biomass_ccs_Zouping_CHN</t>
  </si>
  <si>
    <t>en_chp_gas_cc_ext_Zouping_CHN</t>
  </si>
  <si>
    <t>en_chp_biomass_chips_ext_Zouping_CHN</t>
  </si>
  <si>
    <t>en_chp_biomass_pellets_ext_ccs_Zouping_CHN</t>
  </si>
  <si>
    <t>en_chp_gas_cc_ext_ccs_Zouping_CHN</t>
  </si>
  <si>
    <t>en_hop_gas_boiler_Zouping_CHN</t>
  </si>
  <si>
    <t>en_hop_biomass_chips_Zouping_CHN</t>
  </si>
  <si>
    <t>en_hop_electric_boiler_Zouping_CHN</t>
  </si>
  <si>
    <t>en_hp_air_10mw_Zouping_CHN</t>
  </si>
  <si>
    <t>en_gas_ccgt_CHN45p9N129p3E_CHN</t>
  </si>
  <si>
    <t>en_gas_turbine_CHN45p9N129p3E_CHN</t>
  </si>
  <si>
    <t>en_gas_ccs_CHN45p9N129p3E_CHN</t>
  </si>
  <si>
    <t>en_coal_subcritical_CHN45p9N129p3E_CHN</t>
  </si>
  <si>
    <t>en_coal_supercritical_CHN45p9N129p3E_CHN</t>
  </si>
  <si>
    <t>en_coal_ultrasupercritical_CHN45p9N129p3E_CHN</t>
  </si>
  <si>
    <t>en_coal_igcc_CHN45p9N129p3E_CHN</t>
  </si>
  <si>
    <t>en_nuclear_CHN45p9N129p3E_CHN</t>
  </si>
  <si>
    <t>en_nuclear_smr_CHN45p9N129p3E_CHN</t>
  </si>
  <si>
    <t>en_biomass_CHN45p9N129p3E_CHN</t>
  </si>
  <si>
    <t>en_biomass_ccs_CHN45p9N129p3E_CHN</t>
  </si>
  <si>
    <t>en_chp_gas_cc_ext_CHN45p9N129p3E_CHN</t>
  </si>
  <si>
    <t>en_chp_biomass_chips_ext_CHN45p9N129p3E_CHN</t>
  </si>
  <si>
    <t>en_chp_biomass_pellets_ext_ccs_CHN45p9N129p3E_CHN</t>
  </si>
  <si>
    <t>en_chp_gas_cc_ext_ccs_CHN45p9N129p3E_CHN</t>
  </si>
  <si>
    <t>en_hop_gas_boiler_CHN45p9N129p3E_CHN</t>
  </si>
  <si>
    <t>en_hop_biomass_chips_CHN45p9N129p3E_CHN</t>
  </si>
  <si>
    <t>en_hop_electric_boiler_CHN45p9N129p3E_CHN</t>
  </si>
  <si>
    <t>en_hp_air_10mw_CHN45p9N129p3E_CHN</t>
  </si>
  <si>
    <t>en_gas_ccgt_Jingling_CHN</t>
  </si>
  <si>
    <t>en_gas_turbine_Jingling_CHN</t>
  </si>
  <si>
    <t>en_gas_ccs_Jingling_CHN</t>
  </si>
  <si>
    <t>en_coal_subcritical_Jingling_CHN</t>
  </si>
  <si>
    <t>en_coal_supercritical_Jingling_CHN</t>
  </si>
  <si>
    <t>en_coal_ultrasupercritical_Jingling_CHN</t>
  </si>
  <si>
    <t>en_coal_igcc_Jingling_CHN</t>
  </si>
  <si>
    <t>en_nuclear_Jingling_CHN</t>
  </si>
  <si>
    <t>en_nuclear_smr_Jingling_CHN</t>
  </si>
  <si>
    <t>en_biomass_Jingling_CHN</t>
  </si>
  <si>
    <t>en_biomass_ccs_Jingling_CHN</t>
  </si>
  <si>
    <t>en_chp_gas_cc_ext_Jingling_CHN</t>
  </si>
  <si>
    <t>en_chp_biomass_chips_ext_Jingling_CHN</t>
  </si>
  <si>
    <t>en_chp_biomass_pellets_ext_ccs_Jingling_CHN</t>
  </si>
  <si>
    <t>en_chp_gas_cc_ext_ccs_Jingling_CHN</t>
  </si>
  <si>
    <t>en_hop_gas_boiler_Jingling_CHN</t>
  </si>
  <si>
    <t>en_hop_biomass_chips_Jingling_CHN</t>
  </si>
  <si>
    <t>en_hop_electric_boiler_Jingling_CHN</t>
  </si>
  <si>
    <t>en_hp_air_10mw_Jingling_CHN</t>
  </si>
  <si>
    <t>en_gas_ccgt_Yingchuan_CHN</t>
  </si>
  <si>
    <t>en_gas_turbine_Yingchuan_CHN</t>
  </si>
  <si>
    <t>en_gas_ccs_Yingchuan_CHN</t>
  </si>
  <si>
    <t>en_coal_subcritical_Yingchuan_CHN</t>
  </si>
  <si>
    <t>en_coal_supercritical_Yingchuan_CHN</t>
  </si>
  <si>
    <t>en_coal_ultrasupercritical_Yingchuan_CHN</t>
  </si>
  <si>
    <t>en_coal_igcc_Yingchuan_CHN</t>
  </si>
  <si>
    <t>en_nuclear_Yingchuan_CHN</t>
  </si>
  <si>
    <t>en_nuclear_smr_Yingchuan_CHN</t>
  </si>
  <si>
    <t>en_biomass_Yingchuan_CHN</t>
  </si>
  <si>
    <t>en_biomass_ccs_Yingchuan_CHN</t>
  </si>
  <si>
    <t>en_chp_gas_cc_ext_Yingchuan_CHN</t>
  </si>
  <si>
    <t>en_chp_biomass_chips_ext_Yingchuan_CHN</t>
  </si>
  <si>
    <t>en_chp_biomass_pellets_ext_ccs_Yingchuan_CHN</t>
  </si>
  <si>
    <t>en_chp_gas_cc_ext_ccs_Yingchuan_CHN</t>
  </si>
  <si>
    <t>en_hop_gas_boiler_Yingchuan_CHN</t>
  </si>
  <si>
    <t>en_hop_biomass_chips_Yingchuan_CHN</t>
  </si>
  <si>
    <t>en_hop_electric_boiler_Yingchuan_CHN</t>
  </si>
  <si>
    <t>en_hp_air_10mw_Yingchuan_CHN</t>
  </si>
  <si>
    <t>en_gas_ccgt_Luohe_CHN</t>
  </si>
  <si>
    <t>en_gas_turbine_Luohe_CHN</t>
  </si>
  <si>
    <t>en_gas_ccs_Luohe_CHN</t>
  </si>
  <si>
    <t>en_coal_subcritical_Luohe_CHN</t>
  </si>
  <si>
    <t>en_coal_supercritical_Luohe_CHN</t>
  </si>
  <si>
    <t>en_coal_ultrasupercritical_Luohe_CHN</t>
  </si>
  <si>
    <t>en_coal_igcc_Luohe_CHN</t>
  </si>
  <si>
    <t>en_nuclear_Luohe_CHN</t>
  </si>
  <si>
    <t>en_nuclear_smr_Luohe_CHN</t>
  </si>
  <si>
    <t>en_biomass_Luohe_CHN</t>
  </si>
  <si>
    <t>en_biomass_ccs_Luohe_CHN</t>
  </si>
  <si>
    <t>en_chp_gas_cc_ext_Luohe_CHN</t>
  </si>
  <si>
    <t>en_chp_biomass_chips_ext_Luohe_CHN</t>
  </si>
  <si>
    <t>en_chp_biomass_pellets_ext_ccs_Luohe_CHN</t>
  </si>
  <si>
    <t>en_chp_gas_cc_ext_ccs_Luohe_CHN</t>
  </si>
  <si>
    <t>en_hop_gas_boiler_Luohe_CHN</t>
  </si>
  <si>
    <t>en_hop_biomass_chips_Luohe_CHN</t>
  </si>
  <si>
    <t>en_hop_electric_boiler_Luohe_CHN</t>
  </si>
  <si>
    <t>en_hp_air_10mw_Luohe_CHN</t>
  </si>
  <si>
    <t>en_gas_ccgt_Fuzhou_CHN</t>
  </si>
  <si>
    <t>en_gas_turbine_Fuzhou_CHN</t>
  </si>
  <si>
    <t>en_gas_ccs_Fuzhou_CHN</t>
  </si>
  <si>
    <t>en_coal_subcritical_Fuzhou_CHN</t>
  </si>
  <si>
    <t>en_coal_supercritical_Fuzhou_CHN</t>
  </si>
  <si>
    <t>en_coal_ultrasupercritical_Fuzhou_CHN</t>
  </si>
  <si>
    <t>en_coal_igcc_Fuzhou_CHN</t>
  </si>
  <si>
    <t>en_nuclear_Fuzhou_CHN</t>
  </si>
  <si>
    <t>en_nuclear_smr_Fuzhou_CHN</t>
  </si>
  <si>
    <t>en_biomass_Fuzhou_CHN</t>
  </si>
  <si>
    <t>en_biomass_ccs_Fuzhou_CHN</t>
  </si>
  <si>
    <t>en_chp_gas_cc_ext_Fuzhou_CHN</t>
  </si>
  <si>
    <t>en_chp_biomass_chips_ext_Fuzhou_CHN</t>
  </si>
  <si>
    <t>en_chp_biomass_pellets_ext_ccs_Fuzhou_CHN</t>
  </si>
  <si>
    <t>en_chp_gas_cc_ext_ccs_Fuzhou_CHN</t>
  </si>
  <si>
    <t>en_hop_gas_boiler_Fuzhou_CHN</t>
  </si>
  <si>
    <t>en_hop_biomass_chips_Fuzhou_CHN</t>
  </si>
  <si>
    <t>en_hop_electric_boiler_Fuzhou_CHN</t>
  </si>
  <si>
    <t>en_hp_air_10mw_Fuzhou_CHN</t>
  </si>
  <si>
    <t>en_gas_ccgt_Mianyang_CHN</t>
  </si>
  <si>
    <t>en_gas_turbine_Mianyang_CHN</t>
  </si>
  <si>
    <t>en_gas_ccs_Mianyang_CHN</t>
  </si>
  <si>
    <t>en_coal_subcritical_Mianyang_CHN</t>
  </si>
  <si>
    <t>en_coal_supercritical_Mianyang_CHN</t>
  </si>
  <si>
    <t>en_coal_ultrasupercritical_Mianyang_CHN</t>
  </si>
  <si>
    <t>en_coal_igcc_Mianyang_CHN</t>
  </si>
  <si>
    <t>en_nuclear_Mianyang_CHN</t>
  </si>
  <si>
    <t>en_nuclear_smr_Mianyang_CHN</t>
  </si>
  <si>
    <t>en_biomass_Mianyang_CHN</t>
  </si>
  <si>
    <t>en_biomass_ccs_Mianyang_CHN</t>
  </si>
  <si>
    <t>en_chp_gas_cc_ext_Mianyang_CHN</t>
  </si>
  <si>
    <t>en_chp_biomass_chips_ext_Mianyang_CHN</t>
  </si>
  <si>
    <t>en_chp_biomass_pellets_ext_ccs_Mianyang_CHN</t>
  </si>
  <si>
    <t>en_chp_gas_cc_ext_ccs_Mianyang_CHN</t>
  </si>
  <si>
    <t>en_hop_gas_boiler_Mianyang_CHN</t>
  </si>
  <si>
    <t>en_hop_biomass_chips_Mianyang_CHN</t>
  </si>
  <si>
    <t>en_hop_electric_boiler_Mianyang_CHN</t>
  </si>
  <si>
    <t>en_hp_air_10mw_Mianyang_CHN</t>
  </si>
  <si>
    <t>en_gas_ccgt_Bayi_CHN</t>
  </si>
  <si>
    <t>en_gas_turbine_Bayi_CHN</t>
  </si>
  <si>
    <t>en_gas_ccs_Bayi_CHN</t>
  </si>
  <si>
    <t>en_coal_subcritical_Bayi_CHN</t>
  </si>
  <si>
    <t>en_coal_supercritical_Bayi_CHN</t>
  </si>
  <si>
    <t>en_coal_ultrasupercritical_Bayi_CHN</t>
  </si>
  <si>
    <t>en_coal_igcc_Bayi_CHN</t>
  </si>
  <si>
    <t>en_nuclear_Bayi_CHN</t>
  </si>
  <si>
    <t>en_nuclear_smr_Bayi_CHN</t>
  </si>
  <si>
    <t>en_biomass_Bayi_CHN</t>
  </si>
  <si>
    <t>en_biomass_ccs_Bayi_CHN</t>
  </si>
  <si>
    <t>en_chp_gas_cc_ext_Bayi_CHN</t>
  </si>
  <si>
    <t>en_chp_biomass_chips_ext_Bayi_CHN</t>
  </si>
  <si>
    <t>en_chp_biomass_pellets_ext_ccs_Bayi_CHN</t>
  </si>
  <si>
    <t>en_chp_gas_cc_ext_ccs_Bayi_CHN</t>
  </si>
  <si>
    <t>en_hop_gas_boiler_Bayi_CHN</t>
  </si>
  <si>
    <t>en_hop_biomass_chips_Bayi_CHN</t>
  </si>
  <si>
    <t>en_hop_electric_boiler_Bayi_CHN</t>
  </si>
  <si>
    <t>en_hp_air_10mw_Bayi_CHN</t>
  </si>
  <si>
    <t>en_gas_ccgt_Hohhot_CHN</t>
  </si>
  <si>
    <t>en_gas_turbine_Hohhot_CHN</t>
  </si>
  <si>
    <t>en_gas_ccs_Hohhot_CHN</t>
  </si>
  <si>
    <t>en_coal_subcritical_Hohhot_CHN</t>
  </si>
  <si>
    <t>en_coal_supercritical_Hohhot_CHN</t>
  </si>
  <si>
    <t>en_coal_ultrasupercritical_Hohhot_CHN</t>
  </si>
  <si>
    <t>en_coal_igcc_Hohhot_CHN</t>
  </si>
  <si>
    <t>en_nuclear_Hohhot_CHN</t>
  </si>
  <si>
    <t>en_nuclear_smr_Hohhot_CHN</t>
  </si>
  <si>
    <t>en_biomass_Hohhot_CHN</t>
  </si>
  <si>
    <t>en_biomass_ccs_Hohhot_CHN</t>
  </si>
  <si>
    <t>en_chp_gas_cc_ext_Hohhot_CHN</t>
  </si>
  <si>
    <t>en_chp_biomass_chips_ext_Hohhot_CHN</t>
  </si>
  <si>
    <t>en_chp_biomass_pellets_ext_ccs_Hohhot_CHN</t>
  </si>
  <si>
    <t>en_chp_gas_cc_ext_ccs_Hohhot_CHN</t>
  </si>
  <si>
    <t>en_hop_gas_boiler_Hohhot_CHN</t>
  </si>
  <si>
    <t>en_hop_biomass_chips_Hohhot_CHN</t>
  </si>
  <si>
    <t>en_hop_electric_boiler_Hohhot_CHN</t>
  </si>
  <si>
    <t>en_hp_air_10mw_Hohhot_CHN</t>
  </si>
  <si>
    <t>en_gas_ccgt_Beichengqu_CHN</t>
  </si>
  <si>
    <t>en_gas_turbine_Beichengqu_CHN</t>
  </si>
  <si>
    <t>en_gas_ccs_Beichengqu_CHN</t>
  </si>
  <si>
    <t>en_coal_subcritical_Beichengqu_CHN</t>
  </si>
  <si>
    <t>en_coal_supercritical_Beichengqu_CHN</t>
  </si>
  <si>
    <t>en_coal_ultrasupercritical_Beichengqu_CHN</t>
  </si>
  <si>
    <t>en_coal_igcc_Beichengqu_CHN</t>
  </si>
  <si>
    <t>en_nuclear_Beichengqu_CHN</t>
  </si>
  <si>
    <t>en_nuclear_smr_Beichengqu_CHN</t>
  </si>
  <si>
    <t>en_biomass_Beichengqu_CHN</t>
  </si>
  <si>
    <t>en_biomass_ccs_Beichengqu_CHN</t>
  </si>
  <si>
    <t>en_chp_gas_cc_ext_Beichengqu_CHN</t>
  </si>
  <si>
    <t>en_chp_biomass_chips_ext_Beichengqu_CHN</t>
  </si>
  <si>
    <t>en_chp_biomass_pellets_ext_ccs_Beichengqu_CHN</t>
  </si>
  <si>
    <t>en_chp_gas_cc_ext_ccs_Beichengqu_CHN</t>
  </si>
  <si>
    <t>en_hop_gas_boiler_Beichengqu_CHN</t>
  </si>
  <si>
    <t>en_hop_biomass_chips_Beichengqu_CHN</t>
  </si>
  <si>
    <t>en_hop_electric_boiler_Beichengqu_CHN</t>
  </si>
  <si>
    <t>en_hp_air_10mw_Beichengqu_CHN</t>
  </si>
  <si>
    <t>en_gas_ccgt_Qabqa_CHN</t>
  </si>
  <si>
    <t>en_gas_turbine_Qabqa_CHN</t>
  </si>
  <si>
    <t>en_gas_ccs_Qabqa_CHN</t>
  </si>
  <si>
    <t>en_coal_subcritical_Qabqa_CHN</t>
  </si>
  <si>
    <t>en_coal_supercritical_Qabqa_CHN</t>
  </si>
  <si>
    <t>en_coal_ultrasupercritical_Qabqa_CHN</t>
  </si>
  <si>
    <t>en_coal_igcc_Qabqa_CHN</t>
  </si>
  <si>
    <t>en_nuclear_Qabqa_CHN</t>
  </si>
  <si>
    <t>en_nuclear_smr_Qabqa_CHN</t>
  </si>
  <si>
    <t>en_biomass_Qabqa_CHN</t>
  </si>
  <si>
    <t>en_biomass_ccs_Qabqa_CHN</t>
  </si>
  <si>
    <t>en_chp_gas_cc_ext_Qabqa_CHN</t>
  </si>
  <si>
    <t>en_chp_biomass_chips_ext_Qabqa_CHN</t>
  </si>
  <si>
    <t>en_chp_biomass_pellets_ext_ccs_Qabqa_CHN</t>
  </si>
  <si>
    <t>en_chp_gas_cc_ext_ccs_Qabqa_CHN</t>
  </si>
  <si>
    <t>en_hop_gas_boiler_Qabqa_CHN</t>
  </si>
  <si>
    <t>en_hop_biomass_chips_Qabqa_CHN</t>
  </si>
  <si>
    <t>en_hop_electric_boiler_Qabqa_CHN</t>
  </si>
  <si>
    <t>en_hp_air_10mw_Qabqa_CHN</t>
  </si>
  <si>
    <t>en_gas_ccgt_Shaoguan_CHN</t>
  </si>
  <si>
    <t>en_gas_turbine_Shaoguan_CHN</t>
  </si>
  <si>
    <t>en_gas_ccs_Shaoguan_CHN</t>
  </si>
  <si>
    <t>en_coal_subcritical_Shaoguan_CHN</t>
  </si>
  <si>
    <t>en_coal_supercritical_Shaoguan_CHN</t>
  </si>
  <si>
    <t>en_coal_ultrasupercritical_Shaoguan_CHN</t>
  </si>
  <si>
    <t>en_coal_igcc_Shaoguan_CHN</t>
  </si>
  <si>
    <t>en_nuclear_Shaoguan_CHN</t>
  </si>
  <si>
    <t>en_nuclear_smr_Shaoguan_CHN</t>
  </si>
  <si>
    <t>en_biomass_Shaoguan_CHN</t>
  </si>
  <si>
    <t>en_biomass_ccs_Shaoguan_CHN</t>
  </si>
  <si>
    <t>en_chp_gas_cc_ext_Shaoguan_CHN</t>
  </si>
  <si>
    <t>en_chp_biomass_chips_ext_Shaoguan_CHN</t>
  </si>
  <si>
    <t>en_chp_biomass_pellets_ext_ccs_Shaoguan_CHN</t>
  </si>
  <si>
    <t>en_chp_gas_cc_ext_ccs_Shaoguan_CHN</t>
  </si>
  <si>
    <t>en_hop_gas_boiler_Shaoguan_CHN</t>
  </si>
  <si>
    <t>en_hop_biomass_chips_Shaoguan_CHN</t>
  </si>
  <si>
    <t>en_hop_electric_boiler_Shaoguan_CHN</t>
  </si>
  <si>
    <t>en_hp_air_10mw_Shaoguan_CHN</t>
  </si>
  <si>
    <t>en_gas_ccgt_Nanjing_CHN</t>
  </si>
  <si>
    <t>en_gas_turbine_Nanjing_CHN</t>
  </si>
  <si>
    <t>en_gas_ccs_Nanjing_CHN</t>
  </si>
  <si>
    <t>en_coal_subcritical_Nanjing_CHN</t>
  </si>
  <si>
    <t>en_coal_supercritical_Nanjing_CHN</t>
  </si>
  <si>
    <t>en_coal_ultrasupercritical_Nanjing_CHN</t>
  </si>
  <si>
    <t>en_coal_igcc_Nanjing_CHN</t>
  </si>
  <si>
    <t>en_nuclear_Nanjing_CHN</t>
  </si>
  <si>
    <t>en_nuclear_smr_Nanjing_CHN</t>
  </si>
  <si>
    <t>en_biomass_Nanjing_CHN</t>
  </si>
  <si>
    <t>en_biomass_ccs_Nanjing_CHN</t>
  </si>
  <si>
    <t>en_chp_gas_cc_ext_Nanjing_CHN</t>
  </si>
  <si>
    <t>en_chp_biomass_chips_ext_Nanjing_CHN</t>
  </si>
  <si>
    <t>en_chp_biomass_pellets_ext_ccs_Nanjing_CHN</t>
  </si>
  <si>
    <t>en_chp_gas_cc_ext_ccs_Nanjing_CHN</t>
  </si>
  <si>
    <t>en_hop_gas_boiler_Nanjing_CHN</t>
  </si>
  <si>
    <t>en_hop_biomass_chips_Nanjing_CHN</t>
  </si>
  <si>
    <t>en_hop_electric_boiler_Nanjing_CHN</t>
  </si>
  <si>
    <t>en_hp_air_10mw_Nanjing_CHN</t>
  </si>
  <si>
    <t>en_gas_ccgt_Yicheng_CHN</t>
  </si>
  <si>
    <t>en_gas_turbine_Yicheng_CHN</t>
  </si>
  <si>
    <t>en_gas_ccs_Yicheng_CHN</t>
  </si>
  <si>
    <t>en_coal_subcritical_Yicheng_CHN</t>
  </si>
  <si>
    <t>en_coal_supercritical_Yicheng_CHN</t>
  </si>
  <si>
    <t>en_coal_ultrasupercritical_Yicheng_CHN</t>
  </si>
  <si>
    <t>en_coal_igcc_Yicheng_CHN</t>
  </si>
  <si>
    <t>en_nuclear_Yicheng_CHN</t>
  </si>
  <si>
    <t>en_nuclear_smr_Yicheng_CHN</t>
  </si>
  <si>
    <t>en_biomass_Yicheng_CHN</t>
  </si>
  <si>
    <t>en_biomass_ccs_Yicheng_CHN</t>
  </si>
  <si>
    <t>en_chp_gas_cc_ext_Yicheng_CHN</t>
  </si>
  <si>
    <t>en_chp_biomass_chips_ext_Yicheng_CHN</t>
  </si>
  <si>
    <t>en_chp_biomass_pellets_ext_ccs_Yicheng_CHN</t>
  </si>
  <si>
    <t>en_chp_gas_cc_ext_ccs_Yicheng_CHN</t>
  </si>
  <si>
    <t>en_hop_gas_boiler_Yicheng_CHN</t>
  </si>
  <si>
    <t>en_hop_biomass_chips_Yicheng_CHN</t>
  </si>
  <si>
    <t>en_hop_electric_boiler_Yicheng_CHN</t>
  </si>
  <si>
    <t>en_hp_air_10mw_Yicheng_CHN</t>
  </si>
  <si>
    <t>en_gas_ccgt_Xiaoyi_CHN</t>
  </si>
  <si>
    <t>en_gas_turbine_Xiaoyi_CHN</t>
  </si>
  <si>
    <t>en_gas_ccs_Xiaoyi_CHN</t>
  </si>
  <si>
    <t>en_coal_subcritical_Xiaoyi_CHN</t>
  </si>
  <si>
    <t>en_coal_supercritical_Xiaoyi_CHN</t>
  </si>
  <si>
    <t>en_coal_ultrasupercritical_Xiaoyi_CHN</t>
  </si>
  <si>
    <t>en_coal_igcc_Xiaoyi_CHN</t>
  </si>
  <si>
    <t>en_nuclear_Xiaoyi_CHN</t>
  </si>
  <si>
    <t>en_nuclear_smr_Xiaoyi_CHN</t>
  </si>
  <si>
    <t>en_biomass_Xiaoyi_CHN</t>
  </si>
  <si>
    <t>en_biomass_ccs_Xiaoyi_CHN</t>
  </si>
  <si>
    <t>en_chp_gas_cc_ext_Xiaoyi_CHN</t>
  </si>
  <si>
    <t>en_chp_biomass_chips_ext_Xiaoyi_CHN</t>
  </si>
  <si>
    <t>en_chp_biomass_pellets_ext_ccs_Xiaoyi_CHN</t>
  </si>
  <si>
    <t>en_chp_gas_cc_ext_ccs_Xiaoyi_CHN</t>
  </si>
  <si>
    <t>en_hop_gas_boiler_Xiaoyi_CHN</t>
  </si>
  <si>
    <t>en_hop_biomass_chips_Xiaoyi_CHN</t>
  </si>
  <si>
    <t>en_hop_electric_boiler_Xiaoyi_CHN</t>
  </si>
  <si>
    <t>en_hp_air_10mw_Xiaoyi_CHN</t>
  </si>
  <si>
    <t>en_gas_ccgt_Ningde_CHN</t>
  </si>
  <si>
    <t>en_gas_turbine_Ningde_CHN</t>
  </si>
  <si>
    <t>en_gas_ccs_Ningde_CHN</t>
  </si>
  <si>
    <t>en_coal_subcritical_Ningde_CHN</t>
  </si>
  <si>
    <t>en_coal_supercritical_Ningde_CHN</t>
  </si>
  <si>
    <t>en_coal_ultrasupercritical_Ningde_CHN</t>
  </si>
  <si>
    <t>en_coal_igcc_Ningde_CHN</t>
  </si>
  <si>
    <t>en_nuclear_Ningde_CHN</t>
  </si>
  <si>
    <t>en_nuclear_smr_Ningde_CHN</t>
  </si>
  <si>
    <t>en_biomass_Ningde_CHN</t>
  </si>
  <si>
    <t>en_biomass_ccs_Ningde_CHN</t>
  </si>
  <si>
    <t>en_chp_gas_cc_ext_Ningde_CHN</t>
  </si>
  <si>
    <t>en_chp_biomass_chips_ext_Ningde_CHN</t>
  </si>
  <si>
    <t>en_chp_biomass_pellets_ext_ccs_Ningde_CHN</t>
  </si>
  <si>
    <t>en_chp_gas_cc_ext_ccs_Ningde_CHN</t>
  </si>
  <si>
    <t>en_hop_gas_boiler_Ningde_CHN</t>
  </si>
  <si>
    <t>en_hop_biomass_chips_Ningde_CHN</t>
  </si>
  <si>
    <t>en_hop_electric_boiler_Ningde_CHN</t>
  </si>
  <si>
    <t>en_hp_air_10mw_Ningde_CHN</t>
  </si>
  <si>
    <t>en_gas_ccgt_Rizhao_CHN</t>
  </si>
  <si>
    <t>en_gas_turbine_Rizhao_CHN</t>
  </si>
  <si>
    <t>en_gas_ccs_Rizhao_CHN</t>
  </si>
  <si>
    <t>en_coal_subcritical_Rizhao_CHN</t>
  </si>
  <si>
    <t>en_coal_supercritical_Rizhao_CHN</t>
  </si>
  <si>
    <t>en_coal_ultrasupercritical_Rizhao_CHN</t>
  </si>
  <si>
    <t>en_coal_igcc_Rizhao_CHN</t>
  </si>
  <si>
    <t>en_nuclear_Rizhao_CHN</t>
  </si>
  <si>
    <t>en_nuclear_smr_Rizhao_CHN</t>
  </si>
  <si>
    <t>en_biomass_Rizhao_CHN</t>
  </si>
  <si>
    <t>en_biomass_ccs_Rizhao_CHN</t>
  </si>
  <si>
    <t>en_chp_gas_cc_ext_Rizhao_CHN</t>
  </si>
  <si>
    <t>en_chp_biomass_chips_ext_Rizhao_CHN</t>
  </si>
  <si>
    <t>en_chp_biomass_pellets_ext_ccs_Rizhao_CHN</t>
  </si>
  <si>
    <t>en_chp_gas_cc_ext_ccs_Rizhao_CHN</t>
  </si>
  <si>
    <t>en_hop_gas_boiler_Rizhao_CHN</t>
  </si>
  <si>
    <t>en_hop_biomass_chips_Rizhao_CHN</t>
  </si>
  <si>
    <t>en_hop_electric_boiler_Rizhao_CHN</t>
  </si>
  <si>
    <t>en_hp_air_10mw_Rizhao_CHN</t>
  </si>
  <si>
    <t>en_gas_ccgt_Yanggezhuang_CHN</t>
  </si>
  <si>
    <t>en_gas_turbine_Yanggezhuang_CHN</t>
  </si>
  <si>
    <t>en_gas_ccs_Yanggezhuang_CHN</t>
  </si>
  <si>
    <t>en_coal_subcritical_Yanggezhuang_CHN</t>
  </si>
  <si>
    <t>en_coal_supercritical_Yanggezhuang_CHN</t>
  </si>
  <si>
    <t>en_coal_ultrasupercritical_Yanggezhuang_CHN</t>
  </si>
  <si>
    <t>en_coal_igcc_Yanggezhuang_CHN</t>
  </si>
  <si>
    <t>en_nuclear_Yanggezhuang_CHN</t>
  </si>
  <si>
    <t>en_nuclear_smr_Yanggezhuang_CHN</t>
  </si>
  <si>
    <t>en_biomass_Yanggezhuang_CHN</t>
  </si>
  <si>
    <t>en_biomass_ccs_Yanggezhuang_CHN</t>
  </si>
  <si>
    <t>en_chp_gas_cc_ext_Yanggezhuang_CHN</t>
  </si>
  <si>
    <t>en_chp_biomass_chips_ext_Yanggezhuang_CHN</t>
  </si>
  <si>
    <t>en_chp_biomass_pellets_ext_ccs_Yanggezhuang_CHN</t>
  </si>
  <si>
    <t>en_chp_gas_cc_ext_ccs_Yanggezhuang_CHN</t>
  </si>
  <si>
    <t>en_hop_gas_boiler_Yanggezhuang_CHN</t>
  </si>
  <si>
    <t>en_hop_biomass_chips_Yanggezhuang_CHN</t>
  </si>
  <si>
    <t>en_hop_electric_boiler_Yanggezhuang_CHN</t>
  </si>
  <si>
    <t>en_hp_air_10mw_Yanggezhuang_CHN</t>
  </si>
  <si>
    <t>en_gas_ccgt_Yuanquan_CHN</t>
  </si>
  <si>
    <t>en_gas_turbine_Yuanquan_CHN</t>
  </si>
  <si>
    <t>en_gas_ccs_Yuanquan_CHN</t>
  </si>
  <si>
    <t>en_coal_subcritical_Yuanquan_CHN</t>
  </si>
  <si>
    <t>en_coal_supercritical_Yuanquan_CHN</t>
  </si>
  <si>
    <t>en_coal_ultrasupercritical_Yuanquan_CHN</t>
  </si>
  <si>
    <t>en_coal_igcc_Yuanquan_CHN</t>
  </si>
  <si>
    <t>en_nuclear_Yuanquan_CHN</t>
  </si>
  <si>
    <t>en_nuclear_smr_Yuanquan_CHN</t>
  </si>
  <si>
    <t>en_biomass_Yuanquan_CHN</t>
  </si>
  <si>
    <t>en_biomass_ccs_Yuanquan_CHN</t>
  </si>
  <si>
    <t>en_chp_gas_cc_ext_Yuanquan_CHN</t>
  </si>
  <si>
    <t>en_chp_biomass_chips_ext_Yuanquan_CHN</t>
  </si>
  <si>
    <t>en_chp_biomass_pellets_ext_ccs_Yuanquan_CHN</t>
  </si>
  <si>
    <t>en_chp_gas_cc_ext_ccs_Yuanquan_CHN</t>
  </si>
  <si>
    <t>en_hop_gas_boiler_Yuanquan_CHN</t>
  </si>
  <si>
    <t>en_hop_biomass_chips_Yuanquan_CHN</t>
  </si>
  <si>
    <t>en_hop_electric_boiler_Yuanquan_CHN</t>
  </si>
  <si>
    <t>en_hp_air_10mw_Yuanquan_CHN</t>
  </si>
  <si>
    <t>en_gas_ccgt_Xiaoxita_CHN</t>
  </si>
  <si>
    <t>en_gas_turbine_Xiaoxita_CHN</t>
  </si>
  <si>
    <t>en_gas_ccs_Xiaoxita_CHN</t>
  </si>
  <si>
    <t>en_coal_subcritical_Xiaoxita_CHN</t>
  </si>
  <si>
    <t>en_coal_supercritical_Xiaoxita_CHN</t>
  </si>
  <si>
    <t>en_coal_ultrasupercritical_Xiaoxita_CHN</t>
  </si>
  <si>
    <t>en_coal_igcc_Xiaoxita_CHN</t>
  </si>
  <si>
    <t>en_nuclear_Xiaoxita_CHN</t>
  </si>
  <si>
    <t>en_nuclear_smr_Xiaoxita_CHN</t>
  </si>
  <si>
    <t>en_biomass_Xiaoxita_CHN</t>
  </si>
  <si>
    <t>en_biomass_ccs_Xiaoxita_CHN</t>
  </si>
  <si>
    <t>en_chp_gas_cc_ext_Xiaoxita_CHN</t>
  </si>
  <si>
    <t>en_chp_biomass_chips_ext_Xiaoxita_CHN</t>
  </si>
  <si>
    <t>en_chp_biomass_pellets_ext_ccs_Xiaoxita_CHN</t>
  </si>
  <si>
    <t>en_chp_gas_cc_ext_ccs_Xiaoxita_CHN</t>
  </si>
  <si>
    <t>en_hop_gas_boiler_Xiaoxita_CHN</t>
  </si>
  <si>
    <t>en_hop_biomass_chips_Xiaoxita_CHN</t>
  </si>
  <si>
    <t>en_hop_electric_boiler_Xiaoxita_CHN</t>
  </si>
  <si>
    <t>en_hp_air_10mw_Xiaoxita_CHN</t>
  </si>
  <si>
    <t>en_gas_ccgt_Nantong_CHN</t>
  </si>
  <si>
    <t>en_gas_turbine_Nantong_CHN</t>
  </si>
  <si>
    <t>en_gas_ccs_Nantong_CHN</t>
  </si>
  <si>
    <t>en_coal_subcritical_Nantong_CHN</t>
  </si>
  <si>
    <t>en_coal_supercritical_Nantong_CHN</t>
  </si>
  <si>
    <t>en_coal_ultrasupercritical_Nantong_CHN</t>
  </si>
  <si>
    <t>en_coal_igcc_Nantong_CHN</t>
  </si>
  <si>
    <t>en_nuclear_Nantong_CHN</t>
  </si>
  <si>
    <t>en_nuclear_smr_Nantong_CHN</t>
  </si>
  <si>
    <t>en_biomass_Nantong_CHN</t>
  </si>
  <si>
    <t>en_biomass_ccs_Nantong_CHN</t>
  </si>
  <si>
    <t>en_chp_gas_cc_ext_Nantong_CHN</t>
  </si>
  <si>
    <t>en_chp_biomass_chips_ext_Nantong_CHN</t>
  </si>
  <si>
    <t>en_chp_biomass_pellets_ext_ccs_Nantong_CHN</t>
  </si>
  <si>
    <t>en_chp_gas_cc_ext_ccs_Nantong_CHN</t>
  </si>
  <si>
    <t>en_hop_gas_boiler_Nantong_CHN</t>
  </si>
  <si>
    <t>en_hop_biomass_chips_Nantong_CHN</t>
  </si>
  <si>
    <t>en_hop_electric_boiler_Nantong_CHN</t>
  </si>
  <si>
    <t>en_hp_air_10mw_Nantong_CHN</t>
  </si>
  <si>
    <t>en_gas_ccgt_Liaoyang_CHN</t>
  </si>
  <si>
    <t>en_gas_turbine_Liaoyang_CHN</t>
  </si>
  <si>
    <t>en_gas_ccs_Liaoyang_CHN</t>
  </si>
  <si>
    <t>en_coal_subcritical_Liaoyang_CHN</t>
  </si>
  <si>
    <t>en_coal_supercritical_Liaoyang_CHN</t>
  </si>
  <si>
    <t>en_coal_ultrasupercritical_Liaoyang_CHN</t>
  </si>
  <si>
    <t>en_coal_igcc_Liaoyang_CHN</t>
  </si>
  <si>
    <t>en_nuclear_Liaoyang_CHN</t>
  </si>
  <si>
    <t>en_nuclear_smr_Liaoyang_CHN</t>
  </si>
  <si>
    <t>en_biomass_Liaoyang_CHN</t>
  </si>
  <si>
    <t>en_biomass_ccs_Liaoyang_CHN</t>
  </si>
  <si>
    <t>en_chp_gas_cc_ext_Liaoyang_CHN</t>
  </si>
  <si>
    <t>en_chp_biomass_chips_ext_Liaoyang_CHN</t>
  </si>
  <si>
    <t>en_chp_biomass_pellets_ext_ccs_Liaoyang_CHN</t>
  </si>
  <si>
    <t>en_chp_gas_cc_ext_ccs_Liaoyang_CHN</t>
  </si>
  <si>
    <t>en_hop_gas_boiler_Liaoyang_CHN</t>
  </si>
  <si>
    <t>en_hop_biomass_chips_Liaoyang_CHN</t>
  </si>
  <si>
    <t>en_hop_electric_boiler_Liaoyang_CHN</t>
  </si>
  <si>
    <t>en_hp_air_10mw_Liaoyang_CHN</t>
  </si>
  <si>
    <t>en_gas_ccgt_Tangshan_CHN</t>
  </si>
  <si>
    <t>en_gas_turbine_Tangshan_CHN</t>
  </si>
  <si>
    <t>en_gas_ccs_Tangshan_CHN</t>
  </si>
  <si>
    <t>en_coal_subcritical_Tangshan_CHN</t>
  </si>
  <si>
    <t>en_coal_supercritical_Tangshan_CHN</t>
  </si>
  <si>
    <t>en_coal_ultrasupercritical_Tangshan_CHN</t>
  </si>
  <si>
    <t>en_coal_igcc_Tangshan_CHN</t>
  </si>
  <si>
    <t>en_nuclear_Tangshan_CHN</t>
  </si>
  <si>
    <t>en_nuclear_smr_Tangshan_CHN</t>
  </si>
  <si>
    <t>en_biomass_Tangshan_CHN</t>
  </si>
  <si>
    <t>en_biomass_ccs_Tangshan_CHN</t>
  </si>
  <si>
    <t>en_chp_gas_cc_ext_Tangshan_CHN</t>
  </si>
  <si>
    <t>en_chp_biomass_chips_ext_Tangshan_CHN</t>
  </si>
  <si>
    <t>en_chp_biomass_pellets_ext_ccs_Tangshan_CHN</t>
  </si>
  <si>
    <t>en_chp_gas_cc_ext_ccs_Tangshan_CHN</t>
  </si>
  <si>
    <t>en_hop_gas_boiler_Tangshan_CHN</t>
  </si>
  <si>
    <t>en_hop_biomass_chips_Tangshan_CHN</t>
  </si>
  <si>
    <t>en_hop_electric_boiler_Tangshan_CHN</t>
  </si>
  <si>
    <t>en_hp_air_10mw_Tangshan_CHN</t>
  </si>
  <si>
    <t>en_gas_ccgt_Hejin_CHN</t>
  </si>
  <si>
    <t>en_gas_turbine_Hejin_CHN</t>
  </si>
  <si>
    <t>en_gas_ccs_Hejin_CHN</t>
  </si>
  <si>
    <t>en_coal_subcritical_Hejin_CHN</t>
  </si>
  <si>
    <t>en_coal_supercritical_Hejin_CHN</t>
  </si>
  <si>
    <t>en_coal_ultrasupercritical_Hejin_CHN</t>
  </si>
  <si>
    <t>en_coal_igcc_Hejin_CHN</t>
  </si>
  <si>
    <t>en_nuclear_Hejin_CHN</t>
  </si>
  <si>
    <t>en_nuclear_smr_Hejin_CHN</t>
  </si>
  <si>
    <t>en_biomass_Hejin_CHN</t>
  </si>
  <si>
    <t>en_biomass_ccs_Hejin_CHN</t>
  </si>
  <si>
    <t>en_chp_gas_cc_ext_Hejin_CHN</t>
  </si>
  <si>
    <t>en_chp_biomass_chips_ext_Hejin_CHN</t>
  </si>
  <si>
    <t>en_chp_biomass_pellets_ext_ccs_Hejin_CHN</t>
  </si>
  <si>
    <t>en_chp_gas_cc_ext_ccs_Hejin_CHN</t>
  </si>
  <si>
    <t>en_hop_gas_boiler_Hejin_CHN</t>
  </si>
  <si>
    <t>en_hop_biomass_chips_Hejin_CHN</t>
  </si>
  <si>
    <t>en_hop_electric_boiler_Hejin_CHN</t>
  </si>
  <si>
    <t>en_hp_air_10mw_Hejin_CHN</t>
  </si>
  <si>
    <t>en_gas_ccgt_CHN44p4N121p8E_CHN</t>
  </si>
  <si>
    <t>en_gas_turbine_CHN44p4N121p8E_CHN</t>
  </si>
  <si>
    <t>en_gas_ccs_CHN44p4N121p8E_CHN</t>
  </si>
  <si>
    <t>en_coal_subcritical_CHN44p4N121p8E_CHN</t>
  </si>
  <si>
    <t>en_coal_supercritical_CHN44p4N121p8E_CHN</t>
  </si>
  <si>
    <t>en_coal_ultrasupercritical_CHN44p4N121p8E_CHN</t>
  </si>
  <si>
    <t>en_coal_igcc_CHN44p4N121p8E_CHN</t>
  </si>
  <si>
    <t>en_nuclear_CHN44p4N121p8E_CHN</t>
  </si>
  <si>
    <t>en_nuclear_smr_CHN44p4N121p8E_CHN</t>
  </si>
  <si>
    <t>en_biomass_CHN44p4N121p8E_CHN</t>
  </si>
  <si>
    <t>en_biomass_ccs_CHN44p4N121p8E_CHN</t>
  </si>
  <si>
    <t>en_chp_gas_cc_ext_CHN44p4N121p8E_CHN</t>
  </si>
  <si>
    <t>en_chp_biomass_chips_ext_CHN44p4N121p8E_CHN</t>
  </si>
  <si>
    <t>en_chp_biomass_pellets_ext_ccs_CHN44p4N121p8E_CHN</t>
  </si>
  <si>
    <t>en_chp_gas_cc_ext_ccs_CHN44p4N121p8E_CHN</t>
  </si>
  <si>
    <t>en_hop_gas_boiler_CHN44p4N121p8E_CHN</t>
  </si>
  <si>
    <t>en_hop_biomass_chips_CHN44p4N121p8E_CHN</t>
  </si>
  <si>
    <t>en_hop_electric_boiler_CHN44p4N121p8E_CHN</t>
  </si>
  <si>
    <t>en_hp_air_10mw_CHN44p4N121p8E_CHN</t>
  </si>
  <si>
    <t>en_gas_ccgt_Sizhan_CHN</t>
  </si>
  <si>
    <t>en_gas_turbine_Sizhan_CHN</t>
  </si>
  <si>
    <t>en_gas_ccs_Sizhan_CHN</t>
  </si>
  <si>
    <t>en_coal_subcritical_Sizhan_CHN</t>
  </si>
  <si>
    <t>en_coal_supercritical_Sizhan_CHN</t>
  </si>
  <si>
    <t>en_coal_ultrasupercritical_Sizhan_CHN</t>
  </si>
  <si>
    <t>en_coal_igcc_Sizhan_CHN</t>
  </si>
  <si>
    <t>en_nuclear_Sizhan_CHN</t>
  </si>
  <si>
    <t>en_nuclear_smr_Sizhan_CHN</t>
  </si>
  <si>
    <t>en_biomass_Sizhan_CHN</t>
  </si>
  <si>
    <t>en_biomass_ccs_Sizhan_CHN</t>
  </si>
  <si>
    <t>en_chp_gas_cc_ext_Sizhan_CHN</t>
  </si>
  <si>
    <t>en_chp_biomass_chips_ext_Sizhan_CHN</t>
  </si>
  <si>
    <t>en_chp_biomass_pellets_ext_ccs_Sizhan_CHN</t>
  </si>
  <si>
    <t>en_chp_gas_cc_ext_ccs_Sizhan_CHN</t>
  </si>
  <si>
    <t>en_hop_gas_boiler_Sizhan_CHN</t>
  </si>
  <si>
    <t>en_hop_biomass_chips_Sizhan_CHN</t>
  </si>
  <si>
    <t>en_hop_electric_boiler_Sizhan_CHN</t>
  </si>
  <si>
    <t>en_hp_air_10mw_Sizhan_CHN</t>
  </si>
  <si>
    <t>en_gas_ccgt_Yangzhou_CHN</t>
  </si>
  <si>
    <t>en_gas_turbine_Yangzhou_CHN</t>
  </si>
  <si>
    <t>en_gas_ccs_Yangzhou_CHN</t>
  </si>
  <si>
    <t>en_coal_subcritical_Yangzhou_CHN</t>
  </si>
  <si>
    <t>en_coal_supercritical_Yangzhou_CHN</t>
  </si>
  <si>
    <t>en_coal_ultrasupercritical_Yangzhou_CHN</t>
  </si>
  <si>
    <t>en_coal_igcc_Yangzhou_CHN</t>
  </si>
  <si>
    <t>en_nuclear_Yangzhou_CHN</t>
  </si>
  <si>
    <t>en_nuclear_smr_Yangzhou_CHN</t>
  </si>
  <si>
    <t>en_biomass_Yangzhou_CHN</t>
  </si>
  <si>
    <t>en_biomass_ccs_Yangzhou_CHN</t>
  </si>
  <si>
    <t>en_chp_gas_cc_ext_Yangzhou_CHN</t>
  </si>
  <si>
    <t>en_chp_biomass_chips_ext_Yangzhou_CHN</t>
  </si>
  <si>
    <t>en_chp_biomass_pellets_ext_ccs_Yangzhou_CHN</t>
  </si>
  <si>
    <t>en_chp_gas_cc_ext_ccs_Yangzhou_CHN</t>
  </si>
  <si>
    <t>en_hop_gas_boiler_Yangzhou_CHN</t>
  </si>
  <si>
    <t>en_hop_biomass_chips_Yangzhou_CHN</t>
  </si>
  <si>
    <t>en_hop_electric_boiler_Yangzhou_CHN</t>
  </si>
  <si>
    <t>en_hp_air_10mw_Yangzhou_CHN</t>
  </si>
  <si>
    <t>en_gas_ccgt_CHN44p2N116p5E_CHN</t>
  </si>
  <si>
    <t>en_gas_turbine_CHN44p2N116p5E_CHN</t>
  </si>
  <si>
    <t>en_gas_ccs_CHN44p2N116p5E_CHN</t>
  </si>
  <si>
    <t>en_coal_subcritical_CHN44p2N116p5E_CHN</t>
  </si>
  <si>
    <t>en_coal_supercritical_CHN44p2N116p5E_CHN</t>
  </si>
  <si>
    <t>en_coal_ultrasupercritical_CHN44p2N116p5E_CHN</t>
  </si>
  <si>
    <t>en_coal_igcc_CHN44p2N116p5E_CHN</t>
  </si>
  <si>
    <t>en_nuclear_CHN44p2N116p5E_CHN</t>
  </si>
  <si>
    <t>en_nuclear_smr_CHN44p2N116p5E_CHN</t>
  </si>
  <si>
    <t>en_biomass_CHN44p2N116p5E_CHN</t>
  </si>
  <si>
    <t>en_biomass_ccs_CHN44p2N116p5E_CHN</t>
  </si>
  <si>
    <t>en_chp_gas_cc_ext_CHN44p2N116p5E_CHN</t>
  </si>
  <si>
    <t>en_chp_biomass_chips_ext_CHN44p2N116p5E_CHN</t>
  </si>
  <si>
    <t>en_chp_biomass_pellets_ext_ccs_CHN44p2N116p5E_CHN</t>
  </si>
  <si>
    <t>en_chp_gas_cc_ext_ccs_CHN44p2N116p5E_CHN</t>
  </si>
  <si>
    <t>en_hop_gas_boiler_CHN44p2N116p5E_CHN</t>
  </si>
  <si>
    <t>en_hop_biomass_chips_CHN44p2N116p5E_CHN</t>
  </si>
  <si>
    <t>en_hop_electric_boiler_CHN44p2N116p5E_CHN</t>
  </si>
  <si>
    <t>en_hp_air_10mw_CHN44p2N116p5E_CHN</t>
  </si>
  <si>
    <t>en_gas_ccgt_Tongshan_CHN</t>
  </si>
  <si>
    <t>en_gas_turbine_Tongshan_CHN</t>
  </si>
  <si>
    <t>en_gas_ccs_Tongshan_CHN</t>
  </si>
  <si>
    <t>en_coal_subcritical_Tongshan_CHN</t>
  </si>
  <si>
    <t>en_coal_supercritical_Tongshan_CHN</t>
  </si>
  <si>
    <t>en_coal_ultrasupercritical_Tongshan_CHN</t>
  </si>
  <si>
    <t>en_coal_igcc_Tongshan_CHN</t>
  </si>
  <si>
    <t>en_nuclear_Tongshan_CHN</t>
  </si>
  <si>
    <t>en_nuclear_smr_Tongshan_CHN</t>
  </si>
  <si>
    <t>en_biomass_Tongshan_CHN</t>
  </si>
  <si>
    <t>en_biomass_ccs_Tongshan_CHN</t>
  </si>
  <si>
    <t>en_chp_gas_cc_ext_Tongshan_CHN</t>
  </si>
  <si>
    <t>en_chp_biomass_chips_ext_Tongshan_CHN</t>
  </si>
  <si>
    <t>en_chp_biomass_pellets_ext_ccs_Tongshan_CHN</t>
  </si>
  <si>
    <t>en_chp_gas_cc_ext_ccs_Tongshan_CHN</t>
  </si>
  <si>
    <t>en_hop_gas_boiler_Tongshan_CHN</t>
  </si>
  <si>
    <t>en_hop_biomass_chips_Tongshan_CHN</t>
  </si>
  <si>
    <t>en_hop_electric_boiler_Tongshan_CHN</t>
  </si>
  <si>
    <t>en_hp_air_10mw_Tongshan_CHN</t>
  </si>
  <si>
    <t>en_gas_ccgt_Wuan_CHN</t>
  </si>
  <si>
    <t>en_gas_turbine_Wuan_CHN</t>
  </si>
  <si>
    <t>en_gas_ccs_Wuan_CHN</t>
  </si>
  <si>
    <t>en_coal_subcritical_Wuan_CHN</t>
  </si>
  <si>
    <t>en_coal_supercritical_Wuan_CHN</t>
  </si>
  <si>
    <t>en_coal_ultrasupercritical_Wuan_CHN</t>
  </si>
  <si>
    <t>en_coal_igcc_Wuan_CHN</t>
  </si>
  <si>
    <t>en_nuclear_Wuan_CHN</t>
  </si>
  <si>
    <t>en_nuclear_smr_Wuan_CHN</t>
  </si>
  <si>
    <t>en_biomass_Wuan_CHN</t>
  </si>
  <si>
    <t>en_biomass_ccs_Wuan_CHN</t>
  </si>
  <si>
    <t>en_chp_gas_cc_ext_Wuan_CHN</t>
  </si>
  <si>
    <t>en_chp_biomass_chips_ext_Wuan_CHN</t>
  </si>
  <si>
    <t>en_chp_biomass_pellets_ext_ccs_Wuan_CHN</t>
  </si>
  <si>
    <t>en_chp_gas_cc_ext_ccs_Wuan_CHN</t>
  </si>
  <si>
    <t>en_hop_gas_boiler_Wuan_CHN</t>
  </si>
  <si>
    <t>en_hop_biomass_chips_Wuan_CHN</t>
  </si>
  <si>
    <t>en_hop_electric_boiler_Wuan_CHN</t>
  </si>
  <si>
    <t>en_hp_air_10mw_Wuan_CHN</t>
  </si>
  <si>
    <t>en_gas_ccgt_Tongling_CHN</t>
  </si>
  <si>
    <t>en_gas_turbine_Tongling_CHN</t>
  </si>
  <si>
    <t>en_gas_ccs_Tongling_CHN</t>
  </si>
  <si>
    <t>en_coal_subcritical_Tongling_CHN</t>
  </si>
  <si>
    <t>en_coal_supercritical_Tongling_CHN</t>
  </si>
  <si>
    <t>en_coal_ultrasupercritical_Tongling_CHN</t>
  </si>
  <si>
    <t>en_coal_igcc_Tongling_CHN</t>
  </si>
  <si>
    <t>en_nuclear_Tongling_CHN</t>
  </si>
  <si>
    <t>en_nuclear_smr_Tongling_CHN</t>
  </si>
  <si>
    <t>en_biomass_Tongling_CHN</t>
  </si>
  <si>
    <t>en_biomass_ccs_Tongling_CHN</t>
  </si>
  <si>
    <t>en_chp_gas_cc_ext_Tongling_CHN</t>
  </si>
  <si>
    <t>en_chp_biomass_chips_ext_Tongling_CHN</t>
  </si>
  <si>
    <t>en_chp_biomass_pellets_ext_ccs_Tongling_CHN</t>
  </si>
  <si>
    <t>en_chp_gas_cc_ext_ccs_Tongling_CHN</t>
  </si>
  <si>
    <t>en_hop_gas_boiler_Tongling_CHN</t>
  </si>
  <si>
    <t>en_hop_biomass_chips_Tongling_CHN</t>
  </si>
  <si>
    <t>en_hop_electric_boiler_Tongling_CHN</t>
  </si>
  <si>
    <t>en_hp_air_10mw_Tongling_CHN</t>
  </si>
  <si>
    <t>en_gas_ccgt_Anqing_CHN</t>
  </si>
  <si>
    <t>en_gas_turbine_Anqing_CHN</t>
  </si>
  <si>
    <t>en_gas_ccs_Anqing_CHN</t>
  </si>
  <si>
    <t>en_coal_subcritical_Anqing_CHN</t>
  </si>
  <si>
    <t>en_coal_supercritical_Anqing_CHN</t>
  </si>
  <si>
    <t>en_coal_ultrasupercritical_Anqing_CHN</t>
  </si>
  <si>
    <t>en_coal_igcc_Anqing_CHN</t>
  </si>
  <si>
    <t>en_nuclear_Anqing_CHN</t>
  </si>
  <si>
    <t>en_nuclear_smr_Anqing_CHN</t>
  </si>
  <si>
    <t>en_biomass_Anqing_CHN</t>
  </si>
  <si>
    <t>en_biomass_ccs_Anqing_CHN</t>
  </si>
  <si>
    <t>en_chp_gas_cc_ext_Anqing_CHN</t>
  </si>
  <si>
    <t>en_chp_biomass_chips_ext_Anqing_CHN</t>
  </si>
  <si>
    <t>en_chp_biomass_pellets_ext_ccs_Anqing_CHN</t>
  </si>
  <si>
    <t>en_chp_gas_cc_ext_ccs_Anqing_CHN</t>
  </si>
  <si>
    <t>en_hop_gas_boiler_Anqing_CHN</t>
  </si>
  <si>
    <t>en_hop_biomass_chips_Anqing_CHN</t>
  </si>
  <si>
    <t>en_hop_electric_boiler_Anqing_CHN</t>
  </si>
  <si>
    <t>en_hp_air_10mw_Anqing_CHN</t>
  </si>
  <si>
    <t>en_battery_4h_Shanghai_CHN</t>
  </si>
  <si>
    <t>en_battery_8h_Shanghai_CHN</t>
  </si>
  <si>
    <t>en_battery_4h_Shijiazhuang_CHN</t>
  </si>
  <si>
    <t>en_battery_8h_Shijiazhuang_CHN</t>
  </si>
  <si>
    <t>en_battery_4h_Tianjin_CHN</t>
  </si>
  <si>
    <t>en_battery_8h_Tianjin_CHN</t>
  </si>
  <si>
    <t>en_battery_4h_Anshan_CHN</t>
  </si>
  <si>
    <t>en_battery_8h_Anshan_CHN</t>
  </si>
  <si>
    <t>en_battery_4h_Wuhan_CHN</t>
  </si>
  <si>
    <t>en_battery_8h_Wuhan_CHN</t>
  </si>
  <si>
    <t>en_battery_4h_Sanhe_CHN</t>
  </si>
  <si>
    <t>en_battery_8h_Sanhe_CHN</t>
  </si>
  <si>
    <t>en_battery_4h_Harbin_CHN</t>
  </si>
  <si>
    <t>en_battery_8h_Harbin_CHN</t>
  </si>
  <si>
    <t>en_battery_4h_Changzhou_CHN</t>
  </si>
  <si>
    <t>en_battery_8h_Changzhou_CHN</t>
  </si>
  <si>
    <t>en_battery_4h_Anshun_CHN</t>
  </si>
  <si>
    <t>en_battery_8h_Anshun_CHN</t>
  </si>
  <si>
    <t>en_battery_4h_Yiyang_CHN</t>
  </si>
  <si>
    <t>en_battery_8h_Yiyang_CHN</t>
  </si>
  <si>
    <t>en_battery_4h_Yakeshi_CHN</t>
  </si>
  <si>
    <t>en_battery_8h_Yakeshi_CHN</t>
  </si>
  <si>
    <t>en_battery_4h_Linyi_CHN</t>
  </si>
  <si>
    <t>en_battery_8h_Linyi_CHN</t>
  </si>
  <si>
    <t>en_battery_4h_Hangzhou_CHN</t>
  </si>
  <si>
    <t>en_battery_8h_Hangzhou_CHN</t>
  </si>
  <si>
    <t>en_battery_4h_Manlin_CHN</t>
  </si>
  <si>
    <t>en_battery_8h_Manlin_CHN</t>
  </si>
  <si>
    <t>en_battery_4h_Chongqing_CHN</t>
  </si>
  <si>
    <t>en_battery_8h_Chongqing_CHN</t>
  </si>
  <si>
    <t>en_battery_4h_Dayan_CHN</t>
  </si>
  <si>
    <t>en_battery_8h_Dayan_CHN</t>
  </si>
  <si>
    <t>en_battery_4h_Shahezhai_CHN</t>
  </si>
  <si>
    <t>en_battery_8h_Shahezhai_CHN</t>
  </si>
  <si>
    <t>en_battery_4h_Kuqa_CHN</t>
  </si>
  <si>
    <t>en_battery_8h_Kuqa_CHN</t>
  </si>
  <si>
    <t>en_battery_4h_Wulan_CHN</t>
  </si>
  <si>
    <t>en_battery_8h_Wulan_CHN</t>
  </si>
  <si>
    <t>en_battery_4h_ZhongdongShequ_CHN</t>
  </si>
  <si>
    <t>en_battery_8h_ZhongdongShequ_CHN</t>
  </si>
  <si>
    <t>en_battery_4h_Yangjiang_CHN</t>
  </si>
  <si>
    <t>en_battery_8h_Yangjiang_CHN</t>
  </si>
  <si>
    <t>en_battery_4h_Jinbi_CHN</t>
  </si>
  <si>
    <t>en_battery_8h_Jinbi_CHN</t>
  </si>
  <si>
    <t>en_battery_4h_Liuzhou_CHN</t>
  </si>
  <si>
    <t>en_battery_8h_Liuzhou_CHN</t>
  </si>
  <si>
    <t>en_battery_4h_Xichang_CHN</t>
  </si>
  <si>
    <t>en_battery_8h_Xichang_CHN</t>
  </si>
  <si>
    <t>en_battery_4h_CHN44p7N89p1E_CHN</t>
  </si>
  <si>
    <t>en_battery_8h_CHN44p7N89p1E_CHN</t>
  </si>
  <si>
    <t>en_battery_4h_Putian_CHN</t>
  </si>
  <si>
    <t>en_battery_8h_Putian_CHN</t>
  </si>
  <si>
    <t>en_battery_4h_Fangchenggang_CHN</t>
  </si>
  <si>
    <t>en_battery_8h_Fangchenggang_CHN</t>
  </si>
  <si>
    <t>en_battery_4h_Zouping_CHN</t>
  </si>
  <si>
    <t>en_battery_8h_Zouping_CHN</t>
  </si>
  <si>
    <t>en_battery_4h_CHN45p9N129p3E_CHN</t>
  </si>
  <si>
    <t>en_battery_8h_CHN45p9N129p3E_CHN</t>
  </si>
  <si>
    <t>en_battery_4h_Jingling_CHN</t>
  </si>
  <si>
    <t>en_battery_8h_Jingling_CHN</t>
  </si>
  <si>
    <t>en_battery_4h_Yingchuan_CHN</t>
  </si>
  <si>
    <t>en_battery_8h_Yingchuan_CHN</t>
  </si>
  <si>
    <t>en_battery_4h_Luohe_CHN</t>
  </si>
  <si>
    <t>en_battery_8h_Luohe_CHN</t>
  </si>
  <si>
    <t>en_battery_4h_Fuzhou_CHN</t>
  </si>
  <si>
    <t>en_battery_8h_Fuzhou_CHN</t>
  </si>
  <si>
    <t>en_battery_4h_Mianyang_CHN</t>
  </si>
  <si>
    <t>en_battery_8h_Mianyang_CHN</t>
  </si>
  <si>
    <t>en_battery_4h_Bayi_CHN</t>
  </si>
  <si>
    <t>en_battery_8h_Bayi_CHN</t>
  </si>
  <si>
    <t>en_battery_4h_Hohhot_CHN</t>
  </si>
  <si>
    <t>en_battery_8h_Hohhot_CHN</t>
  </si>
  <si>
    <t>en_battery_4h_Beichengqu_CHN</t>
  </si>
  <si>
    <t>en_battery_8h_Beichengqu_CHN</t>
  </si>
  <si>
    <t>en_battery_4h_Qabqa_CHN</t>
  </si>
  <si>
    <t>en_battery_8h_Qabqa_CHN</t>
  </si>
  <si>
    <t>en_battery_4h_Shaoguan_CHN</t>
  </si>
  <si>
    <t>en_battery_8h_Shaoguan_CHN</t>
  </si>
  <si>
    <t>en_battery_4h_Nanjing_CHN</t>
  </si>
  <si>
    <t>en_battery_8h_Nanjing_CHN</t>
  </si>
  <si>
    <t>en_battery_4h_Yicheng_CHN</t>
  </si>
  <si>
    <t>en_battery_8h_Yicheng_CHN</t>
  </si>
  <si>
    <t>en_battery_4h_Xiaoyi_CHN</t>
  </si>
  <si>
    <t>en_battery_8h_Xiaoyi_CHN</t>
  </si>
  <si>
    <t>en_battery_4h_Ningde_CHN</t>
  </si>
  <si>
    <t>en_battery_8h_Ningde_CHN</t>
  </si>
  <si>
    <t>en_battery_4h_Rizhao_CHN</t>
  </si>
  <si>
    <t>en_battery_8h_Rizhao_CHN</t>
  </si>
  <si>
    <t>en_battery_4h_Yanggezhuang_CHN</t>
  </si>
  <si>
    <t>en_battery_8h_Yanggezhuang_CHN</t>
  </si>
  <si>
    <t>en_battery_4h_Yuanquan_CHN</t>
  </si>
  <si>
    <t>en_battery_8h_Yuanquan_CHN</t>
  </si>
  <si>
    <t>en_battery_4h_Xiaoxita_CHN</t>
  </si>
  <si>
    <t>en_battery_8h_Xiaoxita_CHN</t>
  </si>
  <si>
    <t>en_battery_4h_Nantong_CHN</t>
  </si>
  <si>
    <t>en_battery_8h_Nantong_CHN</t>
  </si>
  <si>
    <t>en_battery_4h_Liaoyang_CHN</t>
  </si>
  <si>
    <t>en_battery_8h_Liaoyang_CHN</t>
  </si>
  <si>
    <t>en_battery_4h_Tangshan_CHN</t>
  </si>
  <si>
    <t>en_battery_8h_Tangshan_CHN</t>
  </si>
  <si>
    <t>en_battery_4h_Hejin_CHN</t>
  </si>
  <si>
    <t>en_battery_8h_Hejin_CHN</t>
  </si>
  <si>
    <t>en_battery_4h_CHN44p4N121p8E_CHN</t>
  </si>
  <si>
    <t>en_battery_8h_CHN44p4N121p8E_CHN</t>
  </si>
  <si>
    <t>en_battery_4h_Sizhan_CHN</t>
  </si>
  <si>
    <t>en_battery_8h_Sizhan_CHN</t>
  </si>
  <si>
    <t>en_battery_4h_Yangzhou_CHN</t>
  </si>
  <si>
    <t>en_battery_8h_Yangzhou_CHN</t>
  </si>
  <si>
    <t>en_battery_4h_CHN44p2N116p5E_CHN</t>
  </si>
  <si>
    <t>en_battery_8h_CHN44p2N116p5E_CHN</t>
  </si>
  <si>
    <t>en_battery_4h_Tongshan_CHN</t>
  </si>
  <si>
    <t>en_battery_8h_Tongshan_CHN</t>
  </si>
  <si>
    <t>en_battery_4h_Wuan_CHN</t>
  </si>
  <si>
    <t>en_battery_8h_Wuan_CHN</t>
  </si>
  <si>
    <t>en_battery_4h_Tongling_CHN</t>
  </si>
  <si>
    <t>en_battery_8h_Tongling_CHN</t>
  </si>
  <si>
    <t>en_battery_4h_Anqing_CHN</t>
  </si>
  <si>
    <t>en_battery_8h_Anqing_CHN</t>
  </si>
  <si>
    <t>~tfm_ins-at</t>
  </si>
  <si>
    <t>ELC</t>
  </si>
  <si>
    <t>limtype</t>
  </si>
  <si>
    <t>UP</t>
  </si>
  <si>
    <t>flo_bnd</t>
  </si>
  <si>
    <t>stgout_bnd</t>
  </si>
  <si>
    <t>year</t>
  </si>
  <si>
    <t>pset_set</t>
  </si>
  <si>
    <t>ELE,DMD,PRE</t>
  </si>
  <si>
    <t>STG</t>
  </si>
  <si>
    <t>top_check</t>
  </si>
  <si>
    <t>all</t>
  </si>
  <si>
    <t>~TFM_DINS</t>
  </si>
  <si>
    <t>act_cum</t>
  </si>
  <si>
    <t>sto_ogci10202_CHN</t>
  </si>
  <si>
    <t>sto_ogci10203_CHN</t>
  </si>
  <si>
    <t>sto_ogci10204_CHN</t>
  </si>
  <si>
    <t>sto_ogci10207_CHN</t>
  </si>
  <si>
    <t>sto_ogci10208_CHN</t>
  </si>
  <si>
    <t>sto_ogci10211_CHN</t>
  </si>
  <si>
    <t>sto_ogci10212_CHN</t>
  </si>
  <si>
    <t>sto_ogci10216_CHN</t>
  </si>
  <si>
    <t>sto_ogci10218_CHN</t>
  </si>
  <si>
    <t>sto_ogci10219_CHN</t>
  </si>
  <si>
    <t>sto_ogci10222_CHN</t>
  </si>
  <si>
    <t>sto_ogci10225_CHN</t>
  </si>
  <si>
    <t>sto_ogci10227_CHN</t>
  </si>
  <si>
    <t>sto_ogci10228_CHN</t>
  </si>
  <si>
    <t>sto_ogci10230_CHN</t>
  </si>
  <si>
    <t>sto_ogci10231_CHN</t>
  </si>
  <si>
    <t>sto_ogci10232_CHN</t>
  </si>
  <si>
    <t>sto_ogci10233_CHN</t>
  </si>
  <si>
    <t>sto_ogci10234_CHN</t>
  </si>
  <si>
    <t>sto_ogci10235_CHN</t>
  </si>
  <si>
    <t>sto_ogci10237_CHN</t>
  </si>
  <si>
    <t>sto_ogci10238_CHN</t>
  </si>
  <si>
    <t>sto_ogci10240_CHN</t>
  </si>
  <si>
    <t>sto_ogci10241_CHN</t>
  </si>
  <si>
    <t>sto_ogci10244_CHN</t>
  </si>
  <si>
    <t>sto_ogci10245_CHN</t>
  </si>
  <si>
    <t>sto_ogci10247_CHN</t>
  </si>
  <si>
    <t>sto_ogci10248_CHN</t>
  </si>
  <si>
    <t>sto_ogci10250_CHN</t>
  </si>
  <si>
    <t>sto_ogci10251_CHN</t>
  </si>
  <si>
    <t>sto_ogci10253_CHN</t>
  </si>
  <si>
    <t>sto_ogci10254_CHN</t>
  </si>
  <si>
    <t>sto_ogci10256_CHN</t>
  </si>
  <si>
    <t>sto_ogci10257_CHN</t>
  </si>
  <si>
    <t>sto_ogci10258_CHN</t>
  </si>
  <si>
    <t>sto_ogci10259_CHN</t>
  </si>
  <si>
    <t>sto_ogci10260_CHN</t>
  </si>
  <si>
    <t>sto_ogci10261_CHN</t>
  </si>
  <si>
    <t>sto_ogci10262_CHN</t>
  </si>
  <si>
    <t>sto_ogci10263_CHN</t>
  </si>
  <si>
    <t>sto_ogci10264_CHN</t>
  </si>
  <si>
    <t>sto_ogci10265_CHN</t>
  </si>
  <si>
    <t>sto_ogci10266_CHN</t>
  </si>
  <si>
    <t>sto_ogci10267_CHN</t>
  </si>
  <si>
    <t>sto_ogci10268_CHN</t>
  </si>
  <si>
    <t>sto_ogci10269_CHN</t>
  </si>
  <si>
    <t>sto_ogci10270_CHN</t>
  </si>
  <si>
    <t>sto_ogci10271_CHN</t>
  </si>
  <si>
    <t>sto_ogci10272_CHN</t>
  </si>
  <si>
    <t>act_cost</t>
  </si>
  <si>
    <t>p_co2_Shanghai_CHN-ogci10250</t>
  </si>
  <si>
    <t>p_co2_Shijiazhuang_CHN-ogci10263</t>
  </si>
  <si>
    <t>p_co2_Tianjin_CHN-ogci10269</t>
  </si>
  <si>
    <t>p_co2_Anshan_CHN-ogci10233</t>
  </si>
  <si>
    <t>p_co2_Wuhan_CHN-ogci10225</t>
  </si>
  <si>
    <t>p_co2_Sanhe_CHN-ogci10218</t>
  </si>
  <si>
    <t>p_co2_Harbin_CHN-ogci10261</t>
  </si>
  <si>
    <t>p_co2_Changzhou_CHN-ogci10250</t>
  </si>
  <si>
    <t>p_co2_Anshun_CHN-ogci10245</t>
  </si>
  <si>
    <t>p_co2_Yiyang_CHN-ogci10225</t>
  </si>
  <si>
    <t>p_co2_Yakeshi_CHN-ogci10247</t>
  </si>
  <si>
    <t>p_co2_Linyi_CHN-ogci10250</t>
  </si>
  <si>
    <t>p_co2_Hangzhou_CHN-ogci10250</t>
  </si>
  <si>
    <t>p_co2_Manlin_CHN-ogci10202</t>
  </si>
  <si>
    <t>p_co2_Chongqing_CHN-ogci10245</t>
  </si>
  <si>
    <t>p_co2_Dayan_CHN-ogci10245</t>
  </si>
  <si>
    <t>p_co2_Shahezhai_CHN-ogci10203</t>
  </si>
  <si>
    <t>p_co2_Kuqa_CHN-ogci10258</t>
  </si>
  <si>
    <t>p_co2_Wulan_CHN-ogci10237</t>
  </si>
  <si>
    <t>p_co2_ZhongdongShequ_CHN-ogci10202</t>
  </si>
  <si>
    <t>p_co2_Yangjiang_CHN-ogci10202</t>
  </si>
  <si>
    <t>p_co2_Jinbi_CHN-ogci10245</t>
  </si>
  <si>
    <t>p_co2_Liuzhou_CHN-ogci10202</t>
  </si>
  <si>
    <t>p_co2_Xichang_CHN-ogci10245</t>
  </si>
  <si>
    <t>p_co2_CHN44p7N89p1E_CHN-ogci10272</t>
  </si>
  <si>
    <t>p_co2_Putian_CHN-ogci10211</t>
  </si>
  <si>
    <t>p_co2_Fangchenggang_CHN-ogci10202</t>
  </si>
  <si>
    <t>p_co2_Zouping_CHN-ogci10270</t>
  </si>
  <si>
    <t>p_co2_CHN45p9N129p3E_CHN-ogci10260</t>
  </si>
  <si>
    <t>p_co2_Jingling_CHN-ogci10225</t>
  </si>
  <si>
    <t>p_co2_Yingchuan_CHN-ogci10235</t>
  </si>
  <si>
    <t>p_co2_Luohe_CHN-ogci10235</t>
  </si>
  <si>
    <t>p_co2_Fuzhou_CHN-ogci10225</t>
  </si>
  <si>
    <t>p_co2_Mianyang_CHN-ogci10245</t>
  </si>
  <si>
    <t>p_co2_Bayi_CHN-ogci10240</t>
  </si>
  <si>
    <t>p_co2_Hohhot_CHN-ogci10262</t>
  </si>
  <si>
    <t>p_co2_Beichengqu_CHN-ogci10262</t>
  </si>
  <si>
    <t>p_co2_Qabqa_CHN-ogci10228</t>
  </si>
  <si>
    <t>p_co2_Shaoguan_CHN-ogci10212</t>
  </si>
  <si>
    <t>p_co2_Nanjing_CHN-ogci10250</t>
  </si>
  <si>
    <t>p_co2_Yicheng_CHN-ogci10250</t>
  </si>
  <si>
    <t>p_co2_Xiaoyi_CHN-ogci10234</t>
  </si>
  <si>
    <t>p_co2_Ningde_CHN-ogci10207</t>
  </si>
  <si>
    <t>p_co2_Rizhao_CHN-ogci10250</t>
  </si>
  <si>
    <t>p_co2_Yanggezhuang_CHN-ogci10204</t>
  </si>
  <si>
    <t>p_co2_Yuanquan_CHN-ogci10227</t>
  </si>
  <si>
    <t>p_co2_Xiaoxita_CHN-ogci10225</t>
  </si>
  <si>
    <t>p_co2_Nantong_CHN-ogci10250</t>
  </si>
  <si>
    <t>p_co2_Liaoyang_CHN-ogci10233</t>
  </si>
  <si>
    <t>p_co2_Tangshan_CHN-ogci10269</t>
  </si>
  <si>
    <t>p_co2_Hejin_CHN-ogci10237</t>
  </si>
  <si>
    <t>p_co2_CHN44p4N121p8E_CHN-ogci10247</t>
  </si>
  <si>
    <t>p_co2_Sizhan_CHN-ogci10237</t>
  </si>
  <si>
    <t>p_co2_Yangzhou_CHN-ogci10250</t>
  </si>
  <si>
    <t>p_co2_CHN44p2N116p5E_CHN-ogci10222</t>
  </si>
  <si>
    <t>p_co2_Tongshan_CHN-ogci10250</t>
  </si>
  <si>
    <t>p_co2_Wuan_CHN-ogci10270</t>
  </si>
  <si>
    <t>p_co2_Tongling_CHN-ogci10250</t>
  </si>
  <si>
    <t>p_co2_Anqing_CHN-ogci10250</t>
  </si>
  <si>
    <t>p_co2_Sanhe_CHN-ogci10208</t>
  </si>
  <si>
    <t>p_co2_Fangchenggang_CHN-ogci10216</t>
  </si>
  <si>
    <t>p_co2_Sanhe_CHN-ogci10219</t>
  </si>
  <si>
    <t>p_co2_CHN44p7N89p1E_CHN-ogci10230</t>
  </si>
  <si>
    <t>p_co2_CHN44p7N89p1E_CHN-ogci10231</t>
  </si>
  <si>
    <t>p_co2_Liaoyang_CHN-ogci10232</t>
  </si>
  <si>
    <t>p_co2_Sizhan_CHN-ogci10238</t>
  </si>
  <si>
    <t>p_co2_Yuanquan_CHN-ogci10241</t>
  </si>
  <si>
    <t>p_co2_Chongqing_CHN-ogci10244</t>
  </si>
  <si>
    <t>p_co2_CHN44p4N121p8E_CHN-ogci10248</t>
  </si>
  <si>
    <t>p_co2_Nantong_CHN-ogci10251</t>
  </si>
  <si>
    <t>p_co2_Kuqa_CHN-ogci10253</t>
  </si>
  <si>
    <t>p_co2_Kuqa_CHN-ogci10254</t>
  </si>
  <si>
    <t>p_co2_CHN44p7N89p1E_CHN-ogci10256</t>
  </si>
  <si>
    <t>p_co2_CHN44p7N89p1E_CHN-ogci10257</t>
  </si>
  <si>
    <t>p_co2_Kuqa_CHN-ogci10259</t>
  </si>
  <si>
    <t>p_co2_Tianjin_CHN-ogci10264</t>
  </si>
  <si>
    <t>p_co2_Tianjin_CHN-ogci10265</t>
  </si>
  <si>
    <t>p_co2_Tianjin_CHN-ogci10266</t>
  </si>
  <si>
    <t>p_co2_Tianjin_CHN-ogci10267</t>
  </si>
  <si>
    <t>p_co2_Tianjin_CHN-ogci10268</t>
  </si>
  <si>
    <t>p_co2_Tianjin_CHN-ogci10271</t>
  </si>
  <si>
    <t>flo_emis</t>
  </si>
  <si>
    <t>co2_Shanghai_CHN</t>
  </si>
  <si>
    <t>co2_Shijiazhuang_CHN</t>
  </si>
  <si>
    <t>co2_Tianjin_CHN</t>
  </si>
  <si>
    <t>co2_Anshan_CHN</t>
  </si>
  <si>
    <t>co2_Wuhan_CHN</t>
  </si>
  <si>
    <t>co2_Sanhe_CHN</t>
  </si>
  <si>
    <t>co2_Harbin_CHN</t>
  </si>
  <si>
    <t>co2_Changzhou_CHN</t>
  </si>
  <si>
    <t>co2_Anshun_CHN</t>
  </si>
  <si>
    <t>co2_Yiyang_CHN</t>
  </si>
  <si>
    <t>co2_Yakeshi_CHN</t>
  </si>
  <si>
    <t>co2_Linyi_CHN</t>
  </si>
  <si>
    <t>co2_Hangzhou_CHN</t>
  </si>
  <si>
    <t>co2_Manlin_CHN</t>
  </si>
  <si>
    <t>co2_Chongqing_CHN</t>
  </si>
  <si>
    <t>co2_Dayan_CHN</t>
  </si>
  <si>
    <t>co2_Shahezhai_CHN</t>
  </si>
  <si>
    <t>co2_Kuqa_CHN</t>
  </si>
  <si>
    <t>co2_Wulan_CHN</t>
  </si>
  <si>
    <t>co2_ZhongdongShequ_CHN</t>
  </si>
  <si>
    <t>co2_Yangjiang_CHN</t>
  </si>
  <si>
    <t>co2_Jinbi_CHN</t>
  </si>
  <si>
    <t>co2_Liuzhou_CHN</t>
  </si>
  <si>
    <t>co2_Xichang_CHN</t>
  </si>
  <si>
    <t>co2_CHN44p7N89p1E_CHN</t>
  </si>
  <si>
    <t>co2_Putian_CHN</t>
  </si>
  <si>
    <t>co2_Fangchenggang_CHN</t>
  </si>
  <si>
    <t>co2_Zouping_CHN</t>
  </si>
  <si>
    <t>co2_CHN45p9N129p3E_CHN</t>
  </si>
  <si>
    <t>co2_Jingling_CHN</t>
  </si>
  <si>
    <t>co2_Yingchuan_CHN</t>
  </si>
  <si>
    <t>co2_Luohe_CHN</t>
  </si>
  <si>
    <t>co2_Fuzhou_CHN</t>
  </si>
  <si>
    <t>co2_Mianyang_CHN</t>
  </si>
  <si>
    <t>co2_Bayi_CHN</t>
  </si>
  <si>
    <t>co2_Hohhot_CHN</t>
  </si>
  <si>
    <t>co2_Beichengqu_CHN</t>
  </si>
  <si>
    <t>co2_Qabqa_CHN</t>
  </si>
  <si>
    <t>co2_Shaoguan_CHN</t>
  </si>
  <si>
    <t>co2_Nanjing_CHN</t>
  </si>
  <si>
    <t>co2_Yicheng_CHN</t>
  </si>
  <si>
    <t>co2_Xiaoyi_CHN</t>
  </si>
  <si>
    <t>co2_Ningde_CHN</t>
  </si>
  <si>
    <t>co2_Rizhao_CHN</t>
  </si>
  <si>
    <t>co2_Yanggezhuang_CHN</t>
  </si>
  <si>
    <t>co2_Yuanquan_CHN</t>
  </si>
  <si>
    <t>co2_Xiaoxita_CHN</t>
  </si>
  <si>
    <t>co2_Nantong_CHN</t>
  </si>
  <si>
    <t>co2_Liaoyang_CHN</t>
  </si>
  <si>
    <t>co2_Tangshan_CHN</t>
  </si>
  <si>
    <t>co2_Hejin_CHN</t>
  </si>
  <si>
    <t>co2_CHN44p4N121p8E_CHN</t>
  </si>
  <si>
    <t>co2_Sizhan_CHN</t>
  </si>
  <si>
    <t>co2_Yangzhou_CHN</t>
  </si>
  <si>
    <t>co2_CHN44p2N116p5E_CHN</t>
  </si>
  <si>
    <t>co2_Tongshan_CHN</t>
  </si>
  <si>
    <t>co2_Wuan_CHN</t>
  </si>
  <si>
    <t>co2_Tongling_CHN</t>
  </si>
  <si>
    <t>co2_Anqing_CHN</t>
  </si>
  <si>
    <t>ep_coal_ultra-supercritical_G100000115438_ccs-rf</t>
  </si>
  <si>
    <t>ep_coal_ultra-supercritical_G100000115448_ccs-rf</t>
  </si>
  <si>
    <t>ep_coal_ultra-supercritical_G100000105138-CHP_ccs-rf</t>
  </si>
  <si>
    <t>ep_coal_ultra-supercritical_G100000106310_ccs-rf</t>
  </si>
  <si>
    <t>ep_coal_ultra-supercritical_G100000115521_ccs-rf</t>
  </si>
  <si>
    <t>ep_coal_subcritical_G100000109137_ccs-rf</t>
  </si>
  <si>
    <t>ep_coal_supercritical_G100001000514_ccs-rf</t>
  </si>
  <si>
    <t>ep_coal_supercritical_G100000111099-CHP_ccs-rf</t>
  </si>
  <si>
    <t>ep_coal_ultra-supercritical_G100000109139_ccs-rf</t>
  </si>
  <si>
    <t>ep_coal_ultra-supercritical_G100000103160_ccs-rf</t>
  </si>
  <si>
    <t>ep_coal_supercritical_G100000104769-CHP_ccs-rf</t>
  </si>
  <si>
    <t>ep_coal_ultra-supercritical_G100000112033-CHP_ccs-rf</t>
  </si>
  <si>
    <t>ep_coal_supercritical_G100000105290_ccs-rf</t>
  </si>
  <si>
    <t>ep_coal_ultra-supercritical_G100001000214_ccs-rf</t>
  </si>
  <si>
    <t>ep_coal_ultra-supercritical_G100000104092_ccs-rf</t>
  </si>
  <si>
    <t>ep_coal_subcritical_G100000101191-CHP_ccs-rf</t>
  </si>
  <si>
    <t>ep_coal_subcritical_G100000102197-CHP_ccs-rf</t>
  </si>
  <si>
    <t>ep_coal_subcritical_G100000108602-CHP_ccs-rf</t>
  </si>
  <si>
    <t>ep_coal_subcritical_G100000103158_ccs-rf</t>
  </si>
  <si>
    <t>ep_coal_subcritical_G100000104156-CHP_ccs-rf</t>
  </si>
  <si>
    <t>ep_coal_subcritical_G100000106115-CHP_ccs-rf</t>
  </si>
  <si>
    <t>ep_coal_subcritical_G100000104394_ccs-rf</t>
  </si>
  <si>
    <t>ep_coal_supercritical_G100000102019-CHP_ccs-rf</t>
  </si>
  <si>
    <t>ep_coal_supercritical_G100000102108-CHP_ccs-rf</t>
  </si>
  <si>
    <t>ep_coal_supercritical_G100000114086-CHP_ccs-rf</t>
  </si>
  <si>
    <t>ep_coal_supercritical_G100000111712-CHP_ccs-rf</t>
  </si>
  <si>
    <t>ep_coal_supercritical_G100000111715-CHP_ccs-rf</t>
  </si>
  <si>
    <t>ep_coal_supercritical_G100000104133-CHP_ccs-rf</t>
  </si>
  <si>
    <t>ep_coal_supercritical_G100000112657-CHP_ccs-rf</t>
  </si>
  <si>
    <t>ep_coal_supercritical_G100001000245-CHP_ccs-rf</t>
  </si>
  <si>
    <t>ep_coal_ultra-supercritical_G100000114199-CHP_ccs-rf</t>
  </si>
  <si>
    <t>ep_coal_ultra-supercritical_G100000109205_ccs-rf</t>
  </si>
  <si>
    <t>ep_coal_subcritical_G100000104514-CHP_ccs-rf</t>
  </si>
  <si>
    <t>ep_coal_subcritical_G100000101753_ccs-rf</t>
  </si>
  <si>
    <t>ep_coal_subcritical_G100000103604-CHP_ccs-rf</t>
  </si>
  <si>
    <t>ep_coal_subcritical_G100000111283-CHP_ccs-rf</t>
  </si>
  <si>
    <t>ep_coal_supercritical_G100000104497-CHP_ccs-rf</t>
  </si>
  <si>
    <t>ep_coal_ultra-supercritical_G100000100700_ccs-rf</t>
  </si>
  <si>
    <t>ep_coal_ultra-supercritical_G100001000686_ccs-rf</t>
  </si>
  <si>
    <t>ep_coal_ultra-supercritical_G100000108894_ccs-rf</t>
  </si>
  <si>
    <t>ep_coal_ultra-supercritical_G100000115435_ccs-rf</t>
  </si>
  <si>
    <t>ep_coal_supercritical_G100000112106_ccs-rf</t>
  </si>
  <si>
    <t>ep_coal_subcritical_G100000111094-CHP_ccs-rf</t>
  </si>
  <si>
    <t>ep_coal_subcritical_G100000111386-CHP_ccs-rf</t>
  </si>
  <si>
    <t>ep_coal_subcritical_G100000106161-CHP_ccs-rf</t>
  </si>
  <si>
    <t>ep_coal_subcritical_G100000106752_ccs-rf</t>
  </si>
  <si>
    <t>ep_coal_subcritical_G100000109764-CHP_ccs-rf</t>
  </si>
  <si>
    <t>ep_coal_subcritical_G100000105121_ccs-rf</t>
  </si>
  <si>
    <t>ep_coal_subcritical_G100000111579-CHP_ccs-rf</t>
  </si>
  <si>
    <t>ep_coal_subcritical_G100000111722-CHP_ccs-rf</t>
  </si>
  <si>
    <t>ep_coal_supercritical_G100000104177-CHP_ccs-rf</t>
  </si>
  <si>
    <t>ep_coal_supercritical_G100000109204-CHP_ccs-rf</t>
  </si>
  <si>
    <t>ep_coal_ultra-supercritical_G100000112631-CHP_ccs-rf</t>
  </si>
  <si>
    <t>ep_coal_supercritical_G100000111374-CHP_ccs-rf</t>
  </si>
  <si>
    <t>ep_coal_ultra-supercritical_G100000114040_ccs-rf</t>
  </si>
  <si>
    <t>ep_coal_ultra-supercritical_G100000109028_ccs-rf</t>
  </si>
  <si>
    <t>ep_coal_ultra-supercritical_G100000115494_ccs-rf</t>
  </si>
  <si>
    <t>ep_coal_subcritical_G100000101463-CHP_ccs-rf</t>
  </si>
  <si>
    <t>ep_coal_subcritical_G100000102355_ccs-rf</t>
  </si>
  <si>
    <t>ep_coal_subcritical_G100000101464_ccs-rf</t>
  </si>
  <si>
    <t>ep_coal_subcritical_G100000109936-CHP_ccs-rf</t>
  </si>
  <si>
    <t>ep_coal_supercritical_G100000101397_ccs-rf</t>
  </si>
  <si>
    <t>ep_coal_ultra-supercritical_G100000103313-CHP_ccs-rf</t>
  </si>
  <si>
    <t>ep_coal_ultra-supercritical_G100000103284_ccs-rf</t>
  </si>
  <si>
    <t>ep_coal_supercritical_G100000107780-CHP_ccs-rf</t>
  </si>
  <si>
    <t>ep_coal_supercritical_G100000103438-CHP_ccs-rf</t>
  </si>
  <si>
    <t>ep_coal_supercritical_G100000102235_ccs-rf</t>
  </si>
  <si>
    <t>ep_coal_supercritical_G100000102870_ccs-rf</t>
  </si>
  <si>
    <t>ep_coal_supercritical_G100000109240_ccs-rf</t>
  </si>
  <si>
    <t>ep_coal_ultra-supercritical_G100000103383_ccs-rf</t>
  </si>
  <si>
    <t>ep_coal_ultra-supercritical_G100000104008-CHP_ccs-rf</t>
  </si>
  <si>
    <t>ep_coal_ultra-supercritical_G100001000350-CHP_ccs-rf</t>
  </si>
  <si>
    <t>ep_coal_supercritical_G100000101755_ccs-rf</t>
  </si>
  <si>
    <t>ep_coal_supercritical_G100000110255_ccs-rf</t>
  </si>
  <si>
    <t>ep_coal_supercritical_G100000111148_ccs-rf</t>
  </si>
  <si>
    <t>ep_coal_subcritical_G100000105060-CHP_ccs-rf</t>
  </si>
  <si>
    <t>ep_coal_subcritical_G100000101910-CHP_ccs-rf</t>
  </si>
  <si>
    <t>ep_coal_subcritical_G100000102724-CHP_ccs-rf</t>
  </si>
  <si>
    <t>ep_coal_subcritical_G100000103741-CHP_ccs-rf</t>
  </si>
  <si>
    <t>ep_coal_subcritical_G100000103831-CHP_ccs-rf</t>
  </si>
  <si>
    <t>ep_coal_subcritical_G100000111209-CHP_ccs-rf</t>
  </si>
  <si>
    <t>ep_coal_subcritical_G100000111455-CHP_ccs-rf</t>
  </si>
  <si>
    <t>ep_coal_subcritical_G100000111705-CHP_ccs-rf</t>
  </si>
  <si>
    <t>ep_coal_subcritical_G100000113537-CHP_ccs-rf</t>
  </si>
  <si>
    <t>ep_coal_supercritical_G100000111665-CHP_ccs-rf</t>
  </si>
  <si>
    <t>ep_coal_supercritical_G100000113231-CHP_ccs-rf</t>
  </si>
  <si>
    <t>ep_coal_supercritical_G100000101745-CHP_ccs-rf</t>
  </si>
  <si>
    <t>ep_coal_supercritical_G100000110094-CHP_ccs-rf</t>
  </si>
  <si>
    <t>ep_coal_ultra-supercritical_G100000115879_ccs-rf</t>
  </si>
  <si>
    <t>ep_coal_ultra-supercritical_G100000103364_ccs-rf</t>
  </si>
  <si>
    <t>ep_coal_ultra-supercritical_G100001000236_ccs-rf</t>
  </si>
  <si>
    <t>ep_coal_ultra-supercritical_G100000104428-CHP_ccs-rf</t>
  </si>
  <si>
    <t>ep_coal_ultra-supercritical_G100000104104_ccs-rf</t>
  </si>
  <si>
    <t>ep_coal_subcritical_G100000100709_ccs-rf</t>
  </si>
  <si>
    <t>ep_coal_subcritical_G100000111754-CHP_ccs-rf</t>
  </si>
  <si>
    <t>ep_coal_ultra-supercritical_G100000103161_ccs-rf</t>
  </si>
  <si>
    <t>ep_coal_ultra-supercritical_G100000102215_ccs-rf</t>
  </si>
  <si>
    <t>ep_coal_supercritical_G100000101544_ccs-rf</t>
  </si>
  <si>
    <t>ep_coal_ultra-supercritical_G100000108253-CHP_ccs-rf</t>
  </si>
  <si>
    <t>ep_coal_ultra-supercritical_G100000101517_ccs-rf</t>
  </si>
  <si>
    <t>ep_coal_ultra-supercritical_G100001000215_ccs-rf</t>
  </si>
  <si>
    <t>ep_coal_subcritical_G100000101201-CHP_ccs-rf</t>
  </si>
  <si>
    <t>ep_coal_subcritical_G100000102053-CHP_ccs-rf</t>
  </si>
  <si>
    <t>ep_coal_subcritical_G100000107242-CHP_ccs-rf</t>
  </si>
  <si>
    <t>ep_coal_subcritical_G100000104479-CHP_ccs-rf</t>
  </si>
  <si>
    <t>ep_coal_subcritical_G100000111127-CHP_ccs-rf</t>
  </si>
  <si>
    <t>ep_coal_subcritical_G100000103875-CHP_ccs-rf</t>
  </si>
  <si>
    <t>ep_coal_subcritical_G100000105062-CHP_ccs-rf</t>
  </si>
  <si>
    <t>ep_coal_subcritical_G100000106112-CHP_ccs-rf</t>
  </si>
  <si>
    <t>ep_coal_subcritical_G100000107327_ccs-rf</t>
  </si>
  <si>
    <t>ep_coal_subcritical_G100000108308-CHP_ccs-rf</t>
  </si>
  <si>
    <t>ep_coal_subcritical_G100000109820-CHP_ccs-rf</t>
  </si>
  <si>
    <t>ep_coal_subcritical_G100000110261-CHP_ccs-rf</t>
  </si>
  <si>
    <t>ep_coal_subcritical_G100000110832-CHP_ccs-rf</t>
  </si>
  <si>
    <t>ep_coal_subcritical_G100000101546-CHP_ccs-rf</t>
  </si>
  <si>
    <t>ep_coal_subcritical_G100000103144_ccs-rf</t>
  </si>
  <si>
    <t>ep_coal_subcritical_G100000105242-CHP_ccs-rf</t>
  </si>
  <si>
    <t>ep_coal_supercritical_G100000105144_ccs-rf</t>
  </si>
  <si>
    <t>ep_coal_supercritical_G100000111503-CHP_ccs-rf</t>
  </si>
  <si>
    <t>ep_coal_ultra-supercritical_G100000109189_ccs-rf</t>
  </si>
  <si>
    <t>ep_coal_ultra-supercritical_G100000104368-CHP_ccs-rf</t>
  </si>
  <si>
    <t>ep_coal_subcritical_G100000111486_ccs-rf</t>
  </si>
  <si>
    <t>ep_coal_subcritical_G100000104448-CHP_ccs-rf</t>
  </si>
  <si>
    <t>ep_coal_supercritical_G100000102815-CHP_ccs-rf</t>
  </si>
  <si>
    <t>ep_coal_ultra-supercritical_G100000101479_ccs-rf</t>
  </si>
  <si>
    <t>ep_coal_supercritical_G100000109115-CHP_ccs-rf</t>
  </si>
  <si>
    <t>ep_coal_ultra-supercritical_G100000111150-CHP_ccs-rf</t>
  </si>
  <si>
    <t>ep_coal_ultra-supercritical_G100000104061_ccs-rf</t>
  </si>
  <si>
    <t>ep_coal_ultra-supercritical_G100000104186_ccs-rf</t>
  </si>
  <si>
    <t>ep_coal_ultra-supercritical_G100001051311_ccs-rf</t>
  </si>
  <si>
    <t>ep_coal_supercritical_G100000102310_ccs-rf</t>
  </si>
  <si>
    <t>ep_coal_supercritical_G100000104652_ccs-rf</t>
  </si>
  <si>
    <t>ep_coal_subcritical_G100000102366-CHP_ccs-rf</t>
  </si>
  <si>
    <t>ep_coal_subcritical_G100000105447-CHP_ccs-rf</t>
  </si>
  <si>
    <t>ep_coal_subcritical_G100000106653-CHP_ccs-rf</t>
  </si>
  <si>
    <t>ep_coal_subcritical_G100000104363-CHP_ccs-rf</t>
  </si>
  <si>
    <t>ep_coal_subcritical_G100000106496-CHP_ccs-rf</t>
  </si>
  <si>
    <t>ep_coal_supercritical_G100000104443-CHP_ccs-rf</t>
  </si>
  <si>
    <t>ep_coal_supercritical_G100000104454-CHP_ccs-rf</t>
  </si>
  <si>
    <t>ep_coal_supercritical_G100000102174-CHP_ccs-rf</t>
  </si>
  <si>
    <t>ep_coal_subcritical_G100000111018_ccs-rf</t>
  </si>
  <si>
    <t>ep_coal_ultra-supercritical_G100000102142-CHP_ccs-rf</t>
  </si>
  <si>
    <t>ep_coal_ultra-supercritical_G100001022141_ccs-rf</t>
  </si>
  <si>
    <t>ep_coal_supercritical_G100000100286_ccs-rf</t>
  </si>
  <si>
    <t>ep_coal_ultra-supercritical_G100000110162-CHP_ccs-rf</t>
  </si>
  <si>
    <t>ep_coal_ultra-supercritical_G100000104348_ccs-rf</t>
  </si>
  <si>
    <t>ep_coal_subcritical_G100000108345_ccs-rf</t>
  </si>
  <si>
    <t>ep_coal_subcritical_G100000112148-CHP_ccs-rf</t>
  </si>
  <si>
    <t>ep_coal_subcritical_G100000111636-CHP_ccs-rf</t>
  </si>
  <si>
    <t>ep_coal_subcritical_G100000111654-CHP_ccs-rf</t>
  </si>
  <si>
    <t>ep_coal_subcritical_G100000104215-CHP_ccs-rf</t>
  </si>
  <si>
    <t>ep_coal_subcritical_G100000105312-CHP_ccs-rf</t>
  </si>
  <si>
    <t>ep_coal_subcritical_G100000110159-CHP_ccs-rf</t>
  </si>
  <si>
    <t>ep_coal_subcritical_G100000104445_ccs-rf</t>
  </si>
  <si>
    <t>ep_coal_supercritical_G100000109107-CHP_ccs-rf</t>
  </si>
  <si>
    <t>ep_coal_supercritical_G100000102224-CHP_ccs-rf</t>
  </si>
  <si>
    <t>ep_coal_supercritical_G100000104038-CHP_ccs-rf</t>
  </si>
  <si>
    <t>ep_coal_supercritical_G100000112894-CHP_ccs-rf</t>
  </si>
  <si>
    <t>ep_coal_supercritical_G100000103435-CHP_ccs-rf</t>
  </si>
  <si>
    <t>ep_coal_supercritical_G100000105162-CHP_ccs-rf</t>
  </si>
  <si>
    <t>ep_gas_combined_cycle_G100000405176-CHP_ccs-rf</t>
  </si>
  <si>
    <t>ep_gas_combined_cycle_G100000405446-CHP_ccs-rf</t>
  </si>
  <si>
    <t>ep_gas_combined_cycle_G100000405540-CHP_ccs-rf</t>
  </si>
  <si>
    <t>ep_gas_combined_cycle_G100001027886-CHP_ccs-rf</t>
  </si>
  <si>
    <t>ep_gas_combined_cycle_G100000410666_ccs-rf</t>
  </si>
  <si>
    <t>ep_gas_combined_cycle_G100001070773_ccs-rf</t>
  </si>
  <si>
    <t>ep_gas_combined_cycle_G100000405284-CHP_ccs-rf</t>
  </si>
  <si>
    <t>ep_gas_combined_cycle_G100000405797-CHP_ccs-rf</t>
  </si>
  <si>
    <t>ep_gas_combined_cycle_G100000405672_ccs-rf</t>
  </si>
  <si>
    <t>ep_gas_combined_cycle_G100000409413-CHP_ccs-rf</t>
  </si>
  <si>
    <t>ep_gas_combined_cycle_G100000405652_ccs-rf</t>
  </si>
  <si>
    <t>ep_gas_combined_cycle_G100000410669_ccs-rf</t>
  </si>
  <si>
    <t>ep_gas_combined_cycle_G100000405522-CHP_ccs-rf</t>
  </si>
  <si>
    <t>ep_gas_combined_cycle_G100000405665_ccs-rf</t>
  </si>
  <si>
    <t>ep_gas_combined_cycle_G100000410676_ccs-rf</t>
  </si>
  <si>
    <t>ep_gas_combined_cycle_G100000405716-CHP_ccs-rf</t>
  </si>
  <si>
    <t>ep_gas_combined_cycle_G100000405684_ccs-rf</t>
  </si>
  <si>
    <t>ep_coal_ultra-supercritical_G100000111454_ccs-rf</t>
  </si>
  <si>
    <t>ep_coal_ultra-supercritical_G100000115296_ccs-rf</t>
  </si>
  <si>
    <t>ep_coal_ultra-supercritical_G100000111649_ccs-rf</t>
  </si>
  <si>
    <t>ep_coal_ultra-supercritical_G100000115814_ccs-rf</t>
  </si>
  <si>
    <t>ep_coal_ultra-supercritical_G100000113301_ccs-rf</t>
  </si>
  <si>
    <t>ep_coal_ultra-supercritical_G100000104107_ccs-rf</t>
  </si>
  <si>
    <t>ep_coal_supercritical_G100000102850_ccs-rf</t>
  </si>
  <si>
    <t>ep_coal_ultra-supercritical_G100000111678-CHP_ccs-rf</t>
  </si>
  <si>
    <t>ep_coal_ultra-supercritical_G100000102040_ccs-rf</t>
  </si>
  <si>
    <t>ep_coal_ultra-supercritical_G100000102864_ccs-rf</t>
  </si>
  <si>
    <t>ep_coal_supercritical_G100000102135_ccs-rf</t>
  </si>
  <si>
    <t>ep_coal_subcritical_G100000101912-CHP_ccs-rf</t>
  </si>
  <si>
    <t>ep_coal_subcritical_G100000104426-CHP_ccs-rf</t>
  </si>
  <si>
    <t>ep_coal_subcritical_G100000104604-CHP_ccs-rf</t>
  </si>
  <si>
    <t>ep_coal_subcritical_G100000108403_ccs-rf</t>
  </si>
  <si>
    <t>ep_coal_subcritical_G100000104505-CHP_ccs-rf</t>
  </si>
  <si>
    <t>ep_coal_subcritical_G100000104574-CHP_ccs-rf</t>
  </si>
  <si>
    <t>ep_coal_supercritical_G100000102107-CHP_ccs-rf</t>
  </si>
  <si>
    <t>ep_coal_supercritical_G100000102077-CHP_ccs-rf</t>
  </si>
  <si>
    <t>ep_coal_supercritical_G100000111227-CHP_ccs-rf</t>
  </si>
  <si>
    <t>ep_coal_supercritical_G100000109933-CHP_ccs-rf</t>
  </si>
  <si>
    <t>ep_coal_supercritical_G100000102092-CHP_ccs-rf</t>
  </si>
  <si>
    <t>ep_coal_ultra-supercritical_G100000109009-CHP_ccs-rf</t>
  </si>
  <si>
    <t>ep_coal_ultra-supercritical_G100000112940_ccs-rf</t>
  </si>
  <si>
    <t>ep_coal_subcritical_G100000106346-CHP_ccs-rf</t>
  </si>
  <si>
    <t>ep_coal_ultra-supercritical_G100000104168-CHP_ccs-rf</t>
  </si>
  <si>
    <t>ep_coal_supercritical_G100000106289_ccs-rf</t>
  </si>
  <si>
    <t>ep_coal_supercritical_G100000111154_ccs-rf</t>
  </si>
  <si>
    <t>ep_coal_subcritical_G100000104364-CHP_ccs-rf</t>
  </si>
  <si>
    <t>ep_coal_subcritical_G100000104129-CHP_ccs-rf</t>
  </si>
  <si>
    <t>ep_coal_subcritical_G100000110139-CHP_ccs-rf</t>
  </si>
  <si>
    <t>ep_coal_subcritical_G100000110161-CHP_ccs-rf</t>
  </si>
  <si>
    <t>ep_coal_subcritical_G100000112062-CHP_ccs-rf</t>
  </si>
  <si>
    <t>ep_coal_subcritical_G100000103857_ccs-rf</t>
  </si>
  <si>
    <t>ep_coal_subcritical_G100000103916-CHP_ccs-rf</t>
  </si>
  <si>
    <t>ep_coal_subcritical_G100000104227-CHP_ccs-rf</t>
  </si>
  <si>
    <t>ep_coal_subcritical_G100000106269-CHP_ccs-rf</t>
  </si>
  <si>
    <t>ep_coal_subcritical_G100000107753_ccs-rf</t>
  </si>
  <si>
    <t>ep_coal_subcritical_G100000108891-CHP_ccs-rf</t>
  </si>
  <si>
    <t>ep_coal_supercritical_G100000105542-CHP_ccs-rf</t>
  </si>
  <si>
    <t>ep_coal_supercritical_G100000111375-CHP_ccs-rf</t>
  </si>
  <si>
    <t>ep_coal_ultra-supercritical_G100000104621-CHP_ccs-rf</t>
  </si>
  <si>
    <t>ep_coal_ultra-supercritical_G100000100893_ccs-rf</t>
  </si>
  <si>
    <t>ep_coal_ultra-supercritical_G100000106643_ccs-rf</t>
  </si>
  <si>
    <t>ep_coal_ultra-supercritical_G100000110133_ccs-rf</t>
  </si>
  <si>
    <t>ep_coal_ultra-supercritical_G100000114364_ccs-rf</t>
  </si>
  <si>
    <t>ep_coal_subcritical_G100000108979_ccs-rf</t>
  </si>
  <si>
    <t>ep_coal_ultra-supercritical_G100000110998-CHP_ccs-rf</t>
  </si>
  <si>
    <t>ep_coal_ultra-supercritical_G100000100245_ccs-rf</t>
  </si>
  <si>
    <t>ep_coal_ultra-supercritical_G100000110881-CHP_ccs-rf</t>
  </si>
  <si>
    <t>ep_coal_supercritical_G100000103451-CHP_ccs-rf</t>
  </si>
  <si>
    <t>ep_coal_ultra-supercritical_G100000111105_ccs-rf</t>
  </si>
  <si>
    <t>ep_coal_ultra-supercritical_G100000104090_ccs-rf</t>
  </si>
  <si>
    <t>ep_coal_ultra-supercritical_G100000111163-CHP_ccs-rf</t>
  </si>
  <si>
    <t>ep_coal_subcritical_G100000104436-CHP_ccs-rf</t>
  </si>
  <si>
    <t>ep_coal_subcritical_G100000104614_ccs-rf</t>
  </si>
  <si>
    <t>ep_coal_subcritical_G100000106348-CHP_ccs-rf</t>
  </si>
  <si>
    <t>ep_coal_subcritical_G100000107320_ccs-rf</t>
  </si>
  <si>
    <t>ep_coal_subcritical_G100000109333-CHP_ccs-rf</t>
  </si>
  <si>
    <t>ep_coal_subcritical_G100000102010-CHP_ccs-rf</t>
  </si>
  <si>
    <t>ep_coal_subcritical_G100000102557-CHP_ccs-rf</t>
  </si>
  <si>
    <t>ep_coal_subcritical_G100000107251-CHP_ccs-rf</t>
  </si>
  <si>
    <t>ep_coal_subcritical_G100000103446_ccs-rf</t>
  </si>
  <si>
    <t>ep_coal_subcritical_G100000111492-CHP_ccs-rf</t>
  </si>
  <si>
    <t>ep_coal_supercritical_G100000104101-CHP_ccs-rf</t>
  </si>
  <si>
    <t>ep_m_coal_subcritical_G100000104345_ccs-rf</t>
  </si>
  <si>
    <t>ep_coal_supercritical_G100000104442-CHP_ccs-rf</t>
  </si>
  <si>
    <t>ep_coal_supercritical_G100000111161-CHP_ccs-rf</t>
  </si>
  <si>
    <t>ep_coal_supercritical_G100000101312-CHP_ccs-rf</t>
  </si>
  <si>
    <t>ep_coal_supercritical_G100000101313-CHP_ccs-rf</t>
  </si>
  <si>
    <t>ep_coal_ultra-supercritical_G100000115878_ccs-rf</t>
  </si>
  <si>
    <t>ep_coal_ultra-supercritical_G100000104064-CHP_ccs-rf</t>
  </si>
  <si>
    <t>ep_coal_ultra-supercritical_G100000106226_ccs-rf</t>
  </si>
  <si>
    <t>ep_coal_ultra-supercritical_G100000115931_ccs-rf</t>
  </si>
  <si>
    <t>ep_coal_ultra-supercritical_G100000104065_ccs-rf</t>
  </si>
  <si>
    <t>ep_coal_ultra-supercritical_CCS_G100001000355-CHP_ccs-rf</t>
  </si>
  <si>
    <t>ep_coal_ultra-supercritical_G100000114200-CHP_ccs-rf</t>
  </si>
  <si>
    <t>ep_coal_ultra-supercritical_G100000111465-CHP_ccs-rf</t>
  </si>
  <si>
    <t>ep_coal_subcritical_G100000111617_ccs-rf</t>
  </si>
  <si>
    <t>ep_coal_subcritical_G100000111595-CHP_ccs-rf</t>
  </si>
  <si>
    <t>ep_coal_supercritical_G100000100239_ccs-rf</t>
  </si>
  <si>
    <t>ep_coal_ultra-supercritical_G100000112923-CHP_ccs-rf</t>
  </si>
  <si>
    <t>ep_coal_ultra-supercritical_G100000106505_ccs-rf</t>
  </si>
  <si>
    <t>ep_coal_ultra-supercritical_G100000102863_ccs-rf</t>
  </si>
  <si>
    <t>ep_coal_ultra-supercritical_G100000104349_ccs-rf</t>
  </si>
  <si>
    <t>ep_coal_ultra-supercritical_G100000114370-CHP_ccs-rf</t>
  </si>
  <si>
    <t>ep_coal_ultra-supercritical_G100000111164-CHP_ccs-rf</t>
  </si>
  <si>
    <t>ep_coal_subcritical_G100000110775-CHP_ccs-rf</t>
  </si>
  <si>
    <t>ep_coal_subcritical_G100000111330-CHP_ccs-rf</t>
  </si>
  <si>
    <t>ep_coal_subcritical_G100000103609-CHP_ccs-rf</t>
  </si>
  <si>
    <t>ep_coal_subcritical_G100000106753_ccs-rf</t>
  </si>
  <si>
    <t>ep_coal_subcritical_G100000107485-CHP_ccs-rf</t>
  </si>
  <si>
    <t>ep_coal_subcritical_G100000108002_ccs-rf</t>
  </si>
  <si>
    <t>ep_coal_subcritical_G100000109134-CHP_ccs-rf</t>
  </si>
  <si>
    <t>ep_coal_subcritical_G100000115061-CHP_ccs-rf</t>
  </si>
  <si>
    <t>ep_coal_subcritical_G100000102145-CHP_ccs-rf</t>
  </si>
  <si>
    <t>ep_coal_subcritical_G100000108363-CHP_ccs-rf</t>
  </si>
  <si>
    <t>ep_coal_subcritical_G100000108601-CHP_ccs-rf</t>
  </si>
  <si>
    <t>ep_coal_subcritical_G100000114038-CHP_ccs-rf</t>
  </si>
  <si>
    <t>ep_coal_subcritical_G100000111372-CHP_ccs-rf</t>
  </si>
  <si>
    <t>ep_coal_supercritical_G100000109103-CHP_ccs-rf</t>
  </si>
  <si>
    <t>ep_coal_supercritical_G100000111226-CHP_ccs-rf</t>
  </si>
  <si>
    <t>ep_coal_ultra-supercritical_G100000115496_ccs-rf</t>
  </si>
  <si>
    <t>ep_coal_ultra-supercritical_G100000105160_ccs-rf</t>
  </si>
  <si>
    <t>ep_coal_ultra-supercritical_G100000102102_ccs-rf</t>
  </si>
  <si>
    <t>ep_coal_ultra-supercritical_G100000105306_ccs-rf</t>
  </si>
  <si>
    <t>ep_coal_ultra-supercritical_G100000115517_ccs-rf</t>
  </si>
  <si>
    <t>ep_coal_ultra-supercritical_G100000111664_ccs-rf</t>
  </si>
  <si>
    <t>ep_coal_ultra-supercritical_G100000100711_ccs-rf</t>
  </si>
  <si>
    <t>ep_coal_subcritical_G100000102189_ccs-rf</t>
  </si>
  <si>
    <t>ep_coal_ultra-supercritical_G100000104110_ccs-rf</t>
  </si>
  <si>
    <t>ep_coal_supercritical_G100000103296-CHP_ccs-rf</t>
  </si>
  <si>
    <t>ep_coal_supercritical_G100000103978_ccs-rf</t>
  </si>
  <si>
    <t>ep_coal_ultra-supercritical_G100001027638_ccs-rf</t>
  </si>
  <si>
    <t>ep_coal_ultra-supercritical_G100000103285_ccs-rf</t>
  </si>
  <si>
    <t>ep_coal_supercritical_G100000103711-CHP_ccs-rf</t>
  </si>
  <si>
    <t>ep_coal_ultra-supercritical_G100000104304-CHP_ccs-rf</t>
  </si>
  <si>
    <t>ep_coal_subcritical_G100000109122-CHP_ccs-rf</t>
  </si>
  <si>
    <t>ep_coal_subcritical_G100000102084-CHP_ccs-rf</t>
  </si>
  <si>
    <t>ep_coal_subcritical_G100000103342-CHP_ccs-rf</t>
  </si>
  <si>
    <t>ep_coal_subcritical_G100000107481-CHP_ccs-rf</t>
  </si>
  <si>
    <t>ep_coal_subcritical_G100000108281_ccs-rf</t>
  </si>
  <si>
    <t>ep_coal_subcritical_G100000113052-CHP_ccs-rf</t>
  </si>
  <si>
    <t>ep_coal_subcritical_G100000110804-CHP_ccs-rf</t>
  </si>
  <si>
    <t>ep_coal_subcritical_G100000102556-CHP_ccs-rf</t>
  </si>
  <si>
    <t>ep_coal_subcritical_G100000100559-CHP_ccs-rf</t>
  </si>
  <si>
    <t>ep_coal_subcritical_G100000104415-CHP_ccs-rf</t>
  </si>
  <si>
    <t>ep_coal_supercritical_G100000106330-CHP_ccs-rf</t>
  </si>
  <si>
    <t>ep_coal_supercritical_G100000104369-CHP_ccs-rf</t>
  </si>
  <si>
    <t>ep_coal_ultra-supercritical_CCS_G100000107468_ccs-rf</t>
  </si>
  <si>
    <t>ep_coal_ultra-supercritical_G100000105065_ccs-rf</t>
  </si>
  <si>
    <t>ep_coal_ultra-supercritical_G100000106460_ccs-rf</t>
  </si>
  <si>
    <t>ep_coal_supercritical_G100000112762_ccs-rf</t>
  </si>
  <si>
    <t>ep_coal_ultra-supercritical_G100000115372_ccs-rf</t>
  </si>
  <si>
    <t>ep_coal_ultra-supercritical_G100000115845_ccs-rf</t>
  </si>
  <si>
    <t>ep_coal_subcritical_G100000100706-CHP_ccs-rf</t>
  </si>
  <si>
    <t>ep_coal_subcritical_G100000102360_ccs-rf</t>
  </si>
  <si>
    <t>ep_coal_ultra-supercritical_G100000105185-CHP_ccs-rf</t>
  </si>
  <si>
    <t>ep_coal_ultra-supercritical_G100000102143-CHP_ccs-rf</t>
  </si>
  <si>
    <t>ep_coal_ultra-supercritical_G100001020563-CHP_ccs-rf</t>
  </si>
  <si>
    <t>ep_coal_ultra-supercritical_G100000104226_ccs-rf</t>
  </si>
  <si>
    <t>ep_coal_supercritical_G100000107253-CHP_ccs-rf</t>
  </si>
  <si>
    <t>ep_coal_ultra-supercritical_G100000110100-CHP_ccs-rf</t>
  </si>
  <si>
    <t>ep_coal_ultra-supercritical_G100000115746_ccs-rf</t>
  </si>
  <si>
    <t>ep_coal_ultra-supercritical_G100000110768-CHP_ccs-rf</t>
  </si>
  <si>
    <t>ep_coal_ultra-supercritical_G100001051310_ccs-rf</t>
  </si>
  <si>
    <t>ep_coal_ultra-supercritical_G100000104570_ccs-rf</t>
  </si>
  <si>
    <t>ep_coal_ultra-supercritical_G100000104239_ccs-rf</t>
  </si>
  <si>
    <t>ep_coal_ultra-supercritical_G100001009081_ccs-rf</t>
  </si>
  <si>
    <t>ep_coal_ultra-supercritical_G100000111406-CHP_ccs-rf</t>
  </si>
  <si>
    <t>ep_coal_supercritical_G100000111659-CHP_ccs-rf</t>
  </si>
  <si>
    <t>ep_coal_subcritical_G100000106164-CHP_ccs-rf</t>
  </si>
  <si>
    <t>ep_coal_subcritical_G100000108006-CHP_ccs-rf</t>
  </si>
  <si>
    <t>ep_coal_subcritical_G100000103381-CHP_ccs-rf</t>
  </si>
  <si>
    <t>ep_coal_subcritical_G100000102367-CHP_ccs-rf</t>
  </si>
  <si>
    <t>ep_coal_subcritical_G100000104864-CHP_ccs-rf</t>
  </si>
  <si>
    <t>ep_coal_subcritical_G100000111261-CHP_ccs-rf</t>
  </si>
  <si>
    <t>ep_coal_subcritical_G100000107659-CHP_ccs-rf</t>
  </si>
  <si>
    <t>ep_coal_subcritical_G100000109313-CHP_ccs-rf</t>
  </si>
  <si>
    <t>ep_coal_subcritical_G100000111391-CHP_ccs-rf</t>
  </si>
  <si>
    <t>ep_coal_supercritical_G100000113268-CHP_ccs-rf</t>
  </si>
  <si>
    <t>ep_gas_combined_cycle_G100000410342-CHP_ccs-rf</t>
  </si>
  <si>
    <t>ep_gas_combined_cycle_G100000405440-CHP_ccs-rf</t>
  </si>
  <si>
    <t>ep_gas_combined_cycle_G100000405426-CHP_ccs-rf</t>
  </si>
  <si>
    <t>ep_gas_combined_cycle_G100000405380-CHP_ccs-rf</t>
  </si>
  <si>
    <t>ep_gas_combined_cycle_G100000410722_ccs-rf</t>
  </si>
  <si>
    <t>ep_gas_combined_cycle_G100000410217_ccs-rf</t>
  </si>
  <si>
    <t>ep_gas_combined_cycle_G100000410748-CHP_ccs-rf</t>
  </si>
  <si>
    <t>ep_gas_combined_cycle_G100000405352-CHP_ccs-rf</t>
  </si>
  <si>
    <t>ep_gas_combined_cycle_G100000413173-CHP_ccs-rf</t>
  </si>
  <si>
    <t>ep_gas_combined_cycle_G100000405323_ccs-rf</t>
  </si>
  <si>
    <t>ep_gas_combined_cycle_G100000410215_ccs-rf</t>
  </si>
  <si>
    <t>ep_gas_combined_cycle_G100000405445-CHP_ccs-rf</t>
  </si>
  <si>
    <t>ep_gas_combined_cycle_G100000405175-CHP_ccs-rf</t>
  </si>
  <si>
    <t>ep_coal_ultra-supercritical_G100000115812_ccs-rf</t>
  </si>
  <si>
    <t>ep_coal_ultra-supercritical_G100000115532_ccs-rf</t>
  </si>
  <si>
    <t>ep_coal_subcritical_G100000100568-CHP_ccs-rf</t>
  </si>
  <si>
    <t>ep_coal_ultra-supercritical_G100000115657_ccs-rf</t>
  </si>
  <si>
    <t>ep_coal_supercritical_G100000110857_ccs-rf</t>
  </si>
  <si>
    <t>ep_coal_ultra-supercritical_G100001000264_ccs-rf</t>
  </si>
  <si>
    <t>ep_coal_ultra-supercritical_G100000102737_ccs-rf</t>
  </si>
  <si>
    <t>ep_coal_supercritical_G100000103979_ccs-rf</t>
  </si>
  <si>
    <t>ep_coal_subcritical_G100000104243-CHP_ccs-rf</t>
  </si>
  <si>
    <t>ep_coal_subcritical_G100000109261-CHP_ccs-rf</t>
  </si>
  <si>
    <t>ep_coal_subcritical_G100000104627-CHP_ccs-rf</t>
  </si>
  <si>
    <t>ep_coal_subcritical_G100000103352-CHP_ccs-rf</t>
  </si>
  <si>
    <t>ep_coal_subcritical_G100000103281-CHP_ccs-rf</t>
  </si>
  <si>
    <t>ep_coal_subcritical_G100000107250-CHP_ccs-rf</t>
  </si>
  <si>
    <t>ep_coal_subcritical_G100000104118-CHP_ccs-rf</t>
  </si>
  <si>
    <t>ep_coal_subcritical_G100000101534-CHP_ccs-rf</t>
  </si>
  <si>
    <t>ep_coal_subcritical_G100000106349-CHP_ccs-rf</t>
  </si>
  <si>
    <t>ep_coal_subcritical_G100000106443-CHP_ccs-rf</t>
  </si>
  <si>
    <t>ep_coal_supercritical_G100000112060-CHP_ccs-rf</t>
  </si>
  <si>
    <t>ep_coal_supercritical_G100000104672-CHP_ccs-rf</t>
  </si>
  <si>
    <t>ep_coal_supercritical_G100000105163-CHP_ccs-rf</t>
  </si>
  <si>
    <t>ep_coal_ultra-supercritical_G100000101778_ccs-rf</t>
  </si>
  <si>
    <t>ep_coal_ultra-supercritical_G100000102930_ccs-rf</t>
  </si>
  <si>
    <t>ep_coal_ultra-supercritical_G100000102941_ccs-rf</t>
  </si>
  <si>
    <t>ep_coal_ultra-supercritical_G100000115640_ccs-rf</t>
  </si>
  <si>
    <t>ep_coal_ultra-supercritical_G100000111995_ccs-rf</t>
  </si>
  <si>
    <t>ep_coal_subcritical_G100000104598-CHP_ccs-rf</t>
  </si>
  <si>
    <t>ep_coal_subcritical_G100000102165-CHP_ccs-rf</t>
  </si>
  <si>
    <t>ep_coal_supercritical_G100000104496-CHP_ccs-rf</t>
  </si>
  <si>
    <t>ep_coal_ultra-supercritical_G100001000213_ccs-rf</t>
  </si>
  <si>
    <t>ep_coal_ultra-supercritical_G100000103314-CHP_ccs-rf</t>
  </si>
  <si>
    <t>ep_coal_supercritical_G100000111311-CHP_ccs-rf</t>
  </si>
  <si>
    <t>ep_coal_ultra-supercritical_G100000108283_ccs-rf</t>
  </si>
  <si>
    <t>ep_coal_supercritical_G100000104600-CHP_ccs-rf</t>
  </si>
  <si>
    <t>ep_coal_ultra-supercritical_G100000115637_ccs-rf</t>
  </si>
  <si>
    <t>ep_coal_supercritical_G100000108888-CHP_ccs-rf</t>
  </si>
  <si>
    <t>ep_coal_ultra-supercritical_G100000115468_ccs-rf</t>
  </si>
  <si>
    <t>ep_coal_ultra-supercritical_G100000115835-CHP_ccs-rf</t>
  </si>
  <si>
    <t>ep_coal_supercritical_G100000111065_ccs-rf</t>
  </si>
  <si>
    <t>ep_coal_ultra-supercritical_G100001000265_ccs-rf</t>
  </si>
  <si>
    <t>ep_coal_subcritical_G100000104506-CHP_ccs-rf</t>
  </si>
  <si>
    <t>ep_coal_subcritical_G100000110812-CHP_ccs-rf</t>
  </si>
  <si>
    <t>ep_coal_subcritical_G100000103175-CHP_ccs-rf</t>
  </si>
  <si>
    <t>ep_coal_subcritical_G100000103858_ccs-rf</t>
  </si>
  <si>
    <t>ep_coal_subcritical_G100000104700-CHP_ccs-rf</t>
  </si>
  <si>
    <t>ep_coal_subcritical_G100000105240-CHP_ccs-rf</t>
  </si>
  <si>
    <t>ep_coal_subcritical_G100000104868-CHP_ccs-rf</t>
  </si>
  <si>
    <t>ep_coal_subcritical_G100000107323_ccs-rf</t>
  </si>
  <si>
    <t>ep_coal_subcritical_G100000110827-CHP_ccs-rf</t>
  </si>
  <si>
    <t>ep_coal_supercritical_G100000111004_ccs-rf</t>
  </si>
  <si>
    <t>ep_coal_supercritical_G100000107993-CHP_ccs-rf</t>
  </si>
  <si>
    <t>ep_coal_ultra-supercritical_G100000104485-CHP_ccs-rf</t>
  </si>
  <si>
    <t>ep_coal_ultra-supercritical_G100000115458_ccs-rf</t>
  </si>
  <si>
    <t>ep_coal_ultra-supercritical_G100000115459_ccs-rf</t>
  </si>
  <si>
    <t>ep_coal_ultra-supercritical_G100000102157_ccs-rf</t>
  </si>
  <si>
    <t>ep_coal_ultra-supercritical_G100000104717_ccs-rf</t>
  </si>
  <si>
    <t>ep_coal_ultra-supercritical_G100000109655-CHP_ccs-rf</t>
  </si>
  <si>
    <t>ep_coal_ultra-supercritical_G100000114703_ccs-rf</t>
  </si>
  <si>
    <t>ep_coal_subcritical_G100000106368_ccs-rf</t>
  </si>
  <si>
    <t>ep_coal_subcritical_G100000105158_ccs-rf</t>
  </si>
  <si>
    <t>ep_coal_ultra-supercritical_G100000108895_ccs-rf</t>
  </si>
  <si>
    <t>ep_coal_ultra-supercritical_G100000103387-CHP_ccs-rf</t>
  </si>
  <si>
    <t>ep_coal_supercritical_G100000109944_ccs-rf</t>
  </si>
  <si>
    <t>ep_coal_ultra-supercritical_G100000100675_ccs-rf</t>
  </si>
  <si>
    <t>ep_coal_ultra-supercritical_G100000102132_ccs-rf</t>
  </si>
  <si>
    <t>ep_coal_supercritical_G100000104021_ccs-rf</t>
  </si>
  <si>
    <t>ep_coal_supercritical_G100000102938-CHP_ccs-rf</t>
  </si>
  <si>
    <t>ep_coal_ultra-supercritical_G100001027690_ccs-rf</t>
  </si>
  <si>
    <t>ep_coal_ultra-supercritical_G100000115837-CHP_ccs-rf</t>
  </si>
  <si>
    <t>ep_coal_supercritical_G100000104647-CHP_ccs-rf</t>
  </si>
  <si>
    <t>ep_coal_supercritical_G100000104484-CHP_ccs-rf</t>
  </si>
  <si>
    <t>ep_coal_supercritical_G100000109943_ccs-rf</t>
  </si>
  <si>
    <t>ep_coal_subcritical_G100000110805-CHP_ccs-rf</t>
  </si>
  <si>
    <t>ep_coal_subcritical_G100000103782-CHP_ccs-rf</t>
  </si>
  <si>
    <t>ep_coal_subcritical_G100000105402-CHP_ccs-rf</t>
  </si>
  <si>
    <t>ep_coal_subcritical_G100000111307-CHP_ccs-rf</t>
  </si>
  <si>
    <t>ep_coal_subcritical_G100000107458_ccs-rf</t>
  </si>
  <si>
    <t>ep_coal_subcritical_G100000104507-CHP_ccs-rf</t>
  </si>
  <si>
    <t>ep_coal_subcritical_G100000110264-CHP_ccs-rf</t>
  </si>
  <si>
    <t>ep_coal_subcritical_G100000104573-CHP_ccs-rf</t>
  </si>
  <si>
    <t>ep_coal_subcritical_G100000103252_ccs-rf</t>
  </si>
  <si>
    <t>ep_coal_subcritical_G100000103743-CHP_ccs-rf</t>
  </si>
  <si>
    <t>ep_coal_subcritical_G100000109821-CHP_ccs-rf</t>
  </si>
  <si>
    <t>ep_coal_subcritical_G100000111750-CHP_ccs-rf</t>
  </si>
  <si>
    <t>ep_coal_supercritical_G100000113299-CHP_ccs-rf</t>
  </si>
  <si>
    <t>ep_coal_supercritical_G100000106166-CHP_ccs-rf</t>
  </si>
  <si>
    <t>ep_coal_supercritical_G100000103355-CHP_ccs-rf</t>
  </si>
  <si>
    <t>ep_coal_supercritical_G100000101746-CHP_ccs-rf</t>
  </si>
  <si>
    <t>ep_coal_supercritical_G100000113888-CHP_ccs-rf</t>
  </si>
  <si>
    <t>ep_coal_ultra-supercritical_G100000114039_ccs-rf</t>
  </si>
  <si>
    <t>ep_coal_ultra-supercritical_G100000111755-CHP_ccs-rf</t>
  </si>
  <si>
    <t>ep_coal_ultra-supercritical_G100000115850_ccs-rf</t>
  </si>
  <si>
    <t>ep_coal_ultra-supercritical_G100000111478_ccs-rf</t>
  </si>
  <si>
    <t>ep_coal_subcritical_G100000101730-CHP_ccs-rf</t>
  </si>
  <si>
    <t>ep_coal_subcritical_G100000107475-CHP_ccs-rf</t>
  </si>
  <si>
    <t>ep_coal_subcritical_G100000102163-CHP_ccs-rf</t>
  </si>
  <si>
    <t>ep_coal_supercritical_G100000102243-CHP_ccs-rf</t>
  </si>
  <si>
    <t>ep_coal_ultra-supercritical_G100000111702-CHP_ccs-rf</t>
  </si>
  <si>
    <t>ep_coal_supercritical_G100000101917-CHP_ccs-rf</t>
  </si>
  <si>
    <t>ep_coal_ultra-supercritical_G100000104219-CHP_ccs-rf</t>
  </si>
  <si>
    <t>ep_coal_ultra-supercritical_G100000110769-CHP_ccs-rf</t>
  </si>
  <si>
    <t>ep_coal_ultra-supercritical_G100000111405-CHP_ccs-rf</t>
  </si>
  <si>
    <t>ep_coal_ultra-supercritical_G100000102039_ccs-rf</t>
  </si>
  <si>
    <t>ep_coal_supercritical_G100000109657_ccs-rf</t>
  </si>
  <si>
    <t>ep_coal_supercritical_G100000103265_ccs-rf</t>
  </si>
  <si>
    <t>ep_coal_ultra-supercritical_G100000112938-CHP_ccs-rf</t>
  </si>
  <si>
    <t>ep_coal_subcritical_G100000104615_ccs-rf</t>
  </si>
  <si>
    <t>ep_coal_subcritical_G100000105280-CHP_ccs-rf</t>
  </si>
  <si>
    <t>ep_coal_subcritical_G100000108974_ccs-rf</t>
  </si>
  <si>
    <t>ep_coal_subcritical_G100000102054_ccs-rf</t>
  </si>
  <si>
    <t>ep_coal_subcritical_G100000106367_ccs-rf</t>
  </si>
  <si>
    <t>ep_coal_subcritical_G100000110876_ccs-rf</t>
  </si>
  <si>
    <t>ep_coal_subcritical_G100000113309-CHP_ccs-rf</t>
  </si>
  <si>
    <t>ep_coal_subcritical_G100000111126-CHP_ccs-rf</t>
  </si>
  <si>
    <t>ep_coal_subcritical_G100000101545-CHP_ccs-rf</t>
  </si>
  <si>
    <t>ep_coal_subcritical_G100000106027-CHP_ccs-rf</t>
  </si>
  <si>
    <t>ep_coal_subcritical_G100000107226-CHP_ccs-rf</t>
  </si>
  <si>
    <t>ep_coal_subcritical_G100000112029-CHP_ccs-rf</t>
  </si>
  <si>
    <t>ep_coal_supercritical_G100000111162-CHP_ccs-rf</t>
  </si>
  <si>
    <t>ep_coal_supercritical_G100000106308-CHP_ccs-rf</t>
  </si>
  <si>
    <t>ep_coal_ultra-supercritical_G100000101336_ccs-rf</t>
  </si>
  <si>
    <t>ep_coal_ultra-supercritical_G100000104683_ccs-rf</t>
  </si>
  <si>
    <t>ep_coal_ultra-supercritical_G100000109860_ccs-rf</t>
  </si>
  <si>
    <t>ep_coal_subcritical_G100000105155_ccs-rf</t>
  </si>
  <si>
    <t>ep_coal_ultra-supercritical_G100000115836-CHP_ccs-rf</t>
  </si>
  <si>
    <t>ep_coal_ultra-supercritical_G100001009079_ccs-rf</t>
  </si>
  <si>
    <t>ep_coal_ultra-supercritical_G100000113037_ccs-rf</t>
  </si>
  <si>
    <t>ep_coal_ultra-supercritical_G100000104153-CHP_ccs-rf</t>
  </si>
  <si>
    <t>ep_coal_ultra-supercritical_G100000103715_ccs-rf</t>
  </si>
  <si>
    <t>ep_coal_ultra-supercritical_G100000103885-CHP_ccs-rf</t>
  </si>
  <si>
    <t>ep_coal_subcritical_G100000100581-CHP_ccs-rf</t>
  </si>
  <si>
    <t>ep_coal_subcritical_G100000102550-CHP_ccs-rf</t>
  </si>
  <si>
    <t>ep_coal_subcritical_G100000103338-CHP_ccs-rf</t>
  </si>
  <si>
    <t>ep_coal_subcritical_G100000104797-CHP_ccs-rf</t>
  </si>
  <si>
    <t>ep_coal_subcritical_G100000110481-CHP_ccs-rf</t>
  </si>
  <si>
    <t>ep_coal_subcritical_G100000112054-CHP_ccs-rf</t>
  </si>
  <si>
    <t>ep_coal_subcritical_G100000104560-CHP_ccs-rf</t>
  </si>
  <si>
    <t>ep_coal_subcritical_G100000111721-CHP_ccs-rf</t>
  </si>
  <si>
    <t>ep_coal_subcritical_G100000109252-CHP_ccs-rf</t>
  </si>
  <si>
    <t>ep_coal_subcritical_G100000102555-CHP_ccs-rf</t>
  </si>
  <si>
    <t>ep_coal_supercritical_G100000101547-CHP_ccs-rf</t>
  </si>
  <si>
    <t>ep_coal_supercritical_G100000109060-CHP_ccs-rf</t>
  </si>
  <si>
    <t>ep_coal_supercritical_G100000109108-CHP_ccs-rf</t>
  </si>
  <si>
    <t>ep_coal_supercritical_G100000104296-CHP_ccs-rf</t>
  </si>
  <si>
    <t>ep_coal_supercritical_G100000112867-CHP_ccs-rf</t>
  </si>
  <si>
    <t>ep_coal_ultra-supercritical_G100000103362_ccs-rf</t>
  </si>
  <si>
    <t>ep_coal_ultra-supercritical_G100000103881_ccs-rf</t>
  </si>
  <si>
    <t>ep_coal_ultra-supercritical_G100000114834_ccs-rf</t>
  </si>
  <si>
    <t>ep_coal_ultra-supercritical_G100000114301_ccs-rf</t>
  </si>
  <si>
    <t>ep_coal_subcritical_G100000110249-CHP_ccs-rf</t>
  </si>
  <si>
    <t>ep_coal_subcritical_G100000103605-CHP_ccs-rf</t>
  </si>
  <si>
    <t>ep_coal_ultra-supercritical_G100000115884_ccs-rf</t>
  </si>
  <si>
    <t>ep_coal_supercritical_G100000108964-CHP_ccs-rf</t>
  </si>
  <si>
    <t>ep_coal_ultra-supercritical_G100001000687_ccs-rf</t>
  </si>
  <si>
    <t>ep_coal_supercritical_G100000102234_ccs-rf</t>
  </si>
  <si>
    <t>ep_coal_ultra-supercritical_G100000104305-CHP_ccs-rf</t>
  </si>
  <si>
    <t>ep_coal_ultra-supercritical_G100000111204_ccs-rf</t>
  </si>
  <si>
    <t>ep_coal_ultra-supercritical_G100001027684_ccs-rf</t>
  </si>
  <si>
    <t>ep_coal_ultra-supercritical_G100000102047_ccs-rf</t>
  </si>
  <si>
    <t>ep_coal_ultra-supercritical_G100000101750_ccs-rf</t>
  </si>
  <si>
    <t>ep_coal_supercritical_G100000111029_ccs-rf</t>
  </si>
  <si>
    <t>ep_coal_subcritical_G100000106438-CHP_ccs-rf</t>
  </si>
  <si>
    <t>ep_coal_subcritical_G100000109238_ccs-rf</t>
  </si>
  <si>
    <t>ep_coal_subcritical_G100000110145-CHP_ccs-rf</t>
  </si>
  <si>
    <t>ep_coal_subcritical_G100000111708_ccs-rf</t>
  </si>
  <si>
    <t>ep_coal_subcritical_G100000103761-CHP_ccs-rf</t>
  </si>
  <si>
    <t>ep_coal_subcritical_G100000108244-CHP_ccs-rf</t>
  </si>
  <si>
    <t>ep_coal_subcritical_G100000102005-CHP_ccs-rf</t>
  </si>
  <si>
    <t>ep_coal_subcritical_G100000104531-CHP_ccs-rf</t>
  </si>
  <si>
    <t>ep_coal_subcritical_G100000108406_ccs-rf</t>
  </si>
  <si>
    <t>ep_coal_subcritical_G100000109315-CHP_ccs-rf</t>
  </si>
  <si>
    <t>ep_coal_supercritical_G100000110787-CHP_ccs-rf</t>
  </si>
  <si>
    <t>ep_coal_supercritical_G100000103319-CHP_ccs-rf</t>
  </si>
  <si>
    <t>ep_coal_supercritical_G100000111003_ccs-rf</t>
  </si>
  <si>
    <t>ep_gas_combined_cycle_G100000405300-CHP_ccs-rf</t>
  </si>
  <si>
    <t>ep_gas_combined_cycle_G100000405429-CHP_ccs-rf</t>
  </si>
  <si>
    <t>ep_gas_combined_cycle_G100000405461-CHP_ccs-rf</t>
  </si>
  <si>
    <t>ep_gas_combined_cycle_G100000410678_ccs-rf</t>
  </si>
  <si>
    <t>ep_gas_combined_cycle_G100001054576-CHP_ccs-rf</t>
  </si>
  <si>
    <t>ep_gas_combined_cycle_G100000405455-CHP_ccs-rf</t>
  </si>
  <si>
    <t>ep_gas_combined_cycle_G100001054886_ccs-rf</t>
  </si>
  <si>
    <t>ep_gas_combined_cycle_G100000405624-CHP_ccs-rf</t>
  </si>
  <si>
    <t>ep_gas_combined_cycle_G100000405626-CHP_ccs-rf</t>
  </si>
  <si>
    <t>ep_gas_combined_cycle_G100000405283-CHP_ccs-rf</t>
  </si>
  <si>
    <t>ep_coal_ultra-supercritical_G100000115437_ccs-rf</t>
  </si>
  <si>
    <t>ep_coal_ultra-supercritical_G100000109190_ccs-rf</t>
  </si>
  <si>
    <t>ep_coal_ultra-supercritical_G100000104365-CHP_ccs-rf</t>
  </si>
  <si>
    <t>ep_coal_ultra-supercritical_G100000101467_ccs-rf</t>
  </si>
  <si>
    <t>ep_coal_ultra-supercritical_G100000103478_ccs-rf</t>
  </si>
  <si>
    <t>ep_coal_ultra-supercritical_G100000107982_ccs-rf</t>
  </si>
  <si>
    <t>ep_coal_ultra-supercritical_G100000114266_ccs-rf</t>
  </si>
  <si>
    <t>ep_coal_subcritical_G100000100672_ccs-rf</t>
  </si>
  <si>
    <t>ep_coal_ultra-supercritical_G100000102207_ccs-rf</t>
  </si>
  <si>
    <t>ep_coal_ultra-supercritical_G100000111205_ccs-rf</t>
  </si>
  <si>
    <t>ep_coal_ultra-supercritical_G100000115562_ccs-rf</t>
  </si>
  <si>
    <t>ep_coal_supercritical_G100000110858_ccs-rf</t>
  </si>
  <si>
    <t>ep_coal_supercritical_G100000111153_ccs-rf</t>
  </si>
  <si>
    <t>ep_coal_supercritical_G100000111451_ccs-rf</t>
  </si>
  <si>
    <t>ep_coal_ultra-supercritical_G100000101552_ccs-rf</t>
  </si>
  <si>
    <t>ep_coal_supercritical_G100000103266_ccs-rf</t>
  </si>
  <si>
    <t>ep_coal_subcritical_G100000100671-CHP_ccs-rf</t>
  </si>
  <si>
    <t>ep_coal_subcritical_G100000111243-CHP_ccs-rf</t>
  </si>
  <si>
    <t>ep_coal_subcritical_G100000111346-CHP_ccs-rf</t>
  </si>
  <si>
    <t>ep_coal_subcritical_G100000101202-CHP_ccs-rf</t>
  </si>
  <si>
    <t>ep_coal_subcritical_G100000105141_ccs-rf</t>
  </si>
  <si>
    <t>ep_coal_subcritical_G100000109135-CHP_ccs-rf</t>
  </si>
  <si>
    <t>ep_coal_subcritical_G100000104378-CHP_ccs-rf</t>
  </si>
  <si>
    <t>ep_coal_subcritical_G100000104230_ccs-rf</t>
  </si>
  <si>
    <t>ep_coal_supercritical_G100000104671-CHP_ccs-rf</t>
  </si>
  <si>
    <t>ep_coal_supercritical_G100000111765-CHP_ccs-rf</t>
  </si>
  <si>
    <t>ep_coal_supercritical_G100000106471-CHP_ccs-rf</t>
  </si>
  <si>
    <t>ep_coal_supercritical_G100000108378_ccs-rf</t>
  </si>
  <si>
    <t>ep_coal_supercritical_G100000105255-CHP_ccs-rf</t>
  </si>
  <si>
    <t>ep_coal_ultra-supercritical_G100000101779_ccs-rf</t>
  </si>
  <si>
    <t>ep_coal_supercritical_G100000110693_ccs-rf</t>
  </si>
  <si>
    <t>ep_coal_subcritical_G100000102354_ccs-rf</t>
  </si>
  <si>
    <t>ep_coal_subcritical_G100000105156_ccs-rf</t>
  </si>
  <si>
    <t>ep_coal_ultra-supercritical_G100000110997-CHP_ccs-rf</t>
  </si>
  <si>
    <t>ep_coal_ultra-supercritical_G100000112050_ccs-rf</t>
  </si>
  <si>
    <t>ep_coal_supercritical_G100000104601-CHP_ccs-rf</t>
  </si>
  <si>
    <t>ep_coal_subcritical_G100000104152_ccs-rf</t>
  </si>
  <si>
    <t>ep_coal_subcritical_G100000102080-CHP_ccs-rf</t>
  </si>
  <si>
    <t>ep_coal_subcritical_G100000100558-CHP_ccs-rf</t>
  </si>
  <si>
    <t>ep_coal_subcritical_G100000103915-CHP_ccs-rf</t>
  </si>
  <si>
    <t>ep_coal_subcritical_G100000111096-CHP_ccs-rf</t>
  </si>
  <si>
    <t>ep_coal_supercritical_G100000101743-CHP_ccs-rf</t>
  </si>
  <si>
    <t>ep_coal_supercritical_G100000104468-CHP_ccs-rf</t>
  </si>
  <si>
    <t>ep_coal_supercritical_G100000111725-CHP_ccs-rf</t>
  </si>
  <si>
    <t>ep_coal_ultra-supercritical_G100000115476_ccs-rf</t>
  </si>
  <si>
    <t>ep_coal_ultra-supercritical_G100000105105_ccs-rf</t>
  </si>
  <si>
    <t>ep_coal_ultra-supercritical_G100000115450_ccs-rf</t>
  </si>
  <si>
    <t>ep_coal_subcritical_G100000101741-CHP_ccs-rf</t>
  </si>
  <si>
    <t>ep_coal_subcritical_G100000105289_ccs-rf</t>
  </si>
  <si>
    <t>ep_coal_subcritical_G100000109163-CHP_ccs-rf</t>
  </si>
  <si>
    <t>ep_coal_ultra-supercritical_G100000115648_ccs-rf</t>
  </si>
  <si>
    <t>ep_coal_supercritical_G100000110290_ccs-rf</t>
  </si>
  <si>
    <t>ep_coal_ultra-supercritical_G100000113322_ccs-rf</t>
  </si>
  <si>
    <t>ep_coal_supercritical_G100000103975_ccs-rf</t>
  </si>
  <si>
    <t>ep_coal_supercritical_G100000106488_ccs-rf</t>
  </si>
  <si>
    <t>ep_coal_ultra-supercritical_G100001000226_ccs-rf</t>
  </si>
  <si>
    <t>ep_coal_ultra-supercritical_G100000102027_ccs-rf</t>
  </si>
  <si>
    <t>ep_coal_ultra-supercritical_G100000104616_ccs-rf</t>
  </si>
  <si>
    <t>ep_coal_supercritical_G100000109187-CHP_ccs-rf</t>
  </si>
  <si>
    <t>ep_coal_subcritical_G100000104750-CHP_ccs-rf</t>
  </si>
  <si>
    <t>ep_coal_subcritical_G100000101871-CHP_ccs-rf</t>
  </si>
  <si>
    <t>ep_coal_subcritical_G100000112665-CHP_ccs-rf</t>
  </si>
  <si>
    <t>ep_coal_subcritical_G100000110690_ccs-rf</t>
  </si>
  <si>
    <t>ep_coal_subcritical_G100000111586-CHP_ccs-rf</t>
  </si>
  <si>
    <t>ep_coal_subcritical_G100000111647-CHP_ccs-rf</t>
  </si>
  <si>
    <t>ep_coal_supercritical_G100000112061-CHP_ccs-rf</t>
  </si>
  <si>
    <t>ep_coal_supercritical_G100000108374_ccs-rf</t>
  </si>
  <si>
    <t>ep_coal_supercritical_G100000107994-CHP_ccs-rf</t>
  </si>
  <si>
    <t>ep_coal_supercritical_G100000109203-CHP_ccs-rf</t>
  </si>
  <si>
    <t>ep_coal_supercritical_G100000109294-CHP_ccs-rf</t>
  </si>
  <si>
    <t>ep_coal_supercritical_G100000104593-CHP_ccs-rf</t>
  </si>
  <si>
    <t>ep_coal_ultra-supercritical_G100000105137_ccs-rf</t>
  </si>
  <si>
    <t>ep_coal_ultra-supercritical_G100000104066_ccs-rf</t>
  </si>
  <si>
    <t>ep_coal_ultra-supercritical_G100000104105_ccs-rf</t>
  </si>
  <si>
    <t>ep_coal_ultra-supercritical_G100000113323_ccs-rf</t>
  </si>
  <si>
    <t>ep_coal_supercritical_G100000104584_ccs-rf</t>
  </si>
  <si>
    <t>ep_coal_supercritical_G100000103295-CHP_ccs-rf</t>
  </si>
  <si>
    <t>ep_coal_ultra-supercritical_G100000104062_ccs-rf</t>
  </si>
  <si>
    <t>ep_coal_supercritical_G100000109216_ccs-rf</t>
  </si>
  <si>
    <t>ep_coal_ultra-supercritical_G100000110716-CHP_ccs-rf</t>
  </si>
  <si>
    <t>ep_coal_supercritical_G100000102867_ccs-rf</t>
  </si>
  <si>
    <t>ep_coal_ultra-supercritical_G100001000224_ccs-rf</t>
  </si>
  <si>
    <t>ep_coal_ultra-supercritical_G100001048347_ccs-rf</t>
  </si>
  <si>
    <t>ep_coal_subcritical_G100000101475_ccs-rf</t>
  </si>
  <si>
    <t>ep_coal_subcritical_G100000112046-CHP_ccs-rf</t>
  </si>
  <si>
    <t>ep_coal_subcritical_G100000108307-CHP_ccs-rf</t>
  </si>
  <si>
    <t>ep_coal_subcritical_G100000109062_ccs-rf</t>
  </si>
  <si>
    <t>ep_coal_subcritical_G100000110828-CHP_ccs-rf</t>
  </si>
  <si>
    <t>ep_coal_subcritical_G100000100560-CHP_ccs-rf</t>
  </si>
  <si>
    <t>ep_coal_subcritical_G100000102548-CHP_ccs-rf</t>
  </si>
  <si>
    <t>ep_coal_subcritical_G100000111259-CHP_ccs-rf</t>
  </si>
  <si>
    <t>ep_coal_subcritical_G100000111591-CHP_ccs-rf</t>
  </si>
  <si>
    <t>ep_coal_supercritical_G100001022567-CHP_ccs-rf</t>
  </si>
  <si>
    <t>ep_coal_supercritical_G100000110136-CHP_ccs-rf</t>
  </si>
  <si>
    <t>ep_coal_supercritical_G100000113439-CHP_ccs-rf</t>
  </si>
  <si>
    <t>ep_coal_supercritical_G100000104386-CHP_ccs-rf</t>
  </si>
  <si>
    <t>ep_coal_supercritical_G100000113039-CHP_ccs-rf</t>
  </si>
  <si>
    <t>ep_coal_ultra-supercritical_G100000102229_ccs-rf</t>
  </si>
  <si>
    <t>ep_coal_ultra-supercritical_G100000103003_ccs-rf</t>
  </si>
  <si>
    <t>ep_coal_ultra-supercritical_G100000111650_ccs-rf</t>
  </si>
  <si>
    <t>ep_coal_subcritical_CCS_G100000107465-CHP_ccs-rf</t>
  </si>
  <si>
    <t>ep_coal_ultra-supercritical_G100000115091_ccs-rf</t>
  </si>
  <si>
    <t>ep_coal_ultra-supercritical_G100000115747_ccs-rf</t>
  </si>
  <si>
    <t>ep_coal_ultra-supercritical_G100000113509_ccs-rf</t>
  </si>
  <si>
    <t>ep_coal_ultra-supercritical_G100000112905_ccs-rf</t>
  </si>
  <si>
    <t>ep_coal_supercritical_G100000107781-CHP_ccs-rf</t>
  </si>
  <si>
    <t>ep_coal_ultra-supercritical_G100000111677-CHP_ccs-rf</t>
  </si>
  <si>
    <t>ep_coal_ultra-supercritical_G100001000344-CHP_ccs-rf</t>
  </si>
  <si>
    <t>ep_coal_subcritical_G100000101350-CHP_ccs-rf</t>
  </si>
  <si>
    <t>ep_coal_subcritical_G100000103876-CHP_ccs-rf</t>
  </si>
  <si>
    <t>ep_coal_subcritical_G100000106026-CHP_ccs-rf</t>
  </si>
  <si>
    <t>ep_coal_subcritical_G100000108397-CHP_ccs-rf</t>
  </si>
  <si>
    <t>ep_coal_subcritical_G100000101982-CHP_ccs-rf</t>
  </si>
  <si>
    <t>ep_coal_subcritical_G100000103176-CHP_ccs-rf</t>
  </si>
  <si>
    <t>ep_coal_subcritical_G100000103372-CHP_ccs-rf</t>
  </si>
  <si>
    <t>ep_coal_subcritical_G100000108323-CHP_ccs-rf</t>
  </si>
  <si>
    <t>ep_coal_subcritical_G100000110117-CHP_ccs-rf</t>
  </si>
  <si>
    <t>ep_coal_subcritical_G100000110831-CHP_ccs-rf</t>
  </si>
  <si>
    <t>ep_coal_subcritical_G100000115945-CHP_ccs-rf</t>
  </si>
  <si>
    <t>ep_coal_subcritical_G100000102837-CHP_ccs-rf</t>
  </si>
  <si>
    <t>ep_coal_supercritical_G100000112460-CHP_ccs-rf</t>
  </si>
  <si>
    <t>ep_coal_supercritical_G100000108379_ccs-rf</t>
  </si>
  <si>
    <t>ep_coal_supercritical_G100000103374-CHP_ccs-rf</t>
  </si>
  <si>
    <t>ep_coal_ultra-supercritical_G100000113342_ccs-rf</t>
  </si>
  <si>
    <t>ep_coal_ultra-supercritical_G100000107983_ccs-rf</t>
  </si>
  <si>
    <t>ep_coal_subcritical_G100000111043-CHP_ccs-rf</t>
  </si>
  <si>
    <t>ep_coal_subcritical_G100000100673_ccs-rf</t>
  </si>
  <si>
    <t>ep_coal_ultra-supercritical_G100000115649-CHP_ccs-rf</t>
  </si>
  <si>
    <t>ep_coal_ultra-supercritical_G100000110101-CHP_ccs-rf</t>
  </si>
  <si>
    <t>ep_coal_ultra-supercritical_G100000103448_ccs-rf</t>
  </si>
  <si>
    <t>ep_coal_ultra-supercritical_G100000110843-CHP_ccs-rf</t>
  </si>
  <si>
    <t>ep_coal_ultra-supercritical_G100000111296_ccs-rf</t>
  </si>
  <si>
    <t>ep_coal_supercritical_G100000104190_ccs-rf</t>
  </si>
  <si>
    <t>ep_coal_ultra-supercritical_G100001000343-CHP_ccs-rf</t>
  </si>
  <si>
    <t>ep_coal_subcritical_G100000105142_ccs-rf</t>
  </si>
  <si>
    <t>ep_coal_subcritical_G100000111593-CHP_ccs-rf</t>
  </si>
  <si>
    <t>ep_coal_subcritical_G100000102549-CHP_ccs-rf</t>
  </si>
  <si>
    <t>ep_coal_subcritical_G100000102999-CHP_ccs-rf</t>
  </si>
  <si>
    <t>ep_coal_subcritical_G100000101476_ccs-rf</t>
  </si>
  <si>
    <t>ep_coal_subcritical_G100000103951-CHP_ccs-rf</t>
  </si>
  <si>
    <t>ep_coal_subcritical_G100000102112-CHP_ccs-rf</t>
  </si>
  <si>
    <t>ep_coal_subcritical_G100000108194-CHP_ccs-rf</t>
  </si>
  <si>
    <t>ep_coal_subcritical_G100000110688_ccs-rf</t>
  </si>
  <si>
    <t>ep_coal_subcritical_G100000110810-CHP_ccs-rf</t>
  </si>
  <si>
    <t>ep_coal_subcritical_G100000111141_ccs-rf</t>
  </si>
  <si>
    <t>ep_coal_subcritical_G100000102554-CHP_ccs-rf</t>
  </si>
  <si>
    <t>ep_coal_subcritical_G100000103842-CHP_ccs-rf</t>
  </si>
  <si>
    <t>ep_coal_subcritical_G100000105219-CHP_ccs-rf</t>
  </si>
  <si>
    <t>ep_coal_subcritical_G100000111723-CHP_ccs-rf</t>
  </si>
  <si>
    <t>ep_coal_supercritical_G100000102091-CHP_ccs-rf</t>
  </si>
  <si>
    <t>ep_coal_supercritical_G100000110153-CHP_ccs-rf</t>
  </si>
  <si>
    <t>ep_coal_supercritical_G100000103406-CHP_ccs-rf</t>
  </si>
  <si>
    <t>ep_gas_combined_cycle_G100000410331_ccs-rf</t>
  </si>
  <si>
    <t>ep_gas_combined_cycle_G100000405358-CHP_ccs-rf</t>
  </si>
  <si>
    <t>ep_gas_combined_cycle_G100000405462-CHP_ccs-rf</t>
  </si>
  <si>
    <t>ep_gas_combined_cycle_G100000405204-CHP_ccs-rf</t>
  </si>
  <si>
    <t>ep_gas_combined_cycle_G100000410248-CHP_ccs-rf</t>
  </si>
  <si>
    <t>ep_gas_combined_cycle_G100000410675_ccs-rf</t>
  </si>
  <si>
    <t>ep_gas_combined_cycle_G100000405304-CHP_ccs-rf</t>
  </si>
  <si>
    <t>ep_gas_combined_cycle_G100000405623-CHP_ccs-rf</t>
  </si>
  <si>
    <t>ep_gas_combined_cycle_G100000410725-CHP_ccs-rf</t>
  </si>
  <si>
    <t>ep_gas_combined_cycle_G100000405798-CHP_ccs-rf</t>
  </si>
  <si>
    <t>ep_gas_combined_cycle_G100000405334-CHP_ccs-rf</t>
  </si>
  <si>
    <t>ep_gas_combined_cycle_G100000410662_ccs-rf</t>
  </si>
  <si>
    <t>ep_gas_combined_cycle_G100000405535_ccs-rf</t>
  </si>
  <si>
    <t>ep_gas_combined_cycle_G100000405529_ccs-rf</t>
  </si>
  <si>
    <t>ep_gas_combined_cycle_G100000405734-CHP_ccs-rf</t>
  </si>
  <si>
    <t>ep_gas_combined_cycle_G100000405636-CHP_ccs-rf</t>
  </si>
  <si>
    <t>ep_gas_combined_cycle_G100000405755-CHP_ccs-rf</t>
  </si>
  <si>
    <t>ep_coal_ultra-supercritical_G100000114201_ccs-rf</t>
  </si>
  <si>
    <t>ep_coal_ultra-supercritical_G100000103151_ccs-rf</t>
  </si>
  <si>
    <t>ep_coal_ultra-supercritical_G100000103293_ccs-rf</t>
  </si>
  <si>
    <t>ep_coal_subcritical_G100000103457_ccs-rf</t>
  </si>
  <si>
    <t>ep_coal_subcritical_G100000101909-CHP_ccs-rf</t>
  </si>
  <si>
    <t>ep_coal_subcritical_G100000108978_ccs-rf</t>
  </si>
  <si>
    <t>ep_coal_subcritical_G100000103220_ccs-rf</t>
  </si>
  <si>
    <t>ep_coal_ultra-supercritical_G100000101813_ccs-rf</t>
  </si>
  <si>
    <t>ep_coal_supercritical_G100000109658_ccs-rf</t>
  </si>
  <si>
    <t>ep_coal_supercritical_G100000103328-CHP_ccs-rf</t>
  </si>
  <si>
    <t>ep_coal_supercritical_G100000101787-CHP_ccs-rf</t>
  </si>
  <si>
    <t>ep_coal_ultra-supercritical_G100001051304_ccs-rf</t>
  </si>
  <si>
    <t>ep_coal_ultra-supercritical_G100000112941-CHP_ccs-rf</t>
  </si>
  <si>
    <t>ep_coal_ultra-supercritical_G100000113302_ccs-rf</t>
  </si>
  <si>
    <t>ep_coal_supercritical_G100000111192_ccs-rf</t>
  </si>
  <si>
    <t>ep_coal_ultra-supercritical_G100000101814_ccs-rf</t>
  </si>
  <si>
    <t>ep_coal_supercritical_G100000103977_ccs-rf</t>
  </si>
  <si>
    <t>ep_coal_ultra-supercritical_G100000104590-CHP_ccs-rf</t>
  </si>
  <si>
    <t>ep_coal_subcritical_G100000103288-CHP_ccs-rf</t>
  </si>
  <si>
    <t>ep_coal_subcritical_G100000103830-CHP_ccs-rf</t>
  </si>
  <si>
    <t>ep_coal_subcritical_G100000104149-CHP_ccs-rf</t>
  </si>
  <si>
    <t>ep_coal_subcritical_G100000105094-CHP_ccs-rf</t>
  </si>
  <si>
    <t>ep_coal_subcritical_G100000112055-CHP_ccs-rf</t>
  </si>
  <si>
    <t>ep_coal_subcritical_G100000100676-CHP_ccs-rf</t>
  </si>
  <si>
    <t>ep_coal_subcritical_G100000110815-CHP_ccs-rf</t>
  </si>
  <si>
    <t>ep_coal_subcritical_G100000104322-CHP_ccs-rf</t>
  </si>
  <si>
    <t>ep_coal_subcritical_G100000104446_ccs-rf</t>
  </si>
  <si>
    <t>ep_coal_supercritical_G100000106813-CHP_ccs-rf</t>
  </si>
  <si>
    <t>ep_coal_supercritical_G100000112059-CHP_ccs-rf</t>
  </si>
  <si>
    <t>ep_coal_ultra-supercritical_G100000115716_ccs-rf</t>
  </si>
  <si>
    <t>ep_coal_ultra-supercritical_G100000114365_ccs-rf</t>
  </si>
  <si>
    <t>ep_coal_ultra-supercritical_G100000114745_ccs-rf</t>
  </si>
  <si>
    <t>ep_coal_supercritical_G100000111686_ccs-rf</t>
  </si>
  <si>
    <t>ep_coal_ultra-supercritical_G100000104734_ccs-rf</t>
  </si>
  <si>
    <t>ep_coal_supercritical_G100000104419-CHP_ccs-rf</t>
  </si>
  <si>
    <t>ep_coal_supercritical_G100000107080-CHP_ccs-rf</t>
  </si>
  <si>
    <t>ep_coal_ultra-supercritical_G100000108284_ccs-rf</t>
  </si>
  <si>
    <t>ep_coal_ultra-supercritical_G100000112942-CHP_ccs-rf</t>
  </si>
  <si>
    <t>ep_coal_supercritical_G100000107277_ccs-rf</t>
  </si>
  <si>
    <t>ep_coal_supercritical_G100000109164-CHP_ccs-rf</t>
  </si>
  <si>
    <t>ep_coal_subcritical_G100000108191-CHP_ccs-rf</t>
  </si>
  <si>
    <t>ep_coal_subcritical_G100000101332-CHP_ccs-rf</t>
  </si>
  <si>
    <t>ep_coal_subcritical_G100000104522-CHP_ccs-rf</t>
  </si>
  <si>
    <t>ep_coal_subcritical_G100000110795-CHP_ccs-rf</t>
  </si>
  <si>
    <t>ep_coal_subcritical_G100000110816-CHP_ccs-rf</t>
  </si>
  <si>
    <t>ep_coal_subcritical_G100000103722-CHP_ccs-rf</t>
  </si>
  <si>
    <t>ep_coal_subcritical_G100000104612-CHP_ccs-rf</t>
  </si>
  <si>
    <t>ep_coal_subcritical_G100000113159-CHP_ccs-rf</t>
  </si>
  <si>
    <t>ep_coal_subcritical_G100000111628-CHP_ccs-rf</t>
  </si>
  <si>
    <t>ep_coal_subcritical_G100000111648-CHP_ccs-rf</t>
  </si>
  <si>
    <t>ep_coal_supercritical_G100001022568-CHP_ccs-rf</t>
  </si>
  <si>
    <t>ep_coal_supercritical_G100000110095-CHP_ccs-rf</t>
  </si>
  <si>
    <t>ep_coal_supercritical_G100000104178-CHP_ccs-rf</t>
  </si>
  <si>
    <t>ep_coal_ultra-supercritical_G100000115559_ccs-rf</t>
  </si>
  <si>
    <t>ep_coal_subcritical_G100000100707-CHP_ccs-rf</t>
  </si>
  <si>
    <t>ep_coal_supercritical_CCS_G100000106160_ccs-rf</t>
  </si>
  <si>
    <t>ep_coal_subcritical_G100000102186_ccs-rf</t>
  </si>
  <si>
    <t>ep_coal_ultra-supercritical_G100000103870-CHP_ccs-rf</t>
  </si>
  <si>
    <t>ep_coal_ultra-supercritical_G100000104211_ccs-rf</t>
  </si>
  <si>
    <t>ep_coal_supercritical_G100000104534-CHP_ccs-rf</t>
  </si>
  <si>
    <t>ep_coal_ultra-supercritical_G100000115860-CHP_ccs-rf</t>
  </si>
  <si>
    <t>ep_coal_ultra-supercritical_G100000106506_ccs-rf</t>
  </si>
  <si>
    <t>ep_coal_supercritical_G100000104524_ccs-rf</t>
  </si>
  <si>
    <t>ep_coal_ultra-supercritical_G100000104457_ccs-rf</t>
  </si>
  <si>
    <t>ep_coal_supercritical_G100000102378-CHP_ccs-rf</t>
  </si>
  <si>
    <t>ep_coal_supercritical_G100000103719-CHP_ccs-rf</t>
  </si>
  <si>
    <t>ep_coal_ultra-supercritical_G100000115499_ccs-rf</t>
  </si>
  <si>
    <t>ep_coal_ultra-supercritical_G100000115553-CHP_ccs-rf</t>
  </si>
  <si>
    <t>ep_coal_subcritical_G100000104269-CHP_ccs-rf</t>
  </si>
  <si>
    <t>ep_coal_subcritical_G100000104040-CHP_ccs-rf</t>
  </si>
  <si>
    <t>ep_coal_subcritical_G100000104216-CHP_ccs-rf</t>
  </si>
  <si>
    <t>ep_coal_subcritical_G100000107260-CHP_ccs-rf</t>
  </si>
  <si>
    <t>ep_coal_subcritical_G100000109246-CHP_ccs-rf</t>
  </si>
  <si>
    <t>ep_coal_subcritical_G100000111231-CHP_ccs-rf</t>
  </si>
  <si>
    <t>ep_coal_subcritical_G100000111308-CHP_ccs-rf</t>
  </si>
  <si>
    <t>ep_coal_subcritical_G100000102001-CHP_ccs-rf</t>
  </si>
  <si>
    <t>ep_coal_subcritical_G100000101932-CHP_ccs-rf</t>
  </si>
  <si>
    <t>ep_coal_subcritical_G100000102727-CHP_ccs-rf</t>
  </si>
  <si>
    <t>ep_coal_subcritical_G100000103919-CHP_ccs-rf</t>
  </si>
  <si>
    <t>ep_coal_subcritical_G100000104324-CHP_ccs-rf</t>
  </si>
  <si>
    <t>ep_coal_subcritical_G100000110879-CHP_ccs-rf</t>
  </si>
  <si>
    <t>ep_coal_supercritical_G100000109834_ccs-rf</t>
  </si>
  <si>
    <t>ep_coal_supercritical_G100000112937-CHP_ccs-rf</t>
  </si>
  <si>
    <t>ep_coal_supercritical_G100000104147-CHP_ccs-rf</t>
  </si>
  <si>
    <t>ep_coal_supercritical_G100000104469-CHP_ccs-rf</t>
  </si>
  <si>
    <t>ep_coal_ultra-supercritical_G100000107477-CHP_ccs-rf</t>
  </si>
  <si>
    <t>ep_coal_ultra-supercritical_G100000102033-CHP_ccs-rf</t>
  </si>
  <si>
    <t>ep_coal_ultra-supercritical_G100000103384_ccs-rf</t>
  </si>
  <si>
    <t>ep_coal_ultra-supercritical_G100000115477_ccs-rf</t>
  </si>
  <si>
    <t>ep_coal_subcritical_CCS_G100000107467_ccs-rf</t>
  </si>
  <si>
    <t>ep_coal_subcritical_G100000106247-CHP_ccs-rf</t>
  </si>
  <si>
    <t>ep_coal_subcritical_G100000111310_ccs-rf</t>
  </si>
  <si>
    <t>ep_coal_ultra-supercritical_G100000109150_ccs-rf</t>
  </si>
  <si>
    <t>ep_coal_supercritical_G100000109165-CHP_ccs-rf</t>
  </si>
  <si>
    <t>ep_coal_ultra-supercritical_G100001000505-CHP_ccs-rf</t>
  </si>
  <si>
    <t>ep_coal_ultra-supercritical_G100000106858_ccs-rf</t>
  </si>
  <si>
    <t>ep_coal_supercritical_G100000104379-CHP_ccs-rf</t>
  </si>
  <si>
    <t>ep_coal_ultra-supercritical_G100000105205_ccs-rf</t>
  </si>
  <si>
    <t>ep_coal_ultra-supercritical_G100000109020-CHP_ccs-rf</t>
  </si>
  <si>
    <t>ep_coal_subcritical_G100000102861-CHP_ccs-rf</t>
  </si>
  <si>
    <t>ep_coal_subcritical_G100000111062-CHP_ccs-rf</t>
  </si>
  <si>
    <t>ep_coal_subcritical_G100000110813-CHP_ccs-rf</t>
  </si>
  <si>
    <t>ep_coal_subcritical_G100000109074-CHP_ccs-rf</t>
  </si>
  <si>
    <t>ep_coal_subcritical_G100000101192-CHP_ccs-rf</t>
  </si>
  <si>
    <t>ep_coal_subcritical_G100000104508-CHP_ccs-rf</t>
  </si>
  <si>
    <t>ep_coal_subcritical_G100000102220-CHP_ccs-rf</t>
  </si>
  <si>
    <t>ep_coal_ultra-supercritical_G100000115523_ccs-rf</t>
  </si>
  <si>
    <t>ep_coal_ultra-supercritical_G100000115297_ccs-rf</t>
  </si>
  <si>
    <t>ep_coal_ultra-supercritical_G100000103167_ccs-rf</t>
  </si>
  <si>
    <t>ep_coal_ultra-supercritical_CCS_G100000104640_ccs-rf</t>
  </si>
  <si>
    <t>ep_coal_ultra-supercritical_G100000115391_ccs-rf</t>
  </si>
  <si>
    <t>ep_coal_ultra-supercritical_G100000115810_ccs-rf</t>
  </si>
  <si>
    <t>ep_coal_supercritical_G100000103306_ccs-rf</t>
  </si>
  <si>
    <t>ep_coal_supercritical_G100000111993_ccs-rf</t>
  </si>
  <si>
    <t>ep_coal_supercritical_G100000101338_ccs-rf</t>
  </si>
  <si>
    <t>ep_coal_ultra-supercritical_G100000104617_ccs-rf</t>
  </si>
  <si>
    <t>ep_coal_subcritical_G100000102552-CHP_ccs-rf</t>
  </si>
  <si>
    <t>ep_coal_subcritical_G100000111063_ccs-rf</t>
  </si>
  <si>
    <t>ep_coal_subcritical_G100000105299-CHP_ccs-rf</t>
  </si>
  <si>
    <t>ep_coal_subcritical_G100000106235_ccs-rf</t>
  </si>
  <si>
    <t>ep_coal_subcritical_G100000109247-CHP_ccs-rf</t>
  </si>
  <si>
    <t>ep_coal_subcritical_G100000109846-CHP_ccs-rf</t>
  </si>
  <si>
    <t>ep_coal_subcritical_G100000110691_ccs-rf</t>
  </si>
  <si>
    <t>ep_coal_subcritical_G100000102734-CHP_ccs-rf</t>
  </si>
  <si>
    <t>ep_coal_subcritical_G100000105095-CHP_ccs-rf</t>
  </si>
  <si>
    <t>ep_coal_subcritical_G100000107668_ccs-rf</t>
  </si>
  <si>
    <t>ep_coal_subcritical_G100000106817_ccs-rf</t>
  </si>
  <si>
    <t>ep_coal_subcritical_G100000104119-CHP_ccs-rf</t>
  </si>
  <si>
    <t>ep_coal_subcritical_G100000104132_ccs-rf</t>
  </si>
  <si>
    <t>ep_coal_subcritical_G100000110766-CHP_ccs-rf</t>
  </si>
  <si>
    <t>ep_coal_subcritical_G100000101872-CHP_ccs-rf</t>
  </si>
  <si>
    <t>ep_coal_subcritical_G100000111025-CHP_ccs-rf</t>
  </si>
  <si>
    <t>ep_coal_supercritical_G100000102936-CHP_ccs-rf</t>
  </si>
  <si>
    <t>ep_coal_supercritical_G100000103301-CHP_ccs-rf</t>
  </si>
  <si>
    <t>ep_coal_supercritical_G100000101357-CHP_ccs-rf</t>
  </si>
  <si>
    <t>ep_coal_supercritical_G100000103168-CHP_ccs-rf</t>
  </si>
  <si>
    <t>ep_coal_ultra-supercritical_G100000104418_ccs-rf</t>
  </si>
  <si>
    <t>ep_coal_ultra-supercritical_G100000115952_ccs-rf</t>
  </si>
  <si>
    <t>ep_coal_ultra-supercritical_G100000109861_ccs-rf</t>
  </si>
  <si>
    <t>ep_coal_subcritical_G100000102166-CHP_ccs-rf</t>
  </si>
  <si>
    <t>ep_coal_subcritical_G100000107790_ccs-rf</t>
  </si>
  <si>
    <t>ep_coal_supercritical_G100000102706_ccs-rf</t>
  </si>
  <si>
    <t>ep_coal_supercritical_G100000112654-CHP_ccs-rf</t>
  </si>
  <si>
    <t>ep_coal_ultra-supercritical_G100000105186-CHP_ccs-rf</t>
  </si>
  <si>
    <t>ep_coal_supercritical_G100000111071_ccs-rf</t>
  </si>
  <si>
    <t>ep_coal_subcritical_G100000108310-CHP_ccs-rf</t>
  </si>
  <si>
    <t>ep_coal_subcritical_G100000109213-CHP_ccs-rf</t>
  </si>
  <si>
    <t>ep_coal_subcritical_G100000111590-CHP_ccs-rf</t>
  </si>
  <si>
    <t>ep_coal_subcritical_G100000107232-CHP_ccs-rf</t>
  </si>
  <si>
    <t>ep_coal_subcritical_G100000107463-CHP_ccs-rf</t>
  </si>
  <si>
    <t>ep_coal_subcritical_G100000108733-CHP_ccs-rf</t>
  </si>
  <si>
    <t>ep_coal_subcritical_G100000102735-CHP_ccs-rf</t>
  </si>
  <si>
    <t>ep_coal_subcritical_G100000107459_ccs-rf</t>
  </si>
  <si>
    <t>ep_coal_subcritical_G100000113704-CHP_ccs-rf</t>
  </si>
  <si>
    <t>ep_coal_supercritical_G100000105581-CHP_ccs-rf</t>
  </si>
  <si>
    <t>ep_coal_supercritical_G100000108380_ccs-rf</t>
  </si>
  <si>
    <t>ep_gas_combined_cycle_G100000405595-CHP_ccs-rf</t>
  </si>
  <si>
    <t>ep_gas_combined_cycle_G100000405292-CHP_ccs-rf</t>
  </si>
  <si>
    <t>ep_gas_combined_cycle_G100000405212-CHP_ccs-rf</t>
  </si>
  <si>
    <t>ep_gas_combined_cycle_G100000405222-CHP_ccs-rf</t>
  </si>
  <si>
    <t>ep_gas_combined_cycle_G100000412378_ccs-rf</t>
  </si>
  <si>
    <t>ep_gas_combined_cycle_G100000413473_ccs-rf</t>
  </si>
  <si>
    <t>ep_gas_combined_cycle_G100000405439-CHP_ccs-rf</t>
  </si>
  <si>
    <t>ep_gas_combined_cycle_G100000405539-CHP_ccs-rf</t>
  </si>
  <si>
    <t>ep_gas_combined_cycle_G100000413472_ccs-rf</t>
  </si>
  <si>
    <t>ep_gas_combined_cycle_G100000405747_ccs-rf</t>
  </si>
  <si>
    <t>ep_gas_combined_cycle_G100000405265-CHP_ccs-rf</t>
  </si>
  <si>
    <t>ep_gas_combined_cycle_G100000405431-CHP_ccs-rf</t>
  </si>
  <si>
    <t>ep_gas_combined_cycle_G100000405288-CHP_ccs-rf</t>
  </si>
  <si>
    <t>ep_gas_combined_cycle_G100000405211-CHP_ccs-rf</t>
  </si>
  <si>
    <t>ep_gas_combined_cycle_G100000410252-CHP_ccs-rf</t>
  </si>
  <si>
    <t>ep_gas_combined_cycle_G100000410731_ccs-rf</t>
  </si>
  <si>
    <t>ep_gas_combined_cycle_G100000405229-CHP_ccs-rf</t>
  </si>
  <si>
    <t>ep_coal_subcritical_G100000111974_ccs-rf</t>
  </si>
  <si>
    <t>ep_coal_ultra-supercritical_G100000102101_ccs-rf</t>
  </si>
  <si>
    <t>ep_coal_ultra-supercritical_G100000105307_ccs-rf</t>
  </si>
  <si>
    <t>ep_coal_ultra-supercritical_G100000111466-CHP_ccs-rf</t>
  </si>
  <si>
    <t>ep_coal_ultra-supercritical_G100000115345-CHP_ccs-rf</t>
  </si>
  <si>
    <t>ep_coal_ultra-supercritical_G100000115382-CHP_ccs-rf</t>
  </si>
  <si>
    <t>ep_coal_ultra-supercritical_G100000106644_ccs-rf</t>
  </si>
  <si>
    <t>ep_coal_subcritical_G100000111284-CHP_ccs-rf</t>
  </si>
  <si>
    <t>ep_coal_supercritical_G100000101918-CHP_ccs-rf</t>
  </si>
  <si>
    <t>ep_coal_ultra-supercritical_G100000103441_ccs-rf</t>
  </si>
  <si>
    <t>ep_coal_ultra-supercritical_G100000111244-CHP_ccs-rf</t>
  </si>
  <si>
    <t>ep_coal_ultra-supercritical_G100000111662_ccs-rf</t>
  </si>
  <si>
    <t>ep_coal_ultra-supercritical_G100000104406_ccs-rf</t>
  </si>
  <si>
    <t>ep_coal_supercritical_G100000103366-CHP_ccs-rf</t>
  </si>
  <si>
    <t>ep_coal_supercritical_G100000110724-CHP_ccs-rf</t>
  </si>
  <si>
    <t>ep_coal_supercritical_G100000104597_ccs-rf</t>
  </si>
  <si>
    <t>ep_coal_supercritical_G100000104214_ccs-rf</t>
  </si>
  <si>
    <t>ep_coal_supercritical_G100000104782-CHP_ccs-rf</t>
  </si>
  <si>
    <t>ep_coal_subcritical_G100000103190_ccs-rf</t>
  </si>
  <si>
    <t>ep_coal_subcritical_G100000106287-CHP_ccs-rf</t>
  </si>
  <si>
    <t>ep_coal_subcritical_G100000113246-CHP_ccs-rf</t>
  </si>
  <si>
    <t>ep_coal_supercritical_G100000100759-CHP_ccs-rf</t>
  </si>
  <si>
    <t>ep_coal_supercritical_G100000115497-CHP_ccs-rf</t>
  </si>
  <si>
    <t>ep_coal_supercritical_G100000111766-CHP_ccs-rf</t>
  </si>
  <si>
    <t>ep_coal_supercritical_G100000114504-CHP_ccs-rf</t>
  </si>
  <si>
    <t>ep_coal_ultra-supercritical_G100000115493_ccs-rf</t>
  </si>
  <si>
    <t>ep_coal_ultra-supercritical_G100000115652-CHP_ccs-rf</t>
  </si>
  <si>
    <t>ep_coal_ultra-supercritical_G100000110715-CHP_ccs-rf</t>
  </si>
  <si>
    <t>ep_coal_supercritical_G100000104585_ccs-rf</t>
  </si>
  <si>
    <t>ep_coal_ultra-supercritical_G100000101105_ccs-rf</t>
  </si>
  <si>
    <t>ep_coal_ultra-supercritical_G100001030804_ccs-rf</t>
  </si>
  <si>
    <t>ep_coal_supercritical_G100000104772-CHP_ccs-rf</t>
  </si>
  <si>
    <t>ep_coal_ultra-supercritical_G100000109146_ccs-rf</t>
  </si>
  <si>
    <t>ep_coal_ultra-supercritical_G100000102198-CHP_ccs-rf</t>
  </si>
  <si>
    <t>ep_coal_subcritical_G100000109314-CHP_ccs-rf</t>
  </si>
  <si>
    <t>ep_coal_subcritical_G100000109818-CHP_ccs-rf</t>
  </si>
  <si>
    <t>ep_coal_subcritical_G100000103249_ccs-rf</t>
  </si>
  <si>
    <t>ep_coal_subcritical_G100000103742-CHP_ccs-rf</t>
  </si>
  <si>
    <t>ep_coal_subcritical_G100000104523-CHP_ccs-rf</t>
  </si>
  <si>
    <t>ep_coal_subcritical_G100000111110-CHP_ccs-rf</t>
  </si>
  <si>
    <t>ep_coal_subcritical_G100000111279-CHP_ccs-rf</t>
  </si>
  <si>
    <t>ep_coal_subcritical_G100000104670-CHP_ccs-rf</t>
  </si>
  <si>
    <t>ep_coal_subcritical_G100000113713-CHP_ccs-rf</t>
  </si>
  <si>
    <t>ep_coal_subcritical_G100000108193-CHP_ccs-rf</t>
  </si>
  <si>
    <t>ep_coal_subcritical_G100000108954_ccs-rf</t>
  </si>
  <si>
    <t>ep_coal_subcritical_G100000111282-CHP_ccs-rf</t>
  </si>
  <si>
    <t>ep_coal_supercritical_G100000106335-CHP_ccs-rf</t>
  </si>
  <si>
    <t>ep_coal_supercritical_G100000109104-CHP_ccs-rf</t>
  </si>
  <si>
    <t>ep_coal_ultra-supercritical_G100000102871_ccs-rf</t>
  </si>
  <si>
    <t>ep_coal_ultra-supercritical_G100000102042_ccs-rf</t>
  </si>
  <si>
    <t>ep_coal_ultra-supercritical_CCS_G100000109030_ccs-rf</t>
  </si>
  <si>
    <t>ep_coal_ultra-supercritical_G100000103393_ccs-rf</t>
  </si>
  <si>
    <t>ep_coal_ultra-supercritical_G100000115953_ccs-rf</t>
  </si>
  <si>
    <t>ep_coal_ultra-supercritical_G100000104716_ccs-rf</t>
  </si>
  <si>
    <t>ep_coal_ultra-supercritical_G100000114802_ccs-rf</t>
  </si>
  <si>
    <t>ep_coal_ultra-supercritical_G100000101735_ccs-rf</t>
  </si>
  <si>
    <t>ep_coal_subcritical_G100000101742-CHP_ccs-rf</t>
  </si>
  <si>
    <t>ep_coal_subcritical_G100000103454_ccs-rf</t>
  </si>
  <si>
    <t>ep_coal_subcritical_G100000109144_ccs-rf</t>
  </si>
  <si>
    <t>ep_coal_supercritical_G100000103089_ccs-rf</t>
  </si>
  <si>
    <t>ep_coal_ultra-supercritical_G100000114528_ccs-rf</t>
  </si>
  <si>
    <t>ep_coal_ultra-supercritical_G100000102199-CHP_ccs-rf</t>
  </si>
  <si>
    <t>ep_coal_ultra-supercritical_G100000115620_ccs-rf</t>
  </si>
  <si>
    <t>ep_coal_supercritical_G100000109034_ccs-rf</t>
  </si>
  <si>
    <t>ep_coal_supercritical_G100000104224_ccs-rf</t>
  </si>
  <si>
    <t>ep_coal_supercritical_G100000108187_ccs-rf</t>
  </si>
  <si>
    <t>ep_coal_subcritical_G100000101550_ccs-rf</t>
  </si>
  <si>
    <t>ep_coal_subcritical_G100000103173-CHP_ccs-rf</t>
  </si>
  <si>
    <t>ep_coal_subcritical_G100000103708-CHP_ccs-rf</t>
  </si>
  <si>
    <t>ep_coal_subcritical_G100000104325-CHP_ccs-rf</t>
  </si>
  <si>
    <t>ep_coal_subcritical_G100000106108_ccs-rf</t>
  </si>
  <si>
    <t>ep_coal_subcritical_G100000104231_ccs-rf</t>
  </si>
  <si>
    <t>ep_coal_subcritical_G100000101772-CHP_ccs-rf</t>
  </si>
  <si>
    <t>ep_coal_subcritical_G100000109522-CHP_ccs-rf</t>
  </si>
  <si>
    <t>ep_coal_subcritical_G100000100904-CHP_ccs-rf</t>
  </si>
  <si>
    <t>ep_coal_subcritical_G100000111431-CHP_ccs-rf</t>
  </si>
  <si>
    <t>ep_coal_supercritical_G100000100549-CHP_ccs-rf</t>
  </si>
  <si>
    <t>ep_coal_supercritical_G100000102261-CHP_ccs-rf</t>
  </si>
  <si>
    <t>ep_coal_supercritical_G100000105164-CHP_ccs-rf</t>
  </si>
  <si>
    <t>ep_coal_supercritical_G100000106470-CHP_ccs-rf</t>
  </si>
  <si>
    <t>ep_coal_supercritical_G100000105246-CHP_ccs-rf</t>
  </si>
  <si>
    <t>ep_coal_supercritical_G100000108376_ccs-rf</t>
  </si>
  <si>
    <t>ep_coal_ultra-supercritical_G100000115811_ccs-rf</t>
  </si>
  <si>
    <t>ep_coal_ultra-supercritical_G100000102812_ccs-rf</t>
  </si>
  <si>
    <t>ep_coal_ultra-supercritical_G100000111994_ccs-rf</t>
  </si>
  <si>
    <t>ep_coal_ultra-supercritical_CCS_G100000109029_ccs-rf</t>
  </si>
  <si>
    <t>ep_coal_ultra-supercritical_G100000104429-CHP_ccs-rf</t>
  </si>
  <si>
    <t>ep_coal_ultra-supercritical_G100000103294_ccs-rf</t>
  </si>
  <si>
    <t>ep_coal_ultra-supercritical_G100000111458_ccs-rf</t>
  </si>
  <si>
    <t>ep_coal_supercritical_G100000101754_ccs-rf</t>
  </si>
  <si>
    <t>ep_coal_ultra-supercritical_G100000112914_ccs-rf</t>
  </si>
  <si>
    <t>ep_coal_ultra-supercritical_G100000111618-CHP_ccs-rf</t>
  </si>
  <si>
    <t>ep_coal_supercritical_G100000108897-CHP_ccs-rf</t>
  </si>
  <si>
    <t>ep_coal_ultra-supercritical_G100000115519_ccs-rf</t>
  </si>
  <si>
    <t>ep_coal_ultra-supercritical_G100000113352_ccs-rf</t>
  </si>
  <si>
    <t>ep_coal_ultra-supercritical_G100000109147_ccs-rf</t>
  </si>
  <si>
    <t>ep_coal_ultra-supercritical_G100000111701-CHP_ccs-rf</t>
  </si>
  <si>
    <t>ep_coal_subcritical_G100000112144-CHP_ccs-rf</t>
  </si>
  <si>
    <t>ep_coal_subcritical_G100000109855-CHP_ccs-rf</t>
  </si>
  <si>
    <t>ep_coal_subcritical_G100000102181-CHP_ccs-rf</t>
  </si>
  <si>
    <t>ep_coal_subcritical_G100000112063-CHP_ccs-rf</t>
  </si>
  <si>
    <t>ep_coal_subcritical_G100000104605-CHP_ccs-rf</t>
  </si>
  <si>
    <t>ep_coal_subcritical_G100000105446-CHP_ccs-rf</t>
  </si>
  <si>
    <t>ep_coal_subcritical_G100000106622-CHP_ccs-rf</t>
  </si>
  <si>
    <t>ep_coal_subcritical_G100000108953_ccs-rf</t>
  </si>
  <si>
    <t>ep_coal_subcritical_G100000111291-CHP_ccs-rf</t>
  </si>
  <si>
    <t>ep_coal_subcritical_G100000100443-CHP_ccs-rf</t>
  </si>
  <si>
    <t>ep_coal_subcritical_G100000101949-CHP_ccs-rf</t>
  </si>
  <si>
    <t>ep_coal_subcritical_G100000105291-CHP_ccs-rf</t>
  </si>
  <si>
    <t>ep_coal_subcritical_G100000108271-CHP_ccs-rf</t>
  </si>
  <si>
    <t>ep_coal_subcritical_G100000109302-CHP_ccs-rf</t>
  </si>
  <si>
    <t>ep_coal_subcritical_G100000110774-CHP_ccs-rf</t>
  </si>
  <si>
    <t>ep_coal_subcritical_G100000111159-CHP_ccs-rf</t>
  </si>
  <si>
    <t>ep_coal_subcritical_G100000107237-CHP_ccs-rf</t>
  </si>
  <si>
    <t>ep_coal_supercritical_G100000104603-CHP_ccs-rf</t>
  </si>
  <si>
    <t>ep_coal_supercritical_G100000105214-CHP_ccs-rf</t>
  </si>
  <si>
    <t>ep_coal_supercritical_G100000107470-CHP_ccs-rf</t>
  </si>
  <si>
    <t>ep_coal_ultra-supercritical_CCS_G100000104639_ccs-rf</t>
  </si>
  <si>
    <t>ep_coal_ultra-supercritical_G100000115715_ccs-rf</t>
  </si>
  <si>
    <t>ep_coal_ultra-supercritical_G100000103392_ccs-rf</t>
  </si>
  <si>
    <t>ep_coal_ultra-supercritical_G100000101790_ccs-rf</t>
  </si>
  <si>
    <t>ep_coal_ultra-supercritical_G100000103611_ccs-rf</t>
  </si>
  <si>
    <t>ep_coal_ultra-supercritical_G100000115932_ccs-rf</t>
  </si>
  <si>
    <t>ep_coal_ultra-supercritical_G100000102944_ccs-rf</t>
  </si>
  <si>
    <t>ep_coal_supercritical_G100000111992_ccs-rf</t>
  </si>
  <si>
    <t>ep_coal_supercritical_G100000108196-CHP_ccs-rf</t>
  </si>
  <si>
    <t>ep_coal_ultra-supercritical_G100000104870-CHP_ccs-rf</t>
  </si>
  <si>
    <t>ep_coal_supercritical_G100000104783-CHP_ccs-rf</t>
  </si>
  <si>
    <t>ep_coal_ultra-supercritical_G100000104254-CHP_ccs-rf</t>
  </si>
  <si>
    <t>ep_coal_subcritical_G100000110776-CHP_ccs-rf</t>
  </si>
  <si>
    <t>ep_coal_subcritical_G100000102191-CHP_ccs-rf</t>
  </si>
  <si>
    <t>ep_coal_supercritical_G100000112461-CHP_ccs-rf</t>
  </si>
  <si>
    <t>ep_coal_supercritical_G100000106363-CHP_ccs-rf</t>
  </si>
  <si>
    <t>ep_coal_supercritical_G100000112658-CHP_ccs-rf</t>
  </si>
  <si>
    <t>ep_coal_supercritical_G100000102934-CHP_ccs-rf</t>
  </si>
  <si>
    <t>ep_coal_ultra-supercritical_G100000114202_ccs-rf</t>
  </si>
  <si>
    <t>ep_coal_ultra-supercritical_G100000102811_ccs-rf</t>
  </si>
  <si>
    <t>ep_coal_ultra-supercritical_G100000103612_ccs-rf</t>
  </si>
  <si>
    <t>ep_coal_supercritical_G100000107788_ccs-rf</t>
  </si>
  <si>
    <t>ep_coal_ultra-supercritical_G100001000191-CHP_ccs-rf</t>
  </si>
  <si>
    <t>ep_coal_ultra-supercritical_G100000115453_ccs-rf</t>
  </si>
  <si>
    <t>ep_coal_subcritical_G100000111219_ccs-rf</t>
  </si>
  <si>
    <t>ep_coal_supercritical_G100000105077-CHP_ccs-rf</t>
  </si>
  <si>
    <t>ep_coal_supercritical_G100000103329-CHP_ccs-rf</t>
  </si>
  <si>
    <t>ep_coal_ultra-supercritical_G100001051313_ccs-rf</t>
  </si>
  <si>
    <t>ep_coal_ultra-supercritical_G100000100242_ccs-rf</t>
  </si>
  <si>
    <t>ep_coal_ultra-supercritical_G100000100701_ccs-rf</t>
  </si>
  <si>
    <t>ep_coal_supercritical_G100000104533-CHP_ccs-rf</t>
  </si>
  <si>
    <t>ep_coal_supercritical_G100000102093-CHP_ccs-rf</t>
  </si>
  <si>
    <t>ep_coal_ultra-supercritical_G100000104093_ccs-rf</t>
  </si>
  <si>
    <t>ep_coal_ultra-supercritical_G100000110839-CHP_ccs-rf</t>
  </si>
  <si>
    <t>ep_coal_ultra-supercritical_G100000102028_ccs-rf</t>
  </si>
  <si>
    <t>ep_coal_supercritical_G100000102687_ccs-rf</t>
  </si>
  <si>
    <t>ep_coal_ultra-supercritical_G100000102707_ccs-rf</t>
  </si>
  <si>
    <t>ep_coal_ultra-supercritical_G100000104086-CHP_ccs-rf</t>
  </si>
  <si>
    <t>ep_coal_supercritical_G100000111216-CHP_ccs-rf</t>
  </si>
  <si>
    <t>ep_coal_supercritical_G100000111214-CHP_ccs-rf</t>
  </si>
  <si>
    <t>ep_coal_subcritical_G100000102149-CHP_ccs-rf</t>
  </si>
  <si>
    <t>ep_coal_subcritical_G100000104736-CHP_ccs-rf</t>
  </si>
  <si>
    <t>ep_coal_subcritical_G100000105119_ccs-rf</t>
  </si>
  <si>
    <t>ep_coal_subcritical_G100000104478-CHP_ccs-rf</t>
  </si>
  <si>
    <t>ep_coal_subcritical_G100000102180-CHP_ccs-rf</t>
  </si>
  <si>
    <t>ep_coal_subcritical_G100000111381_ccs-rf</t>
  </si>
  <si>
    <t>ep_coal_subcritical_G100000103001-CHP_ccs-rf</t>
  </si>
  <si>
    <t>ep_coal_subcritical_G100000111622_ccs-rf</t>
  </si>
  <si>
    <t>ep_coal_supercritical_G100000110135-CHP_ccs-rf</t>
  </si>
  <si>
    <t>ep_coal_supercritical_G100000103390-CHP_ccs-rf</t>
  </si>
  <si>
    <t>ep_coal_supercritical_G100000103613-CHP_ccs-rf</t>
  </si>
  <si>
    <t>ep_coal_supercritical_G100000104297-CHP_ccs-rf</t>
  </si>
  <si>
    <t>ep_coal_supercritical_G100000114966-CHP_ccs-rf</t>
  </si>
  <si>
    <t>ep_coal_supercritical_G100000112454-CHP_ccs-rf</t>
  </si>
  <si>
    <t>ep_gas_combined_cycle_G100000412489-CHP_ccs-rf</t>
  </si>
  <si>
    <t>ep_gas_combined_cycle_G100000412493_ccs-rf</t>
  </si>
  <si>
    <t>ep_gas_combined_cycle_G100000405562-CHP_ccs-rf</t>
  </si>
  <si>
    <t>ep_gas_combined_cycle_G100000410550-CHP_ccs-rf</t>
  </si>
  <si>
    <t>ep_gas_combined_cycle_G100000405667_ccs-rf</t>
  </si>
  <si>
    <t>ep_gas_combined_cycle_G100000405203-CHP_ccs-rf</t>
  </si>
  <si>
    <t>ep_gas_combined_cycle_G100000410668-CHP_ccs-rf</t>
  </si>
  <si>
    <t>ep_gas_combined_cycle_G100000410224-CHP_ccs-rf</t>
  </si>
  <si>
    <t>ep_gas_combined_cycle_G100000410245-CHP_ccs-rf</t>
  </si>
  <si>
    <t>ep_gas_combined_cycle_G100000409860-CHP_ccs-rf</t>
  </si>
  <si>
    <t>ep_gas_combined_cycle_G100000405376-CHP_ccs-rf</t>
  </si>
  <si>
    <t>ep_gas_combined_cycle_G100000405809-CHP_ccs-rf</t>
  </si>
  <si>
    <t>ep_gas_combined_cycle_G100000405306-CHP_ccs-rf</t>
  </si>
  <si>
    <t>ep_coal_ultra-supercritical_G100000110694_ccs-rf</t>
  </si>
  <si>
    <t>ep_coal_subcritical_G100000101465_ccs-rf</t>
  </si>
  <si>
    <t>ep_coal_supercritical_G100000111066_ccs-rf</t>
  </si>
  <si>
    <t>ep_coal_ultra-supercritical_G100000101810-CHP_ccs-rf</t>
  </si>
  <si>
    <t>ep_coal_supercritical_G100000103262_ccs-rf</t>
  </si>
  <si>
    <t>ep_coal_supercritical_G100000103976_ccs-rf</t>
  </si>
  <si>
    <t>ep_coal_supercritical_G100000108896-CHP_ccs-rf</t>
  </si>
  <si>
    <t>ep_coal_ultra-supercritical_G100001022142_ccs-rf</t>
  </si>
  <si>
    <t>ep_coal_subcritical_G100000103852-CHP_ccs-rf</t>
  </si>
  <si>
    <t>ep_coal_subcritical_G100000109237_ccs-rf</t>
  </si>
  <si>
    <t>ep_coal_subcritical_G100000102200-CHP_ccs-rf</t>
  </si>
  <si>
    <t>ep_coal_subcritical_G100000111345-CHP_ccs-rf</t>
  </si>
  <si>
    <t>ep_coal_subcritical_G100000107243-CHP_ccs-rf</t>
  </si>
  <si>
    <t>ep_coal_subcritical_G100000113714-CHP_ccs-rf</t>
  </si>
  <si>
    <t>ep_coal_subcritical_G100000110767-CHP_ccs-rf</t>
  </si>
  <si>
    <t>ep_coal_subcritical_G100000101891_ccs-rf</t>
  </si>
  <si>
    <t>ep_coal_subcritical_G100000103760-CHP_ccs-rf</t>
  </si>
  <si>
    <t>ep_coal_supercritical_G100000104562-CHP_ccs-rf</t>
  </si>
  <si>
    <t>ep_coal_supercritical_G100000105161-CHP_ccs-rf</t>
  </si>
  <si>
    <t>ep_coal_supercritical_G100000104408-CHP_ccs-rf</t>
  </si>
  <si>
    <t>ep_coal_supercritical_G100000107471-CHP_ccs-rf</t>
  </si>
  <si>
    <t>ep_coal_ultra-supercritical_G100000110112-CHP_ccs-rf</t>
  </si>
  <si>
    <t>ep_coal_ultra-supercritical_G100000115813_ccs-rf</t>
  </si>
  <si>
    <t>ep_coal_ultra-supercritical_G100000113225_ccs-rf</t>
  </si>
  <si>
    <t>ep_coal_ultra-supercritical_G100000115495_ccs-rf</t>
  </si>
  <si>
    <t>ep_coal_ultra-supercritical_G100000111202_ccs-rf</t>
  </si>
  <si>
    <t>ep_coal_ultra-supercritical_G100000100236_ccs-rf</t>
  </si>
  <si>
    <t>ep_coal_ultra-supercritical_G100000114705_ccs-rf</t>
  </si>
  <si>
    <t>ep_coal_ultra-supercritical_G100000111661_ccs-rf</t>
  </si>
  <si>
    <t>ep_coal_supercritical_G100000107079-CHP_ccs-rf</t>
  </si>
  <si>
    <t>ep_coal_subcritical_G100000109248-CHP_ccs-rf</t>
  </si>
  <si>
    <t>ep_coal_subcritical_G100000110824-CHP_ccs-rf</t>
  </si>
  <si>
    <t>ep_coal_subcritical_G100000111240_ccs-rf</t>
  </si>
  <si>
    <t>ep_coal_subcritical_G100000103610-CHP_ccs-rf</t>
  </si>
  <si>
    <t>ep_coal_subcritical_G100000112626-CHP_ccs-rf</t>
  </si>
  <si>
    <t>ep_coal_subcritical_G100000106863-CHP_ccs-rf</t>
  </si>
  <si>
    <t>ep_coal_subcritical_G100000110836-CHP_ccs-rf</t>
  </si>
  <si>
    <t>ep_coal_subcritical_G100000110837-CHP_ccs-rf</t>
  </si>
  <si>
    <t>ep_coal_subcritical_G100000111420_ccs-rf</t>
  </si>
  <si>
    <t>ep_coal_supercritical_G100000113333-CHP_ccs-rf</t>
  </si>
  <si>
    <t>ep_coal_supercritical_G100000109042-CHP_ccs-rf</t>
  </si>
  <si>
    <t>ep_coal_supercritical_G100000111040-CHP_ccs-rf</t>
  </si>
  <si>
    <t>ep_coal_supercritical_G100000111257-CHP_ccs-rf</t>
  </si>
  <si>
    <t>ep_coal_subcritical_G100000104327-CHP_ccs-rf</t>
  </si>
  <si>
    <t>ep_coal_ultra-supercritical_G100000103882_ccs-rf</t>
  </si>
  <si>
    <t>ep_coal_ultra-supercritical_G100000106354_ccs-rf</t>
  </si>
  <si>
    <t>ep_coal_ultra-supercritical_G100000103394_ccs-rf</t>
  </si>
  <si>
    <t>ep_coal_ultra-supercritical_G100000104076-CHP_ccs-rf</t>
  </si>
  <si>
    <t>ep_coal_ultra-supercritical_G100000111817_ccs-rf</t>
  </si>
  <si>
    <t>ep_coal_subcritical_G100000101908-CHP_ccs-rf</t>
  </si>
  <si>
    <t>ep_coal_supercritical_CCS_G100000106158-CHP_ccs-rf</t>
  </si>
  <si>
    <t>ep_coal_ultra-supercritical_G100001027637_ccs-rf</t>
  </si>
  <si>
    <t>ep_coal_ultra-supercritical_G100000115561_ccs-rf</t>
  </si>
  <si>
    <t>ep_coal_ultra-supercritical_G100000105204_ccs-rf</t>
  </si>
  <si>
    <t>ep_coal_ultra-supercritical_G100000111657_ccs-rf</t>
  </si>
  <si>
    <t>ep_coal_ultra-supercritical_G100000104253-CHP_ccs-rf</t>
  </si>
  <si>
    <t>ep_coal_supercritical_G100000102015-CHP_ccs-rf</t>
  </si>
  <si>
    <t>ep_coal_supercritical_G100000104307_ccs-rf</t>
  </si>
  <si>
    <t>ep_coal_supercritical_G100000101799_ccs-rf</t>
  </si>
  <si>
    <t>ep_coal_supercritical_G100000111332-CHP_ccs-rf</t>
  </si>
  <si>
    <t>ep_coal_subcritical_G100000101892_ccs-rf</t>
  </si>
  <si>
    <t>ep_coal_subcritical_G100000102154-CHP_ccs-rf</t>
  </si>
  <si>
    <t>ep_coal_subcritical_G100000109073-CHP_ccs-rf</t>
  </si>
  <si>
    <t>ep_coal_subcritical_G100000109765-CHP_ccs-rf</t>
  </si>
  <si>
    <t>ep_coal_subcritical_G100000111706-CHP_ccs-rf</t>
  </si>
  <si>
    <t>ep_coal_subcritical_G100000103744-CHP_ccs-rf</t>
  </si>
  <si>
    <t>ep_coal_subcritical_G100000103800-CHP_ccs-rf</t>
  </si>
  <si>
    <t>ep_coal_subcritical_G100000105063-CHP_ccs-rf</t>
  </si>
  <si>
    <t>ep_coal_subcritical_G100000111278-CHP_ccs-rf</t>
  </si>
  <si>
    <t>ep_coal_subcritical_G100000111621_ccs-rf</t>
  </si>
  <si>
    <t>ep_coal_subcritical_G100000103159_ccs-rf</t>
  </si>
  <si>
    <t>ep_coal_subcritical_G100000110689_ccs-rf</t>
  </si>
  <si>
    <t>ep_coal_supercritical_G100000102831-CHP_ccs-rf</t>
  </si>
  <si>
    <t>ep_coal_supercritical_G100001003797_ccs-rf</t>
  </si>
  <si>
    <t>ep_coal_supercritical_G100000104134-CHP_ccs-rf</t>
  </si>
  <si>
    <t>ep_coal_supercritical_G100000114085-CHP_ccs-rf</t>
  </si>
  <si>
    <t>ep_coal_supercritical_G100000108377_ccs-rf</t>
  </si>
  <si>
    <t>ep_coal_supercritical_G100000113298-CHP_ccs-rf</t>
  </si>
  <si>
    <t>ep_coal_supercritical_G100000104387-CHP_ccs-rf</t>
  </si>
  <si>
    <t>ep_coal_supercritical_G100000105247-CHP_ccs-rf</t>
  </si>
  <si>
    <t>ep_coal_supercritical_G100000106362-CHP_ccs-rf</t>
  </si>
  <si>
    <t>ep_coal_supercritical_G100000111119-CHP_ccs-rf</t>
  </si>
  <si>
    <t>ep_coal_ultra-supercritical_G100000102813_ccs-rf</t>
  </si>
  <si>
    <t>ep_coal_ultra-supercritical_G100000104503_ccs-rf</t>
  </si>
  <si>
    <t>ep_coal_subcritical_G100000109145_ccs-rf</t>
  </si>
  <si>
    <t>ep_coal_subcritical_G100000111487_ccs-rf</t>
  </si>
  <si>
    <t>ep_coal_subcritical_G100000101731-CHP_ccs-rf</t>
  </si>
  <si>
    <t>ep_coal_subcritical_G100000104649-CHP_ccs-rf</t>
  </si>
  <si>
    <t>ep_coal_subcritical_G100000102152-CHP_ccs-rf</t>
  </si>
  <si>
    <t>ep_coal_subcritical_G100000109162-CHP_ccs-rf</t>
  </si>
  <si>
    <t>ep_coal_supercritical_G100000102016-CHP_ccs-rf</t>
  </si>
  <si>
    <t>ep_coal_supercritical_G100000101788-CHP_ccs-rf</t>
  </si>
  <si>
    <t>ep_coal_supercritical_G100000104651_ccs-rf</t>
  </si>
  <si>
    <t>ep_coal_supercritical_G100000104474-CHP_ccs-rf</t>
  </si>
  <si>
    <t>ep_coal_ultra-supercritical_G100000103476_ccs-rf</t>
  </si>
  <si>
    <t>ep_coal_ultra-supercritical_G100000110842-CHP_ccs-rf</t>
  </si>
  <si>
    <t>ep_coal_supercritical_G100000111179_ccs-rf</t>
  </si>
  <si>
    <t>ep_coal_ultra-supercritical_G100000109168-CHP_ccs-rf</t>
  </si>
  <si>
    <t>ep_coal_ultra-supercritical_G100000105548_ccs-rf</t>
  </si>
  <si>
    <t>ep_coal_ultra-supercritical_G100000111619-CHP_ccs-rf</t>
  </si>
  <si>
    <t>ep_coal_ultra-supercritical_G100000111640-CHP_ccs-rf</t>
  </si>
  <si>
    <t>ep_coal_supercritical_G100000101882_ccs-rf</t>
  </si>
  <si>
    <t>ep_coal_supercritical_G100000103147_ccs-rf</t>
  </si>
  <si>
    <t>ep_coal_supercritical_G100000103770_ccs-rf</t>
  </si>
  <si>
    <t>ep_coal_supercritical_G100000103444-CHP_ccs-rf</t>
  </si>
  <si>
    <t>ep_coal_supercritical_G100000105545-CHP_ccs-rf</t>
  </si>
  <si>
    <t>ep_coal_subcritical_G100000103878-CHP_ccs-rf</t>
  </si>
  <si>
    <t>ep_coal_subcritical_G100000104440-CHP_ccs-rf</t>
  </si>
  <si>
    <t>ep_coal_subcritical_G100000104669-CHP_ccs-rf</t>
  </si>
  <si>
    <t>ep_coal_subcritical_G100000106114-CHP_ccs-rf</t>
  </si>
  <si>
    <t>ep_coal_subcritical_G100000107325_ccs-rf</t>
  </si>
  <si>
    <t>ep_coal_subcritical_G100000110820-CHP_ccs-rf</t>
  </si>
  <si>
    <t>ep_coal_subcritical_G100000104628-CHP_ccs-rf</t>
  </si>
  <si>
    <t>ep_coal_subcritical_G100000104150-CHP_ccs-rf</t>
  </si>
  <si>
    <t>ep_coal_subcritical_G100000108306-CHP_ccs-rf</t>
  </si>
  <si>
    <t>ep_coal_subcritical_G100000110160-CHP_ccs-rf</t>
  </si>
  <si>
    <t>ep_coal_subcritical_G100000111493-CHP_ccs-rf</t>
  </si>
  <si>
    <t>ep_coal_ultra-supercritical_G100000109038-CHP_ccs-rf</t>
  </si>
  <si>
    <t>ep_coal_ultra-supercritical_G100000114533_ccs-rf</t>
  </si>
  <si>
    <t>ep_coal_ultra-supercritical_G100000101769_ccs-rf</t>
  </si>
  <si>
    <t>ep_coal_ultra-supercritical_G100000115839_ccs-rf</t>
  </si>
  <si>
    <t>ep_coal_subcritical_G100000101906-CHP_ccs-rf</t>
  </si>
  <si>
    <t>ep_coal_subcritical_G100000104599-CHP_ccs-rf</t>
  </si>
  <si>
    <t>ep_coal_subcritical_G100000104650-CHP_ccs-rf</t>
  </si>
  <si>
    <t>ep_coal_ultra-supercritical_G100000102365_ccs-rf</t>
  </si>
  <si>
    <t>ep_coal_supercritical_G100000103291_ccs-rf</t>
  </si>
  <si>
    <t>ep_coal_supercritical_G100000103148_ccs-rf</t>
  </si>
  <si>
    <t>ep_coal_ultra-supercritical_G100000115834-CHP_ccs-rf</t>
  </si>
  <si>
    <t>ep_coal_supercritical_G100000108195-CHP_ccs-rf</t>
  </si>
  <si>
    <t>ep_coal_ultra-supercritical_G100000110097_ccs-rf</t>
  </si>
  <si>
    <t>ep_coal_ultra-supercritical_G100000103823_ccs-rf</t>
  </si>
  <si>
    <t>ep_coal_ultra-supercritical_G100000114825-CHP_ccs-rf</t>
  </si>
  <si>
    <t>ep_coal_supercritical_G100000108803-CHP_ccs-rf</t>
  </si>
  <si>
    <t>ep_coal_ultra-supercritical_G100000104212_ccs-rf</t>
  </si>
  <si>
    <t>ep_coal_subcritical_G100000102726-CHP_ccs-rf</t>
  </si>
  <si>
    <t>ep_coal_subcritical_G100000104155-CHP_ccs-rf</t>
  </si>
  <si>
    <t>ep_coal_subcritical_G100000111242-CHP_ccs-rf</t>
  </si>
  <si>
    <t>ep_coal_subcritical_G100000104210-CHP_ccs-rf</t>
  </si>
  <si>
    <t>ep_coal_subcritical_G100000105059-CHP_ccs-rf</t>
  </si>
  <si>
    <t>ep_coal_subcritical_G100000104126-CHP_ccs-rf</t>
  </si>
  <si>
    <t>ep_coal_subcritical_G100000111208-CHP_ccs-rf</t>
  </si>
  <si>
    <t>ep_coal_supercritical_G100000107992-CHP_ccs-rf</t>
  </si>
  <si>
    <t>ep_coal_supercritical_G100000106341-CHP_ccs-rf</t>
  </si>
  <si>
    <t>ep_coal_supercritical_G100000110121-CHP_ccs-rf</t>
  </si>
  <si>
    <t>ep_coal_ultra-supercritical_G100000115851_ccs-rf</t>
  </si>
  <si>
    <t>ep_coal_subcritical_G100000104449-CHP_ccs-rf</t>
  </si>
  <si>
    <t>ep_coal_subcritical_G100000111309_ccs-rf</t>
  </si>
  <si>
    <t>ep_coal_ultra-supercritical_G100000115956_ccs-rf</t>
  </si>
  <si>
    <t>ep_coal_subcritical_G100000108270-CHP_ccs-rf</t>
  </si>
  <si>
    <t>ep_coal_subcritical_G100000109819-CHP_ccs-rf</t>
  </si>
  <si>
    <t>ep_coal_subcritical_G100000101916-CHP_ccs-rf</t>
  </si>
  <si>
    <t>ep_coal_subcritical_G100000103723_ccs-rf</t>
  </si>
  <si>
    <t>ep_coal_subcritical_G100000106268-CHP_ccs-rf</t>
  </si>
  <si>
    <t>ep_coal_subcritical_G100000108404_ccs-rf</t>
  </si>
  <si>
    <t>ep_coal_subcritical_G100000109051-CHP_ccs-rf</t>
  </si>
  <si>
    <t>ep_coal_subcritical_G100000110480-CHP_ccs-rf</t>
  </si>
  <si>
    <t>ep_coal_subcritical_G100000101193-CHP_ccs-rf</t>
  </si>
  <si>
    <t>ep_coal_subcritical_G100000113245-CHP_ccs-rf</t>
  </si>
  <si>
    <t>ep_coal_subcritical_G100000112045-CHP_ccs-rf</t>
  </si>
  <si>
    <t>ep_coal_subcritical_G100000102146-CHP_ccs-rf</t>
  </si>
  <si>
    <t>ep_coal_subcritical_G100000110833-CHP_ccs-rf</t>
  </si>
  <si>
    <t>ep_coal_supercritical_G100000101358-CHP_ccs-rf</t>
  </si>
  <si>
    <t>ep_coal_supercritical_G100000109293-CHP_ccs-rf</t>
  </si>
  <si>
    <t>ep_coal_supercritical_G100000112453-CHP_ccs-rf</t>
  </si>
  <si>
    <t>ep_coal_supercritical_G100000103557-CHP_ccs-rf</t>
  </si>
  <si>
    <t>ep_coal_supercritical_G100000112179-CHP_ccs-rf</t>
  </si>
  <si>
    <t>ep_coal_supercritical_G100000105256-CHP_ccs-rf</t>
  </si>
  <si>
    <t>ep_gas_combined_cycle_G100000405179-CHP_ccs-rf</t>
  </si>
  <si>
    <t>ep_gas_combined_cycle_G100000412522_ccs-rf</t>
  </si>
  <si>
    <t>ep_gas_combined_cycle_G100000405456-CHP_ccs-rf</t>
  </si>
  <si>
    <t>ep_gas_combined_cycle_G100000405414_ccs-rf</t>
  </si>
  <si>
    <t>ep_gas_combined_cycle_G100000405264-CHP_ccs-rf</t>
  </si>
  <si>
    <t>ep_gas_combined_cycle_G100000405336-CHP_ccs-rf</t>
  </si>
  <si>
    <t>ep_gas_combined_cycle_G100000412497_ccs-rf</t>
  </si>
  <si>
    <t>ep_gas_combined_cycle_G100000410257_ccs-rf</t>
  </si>
  <si>
    <t>ep_gas_combined_cycle_G100000410719_ccs-rf</t>
  </si>
  <si>
    <t>ep_gas_combined_cycle_G100000405670-CHP_ccs-rf</t>
  </si>
  <si>
    <t>ep_gas_combined_cycle_G100000405666_ccs-rf</t>
  </si>
  <si>
    <t>ep_gas_combined_cycle_G100000405165-CHP_ccs-rf</t>
  </si>
  <si>
    <t>ep_gas_combined_cycle_G100000405375-CHP_ccs-rf</t>
  </si>
  <si>
    <t>ep_gas_combined_cycle_G100000405719-CHP_ccs-rf</t>
  </si>
  <si>
    <t>ep_gas_combined_cycle_G100000405653_ccs-rf</t>
  </si>
  <si>
    <t>ep_gas_combined_cycle_G100000405524-CHP_ccs-rf</t>
  </si>
  <si>
    <t>ep_gas_combined_cycle_G100000405625-CHP_ccs-rf</t>
  </si>
  <si>
    <t>ep_gas_combined_cycle_G100000410622_ccs-rf</t>
  </si>
  <si>
    <t>ep_gas_combined_cycle_G100000405353-CHP_ccs-rf</t>
  </si>
  <si>
    <t>ep_coal_ultra-supercritical_G100000102817-CHP_ccs-rf</t>
  </si>
  <si>
    <t>ep_coal_ultra-supercritical_G100000103463_ccs-rf</t>
  </si>
  <si>
    <t>ep_coal_ultra-supercritical_G100000103414_ccs-rf</t>
  </si>
  <si>
    <t>ep_coal_ultra-supercritical_G100000107476-CHP_ccs-rf</t>
  </si>
  <si>
    <t>ep_coal_subcritical_G100000113573-CHP_ccs-rf</t>
  </si>
  <si>
    <t>ep_coal_subcritical_G100000107793_ccs-rf</t>
  </si>
  <si>
    <t>ep_coal_ultra-supercritical_G100000111294_ccs-rf</t>
  </si>
  <si>
    <t>ep_coal_ultra-supercritical_G100001000235_ccs-rf</t>
  </si>
  <si>
    <t>ep_coal_ultra-supercritical_G100000112930_ccs-rf</t>
  </si>
  <si>
    <t>ep_coal_supercritical_G100000111028_ccs-rf</t>
  </si>
  <si>
    <t>ep_coal_ultra-supercritical_G100000104181_ccs-rf</t>
  </si>
  <si>
    <t>ep_coal_supercritical_G100000105546-CHP_ccs-rf</t>
  </si>
  <si>
    <t>ep_coal_subcritical_G100000104217-CHP_ccs-rf</t>
  </si>
  <si>
    <t>ep_coal_subcritical_G100000104441-CHP_ccs-rf</t>
  </si>
  <si>
    <t>ep_coal_subcritical_G100000111576-CHP_ccs-rf</t>
  </si>
  <si>
    <t>ep_coal_subcritical_G100000111620_ccs-rf</t>
  </si>
  <si>
    <t>ep_coal_subcritical_G100000104242-CHP_ccs-rf</t>
  </si>
  <si>
    <t>ep_coal_subcritical_G100000112058-CHP_ccs-rf</t>
  </si>
  <si>
    <t>ep_coal_subcritical_G100000101914-CHP_ccs-rf</t>
  </si>
  <si>
    <t>ep_coal_subcritical_G100000102809_ccs-rf</t>
  </si>
  <si>
    <t>ep_coal_subcritical_G100000104444_ccs-rf</t>
  </si>
  <si>
    <t>ep_coal_supercritical_G100001020259-CHP_ccs-rf</t>
  </si>
  <si>
    <t>ep_coal_supercritical_G100000109941-CHP_ccs-rf</t>
  </si>
  <si>
    <t>ep_coal_supercritical_G100000103373-CHP_ccs-rf</t>
  </si>
  <si>
    <t>ep_coal_supercritical_G100000104867-CHP_ccs-rf</t>
  </si>
  <si>
    <t>ep_coal_ultra-supercritical_G100000111143_ccs-rf</t>
  </si>
  <si>
    <t>ep_coal_subcritical_G100000104537-CHP_ccs-rf</t>
  </si>
  <si>
    <t>ep_coal_ultra-supercritical_G100000110163-CHP_ccs-rf</t>
  </si>
  <si>
    <t>ep_coal_supercritical_G100000110723-CHP_ccs-rf</t>
  </si>
  <si>
    <t>ep_coal_ultra-supercritical_G100000102216_ccs-rf</t>
  </si>
  <si>
    <t>ep_coal_subcritical_G100000111635-CHP_ccs-rf</t>
  </si>
  <si>
    <t>ep_coal_subcritical_G100000102558-CHP_ccs-rf</t>
  </si>
  <si>
    <t>ep_coal_subcritical_G100000104218-CHP_ccs-rf</t>
  </si>
  <si>
    <t>ep_coal_subcritical_G100000104131_ccs-rf</t>
  </si>
  <si>
    <t>ep_coal_subcritical_G100000100905-CHP_ccs-rf</t>
  </si>
  <si>
    <t>ep_coal_subcritical_G100000100557-CHP_ccs-rf</t>
  </si>
  <si>
    <t>ep_coal_subcritical_G100000115062-CHP_ccs-rf</t>
  </si>
  <si>
    <t>ep_coal_subcritical_G100000104532-CHP_ccs-rf</t>
  </si>
  <si>
    <t>ep_coal_subcritical_G100000104735-CHP_ccs-rf</t>
  </si>
  <si>
    <t>ep_coal_subcritical_G100000106288-CHP_ccs-rf</t>
  </si>
  <si>
    <t>ep_coal_subcritical_G100000109250-CHP_ccs-rf</t>
  </si>
  <si>
    <t>ep_coal_subcritical_G100000111280-CHP_ccs-rf</t>
  </si>
  <si>
    <t>ep_coal_supercritical_G100000101964-CHP_ccs-rf</t>
  </si>
  <si>
    <t>ep_coal_supercritical_G100000106334-CHP_ccs-rf</t>
  </si>
  <si>
    <t>ep_coal_supercritical_G100000101492-CHP_ccs-rf</t>
  </si>
  <si>
    <t>ep_coal_supercritical_G100000103436-CHP_ccs-rf</t>
  </si>
  <si>
    <t>ep_coal_ultra-supercritical_G100000115436_ccs-rf</t>
  </si>
  <si>
    <t>ep_coal_supercritical_G100000109654-CHP_ccs-rf</t>
  </si>
  <si>
    <t>ep_coal_subcritical_G100000102376-CHP_ccs-rf</t>
  </si>
  <si>
    <t>ep_coal_subcritical_G100000103453_ccs-rf</t>
  </si>
  <si>
    <t>ep_coal_subcritical_G100000110271-CHP_ccs-rf</t>
  </si>
  <si>
    <t>ep_coal_supercritical_G100000101359-CHP_ccs-rf</t>
  </si>
  <si>
    <t>ep_coal_ultra-supercritical_G100000101551_ccs-rf</t>
  </si>
  <si>
    <t>ep_coal_supercritical_G100000101725-CHP_ccs-rf</t>
  </si>
  <si>
    <t>ep_coal_ultra-supercritical_G100001000519_ccs-rf</t>
  </si>
  <si>
    <t>ep_coal_ultra-supercritical_G100001018090_ccs-rf</t>
  </si>
  <si>
    <t>ep_coal_ultra-supercritical_G100000102364_ccs-rf</t>
  </si>
  <si>
    <t>ep_coal_supercritical_G100000104237_ccs-rf</t>
  </si>
  <si>
    <t>ep_coal_supercritical_G100000104482-CHP_ccs-rf</t>
  </si>
  <si>
    <t>ep_coal_subcritical_G100000102153-CHP_ccs-rf</t>
  </si>
  <si>
    <t>ep_coal_subcritical_G100000109214-CHP_ccs-rf</t>
  </si>
  <si>
    <t>ep_coal_subcritical_G100000110727-CHP_ccs-rf</t>
  </si>
  <si>
    <t>ep_coal_subcritical_G100000110731-CHP_ccs-rf</t>
  </si>
  <si>
    <t>ep_coal_subcritical_G100000102286-CHP_ccs-rf</t>
  </si>
  <si>
    <t>ep_coal_subcritical_G100000109236_ccs-rf</t>
  </si>
  <si>
    <t>ep_coal_subcritical_G100000110817-CHP_ccs-rf</t>
  </si>
  <si>
    <t>ep_coal_subcritical_G100000111448-CHP_ccs-rf</t>
  </si>
  <si>
    <t>ep_coal_subcritical_G100000103188_ccs-rf</t>
  </si>
  <si>
    <t>ep_coal_subcritical_G100000111212-CHP_ccs-rf</t>
  </si>
  <si>
    <t>ep_coal_subcritical_G100000111456-CHP_ccs-rf</t>
  </si>
  <si>
    <t>ep_coal_supercritical_G100000104607-CHP_ccs-rf</t>
  </si>
  <si>
    <t>ep_coal_supercritical_G100000103614-CHP_ccs-rf</t>
  </si>
  <si>
    <t>ep_coal_supercritical_G100000111118-CHP_ccs-rf</t>
  </si>
  <si>
    <t>ep_coal_ultra-supercritical_G100000114709_ccs-rf</t>
  </si>
  <si>
    <t>ep_coal_ultra-supercritical_G100000104075-CHP_ccs-rf</t>
  </si>
  <si>
    <t>ep_coal_ultra-supercritical_G100000104063-CHP_ccs-rf</t>
  </si>
  <si>
    <t>ep_coal_ultra-supercritical_G100000109217_ccs-rf</t>
  </si>
  <si>
    <t>ep_coal_ultra-supercritical_G100000111603-CHP_ccs-rf</t>
  </si>
  <si>
    <t>ep_coal_ultra-supercritical_G100000104685_ccs-rf</t>
  </si>
  <si>
    <t>ep_coal_ultra-supercritical_G100000104624_ccs-rf</t>
  </si>
  <si>
    <t>ep_coal_ultra-supercritical_G100000115560_ccs-rf</t>
  </si>
  <si>
    <t>ep_coal_ultra-supercritical_G100000101728_ccs-rf</t>
  </si>
  <si>
    <t>ep_coal_ultra-supercritical_G100000115092_ccs-rf</t>
  </si>
  <si>
    <t>ep_coal_supercritical_G100000101759-CHP_ccs-rf</t>
  </si>
  <si>
    <t>ep_coal_supercritical_G100000104014-CHP_ccs-rf</t>
  </si>
  <si>
    <t>ep_coal_supercritical_G100000102937-CHP_ccs-rf</t>
  </si>
  <si>
    <t>ep_coal_ultra-supercritical_G100000106508_ccs-rf</t>
  </si>
  <si>
    <t>ep_coal_ultra-supercritical_G100000105083-CHP_ccs-rf</t>
  </si>
  <si>
    <t>ep_coal_supercritical_G100000107245-CHP_ccs-rf</t>
  </si>
  <si>
    <t>ep_coal_supercritical_G100000104510-CHP_ccs-rf</t>
  </si>
  <si>
    <t>ep_coal_supercritical_G100000104135_ccs-rf</t>
  </si>
  <si>
    <t>ep_coal_supercritical_G100000111215-CHP_ccs-rf</t>
  </si>
  <si>
    <t>ep_coal_subcritical_G100000102002-CHP_ccs-rf</t>
  </si>
  <si>
    <t>ep_coal_subcritical_G100000105153-CHP_ccs-rf</t>
  </si>
  <si>
    <t>ep_coal_subcritical_G100000108309-CHP_ccs-rf</t>
  </si>
  <si>
    <t>ep_coal_subcritical_G100000112455-CHP_ccs-rf</t>
  </si>
  <si>
    <t>ep_coal_subcritical_G100000110811-CHP_ccs-rf</t>
  </si>
  <si>
    <t>ep_coal_subcritical_G100000111751-CHP_ccs-rf</t>
  </si>
  <si>
    <t>ep_coal_subcritical_G100000104403-CHP_ccs-rf</t>
  </si>
  <si>
    <t>ep_coal_subcritical_G100000109061_ccs-rf</t>
  </si>
  <si>
    <t>ep_coal_subcritical_G100000104575-CHP_ccs-rf</t>
  </si>
  <si>
    <t>ep_coal_subcritical_G100000111347-CHP_ccs-rf</t>
  </si>
  <si>
    <t>ep_coal_subcritical_G100000111499-CHP_ccs-rf</t>
  </si>
  <si>
    <t>ep_coal_subcritical_G100000111580-CHP_ccs-rf</t>
  </si>
  <si>
    <t>ep_coal_supercritical_G100000111697-CHP_ccs-rf</t>
  </si>
  <si>
    <t>ep_coal_supercritical_G100001003799_ccs-rf</t>
  </si>
  <si>
    <t>ep_coal_ultra-supercritical_G100000102816-CHP_ccs-rf</t>
  </si>
  <si>
    <t>ep_coal_ultra-supercritical_G100000114803_ccs-rf</t>
  </si>
  <si>
    <t>ep_coal_ultra-supercritical_G100000115401_ccs-rf</t>
  </si>
  <si>
    <t>ep_coal_ultra-supercritical_G100000115903_ccs-rf</t>
  </si>
  <si>
    <t>ep_coal_supercritical_G100000104481-CHP_ccs-rf</t>
  </si>
  <si>
    <t>ep_coal_ultra-supercritical_G100000104167-CHP_ccs-rf</t>
  </si>
  <si>
    <t>ep_coal_supercritical_G100000111098-CHP_ccs-rf</t>
  </si>
  <si>
    <t>ep_coal_ultra-supercritical_G100000111476-CHP_ccs-rf</t>
  </si>
  <si>
    <t>ep_coal_supercritical_G100000104189_ccs-rf</t>
  </si>
  <si>
    <t>ep_coal_ultra-supercritical_G100001006151-CHP_ccs-rf</t>
  </si>
  <si>
    <t>ep_coal_subcritical_G100000103724_ccs-rf</t>
  </si>
  <si>
    <t>ep_coal_subcritical_G100000111292-CHP_ccs-rf</t>
  </si>
  <si>
    <t>ep_coal_subcritical_G100000111348-CHP_ccs-rf</t>
  </si>
  <si>
    <t>ep_coal_subcritical_G100000111575-CHP_ccs-rf</t>
  </si>
  <si>
    <t>ep_coal_subcritical_G100000105450-CHP_ccs-rf</t>
  </si>
  <si>
    <t>ep_coal_subcritical_G100000108005-CHP_ccs-rf</t>
  </si>
  <si>
    <t>ep_coal_subcritical_G100000110823-CHP_ccs-rf</t>
  </si>
  <si>
    <t>ep_coal_subcritical_G100000111109-CHP_ccs-rf</t>
  </si>
  <si>
    <t>ep_coal_subcritical_G100000103259-CHP_ccs-rf</t>
  </si>
  <si>
    <t>ep_coal_subcritical_G100000104740_ccs-rf</t>
  </si>
  <si>
    <t>ep_coal_supercritical_G100000105143_ccs-rf</t>
  </si>
  <si>
    <t>ep_coal_supercritical_G100000103475-CHP_ccs-rf</t>
  </si>
  <si>
    <t>ep_coal_supercritical_G100000104100-CHP_ccs-rf</t>
  </si>
  <si>
    <t>ep_coal_ultra-supercritical_G100000102810_ccs-rf</t>
  </si>
  <si>
    <t>ep_coal_ultra-supercritical_G100000115639_ccs-rf</t>
  </si>
  <si>
    <t>ep_coal_ultra-supercritical_G100000115655_ccs-rf</t>
  </si>
  <si>
    <t>ep_coal_ultra-supercritical_G100000111313_ccs-rf</t>
  </si>
  <si>
    <t>ep_coal_ultra-supercritical_G100000115531_ccs-rf</t>
  </si>
  <si>
    <t>ep_coal_ultra-supercritical_G100000109206_ccs-rf</t>
  </si>
  <si>
    <t>ep_coal_ultra-supercritical_G100000115825-CHP_ccs-rf</t>
  </si>
  <si>
    <t>ep_coal_subcritical_G100000103219_ccs-rf</t>
  </si>
  <si>
    <t>ep_coal_subcritical_G100000106517_ccs-rf</t>
  </si>
  <si>
    <t>ep_coal_ultra-supercritical_G100000115500_ccs-rf</t>
  </si>
  <si>
    <t>ep_coal_ultra-supercritical_G100000111295_ccs-rf</t>
  </si>
  <si>
    <t>ep_coal_ultra-supercritical_G100000103869-CHP_ccs-rf</t>
  </si>
  <si>
    <t>ep_coal_ultra-supercritical_G100000104059_ccs-rf</t>
  </si>
  <si>
    <t>ep_coal_ultra-supercritical_G100000110096_ccs-rf</t>
  </si>
  <si>
    <t>ep_coal_subcritical_G100000106280-CHP_ccs-rf</t>
  </si>
  <si>
    <t>ep_coal_subcritical_G100000106755_ccs-rf</t>
  </si>
  <si>
    <t>ep_coal_subcritical_G100000111097-CHP_ccs-rf</t>
  </si>
  <si>
    <t>ep_coal_subcritical_G100000111095-CHP_ccs-rf</t>
  </si>
  <si>
    <t>ep_coal_subcritical_G100000107754_ccs-rf</t>
  </si>
  <si>
    <t>ep_coal_subcritical_G100000111014-CHP_ccs-rf</t>
  </si>
  <si>
    <t>ep_coal_subcritical_G100000103423-CHP_ccs-rf</t>
  </si>
  <si>
    <t>ep_coal_subcritical_G100000102559-CHP_ccs-rf</t>
  </si>
  <si>
    <t>ep_coal_subcritical_G100000103164-CHP_ccs-rf</t>
  </si>
  <si>
    <t>ep_coal_subcritical_G100000106234_ccs-rf</t>
  </si>
  <si>
    <t>ep_coal_supercritical_G100000101491-CHP_ccs-rf</t>
  </si>
  <si>
    <t>ep_coal_supercritical_G100000111288-CHP_ccs-rf</t>
  </si>
  <si>
    <t>ep_gas_combined_cycle_G100000405808-CHP_ccs-rf</t>
  </si>
  <si>
    <t>ep_gas_combined_cycle_G100000405324_ccs-rf</t>
  </si>
  <si>
    <t>ep_gas_combined_cycle_G100000405827-CHP_ccs-rf</t>
  </si>
  <si>
    <t>ep_gas_combined_cycle_G100000405415-CHP_ccs-rf</t>
  </si>
  <si>
    <t>ep_gas_combined_cycle_G100000410730_ccs-rf</t>
  </si>
  <si>
    <t>ep_gas_combined_cycle_G100000405695-CHP_ccs-rf</t>
  </si>
  <si>
    <t>ep_gas_combined_cycle_G100000405530_ccs-rf</t>
  </si>
  <si>
    <t>ep_gas_combined_cycle_G100000405217-CHP_ccs-rf</t>
  </si>
  <si>
    <t>ep_gas_combined_cycle_G100000412471-CHP_ccs-rf</t>
  </si>
  <si>
    <t>ep_gas_combined_cycle_G100000410551_ccs-rf</t>
  </si>
  <si>
    <t>ep_coal_ultra-supercritical_G100000104684_ccs-rf</t>
  </si>
  <si>
    <t>ep_coal_ultra-supercritical_G100000111756-CHP_ccs-rf</t>
  </si>
  <si>
    <t>ep_coal_ultra-supercritical_G100000115370-CHP_ccs-rf</t>
  </si>
  <si>
    <t>ep_coal_ultra-supercritical_G100000113343_ccs-rf</t>
  </si>
  <si>
    <t>ep_coal_subcritical_CCS_G100000107464-CHP_ccs-rf</t>
  </si>
  <si>
    <t>ep_coal_subcritical_G100000111594-CHP_ccs-rf</t>
  </si>
  <si>
    <t>ep_coal_subcritical_G100000100708_ccs-rf</t>
  </si>
  <si>
    <t>ep_coal_ultra-supercritical_G100000112924-CHP_ccs-rf</t>
  </si>
  <si>
    <t>ep_coal_ultra-supercritical_G100000115621_ccs-rf</t>
  </si>
  <si>
    <t>ep_coal_supercritical_G100000102118-CHP_ccs-rf</t>
  </si>
  <si>
    <t>ep_coal_supercritical_G100001000515_ccs-rf</t>
  </si>
  <si>
    <t>ep_coal_ultra-supercritical_G100000103442_ccs-rf</t>
  </si>
  <si>
    <t>ep_coal_ultra-supercritical_G100000115658_ccs-rf</t>
  </si>
  <si>
    <t>ep_coal_supercritical_G100000105441-CHP_ccs-rf</t>
  </si>
  <si>
    <t>ep_coal_ultra-supercritical_G100000114704_ccs-rf</t>
  </si>
  <si>
    <t>ep_coal_supercritical_G100000111030_ccs-rf</t>
  </si>
  <si>
    <t>ep_coal_supercritical_G100000111070_ccs-rf</t>
  </si>
  <si>
    <t>ep_coal_ultra-supercritical_G100001000212_ccs-rf</t>
  </si>
  <si>
    <t>ep_coal_supercritical_G100000111571-CHP_ccs-rf</t>
  </si>
  <si>
    <t>ep_coal_ultra-supercritical_G100000101516_ccs-rf</t>
  </si>
  <si>
    <t>ep_coal_subcritical_G100000101732-CHP_ccs-rf</t>
  </si>
  <si>
    <t>ep_coal_subcritical_G100000105212-CHP_ccs-rf</t>
  </si>
  <si>
    <t>ep_coal_subcritical_G100000103289-CHP_ccs-rf</t>
  </si>
  <si>
    <t>ep_coal_subcritical_G100000103165-CHP_ccs-rf</t>
  </si>
  <si>
    <t>ep_coal_subcritical_G100000103217-CHP_ccs-rf</t>
  </si>
  <si>
    <t>ep_coal_subcritical_G100000103950-CHP_ccs-rf</t>
  </si>
  <si>
    <t>ep_coal_subcritical_G100000109854-CHP_ccs-rf</t>
  </si>
  <si>
    <t>ep_coal_subcritical_G100000100670-CHP_ccs-rf</t>
  </si>
  <si>
    <t>ep_coal_supercritical_G100000105582-CHP_ccs-rf</t>
  </si>
  <si>
    <t>ep_coal_supercritical_G100000115242-CHP_ccs-rf</t>
  </si>
  <si>
    <t>ep_coal_supercritical_G100000115848-CHP_ccs-rf</t>
  </si>
  <si>
    <t>ep_coal_ultra-supercritical_G100000108245_ccs-rf</t>
  </si>
  <si>
    <t>ep_coal_supercritical_G100000112761_ccs-rf</t>
  </si>
  <si>
    <t>ep_coal_ultra-supercritical_G100000108892_ccs-rf</t>
  </si>
  <si>
    <t>ep_coal_ultra-supercritical_G100000115638_ccs-rf</t>
  </si>
  <si>
    <t>ep_coal_ultra-supercritical_G100000115883_ccs-rf</t>
  </si>
  <si>
    <t>ep_coal_ultra-supercritical_G100000114826-CHP_ccs-rf</t>
  </si>
  <si>
    <t>ep_coal_ultra-supercritical_G100000114498-CHP_ccs-rf</t>
  </si>
  <si>
    <t>ep_coal_ultra-supercritical_G100000104608-CHP_ccs-rf</t>
  </si>
  <si>
    <t>ep_coal_subcritical_G100000111247-CHP_ccs-rf</t>
  </si>
  <si>
    <t>ep_coal_subcritical_G100000111656-CHP_ccs-rf</t>
  </si>
  <si>
    <t>ep_coal_subcritical_G100000102061_ccs-rf</t>
  </si>
  <si>
    <t>ep_coal_subcritical_G100000103943-CHP_ccs-rf</t>
  </si>
  <si>
    <t>ep_coal_subcritical_G100000106111-CHP_ccs-rf</t>
  </si>
  <si>
    <t>ep_coal_subcritical_G100000108791-CHP_ccs-rf</t>
  </si>
  <si>
    <t>ep_coal_subcritical_G100000109153-CHP_ccs-rf</t>
  </si>
  <si>
    <t>ep_coal_subcritical_G100000110818-CHP_ccs-rf</t>
  </si>
  <si>
    <t>ep_coal_subcritical_G100000103859_ccs-rf</t>
  </si>
  <si>
    <t>ep_coal_subcritical_G100000104012-CHP_ccs-rf</t>
  </si>
  <si>
    <t>ep_coal_subcritical_G100000104437-CHP_ccs-rf</t>
  </si>
  <si>
    <t>ep_coal_subcritical_G100000111016-CHP_ccs-rf</t>
  </si>
  <si>
    <t>ep_coal_subcritical_G100000111653-CHP_ccs-rf</t>
  </si>
  <si>
    <t>ep_coal_supercritical_G100000104463-CHP_ccs-rf</t>
  </si>
  <si>
    <t>ep_coal_supercritical_G100000109835_ccs-rf</t>
  </si>
  <si>
    <t>ep_coal_ultra-supercritical_G100000102942_ccs-rf</t>
  </si>
  <si>
    <t>ep_coal_ultra-supercritical_G100000103449-CHP_ccs-rf</t>
  </si>
  <si>
    <t>ep_coal_subcritical_G100000107791_ccs-rf</t>
  </si>
  <si>
    <t>ep_coal_subcritical_G100000111753-CHP_ccs-rf</t>
  </si>
  <si>
    <t>ep_coal_subcritical_G100000108274_ccs-rf</t>
  </si>
  <si>
    <t>ep_coal_subcritical_G100000111017_ccs-rf</t>
  </si>
  <si>
    <t>ep_coal_ultra-supercritical_G100001000220_ccs-rf</t>
  </si>
  <si>
    <t>ep_coal_ultra-supercritical_G100000113300_ccs-rf</t>
  </si>
  <si>
    <t>ep_coal_ultra-supercritical_G100000111658_ccs-rf</t>
  </si>
  <si>
    <t>ep_coal_supercritical_G100000102055_ccs-rf</t>
  </si>
  <si>
    <t>ep_coal_subcritical_G100000105213-CHP_ccs-rf</t>
  </si>
  <si>
    <t>ep_coal_subcritical_G100000102221-CHP_ccs-rf</t>
  </si>
  <si>
    <t>ep_coal_subcritical_G100000107238-CHP_ccs-rf</t>
  </si>
  <si>
    <t>ep_coal_subcritical_G100000111645-CHP_ccs-rf</t>
  </si>
  <si>
    <t>ep_coal_subcritical_G100000103841-CHP_ccs-rf</t>
  </si>
  <si>
    <t>ep_coal_subcritical_G100000104706_ccs-rf</t>
  </si>
  <si>
    <t>ep_coal_subcritical_G100000108280_ccs-rf</t>
  </si>
  <si>
    <t>ep_coal_subcritical_G100000109114-CHP_ccs-rf</t>
  </si>
  <si>
    <t>ep_coal_subcritical_G100000102052-CHP_ccs-rf</t>
  </si>
  <si>
    <t>ep_coal_subcritical_G100000104041-CHP_ccs-rf</t>
  </si>
  <si>
    <t>ep_coal_subcritical_G100000104392_ccs-rf</t>
  </si>
  <si>
    <t>ep_coal_supercritical_G100000103320-CHP_ccs-rf</t>
  </si>
  <si>
    <t>ep_coal_supercritical_G100000101744-CHP_ccs-rf</t>
  </si>
  <si>
    <t>ep_coal_supercritical_G100000103169-CHP_ccs-rf</t>
  </si>
  <si>
    <t>ep_coal_ultra-supercritical_G100000115828-CHP_ccs-rf</t>
  </si>
  <si>
    <t>ep_coal_supercritical_G100000105301-CHP_ccs-rf</t>
  </si>
  <si>
    <t>ep_coal_ultra-supercritical_G100000104366-CHP_ccs-rf</t>
  </si>
  <si>
    <t>ep_coal_ultra-supercritical_G100000111201_ccs-rf</t>
  </si>
  <si>
    <t>ep_coal_subcritical_G100000101907-CHP_ccs-rf</t>
  </si>
  <si>
    <t>ep_coal_subcritical_G100000103603-CHP_ccs-rf</t>
  </si>
  <si>
    <t>ep_coal_subcritical_G100000104513-CHP_ccs-rf</t>
  </si>
  <si>
    <t>ep_coal_ultra-supercritical_G100000102048_ccs-rf</t>
  </si>
  <si>
    <t>ep_coal_ultra-supercritical_G100000112044-CHP_ccs-rf</t>
  </si>
  <si>
    <t>ep_coal_ultra-supercritical_G100000109138_ccs-rf</t>
  </si>
  <si>
    <t>ep_coal_supercritical_G100000103365-CHP_ccs-rf</t>
  </si>
  <si>
    <t>ep_coal_ultra-supercritical_G100000115338_ccs-rf</t>
  </si>
  <si>
    <t>ep_coal_supercritical_G100000104022_ccs-rf</t>
  </si>
  <si>
    <t>ep_coal_supercritical_G100000103974_ccs-rf</t>
  </si>
  <si>
    <t>ep_coal_supercritical_G100000110273-CHP_ccs-rf</t>
  </si>
  <si>
    <t>ep_coal_subcritical_G100000111587-CHP_ccs-rf</t>
  </si>
  <si>
    <t>ep_coal_subcritical_G100000111419_ccs-rf</t>
  </si>
  <si>
    <t>ep_coal_subcritical_G100000102553-CHP_ccs-rf</t>
  </si>
  <si>
    <t>ep_coal_subcritical_G100000103203-CHP_ccs-rf</t>
  </si>
  <si>
    <t>ep_coal_subcritical_G100000109039-CHP_ccs-rf</t>
  </si>
  <si>
    <t>ep_coal_subcritical_G100000110146-CHP_ccs-rf</t>
  </si>
  <si>
    <t>ep_coal_subcritical_G100000110794-CHP_ccs-rf</t>
  </si>
  <si>
    <t>ep_coal_supercritical_G100000104072-CHP_ccs-rf</t>
  </si>
  <si>
    <t>ep_coal_supercritical_G100000102428-CHP_ccs-rf</t>
  </si>
  <si>
    <t>ep_coal_supercritical_G100000102109-CHP_ccs-rf</t>
  </si>
  <si>
    <t>ep_coal_supercritical_G100000109048-CHP_ccs-rf</t>
  </si>
  <si>
    <t>ep_coal_ultra-supercritical_G100000111142_ccs-rf</t>
  </si>
  <si>
    <t>ep_coal_ultra-supercritical_G100000100235_ccs-rf</t>
  </si>
  <si>
    <t>ep_coal_ultra-supercritical_G100000104682_ccs-rf</t>
  </si>
  <si>
    <t>ep_coal_ultra-supercritical_G100000102872_ccs-rf</t>
  </si>
  <si>
    <t>ep_coal_ultra-supercritical_G100000104182_ccs-rf</t>
  </si>
  <si>
    <t>ep_coal_ultra-supercritical_G100000106859_ccs-rf</t>
  </si>
  <si>
    <t>ep_coal_supercritical_G100000109033_ccs-rf</t>
  </si>
  <si>
    <t>ep_coal_ultra-supercritical_G100000109116-CHP_ccs-rf</t>
  </si>
  <si>
    <t>ep_coal_ultra-supercritical_G100000109149_ccs-rf</t>
  </si>
  <si>
    <t>ep_coal_ultra-supercritical_G100000115651-CHP_ccs-rf</t>
  </si>
  <si>
    <t>ep_coal_ultra-supercritical_G100000115904_ccs-rf</t>
  </si>
  <si>
    <t>ep_coal_supercritical_G100000108802-CHP_ccs-rf</t>
  </si>
  <si>
    <t>ep_coal_ultra-supercritical_G100000104007-CHP_ccs-rf</t>
  </si>
  <si>
    <t>ep_coal_supercritical_G100000101396_ccs-rf</t>
  </si>
  <si>
    <t>ep_coal_subcritical_G100000103794-CHP_ccs-rf</t>
  </si>
  <si>
    <t>ep_coal_subcritical_G100000102106_ccs-rf</t>
  </si>
  <si>
    <t>ep_coal_subcritical_G100000109299-CHP_ccs-rf</t>
  </si>
  <si>
    <t>ep_coal_subcritical_G100000110796-CHP_ccs-rf</t>
  </si>
  <si>
    <t>ep_coal_subcritical_G100000111329-CHP_ccs-rf</t>
  </si>
  <si>
    <t>ep_coal_subcritical_G100000101515-CHP_ccs-rf</t>
  </si>
  <si>
    <t>ep_coal_subcritical_G100000103968-CHP_ccs-rf</t>
  </si>
  <si>
    <t>ep_coal_subcritical_G100000105394-CHP_ccs-rf</t>
  </si>
  <si>
    <t>ep_coal_subcritical_G100000107075-CHP_ccs-rf</t>
  </si>
  <si>
    <t>ep_coal_subcritical_G100000100906-CHP_ccs-rf</t>
  </si>
  <si>
    <t>ep_coal_subcritical_G100000112030-CHP_ccs-rf</t>
  </si>
  <si>
    <t>ep_coal_subcritical_G100000111577-CHP_ccs-rf</t>
  </si>
  <si>
    <t>ep_coal_subcritical_G100000102308-CHP_ccs-rf</t>
  </si>
  <si>
    <t>ep_coal_supercritical_G100000111713-CHP_ccs-rf</t>
  </si>
  <si>
    <t>ep_coal_supercritical_G100000113267-CHP_ccs-rf</t>
  </si>
  <si>
    <t>ep_coal_ultra-supercritical_G100000115731_ccs-rf</t>
  </si>
  <si>
    <t>ep_coal_ultra-supercritical_G100000103459_ccs-rf</t>
  </si>
  <si>
    <t>ep_coal_ultra-supercritical_G100000101729_ccs-rf</t>
  </si>
  <si>
    <t>ep_coal_ultra-supercritical_G100000111569_ccs-rf</t>
  </si>
  <si>
    <t>ep_coal_subcritical_G100000111616_ccs-rf</t>
  </si>
  <si>
    <t>ep_coal_subcritical_G100000103619-CHP_ccs-rf</t>
  </si>
  <si>
    <t>ep_coal_supercritical_G100000103205_ccs-rf</t>
  </si>
  <si>
    <t>ep_coal_ultra-supercritical_G100000111639-CHP_ccs-rf</t>
  </si>
  <si>
    <t>ep_coal_ultra-supercritical_G100000114978-CHP_ccs-rf</t>
  </si>
  <si>
    <t>ep_coal_ultra-supercritical_G100000112929_ccs-rf</t>
  </si>
  <si>
    <t>ep_coal_ultra-supercritical_G100000102192_ccs-rf</t>
  </si>
  <si>
    <t>ep_coal_supercritical_G100000111193_ccs-rf</t>
  </si>
  <si>
    <t>ep_coal_subcritical_G100000112621-CHP_ccs-rf</t>
  </si>
  <si>
    <t>ep_coal_subcritical_G100000102004-CHP_ccs-rf</t>
  </si>
  <si>
    <t>ep_coal_subcritical_G100000106109_ccs-rf</t>
  </si>
  <si>
    <t>ep_coal_subcritical_G100000102003-CHP_ccs-rf</t>
  </si>
  <si>
    <t>ep_coal_subcritical_G100000109152-CHP_ccs-rf</t>
  </si>
  <si>
    <t>ep_coal_subcritical_G100000104095-CHP_ccs-rf</t>
  </si>
  <si>
    <t>ep_coal_subcritical_G100000111248-CHP_ccs-rf</t>
  </si>
  <si>
    <t>ep_coal_supercritical_G100000112178-CHP_ccs-rf</t>
  </si>
  <si>
    <t>ep_coal_supercritical_G100000103348-CHP_ccs-rf</t>
  </si>
  <si>
    <t>ep_coal_supercritical_G100000109762-CHP_ccs-rf</t>
  </si>
  <si>
    <t>ep_gas_combined_cycle_G100000405658-CHP_ccs-rf</t>
  </si>
  <si>
    <t>ep_gas_combined_cycle_G100000405293-CHP_ccs-rf</t>
  </si>
  <si>
    <t>ep_gas_combined_cycle_G100000410216_ccs-rf</t>
  </si>
  <si>
    <t>ep_gas_combined_cycle_G100000410667-CHP_ccs-rf</t>
  </si>
  <si>
    <t>ep_gas_combined_cycle_G100000405683_ccs-rf</t>
  </si>
  <si>
    <t>ep_gas_combined_cycle_G100000405594-CHP_ccs-rf</t>
  </si>
  <si>
    <t>ep_gas_combined_cycle_G100000409635-CHP_ccs-rf</t>
  </si>
  <si>
    <t>ep_gas_combined_cycle_G100000405521-CHP_ccs-rf</t>
  </si>
  <si>
    <t>ep_gas_combined_cycle_G100000405826-CHP_ccs-rf</t>
  </si>
  <si>
    <t>ep_gas_combined_cycle_G100000405810-CHP_ccs-rf</t>
  </si>
  <si>
    <t>ep_gas_combined_cycle_G100000412264-CHP_ccs-rf</t>
  </si>
  <si>
    <t>ep_gas_combined_cycle_G100000412265-CHP_ccs-rf</t>
  </si>
  <si>
    <t>ep_gas_combined_cycle_G100000405427-CHP_ccs-rf</t>
  </si>
  <si>
    <t>ep_gas_combined_cycle_G100000405563-CHP_ccs-rf</t>
  </si>
  <si>
    <t>ep_gas_combined_cycle_G100000405213-CHP_ccs-rf</t>
  </si>
  <si>
    <t>ep_gas_combined_cycle_G100000410256_ccs-rf</t>
  </si>
  <si>
    <t>ep_gas_combined_cycle_G100000405424_ccs-rf</t>
  </si>
  <si>
    <t>ep_gas_combined_cycle_G100000405678_ccs-rf</t>
  </si>
  <si>
    <t>ep_coal_ultra-supercritical_CCS_G100000107469_ccs-rf</t>
  </si>
  <si>
    <t>ep_coal_ultra-supercritical_G100000115520_ccs-rf</t>
  </si>
  <si>
    <t>ep_coal_ultra-supercritical_G100000115838_ccs-rf</t>
  </si>
  <si>
    <t>ep_coal_ultra-supercritical_G100000115524_ccs-rf</t>
  </si>
  <si>
    <t>ep_coal_ultra-supercritical_G100000101468_ccs-rf</t>
  </si>
  <si>
    <t>ep_coal_ultra-supercritical_G100000101368_ccs-rf</t>
  </si>
  <si>
    <t>ep_coal_ultra-supercritical_G100000103153_ccs-rf</t>
  </si>
  <si>
    <t>ep_coal_subcritical_G100000102363_ccs-rf</t>
  </si>
  <si>
    <t>ep_coal_supercritical_G100000102156-CHP_ccs-rf</t>
  </si>
  <si>
    <t>ep_coal_ultra-supercritical_G100000103714_ccs-rf</t>
  </si>
  <si>
    <t>ep_coal_ultra-supercritical_G100000105102-CHP_ccs-rf</t>
  </si>
  <si>
    <t>ep_coal_supercritical_G100000109188-CHP_ccs-rf</t>
  </si>
  <si>
    <t>ep_coal_ultra-supercritical_G100000115467_ccs-rf</t>
  </si>
  <si>
    <t>ep_coal_supercritical_G100000111685_ccs-rf</t>
  </si>
  <si>
    <t>ep_coal_supercritical_G100000113574-CHP_ccs-rf</t>
  </si>
  <si>
    <t>ep_coal_ultra-supercritical_G100000113331-CHP_ccs-rf</t>
  </si>
  <si>
    <t>ep_coal_ultra-supercritical_G100000115013_ccs-rf</t>
  </si>
  <si>
    <t>ep_coal_subcritical_G100000102044_ccs-rf</t>
  </si>
  <si>
    <t>ep_coal_subcritical_G100000103738-CHP_ccs-rf</t>
  </si>
  <si>
    <t>ep_coal_subcritical_G100000104708-CHP_ccs-rf</t>
  </si>
  <si>
    <t>ep_coal_subcritical_G100000110829-CHP_ccs-rf</t>
  </si>
  <si>
    <t>ep_coal_subcritical_G100000102218-CHP_ccs-rf</t>
  </si>
  <si>
    <t>ep_coal_subcritical_G100000112664-CHP_ccs-rf</t>
  </si>
  <si>
    <t>ep_coal_subcritical_G100000109058-CHP_ccs-rf</t>
  </si>
  <si>
    <t>ep_coal_subcritical_G100000106113-CHP_ccs-rf</t>
  </si>
  <si>
    <t>ep_coal_supercritical_G100000103508-CHP_ccs-rf</t>
  </si>
  <si>
    <t>ep_coal_supercritical_G100000111039-CHP_ccs-rf</t>
  </si>
  <si>
    <t>ep_coal_supercritical_G100000108222-CHP_ccs-rf</t>
  </si>
  <si>
    <t>ep_coal_supercritical_G100000103302-CHP_ccs-rf</t>
  </si>
  <si>
    <t>ep_coal_ultra-supercritical_G100000115452_ccs-rf</t>
  </si>
  <si>
    <t>ep_coal_ultra-supercritical_G100001000280_ccs-rf</t>
  </si>
  <si>
    <t>ep_coal_subcritical_G100000109143_ccs-rf</t>
  </si>
  <si>
    <t>ep_coal_ultra-supercritical_G100000115339_ccs-rf</t>
  </si>
  <si>
    <t>ep_coal_supercritical_G100000101365_ccs-rf</t>
  </si>
  <si>
    <t>ep_coal_ultra-supercritical_G100000110977_ccs-rf</t>
  </si>
  <si>
    <t>ep_coal_supercritical_G100000103088_ccs-rf</t>
  </si>
  <si>
    <t>ep_coal_ultra-supercritical_G100000105134-CHP_ccs-rf</t>
  </si>
  <si>
    <t>ep_coal_supercritical_G100000107276_ccs-rf</t>
  </si>
  <si>
    <t>ep_coal_subcritical_G100000111302-CHP_ccs-rf</t>
  </si>
  <si>
    <t>ep_coal_subcritical_G100000101190-CHP_ccs-rf</t>
  </si>
  <si>
    <t>ep_coal_subcritical_G100000102190-CHP_ccs-rf</t>
  </si>
  <si>
    <t>ep_coal_subcritical_G100000109260-CHP_ccs-rf</t>
  </si>
  <si>
    <t>ep_coal_subcritical_G100000111088-CHP_ccs-rf</t>
  </si>
  <si>
    <t>ep_coal_subcritical_G100000101733-CHP_ccs-rf</t>
  </si>
  <si>
    <t>ep_coal_subcritical_G100000102834-CHP_ccs-rf</t>
  </si>
  <si>
    <t>ep_coal_subcritical_G100000104180-CHP_ccs-rf</t>
  </si>
  <si>
    <t>ep_coal_subcritical_G100000106286-CHP_ccs-rf</t>
  </si>
  <si>
    <t>ep_coal_subcritical_G100000102201-CHP_ccs-rf</t>
  </si>
  <si>
    <t>ep_coal_subcritical_G100000111069_ccs-rf</t>
  </si>
  <si>
    <t>ep_coal_subcritical_G100000102233-CHP_ccs-rf</t>
  </si>
  <si>
    <t>ep_coal_supercritical_G100000104501-CHP_ccs-rf</t>
  </si>
  <si>
    <t>ep_coal_supercritical_G100000111716-CHP_ccs-rf</t>
  </si>
  <si>
    <t>ep_coal_ultra-supercritical_G100000115816_ccs-rf</t>
  </si>
  <si>
    <t>ep_coal_ultra-supercritical_G100000115348_ccs-rf</t>
  </si>
  <si>
    <t>ep_coal_ultra-supercritical_G100000115390_ccs-rf</t>
  </si>
  <si>
    <t>ep_coal_ultra-supercritical_G100000101367_ccs-rf</t>
  </si>
  <si>
    <t>ep_coal_ultra-supercritical_G100000110695_ccs-rf</t>
  </si>
  <si>
    <t>ep_coal_ultra-supercritical_G100000115815_ccs-rf</t>
  </si>
  <si>
    <t>ep_coal_ultra-supercritical_G100000114702_ccs-rf</t>
  </si>
  <si>
    <t>ep_coal_supercritical_G100000102865_ccs-rf</t>
  </si>
  <si>
    <t>ep_coal_ultra-supercritical_G100001020562-CHP_ccs-rf</t>
  </si>
  <si>
    <t>ep_coal_ultra-supercritical_G100000115530_ccs-rf</t>
  </si>
  <si>
    <t>ep_coal_supercritical_G100000101738_ccs-rf</t>
  </si>
  <si>
    <t>ep_coal_supercritical_G100000110285_ccs-rf</t>
  </si>
  <si>
    <t>ep_coal_ultra-supercritical_G100000104609-CHP_ccs-rf</t>
  </si>
  <si>
    <t>ep_coal_supercritical_G100000101543_ccs-rf</t>
  </si>
  <si>
    <t>ep_coal_supercritical_G100000103307_ccs-rf</t>
  </si>
  <si>
    <t>ep_coal_supercritical_G100000109326_ccs-rf</t>
  </si>
  <si>
    <t>ep_coal_ultra-supercritical_G100000110771_ccs-rf</t>
  </si>
  <si>
    <t>ep_coal_supercritical_G100000104475-CHP_ccs-rf</t>
  </si>
  <si>
    <t>ep_coal_supercritical_G100000108186_ccs-rf</t>
  </si>
  <si>
    <t>ep_coal_ultra-supercritical_G100000109019-CHP_ccs-rf</t>
  </si>
  <si>
    <t>ep_coal_subcritical_G100000104477-CHP_ccs-rf</t>
  </si>
  <si>
    <t>ep_coal_subcritical_G100000103258-CHP_ccs-rf</t>
  </si>
  <si>
    <t>ep_coal_subcritical_G100000106495-CHP_ccs-rf</t>
  </si>
  <si>
    <t>ep_coal_subcritical_G100000104576-CHP_ccs-rf</t>
  </si>
  <si>
    <t>ep_coal_subcritical_G100000101566-CHP_ccs-rf</t>
  </si>
  <si>
    <t>ep_coal_supercritical_G100000112857-CHP_ccs-rf</t>
  </si>
  <si>
    <t>ep_coal_supercritical_G100000112893-CHP_ccs-rf</t>
  </si>
  <si>
    <t>ep_coal_supercritical_G100000104462-CHP_ccs-rf</t>
  </si>
  <si>
    <t>ep_coal_ultra-supercritical_G100000101734_ccs-rf</t>
  </si>
  <si>
    <t>ep_coal_ultra-supercritical_G100000108246_ccs-rf</t>
  </si>
  <si>
    <t>ep_coal_ultra-supercritical_G100000104520_ccs-rf</t>
  </si>
  <si>
    <t>ep_coal_subcritical_G100000100710_ccs-rf</t>
  </si>
  <si>
    <t>ep_coal_subcritical_G100000102183_ccs-rf</t>
  </si>
  <si>
    <t>ep_coal_ultra-supercritical_G100000103886-CHP_ccs-rf</t>
  </si>
  <si>
    <t>ep_coal_ultra-supercritical_G100000113036_ccs-rf</t>
  </si>
  <si>
    <t>ep_coal_supercritical_G100000104770-CHP_ccs-rf</t>
  </si>
  <si>
    <t>ep_coal_ultra-supercritical_G100000104154-CHP_ccs-rf</t>
  </si>
  <si>
    <t>ep_coal_supercritical_G100000103377-CHP_ccs-rf</t>
  </si>
  <si>
    <t>ep_coal_ultra-supercritical_G100000110770_ccs-rf</t>
  </si>
  <si>
    <t>ep_coal_ultra-supercritical_G100001000223_ccs-rf</t>
  </si>
  <si>
    <t>ep_coal_ultra-supercritical_G100000103720-CHP_ccs-rf</t>
  </si>
  <si>
    <t>ep_coal_supercritical_G100000107244-CHP_ccs-rf</t>
  </si>
  <si>
    <t>ep_coal_subcritical_G100000104199-CHP_ccs-rf</t>
  </si>
  <si>
    <t>ep_coal_subcritical_G100000114037-CHP_ccs-rf</t>
  </si>
  <si>
    <t>ep_coal_subcritical_G100000112069-CHP_ccs-rf</t>
  </si>
  <si>
    <t>ep_coal_subcritical_G100000110803-CHP_ccs-rf</t>
  </si>
  <si>
    <t>ep_coal_subcritical_G100000107514-CHP_ccs-rf</t>
  </si>
  <si>
    <t>ep_coal_subcritical_G100000109244-CHP_ccs-rf</t>
  </si>
  <si>
    <t>ep_coal_subcritical_G100000101334-CHP_ccs-rf</t>
  </si>
  <si>
    <t>ep_coal_subcritical_G100000114731-CHP_ccs-rf</t>
  </si>
  <si>
    <t>ep_coal_supercritical_G100000100436-CHP_ccs-rf</t>
  </si>
  <si>
    <t>ep_coal_supercritical_G100000104712-CHP_ccs-rf</t>
  </si>
  <si>
    <t>ep_coal_supercritical_G100000111714-CHP_ccs-rf</t>
  </si>
  <si>
    <t>ep_coal_ultra-supercritical_G100000104073-CHP_ccs-rf</t>
  </si>
  <si>
    <t>ep_coal_ultra-supercritical_G100000110262-CHP_ccs-rf</t>
  </si>
  <si>
    <t>ep_coal_ultra-supercritical_G100000101789_ccs-rf</t>
  </si>
  <si>
    <t>ep_coal_ultra-supercritical_G100000104169_ccs-rf</t>
  </si>
  <si>
    <t>ep_coal_ultra-supercritical_G100000103784-CHP_ccs-rf</t>
  </si>
  <si>
    <t>ep_coal_ultra-supercritical_G100001000347_ccs-rf</t>
  </si>
  <si>
    <t>ep_coal_ultra-supercritical_G100000115957_ccs-rf</t>
  </si>
  <si>
    <t>ep_coal_ultra-supercritical_G100000103756-CHP_ccs-rf</t>
  </si>
  <si>
    <t>ep_coal_supercritical_G100000106290_ccs-rf</t>
  </si>
  <si>
    <t>ep_coal_ultra-supercritical_G100000110838-CHP_ccs-rf</t>
  </si>
  <si>
    <t>ep_coal_supercritical_G100000104013-CHP_ccs-rf</t>
  </si>
  <si>
    <t>ep_coal_subcritical_G100000110797-CHP_ccs-rf</t>
  </si>
  <si>
    <t>ep_coal_subcritical_G100000111691-CHP_ccs-rf</t>
  </si>
  <si>
    <t>ep_coal_subcritical_G100000113247-CHP_ccs-rf</t>
  </si>
  <si>
    <t>ep_coal_subcritical_G100000108001_ccs-rf</t>
  </si>
  <si>
    <t>ep_coal_subcritical_G100000109332-CHP_ccs-rf</t>
  </si>
  <si>
    <t>ep_coal_subcritical_G100000110147-CHP_ccs-rf</t>
  </si>
  <si>
    <t>ep_coal_subcritical_G100000101870-CHP_ccs-rf</t>
  </si>
  <si>
    <t>ep_coal_supercritical_G100000108360-CHP_ccs-rf</t>
  </si>
  <si>
    <t>ep_coal_supercritical_G100000100274-CHP_ccs-rf</t>
  </si>
  <si>
    <t>ep_coal_ultra-supercritical_G100000103363_ccs-rf</t>
  </si>
  <si>
    <t>ep_coal_ultra-supercritical_G100000109862_ccs-rf</t>
  </si>
  <si>
    <t>ep_coal_ultra-supercritical_G100000111005_ccs-rf</t>
  </si>
  <si>
    <t>ep_coal_ultra-supercritical_G100000104106_ccs-rf</t>
  </si>
  <si>
    <t>ep_coal_supercritical_G100000111570-CHP_ccs-rf</t>
  </si>
  <si>
    <t>ep_coal_subcritical_G100000106448-CHP_ccs-rf</t>
  </si>
  <si>
    <t>ep_coal_subcritical_G100000109249-CHP_ccs-rf</t>
  </si>
  <si>
    <t>ep_coal_subcritical_G100000103002-CHP_ccs-rf</t>
  </si>
  <si>
    <t>ep_coal_subcritical_G100000113784-CHP_ccs-rf</t>
  </si>
  <si>
    <t>ep_coal_subcritical_G100000112042_ccs-rf</t>
  </si>
  <si>
    <t>ep_coal_subcritical_G100000106756_ccs-rf</t>
  </si>
  <si>
    <t>ep_coal_subcritical_G100000108192-CHP_ccs-rf</t>
  </si>
  <si>
    <t>ep_coal_subcritical_G100000100444-CHP_ccs-rf</t>
  </si>
  <si>
    <t>ep_coal_subcritical_G100000104268-CHP_ccs-rf</t>
  </si>
  <si>
    <t>ep_coal_subcritical_G100000107076-CHP_ccs-rf</t>
  </si>
  <si>
    <t>ep_coal_subcritical_G100000112673-CHP_ccs-rf</t>
  </si>
  <si>
    <t>ep_coal_subcritical_G100000111432-CHP_ccs-rf</t>
  </si>
  <si>
    <t>ep_coal_supercritical_G100000111698-CHP_ccs-rf</t>
  </si>
  <si>
    <t>ep_coal_supercritical_G100000101995-CHP_ccs-rf</t>
  </si>
  <si>
    <t>ep_coal_supercritical_G100000105215-CHP_ccs-rf</t>
  </si>
  <si>
    <t>ep_gas_combined_cycle_G100000405335-CHP_ccs-rf</t>
  </si>
  <si>
    <t>ep_gas_combined_cycle_G100000405702-CHP_ccs-rf</t>
  </si>
  <si>
    <t>ep_gas_combined_cycle_G100000409862-CHP_ccs-rf</t>
  </si>
  <si>
    <t>ep_gas_combined_cycle_G100000405260-CHP_ccs-rf</t>
  </si>
  <si>
    <t>ep_gas_combined_cycle_G100000405374-CHP_ccs-rf</t>
  </si>
  <si>
    <t>ep_gas_combined_cycle_G100000405519_ccs-rf</t>
  </si>
  <si>
    <t>ep_gas_combined_cycle_G100000405223-CHP_ccs-rf</t>
  </si>
  <si>
    <t>ep_gas_combined_cycle_G100001055249-CHP_ccs-rf</t>
  </si>
  <si>
    <t>ep_gas_combined_cycle_G100000405359-CHP_ccs-rf</t>
  </si>
  <si>
    <t>ep_gas_combined_cycle_G100000405756_ccs-rf</t>
  </si>
  <si>
    <t>ep_coal_ultra-supercritical_G100000115347_ccs-rf</t>
  </si>
  <si>
    <t>ep_coal_ultra-supercritical_G100000101768_ccs-rf</t>
  </si>
  <si>
    <t>ep_coal_ultra-supercritical_G100000111602-CHP_ccs-rf</t>
  </si>
  <si>
    <t>ep_coal_ultra-supercritical_G100000115641_ccs-rf</t>
  </si>
  <si>
    <t>ep_coal_subcritical_G100000104516-CHP_ccs-rf</t>
  </si>
  <si>
    <t>ep_coal_subcritical_G100000103620-CHP_ccs-rf</t>
  </si>
  <si>
    <t>ep_coal_supercritical_G100000104648-CHP_ccs-rf</t>
  </si>
  <si>
    <t>ep_coal_supercritical_G100000104596_ccs-rf</t>
  </si>
  <si>
    <t>ep_coal_ultra-supercritical_G100000110880-CHP_ccs-rf</t>
  </si>
  <si>
    <t>ep_coal_ultra-supercritical_G100000106437_ccs-rf</t>
  </si>
  <si>
    <t>ep_coal_ultra-supercritical_G100000100674_ccs-rf</t>
  </si>
  <si>
    <t>ep_coal_subcritical_G100000104209-CHP_ccs-rf</t>
  </si>
  <si>
    <t>ep_coal_subcritical_G100000104310-CHP_ccs-rf</t>
  </si>
  <si>
    <t>ep_coal_subcritical_G100000106162-CHP_ccs-rf</t>
  </si>
  <si>
    <t>ep_coal_subcritical_G100000103920-CHP_ccs-rf</t>
  </si>
  <si>
    <t>ep_coal_subcritical_G100000108405_ccs-rf</t>
  </si>
  <si>
    <t>ep_coal_subcritical_G100000110802-CHP_ccs-rf</t>
  </si>
  <si>
    <t>ep_coal_subcritical_G100000101471-CHP_ccs-rf</t>
  </si>
  <si>
    <t>ep_coal_subcritical_G100000101531_ccs-rf</t>
  </si>
  <si>
    <t>ep_coal_subcritical_G100000102011-CHP_ccs-rf</t>
  </si>
  <si>
    <t>ep_coal_subcritical_G100000102836-CHP_ccs-rf</t>
  </si>
  <si>
    <t>ep_coal_subcritical_G100000107225-CHP_ccs-rf</t>
  </si>
  <si>
    <t>ep_coal_supercritical_G100000101548-CHP_ccs-rf</t>
  </si>
  <si>
    <t>ep_coal_supercritical_G100000104407-CHP_ccs-rf</t>
  </si>
  <si>
    <t>ep_coal_supercritical_G100000106340-CHP_ccs-rf</t>
  </si>
  <si>
    <t>ep_coal_supercritical_G100000113038-CHP_ccs-rf</t>
  </si>
  <si>
    <t>ep_coal_supercritical_G100000101727-CHP_ccs-rf</t>
  </si>
  <si>
    <t>ep_coal_subcritical_G100000111975_ccs-rf</t>
  </si>
  <si>
    <t>ep_coal_ultra-supercritical_G100000111453_ccs-rf</t>
  </si>
  <si>
    <t>ep_coal_subcritical_G100000102151-CHP_ccs-rf</t>
  </si>
  <si>
    <t>ep_coal_subcritical_G100000102377-CHP_ccs-rf</t>
  </si>
  <si>
    <t>ep_coal_supercritical_CCS_G100000106159_ccs-rf</t>
  </si>
  <si>
    <t>ep_coal_subcritical_G100000102187_ccs-rf</t>
  </si>
  <si>
    <t>ep_coal_ultra-supercritical_G100001027689_ccs-rf</t>
  </si>
  <si>
    <t>ep_coal_ultra-supercritical_G100000112913_ccs-rf</t>
  </si>
  <si>
    <t>ep_coal_ultra-supercritical_G100000111072_ccs-rf</t>
  </si>
  <si>
    <t>ep_coal_supercritical_G100000109125_ccs-rf</t>
  </si>
  <si>
    <t>ep_coal_ultra-supercritical_G100001021359_ccs-rf</t>
  </si>
  <si>
    <t>ep_coal_ultra-supercritical_G100000101751_ccs-rf</t>
  </si>
  <si>
    <t>ep_coal_ultra-supercritical_G100000103447_ccs-rf</t>
  </si>
  <si>
    <t>ep_coal_ultra-supercritical_G100000115465_ccs-rf</t>
  </si>
  <si>
    <t>ep_coal_supercritical_G100000110289_ccs-rf</t>
  </si>
  <si>
    <t>ep_coal_ultra-supercritical_G100000111297_ccs-rf</t>
  </si>
  <si>
    <t>ep_coal_subcritical_G100000111058_ccs-rf</t>
  </si>
  <si>
    <t>ep_coal_subcritical_G100000104707-CHP_ccs-rf</t>
  </si>
  <si>
    <t>ep_coal_subcritical_G100000107321_ccs-rf</t>
  </si>
  <si>
    <t>ep_coal_subcritical_G100000102115-CHP_ccs-rf</t>
  </si>
  <si>
    <t>ep_coal_subcritical_G100000109312-CHP_ccs-rf</t>
  </si>
  <si>
    <t>ep_coal_supercritical_G100000109942-CHP_ccs-rf</t>
  </si>
  <si>
    <t>ep_coal_supercritical_G100001000222-CHP_ccs-rf</t>
  </si>
  <si>
    <t>ep_m_coal_subcritical_G100000104344_ccs-rf</t>
  </si>
  <si>
    <t>ep_coal_supercritical_G100000103407-CHP_ccs-rf</t>
  </si>
  <si>
    <t>ep_coal_supercritical_G100000109763-CHP_ccs-rf</t>
  </si>
  <si>
    <t>ep_coal_ultra-supercritical_G100000114710_ccs-rf</t>
  </si>
  <si>
    <t>ep_coal_ultra-supercritical_G100000105096_ccs-rf</t>
  </si>
  <si>
    <t>ep_coal_ultra-supercritical_G100000110134_ccs-rf</t>
  </si>
  <si>
    <t>ep_coal_ultra-supercritical_G100000115880_ccs-rf</t>
  </si>
  <si>
    <t>ep_coal_ultra-supercritical_G100000115400_ccs-rf</t>
  </si>
  <si>
    <t>ep_coal_subcritical_G100000108275_ccs-rf</t>
  </si>
  <si>
    <t>ep_coal_ultra-supercritical_G100000111203_ccs-rf</t>
  </si>
  <si>
    <t>ep_coal_supercritical_G100000101339_ccs-rf</t>
  </si>
  <si>
    <t>ep_coal_ultra-supercritical_G100000105133-CHP_ccs-rf</t>
  </si>
  <si>
    <t>ep_coal_ultra-supercritical_G100001048346_ccs-rf</t>
  </si>
  <si>
    <t>ep_coal_ultra-supercritical_G100000115827-CHP_ccs-rf</t>
  </si>
  <si>
    <t>ep_coal_supercritical_G100000109226_ccs-rf</t>
  </si>
  <si>
    <t>ep_coal_subcritical_G100000112068-CHP_ccs-rf</t>
  </si>
  <si>
    <t>ep_coal_subcritical_G100000104318-CHP_ccs-rf</t>
  </si>
  <si>
    <t>ep_coal_subcritical_G100000104699-CHP_ccs-rf</t>
  </si>
  <si>
    <t>ep_coal_subcritical_G100000104865-CHP_ccs-rf</t>
  </si>
  <si>
    <t>ep_coal_subcritical_G100000104347_ccs-rf</t>
  </si>
  <si>
    <t>ep_coal_subcritical_G100000103474-CHP_ccs-rf</t>
  </si>
  <si>
    <t>ep_coal_subcritical_G100000112143-CHP_ccs-rf</t>
  </si>
  <si>
    <t>ep_coal_supercritical_G100000107772-CHP_ccs-rf</t>
  </si>
  <si>
    <t>ep_coal_supercritical_G100000101490-CHP_ccs-rf</t>
  </si>
  <si>
    <t>ep_coal_supercritical_G100000101963-CHP_ccs-rf</t>
  </si>
  <si>
    <t>ep_coal_supercritical_G100000103275-CHP_ccs-rf</t>
  </si>
  <si>
    <t>ep_coal_supercritical_G100000104592-CHP_ccs-rf</t>
  </si>
  <si>
    <t>ep_coal_supercritical_G100000102225-CHP_ccs-rf</t>
  </si>
  <si>
    <t>ep_coal_ultra-supercritical_G100000111006_ccs-rf</t>
  </si>
  <si>
    <t>ep_coal_subcritical_G100000102182_ccs-rf</t>
  </si>
  <si>
    <t>ep_coal_subcritical_G100000111044-CHP_ccs-rf</t>
  </si>
  <si>
    <t>ep_coal_subcritical_G100000103218_ccs-rf</t>
  </si>
  <si>
    <t>ep_coal_subcritical_G100000103704-CHP_ccs-rf</t>
  </si>
  <si>
    <t>ep_coal_supercritical_G100000101366_ccs-rf</t>
  </si>
  <si>
    <t>ep_coal_supercritical_G100000102866_ccs-rf</t>
  </si>
  <si>
    <t>ep_coal_supercritical_G100000105076-CHP_ccs-rf</t>
  </si>
  <si>
    <t>ep_coal_supercritical_G100000105257_ccs-rf</t>
  </si>
  <si>
    <t>ep_coal_ultra-supercritical_G100000111206_ccs-rf</t>
  </si>
  <si>
    <t>ep_coal_subcritical_G100000101321-CHP_ccs-rf</t>
  </si>
  <si>
    <t>ep_coal_subcritical_G100000109243-CHP_ccs-rf</t>
  </si>
  <si>
    <t>ep_coal_subcritical_G100000102744_ccs-rf</t>
  </si>
  <si>
    <t>ep_coal_subcritical_G100000104404-CHP_ccs-rf</t>
  </si>
  <si>
    <t>ep_coal_subcritical_G100000110002-CHP_ccs-rf</t>
  </si>
  <si>
    <t>ep_coal_subcritical_G100000101549_ccs-rf</t>
  </si>
  <si>
    <t>ep_coal_subcritical_G100000103969-CHP_ccs-rf</t>
  </si>
  <si>
    <t>ep_coal_subcritical_G100000111258-CHP_ccs-rf</t>
  </si>
  <si>
    <t>ep_coal_supercritical_G100000102438-CHP_ccs-rf</t>
  </si>
  <si>
    <t>ep_coal_ultra-supercritical_G100000115817_ccs-rf</t>
  </si>
  <si>
    <t>ep_coal_ultra-supercritical_G100000109192_ccs-rf</t>
  </si>
  <si>
    <t>ep_coal_ultra-supercritical_G100000103867_ccs-rf</t>
  </si>
  <si>
    <t>ep_coal_ultra-supercritical_G100000104519_ccs-rf</t>
  </si>
  <si>
    <t>ep_coal_supercritical_G100000101360-CHP_ccs-rf</t>
  </si>
  <si>
    <t>ep_coal_ultra-supercritical_G100000114369-CHP_ccs-rf</t>
  </si>
  <si>
    <t>ep_coal_ultra-supercritical_G100000114530-CHP_ccs-rf</t>
  </si>
  <si>
    <t>ep_coal_supercritical_G100000104483-CHP_ccs-rf</t>
  </si>
  <si>
    <t>ep_coal_ultra-supercritical_G100000102193_ccs-rf</t>
  </si>
  <si>
    <t>ep_coal_ultra-supercritical_G100000103340_ccs-rf</t>
  </si>
  <si>
    <t>ep_coal_supercritical_G100000104721_ccs-rf</t>
  </si>
  <si>
    <t>ep_coal_supercritical_G100000106291_ccs-rf</t>
  </si>
  <si>
    <t>ep_coal_supercritical_G100000108963-CHP_ccs-rf</t>
  </si>
  <si>
    <t>ep_coal_supercritical_G100000103710-CHP_ccs-rf</t>
  </si>
  <si>
    <t>ep_coal_subcritical_G100000102436-CHP_ccs-rf</t>
  </si>
  <si>
    <t>ep_coal_subcritical_G100000103820-CHP_ccs-rf</t>
  </si>
  <si>
    <t>ep_coal_subcritical_G100000104193-CHP_ccs-rf</t>
  </si>
  <si>
    <t>ep_coal_subcritical_G100000109852-CHP_ccs-rf</t>
  </si>
  <si>
    <t>ep_coal_subcritical_G100000111060_ccs-rf</t>
  </si>
  <si>
    <t>ep_coal_subcritical_G100000111385-CHP_ccs-rf</t>
  </si>
  <si>
    <t>ep_coal_subcritical_G100000107233-CHP_ccs-rf</t>
  </si>
  <si>
    <t>ep_coal_subcritical_G100000110213-CHP_ccs-rf</t>
  </si>
  <si>
    <t>ep_coal_subcritical_G100000101514-CHP_ccs-rf</t>
  </si>
  <si>
    <t>ep_coal_supercritical_G100000113332-CHP_ccs-rf</t>
  </si>
  <si>
    <t>ep_coal_supercritical_G100000106307-CHP_ccs-rf</t>
  </si>
  <si>
    <t>ep_coal_supercritical_G100001000221-CHP_ccs-rf</t>
  </si>
  <si>
    <t>ep_coal_supercritical_G100000112936-CHP_ccs-rf</t>
  </si>
  <si>
    <t>ep_coal_supercritical_G100000104372-CHP_ccs-rf</t>
  </si>
  <si>
    <t>ep_coal_supercritical_G100000104711-CHP_ccs-rf</t>
  </si>
  <si>
    <t>ep_coal_ultra-supercritical_G100000106309_ccs-rf</t>
  </si>
  <si>
    <t>ep_coal_ultra-supercritical_G100000110114-CHP_ccs-rf</t>
  </si>
  <si>
    <t>ep_coal_ultra-supercritical_G100000101756_ccs-rf</t>
  </si>
  <si>
    <t>ep_coal_ultra-supercritical_G100000112939_ccs-rf</t>
  </si>
  <si>
    <t>ep_coal_subcritical_G100000104538-CHP_ccs-rf</t>
  </si>
  <si>
    <t>ep_coal_subcritical_G100000101873_ccs-rf</t>
  </si>
  <si>
    <t>ep_coal_subcritical_G100000103606-CHP_ccs-rf</t>
  </si>
  <si>
    <t>ep_coal_subcritical_G100000105210-CHP_ccs-rf</t>
  </si>
  <si>
    <t>ep_coal_supercritical_G100000110254_ccs-rf</t>
  </si>
  <si>
    <t>ep_coal_ultra-supercritical_G100000105221_ccs-rf</t>
  </si>
  <si>
    <t>ep_coal_ultra-supercritical_G100000115529_ccs-rf</t>
  </si>
  <si>
    <t>ep_coal_supercritical_G100000102136_ccs-rf</t>
  </si>
  <si>
    <t>ep_coal_ultra-supercritical_G100000105082-CHP_ccs-rf</t>
  </si>
  <si>
    <t>ep_coal_supercritical_G100000106292_ccs-rf</t>
  </si>
  <si>
    <t>ep_coal_ultra-supercritical_G100000104091_ccs-rf</t>
  </si>
  <si>
    <t>ep_coal_supercritical_G100000107252-CHP_ccs-rf</t>
  </si>
  <si>
    <t>ep_coal_subcritical_G100000103382-CHP_ccs-rf</t>
  </si>
  <si>
    <t>ep_coal_subcritical_G100000103339-CHP_ccs-rf</t>
  </si>
  <si>
    <t>ep_coal_subcritical_G100000103625_ccs-rf</t>
  </si>
  <si>
    <t>ep_coal_subcritical_G100000103944-CHP_ccs-rf</t>
  </si>
  <si>
    <t>ep_coal_subcritical_G100000104749-CHP_ccs-rf</t>
  </si>
  <si>
    <t>ep_coal_subcritical_G100000109853-CHP_ccs-rf</t>
  </si>
  <si>
    <t>ep_coal_subcritical_G100000104547-CHP_ccs-rf</t>
  </si>
  <si>
    <t>ep_coal_subcritical_G100000103626_ccs-rf</t>
  </si>
  <si>
    <t>ep_coal_subcritical_G100000104098-CHP_ccs-rf</t>
  </si>
  <si>
    <t>ep_coal_subcritical_G100000104125-CHP_ccs-rf</t>
  </si>
  <si>
    <t>ep_coal_subcritical_G100000111087-CHP_ccs-rf</t>
  </si>
  <si>
    <t>ep_coal_supercritical_G100000108541-CHP_ccs-rf</t>
  </si>
  <si>
    <t>ep_coal_supercritical_G100000114836-CHP_ccs-rf</t>
  </si>
  <si>
    <t>ep_gas_combined_cycle_G100001054887_ccs-rf</t>
  </si>
  <si>
    <t>ep_gas_combined_cycle_G100000405333-CHP_ccs-rf</t>
  </si>
  <si>
    <t>ep_gas_combined_cycle_G100000405181-CHP_ccs-rf</t>
  </si>
  <si>
    <t>ep_gas_combined_cycle_G100000405255-CHP_ccs-rf</t>
  </si>
  <si>
    <t>ep_gas_combined_cycle_G100000405495-CHP_ccs-rf</t>
  </si>
  <si>
    <t>ep_gas_combined_cycle_G100000412523_ccs-rf</t>
  </si>
  <si>
    <t>ep_gas_combined_cycle_G100000405596-CHP_ccs-rf</t>
  </si>
  <si>
    <t>ep_gas_combined_cycle_G100000409859-CHP_ccs-rf</t>
  </si>
  <si>
    <t>ep_gas_combined_cycle_G100000410721_ccs-rf</t>
  </si>
  <si>
    <t>ep_gas_combined_cycle_G100000412472-CHP_ccs-rf</t>
  </si>
  <si>
    <t>ep_gas_combined_cycle_G100000410670_ccs-rf</t>
  </si>
  <si>
    <t>ep_gas_combined_cycle_G100000409412-CHP_ccs-rf</t>
  </si>
  <si>
    <t>ep_gas_combined_cycle_G100000412263_ccs-rf</t>
  </si>
  <si>
    <t>ep_gas_combined_cycle_G100000405227-CHP_ccs-rf</t>
  </si>
  <si>
    <t>ep_gas_combined_cycle_G100000405791-CHP_ccs-rf</t>
  </si>
  <si>
    <t>ep_gas_combined_cycle_G100000405689-CHP_ccs-rf</t>
  </si>
  <si>
    <t>ep_gas_combined_cycle_G100000410729_ccs-rf</t>
  </si>
  <si>
    <t>ep_coal_ultra-supercritical_G100000115335_ccs-rf</t>
  </si>
  <si>
    <t>ep_coal_ultra-supercritical_G100000106501_ccs-rf</t>
  </si>
  <si>
    <t>ep_coal_ultra-supercritical_G100000114746_ccs-rf</t>
  </si>
  <si>
    <t>ep_coal_ultra-supercritical_G100000105104_ccs-rf</t>
  </si>
  <si>
    <t>ep_coal_subcritical_G100000102357_ccs-rf</t>
  </si>
  <si>
    <t>ep_coal_subcritical_G100000115464-CHP_ccs-rf</t>
  </si>
  <si>
    <t>ep_coal_subcritical_G100000101874_ccs-rf</t>
  </si>
  <si>
    <t>ep_coal_ultra-supercritical_G100000111717-CHP_ccs-rf</t>
  </si>
  <si>
    <t>ep_coal_ultra-supercritical_G100000115650-CHP_ccs-rf</t>
  </si>
  <si>
    <t>ep_coal_supercritical_G100000102119_ccs-rf</t>
  </si>
  <si>
    <t>ep_coal_supercritical_G100000109064_ccs-rf</t>
  </si>
  <si>
    <t>ep_coal_ultra-supercritical_G100000104127-CHP_ccs-rf</t>
  </si>
  <si>
    <t>ep_coal_ultra-supercritical_G100000115859-CHP_ccs-rf</t>
  </si>
  <si>
    <t>ep_coal_subcritical_G100000113310-CHP_ccs-rf</t>
  </si>
  <si>
    <t>ep_coal_subcritical_G100000103189_ccs-rf</t>
  </si>
  <si>
    <t>ep_coal_subcritical_G100000104476-CHP_ccs-rf</t>
  </si>
  <si>
    <t>ep_coal_subcritical_G100000108364-CHP_ccs-rf</t>
  </si>
  <si>
    <t>ep_coal_subcritical_G100000102213-CHP_ccs-rf</t>
  </si>
  <si>
    <t>ep_coal_subcritical_G100000101320-CHP_ccs-rf</t>
  </si>
  <si>
    <t>ep_coal_subcritical_G100000101565-CHP_ccs-rf</t>
  </si>
  <si>
    <t>ep_coal_subcritical_G100000112462-CHP_ccs-rf</t>
  </si>
  <si>
    <t>ep_coal_subcritical_G100000106621-CHP_ccs-rf</t>
  </si>
  <si>
    <t>ep_coal_supercritical_G100000108223-CHP_ccs-rf</t>
  </si>
  <si>
    <t>ep_coal_supercritical_G100000100758-CHP_ccs-rf</t>
  </si>
  <si>
    <t>ep_coal_supercritical_G100000109304-CHP_ccs-rf</t>
  </si>
  <si>
    <t>ep_coal_supercritical_G100000104606-CHP_ccs-rf</t>
  </si>
  <si>
    <t>ep_coal_ultra-supercritical_CCS_G100001000354-CHP_ccs-rf</t>
  </si>
  <si>
    <t>ep_coal_ultra-supercritical_G100000104622-CHP_ccs-rf</t>
  </si>
  <si>
    <t>ep_coal_ultra-supercritical_G100000115654_ccs-rf</t>
  </si>
  <si>
    <t>ep_coal_ultra-supercritical_G100000111314_ccs-rf</t>
  </si>
  <si>
    <t>ep_coal_ultra-supercritical_G100000106820_ccs-rf</t>
  </si>
  <si>
    <t>ep_coal_ultra-supercritical_G100000111298_ccs-rf</t>
  </si>
  <si>
    <t>ep_coal_subcritical_G100000107474-CHP_ccs-rf</t>
  </si>
  <si>
    <t>ep_coal_supercritical_G100000101767-CHP_ccs-rf</t>
  </si>
  <si>
    <t>ep_coal_ultra-supercritical_G100000114744_ccs-rf</t>
  </si>
  <si>
    <t>ep_coal_ultra-supercritical_G100000109160_ccs-rf</t>
  </si>
  <si>
    <t>ep_coal_supercritical_G100000103443-CHP_ccs-rf</t>
  </si>
  <si>
    <t>ep_coal_supercritical_G100000107350_ccs-rf</t>
  </si>
  <si>
    <t>ep_coal_ultra-supercritical_G100000109110_ccs-rf</t>
  </si>
  <si>
    <t>ep_coal_ultra-supercritical_G100000104871-CHP_ccs-rf</t>
  </si>
  <si>
    <t>ep_coal_supercritical_G100000106487_ccs-rf</t>
  </si>
  <si>
    <t>ep_coal_ultra-supercritical_G100000115943-CHP_ccs-rf</t>
  </si>
  <si>
    <t>ep_coal_supercritical_G100000111031_ccs-rf</t>
  </si>
  <si>
    <t>ep_coal_ultra-supercritical_G100000113863_ccs-rf</t>
  </si>
  <si>
    <t>ep_coal_supercritical_G100000111180_ccs-rf</t>
  </si>
  <si>
    <t>ep_coal_subcritical_G100000110822-CHP_ccs-rf</t>
  </si>
  <si>
    <t>ep_coal_subcritical_G100000111068_ccs-rf</t>
  </si>
  <si>
    <t>ep_coal_subcritical_G100000111655-CHP_ccs-rf</t>
  </si>
  <si>
    <t>ep_coal_subcritical_G100000102307-CHP_ccs-rf</t>
  </si>
  <si>
    <t>ep_coal_subcritical_G100000103371-CHP_ccs-rf</t>
  </si>
  <si>
    <t>ep_coal_subcritical_G100000105241-CHP_ccs-rf</t>
  </si>
  <si>
    <t>ep_coal_subcritical_G100000105449-CHP_ccs-rf</t>
  </si>
  <si>
    <t>ep_coal_subcritical_G100000102435-CHP_ccs-rf</t>
  </si>
  <si>
    <t>ep_coal_subcritical_G100000104447_ccs-rf</t>
  </si>
  <si>
    <t>ep_coal_subcritical_G100000110777-CHP_ccs-rf</t>
  </si>
  <si>
    <t>ep_coal_supercritical_G100000106361-CHP_ccs-rf</t>
  </si>
  <si>
    <t>ep_coal_ultra-supercritical_G100000112630-CHP_ccs-rf</t>
  </si>
  <si>
    <t>ep_coal_supercritical_G100000101726-CHP_ccs-rf</t>
  </si>
  <si>
    <t>ep_coal_supercritical_G100000101930-CHP_ccs-rf</t>
  </si>
  <si>
    <t>ep_coal_ultra-supercritical_G100000102041_ccs-rf</t>
  </si>
  <si>
    <t>ep_coal_ultra-supercritical_G100000115732_ccs-rf</t>
  </si>
  <si>
    <t>ep_coal_ultra-supercritical_G100000115826-CHP_ccs-rf</t>
  </si>
  <si>
    <t>ep_coal_subcritical_G100000110270-CHP_ccs-rf</t>
  </si>
  <si>
    <t>ep_coal_supercritical_G100000101724-CHP_ccs-rf</t>
  </si>
  <si>
    <t>ep_coal_ultra-supercritical_G100000113351_ccs-rf</t>
  </si>
  <si>
    <t>ep_coal_supercritical_G100000112653-CHP_ccs-rf</t>
  </si>
  <si>
    <t>ep_coal_ultra-supercritical_G100000115434_ccs-rf</t>
  </si>
  <si>
    <t>ep_coal_ultra-supercritical_G100000102208_ccs-rf</t>
  </si>
  <si>
    <t>ep_coal_supercritical_G100000104033_ccs-rf</t>
  </si>
  <si>
    <t>ep_coal_ultra-supercritical_G100000104225_ccs-rf</t>
  </si>
  <si>
    <t>ep_coal_ultra-supercritical_G100000106507_ccs-rf</t>
  </si>
  <si>
    <t>ep_coal_ultra-supercritical_G100001051312_ccs-rf</t>
  </si>
  <si>
    <t>ep_coal_subcritical_G100000103793-CHP_ccs-rf</t>
  </si>
  <si>
    <t>ep_coal_subcritical_G100000104719-CHP_ccs-rf</t>
  </si>
  <si>
    <t>ep_coal_subcritical_G100000106754_ccs-rf</t>
  </si>
  <si>
    <t>ep_coal_subcritical_G100000111373-CHP_ccs-rf</t>
  </si>
  <si>
    <t>ep_coal_subcritical_G100000101530_ccs-rf</t>
  </si>
  <si>
    <t>ep_coal_subcritical_G100000104313-CHP_ccs-rf</t>
  </si>
  <si>
    <t>ep_coal_subcritical_G100000105154-CHP_ccs-rf</t>
  </si>
  <si>
    <t>ep_coal_subcritical_G100000110003-CHP_ccs-rf</t>
  </si>
  <si>
    <t>ep_coal_subcritical_G100000111380_ccs-rf</t>
  </si>
  <si>
    <t>ep_coal_subcritical_G100000109113-CHP_ccs-rf</t>
  </si>
  <si>
    <t>ep_coal_subcritical_G100000111213-CHP_ccs-rf</t>
  </si>
  <si>
    <t>ep_coal_supercritical_G100000105638-CHP_ccs-rf</t>
  </si>
  <si>
    <t>ep_coal_ultra-supercritical_G100000104144_ccs-rf</t>
  </si>
  <si>
    <t>ep_coal_ultra-supercritical_G100000115371-CHP_ccs-rf</t>
  </si>
  <si>
    <t>ep_coal_ultra-supercritical_G100000106355_ccs-rf</t>
  </si>
  <si>
    <t>ep_coal_ultra-supercritical_G100000104504_ccs-rf</t>
  </si>
  <si>
    <t>ep_coal_ultra-supercritical_G100001004194_ccs-rf</t>
  </si>
  <si>
    <t>ep_coal_ultra-supercritical_G100001018780-CHP_ccs-rf</t>
  </si>
  <si>
    <t>ep_coal_supercritical_G100000104213_ccs-rf</t>
  </si>
  <si>
    <t>ep_coal_ultra-supercritical_G100000104220-CHP_ccs-rf</t>
  </si>
  <si>
    <t>ep_coal_supercritical_G100000103149_ccs-rf</t>
  </si>
  <si>
    <t>ep_coal_supercritical_G100000110272-CHP_ccs-rf</t>
  </si>
  <si>
    <t>ep_coal_supercritical_G100000104383_ccs-rf</t>
  </si>
  <si>
    <t>ep_coal_supercritical_G100000103437-CHP_ccs-rf</t>
  </si>
  <si>
    <t>ep_coal_subcritical_G100000102287-CHP_ccs-rf</t>
  </si>
  <si>
    <t>ep_coal_subcritical_G100000102808_ccs-rf</t>
  </si>
  <si>
    <t>ep_coal_subcritical_G100000104311-CHP_ccs-rf</t>
  </si>
  <si>
    <t>ep_coal_subcritical_G100000105243-CHP_ccs-rf</t>
  </si>
  <si>
    <t>ep_coal_subcritical_G100000107480-CHP_ccs-rf</t>
  </si>
  <si>
    <t>ep_coal_subcritical_G100000107661-CHP_ccs-rf</t>
  </si>
  <si>
    <t>ep_coal_subcritical_G100000103172-CHP_ccs-rf</t>
  </si>
  <si>
    <t>ep_coal_subcritical_G100000107515-CHP_ccs-rf</t>
  </si>
  <si>
    <t>ep_coal_subcritical_G100000107275_ccs-rf</t>
  </si>
  <si>
    <t>ep_coal_supercritical_G100000100099-CHP_ccs-rf</t>
  </si>
  <si>
    <t>ep_coal_supercritical_G100000101388-CHP_ccs-rf</t>
  </si>
  <si>
    <t>ep_coal_supercritical_G100000101493-CHP_ccs-rf</t>
  </si>
  <si>
    <t>ep_coal_ultra-supercritical_G100000115227-CHP_ccs-rf</t>
  </si>
  <si>
    <t>ep_coal_ultra-supercritical_G100000114267_ccs-rf</t>
  </si>
  <si>
    <t>ep_coal_ultra-supercritical_G100000111568_ccs-rf</t>
  </si>
  <si>
    <t>ep_coal_ultra-supercritical_G100000115311_ccs-rf</t>
  </si>
  <si>
    <t>ep_coal_ultra-supercritical_G100000104642-CHP_ccs-rf</t>
  </si>
  <si>
    <t>ep_coal_ultra-supercritical_G100001000234_ccs-rf</t>
  </si>
  <si>
    <t>ep_coal_supercritical_G100000108604-CHP_ccs-rf</t>
  </si>
  <si>
    <t>ep_coal_supercritical_G100000109316-CHP_ccs-rf</t>
  </si>
  <si>
    <t>ep_coal_ultra-supercritical_G100000111073_ccs-rf</t>
  </si>
  <si>
    <t>ep_coal_supercritical_G100000102021-CHP_ccs-rf</t>
  </si>
  <si>
    <t>ep_coal_supercritical_G100000102814-CHP_ccs-rf</t>
  </si>
  <si>
    <t>ep_coal_ultra-supercritical_G100000101480_ccs-rf</t>
  </si>
  <si>
    <t>ep_coal_subcritical_G100000104869-CHP_ccs-rf</t>
  </si>
  <si>
    <t>ep_coal_subcritical_G100000101773-CHP_ccs-rf</t>
  </si>
  <si>
    <t>ep_coal_subcritical_G100000108790-CHP_ccs-rf</t>
  </si>
  <si>
    <t>ep_coal_subcritical_G100000109262-CHP_ccs-rf</t>
  </si>
  <si>
    <t>ep_coal_subcritical_G100000100556-CHP_ccs-rf</t>
  </si>
  <si>
    <t>ep_coal_supercritical_G100000104032-CHP_ccs-rf</t>
  </si>
  <si>
    <t>ep_coal_supercritical_G100000103558-CHP_ccs-rf</t>
  </si>
  <si>
    <t>ep_coal_ultra-supercritical_G100000115829-CHP_ccs-rf</t>
  </si>
  <si>
    <t>ep_coal_supercritical_G100000105300-CHP_ccs-rf</t>
  </si>
  <si>
    <t>ep_coal_supercritical_G100000108359-CHP_ccs-rf</t>
  </si>
  <si>
    <t>ep_coal_supercritical_G100000103864-CHP_ccs-rf</t>
  </si>
  <si>
    <t>ep_coal_supercritical_G100000105166-CHP_ccs-rf</t>
  </si>
  <si>
    <t>ep_coal_supercritical_G100000103354-CHP_ccs-rf</t>
  </si>
  <si>
    <t>ep_coal_ultra-supercritical_G100000111299_ccs-rf</t>
  </si>
  <si>
    <t>ep_coal_ultra-supercritical_G100001000279_ccs-rf</t>
  </si>
  <si>
    <t>ep_coal_subcritical_G100000109937-CHP_ccs-rf</t>
  </si>
  <si>
    <t>ep_coal_subcritical_G100000102250-CHP_ccs-rf</t>
  </si>
  <si>
    <t>ep_coal_subcritical_G100000100567-CHP_ccs-rf</t>
  </si>
  <si>
    <t>ep_coal_supercritical_G100000109158_ccs-rf</t>
  </si>
  <si>
    <t>ep_coal_supercritical_G100000104034_ccs-rf</t>
  </si>
  <si>
    <t>ep_coal_ultra-supercritical_G100000104405_ccs-rf</t>
  </si>
  <si>
    <t>ep_coal_supercritical_G100000102134_ccs-rf</t>
  </si>
  <si>
    <t>ep_coal_ultra-supercritical_G100000115942-CHP_ccs-rf</t>
  </si>
  <si>
    <t>ep_coal_ultra-supercritical_G100000105279-CHP_ccs-rf</t>
  </si>
  <si>
    <t>ep_coal_ultra-supercritical_G100000106436_ccs-rf</t>
  </si>
  <si>
    <t>ep_coal_subcritical_G100000102995-CHP_ccs-rf</t>
  </si>
  <si>
    <t>ep_coal_subcritical_G100000110265-CHP_ccs-rf</t>
  </si>
  <si>
    <t>ep_coal_subcritical_G100000104275-CHP_ccs-rf</t>
  </si>
  <si>
    <t>ep_coal_subcritical_G100000106444-CHP_ccs-rf</t>
  </si>
  <si>
    <t>ep_coal_subcritical_G100000111140_ccs-rf</t>
  </si>
  <si>
    <t>ep_coal_subcritical_G100000103739-CHP_ccs-rf</t>
  </si>
  <si>
    <t>ep_coal_subcritical_G100000107322_ccs-rf</t>
  </si>
  <si>
    <t>ep_coal_subcritical_G100000109052-CHP_ccs-rf</t>
  </si>
  <si>
    <t>ep_coal_subcritical_G100000111604-CHP_ccs-rf</t>
  </si>
  <si>
    <t>ep_coal_ultra-supercritical_G100000109037-CHP_ccs-rf</t>
  </si>
  <si>
    <t>ep_coal_supercritical_G100000100275-CHP_ccs-rf</t>
  </si>
  <si>
    <t>ep_coal_supercritical_G100000106167-CHP_ccs-rf</t>
  </si>
  <si>
    <t>ep_coal_supercritical_G100000109932-CHP_ccs-rf</t>
  </si>
  <si>
    <t>ep_gas_combined_cycle_G100000405696-CHP_ccs-rf</t>
  </si>
  <si>
    <t>ep_gas_combined_cycle_G100000405566-CHP_ccs-rf</t>
  </si>
  <si>
    <t>ep_gas_combined_cycle_G100000405216-CHP_ccs-rf</t>
  </si>
  <si>
    <t>ep_gas_combined_cycle_G100001054577-CHP_ccs-rf</t>
  </si>
  <si>
    <t>ep_gas_combined_cycle_G100000405301-CHP_ccs-rf</t>
  </si>
  <si>
    <t>ep_gas_combined_cycle_G100000410661_ccs-rf</t>
  </si>
  <si>
    <t>ep_gas_combined_cycle_G100000405703-CHP_ccs-rf</t>
  </si>
  <si>
    <t>ep_gas_combined_cycle_G100000410214_ccs-rf</t>
  </si>
  <si>
    <t>ep_gas_combined_cycle_G100000405484_ccs-rf</t>
  </si>
  <si>
    <t>ep_gas_combined_cycle_G100000410253_ccs-rf</t>
  </si>
  <si>
    <t>ep_gas_combined_cycle_G100000405373-CHP_ccs-rf</t>
  </si>
  <si>
    <t>ep_gas_combined_cycle_G100000405584-CHP_ccs-rf</t>
  </si>
  <si>
    <t>ep_gas_combined_cycle_G100000405663_ccs-rf</t>
  </si>
  <si>
    <t>ep_gas_combined_cycle_G100000410223-CHP_ccs-rf</t>
  </si>
  <si>
    <t>ep_gas_combined_cycle_G100000405164-CHP_ccs-rf</t>
  </si>
  <si>
    <t>ep_gas_combined_cycle_G100000413082_ccs-rf</t>
  </si>
  <si>
    <t>ep_gas_combined_cycle_G100000405659-CHP_ccs-rf</t>
  </si>
  <si>
    <t>ep_gas_combined_cycle_G100000412496_ccs-rf</t>
  </si>
  <si>
    <t>ep_gas_combined_cycle_G100000410244-CHP_ccs-rf</t>
  </si>
  <si>
    <t>ep_gas_combined_cycle_G100000409858-CHP_ccs-rf</t>
  </si>
  <si>
    <t>ep_gas_combined_cycle_G100000410677_ccs-rf</t>
  </si>
  <si>
    <t>ep_gas_combined_cycle_G100000409869_ccs-rf</t>
  </si>
  <si>
    <t>ep_gas_combined_cycle_G100000405748-CHP_ccs-rf</t>
  </si>
  <si>
    <t>ep_coal_ultra-supercritical_G100000100894_ccs-rf</t>
  </si>
  <si>
    <t>ep_coal_ultra-supercritical_G100000110115-CHP_ccs-rf</t>
  </si>
  <si>
    <t>ep_coal_ultra-supercritical_G100000103450-CHP_ccs-rf</t>
  </si>
  <si>
    <t>ep_coal_ultra-supercritical_G100000110263_ccs-rf</t>
  </si>
  <si>
    <t>ep_coal_ultra-supercritical_G100000115474_ccs-rf</t>
  </si>
  <si>
    <t>ep_coal_supercritical_G100000103157_ccs-rf</t>
  </si>
  <si>
    <t>ep_coal_supercritical_G100000104518-CHP_ccs-rf</t>
  </si>
  <si>
    <t>ep_coal_ultra-supercritical_G100000105549_ccs-rf</t>
  </si>
  <si>
    <t>ep_coal_supercritical_G100000103206_ccs-rf</t>
  </si>
  <si>
    <t>ep_coal_subcritical_G100000101913-CHP_ccs-rf</t>
  </si>
  <si>
    <t>ep_coal_subcritical_G100000104567-CHP_ccs-rf</t>
  </si>
  <si>
    <t>ep_coal_subcritical_G100000103282-CHP_ccs-rf</t>
  </si>
  <si>
    <t>ep_coal_subcritical_G100000110140-CHP_ccs-rf</t>
  </si>
  <si>
    <t>ep_coal_subcritical_G100000103142_ccs-rf</t>
  </si>
  <si>
    <t>ep_coal_subcritical_G100000105220-CHP_ccs-rf</t>
  </si>
  <si>
    <t>ep_coal_subcritical_G100000108311-CHP_ccs-rf</t>
  </si>
  <si>
    <t>ep_coal_subcritical_G100000110130-CHP_ccs-rf</t>
  </si>
  <si>
    <t>ep_coal_subcritical_G100000101869-CHP_ccs-rf</t>
  </si>
  <si>
    <t>ep_coal_subcritical_G100000103607-CHP_ccs-rf</t>
  </si>
  <si>
    <t>ep_coal_subcritical_G100000106302-CHP_ccs-rf</t>
  </si>
  <si>
    <t>ep_coal_subcritical_G100000107274_ccs-rf</t>
  </si>
  <si>
    <t>ep_coal_supercritical_G100000102935-CHP_ccs-rf</t>
  </si>
  <si>
    <t>ep_coal_supercritical_G100000105543-CHP_ccs-rf</t>
  </si>
  <si>
    <t>ep_coal_supercritical_G100000105639-CHP_ccs-rf</t>
  </si>
  <si>
    <t>ep_coal_supercritical_G100000101389-CHP_ccs-rf</t>
  </si>
  <si>
    <t>ep_coal_supercritical_G100000104370-CHP_ccs-rf</t>
  </si>
  <si>
    <t>ep_coal_supercritical_G100000107771-CHP_ccs-rf</t>
  </si>
  <si>
    <t>ep_coal_ultra-supercritical_G100000115466_ccs-rf</t>
  </si>
  <si>
    <t>ep_coal_supercritical_G100000102705_ccs-rf</t>
  </si>
  <si>
    <t>ep_coal_ultra-supercritical_G100000104111_ccs-rf</t>
  </si>
  <si>
    <t>ep_coal_supercritical_G100000103156_ccs-rf</t>
  </si>
  <si>
    <t>ep_coal_supercritical_G100000111128-CHP_ccs-rf</t>
  </si>
  <si>
    <t>ep_coal_ultra-supercritical_G100001000209_ccs-rf</t>
  </si>
  <si>
    <t>ep_coal_subcritical_G100000104229_ccs-rf</t>
  </si>
  <si>
    <t>ep_coal_subcritical_G100000110214-CHP_ccs-rf</t>
  </si>
  <si>
    <t>ep_coal_subcritical_G100000111646-CHP_ccs-rf</t>
  </si>
  <si>
    <t>ep_coal_subcritical_G100000102114-CHP_ccs-rf</t>
  </si>
  <si>
    <t>ep_coal_subcritical_G100000105122_ccs-rf</t>
  </si>
  <si>
    <t>ep_coal_subcritical_G100000106301-CHP_ccs-rf</t>
  </si>
  <si>
    <t>ep_coal_subcritical_G100000104583-CHP_ccs-rf</t>
  </si>
  <si>
    <t>ep_coal_subcritical_G100000111289-CHP_ccs-rf</t>
  </si>
  <si>
    <t>ep_coal_supercritical_G100000101994-CHP_ccs-rf</t>
  </si>
  <si>
    <t>ep_coal_supercritical_G100000113261-CHP_ccs-rf</t>
  </si>
  <si>
    <t>ep_coal_supercritical_G100000103863-CHP_ccs-rf</t>
  </si>
  <si>
    <t>ep_coal_ultra-supercritical_G100000114747_ccs-rf</t>
  </si>
  <si>
    <t>ep_coal_ultra-supercritical_CCS_G100001000353-CHP_ccs-rf</t>
  </si>
  <si>
    <t>ep_coal_ultra-supercritical_CCS_G100001000352-CHP_ccs-rf</t>
  </si>
  <si>
    <t>ep_coal_ultra-supercritical_G100000104623_ccs-rf</t>
  </si>
  <si>
    <t>ep_coal_supercritical_G100000103290_ccs-rf</t>
  </si>
  <si>
    <t>ep_coal_supercritical_G100000103261_ccs-rf</t>
  </si>
  <si>
    <t>ep_coal_ultra-supercritical_G100001000351-CHP_ccs-rf</t>
  </si>
  <si>
    <t>ep_coal_supercritical_G100000105258_ccs-rf</t>
  </si>
  <si>
    <t>ep_coal_ultra-supercritical_G100000107779-CHP_ccs-rf</t>
  </si>
  <si>
    <t>ep_coal_ultra-supercritical_G100000104563-CHP_ccs-rf</t>
  </si>
  <si>
    <t>ep_coal_ultra-supercritical_G100000115555-CHP_ccs-rf</t>
  </si>
  <si>
    <t>ep_coal_ultra-supercritical_G100001006150-CHP_ccs-rf</t>
  </si>
  <si>
    <t>ep_coal_supercritical_G100000101881_ccs-rf</t>
  </si>
  <si>
    <t>ep_coal_ultra-supercritical_G100001004301_ccs-rf</t>
  </si>
  <si>
    <t>ep_coal_ultra-supercritical_G100000104487_ccs-rf</t>
  </si>
  <si>
    <t>ep_coal_supercritical_G100000104771-CHP_ccs-rf</t>
  </si>
  <si>
    <t>ep_coal_supercritical_G100000105111_ccs-rf</t>
  </si>
  <si>
    <t>ep_coal_supercritical_G100000112107_ccs-rf</t>
  </si>
  <si>
    <t>ep_coal_subcritical_G100000104179-CHP_ccs-rf</t>
  </si>
  <si>
    <t>ep_coal_subcritical_G100000108272-CHP_ccs-rf</t>
  </si>
  <si>
    <t>ep_coal_subcritical_G100000111349-CHP_ccs-rf</t>
  </si>
  <si>
    <t>ep_coal_subcritical_G100000111752-CHP_ccs-rf</t>
  </si>
  <si>
    <t>ep_coal_subcritical_G100000103000-CHP_ccs-rf</t>
  </si>
  <si>
    <t>ep_coal_subcritical_G100000108366-CHP_ccs-rf</t>
  </si>
  <si>
    <t>ep_coal_subcritical_G100000103260-CHP_ccs-rf</t>
  </si>
  <si>
    <t>ep_coal_subcritical_G100000103877-CHP_ccs-rf</t>
  </si>
  <si>
    <t>ep_coal_subcritical_G100000104207-CHP_ccs-rf</t>
  </si>
  <si>
    <t>ep_coal_subcritical_G100000104718-CHP_ccs-rf</t>
  </si>
  <si>
    <t>ep_coal_subcritical_G100000109300-CHP_ccs-rf</t>
  </si>
  <si>
    <t>ep_coal_subcritical_G100000113703-CHP_ccs-rf</t>
  </si>
  <si>
    <t>ep_coal_ultra-supercritical_G100000115849-CHP_ccs-rf</t>
  </si>
  <si>
    <t>ep_coal_supercritical_G100000101786-CHP_ccs-rf</t>
  </si>
  <si>
    <t>ep_coal_ultra-supercritical_G100000115842-CHP_ccs-rf</t>
  </si>
  <si>
    <t>ep_coal_ultra-supercritical_G100000104235_ccs-rf</t>
  </si>
  <si>
    <t>ep_coal_ultra-supercritical_G100001000190-CHP_ccs-rf</t>
  </si>
  <si>
    <t>ep_coal_supercritical_G100000109653-CHP_ccs-rf</t>
  </si>
  <si>
    <t>ep_coal_ultra-supercritical_G100000104486-CHP_ccs-rf</t>
  </si>
  <si>
    <t>ep_coal_ultra-supercritical_G100000111663_ccs-rf</t>
  </si>
  <si>
    <t>ep_coal_subcritical_G100000104515-CHP_ccs-rf</t>
  </si>
  <si>
    <t>ep_coal_ultra-supercritical_G100000115518_ccs-rf</t>
  </si>
  <si>
    <t>ep_coal_ultra-supercritical_G100000114269_ccs-rf</t>
  </si>
  <si>
    <t>ep_coal_ultra-supercritical_G100000110845-CHP_ccs-rf</t>
  </si>
  <si>
    <t>ep_coal_supercritical_G100000111331-CHP_ccs-rf</t>
  </si>
  <si>
    <t>ep_coal_supercritical_G100000103311-CHP_ccs-rf</t>
  </si>
  <si>
    <t>ep_coal_ultra-supercritical_G100000103865_ccs-rf</t>
  </si>
  <si>
    <t>ep_coal_ultra-supercritical_G100001051305_ccs-rf</t>
  </si>
  <si>
    <t>ep_coal_supercritical_G100000104001_ccs-rf</t>
  </si>
  <si>
    <t>ep_coal_subcritical_G100000104739_ccs-rf</t>
  </si>
  <si>
    <t>ep_coal_subcritical_G100000105684-CHP_ccs-rf</t>
  </si>
  <si>
    <t>ep_coal_subcritical_G100000107462-CHP_ccs-rf</t>
  </si>
  <si>
    <t>ep_coal_subcritical_G100000108956_ccs-rf</t>
  </si>
  <si>
    <t>ep_coal_subcritical_G100000111057_ccs-rf</t>
  </si>
  <si>
    <t>ep_coal_subcritical_G100000111281-CHP_ccs-rf</t>
  </si>
  <si>
    <t>ep_coal_subcritical_G100000110283-CHP_ccs-rf</t>
  </si>
  <si>
    <t>ep_coal_subcritical_G100000102732-CHP_ccs-rf</t>
  </si>
  <si>
    <t>ep_coal_subcritical_G100000112041_ccs-rf</t>
  </si>
  <si>
    <t>ep_coal_subcritical_G100000104416-CHP_ccs-rf</t>
  </si>
  <si>
    <t>ep_coal_subcritical_G100000105118-CHP_ccs-rf</t>
  </si>
  <si>
    <t>ep_coal_subcritical_G100000113171_ccs-rf</t>
  </si>
  <si>
    <t>ep_coal_subcritical_G100000101333-CHP_ccs-rf</t>
  </si>
  <si>
    <t>ep_coal_subcritical_G100000111024-CHP_ccs-rf</t>
  </si>
  <si>
    <t>ep_coal_subcritical_G100000106110-CHP_ccs-rf</t>
  </si>
  <si>
    <t>ep_coal_subcritical_G100000106447-CHP_ccs-rf</t>
  </si>
  <si>
    <t>ep_coal_subcritical_G100000102111-CHP_ccs-rf</t>
  </si>
  <si>
    <t>ep_coal_subcritical_G100000114730-CHP_ccs-rf</t>
  </si>
  <si>
    <t>ep_coal_supercritical_G100000104320-CHP_ccs-rf</t>
  </si>
  <si>
    <t>ep_coal_supercritical_G100000115241-CHP_ccs-rf</t>
  </si>
  <si>
    <t>ep_coal_supercritical_G100000111092-CHP_ccs-rf</t>
  </si>
  <si>
    <t>ep_coal_ultra-supercritical_G100000109027_ccs-rf</t>
  </si>
  <si>
    <t>ep_coal_ultra-supercritical_G100000115373_ccs-rf</t>
  </si>
  <si>
    <t>ep_coal_ultra-supercritical_G100000115313_ccs-rf</t>
  </si>
  <si>
    <t>ep_coal_ultra-supercritical_G100000104074-CHP_ccs-rf</t>
  </si>
  <si>
    <t>ep_coal_subcritical_G100000103221_ccs-rf</t>
  </si>
  <si>
    <t>ep_coal_subcritical_G100000102185_ccs-rf</t>
  </si>
  <si>
    <t>ep_coal_ultra-supercritical_G100000103477_ccs-rf</t>
  </si>
  <si>
    <t>ep_coal_supercritical_G100000103378-CHP_ccs-rf</t>
  </si>
  <si>
    <t>ep_coal_ultra-supercritical_G100000113510_ccs-rf</t>
  </si>
  <si>
    <t>ep_coal_supercritical_G100000102309_ccs-rf</t>
  </si>
  <si>
    <t>ep_coal_supercritical_G100000104223_ccs-rf</t>
  </si>
  <si>
    <t>ep_coal_supercritical_G100000105440-CHP_ccs-rf</t>
  </si>
  <si>
    <t>ep_coal_ultra-supercritical_G100000115916-CHP_ccs-rf</t>
  </si>
  <si>
    <t>ep_coal_subcritical_G100000102083-CHP_ccs-rf</t>
  </si>
  <si>
    <t>ep_coal_subcritical_G100000103879-CHP_ccs-rf</t>
  </si>
  <si>
    <t>ep_coal_subcritical_G100000104228-CHP_ccs-rf</t>
  </si>
  <si>
    <t>ep_coal_subcritical_G100000108243-CHP_ccs-rf</t>
  </si>
  <si>
    <t>ep_coal_subcritical_G100000112456-CHP_ccs-rf</t>
  </si>
  <si>
    <t>ep_coal_subcritical_G100000111230-CHP_ccs-rf</t>
  </si>
  <si>
    <t>ep_coal_supercritical_G100000111287-CHP_ccs-rf</t>
  </si>
  <si>
    <t>ep_coal_supercritical_G100000104371-CHP_ccs-rf</t>
  </si>
  <si>
    <t>ep_coal_supercritical_G100000104148-CHP_ccs-rf</t>
  </si>
  <si>
    <t>ep_coal_ultra-supercritical_G100000108348_ccs-rf</t>
  </si>
  <si>
    <t>ep_coal_ultra-supercritical_G100000103458_ccs-rf</t>
  </si>
  <si>
    <t>ep_coal_subcritical_CCS_G100000107466_ccs-rf</t>
  </si>
  <si>
    <t>ep_coal_subcritical_G100000109136_ccs-rf</t>
  </si>
  <si>
    <t>ep_coal_subcritical_G100000105157_ccs-rf</t>
  </si>
  <si>
    <t>ep_coal_supercritical_G100000101800_ccs-rf</t>
  </si>
  <si>
    <t>ep_coal_ultra-supercritical_G100000115556-CHP_ccs-rf</t>
  </si>
  <si>
    <t>ep_coal_supercritical_G100000108889-CHP_ccs-rf</t>
  </si>
  <si>
    <t>ep_coal_ultra-supercritical_G100000103757-CHP_ccs-rf</t>
  </si>
  <si>
    <t>ep_coal_supercritical_G100000111452_ccs-rf</t>
  </si>
  <si>
    <t>ep_coal_supercritical_G100000102851_ccs-rf</t>
  </si>
  <si>
    <t>ep_coal_supercritical_G100000111129-CHP_ccs-rf</t>
  </si>
  <si>
    <t>ep_coal_ultra-supercritical_G100000104564-CHP_ccs-rf</t>
  </si>
  <si>
    <t>ep_coal_subcritical_G100000103343-CHP_ccs-rf</t>
  </si>
  <si>
    <t>ep_coal_subcritical_G100000106751_ccs-rf</t>
  </si>
  <si>
    <t>ep_coal_subcritical_G100000108279_ccs-rf</t>
  </si>
  <si>
    <t>ep_coal_subcritical_G100000108792-CHP_ccs-rf</t>
  </si>
  <si>
    <t>ep_coal_subcritical_G100000111059_ccs-rf</t>
  </si>
  <si>
    <t>ep_coal_subcritical_G100000101890_ccs-rf</t>
  </si>
  <si>
    <t>ep_coal_subcritical_G100000108890-CHP_ccs-rf</t>
  </si>
  <si>
    <t>ep_coal_subcritical_G100000103191_ccs-rf</t>
  </si>
  <si>
    <t>ep_coal_subcritical_G100000103257-CHP_ccs-rf</t>
  </si>
  <si>
    <t>ep_coal_subcritical_G100000103801-CHP_ccs-rf</t>
  </si>
  <si>
    <t>ep_coal_subcritical_G100000111592-CHP_ccs-rf</t>
  </si>
  <si>
    <t>ep_coal_supercritical_G100000104866-CHP_ccs-rf</t>
  </si>
  <si>
    <t>ep_coal_supercritical_G100000114303-CHP_ccs-rf</t>
  </si>
  <si>
    <t>ep_coal_supercritical_G100000109257-CHP_ccs-rf</t>
  </si>
  <si>
    <t>ep_gas_combined_cycle_G100000410220-CHP_ccs-rf</t>
  </si>
  <si>
    <t>ep_gas_combined_cycle_G100000405671_ccs-rf</t>
  </si>
  <si>
    <t>ep_gas_combined_cycle_G100000405161-CHP_ccs-rf</t>
  </si>
  <si>
    <t>ep_gas_combined_cycle_G100000409857-CHP_ccs-rf</t>
  </si>
  <si>
    <t>ep_gas_combined_cycle_G100001070774_ccs-rf</t>
  </si>
  <si>
    <t>ep_gas_combined_cycle_G100000405360-CHP_ccs-rf</t>
  </si>
  <si>
    <t>ep_gas_combined_cycle_G100000405354-CHP_ccs-rf</t>
  </si>
  <si>
    <t>ep_gas_combined_cycle_G100000410718_ccs-rf</t>
  </si>
  <si>
    <t>ep_gas_combined_cycle_G100000405379-CHP_ccs-rf</t>
  </si>
  <si>
    <t>ep_gas_combined_cycle_G100001055250-CHP_ccs-rf</t>
  </si>
  <si>
    <t>ep_gas_combined_cycle_G100000405297-CHP_ccs-rf</t>
  </si>
  <si>
    <t>ep_gas_combined_cycle_G100000405228-CHP_ccs-rf</t>
  </si>
  <si>
    <t>ep_gas_combined_cycle_G100000410225_ccs-rf</t>
  </si>
  <si>
    <t>ep_gas_combined_cycle_G100000405160-CHP_ccs-rf</t>
  </si>
  <si>
    <t>ep_gas_combined_cycle_G100000410231-CHP_ccs-rf</t>
  </si>
  <si>
    <t>ep_coal_ultra-supercritical_G100000115312_ccs-rf</t>
  </si>
  <si>
    <t>ep_coal_ultra-supercritical_G100000115841_ccs-rf</t>
  </si>
  <si>
    <t>ep_coal_ultra-supercritical_G100000108893_ccs-rf</t>
  </si>
  <si>
    <t>ep_coal_subcritical_G100000105288_ccs-rf</t>
  </si>
  <si>
    <t>ep_coal_subcritical_G100000107792_ccs-rf</t>
  </si>
  <si>
    <t>ep_coal_ultra-supercritical_G100000115310_ccs-rf</t>
  </si>
  <si>
    <t>ep_coal_ultra-supercritical_G100000108285_ccs-rf</t>
  </si>
  <si>
    <t>ep_coal_ultra-supercritical_G100000109169-CHP_ccs-rf</t>
  </si>
  <si>
    <t>ep_coal_supercritical_G100000104236_ccs-rf</t>
  </si>
  <si>
    <t>ep_coal_supercritical_G100000110286_ccs-rf</t>
  </si>
  <si>
    <t>ep_coal_ultra-supercritical_G100000110976_ccs-rf</t>
  </si>
  <si>
    <t>ep_coal_supercritical_G100000100238_ccs-rf</t>
  </si>
  <si>
    <t>ep_coal_ultra-supercritical_G100000115012_ccs-rf</t>
  </si>
  <si>
    <t>ep_coal_subcritical_G100000101915-CHP_ccs-rf</t>
  </si>
  <si>
    <t>ep_coal_subcritical_G100000103781-CHP_ccs-rf</t>
  </si>
  <si>
    <t>ep_coal_subcritical_G100000104011-CHP_ccs-rf</t>
  </si>
  <si>
    <t>ep_coal_subcritical_G100000109301-CHP_ccs-rf</t>
  </si>
  <si>
    <t>ep_coal_subcritical_G100000104208-CHP_ccs-rf</t>
  </si>
  <si>
    <t>ep_coal_subcritical_G100000105281-CHP_ccs-rf</t>
  </si>
  <si>
    <t>ep_coal_subcritical_G100000100697-CHP_ccs-rf</t>
  </si>
  <si>
    <t>ep_coal_subcritical_G100000103216-CHP_ccs-rf</t>
  </si>
  <si>
    <t>ep_coal_subcritical_G100000106279-CHP_ccs-rf</t>
  </si>
  <si>
    <t>ep_coal_supercritical_G100000111135-CHP_ccs-rf</t>
  </si>
  <si>
    <t>ep_coal_supercritical_G100000102830-CHP_ccs-rf</t>
  </si>
  <si>
    <t>ep_coal_ultra-supercritical_G100000115451_ccs-rf</t>
  </si>
  <si>
    <t>ep_coal_ultra-supercritical_G100000103004_ccs-rf</t>
  </si>
  <si>
    <t>ep_coal_ultra-supercritical_G100000103783-CHP_ccs-rf</t>
  </si>
  <si>
    <t>ep_coal_ultra-supercritical_G100000105097_ccs-rf</t>
  </si>
  <si>
    <t>ep_coal_subcritical_G100000102188_ccs-rf</t>
  </si>
  <si>
    <t>ep_coal_subcritical_G100000101752_ccs-rf</t>
  </si>
  <si>
    <t>ep_coal_supercritical_G100000109239_ccs-rf</t>
  </si>
  <si>
    <t>ep_coal_ultra-supercritical_G100000103822_ccs-rf</t>
  </si>
  <si>
    <t>ep_coal_supercritical_G100000108603-CHP_ccs-rf</t>
  </si>
  <si>
    <t>ep_coal_ultra-supercritical_G100000112943-CHP_ccs-rf</t>
  </si>
  <si>
    <t>ep_coal_ultra-supercritical_G100000109161_ccs-rf</t>
  </si>
  <si>
    <t>ep_coal_ultra-supercritical_G100001027687_ccs-rf</t>
  </si>
  <si>
    <t>ep_coal_supercritical_G100000113397_ccs-rf</t>
  </si>
  <si>
    <t>ep_coal_subcritical_G100000109259-CHP_ccs-rf</t>
  </si>
  <si>
    <t>ep_coal_subcritical_G100000102105_ccs-rf</t>
  </si>
  <si>
    <t>ep_coal_subcritical_G100000110129-CHP_ccs-rf</t>
  </si>
  <si>
    <t>ep_coal_subcritical_G100000101469-CHP_ccs-rf</t>
  </si>
  <si>
    <t>ep_coal_subcritical_G100000101564-CHP_ccs-rf</t>
  </si>
  <si>
    <t>ep_coal_subcritical_G100000102081-CHP_ccs-rf</t>
  </si>
  <si>
    <t>ep_coal_subcritical_G100000104796-CHP_ccs-rf</t>
  </si>
  <si>
    <t>ep_coal_subcritical_G100000104099-CHP_ccs-rf</t>
  </si>
  <si>
    <t>ep_coal_subcritical_G100000110814-CHP_ccs-rf</t>
  </si>
  <si>
    <t>ep_coal_subcritical_G100000111498-CHP_ccs-rf</t>
  </si>
  <si>
    <t>ep_coal_supercritical_G100000110275-CHP_ccs-rf</t>
  </si>
  <si>
    <t>ep_coal_supercritical_G100000111502-CHP_ccs-rf</t>
  </si>
  <si>
    <t>ep_coal_ultra-supercritical_G100000105159_ccs-rf</t>
  </si>
  <si>
    <t>ep_coal_ultra-supercritical_G100000115489_ccs-rf</t>
  </si>
  <si>
    <t>ep_coal_ultra-supercritical_G100000115843-CHP_ccs-rf</t>
  </si>
  <si>
    <t>ep_coal_ultra-supercritical_G100000115383-CHP_ccs-rf</t>
  </si>
  <si>
    <t>ep_coal_ultra-supercritical_G100000104238_ccs-rf</t>
  </si>
  <si>
    <t>ep_coal_ultra-supercritical_G100000102133_ccs-rf</t>
  </si>
  <si>
    <t>ep_coal_ultra-supercritical_G100000102736_ccs-rf</t>
  </si>
  <si>
    <t>ep_coal_supercritical_G100000111312-CHP_ccs-rf</t>
  </si>
  <si>
    <t>ep_coal_ultra-supercritical_G100000112043-CHP_ccs-rf</t>
  </si>
  <si>
    <t>ep_coal_ultra-supercritical_G100000114529-CHP_ccs-rf</t>
  </si>
  <si>
    <t>ep_coal_ultra-supercritical_G100000111207_ccs-rf</t>
  </si>
  <si>
    <t>ep_coal_ultra-supercritical_G100000109242_ccs-rf</t>
  </si>
  <si>
    <t>ep_coal_supercritical_G100000111421_ccs-rf</t>
  </si>
  <si>
    <t>ep_coal_subcritical_G100000103145_ccs-rf</t>
  </si>
  <si>
    <t>ep_coal_subcritical_G100000103856_ccs-rf</t>
  </si>
  <si>
    <t>ep_coal_subcritical_G100000103934-CHP_ccs-rf</t>
  </si>
  <si>
    <t>ep_coal_subcritical_G100000110105-CHP_ccs-rf</t>
  </si>
  <si>
    <t>ep_coal_subcritical_G100000110116-CHP_ccs-rf</t>
  </si>
  <si>
    <t>ep_coal_subcritical_G100000100240-CHP_ccs-rf</t>
  </si>
  <si>
    <t>ep_coal_subcritical_G100000101931-CHP_ccs-rf</t>
  </si>
  <si>
    <t>ep_coal_subcritical_G100000104548-CHP_ccs-rf</t>
  </si>
  <si>
    <t>ep_coal_subcritical_G100000102214-CHP_ccs-rf</t>
  </si>
  <si>
    <t>ep_coal_supercritical_G100000111666-CHP_ccs-rf</t>
  </si>
  <si>
    <t>ep_coal_supercritical_G100000115498-CHP_ccs-rf</t>
  </si>
  <si>
    <t>ep_coal_supercritical_G100000109041-CHP_ccs-rf</t>
  </si>
  <si>
    <t>ep_coal_supercritical_G100000102933-CHP_ccs-rf</t>
  </si>
  <si>
    <t>ep_coal_supercritical_G100000103391-CHP_ccs-rf</t>
  </si>
  <si>
    <t>ep_coal_supercritical_G100000105685-CHP_ccs-rf</t>
  </si>
  <si>
    <t>ep_coal_supercritical_G100000110786-CHP_ccs-rf</t>
  </si>
  <si>
    <t>ep_coal_ultra-supercritical_G100000104417_ccs-rf</t>
  </si>
  <si>
    <t>ep_coal_ultra-supercritical_G100000106227_ccs-rf</t>
  </si>
  <si>
    <t>ep_coal_ultra-supercritical_G100000115656_ccs-rf</t>
  </si>
  <si>
    <t>ep_coal_ultra-supercritical_G100000115454_ccs-rf</t>
  </si>
  <si>
    <t>ep_coal_ultra-supercritical_G100000103471_ccs-rf</t>
  </si>
  <si>
    <t>ep_coal_ultra-supercritical_G100000114532_ccs-rf</t>
  </si>
  <si>
    <t>ep_coal_ultra-supercritical_G100000104143_ccs-rf</t>
  </si>
  <si>
    <t>ep_coal_subcritical_G100000106518_ccs-rf</t>
  </si>
  <si>
    <t>ep_coal_subcritical_G100000102184_ccs-rf</t>
  </si>
  <si>
    <t>ep_coal_supercritical_G100000104157-CHP_ccs-rf</t>
  </si>
  <si>
    <t>ep_coal_ultra-supercritical_G100000111988_ccs-rf</t>
  </si>
  <si>
    <t>ep_coal_supercritical_G100000104136_ccs-rf</t>
  </si>
  <si>
    <t>ep_coal_ultra-supercritical_G100000111149-CHP_ccs-rf</t>
  </si>
  <si>
    <t>ep_coal_ultra-supercritical_G100001000225_ccs-rf</t>
  </si>
  <si>
    <t>ep_coal_ultra-supercritical_G100000104641-CHP_ccs-rf</t>
  </si>
  <si>
    <t>ep_coal_supercritical_G100000109159_ccs-rf</t>
  </si>
  <si>
    <t>ep_coal_subcritical_G100000104377-CHP_ccs-rf</t>
  </si>
  <si>
    <t>ep_coal_subcritical_G100000111707_ccs-rf</t>
  </si>
  <si>
    <t>ep_coal_subcritical_G100000111581-CHP_ccs-rf</t>
  </si>
  <si>
    <t>ep_coal_subcritical_G100000112110_ccs-rf</t>
  </si>
  <si>
    <t>ep_coal_subcritical_G100000104323-CHP_ccs-rf</t>
  </si>
  <si>
    <t>ep_coal_supercritical_G100000111285-CHP_ccs-rf</t>
  </si>
  <si>
    <t>ep_coal_supercritical_G100000113887-CHP_ccs-rf</t>
  </si>
  <si>
    <t>ep_coal_supercritical_G100000108540-CHP_ccs-rf</t>
  </si>
  <si>
    <t>ep_coal_supercritical_G100000114304-CHP_ccs-rf</t>
  </si>
  <si>
    <t>ep_coal_ultra-supercritical_G100000102929_ccs-rf</t>
  </si>
  <si>
    <t>ep_coal_subcritical_G100000115463-CHP_ccs-rf</t>
  </si>
  <si>
    <t>ep_coal_supercritical_CCS_G100000106157-CHP_ccs-rf</t>
  </si>
  <si>
    <t>ep_coal_supercritical_G100000101884_ccs-rf</t>
  </si>
  <si>
    <t>ep_coal_ultra-supercritical_G100001000210_ccs-rf</t>
  </si>
  <si>
    <t>ep_coal_ultra-supercritical_G100000104087-CHP_ccs-rf</t>
  </si>
  <si>
    <t>ep_coal_supercritical_G100000104233_ccs-rf</t>
  </si>
  <si>
    <t>ep_coal_ultra-supercritical_G100001027686_ccs-rf</t>
  </si>
  <si>
    <t>ep_coal_ultra-supercritical_G100000112049_ccs-rf</t>
  </si>
  <si>
    <t>ep_coal_ultra-supercritical_G100000105222_ccs-rf</t>
  </si>
  <si>
    <t>ep_coal_ultra-supercritical_G100000107778-CHP_ccs-rf</t>
  </si>
  <si>
    <t>ep_coal_supercritical_G100000109327_ccs-rf</t>
  </si>
  <si>
    <t>ep_coal_ultra-supercritical_G100000115554-CHP_ccs-rf</t>
  </si>
  <si>
    <t>ep_coal_subcritical_G100000103251_ccs-rf</t>
  </si>
  <si>
    <t>ep_coal_subcritical_G100000102196-CHP_ccs-rf</t>
  </si>
  <si>
    <t>ep_coal_subcritical_G100000110148-CHP_ccs-rf</t>
  </si>
  <si>
    <t>ep_coal_subcritical_G100000111447-CHP_ccs-rf</t>
  </si>
  <si>
    <t>ep_coal_subcritical_G100000113158-CHP_ccs-rf</t>
  </si>
  <si>
    <t>ep_coal_subcritical_G100000102000-CHP_ccs-rf</t>
  </si>
  <si>
    <t>ep_coal_subcritical_G100000104200-CHP_ccs-rf</t>
  </si>
  <si>
    <t>ep_coal_subcritical_G100000106366_ccs-rf</t>
  </si>
  <si>
    <t>ep_coal_subcritical_G100000108396-CHP_ccs-rf</t>
  </si>
  <si>
    <t>ep_coal_supercritical_G100000104561-CHP_ccs-rf</t>
  </si>
  <si>
    <t>ep_coal_supercritical_G100000103349-CHP_ccs-rf</t>
  </si>
  <si>
    <t>ep_coal_supercritical_G100000104502-CHP_ccs-rf</t>
  </si>
  <si>
    <t>ep_coal_supercritical_G100000109303-CHP_ccs-rf</t>
  </si>
  <si>
    <t>ep_coal_supercritical_G100000112858-CHP_ccs-rf</t>
  </si>
  <si>
    <t>ep_coal_ultra-supercritical_G100001000237_ccs-rf</t>
  </si>
  <si>
    <t>ep_coal_ultra-supercritical_G100000103150_ccs-rf</t>
  </si>
  <si>
    <t>ep_coal_ultra-supercritical_G100000105064_ccs-rf</t>
  </si>
  <si>
    <t>ep_coal_ultra-supercritical_G100000115490_ccs-rf</t>
  </si>
  <si>
    <t>ep_coal_subcritical_G100000105211-CHP_ccs-rf</t>
  </si>
  <si>
    <t>ep_coal_supercritical_G100000106498-CHP_ccs-rf</t>
  </si>
  <si>
    <t>ep_coal_ultra-supercritical_G100000113330-CHP_ccs-rf</t>
  </si>
  <si>
    <t>ep_coal_ultra-supercritical_G100000111245-CHP_ccs-rf</t>
  </si>
  <si>
    <t>ep_coal_ultra-supercritical_G100000104185_ccs-rf</t>
  </si>
  <si>
    <t>ep_coal_ultra-supercritical_G100001004558-CHP_ccs-rf</t>
  </si>
  <si>
    <t>ep_coal_ultra-supercritical_G100000114268_ccs-rf</t>
  </si>
  <si>
    <t>ep_coal_subcritical_G100000102996-CHP_ccs-rf</t>
  </si>
  <si>
    <t>ep_coal_subcritical_G100000102725-CHP_ccs-rf</t>
  </si>
  <si>
    <t>ep_coal_subcritical_G100000103721-CHP_ccs-rf</t>
  </si>
  <si>
    <t>ep_coal_subcritical_G100000110877_ccs-rf</t>
  </si>
  <si>
    <t>ep_coal_subcritical_G100000106862-CHP_ccs-rf</t>
  </si>
  <si>
    <t>ep_coal_subcritical_G100000110158-CHP_ccs-rf</t>
  </si>
  <si>
    <t>ep_coal_subcritical_G100000110834-CHP_ccs-rf</t>
  </si>
  <si>
    <t>ep_coal_supercritical_G100000106812-CHP_ccs-rf</t>
  </si>
  <si>
    <t>ep_coal_supercritical_G100000110268-CHP_ccs-rf</t>
  </si>
  <si>
    <t>ep_coal_supercritical_G100000102020-CHP_ccs-rf</t>
  </si>
  <si>
    <t>ep_coal_supercritical_G100000111256-CHP_ccs-rf</t>
  </si>
  <si>
    <t>ep_gas_combined_cycle_G100000405662_ccs-rf</t>
  </si>
  <si>
    <t>ep_gas_combined_cycle_G100000405520_ccs-rf</t>
  </si>
  <si>
    <t>ep_gas_combined_cycle_G100000405428-CHP_ccs-rf</t>
  </si>
  <si>
    <t>ep_gas_combined_cycle_G100000405733-CHP_ccs-rf</t>
  </si>
  <si>
    <t>ep_gas_combined_cycle_G100000410552_ccs-rf</t>
  </si>
  <si>
    <t>ep_gas_combined_cycle_G100000410549-CHP_ccs-rf</t>
  </si>
  <si>
    <t>ep_gas_combined_cycle_G100000405668_ccs-rf</t>
  </si>
  <si>
    <t>ep_gas_combined_cycle_G100000405416-CHP_ccs-rf</t>
  </si>
  <si>
    <t>ep_gas_combined_cycle_G100000405496-CHP_ccs-rf</t>
  </si>
  <si>
    <t>ep_gas_combined_cycle_G100000405259-CHP_ccs-rf</t>
  </si>
  <si>
    <t>ep_gas_combined_cycle_G100000405745-CHP_ccs-rf</t>
  </si>
  <si>
    <t>ep_gas_combined_cycle_G100000409634-CHP_ccs-rf</t>
  </si>
  <si>
    <t>ep_gas_combined_cycle_G100000405715-CHP_ccs-rf</t>
  </si>
  <si>
    <t>ep_gas_combined_cycle_G100000405180-CHP_ccs-rf</t>
  </si>
  <si>
    <t>ep_gas_combined_cycle_G100000410247-CHP_ccs-rf</t>
  </si>
  <si>
    <t>ep_gas_combined_cycle_G100000405720-CHP_ccs-rf</t>
  </si>
  <si>
    <t>ep_gas_combined_cycle_G100000405425_ccs-rf</t>
  </si>
  <si>
    <t>ep_gas_combined_cycle_G100000405307-CHP_ccs-rf</t>
  </si>
  <si>
    <t>ep_gas_combined_cycle_G100000412492_ccs-rf</t>
  </si>
  <si>
    <t>ep_gas_combined_cycle_G100000405635-CHP_ccs-rf</t>
  </si>
  <si>
    <t>ep_coal_ultra-supercritical_G100000103152_ccs-rf</t>
  </si>
  <si>
    <t>ep_coal_ultra-supercritical_G100000109208_ccs-rf</t>
  </si>
  <si>
    <t>ep_coal_ultra-supercritical_G100000104367-CHP_ccs-rf</t>
  </si>
  <si>
    <t>ep_coal_ultra-supercritical_G100000103868_ccs-rf</t>
  </si>
  <si>
    <t>ep_coal_subcritical_G100000109142_ccs-rf</t>
  </si>
  <si>
    <t>ep_coal_subcritical_G100000106347-CHP_ccs-rf</t>
  </si>
  <si>
    <t>ep_coal_supercritical_G100000104234_ccs-rf</t>
  </si>
  <si>
    <t>ep_coal_ultra-supercritical_G100000112904_ccs-rf</t>
  </si>
  <si>
    <t>ep_coal_supercritical_G100000111217-CHP_ccs-rf</t>
  </si>
  <si>
    <t>ep_coal_subcritical_G100000101472-CHP_ccs-rf</t>
  </si>
  <si>
    <t>ep_coal_subcritical_G100000102835-CHP_ccs-rf</t>
  </si>
  <si>
    <t>ep_coal_subcritical_G100000103353-CHP_ccs-rf</t>
  </si>
  <si>
    <t>ep_coal_subcritical_G100000108732-CHP_ccs-rf</t>
  </si>
  <si>
    <t>ep_coal_subcritical_G100000100241-CHP_ccs-rf</t>
  </si>
  <si>
    <t>ep_coal_subcritical_G100000101349-CHP_ccs-rf</t>
  </si>
  <si>
    <t>ep_coal_subcritical_G100000103709-CHP_ccs-rf</t>
  </si>
  <si>
    <t>ep_coal_supercritical_G100000113089-CHP_ccs-rf</t>
  </si>
  <si>
    <t>ep_coal_supercritical_G100000103507-CHP_ccs-rf</t>
  </si>
  <si>
    <t>ep_coal_supercritical_G100000105165-CHP_ccs-rf</t>
  </si>
  <si>
    <t>ep_coal_supercritical_G100000102110-CHP_ccs-rf</t>
  </si>
  <si>
    <t>ep_coal_supercritical_G100000111001_ccs-rf</t>
  </si>
  <si>
    <t>ep_coal_supercritical_G100000100437-CHP_ccs-rf</t>
  </si>
  <si>
    <t>ep_coal_ultra-supercritical_G100000109117_ccs-rf</t>
  </si>
  <si>
    <t>ep_coal_ultra-supercritical_G100000111479_ccs-rf</t>
  </si>
  <si>
    <t>ep_coal_ultra-supercritical_G100000108347_ccs-rf</t>
  </si>
  <si>
    <t>ep_coal_subcritical_G100000103705-CHP_ccs-rf</t>
  </si>
  <si>
    <t>ep_coal_subcritical_G100000108977_ccs-rf</t>
  </si>
  <si>
    <t>ep_coal_supercritical_G100000111660-CHP_ccs-rf</t>
  </si>
  <si>
    <t>ep_coal_supercritical_G100000101883_ccs-rf</t>
  </si>
  <si>
    <t>ep_coal_supercritical_G100000101337_ccs-rf</t>
  </si>
  <si>
    <t>ep_coal_ultra-supercritical_G100000111457_ccs-rf</t>
  </si>
  <si>
    <t>ep_coal_supercritical_G100000104158-CHP_ccs-rf</t>
  </si>
  <si>
    <t>ep_coal_ultra-supercritical_G100000110841-CHP_ccs-rf</t>
  </si>
  <si>
    <t>ep_coal_supercritical_G100000111131_ccs-rf</t>
  </si>
  <si>
    <t>ep_coal_supercritical_G100000111422_ccs-rf</t>
  </si>
  <si>
    <t>ep_coal_subcritical_G100000108273-CHP_ccs-rf</t>
  </si>
  <si>
    <t>ep_coal_subcritical_G100000111574-CHP_ccs-rf</t>
  </si>
  <si>
    <t>ep_coal_subcritical_G100000111061-CHP_ccs-rf</t>
  </si>
  <si>
    <t>ep_coal_subcritical_G100000104391_ccs-rf</t>
  </si>
  <si>
    <t>ep_coal_subcritical_G100000109298-CHP_ccs-rf</t>
  </si>
  <si>
    <t>ep_m_coal_subcritical_G100000111328_ccs-rf</t>
  </si>
  <si>
    <t>ep_coal_subcritical_G100000102862-CHP_ccs-rf</t>
  </si>
  <si>
    <t>ep_coal_subcritical_G100000104039-CHP_ccs-rf</t>
  </si>
  <si>
    <t>ep_coal_subcritical_G100000105117-CHP_ccs-rf</t>
  </si>
  <si>
    <t>ep_coal_subcritical_G100000108365-CHP_ccs-rf</t>
  </si>
  <si>
    <t>ep_coal_supercritical_G100000102262-CHP_ccs-rf</t>
  </si>
  <si>
    <t>ep_coal_supercritical_G100001000246-CHP_ccs-rf</t>
  </si>
  <si>
    <t>ep_coal_supercritical_G100000106360-CHP_ccs-rf</t>
  </si>
  <si>
    <t>ep_coal_ultra-supercritical_G100000101335_ccs-rf</t>
  </si>
  <si>
    <t>ep_coal_ultra-supercritical_G100000103479_ccs-rf</t>
  </si>
  <si>
    <t>ep_coal_ultra-supercritical_G100000115653_ccs-rf</t>
  </si>
  <si>
    <t>ep_coal_ultra-supercritical_G100000115642_ccs-rf</t>
  </si>
  <si>
    <t>ep_coal_ultra-supercritical_G100000111200_ccs-rf</t>
  </si>
  <si>
    <t>ep_coal_ultra-supercritical_G100000109656-CHP_ccs-rf</t>
  </si>
  <si>
    <t>ep_coal_subcritical_G100000103456_ccs-rf</t>
  </si>
  <si>
    <t>ep_coal_supercritical_G100000105112_ccs-rf</t>
  </si>
  <si>
    <t>ep_coal_ultra-supercritical_G100000103386-CHP_ccs-rf</t>
  </si>
  <si>
    <t>ep_coal_supercritical_G100000102137_ccs-rf</t>
  </si>
  <si>
    <t>ep_coal_ultra-supercritical_G100000114979-CHP_ccs-rf</t>
  </si>
  <si>
    <t>ep_coal_subcritical_G100000103204-CHP_ccs-rf</t>
  </si>
  <si>
    <t>ep_coal_subcritical_G100000104613-CHP_ccs-rf</t>
  </si>
  <si>
    <t>ep_coal_subcritical_G100000106165-CHP_ccs-rf</t>
  </si>
  <si>
    <t>ep_coal_subcritical_G100000110118-CHP_ccs-rf</t>
  </si>
  <si>
    <t>ep_coal_subcritical_G100000104580-CHP_ccs-rf</t>
  </si>
  <si>
    <t>ep_coal_subcritical_G100000104346_ccs-rf</t>
  </si>
  <si>
    <t>ep_coal_subcritical_G100000104705_ccs-rf</t>
  </si>
  <si>
    <t>ep_coal_subcritical_G100000105120_ccs-rf</t>
  </si>
  <si>
    <t>ep_coal_subcritical_G100000108346_ccs-rf</t>
  </si>
  <si>
    <t>ep_coal_subcritical_G100000113051-CHP_ccs-rf</t>
  </si>
  <si>
    <t>ep_coal_subcritical_G100000104094-CHP_ccs-rf</t>
  </si>
  <si>
    <t>ep_coal_subcritical_G100000111605-CHP_ccs-rf</t>
  </si>
  <si>
    <t>ep_coal_subcritical_G100000110821-CHP_ccs-rf</t>
  </si>
  <si>
    <t>ep_coal_subcritical_G100000111013-CHP_ccs-rf</t>
  </si>
  <si>
    <t>ep_coal_subcritical_G100000111578-CHP_ccs-rf</t>
  </si>
  <si>
    <t>ep_coal_supercritical_G100000101929-CHP_ccs-rf</t>
  </si>
  <si>
    <t>ep_coal_supercritical_G100000100098-CHP_ccs-rf</t>
  </si>
  <si>
    <t>ep_coal_supercritical_G100000100550-CHP_ccs-rf</t>
  </si>
  <si>
    <t>ep_coal_supercritical_G100000110276-CHP_ccs-rf</t>
  </si>
  <si>
    <t>ep_coal_ultra-supercritical_G100000109191_ccs-rf</t>
  </si>
  <si>
    <t>ep_coal_ultra-supercritical_G100000115449_ccs-rf</t>
  </si>
  <si>
    <t>ep_coal_ultra-supercritical_G100000111818_ccs-rf</t>
  </si>
  <si>
    <t>ep_coal_ultra-supercritical_G100000101919_ccs-rf</t>
  </si>
  <si>
    <t>ep_coal_subcritical_G100000104053-CHP_ccs-rf</t>
  </si>
  <si>
    <t>ep_coal_subcritical_G100000104054-CHP_ccs-rf</t>
  </si>
  <si>
    <t>ep_coal_ultra-supercritical_G100000100237_ccs-rf</t>
  </si>
  <si>
    <t>ep_coal_ultra-supercritical_G100000104488_ccs-rf</t>
  </si>
  <si>
    <t>ep_coal_ultra-supercritical_G100000104060_ccs-rf</t>
  </si>
  <si>
    <t>ep_coal_supercritical_G100000104420-CHP_ccs-rf</t>
  </si>
  <si>
    <t>ep_coal_ultra-supercritical_G100001004239_ccs-rf</t>
  </si>
  <si>
    <t>ep_coal_supercritical_G100000102251-CHP_ccs-rf</t>
  </si>
  <si>
    <t>ep_coal_supercritical_G100000102094-CHP_ccs-rf</t>
  </si>
  <si>
    <t>ep_coal_ultra-supercritical_G100000108254-CHP_ccs-rf</t>
  </si>
  <si>
    <t>ep_coal_ultra-supercritical_G100000101809-CHP_ccs-rf</t>
  </si>
  <si>
    <t>ep_coal_ultra-supercritical_G100000109109_ccs-rf</t>
  </si>
  <si>
    <t>ep_coal_ultra-supercritical_G100000104456_ccs-rf</t>
  </si>
  <si>
    <t>ep_coal_ultra-supercritical_G100000104591-CHP_ccs-rf</t>
  </si>
  <si>
    <t>ep_coal_ultra-supercritical_G100000105278-CHP_ccs-rf</t>
  </si>
  <si>
    <t>ep_coal_ultra-supercritical_G100000115832_ccs-rf</t>
  </si>
  <si>
    <t>ep_coal_subcritical_G100000103250_ccs-rf</t>
  </si>
  <si>
    <t>ep_coal_subcritical_G100000102206-CHP_ccs-rf</t>
  </si>
  <si>
    <t>ep_coal_subcritical_G100000103821-CHP_ccs-rf</t>
  </si>
  <si>
    <t>ep_coal_subcritical_G100000103942-CHP_ccs-rf</t>
  </si>
  <si>
    <t>ep_coal_subcritical_G100000104658-CHP_ccs-rf</t>
  </si>
  <si>
    <t>ep_coal_subcritical_G100000105313-CHP_ccs-rf</t>
  </si>
  <si>
    <t>ep_coal_subcritical_G100000103445_ccs-rf</t>
  </si>
  <si>
    <t>ep_coal_subcritical_G100000107657-CHP_ccs-rf</t>
  </si>
  <si>
    <t>ep_coal_subcritical_G100000107660-CHP_ccs-rf</t>
  </si>
  <si>
    <t>ep_coal_subcritical_G100000108952_ccs-rf</t>
  </si>
  <si>
    <t>ep_coal_subcritical_G100000110726-CHP_ccs-rf</t>
  </si>
  <si>
    <t>ep_coal_subcritical_G100000110826-CHP_ccs-rf</t>
  </si>
  <si>
    <t>ep_coal_subcritical_G100000111260-CHP_ccs-rf</t>
  </si>
  <si>
    <t>ep_coal_subcritical_G100000111390-CHP_ccs-rf</t>
  </si>
  <si>
    <t>ep_coal_subcritical_G100000102733-CHP_ccs-rf</t>
  </si>
  <si>
    <t>ep_coal_subcritical_G100000106163-CHP_ccs-rf</t>
  </si>
  <si>
    <t>ep_coal_subcritical_G100000111634-CHP_ccs-rf</t>
  </si>
  <si>
    <t>ep_coal_supercritical_G100000111711-CHP_ccs-rf</t>
  </si>
  <si>
    <t>ep_coal_supercritical_G100000109328-CHP_ccs-rf</t>
  </si>
  <si>
    <t>ep_coal_supercritical_G100000109059-CHP_ccs-rf</t>
  </si>
  <si>
    <t>ep_coal_supercritical_G100000111726-CHP_ccs-rf</t>
  </si>
  <si>
    <t>ep_coal_ultra-supercritical_G100000109207_ccs-rf</t>
  </si>
  <si>
    <t>ep_coal_ultra-supercritical_G100000102228_ccs-rf</t>
  </si>
  <si>
    <t>ep_coal_subcritical_G100000103455_ccs-rf</t>
  </si>
  <si>
    <t>ep_coal_ultra-supercritical_G100000104128-CHP_ccs-rf</t>
  </si>
  <si>
    <t>ep_coal_supercritical_G100000109323-CHP_ccs-rf</t>
  </si>
  <si>
    <t>ep_coal_supercritical_G100000102379-CHP_ccs-rf</t>
  </si>
  <si>
    <t>ep_coal_ultra-supercritical_G100000111718-CHP_ccs-rf</t>
  </si>
  <si>
    <t>ep_coal_supercritical_G100000109124_ccs-rf</t>
  </si>
  <si>
    <t>ep_coal_subcritical_G100000100582-CHP_ccs-rf</t>
  </si>
  <si>
    <t>ep_coal_subcritical_G100000104427-CHP_ccs-rf</t>
  </si>
  <si>
    <t>ep_coal_subcritical_G100000111749-CHP_ccs-rf</t>
  </si>
  <si>
    <t>ep_coal_subcritical_G100000104194-CHP_ccs-rf</t>
  </si>
  <si>
    <t>ep_coal_subcritical_G100000109245-CHP_ccs-rf</t>
  </si>
  <si>
    <t>ep_coal_subcritical_G100000111690-CHP_ccs-rf</t>
  </si>
  <si>
    <t>ep_coal_subcritical_G100000113244-CHP_ccs-rf</t>
  </si>
  <si>
    <t>ep_coal_subcritical_G100000101889_ccs-rf</t>
  </si>
  <si>
    <t>ep_coal_supercritical_G100000104455-CHP_ccs-rf</t>
  </si>
  <si>
    <t>ep_coal_supercritical_G100000114967-CHP_ccs-rf</t>
  </si>
  <si>
    <t>ep_coal_supercritical_G100000114989-CHP_ccs-rf</t>
  </si>
  <si>
    <t>ep_coal_supercritical_G100000104071-CHP_ccs-rf</t>
  </si>
  <si>
    <t>ep_coal_supercritical_G100000104321-CHP_ccs-rf</t>
  </si>
  <si>
    <t>ep_coal_supercritical_G100000114990-CHP_ccs-rf</t>
  </si>
  <si>
    <t>ep_coal_ultra-supercritical_G100000115475_ccs-rf</t>
  </si>
  <si>
    <t>ep_coal_supercritical_G100000107789_ccs-rf</t>
  </si>
  <si>
    <t>ep_coal_ultra-supercritical_G100000100234_ccs-rf</t>
  </si>
  <si>
    <t>ep_coal_ultra-supercritical_G100000110113-CHP_ccs-rf</t>
  </si>
  <si>
    <t>ep_coal_supercritical_G100000106497_ccs-rf</t>
  </si>
  <si>
    <t>ep_coal_ultra-supercritical_G100000115340_ccs-rf</t>
  </si>
  <si>
    <t>ep_coal_supercritical_G100000104002_ccs-rf</t>
  </si>
  <si>
    <t>ep_coal_supercritical_G100000111130_ccs-rf</t>
  </si>
  <si>
    <t>ep_coal_supercritical_G100000104509-CHP_ccs-rf</t>
  </si>
  <si>
    <t>ep_coal_subcritical_G100000107324_ccs-rf</t>
  </si>
  <si>
    <t>ep_coal_subcritical_G100000110730-CHP_ccs-rf</t>
  </si>
  <si>
    <t>ep_coal_subcritical_G100000111064_ccs-rf</t>
  </si>
  <si>
    <t>ep_coal_subcritical_G100000110819-CHP_ccs-rf</t>
  </si>
  <si>
    <t>ep_coal_subcritical_G100000110830-CHP_ccs-rf</t>
  </si>
  <si>
    <t>ep_coal_subcritical_G100000111724-CHP_ccs-rf</t>
  </si>
  <si>
    <t>ep_coal_subcritical_G100000104399-CHP_ccs-rf</t>
  </si>
  <si>
    <t>ep_coal_subcritical_G100000112899-CHP_ccs-rf</t>
  </si>
  <si>
    <t>ep_coal_supercritical_G100000111137-CHP_ccs-rf</t>
  </si>
  <si>
    <t>ep_coal_supercritical_G100000111689-CHP_ccs-rf</t>
  </si>
  <si>
    <t>ep_coal_supercritical_G100000109047-CHP_ccs-rf</t>
  </si>
  <si>
    <t>ep_coal_supercritical_G100000111286-CHP_ccs-rf</t>
  </si>
  <si>
    <t>ep_gas_combined_cycle_G100000405704-CHP_ccs-rf</t>
  </si>
  <si>
    <t>ep_gas_combined_cycle_G100000405585-CHP_ccs-rf</t>
  </si>
  <si>
    <t>ep_gas_combined_cycle_G100000405664_ccs-rf</t>
  </si>
  <si>
    <t>ep_gas_combined_cycle_G100000405303-CHP_ccs-rf</t>
  </si>
  <si>
    <t>ep_gas_combined_cycle_G100000410726-CHP_ccs-rf</t>
  </si>
  <si>
    <t>ep_gas_combined_cycle_G100000405674-CHP_ccs-rf</t>
  </si>
  <si>
    <t>ep_gas_combined_cycle_G100000405714-CHP_ccs-rf</t>
  </si>
  <si>
    <t>ep_gas_combined_cycle_G100000409868_ccs-rf</t>
  </si>
  <si>
    <t>ep_gas_combined_cycle_G100000410343-CHP_ccs-rf</t>
  </si>
  <si>
    <t>ep_gas_combined_cycle_G100000405483_ccs-rf</t>
  </si>
  <si>
    <t>ep_gas_combined_cycle_G100000405669-CHP_ccs-rf</t>
  </si>
  <si>
    <t>ep_gas_combined_cycle_G100000405792-CHP_ccs-rf</t>
  </si>
  <si>
    <t>ep_gas_combined_cycle_G100000405226-CHP_ccs-rf</t>
  </si>
  <si>
    <t>ep_gas_combined_cycle_G100000405256-CHP_ccs-rf</t>
  </si>
  <si>
    <t>ep_gas_combined_cycle_G100000405162-CHP_ccs-rf</t>
  </si>
  <si>
    <t>ep_coal_ultra-supercritical_G100000103385_ccs-rf</t>
  </si>
  <si>
    <t>ep_coal_subcritical_G100000111218_ccs-rf</t>
  </si>
  <si>
    <t>ep_coal_supercritical_G100000106654-CHP_ccs-rf</t>
  </si>
  <si>
    <t>ep_coal_ultra-supercritical_G100000114497-CHP_ccs-rf</t>
  </si>
  <si>
    <t>ep_coal_supercritical_G100000109063_ccs-rf</t>
  </si>
  <si>
    <t>ep_coal_ultra-supercritical_G100001004559-CHP_ccs-rf</t>
  </si>
  <si>
    <t>ep_coal_supercritical_G100000102868_ccs-rf</t>
  </si>
  <si>
    <t>ep_coal_supercritical_G100000103452-CHP_ccs-rf</t>
  </si>
  <si>
    <t>ep_coal_ultra-supercritical_G100000105103-CHP_ccs-rf</t>
  </si>
  <si>
    <t>ep_coal_subcritical_G100000109123-CHP_ccs-rf</t>
  </si>
  <si>
    <t>ep_coal_subcritical_G100000112057-CHP_ccs-rf</t>
  </si>
  <si>
    <t>ep_coal_subcritical_G100000108973_ccs-rf</t>
  </si>
  <si>
    <t>ep_coal_subcritical_G100000109235_ccs-rf</t>
  </si>
  <si>
    <t>ep_coal_subcritical_G100000110119-CHP_ccs-rf</t>
  </si>
  <si>
    <t>ep_coal_subcritical_G100000103422-CHP_ccs-rf</t>
  </si>
  <si>
    <t>ep_coal_subcritical_G100000102551-CHP_ccs-rf</t>
  </si>
  <si>
    <t>ep_coal_supercritical_G100000102173-CHP_ccs-rf</t>
  </si>
  <si>
    <t>ep_coal_supercritical_G100000110152-CHP_ccs-rf</t>
  </si>
  <si>
    <t>ep_coal_supercritical_G100000101747-CHP_ccs-rf</t>
  </si>
  <si>
    <t>ep_coal_ultra-supercritical_G100000115447_ccs-rf</t>
  </si>
  <si>
    <t>ep_coal_ultra-supercritical_G100000106502_ccs-rf</t>
  </si>
  <si>
    <t>ep_coal_ultra-supercritical_G100000115840_ccs-rf</t>
  </si>
  <si>
    <t>ep_coal_ultra-supercritical_G100000115334_ccs-rf</t>
  </si>
  <si>
    <t>ep_coal_ultra-supercritical_G100000114835_ccs-rf</t>
  </si>
  <si>
    <t>ep_coal_ultra-supercritical_G100000106819_ccs-rf</t>
  </si>
  <si>
    <t>ep_coal_ultra-supercritical_G100000101757_ccs-rf</t>
  </si>
  <si>
    <t>ep_coal_subcritical_G100000102356_ccs-rf</t>
  </si>
  <si>
    <t>ep_coal_subcritical_G100000106248-CHP_ccs-rf</t>
  </si>
  <si>
    <t>ep_coal_subcritical_G100000102249-CHP_ccs-rf</t>
  </si>
  <si>
    <t>ep_coal_supercritical_G100000100287_ccs-rf</t>
  </si>
  <si>
    <t>ep_coal_ultra-supercritical_G100000101104_ccs-rf</t>
  </si>
  <si>
    <t>ep_coal_ultra-supercritical_G100000102708_ccs-rf</t>
  </si>
  <si>
    <t>ep_coal_ultra-supercritical_G100000111106_ccs-rf</t>
  </si>
  <si>
    <t>ep_coal_ultra-supercritical_G100001000518_ccs-rf</t>
  </si>
  <si>
    <t>ep_coal_ultra-supercritical_G100001004240_ccs-rf</t>
  </si>
  <si>
    <t>ep_coal_supercritical_G100000104720_ccs-rf</t>
  </si>
  <si>
    <t>ep_coal_subcritical_G100000108324-CHP_ccs-rf</t>
  </si>
  <si>
    <t>ep_coal_subcritical_G100000111015-CHP_ccs-rf</t>
  </si>
  <si>
    <t>ep_coal_subcritical_G100000104276-CHP_ccs-rf</t>
  </si>
  <si>
    <t>ep_coal_subcritical_G100000102043_ccs-rf</t>
  </si>
  <si>
    <t>ep_coal_subcritical_G100000111160-CHP_ccs-rf</t>
  </si>
  <si>
    <t>ep_coal_subcritical_G100000108789-CHP_ccs-rf</t>
  </si>
  <si>
    <t>ep_coal_supercritical_G100000111093-CHP_ccs-rf</t>
  </si>
  <si>
    <t>ep_coal_supercritical_G100000111134-CHP_ccs-rf</t>
  </si>
  <si>
    <t>ep_coal_subcritical_G100000104326-CHP_ccs-rf</t>
  </si>
  <si>
    <t>ep_coal_ultra-supercritical_G100000102034-CHP_ccs-rf</t>
  </si>
  <si>
    <t>ep_coal_ultra-supercritical_G100000109218_ccs-rf</t>
  </si>
  <si>
    <t>ep_coal_ultra-supercritical_CCS_G100000103395_ccs-rf</t>
  </si>
  <si>
    <t>ep_coal_ultra-supercritical_G100000109859_ccs-rf</t>
  </si>
  <si>
    <t>ep_coal_ultra-supercritical_G100000114944-CHP_ccs-rf</t>
  </si>
  <si>
    <t>ep_coal_ultra-supercritical_G100000114302_ccs-rf</t>
  </si>
  <si>
    <t>ep_coal_ultra-supercritical_G100000102943_ccs-rf</t>
  </si>
  <si>
    <t>ep_coal_ultra-supercritical_G100000109118_ccs-rf</t>
  </si>
  <si>
    <t>ep_coal_ultra-supercritical_G100000106459_ccs-rf</t>
  </si>
  <si>
    <t>ep_coal_supercritical_G100000102155-CHP_ccs-rf</t>
  </si>
  <si>
    <t>ep_coal_supercritical_G100000103312-CHP_ccs-rf</t>
  </si>
  <si>
    <t>ep_coal_ultra-supercritical_G100000103866_ccs-rf</t>
  </si>
  <si>
    <t>ep_coal_ultra-supercritical_G100000115917-CHP_ccs-rf</t>
  </si>
  <si>
    <t>ep_coal_supercritical_G100000104306_ccs-rf</t>
  </si>
  <si>
    <t>ep_coal_ultra-supercritical_G100000104569_ccs-rf</t>
  </si>
  <si>
    <t>ep_coal_ultra-supercritical_G100001000219_ccs-rf</t>
  </si>
  <si>
    <t>ep_coal_ultra-supercritical_G100000109241_ccs-rf</t>
  </si>
  <si>
    <t>ep_coal_supercritical_G100000103146_ccs-rf</t>
  </si>
  <si>
    <t>ep_coal_ultra-supercritical_G100000111987_ccs-rf</t>
  </si>
  <si>
    <t>ep_coal_ultra-supercritical_G100000110840-CHP_ccs-rf</t>
  </si>
  <si>
    <t>ep_coal_subcritical_G100000107667_ccs-rf</t>
  </si>
  <si>
    <t>ep_coal_subcritical_G100000104581-CHP_ccs-rf</t>
  </si>
  <si>
    <t>ep_coal_subcritical_G100000102232-CHP_ccs-rf</t>
  </si>
  <si>
    <t>ep_coal_subcritical_G100000111976_ccs-rf</t>
  </si>
  <si>
    <t>ep_coal_subcritical_G100000110104-CHP_ccs-rf</t>
  </si>
  <si>
    <t>ep_coal_subcritical_G100000101470-CHP_ccs-rf</t>
  </si>
  <si>
    <t>ep_coal_subcritical_G100000112111_ccs-rf</t>
  </si>
  <si>
    <t>ep_coal_subcritical_G100000104393_ccs-rf</t>
  </si>
  <si>
    <t>ep_coal_subcritical_G100000107326_ccs-rf</t>
  </si>
  <si>
    <t>ep_coal_subcritical_G100000109297-CHP_ccs-rf</t>
  </si>
  <si>
    <t>ep_coal_subcritical_G100000111290-CHP_ccs-rf</t>
  </si>
  <si>
    <t>ep_coal_supercritical_G100000105230-CHP_ccs-rf</t>
  </si>
  <si>
    <t>ep_coal_supercritical_G100000110120-CHP_ccs-rf</t>
  </si>
  <si>
    <t>ep_coal_supercritical_G100000106811-CHP_ccs-rf</t>
  </si>
  <si>
    <t>ep_coal_supercritical_G100000113090-CHP_ccs-rf</t>
  </si>
  <si>
    <t>ep_coal_supercritical_G100000112866-CHP_ccs-rf</t>
  </si>
  <si>
    <t>ep_coal_supercritical_G100000103276-CHP_ccs-rf</t>
  </si>
  <si>
    <t>ep_coal_ultra-supercritical_G100000100712_ccs-rf</t>
  </si>
  <si>
    <t>ep_coal_ultra-supercritical_G100000115346-CHP_ccs-rf</t>
  </si>
  <si>
    <t>ep_coal_ultra-supercritical_G100000112034-CHP_ccs-rf</t>
  </si>
  <si>
    <t>ep_coal_ultra-supercritical_G100000104733_ccs-rf</t>
  </si>
  <si>
    <t>ep_coal_supercritical_G100000109322-CHP_ccs-rf</t>
  </si>
  <si>
    <t>ep_coal_ultra-supercritical_G100000111477-CHP_ccs-rf</t>
  </si>
  <si>
    <t>ep_coal_ultra-supercritical_G100001021358_ccs-rf</t>
  </si>
  <si>
    <t>ep_coal_subcritical_G100000101331-CHP_ccs-rf</t>
  </si>
  <si>
    <t>ep_coal_subcritical_G100000102205-CHP_ccs-rf</t>
  </si>
  <si>
    <t>ep_coal_subcritical_G100000106818_ccs-rf</t>
  </si>
  <si>
    <t>ep_coal_subcritical_G100000108278_ccs-rf</t>
  </si>
  <si>
    <t>ep_coal_subcritical_G100000102219-CHP_ccs-rf</t>
  </si>
  <si>
    <t>ep_coal_subcritical_G100000103799-CHP_ccs-rf</t>
  </si>
  <si>
    <t>ep_coal_subcritical_G100000104400-CHP_ccs-rf</t>
  </si>
  <si>
    <t>ep_coal_subcritical_G100000104657-CHP_ccs-rf</t>
  </si>
  <si>
    <t>ep_coal_subcritical_G100000110878-CHP_ccs-rf</t>
  </si>
  <si>
    <t>ep_coal_subcritical_G100000108955_ccs-rf</t>
  </si>
  <si>
    <t>ep_coal_subcritical_G100000109057-CHP_ccs-rf</t>
  </si>
  <si>
    <t>ep_coal_subcritical_G100000101948-CHP_ccs-rf</t>
  </si>
  <si>
    <t>ep_coal_subcritical_G100000104232_ccs-rf</t>
  </si>
  <si>
    <t>ep_coal_subcritical_G100000104312-CHP_ccs-rf</t>
  </si>
  <si>
    <t>ep_coal_subcritical_G100000104130-CHP_ccs-rf</t>
  </si>
  <si>
    <t>ep_coal_supercritical_G100000102427-CHP_ccs-rf</t>
  </si>
  <si>
    <t>ep_coal_supercritical_G100000111002_ccs-rf</t>
  </si>
  <si>
    <t>ep_coal_supercritical_G100000102437-CHP_ccs-rf</t>
  </si>
  <si>
    <t>ep_coal_ultra-supercritical_G100001004192_ccs-rf</t>
  </si>
  <si>
    <t>ep_coal_ultra-supercritical_G100000115844_ccs-rf</t>
  </si>
  <si>
    <t>ep_coal_ultra-supercritical_G100000103166_ccs-rf</t>
  </si>
  <si>
    <t>ep_coal_supercritical_G100000110692_ccs-rf</t>
  </si>
  <si>
    <t>ep_coal_subcritical_G100000102164-CHP_ccs-rf</t>
  </si>
  <si>
    <t>ep_coal_supercritical_G100000102688_ccs-rf</t>
  </si>
  <si>
    <t>ep_coal_ultra-supercritical_G100001027688_ccs-rf</t>
  </si>
  <si>
    <t>ep_coal_supercritical_G100000104382_ccs-rf</t>
  </si>
  <si>
    <t>ep_coal_ultra-supercritical_G100001000504-CHP_ccs-rf</t>
  </si>
  <si>
    <t>ep_coal_supercritical_G100000102869_ccs-rf</t>
  </si>
  <si>
    <t>ep_coal_subcritical_G100000107486-CHP_ccs-rf</t>
  </si>
  <si>
    <t>ep_coal_subcritical_G100000108325-CHP_ccs-rf</t>
  </si>
  <si>
    <t>ep_coal_subcritical_G100000100903-CHP_ccs-rf</t>
  </si>
  <si>
    <t>ep_coal_subcritical_G100000110825-CHP_ccs-rf</t>
  </si>
  <si>
    <t>ep_coal_subcritical_G100000111239_ccs-rf</t>
  </si>
  <si>
    <t>ep_coal_subcritical_G100000103608-CHP_ccs-rf</t>
  </si>
  <si>
    <t>ep_coal_subcritical_G100000106285-CHP_ccs-rf</t>
  </si>
  <si>
    <t>ep_coal_subcritical_G100000110284-CHP_ccs-rf</t>
  </si>
  <si>
    <t>ep_coal_subcritical_G100000100698-CHP_ccs-rf</t>
  </si>
  <si>
    <t>ep_coal_supercritical_G100000114503-CHP_ccs-rf</t>
  </si>
  <si>
    <t>ep_coal_supercritical_G100000113262-CHP_ccs-rf</t>
  </si>
  <si>
    <t>ep_coal_supercritical_G100000101785-CHP_ccs-rf</t>
  </si>
  <si>
    <t>ep_coal_supercritical_G100000102076-CHP_ccs-rf</t>
  </si>
  <si>
    <t>ep_coal_ultra-supercritical_G100000109010-CHP_ccs-rf</t>
  </si>
  <si>
    <t>ep_coal_subcritical_G100000106369_ccs-rf</t>
  </si>
  <si>
    <t>ep_coal_supercritical_G100000104517-CHP_ccs-rf</t>
  </si>
  <si>
    <t>ep_coal_subcritical_G100000111303-CHP_ccs-rf</t>
  </si>
  <si>
    <t>ep_coal_subcritical_G100000104319-CHP_ccs-rf</t>
  </si>
  <si>
    <t>ep_coal_subcritical_G100000103143_ccs-rf</t>
  </si>
  <si>
    <t>ep_coal_subcritical_G100000112674-CHP_ccs-rf</t>
  </si>
  <si>
    <t>ep_coal_subcritical_G100000110835-CHP_ccs-rf</t>
  </si>
  <si>
    <t>ep_coal_subcritical_G100000109251-CHP_ccs-rf</t>
  </si>
  <si>
    <t>ep_coal_subcritical_G100000111277-CHP_ccs-rf</t>
  </si>
  <si>
    <t>ep_coal_subcritical_G100000107349_ccs-rf</t>
  </si>
  <si>
    <t>ep_coal_subcritical_G100000102150-CHP_ccs-rf</t>
  </si>
  <si>
    <t>ep_coal_subcritical_G100000109040-CHP_ccs-rf</t>
  </si>
  <si>
    <t>ep_coal_subcritical_G100000109847-CHP_ccs-rf</t>
  </si>
  <si>
    <t>ep_coal_subcritical_G100000104582-CHP_ccs-rf</t>
  </si>
  <si>
    <t>ep_coal_supercritical_G100000106814-CHP_ccs-rf</t>
  </si>
  <si>
    <t>ep_coal_supercritical_G100000106331-CHP_ccs-rf</t>
  </si>
  <si>
    <t>ep_coal_supercritical_G100000110269-CHP_ccs-rf</t>
  </si>
  <si>
    <t>ep_coal_supercritical_G100000109258-CHP_ccs-rf</t>
  </si>
  <si>
    <t>ep_coal_supercritical_G100000115009-CHP_ccs-rf</t>
  </si>
  <si>
    <t>ep_coal_ultra-supercritical_G100000115226-CHP_ccs-rf</t>
  </si>
  <si>
    <t>ep_gas_combined_cycle_G100000405305-CHP_ccs-rf</t>
  </si>
  <si>
    <t>ep_gas_combined_cycle_G100000405287-CHP_ccs-rf</t>
  </si>
  <si>
    <t>ep_gas_combined_cycle_G100000413083_ccs-rf</t>
  </si>
  <si>
    <t>ep_gas_combined_cycle_G100000405746_ccs-rf</t>
  </si>
  <si>
    <t>ep_gas_combined_cycle_G100000409867_ccs-rf</t>
  </si>
  <si>
    <t>ep_gas_combined_cycle_G100001017737_ccs-rf</t>
  </si>
  <si>
    <t>ep_gas_combined_cycle_G100000405523-CHP_ccs-rf</t>
  </si>
  <si>
    <t>ep_gas_combined_cycle_G100000405536_ccs-rf</t>
  </si>
  <si>
    <t>ep_gas_combined_cycle_G100000405567-CHP_ccs-rf</t>
  </si>
  <si>
    <t>ep_gas_combined_cycle_G100001027889-CHP_ccs-rf</t>
  </si>
  <si>
    <t>ep_gas_combined_cycle_G100000405679_ccs-rf</t>
  </si>
  <si>
    <t>ep_gas_combined_cycle_G100000405296-CHP_ccs-rf</t>
  </si>
  <si>
    <t>ep_gas_combined_cycle_G100000405673-CHP_ccs-rf</t>
  </si>
  <si>
    <t>ep_gas_combined_cycle_G100000405413_ccs-rf</t>
  </si>
  <si>
    <t>ep_gas_combined_cycle_G100000405754-CHP_ccs-rf</t>
  </si>
  <si>
    <t>ep_gas_combined_cycle_G100000405430-CHP_ccs-rf</t>
  </si>
  <si>
    <t>ep_gas_combined_cycle_G100000409861-CHP_ccs-rf</t>
  </si>
  <si>
    <t>ep_gas_combined_cycle_G100000410230-CHP_ccs-rf</t>
  </si>
  <si>
    <t>ep_gas_combined_cycle_G100000410219-CHP_ccs-rf</t>
  </si>
  <si>
    <t>~UC_Sets: R_S: Allregions</t>
  </si>
  <si>
    <t>~UC_T</t>
  </si>
  <si>
    <t>uc_cap</t>
  </si>
  <si>
    <t>uc_rhst~0</t>
  </si>
  <si>
    <t>ELE</t>
  </si>
  <si>
    <t>UCE_elcagg_spv_CHN_001</t>
  </si>
  <si>
    <t>elc_spv_CHN_001</t>
  </si>
  <si>
    <t>UCE_elcagg_spv_CHN_002</t>
  </si>
  <si>
    <t>elc_spv_CHN_002</t>
  </si>
  <si>
    <t>UCE_elcagg_spv_CHN_003</t>
  </si>
  <si>
    <t>elc_spv_CHN_003</t>
  </si>
  <si>
    <t>UCE_elcagg_spv_CHN_004</t>
  </si>
  <si>
    <t>elc_spv_CHN_004</t>
  </si>
  <si>
    <t>UCE_elcagg_spv_CHN_005</t>
  </si>
  <si>
    <t>elc_spv_CHN_005</t>
  </si>
  <si>
    <t>UCE_elcagg_spv_CHN_006</t>
  </si>
  <si>
    <t>elc_spv_CHN_006</t>
  </si>
  <si>
    <t>UCE_elcagg_spv_CHN_007</t>
  </si>
  <si>
    <t>elc_spv_CHN_007</t>
  </si>
  <si>
    <t>UCE_elcagg_spv_CHN_008</t>
  </si>
  <si>
    <t>elc_spv_CHN_008</t>
  </si>
  <si>
    <t>UCE_elcagg_spv_CHN_009</t>
  </si>
  <si>
    <t>elc_spv_CHN_009</t>
  </si>
  <si>
    <t>UCE_elcagg_spv_CHN_010</t>
  </si>
  <si>
    <t>elc_spv_CHN_010</t>
  </si>
  <si>
    <t>UCE_elcagg_spv_CHN_011</t>
  </si>
  <si>
    <t>elc_spv_CHN_011</t>
  </si>
  <si>
    <t>UCE_elcagg_spv_CHN_012</t>
  </si>
  <si>
    <t>elc_spv_CHN_012</t>
  </si>
  <si>
    <t>UCE_elcagg_spv_CHN_013</t>
  </si>
  <si>
    <t>elc_spv_CHN_013</t>
  </si>
  <si>
    <t>UCE_elcagg_spv_CHN_014</t>
  </si>
  <si>
    <t>elc_spv_CHN_014</t>
  </si>
  <si>
    <t>UCE_elcagg_spv_CHN_015</t>
  </si>
  <si>
    <t>elc_spv_CHN_015</t>
  </si>
  <si>
    <t>UCE_elcagg_spv_CHN_016</t>
  </si>
  <si>
    <t>elc_spv_CHN_016</t>
  </si>
  <si>
    <t>UCE_elcagg_spv_CHN_017</t>
  </si>
  <si>
    <t>elc_spv_CHN_017</t>
  </si>
  <si>
    <t>UCE_elcagg_spv_CHN_018</t>
  </si>
  <si>
    <t>elc_spv_CHN_018</t>
  </si>
  <si>
    <t>UCE_elcagg_spv_CHN_019</t>
  </si>
  <si>
    <t>elc_spv_CHN_019</t>
  </si>
  <si>
    <t>UCE_elcagg_spv_CHN_020</t>
  </si>
  <si>
    <t>elc_spv_CHN_020</t>
  </si>
  <si>
    <t>UCE_elcagg_spv_CHN_021</t>
  </si>
  <si>
    <t>elc_spv_CHN_021</t>
  </si>
  <si>
    <t>UCE_elcagg_spv_CHN_022</t>
  </si>
  <si>
    <t>elc_spv_CHN_022</t>
  </si>
  <si>
    <t>UCE_elcagg_spv_CHN_023</t>
  </si>
  <si>
    <t>elc_spv_CHN_023</t>
  </si>
  <si>
    <t>UCE_elcagg_spv_CHN_024</t>
  </si>
  <si>
    <t>elc_spv_CHN_024</t>
  </si>
  <si>
    <t>UCE_elcagg_spv_CHN_025</t>
  </si>
  <si>
    <t>elc_spv_CHN_025</t>
  </si>
  <si>
    <t>UCE_elcagg_spv_CHN_026</t>
  </si>
  <si>
    <t>elc_spv_CHN_026</t>
  </si>
  <si>
    <t>UCE_elcagg_spv_CHN_027</t>
  </si>
  <si>
    <t>elc_spv_CHN_027</t>
  </si>
  <si>
    <t>UCE_elcagg_spv_CHN_028</t>
  </si>
  <si>
    <t>elc_spv_CHN_028</t>
  </si>
  <si>
    <t>UCE_elcagg_spv_CHN_029</t>
  </si>
  <si>
    <t>elc_spv_CHN_029</t>
  </si>
  <si>
    <t>UCE_elcagg_spv_CHN_030</t>
  </si>
  <si>
    <t>elc_spv_CHN_030</t>
  </si>
  <si>
    <t>UCE_elcagg_spv_CHN_031</t>
  </si>
  <si>
    <t>elc_spv_CHN_031</t>
  </si>
  <si>
    <t>UCE_elcagg_spv_CHN_032</t>
  </si>
  <si>
    <t>elc_spv_CHN_032</t>
  </si>
  <si>
    <t>UCE_elcagg_spv_CHN_033</t>
  </si>
  <si>
    <t>elc_spv_CHN_033</t>
  </si>
  <si>
    <t>UCE_elcagg_spv_CHN_034</t>
  </si>
  <si>
    <t>elc_spv_CHN_034</t>
  </si>
  <si>
    <t>UCE_elcagg_spv_CHN_035</t>
  </si>
  <si>
    <t>elc_spv_CHN_035</t>
  </si>
  <si>
    <t>UCE_elcagg_spv_CHN_036</t>
  </si>
  <si>
    <t>elc_spv_CHN_036</t>
  </si>
  <si>
    <t>UCE_elcagg_spv_CHN_037</t>
  </si>
  <si>
    <t>elc_spv_CHN_037</t>
  </si>
  <si>
    <t>UCE_elcagg_spv_CHN_038</t>
  </si>
  <si>
    <t>elc_spv_CHN_038</t>
  </si>
  <si>
    <t>UCE_elcagg_spv_CHN_039</t>
  </si>
  <si>
    <t>elc_spv_CHN_039</t>
  </si>
  <si>
    <t>UCE_elcagg_spv_CHN_040</t>
  </si>
  <si>
    <t>elc_spv_CHN_040</t>
  </si>
  <si>
    <t>UCE_elcagg_spv_CHN_041</t>
  </si>
  <si>
    <t>elc_spv_CHN_041</t>
  </si>
  <si>
    <t>UCE_elcagg_spv_CHN_042</t>
  </si>
  <si>
    <t>elc_spv_CHN_042</t>
  </si>
  <si>
    <t>UCE_elcagg_spv_CHN_043</t>
  </si>
  <si>
    <t>elc_spv_CHN_043</t>
  </si>
  <si>
    <t>UCE_elcagg_spv_CHN_044</t>
  </si>
  <si>
    <t>elc_spv_CHN_044</t>
  </si>
  <si>
    <t>UCE_elcagg_spv_CHN_045</t>
  </si>
  <si>
    <t>elc_spv_CHN_045</t>
  </si>
  <si>
    <t>UCE_elcagg_spv_CHN_046</t>
  </si>
  <si>
    <t>elc_spv_CHN_046</t>
  </si>
  <si>
    <t>UCE_elcagg_spv_CHN_047</t>
  </si>
  <si>
    <t>elc_spv_CHN_047</t>
  </si>
  <si>
    <t>UCE_elcagg_spv_CHN_048</t>
  </si>
  <si>
    <t>elc_spv_CHN_048</t>
  </si>
  <si>
    <t>UCE_elcagg_spv_CHN_049</t>
  </si>
  <si>
    <t>elc_spv_CHN_049</t>
  </si>
  <si>
    <t>UCE_elcagg_spv_CHN_050</t>
  </si>
  <si>
    <t>elc_spv_CHN_050</t>
  </si>
  <si>
    <t>UCE_elcagg_spv_CHN_051</t>
  </si>
  <si>
    <t>elc_spv_CHN_051</t>
  </si>
  <si>
    <t>UCE_elcagg_spv_CHN_052</t>
  </si>
  <si>
    <t>elc_spv_CHN_052</t>
  </si>
  <si>
    <t>UCE_elcagg_spv_CHN_053</t>
  </si>
  <si>
    <t>elc_spv_CHN_053</t>
  </si>
  <si>
    <t>UCE_elcagg_spv_CHN_054</t>
  </si>
  <si>
    <t>elc_spv_CHN_054</t>
  </si>
  <si>
    <t>UCE_elcagg_spv_CHN_055</t>
  </si>
  <si>
    <t>elc_spv_CHN_055</t>
  </si>
  <si>
    <t>UCE_elcagg_spv_CHN_056</t>
  </si>
  <si>
    <t>elc_spv_CHN_056</t>
  </si>
  <si>
    <t>UCE_elcagg_spv_CHN_057</t>
  </si>
  <si>
    <t>elc_spv_CHN_057</t>
  </si>
  <si>
    <t>UCE_elcagg_spv_CHN_058</t>
  </si>
  <si>
    <t>elc_spv_CHN_058</t>
  </si>
  <si>
    <t>UCE_elcagg_spv_CHN_059</t>
  </si>
  <si>
    <t>elc_spv_CHN_059</t>
  </si>
  <si>
    <t>UCE_elcagg_spv_CHN_060</t>
  </si>
  <si>
    <t>elc_spv_CHN_060</t>
  </si>
  <si>
    <t>UCE_elcagg_spv_CHN_061</t>
  </si>
  <si>
    <t>elc_spv_CHN_061</t>
  </si>
  <si>
    <t>UCE_elcagg_spv_CHN_062</t>
  </si>
  <si>
    <t>elc_spv_CHN_062</t>
  </si>
  <si>
    <t>UCE_elcagg_spv_CHN_063</t>
  </si>
  <si>
    <t>elc_spv_CHN_063</t>
  </si>
  <si>
    <t>UCE_elcagg_spv_CHN_064</t>
  </si>
  <si>
    <t>elc_spv_CHN_064</t>
  </si>
  <si>
    <t>UCE_elcagg_spv_CHN_065</t>
  </si>
  <si>
    <t>elc_spv_CHN_065</t>
  </si>
  <si>
    <t>UCE_elcagg_spv_CHN_066</t>
  </si>
  <si>
    <t>elc_spv_CHN_066</t>
  </si>
  <si>
    <t>UCE_elcagg_spv_CHN_067</t>
  </si>
  <si>
    <t>elc_spv_CHN_067</t>
  </si>
  <si>
    <t>UCE_elcagg_spv_CHN_068</t>
  </si>
  <si>
    <t>elc_spv_CHN_068</t>
  </si>
  <si>
    <t>UCE_elcagg_spv_CHN_069</t>
  </si>
  <si>
    <t>elc_spv_CHN_069</t>
  </si>
  <si>
    <t>UCE_elcagg_spv_CHN_070</t>
  </si>
  <si>
    <t>elc_spv_CHN_070</t>
  </si>
  <si>
    <t>UCE_elcagg_spv_CHN_071</t>
  </si>
  <si>
    <t>elc_spv_CHN_071</t>
  </si>
  <si>
    <t>UCE_elcagg_spv_CHN_072</t>
  </si>
  <si>
    <t>elc_spv_CHN_072</t>
  </si>
  <si>
    <t>UCE_elcagg_spv_CHN_073</t>
  </si>
  <si>
    <t>elc_spv_CHN_073</t>
  </si>
  <si>
    <t>UCE_elcagg_spv_CHN_074</t>
  </si>
  <si>
    <t>elc_spv_CHN_074</t>
  </si>
  <si>
    <t>UCE_elcagg_spv_CHN_075</t>
  </si>
  <si>
    <t>elc_spv_CHN_075</t>
  </si>
  <si>
    <t>UCE_elcagg_spv_CHN_076</t>
  </si>
  <si>
    <t>elc_spv_CHN_076</t>
  </si>
  <si>
    <t>UCE_elcagg_spv_CHN_077</t>
  </si>
  <si>
    <t>elc_spv_CHN_077</t>
  </si>
  <si>
    <t>UCE_elcagg_spv_CHN_078</t>
  </si>
  <si>
    <t>elc_spv_CHN_078</t>
  </si>
  <si>
    <t>UCE_elcagg_spv_CHN_079</t>
  </si>
  <si>
    <t>elc_spv_CHN_079</t>
  </si>
  <si>
    <t>UCE_elcagg_spv_CHN_080</t>
  </si>
  <si>
    <t>elc_spv_CHN_080</t>
  </si>
  <si>
    <t>UCE_elcagg_spv_CHN_081</t>
  </si>
  <si>
    <t>elc_spv_CHN_081</t>
  </si>
  <si>
    <t>UCE_elcagg_spv_CHN_082</t>
  </si>
  <si>
    <t>elc_spv_CHN_082</t>
  </si>
  <si>
    <t>UCE_elcagg_spv_CHN_083</t>
  </si>
  <si>
    <t>elc_spv_CHN_083</t>
  </si>
  <si>
    <t>UCE_elcagg_spv_CHN_084</t>
  </si>
  <si>
    <t>elc_spv_CHN_084</t>
  </si>
  <si>
    <t>UCE_elcagg_spv_CHN_085</t>
  </si>
  <si>
    <t>elc_spv_CHN_085</t>
  </si>
  <si>
    <t>UCE_elcagg_spv_CHN_086</t>
  </si>
  <si>
    <t>elc_spv_CHN_086</t>
  </si>
  <si>
    <t>UCE_elcagg_spv_CHN_087</t>
  </si>
  <si>
    <t>elc_spv_CHN_087</t>
  </si>
  <si>
    <t>UCE_elcagg_spv_CHN_088</t>
  </si>
  <si>
    <t>elc_spv_CHN_088</t>
  </si>
  <si>
    <t>UCE_elcagg_spv_CHN_089</t>
  </si>
  <si>
    <t>elc_spv_CHN_089</t>
  </si>
  <si>
    <t>UCE_elcagg_spv_CHN_090</t>
  </si>
  <si>
    <t>elc_spv_CHN_090</t>
  </si>
  <si>
    <t>UCE_elcagg_spv_CHN_091</t>
  </si>
  <si>
    <t>elc_spv_CHN_091</t>
  </si>
  <si>
    <t>UCE_elcagg_spv_CHN_092</t>
  </si>
  <si>
    <t>elc_spv_CHN_092</t>
  </si>
  <si>
    <t>UCE_elcagg_spv_CHN_093</t>
  </si>
  <si>
    <t>elc_spv_CHN_093</t>
  </si>
  <si>
    <t>UCE_elcagg_spv_CHN_094</t>
  </si>
  <si>
    <t>elc_spv_CHN_094</t>
  </si>
  <si>
    <t>UCE_elcagg_spv_CHN_095</t>
  </si>
  <si>
    <t>elc_spv_CHN_095</t>
  </si>
  <si>
    <t>UCE_elcagg_spv_CHN_096</t>
  </si>
  <si>
    <t>elc_spv_CHN_096</t>
  </si>
  <si>
    <t>UCE_elcagg_spv_CHN_097</t>
  </si>
  <si>
    <t>elc_spv_CHN_097</t>
  </si>
  <si>
    <t>UCE_elcagg_spv_CHN_098</t>
  </si>
  <si>
    <t>elc_spv_CHN_098</t>
  </si>
  <si>
    <t>UCE_elcagg_spv_CHN_099</t>
  </si>
  <si>
    <t>elc_spv_CHN_099</t>
  </si>
  <si>
    <t>UCE_elcagg_spv_CHN_100</t>
  </si>
  <si>
    <t>elc_spv_CHN_100</t>
  </si>
  <si>
    <t>UCE_elcagg_spv_CHN_101</t>
  </si>
  <si>
    <t>elc_spv_CHN_101</t>
  </si>
  <si>
    <t>UCE_elcagg_spv_CHN_102</t>
  </si>
  <si>
    <t>elc_spv_CHN_102</t>
  </si>
  <si>
    <t>UCE_elcagg_spv_CHN_103</t>
  </si>
  <si>
    <t>elc_spv_CHN_103</t>
  </si>
  <si>
    <t>UCE_elcagg_spv_CHN_104</t>
  </si>
  <si>
    <t>elc_spv_CHN_104</t>
  </si>
  <si>
    <t>UCE_elcagg_spv_CHN_105</t>
  </si>
  <si>
    <t>elc_spv_CHN_105</t>
  </si>
  <si>
    <t>UCE_elcagg_spv_CHN_106</t>
  </si>
  <si>
    <t>elc_spv_CHN_106</t>
  </si>
  <si>
    <t>UCE_elcagg_spv_CHN_107</t>
  </si>
  <si>
    <t>elc_spv_CHN_107</t>
  </si>
  <si>
    <t>UCE_elcagg_spv_CHN_108</t>
  </si>
  <si>
    <t>elc_spv_CHN_108</t>
  </si>
  <si>
    <t>UCE_elcagg_spv_CHN_109</t>
  </si>
  <si>
    <t>elc_spv_CHN_109</t>
  </si>
  <si>
    <t>UCE_elcagg_spv_CHN_110</t>
  </si>
  <si>
    <t>elc_spv_CHN_110</t>
  </si>
  <si>
    <t>UCE_elcagg_spv_CHN_111</t>
  </si>
  <si>
    <t>elc_spv_CHN_111</t>
  </si>
  <si>
    <t>UCE_elcagg_spv_CHN_112</t>
  </si>
  <si>
    <t>elc_spv_CHN_112</t>
  </si>
  <si>
    <t>UCE_elcagg_spv_CHN_113</t>
  </si>
  <si>
    <t>elc_spv_CHN_113</t>
  </si>
  <si>
    <t>UCE_elcagg_spv_CHN_114</t>
  </si>
  <si>
    <t>elc_spv_CHN_114</t>
  </si>
  <si>
    <t>UCE_elcagg_spv_CHN_115</t>
  </si>
  <si>
    <t>elc_spv_CHN_115</t>
  </si>
  <si>
    <t>UCE_elcagg_spv_CHN_116</t>
  </si>
  <si>
    <t>elc_spv_CHN_116</t>
  </si>
  <si>
    <t>UCE_elcagg_spv_CHN_117</t>
  </si>
  <si>
    <t>elc_spv_CHN_117</t>
  </si>
  <si>
    <t>UCE_elcagg_spv_CHN_118</t>
  </si>
  <si>
    <t>elc_spv_CHN_118</t>
  </si>
  <si>
    <t>UCE_elcagg_spv_CHN_119</t>
  </si>
  <si>
    <t>elc_spv_CHN_119</t>
  </si>
  <si>
    <t>UCE_elcagg_spv_CHN_120</t>
  </si>
  <si>
    <t>elc_spv_CHN_120</t>
  </si>
  <si>
    <t>UCE_elcagg_spv_CHN_121</t>
  </si>
  <si>
    <t>elc_spv_CHN_121</t>
  </si>
  <si>
    <t>UCE_elcagg_spv_CHN_122</t>
  </si>
  <si>
    <t>elc_spv_CHN_122</t>
  </si>
  <si>
    <t>UCE_elcagg_spv_CHN_123</t>
  </si>
  <si>
    <t>elc_spv_CHN_123</t>
  </si>
  <si>
    <t>UCE_elcagg_spv_CHN_124</t>
  </si>
  <si>
    <t>elc_spv_CHN_124</t>
  </si>
  <si>
    <t>UCE_elcagg_spv_CHN_125</t>
  </si>
  <si>
    <t>elc_spv_CHN_125</t>
  </si>
  <si>
    <t>UCE_elcagg_spv_CHN_126</t>
  </si>
  <si>
    <t>elc_spv_CHN_126</t>
  </si>
  <si>
    <t>UCE_elcagg_spv_CHN_127</t>
  </si>
  <si>
    <t>elc_spv_CHN_127</t>
  </si>
  <si>
    <t>UCE_elcagg_spv_CHN_128</t>
  </si>
  <si>
    <t>elc_spv_CHN_128</t>
  </si>
  <si>
    <t>UCE_elcagg_spv_CHN_129</t>
  </si>
  <si>
    <t>elc_spv_CHN_129</t>
  </si>
  <si>
    <t>UCE_elcagg_spv_CHN_130</t>
  </si>
  <si>
    <t>elc_spv_CHN_130</t>
  </si>
  <si>
    <t>UCE_elcagg_spv_CHN_131</t>
  </si>
  <si>
    <t>elc_spv_CHN_131</t>
  </si>
  <si>
    <t>UCE_elcagg_spv_CHN_132</t>
  </si>
  <si>
    <t>elc_spv_CHN_132</t>
  </si>
  <si>
    <t>UCE_elcagg_spv_CHN_133</t>
  </si>
  <si>
    <t>elc_spv_CHN_133</t>
  </si>
  <si>
    <t>UCE_elcagg_spv_CHN_134</t>
  </si>
  <si>
    <t>elc_spv_CHN_134</t>
  </si>
  <si>
    <t>UCE_elcagg_spv_CHN_135</t>
  </si>
  <si>
    <t>elc_spv_CHN_135</t>
  </si>
  <si>
    <t>UCE_elcagg_spv_CHN_136</t>
  </si>
  <si>
    <t>elc_spv_CHN_136</t>
  </si>
  <si>
    <t>UCE_elcagg_wof_CHN_001</t>
  </si>
  <si>
    <t>elc_wof_CHN_001</t>
  </si>
  <si>
    <t>UCE_elcagg_wof_CHN_002</t>
  </si>
  <si>
    <t>elc_wof_CHN_002</t>
  </si>
  <si>
    <t>UCE_elcagg_wof_CHN_003</t>
  </si>
  <si>
    <t>elc_wof_CHN_003</t>
  </si>
  <si>
    <t>UCE_elcagg_wof_CHN_004</t>
  </si>
  <si>
    <t>elc_wof_CHN_004</t>
  </si>
  <si>
    <t>UCE_elcagg_wof_CHN_005</t>
  </si>
  <si>
    <t>elc_wof_CHN_005</t>
  </si>
  <si>
    <t>UCE_elcagg_wof_CHN_006</t>
  </si>
  <si>
    <t>elc_wof_CHN_006</t>
  </si>
  <si>
    <t>UCE_elcagg_wof_CHN_007</t>
  </si>
  <si>
    <t>elc_wof_CHN_007</t>
  </si>
  <si>
    <t>UCE_elcagg_wof_CHN_008</t>
  </si>
  <si>
    <t>elc_wof_CHN_008</t>
  </si>
  <si>
    <t>UCE_elcagg_wof_CHN_009</t>
  </si>
  <si>
    <t>elc_wof_CHN_009</t>
  </si>
  <si>
    <t>UCE_elcagg_wof_CHN_010</t>
  </si>
  <si>
    <t>elc_wof_CHN_010</t>
  </si>
  <si>
    <t>UCE_elcagg_wof_CHN_011</t>
  </si>
  <si>
    <t>elc_wof_CHN_011</t>
  </si>
  <si>
    <t>UCE_elcagg_wof_CHN_012</t>
  </si>
  <si>
    <t>elc_wof_CHN_012</t>
  </si>
  <si>
    <t>UCE_elcagg_wof_CHN_013</t>
  </si>
  <si>
    <t>elc_wof_CHN_013</t>
  </si>
  <si>
    <t>UCE_elcagg_wof_CHN_014</t>
  </si>
  <si>
    <t>elc_wof_CHN_014</t>
  </si>
  <si>
    <t>UCE_elcagg_wof_CHN_015</t>
  </si>
  <si>
    <t>elc_wof_CHN_015</t>
  </si>
  <si>
    <t>UCE_elcagg_wof_CHN_016</t>
  </si>
  <si>
    <t>elc_wof_CHN_016</t>
  </si>
  <si>
    <t>UCE_elcagg_wof_CHN_017</t>
  </si>
  <si>
    <t>elc_wof_CHN_017</t>
  </si>
  <si>
    <t>UCE_elcagg_wof_CHN_018</t>
  </si>
  <si>
    <t>elc_wof_CHN_018</t>
  </si>
  <si>
    <t>UCE_elcagg_wof_CHN_019</t>
  </si>
  <si>
    <t>elc_wof_CHN_019</t>
  </si>
  <si>
    <t>UCE_elcagg_wof_CHN_020</t>
  </si>
  <si>
    <t>elc_wof_CHN_020</t>
  </si>
  <si>
    <t>UCE_elcagg_wof_CHN_021</t>
  </si>
  <si>
    <t>elc_wof_CHN_021</t>
  </si>
  <si>
    <t>UCE_elcagg_wof_CHN_022</t>
  </si>
  <si>
    <t>elc_wof_CHN_022</t>
  </si>
  <si>
    <t>UCE_elcagg_wof_CHN_023</t>
  </si>
  <si>
    <t>elc_wof_CHN_023</t>
  </si>
  <si>
    <t>UCE_elcagg_wof_CHN_024</t>
  </si>
  <si>
    <t>elc_wof_CHN_024</t>
  </si>
  <si>
    <t>UCE_elcagg_wof_CHN_025</t>
  </si>
  <si>
    <t>elc_wof_CHN_025</t>
  </si>
  <si>
    <t>UCE_elcagg_wof_CHN_026</t>
  </si>
  <si>
    <t>elc_wof_CHN_026</t>
  </si>
  <si>
    <t>UCE_elcagg_wof_CHN_027</t>
  </si>
  <si>
    <t>elc_wof_CHN_027</t>
  </si>
  <si>
    <t>UCE_elcagg_wof_CHN_028</t>
  </si>
  <si>
    <t>elc_wof_CHN_028</t>
  </si>
  <si>
    <t>UCE_elcagg_wof_CHN_029</t>
  </si>
  <si>
    <t>elc_wof_CHN_029</t>
  </si>
  <si>
    <t>UCE_elcagg_wof_CHN_030</t>
  </si>
  <si>
    <t>elc_wof_CHN_030</t>
  </si>
  <si>
    <t>UCE_elcagg_wof_CHN_031</t>
  </si>
  <si>
    <t>elc_wof_CHN_031</t>
  </si>
  <si>
    <t>UCE_elcagg_wof_CHN_032</t>
  </si>
  <si>
    <t>elc_wof_CHN_032</t>
  </si>
  <si>
    <t>UCE_elcagg_wof_CHN_033</t>
  </si>
  <si>
    <t>elc_wof_CHN_033</t>
  </si>
  <si>
    <t>UCE_elcagg_wof_CHN_034</t>
  </si>
  <si>
    <t>elc_wof_CHN_034</t>
  </si>
  <si>
    <t>UCE_elcagg_won_CHN_001</t>
  </si>
  <si>
    <t>elc_won_CHN_001</t>
  </si>
  <si>
    <t>UCE_elcagg_won_CHN_002</t>
  </si>
  <si>
    <t>elc_won_CHN_002</t>
  </si>
  <si>
    <t>UCE_elcagg_won_CHN_003</t>
  </si>
  <si>
    <t>elc_won_CHN_003</t>
  </si>
  <si>
    <t>UCE_elcagg_won_CHN_004</t>
  </si>
  <si>
    <t>elc_won_CHN_004</t>
  </si>
  <si>
    <t>UCE_elcagg_won_CHN_005</t>
  </si>
  <si>
    <t>elc_won_CHN_005</t>
  </si>
  <si>
    <t>UCE_elcagg_won_CHN_006</t>
  </si>
  <si>
    <t>elc_won_CHN_006</t>
  </si>
  <si>
    <t>UCE_elcagg_won_CHN_007</t>
  </si>
  <si>
    <t>elc_won_CHN_007</t>
  </si>
  <si>
    <t>UCE_elcagg_won_CHN_008</t>
  </si>
  <si>
    <t>elc_won_CHN_008</t>
  </si>
  <si>
    <t>UCE_elcagg_won_CHN_009</t>
  </si>
  <si>
    <t>elc_won_CHN_009</t>
  </si>
  <si>
    <t>UCE_elcagg_won_CHN_010</t>
  </si>
  <si>
    <t>elc_won_CHN_010</t>
  </si>
  <si>
    <t>UCE_elcagg_won_CHN_011</t>
  </si>
  <si>
    <t>elc_won_CHN_011</t>
  </si>
  <si>
    <t>UCE_elcagg_won_CHN_012</t>
  </si>
  <si>
    <t>elc_won_CHN_012</t>
  </si>
  <si>
    <t>UCE_elcagg_won_CHN_013</t>
  </si>
  <si>
    <t>elc_won_CHN_013</t>
  </si>
  <si>
    <t>UCE_elcagg_won_CHN_014</t>
  </si>
  <si>
    <t>elc_won_CHN_014</t>
  </si>
  <si>
    <t>UCE_elcagg_won_CHN_015</t>
  </si>
  <si>
    <t>elc_won_CHN_015</t>
  </si>
  <si>
    <t>UCE_elcagg_won_CHN_016</t>
  </si>
  <si>
    <t>elc_won_CHN_016</t>
  </si>
  <si>
    <t>UCE_elcagg_won_CHN_017</t>
  </si>
  <si>
    <t>elc_won_CHN_017</t>
  </si>
  <si>
    <t>UCE_elcagg_won_CHN_018</t>
  </si>
  <si>
    <t>elc_won_CHN_018</t>
  </si>
  <si>
    <t>UCE_elcagg_won_CHN_019</t>
  </si>
  <si>
    <t>elc_won_CHN_019</t>
  </si>
  <si>
    <t>UCE_elcagg_won_CHN_020</t>
  </si>
  <si>
    <t>elc_won_CHN_020</t>
  </si>
  <si>
    <t>UCE_elcagg_won_CHN_021</t>
  </si>
  <si>
    <t>elc_won_CHN_021</t>
  </si>
  <si>
    <t>UCE_elcagg_won_CHN_022</t>
  </si>
  <si>
    <t>elc_won_CHN_022</t>
  </si>
  <si>
    <t>UCE_elcagg_won_CHN_023</t>
  </si>
  <si>
    <t>elc_won_CHN_023</t>
  </si>
  <si>
    <t>UCE_elcagg_won_CHN_024</t>
  </si>
  <si>
    <t>elc_won_CHN_024</t>
  </si>
  <si>
    <t>UCE_elcagg_won_CHN_025</t>
  </si>
  <si>
    <t>elc_won_CHN_025</t>
  </si>
  <si>
    <t>UCE_elcagg_won_CHN_026</t>
  </si>
  <si>
    <t>elc_won_CHN_026</t>
  </si>
  <si>
    <t>UCE_elcagg_won_CHN_027</t>
  </si>
  <si>
    <t>elc_won_CHN_027</t>
  </si>
  <si>
    <t>UCE_elcagg_won_CHN_028</t>
  </si>
  <si>
    <t>elc_won_CHN_028</t>
  </si>
  <si>
    <t>UCE_elcagg_won_CHN_029</t>
  </si>
  <si>
    <t>elc_won_CHN_029</t>
  </si>
  <si>
    <t>UCE_elcagg_won_CHN_030</t>
  </si>
  <si>
    <t>elc_won_CHN_030</t>
  </si>
  <si>
    <t>UCE_elcagg_won_CHN_031</t>
  </si>
  <si>
    <t>elc_won_CHN_031</t>
  </si>
  <si>
    <t>UCE_elcagg_won_CHN_032</t>
  </si>
  <si>
    <t>elc_won_CHN_032</t>
  </si>
  <si>
    <t>UCE_elcagg_won_CHN_033</t>
  </si>
  <si>
    <t>elc_won_CHN_033</t>
  </si>
  <si>
    <t>UCE_elcagg_won_CHN_034</t>
  </si>
  <si>
    <t>elc_won_CHN_034</t>
  </si>
  <si>
    <t>UCE_elcagg_won_CHN_035</t>
  </si>
  <si>
    <t>elc_won_CHN_035</t>
  </si>
  <si>
    <t>UCE_elcagg_won_CHN_036</t>
  </si>
  <si>
    <t>elc_won_CHN_036</t>
  </si>
  <si>
    <t>UCE_elcagg_won_CHN_037</t>
  </si>
  <si>
    <t>elc_won_CHN_037</t>
  </si>
  <si>
    <t>UCE_elcagg_won_CHN_038</t>
  </si>
  <si>
    <t>elc_won_CHN_038</t>
  </si>
  <si>
    <t>UCE_elcagg_won_CHN_039</t>
  </si>
  <si>
    <t>elc_won_CHN_039</t>
  </si>
  <si>
    <t>UCE_elcagg_won_CHN_040</t>
  </si>
  <si>
    <t>elc_won_CHN_040</t>
  </si>
  <si>
    <t>UCE_elcagg_won_CHN_041</t>
  </si>
  <si>
    <t>elc_won_CHN_041</t>
  </si>
  <si>
    <t>UCE_elcagg_won_CHN_042</t>
  </si>
  <si>
    <t>elc_won_CHN_042</t>
  </si>
  <si>
    <t>UCE_elcagg_won_CHN_043</t>
  </si>
  <si>
    <t>elc_won_CHN_043</t>
  </si>
  <si>
    <t>UCE_elcagg_won_CHN_044</t>
  </si>
  <si>
    <t>elc_won_CHN_044</t>
  </si>
  <si>
    <t>UCE_elcagg_won_CHN_045</t>
  </si>
  <si>
    <t>elc_won_CHN_045</t>
  </si>
  <si>
    <t>UCE_elcagg_won_CHN_046</t>
  </si>
  <si>
    <t>elc_won_CHN_046</t>
  </si>
  <si>
    <t>UCE_elcagg_won_CHN_047</t>
  </si>
  <si>
    <t>elc_won_CHN_047</t>
  </si>
  <si>
    <t>UCE_elcagg_won_CHN_048</t>
  </si>
  <si>
    <t>elc_won_CHN_048</t>
  </si>
  <si>
    <t>UCE_elcagg_won_CHN_049</t>
  </si>
  <si>
    <t>elc_won_CHN_049</t>
  </si>
  <si>
    <t>UCE_elcagg_won_CHN_050</t>
  </si>
  <si>
    <t>elc_won_CHN_050</t>
  </si>
  <si>
    <t>UCE_elcagg_won_CHN_051</t>
  </si>
  <si>
    <t>elc_won_CHN_051</t>
  </si>
  <si>
    <t>UCE_elcagg_won_CHN_052</t>
  </si>
  <si>
    <t>elc_won_CHN_052</t>
  </si>
  <si>
    <t>UCE_elcagg_won_CHN_053</t>
  </si>
  <si>
    <t>elc_won_CHN_053</t>
  </si>
  <si>
    <t>UCE_elcagg_won_CHN_054</t>
  </si>
  <si>
    <t>elc_won_CHN_054</t>
  </si>
  <si>
    <t>UCE_elcagg_won_CHN_055</t>
  </si>
  <si>
    <t>elc_won_CHN_055</t>
  </si>
  <si>
    <t>UCE_elcagg_won_CHN_056</t>
  </si>
  <si>
    <t>elc_won_CHN_056</t>
  </si>
  <si>
    <t>UCE_elcagg_won_CHN_057</t>
  </si>
  <si>
    <t>elc_won_CHN_057</t>
  </si>
  <si>
    <t>UCE_elcagg_won_CHN_058</t>
  </si>
  <si>
    <t>elc_won_CHN_058</t>
  </si>
  <si>
    <t>UCE_elcagg_won_CHN_059</t>
  </si>
  <si>
    <t>elc_won_CHN_059</t>
  </si>
  <si>
    <t>UCE_elcagg_won_CHN_060</t>
  </si>
  <si>
    <t>elc_won_CHN_060</t>
  </si>
  <si>
    <t>UCE_elcagg_won_CHN_061</t>
  </si>
  <si>
    <t>elc_won_CHN_061</t>
  </si>
  <si>
    <t>UCE_elcagg_won_CHN_062</t>
  </si>
  <si>
    <t>elc_won_CHN_062</t>
  </si>
  <si>
    <t>UCE_elcagg_won_CHN_063</t>
  </si>
  <si>
    <t>elc_won_CHN_063</t>
  </si>
  <si>
    <t>UCE_elcagg_won_CHN_064</t>
  </si>
  <si>
    <t>elc_won_CHN_064</t>
  </si>
  <si>
    <t>UCE_elcagg_won_CHN_065</t>
  </si>
  <si>
    <t>elc_won_CHN_065</t>
  </si>
  <si>
    <t>UCE_elcagg_won_CHN_066</t>
  </si>
  <si>
    <t>elc_won_CHN_066</t>
  </si>
  <si>
    <t>UCE_elcagg_won_CHN_067</t>
  </si>
  <si>
    <t>elc_won_CHN_067</t>
  </si>
  <si>
    <t>UCE_elcagg_won_CHN_068</t>
  </si>
  <si>
    <t>elc_won_CHN_068</t>
  </si>
  <si>
    <t>UCE_elcagg_won_CHN_069</t>
  </si>
  <si>
    <t>elc_won_CHN_069</t>
  </si>
  <si>
    <t>UCE_elcagg_won_CHN_070</t>
  </si>
  <si>
    <t>elc_won_CHN_070</t>
  </si>
  <si>
    <t>UCE_elcagg_won_CHN_071</t>
  </si>
  <si>
    <t>elc_won_CHN_071</t>
  </si>
  <si>
    <t>UCE_elcagg_won_CHN_072</t>
  </si>
  <si>
    <t>elc_won_CHN_072</t>
  </si>
  <si>
    <t>UCE_elcagg_won_CHN_073</t>
  </si>
  <si>
    <t>elc_won_CHN_073</t>
  </si>
  <si>
    <t>UCE_elcagg_won_CHN_074</t>
  </si>
  <si>
    <t>elc_won_CHN_074</t>
  </si>
  <si>
    <t>UCE_elcagg_won_CHN_075</t>
  </si>
  <si>
    <t>elc_won_CHN_075</t>
  </si>
  <si>
    <t>UCE_elcagg_won_CHN_076</t>
  </si>
  <si>
    <t>elc_won_CHN_076</t>
  </si>
  <si>
    <t>UCE_elcagg_won_CHN_077</t>
  </si>
  <si>
    <t>elc_won_CHN_077</t>
  </si>
  <si>
    <t>UCE_elcagg_won_CHN_078</t>
  </si>
  <si>
    <t>elc_won_CHN_078</t>
  </si>
  <si>
    <t>UCE_elcagg_won_CHN_079</t>
  </si>
  <si>
    <t>elc_won_CHN_079</t>
  </si>
  <si>
    <t>UCE_elcagg_won_CHN_080</t>
  </si>
  <si>
    <t>elc_won_CHN_080</t>
  </si>
  <si>
    <t>UCE_elcagg_won_CHN_081</t>
  </si>
  <si>
    <t>elc_won_CHN_081</t>
  </si>
  <si>
    <t>UCE_elcagg_won_CHN_082</t>
  </si>
  <si>
    <t>elc_won_CHN_082</t>
  </si>
  <si>
    <t>UCE_elcagg_won_CHN_083</t>
  </si>
  <si>
    <t>elc_won_CHN_083</t>
  </si>
  <si>
    <t>UCE_elcagg_won_CHN_084</t>
  </si>
  <si>
    <t>elc_won_CHN_084</t>
  </si>
  <si>
    <t>UCE_elcagg_won_CHN_085</t>
  </si>
  <si>
    <t>elc_won_CHN_085</t>
  </si>
  <si>
    <t>UCE_elcagg_won_CHN_086</t>
  </si>
  <si>
    <t>elc_won_CHN_086</t>
  </si>
  <si>
    <t>UCE_elcagg_won_CHN_087</t>
  </si>
  <si>
    <t>elc_won_CHN_087</t>
  </si>
  <si>
    <t>UCE_elcagg_won_CHN_088</t>
  </si>
  <si>
    <t>elc_won_CHN_088</t>
  </si>
  <si>
    <t>UCE_elcagg_won_CHN_089</t>
  </si>
  <si>
    <t>elc_won_CHN_089</t>
  </si>
  <si>
    <t>UCE_elcagg_won_CHN_090</t>
  </si>
  <si>
    <t>elc_won_CHN_090</t>
  </si>
  <si>
    <t>UCE_elcagg_won_CHN_091</t>
  </si>
  <si>
    <t>elc_won_CHN_091</t>
  </si>
  <si>
    <t>UCE_elcagg_won_CHN_092</t>
  </si>
  <si>
    <t>elc_won_CHN_092</t>
  </si>
  <si>
    <t>UCE_elcagg_won_CHN_093</t>
  </si>
  <si>
    <t>elc_won_CHN_093</t>
  </si>
  <si>
    <t>UCE_elcagg_won_CHN_094</t>
  </si>
  <si>
    <t>elc_won_CHN_094</t>
  </si>
  <si>
    <t>UCE_elcagg_won_CHN_095</t>
  </si>
  <si>
    <t>elc_won_CHN_095</t>
  </si>
  <si>
    <t>UCE_elcagg_won_CHN_096</t>
  </si>
  <si>
    <t>elc_won_CHN_096</t>
  </si>
  <si>
    <t>UCE_elcagg_won_CHN_097</t>
  </si>
  <si>
    <t>elc_won_CHN_097</t>
  </si>
  <si>
    <t>UCE_elcagg_won_CHN_098</t>
  </si>
  <si>
    <t>elc_won_CHN_098</t>
  </si>
  <si>
    <t>UCE_elcagg_won_CHN_099</t>
  </si>
  <si>
    <t>elc_won_CHN_099</t>
  </si>
  <si>
    <t>UCE_elcagg_won_CHN_100</t>
  </si>
  <si>
    <t>elc_won_CHN_100</t>
  </si>
  <si>
    <t>UCE_elcagg_won_CHN_101</t>
  </si>
  <si>
    <t>elc_won_CHN_101</t>
  </si>
  <si>
    <t>UCE_elcagg_won_CHN_102</t>
  </si>
  <si>
    <t>elc_won_CHN_102</t>
  </si>
  <si>
    <t>UCE_elcagg_won_CHN_103</t>
  </si>
  <si>
    <t>elc_won_CHN_103</t>
  </si>
  <si>
    <t>UCE_elcagg_won_CHN_104</t>
  </si>
  <si>
    <t>elc_won_CHN_104</t>
  </si>
  <si>
    <t>UCE_elcagg_won_CHN_105</t>
  </si>
  <si>
    <t>elc_won_CHN_105</t>
  </si>
  <si>
    <t>UCE_elcagg_won_CHN_106</t>
  </si>
  <si>
    <t>elc_won_CHN_106</t>
  </si>
  <si>
    <t>UCE_elcagg_won_CHN_107</t>
  </si>
  <si>
    <t>elc_won_CHN_107</t>
  </si>
  <si>
    <t>UCE_elcagg_won_CHN_108</t>
  </si>
  <si>
    <t>elc_won_CHN_108</t>
  </si>
  <si>
    <t>UCE_elcagg_won_CHN_109</t>
  </si>
  <si>
    <t>elc_won_CHN_109</t>
  </si>
  <si>
    <t>UCE_elcagg_won_CHN_110</t>
  </si>
  <si>
    <t>elc_won_CHN_110</t>
  </si>
  <si>
    <t>UCE_elcagg_won_CHN_111</t>
  </si>
  <si>
    <t>elc_won_CHN_111</t>
  </si>
  <si>
    <t>UCE_elcagg_won_CHN_112</t>
  </si>
  <si>
    <t>elc_won_CHN_112</t>
  </si>
  <si>
    <t>UCE_elcagg_won_CHN_113</t>
  </si>
  <si>
    <t>elc_won_CHN_113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</si>
</sst>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Calibri"/>
      <family val="2"/>
      <scheme val="minor"/>
    </font>
    <font>
      <sz val="9"/>
      <color indexed="81"/>
      <name val="Tahoma"/>
      <charset val="1"/>
    </font>
    <font>
      <b/>
      <sz val="9"/>
      <color indexed="81"/>
      <name val="Tahoma"/>
      <charset val="1"/>
    </font>
    <font>
      <b/>
      <sz val="11"/>
      <name val="Aptos Narrow"/>
      <family val="2"/>
    </font>
    <font>
      <b/>
      <sz val="11"/>
      <color theme="3"/>
      <name val="Calibri"/>
      <family val="2"/>
      <scheme val="minor"/>
    </font>
    <font>
      <b/>
      <sz val="11"/>
      <color theme="0" tint="-0.14999847407452621"/>
      <name val="Calibri"/>
      <family val="2"/>
      <scheme val="minor"/>
    </font>
    <font>
      <sz val="11"/>
      <color rgb="FF9C5700"/>
      <name val="Calibri"/>
      <family val="2"/>
      <scheme val="minor"/>
    </font>
    <font>
      <b/>
      <i/>
      <sz val="11"/>
      <color theme="1"/>
      <name val="Calibri"/>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AE723-D3C6-49E9-8B11-8A094A13CE59}">
  <dimension ref="B2:AG1714"/>
  <sheetViews>
    <sheetView workbookViewId="0"/>
  </sheetViews>
  <sheetFormatPr defaultRowHeight="14.25" x14ac:dyDescent="0.45"/>
  <sheetData>
    <row r="2" spans="2:33" x14ac:dyDescent="0.45">
      <c r="B2" t="s">
        <v>113</v>
      </c>
      <c r="H2" t="s">
        <v>113</v>
      </c>
      <c r="P2" t="s">
        <v>543</v>
      </c>
      <c r="U2" t="s">
        <v>543</v>
      </c>
    </row>
    <row r="3" spans="2:33" x14ac:dyDescent="0.45">
      <c r="B3" t="s">
        <v>2</v>
      </c>
      <c r="C3" t="s">
        <v>114</v>
      </c>
      <c r="D3" t="s">
        <v>115</v>
      </c>
      <c r="E3" t="s">
        <v>116</v>
      </c>
      <c r="H3" t="s">
        <v>2</v>
      </c>
      <c r="I3" t="s">
        <v>238</v>
      </c>
      <c r="J3" t="s">
        <v>239</v>
      </c>
      <c r="K3" t="s">
        <v>240</v>
      </c>
      <c r="P3" t="s">
        <v>544</v>
      </c>
      <c r="Q3" t="s">
        <v>2</v>
      </c>
      <c r="R3" t="s">
        <v>238</v>
      </c>
      <c r="S3" t="s">
        <v>545</v>
      </c>
      <c r="U3" t="s">
        <v>544</v>
      </c>
      <c r="V3" t="s">
        <v>2</v>
      </c>
      <c r="W3" t="s">
        <v>238</v>
      </c>
      <c r="X3" t="s">
        <v>545</v>
      </c>
      <c r="AA3" t="s">
        <v>1905</v>
      </c>
    </row>
    <row r="4" spans="2:33" x14ac:dyDescent="0.45">
      <c r="B4" t="s">
        <v>117</v>
      </c>
      <c r="C4">
        <v>17.204460671581657</v>
      </c>
      <c r="D4">
        <v>71.5</v>
      </c>
      <c r="E4">
        <v>0.99609999999999999</v>
      </c>
      <c r="H4" t="s">
        <v>241</v>
      </c>
      <c r="I4" t="s">
        <v>242</v>
      </c>
      <c r="J4">
        <v>6.7508893647565016E-2</v>
      </c>
      <c r="K4" t="s">
        <v>243</v>
      </c>
      <c r="P4" t="s">
        <v>112</v>
      </c>
      <c r="Q4" t="s">
        <v>241</v>
      </c>
      <c r="R4" t="s">
        <v>546</v>
      </c>
      <c r="S4" t="s">
        <v>547</v>
      </c>
      <c r="U4" t="s">
        <v>112</v>
      </c>
      <c r="V4" t="s">
        <v>665</v>
      </c>
      <c r="W4" t="s">
        <v>546</v>
      </c>
      <c r="X4" t="s">
        <v>666</v>
      </c>
      <c r="AA4" t="s">
        <v>238</v>
      </c>
      <c r="AB4" t="s">
        <v>1907</v>
      </c>
      <c r="AC4" t="s">
        <v>1909</v>
      </c>
      <c r="AD4" t="s">
        <v>1910</v>
      </c>
      <c r="AE4" t="s">
        <v>1911</v>
      </c>
      <c r="AF4" t="s">
        <v>1912</v>
      </c>
      <c r="AG4" t="s">
        <v>1915</v>
      </c>
    </row>
    <row r="5" spans="2:33" x14ac:dyDescent="0.45">
      <c r="B5" t="s">
        <v>118</v>
      </c>
      <c r="C5">
        <v>3.1280837584693924</v>
      </c>
      <c r="D5">
        <v>124.30000000000001</v>
      </c>
      <c r="E5">
        <v>0.99321999999999999</v>
      </c>
      <c r="H5" t="s">
        <v>241</v>
      </c>
      <c r="I5" t="s">
        <v>244</v>
      </c>
      <c r="J5">
        <v>6.7508893647565016E-2</v>
      </c>
      <c r="K5" t="s">
        <v>243</v>
      </c>
      <c r="P5" t="s">
        <v>112</v>
      </c>
      <c r="Q5" t="s">
        <v>246</v>
      </c>
      <c r="R5" t="s">
        <v>548</v>
      </c>
      <c r="S5" t="s">
        <v>547</v>
      </c>
      <c r="U5" t="s">
        <v>112</v>
      </c>
      <c r="V5" t="s">
        <v>667</v>
      </c>
      <c r="W5" t="s">
        <v>546</v>
      </c>
      <c r="X5" t="s">
        <v>666</v>
      </c>
      <c r="AA5" t="s">
        <v>1906</v>
      </c>
      <c r="AB5" t="s">
        <v>1908</v>
      </c>
      <c r="AC5">
        <v>2</v>
      </c>
      <c r="AE5">
        <v>0</v>
      </c>
      <c r="AF5" t="s">
        <v>1913</v>
      </c>
      <c r="AG5" t="s">
        <v>1916</v>
      </c>
    </row>
    <row r="6" spans="2:33" x14ac:dyDescent="0.45">
      <c r="B6" t="s">
        <v>119</v>
      </c>
      <c r="C6">
        <v>1.5640418792346962</v>
      </c>
      <c r="D6">
        <v>69.300000000000011</v>
      </c>
      <c r="E6">
        <v>0.99621999999999999</v>
      </c>
      <c r="H6" t="s">
        <v>241</v>
      </c>
      <c r="I6" t="s">
        <v>245</v>
      </c>
      <c r="J6">
        <v>6.7508893647565016E-2</v>
      </c>
      <c r="K6" t="s">
        <v>243</v>
      </c>
      <c r="P6" t="s">
        <v>112</v>
      </c>
      <c r="Q6" t="s">
        <v>247</v>
      </c>
      <c r="R6" t="s">
        <v>549</v>
      </c>
      <c r="S6" t="s">
        <v>547</v>
      </c>
      <c r="U6" t="s">
        <v>112</v>
      </c>
      <c r="V6" t="s">
        <v>668</v>
      </c>
      <c r="W6" t="s">
        <v>546</v>
      </c>
      <c r="X6" t="s">
        <v>666</v>
      </c>
      <c r="AA6" t="s">
        <v>1906</v>
      </c>
      <c r="AB6" t="s">
        <v>1908</v>
      </c>
      <c r="AD6">
        <v>2</v>
      </c>
      <c r="AE6">
        <v>0</v>
      </c>
      <c r="AF6" t="s">
        <v>1914</v>
      </c>
    </row>
    <row r="7" spans="2:33" x14ac:dyDescent="0.45">
      <c r="B7" t="s">
        <v>120</v>
      </c>
      <c r="C7">
        <v>10.948293154642874</v>
      </c>
      <c r="D7">
        <v>69.300000000000011</v>
      </c>
      <c r="E7">
        <v>0.99621999999999999</v>
      </c>
      <c r="H7" t="s">
        <v>246</v>
      </c>
      <c r="I7" t="s">
        <v>242</v>
      </c>
      <c r="J7">
        <v>1.8212025495717772E-2</v>
      </c>
      <c r="K7" t="s">
        <v>243</v>
      </c>
      <c r="P7" t="s">
        <v>112</v>
      </c>
      <c r="Q7" t="s">
        <v>248</v>
      </c>
      <c r="R7" t="s">
        <v>550</v>
      </c>
      <c r="S7" t="s">
        <v>547</v>
      </c>
      <c r="U7" t="s">
        <v>112</v>
      </c>
      <c r="V7" t="s">
        <v>669</v>
      </c>
      <c r="W7" t="s">
        <v>546</v>
      </c>
      <c r="X7" t="s">
        <v>666</v>
      </c>
    </row>
    <row r="8" spans="2:33" x14ac:dyDescent="0.45">
      <c r="B8" t="s">
        <v>121</v>
      </c>
      <c r="C8">
        <v>6.2561675169387847</v>
      </c>
      <c r="D8">
        <v>77</v>
      </c>
      <c r="E8">
        <v>0.99580000000000002</v>
      </c>
      <c r="H8" t="s">
        <v>246</v>
      </c>
      <c r="I8" t="s">
        <v>244</v>
      </c>
      <c r="J8">
        <v>1.8212025495717772E-2</v>
      </c>
      <c r="K8" t="s">
        <v>243</v>
      </c>
      <c r="P8" t="s">
        <v>112</v>
      </c>
      <c r="Q8" t="s">
        <v>249</v>
      </c>
      <c r="R8" t="s">
        <v>551</v>
      </c>
      <c r="S8" t="s">
        <v>547</v>
      </c>
      <c r="U8" t="s">
        <v>112</v>
      </c>
      <c r="V8" t="s">
        <v>670</v>
      </c>
      <c r="W8" t="s">
        <v>546</v>
      </c>
      <c r="X8" t="s">
        <v>666</v>
      </c>
    </row>
    <row r="9" spans="2:33" x14ac:dyDescent="0.45">
      <c r="B9" t="s">
        <v>122</v>
      </c>
      <c r="C9">
        <v>12.512335033877569</v>
      </c>
      <c r="D9">
        <v>234.3</v>
      </c>
      <c r="E9">
        <v>0.98721999999999999</v>
      </c>
      <c r="H9" t="s">
        <v>246</v>
      </c>
      <c r="I9" t="s">
        <v>245</v>
      </c>
      <c r="J9">
        <v>1.8212025495717772E-2</v>
      </c>
      <c r="K9" t="s">
        <v>243</v>
      </c>
      <c r="P9" t="s">
        <v>112</v>
      </c>
      <c r="Q9" t="s">
        <v>250</v>
      </c>
      <c r="R9" t="s">
        <v>552</v>
      </c>
      <c r="S9" t="s">
        <v>547</v>
      </c>
      <c r="U9" t="s">
        <v>112</v>
      </c>
      <c r="V9" t="s">
        <v>671</v>
      </c>
      <c r="W9" t="s">
        <v>546</v>
      </c>
      <c r="X9" t="s">
        <v>666</v>
      </c>
    </row>
    <row r="10" spans="2:33" x14ac:dyDescent="0.45">
      <c r="B10" t="s">
        <v>123</v>
      </c>
      <c r="C10">
        <v>6.2561675169387847</v>
      </c>
      <c r="D10">
        <v>232.10000000000002</v>
      </c>
      <c r="E10">
        <v>0.98734</v>
      </c>
      <c r="H10" t="s">
        <v>247</v>
      </c>
      <c r="I10" t="s">
        <v>242</v>
      </c>
      <c r="J10">
        <v>3.7966015672833933E-2</v>
      </c>
      <c r="K10" t="s">
        <v>243</v>
      </c>
      <c r="P10" t="s">
        <v>112</v>
      </c>
      <c r="Q10" t="s">
        <v>251</v>
      </c>
      <c r="R10" t="s">
        <v>553</v>
      </c>
      <c r="S10" t="s">
        <v>547</v>
      </c>
      <c r="U10" t="s">
        <v>112</v>
      </c>
      <c r="V10" t="s">
        <v>672</v>
      </c>
      <c r="W10" t="s">
        <v>546</v>
      </c>
      <c r="X10" t="s">
        <v>666</v>
      </c>
    </row>
    <row r="11" spans="2:33" x14ac:dyDescent="0.45">
      <c r="B11" t="s">
        <v>124</v>
      </c>
      <c r="C11">
        <v>17.204460671581657</v>
      </c>
      <c r="D11">
        <v>179.3</v>
      </c>
      <c r="E11">
        <v>0.99021999999999999</v>
      </c>
      <c r="H11" t="s">
        <v>247</v>
      </c>
      <c r="I11" t="s">
        <v>244</v>
      </c>
      <c r="J11">
        <v>3.7966015672833933E-2</v>
      </c>
      <c r="K11" t="s">
        <v>243</v>
      </c>
      <c r="P11" t="s">
        <v>112</v>
      </c>
      <c r="Q11" t="s">
        <v>252</v>
      </c>
      <c r="R11" t="s">
        <v>554</v>
      </c>
      <c r="S11" t="s">
        <v>547</v>
      </c>
      <c r="U11" t="s">
        <v>112</v>
      </c>
      <c r="V11" t="s">
        <v>673</v>
      </c>
      <c r="W11" t="s">
        <v>546</v>
      </c>
      <c r="X11" t="s">
        <v>666</v>
      </c>
    </row>
    <row r="12" spans="2:33" x14ac:dyDescent="0.45">
      <c r="B12" t="s">
        <v>125</v>
      </c>
      <c r="C12">
        <v>29.559179081970463</v>
      </c>
      <c r="D12">
        <v>152.9</v>
      </c>
      <c r="E12">
        <v>0.99165999999999999</v>
      </c>
      <c r="H12" t="s">
        <v>247</v>
      </c>
      <c r="I12" t="s">
        <v>245</v>
      </c>
      <c r="J12">
        <v>3.7966015672833933E-2</v>
      </c>
      <c r="K12" t="s">
        <v>243</v>
      </c>
      <c r="P12" t="s">
        <v>112</v>
      </c>
      <c r="Q12" t="s">
        <v>253</v>
      </c>
      <c r="R12" t="s">
        <v>555</v>
      </c>
      <c r="S12" t="s">
        <v>547</v>
      </c>
      <c r="U12" t="s">
        <v>112</v>
      </c>
      <c r="V12" t="s">
        <v>674</v>
      </c>
      <c r="W12" t="s">
        <v>546</v>
      </c>
      <c r="X12" t="s">
        <v>666</v>
      </c>
    </row>
    <row r="13" spans="2:33" x14ac:dyDescent="0.45">
      <c r="B13" t="s">
        <v>126</v>
      </c>
      <c r="C13">
        <v>3.1280837584693924</v>
      </c>
      <c r="D13">
        <v>310.20000000000005</v>
      </c>
      <c r="E13">
        <v>0.98307999999999995</v>
      </c>
      <c r="H13" t="s">
        <v>248</v>
      </c>
      <c r="I13" t="s">
        <v>242</v>
      </c>
      <c r="J13">
        <v>1.2291107876762148E-2</v>
      </c>
      <c r="K13" t="s">
        <v>243</v>
      </c>
      <c r="P13" t="s">
        <v>112</v>
      </c>
      <c r="Q13" t="s">
        <v>254</v>
      </c>
      <c r="R13" t="s">
        <v>556</v>
      </c>
      <c r="S13" t="s">
        <v>547</v>
      </c>
      <c r="U13" t="s">
        <v>112</v>
      </c>
      <c r="V13" t="s">
        <v>675</v>
      </c>
      <c r="W13" t="s">
        <v>546</v>
      </c>
      <c r="X13" t="s">
        <v>666</v>
      </c>
    </row>
    <row r="14" spans="2:33" x14ac:dyDescent="0.45">
      <c r="B14" t="s">
        <v>127</v>
      </c>
      <c r="C14">
        <v>4.6921256377040894</v>
      </c>
      <c r="D14">
        <v>149.60000000000002</v>
      </c>
      <c r="E14">
        <v>0.99184000000000005</v>
      </c>
      <c r="H14" t="s">
        <v>248</v>
      </c>
      <c r="I14" t="s">
        <v>244</v>
      </c>
      <c r="J14">
        <v>1.2291107876762148E-2</v>
      </c>
      <c r="K14" t="s">
        <v>243</v>
      </c>
      <c r="P14" t="s">
        <v>112</v>
      </c>
      <c r="Q14" t="s">
        <v>255</v>
      </c>
      <c r="R14" t="s">
        <v>557</v>
      </c>
      <c r="S14" t="s">
        <v>547</v>
      </c>
      <c r="U14" t="s">
        <v>112</v>
      </c>
      <c r="V14" t="s">
        <v>676</v>
      </c>
      <c r="W14" t="s">
        <v>546</v>
      </c>
      <c r="X14" t="s">
        <v>666</v>
      </c>
    </row>
    <row r="15" spans="2:33" x14ac:dyDescent="0.45">
      <c r="B15" t="s">
        <v>128</v>
      </c>
      <c r="C15">
        <v>4.6921256377040894</v>
      </c>
      <c r="D15">
        <v>149.60000000000002</v>
      </c>
      <c r="E15">
        <v>0.99184000000000005</v>
      </c>
      <c r="H15" t="s">
        <v>248</v>
      </c>
      <c r="I15" t="s">
        <v>245</v>
      </c>
      <c r="J15">
        <v>1.2291107876762148E-2</v>
      </c>
      <c r="K15" t="s">
        <v>243</v>
      </c>
      <c r="P15" t="s">
        <v>112</v>
      </c>
      <c r="Q15" t="s">
        <v>256</v>
      </c>
      <c r="R15" t="s">
        <v>558</v>
      </c>
      <c r="S15" t="s">
        <v>547</v>
      </c>
      <c r="U15" t="s">
        <v>112</v>
      </c>
      <c r="V15" t="s">
        <v>677</v>
      </c>
      <c r="W15" t="s">
        <v>546</v>
      </c>
      <c r="X15" t="s">
        <v>666</v>
      </c>
    </row>
    <row r="16" spans="2:33" x14ac:dyDescent="0.45">
      <c r="B16" t="s">
        <v>129</v>
      </c>
      <c r="C16">
        <v>3.1280837584693924</v>
      </c>
      <c r="D16">
        <v>206.8</v>
      </c>
      <c r="E16">
        <v>0.98872000000000004</v>
      </c>
      <c r="H16" t="s">
        <v>249</v>
      </c>
      <c r="I16" t="s">
        <v>242</v>
      </c>
      <c r="J16">
        <v>4.5813904175743436E-2</v>
      </c>
      <c r="K16" t="s">
        <v>243</v>
      </c>
      <c r="P16" t="s">
        <v>112</v>
      </c>
      <c r="Q16" t="s">
        <v>257</v>
      </c>
      <c r="R16" t="s">
        <v>559</v>
      </c>
      <c r="S16" t="s">
        <v>547</v>
      </c>
      <c r="U16" t="s">
        <v>112</v>
      </c>
      <c r="V16" t="s">
        <v>677</v>
      </c>
      <c r="W16" t="s">
        <v>629</v>
      </c>
      <c r="X16" t="s">
        <v>666</v>
      </c>
    </row>
    <row r="17" spans="2:24" x14ac:dyDescent="0.45">
      <c r="B17" t="s">
        <v>130</v>
      </c>
      <c r="C17">
        <v>12.512335033877569</v>
      </c>
      <c r="D17">
        <v>151.80000000000001</v>
      </c>
      <c r="E17">
        <v>0.99172000000000005</v>
      </c>
      <c r="H17" t="s">
        <v>249</v>
      </c>
      <c r="I17" t="s">
        <v>244</v>
      </c>
      <c r="J17">
        <v>4.5813904175743436E-2</v>
      </c>
      <c r="K17" t="s">
        <v>243</v>
      </c>
      <c r="P17" t="s">
        <v>112</v>
      </c>
      <c r="Q17" t="s">
        <v>258</v>
      </c>
      <c r="R17" t="s">
        <v>560</v>
      </c>
      <c r="S17" t="s">
        <v>547</v>
      </c>
      <c r="U17" t="s">
        <v>112</v>
      </c>
      <c r="V17" t="s">
        <v>678</v>
      </c>
      <c r="W17" t="s">
        <v>546</v>
      </c>
      <c r="X17" t="s">
        <v>666</v>
      </c>
    </row>
    <row r="18" spans="2:24" x14ac:dyDescent="0.45">
      <c r="B18" t="s">
        <v>131</v>
      </c>
      <c r="C18">
        <v>6.2561675169387847</v>
      </c>
      <c r="D18">
        <v>160.60000000000002</v>
      </c>
      <c r="E18">
        <v>0.99124000000000001</v>
      </c>
      <c r="H18" t="s">
        <v>249</v>
      </c>
      <c r="I18" t="s">
        <v>245</v>
      </c>
      <c r="J18">
        <v>4.5813904175743436E-2</v>
      </c>
      <c r="K18" t="s">
        <v>243</v>
      </c>
      <c r="P18" t="s">
        <v>112</v>
      </c>
      <c r="Q18" t="s">
        <v>259</v>
      </c>
      <c r="R18" t="s">
        <v>561</v>
      </c>
      <c r="S18" t="s">
        <v>547</v>
      </c>
      <c r="U18" t="s">
        <v>112</v>
      </c>
      <c r="V18" t="s">
        <v>678</v>
      </c>
      <c r="W18" t="s">
        <v>629</v>
      </c>
      <c r="X18" t="s">
        <v>666</v>
      </c>
    </row>
    <row r="19" spans="2:24" x14ac:dyDescent="0.45">
      <c r="B19" t="s">
        <v>132</v>
      </c>
      <c r="C19">
        <v>15.131195854921708</v>
      </c>
      <c r="D19">
        <v>226.60000000000002</v>
      </c>
      <c r="E19">
        <v>0.98763999999999996</v>
      </c>
      <c r="H19" t="s">
        <v>250</v>
      </c>
      <c r="I19" t="s">
        <v>242</v>
      </c>
      <c r="J19">
        <v>4.2235675966022547E-2</v>
      </c>
      <c r="K19" t="s">
        <v>243</v>
      </c>
      <c r="P19" t="s">
        <v>112</v>
      </c>
      <c r="Q19" t="s">
        <v>260</v>
      </c>
      <c r="R19" t="s">
        <v>562</v>
      </c>
      <c r="S19" t="s">
        <v>547</v>
      </c>
      <c r="U19" t="s">
        <v>112</v>
      </c>
      <c r="V19" t="s">
        <v>679</v>
      </c>
      <c r="W19" t="s">
        <v>546</v>
      </c>
      <c r="X19" t="s">
        <v>666</v>
      </c>
    </row>
    <row r="20" spans="2:24" x14ac:dyDescent="0.45">
      <c r="B20" t="s">
        <v>133</v>
      </c>
      <c r="C20">
        <v>6.2561675169387847</v>
      </c>
      <c r="D20">
        <v>71.5</v>
      </c>
      <c r="E20">
        <v>0.99609999999999999</v>
      </c>
      <c r="H20" t="s">
        <v>250</v>
      </c>
      <c r="I20" t="s">
        <v>244</v>
      </c>
      <c r="J20">
        <v>4.2235675966022547E-2</v>
      </c>
      <c r="K20" t="s">
        <v>243</v>
      </c>
      <c r="P20" t="s">
        <v>112</v>
      </c>
      <c r="Q20" t="s">
        <v>261</v>
      </c>
      <c r="R20" t="s">
        <v>563</v>
      </c>
      <c r="S20" t="s">
        <v>547</v>
      </c>
      <c r="U20" t="s">
        <v>112</v>
      </c>
      <c r="V20" t="s">
        <v>679</v>
      </c>
      <c r="W20" t="s">
        <v>629</v>
      </c>
      <c r="X20" t="s">
        <v>666</v>
      </c>
    </row>
    <row r="21" spans="2:24" x14ac:dyDescent="0.45">
      <c r="B21" t="s">
        <v>134</v>
      </c>
      <c r="C21">
        <v>42.229130739336796</v>
      </c>
      <c r="D21">
        <v>50.6</v>
      </c>
      <c r="E21">
        <v>0.99724000000000002</v>
      </c>
      <c r="H21" t="s">
        <v>250</v>
      </c>
      <c r="I21" t="s">
        <v>245</v>
      </c>
      <c r="J21">
        <v>4.2235675966022547E-2</v>
      </c>
      <c r="K21" t="s">
        <v>243</v>
      </c>
      <c r="P21" t="s">
        <v>112</v>
      </c>
      <c r="Q21" t="s">
        <v>262</v>
      </c>
      <c r="R21" t="s">
        <v>564</v>
      </c>
      <c r="S21" t="s">
        <v>547</v>
      </c>
      <c r="U21" t="s">
        <v>112</v>
      </c>
      <c r="V21" t="s">
        <v>680</v>
      </c>
      <c r="W21" t="s">
        <v>546</v>
      </c>
      <c r="X21" t="s">
        <v>666</v>
      </c>
    </row>
    <row r="22" spans="2:24" x14ac:dyDescent="0.45">
      <c r="B22" t="s">
        <v>135</v>
      </c>
      <c r="C22">
        <v>3.1280837584693924</v>
      </c>
      <c r="D22">
        <v>15.400000000000002</v>
      </c>
      <c r="E22">
        <v>0.99916000000000005</v>
      </c>
      <c r="H22" t="s">
        <v>251</v>
      </c>
      <c r="I22" t="s">
        <v>242</v>
      </c>
      <c r="J22">
        <v>1.1215346455244498E-2</v>
      </c>
      <c r="K22" t="s">
        <v>243</v>
      </c>
      <c r="P22" t="s">
        <v>112</v>
      </c>
      <c r="Q22" t="s">
        <v>263</v>
      </c>
      <c r="R22" t="s">
        <v>565</v>
      </c>
      <c r="S22" t="s">
        <v>547</v>
      </c>
      <c r="U22" t="s">
        <v>112</v>
      </c>
      <c r="V22" t="s">
        <v>680</v>
      </c>
      <c r="W22" t="s">
        <v>629</v>
      </c>
      <c r="X22" t="s">
        <v>666</v>
      </c>
    </row>
    <row r="23" spans="2:24" x14ac:dyDescent="0.45">
      <c r="B23" t="s">
        <v>136</v>
      </c>
      <c r="C23">
        <v>10.948293154642874</v>
      </c>
      <c r="D23">
        <v>61.600000000000009</v>
      </c>
      <c r="E23">
        <v>0.99663999999999997</v>
      </c>
      <c r="H23" t="s">
        <v>251</v>
      </c>
      <c r="I23" t="s">
        <v>244</v>
      </c>
      <c r="J23">
        <v>1.1215346455244498E-2</v>
      </c>
      <c r="K23" t="s">
        <v>243</v>
      </c>
      <c r="P23" t="s">
        <v>112</v>
      </c>
      <c r="Q23" t="s">
        <v>264</v>
      </c>
      <c r="R23" t="s">
        <v>566</v>
      </c>
      <c r="S23" t="s">
        <v>547</v>
      </c>
      <c r="U23" t="s">
        <v>112</v>
      </c>
      <c r="V23" t="s">
        <v>681</v>
      </c>
      <c r="W23" t="s">
        <v>629</v>
      </c>
      <c r="X23" t="s">
        <v>666</v>
      </c>
    </row>
    <row r="24" spans="2:24" x14ac:dyDescent="0.45">
      <c r="B24" t="s">
        <v>137</v>
      </c>
      <c r="C24">
        <v>3.1280837584693924</v>
      </c>
      <c r="D24">
        <v>140.80000000000001</v>
      </c>
      <c r="E24">
        <v>0.99231999999999998</v>
      </c>
      <c r="H24" t="s">
        <v>251</v>
      </c>
      <c r="I24" t="s">
        <v>245</v>
      </c>
      <c r="J24">
        <v>1.1215346455244498E-2</v>
      </c>
      <c r="K24" t="s">
        <v>243</v>
      </c>
      <c r="P24" t="s">
        <v>112</v>
      </c>
      <c r="Q24" t="s">
        <v>265</v>
      </c>
      <c r="R24" t="s">
        <v>567</v>
      </c>
      <c r="S24" t="s">
        <v>547</v>
      </c>
      <c r="U24" t="s">
        <v>112</v>
      </c>
      <c r="V24" t="s">
        <v>682</v>
      </c>
      <c r="W24" t="s">
        <v>629</v>
      </c>
      <c r="X24" t="s">
        <v>666</v>
      </c>
    </row>
    <row r="25" spans="2:24" x14ac:dyDescent="0.45">
      <c r="B25" t="s">
        <v>138</v>
      </c>
      <c r="C25">
        <v>14.076376913112265</v>
      </c>
      <c r="D25">
        <v>81.400000000000006</v>
      </c>
      <c r="E25">
        <v>0.99556</v>
      </c>
      <c r="H25" t="s">
        <v>252</v>
      </c>
      <c r="I25" t="s">
        <v>242</v>
      </c>
      <c r="J25">
        <v>1.805566500419031E-2</v>
      </c>
      <c r="K25" t="s">
        <v>243</v>
      </c>
      <c r="P25" t="s">
        <v>112</v>
      </c>
      <c r="Q25" t="s">
        <v>266</v>
      </c>
      <c r="R25" t="s">
        <v>568</v>
      </c>
      <c r="S25" t="s">
        <v>547</v>
      </c>
      <c r="U25" t="s">
        <v>112</v>
      </c>
      <c r="V25" t="s">
        <v>683</v>
      </c>
      <c r="W25" t="s">
        <v>629</v>
      </c>
      <c r="X25" t="s">
        <v>666</v>
      </c>
    </row>
    <row r="26" spans="2:24" x14ac:dyDescent="0.45">
      <c r="B26" t="s">
        <v>139</v>
      </c>
      <c r="C26">
        <v>6.2561675169387847</v>
      </c>
      <c r="D26">
        <v>150.70000000000002</v>
      </c>
      <c r="E26">
        <v>0.99177999999999999</v>
      </c>
      <c r="H26" t="s">
        <v>252</v>
      </c>
      <c r="I26" t="s">
        <v>244</v>
      </c>
      <c r="J26">
        <v>1.805566500419031E-2</v>
      </c>
      <c r="K26" t="s">
        <v>243</v>
      </c>
      <c r="P26" t="s">
        <v>112</v>
      </c>
      <c r="Q26" t="s">
        <v>267</v>
      </c>
      <c r="R26" t="s">
        <v>569</v>
      </c>
      <c r="S26" t="s">
        <v>547</v>
      </c>
      <c r="U26" t="s">
        <v>112</v>
      </c>
      <c r="V26" t="s">
        <v>683</v>
      </c>
      <c r="W26" t="s">
        <v>546</v>
      </c>
      <c r="X26" t="s">
        <v>547</v>
      </c>
    </row>
    <row r="27" spans="2:24" x14ac:dyDescent="0.45">
      <c r="B27" t="s">
        <v>140</v>
      </c>
      <c r="C27">
        <v>6.2561675169387847</v>
      </c>
      <c r="D27">
        <v>210.10000000000002</v>
      </c>
      <c r="E27">
        <v>0.98853999999999997</v>
      </c>
      <c r="H27" t="s">
        <v>252</v>
      </c>
      <c r="I27" t="s">
        <v>245</v>
      </c>
      <c r="J27">
        <v>1.805566500419031E-2</v>
      </c>
      <c r="K27" t="s">
        <v>243</v>
      </c>
      <c r="P27" t="s">
        <v>112</v>
      </c>
      <c r="Q27" t="s">
        <v>268</v>
      </c>
      <c r="R27" t="s">
        <v>570</v>
      </c>
      <c r="S27" t="s">
        <v>547</v>
      </c>
      <c r="U27" t="s">
        <v>112</v>
      </c>
      <c r="V27" t="s">
        <v>684</v>
      </c>
      <c r="W27" t="s">
        <v>629</v>
      </c>
      <c r="X27" t="s">
        <v>666</v>
      </c>
    </row>
    <row r="28" spans="2:24" x14ac:dyDescent="0.45">
      <c r="B28" t="s">
        <v>141</v>
      </c>
      <c r="C28">
        <v>3.1280837584693924</v>
      </c>
      <c r="D28">
        <v>262.90000000000003</v>
      </c>
      <c r="E28">
        <v>0.98565999999999998</v>
      </c>
      <c r="H28" t="s">
        <v>253</v>
      </c>
      <c r="I28" t="s">
        <v>242</v>
      </c>
      <c r="J28">
        <v>1.3586949985506535E-2</v>
      </c>
      <c r="K28" t="s">
        <v>243</v>
      </c>
      <c r="P28" t="s">
        <v>112</v>
      </c>
      <c r="Q28" t="s">
        <v>269</v>
      </c>
      <c r="R28" t="s">
        <v>571</v>
      </c>
      <c r="S28" t="s">
        <v>547</v>
      </c>
      <c r="U28" t="s">
        <v>112</v>
      </c>
      <c r="V28" t="s">
        <v>684</v>
      </c>
      <c r="W28" t="s">
        <v>546</v>
      </c>
      <c r="X28" t="s">
        <v>547</v>
      </c>
    </row>
    <row r="29" spans="2:24" x14ac:dyDescent="0.45">
      <c r="B29" t="s">
        <v>142</v>
      </c>
      <c r="C29">
        <v>6.2561675169387847</v>
      </c>
      <c r="D29">
        <v>8.8000000000000007</v>
      </c>
      <c r="E29">
        <v>0.99951999999999996</v>
      </c>
      <c r="H29" t="s">
        <v>253</v>
      </c>
      <c r="I29" t="s">
        <v>244</v>
      </c>
      <c r="J29">
        <v>1.3586949985506535E-2</v>
      </c>
      <c r="K29" t="s">
        <v>243</v>
      </c>
      <c r="P29" t="s">
        <v>112</v>
      </c>
      <c r="Q29" t="s">
        <v>270</v>
      </c>
      <c r="R29" t="s">
        <v>572</v>
      </c>
      <c r="S29" t="s">
        <v>547</v>
      </c>
      <c r="U29" t="s">
        <v>112</v>
      </c>
      <c r="V29" t="s">
        <v>685</v>
      </c>
      <c r="W29" t="s">
        <v>548</v>
      </c>
      <c r="X29" t="s">
        <v>666</v>
      </c>
    </row>
    <row r="30" spans="2:24" x14ac:dyDescent="0.45">
      <c r="B30" t="s">
        <v>143</v>
      </c>
      <c r="C30">
        <v>1.5640418792346962</v>
      </c>
      <c r="D30">
        <v>211.20000000000002</v>
      </c>
      <c r="E30">
        <v>0.98848000000000003</v>
      </c>
      <c r="H30" t="s">
        <v>253</v>
      </c>
      <c r="I30" t="s">
        <v>245</v>
      </c>
      <c r="J30">
        <v>1.3586949985506535E-2</v>
      </c>
      <c r="K30" t="s">
        <v>243</v>
      </c>
      <c r="P30" t="s">
        <v>112</v>
      </c>
      <c r="Q30" t="s">
        <v>271</v>
      </c>
      <c r="R30" t="s">
        <v>573</v>
      </c>
      <c r="S30" t="s">
        <v>547</v>
      </c>
      <c r="U30" t="s">
        <v>112</v>
      </c>
      <c r="V30" t="s">
        <v>686</v>
      </c>
      <c r="W30" t="s">
        <v>548</v>
      </c>
      <c r="X30" t="s">
        <v>666</v>
      </c>
    </row>
    <row r="31" spans="2:24" x14ac:dyDescent="0.45">
      <c r="B31" t="s">
        <v>144</v>
      </c>
      <c r="C31">
        <v>7.8202093961734818</v>
      </c>
      <c r="D31">
        <v>141.9</v>
      </c>
      <c r="E31">
        <v>0.99226000000000003</v>
      </c>
      <c r="H31" t="s">
        <v>254</v>
      </c>
      <c r="I31" t="s">
        <v>242</v>
      </c>
      <c r="J31">
        <v>4.3007056057302595E-2</v>
      </c>
      <c r="K31" t="s">
        <v>243</v>
      </c>
      <c r="P31" t="s">
        <v>112</v>
      </c>
      <c r="Q31" t="s">
        <v>272</v>
      </c>
      <c r="R31" t="s">
        <v>574</v>
      </c>
      <c r="S31" t="s">
        <v>547</v>
      </c>
      <c r="U31" t="s">
        <v>112</v>
      </c>
      <c r="V31" t="s">
        <v>687</v>
      </c>
      <c r="W31" t="s">
        <v>548</v>
      </c>
      <c r="X31" t="s">
        <v>666</v>
      </c>
    </row>
    <row r="32" spans="2:24" x14ac:dyDescent="0.45">
      <c r="B32" t="s">
        <v>145</v>
      </c>
      <c r="C32">
        <v>4.6921256377040894</v>
      </c>
      <c r="D32">
        <v>152.9</v>
      </c>
      <c r="E32">
        <v>0.99165999999999999</v>
      </c>
      <c r="H32" t="s">
        <v>254</v>
      </c>
      <c r="I32" t="s">
        <v>244</v>
      </c>
      <c r="J32">
        <v>4.3007056057302595E-2</v>
      </c>
      <c r="K32" t="s">
        <v>243</v>
      </c>
      <c r="P32" t="s">
        <v>112</v>
      </c>
      <c r="Q32" t="s">
        <v>273</v>
      </c>
      <c r="R32" t="s">
        <v>575</v>
      </c>
      <c r="S32" t="s">
        <v>547</v>
      </c>
      <c r="U32" t="s">
        <v>112</v>
      </c>
      <c r="V32" t="s">
        <v>688</v>
      </c>
      <c r="W32" t="s">
        <v>548</v>
      </c>
      <c r="X32" t="s">
        <v>666</v>
      </c>
    </row>
    <row r="33" spans="2:24" x14ac:dyDescent="0.45">
      <c r="B33" t="s">
        <v>146</v>
      </c>
      <c r="C33">
        <v>3.1280837584693924</v>
      </c>
      <c r="D33">
        <v>24.200000000000003</v>
      </c>
      <c r="E33">
        <v>0.99868000000000001</v>
      </c>
      <c r="H33" t="s">
        <v>254</v>
      </c>
      <c r="I33" t="s">
        <v>245</v>
      </c>
      <c r="J33">
        <v>4.3007056057302595E-2</v>
      </c>
      <c r="K33" t="s">
        <v>243</v>
      </c>
      <c r="P33" t="s">
        <v>112</v>
      </c>
      <c r="Q33" t="s">
        <v>274</v>
      </c>
      <c r="R33" t="s">
        <v>576</v>
      </c>
      <c r="S33" t="s">
        <v>547</v>
      </c>
      <c r="U33" t="s">
        <v>112</v>
      </c>
      <c r="V33" t="s">
        <v>689</v>
      </c>
      <c r="W33" t="s">
        <v>548</v>
      </c>
      <c r="X33" t="s">
        <v>666</v>
      </c>
    </row>
    <row r="34" spans="2:24" x14ac:dyDescent="0.45">
      <c r="B34" t="s">
        <v>147</v>
      </c>
      <c r="C34">
        <v>14.779589540985231</v>
      </c>
      <c r="D34">
        <v>89.100000000000009</v>
      </c>
      <c r="E34">
        <v>0.99514000000000002</v>
      </c>
      <c r="H34" t="s">
        <v>255</v>
      </c>
      <c r="I34" t="s">
        <v>242</v>
      </c>
      <c r="J34">
        <v>4.4696313692848996E-4</v>
      </c>
      <c r="K34" t="s">
        <v>243</v>
      </c>
      <c r="P34" t="s">
        <v>112</v>
      </c>
      <c r="Q34" t="s">
        <v>275</v>
      </c>
      <c r="R34" t="s">
        <v>577</v>
      </c>
      <c r="S34" t="s">
        <v>547</v>
      </c>
      <c r="U34" t="s">
        <v>112</v>
      </c>
      <c r="V34" t="s">
        <v>690</v>
      </c>
      <c r="W34" t="s">
        <v>548</v>
      </c>
      <c r="X34" t="s">
        <v>666</v>
      </c>
    </row>
    <row r="35" spans="2:24" x14ac:dyDescent="0.45">
      <c r="B35" t="s">
        <v>148</v>
      </c>
      <c r="C35">
        <v>22.599798937158713</v>
      </c>
      <c r="D35">
        <v>62.7</v>
      </c>
      <c r="E35">
        <v>0.99658000000000002</v>
      </c>
      <c r="H35" t="s">
        <v>255</v>
      </c>
      <c r="I35" t="s">
        <v>244</v>
      </c>
      <c r="J35">
        <v>4.4696313692848996E-4</v>
      </c>
      <c r="K35" t="s">
        <v>243</v>
      </c>
      <c r="P35" t="s">
        <v>112</v>
      </c>
      <c r="Q35" t="s">
        <v>276</v>
      </c>
      <c r="R35" t="s">
        <v>578</v>
      </c>
      <c r="S35" t="s">
        <v>547</v>
      </c>
      <c r="U35" t="s">
        <v>112</v>
      </c>
      <c r="V35" t="s">
        <v>691</v>
      </c>
      <c r="W35" t="s">
        <v>548</v>
      </c>
      <c r="X35" t="s">
        <v>666</v>
      </c>
    </row>
    <row r="36" spans="2:24" x14ac:dyDescent="0.45">
      <c r="B36" t="s">
        <v>149</v>
      </c>
      <c r="C36">
        <v>46.060427125679162</v>
      </c>
      <c r="D36">
        <v>48.400000000000006</v>
      </c>
      <c r="E36">
        <v>0.99736000000000002</v>
      </c>
      <c r="H36" t="s">
        <v>255</v>
      </c>
      <c r="I36" t="s">
        <v>245</v>
      </c>
      <c r="J36">
        <v>4.4696313692848996E-4</v>
      </c>
      <c r="K36" t="s">
        <v>243</v>
      </c>
      <c r="P36" t="s">
        <v>112</v>
      </c>
      <c r="Q36" t="s">
        <v>277</v>
      </c>
      <c r="R36" t="s">
        <v>579</v>
      </c>
      <c r="S36" t="s">
        <v>547</v>
      </c>
      <c r="U36" t="s">
        <v>112</v>
      </c>
      <c r="V36" t="s">
        <v>692</v>
      </c>
      <c r="W36" t="s">
        <v>548</v>
      </c>
      <c r="X36" t="s">
        <v>666</v>
      </c>
    </row>
    <row r="37" spans="2:24" x14ac:dyDescent="0.45">
      <c r="B37" t="s">
        <v>150</v>
      </c>
      <c r="C37">
        <v>9.3842512754081788</v>
      </c>
      <c r="D37">
        <v>231.00000000000003</v>
      </c>
      <c r="E37">
        <v>0.98740000000000006</v>
      </c>
      <c r="H37" t="s">
        <v>256</v>
      </c>
      <c r="I37" t="s">
        <v>242</v>
      </c>
      <c r="J37">
        <v>2.0567792762250802E-2</v>
      </c>
      <c r="K37" t="s">
        <v>243</v>
      </c>
      <c r="P37" t="s">
        <v>112</v>
      </c>
      <c r="Q37" t="s">
        <v>278</v>
      </c>
      <c r="R37" t="s">
        <v>580</v>
      </c>
      <c r="S37" t="s">
        <v>547</v>
      </c>
      <c r="U37" t="s">
        <v>112</v>
      </c>
      <c r="V37" t="s">
        <v>693</v>
      </c>
      <c r="W37" t="s">
        <v>548</v>
      </c>
      <c r="X37" t="s">
        <v>666</v>
      </c>
    </row>
    <row r="38" spans="2:24" x14ac:dyDescent="0.45">
      <c r="B38" t="s">
        <v>151</v>
      </c>
      <c r="C38">
        <v>29.001458721933279</v>
      </c>
      <c r="D38">
        <v>155.10000000000002</v>
      </c>
      <c r="E38">
        <v>0.99153999999999998</v>
      </c>
      <c r="H38" t="s">
        <v>256</v>
      </c>
      <c r="I38" t="s">
        <v>244</v>
      </c>
      <c r="J38">
        <v>2.0567792762250802E-2</v>
      </c>
      <c r="K38" t="s">
        <v>243</v>
      </c>
      <c r="P38" t="s">
        <v>112</v>
      </c>
      <c r="Q38" t="s">
        <v>279</v>
      </c>
      <c r="R38" t="s">
        <v>581</v>
      </c>
      <c r="S38" t="s">
        <v>547</v>
      </c>
      <c r="U38" t="s">
        <v>112</v>
      </c>
      <c r="V38" t="s">
        <v>694</v>
      </c>
      <c r="W38" t="s">
        <v>548</v>
      </c>
      <c r="X38" t="s">
        <v>666</v>
      </c>
    </row>
    <row r="39" spans="2:24" x14ac:dyDescent="0.45">
      <c r="B39" t="s">
        <v>152</v>
      </c>
      <c r="C39">
        <v>24.163840816393403</v>
      </c>
      <c r="D39">
        <v>110.00000000000001</v>
      </c>
      <c r="E39">
        <v>0.99399999999999999</v>
      </c>
      <c r="H39" t="s">
        <v>256</v>
      </c>
      <c r="I39" t="s">
        <v>245</v>
      </c>
      <c r="J39">
        <v>2.0567792762250802E-2</v>
      </c>
      <c r="K39" t="s">
        <v>243</v>
      </c>
      <c r="P39" t="s">
        <v>112</v>
      </c>
      <c r="Q39" t="s">
        <v>280</v>
      </c>
      <c r="R39" t="s">
        <v>582</v>
      </c>
      <c r="S39" t="s">
        <v>547</v>
      </c>
      <c r="U39" t="s">
        <v>112</v>
      </c>
      <c r="V39" t="s">
        <v>695</v>
      </c>
      <c r="W39" t="s">
        <v>548</v>
      </c>
      <c r="X39" t="s">
        <v>666</v>
      </c>
    </row>
    <row r="40" spans="2:24" x14ac:dyDescent="0.45">
      <c r="B40" t="s">
        <v>153</v>
      </c>
      <c r="C40">
        <v>1.5640418792346962</v>
      </c>
      <c r="D40">
        <v>112.2</v>
      </c>
      <c r="E40">
        <v>0.99387999999999999</v>
      </c>
      <c r="H40" t="s">
        <v>257</v>
      </c>
      <c r="I40" t="s">
        <v>242</v>
      </c>
      <c r="J40">
        <v>3.2176612059093695E-2</v>
      </c>
      <c r="K40" t="s">
        <v>243</v>
      </c>
      <c r="P40" t="s">
        <v>112</v>
      </c>
      <c r="Q40" t="s">
        <v>281</v>
      </c>
      <c r="R40" t="s">
        <v>583</v>
      </c>
      <c r="S40" t="s">
        <v>547</v>
      </c>
      <c r="U40" t="s">
        <v>112</v>
      </c>
      <c r="V40" t="s">
        <v>696</v>
      </c>
      <c r="W40" t="s">
        <v>548</v>
      </c>
      <c r="X40" t="s">
        <v>666</v>
      </c>
    </row>
    <row r="41" spans="2:24" x14ac:dyDescent="0.45">
      <c r="B41" t="s">
        <v>154</v>
      </c>
      <c r="C41">
        <v>47.624469004913855</v>
      </c>
      <c r="D41">
        <v>113.30000000000001</v>
      </c>
      <c r="E41">
        <v>0.99382000000000004</v>
      </c>
      <c r="H41" t="s">
        <v>257</v>
      </c>
      <c r="I41" t="s">
        <v>244</v>
      </c>
      <c r="J41">
        <v>3.2176612059093695E-2</v>
      </c>
      <c r="K41" t="s">
        <v>243</v>
      </c>
      <c r="P41" t="s">
        <v>112</v>
      </c>
      <c r="Q41" t="s">
        <v>282</v>
      </c>
      <c r="R41" t="s">
        <v>584</v>
      </c>
      <c r="S41" t="s">
        <v>547</v>
      </c>
      <c r="U41" t="s">
        <v>112</v>
      </c>
      <c r="V41" t="s">
        <v>696</v>
      </c>
      <c r="W41" t="s">
        <v>648</v>
      </c>
      <c r="X41" t="s">
        <v>666</v>
      </c>
    </row>
    <row r="42" spans="2:24" x14ac:dyDescent="0.45">
      <c r="B42" t="s">
        <v>155</v>
      </c>
      <c r="C42">
        <v>11.348396891191284</v>
      </c>
      <c r="D42">
        <v>139.70000000000002</v>
      </c>
      <c r="E42">
        <v>0.99238000000000004</v>
      </c>
      <c r="H42" t="s">
        <v>257</v>
      </c>
      <c r="I42" t="s">
        <v>245</v>
      </c>
      <c r="J42">
        <v>3.2176612059093695E-2</v>
      </c>
      <c r="K42" t="s">
        <v>243</v>
      </c>
      <c r="P42" t="s">
        <v>112</v>
      </c>
      <c r="Q42" t="s">
        <v>283</v>
      </c>
      <c r="R42" t="s">
        <v>585</v>
      </c>
      <c r="S42" t="s">
        <v>547</v>
      </c>
      <c r="U42" t="s">
        <v>112</v>
      </c>
      <c r="V42" t="s">
        <v>697</v>
      </c>
      <c r="W42" t="s">
        <v>548</v>
      </c>
      <c r="X42" t="s">
        <v>666</v>
      </c>
    </row>
    <row r="43" spans="2:24" x14ac:dyDescent="0.45">
      <c r="B43" t="s">
        <v>156</v>
      </c>
      <c r="C43">
        <v>7.8202093961734818</v>
      </c>
      <c r="D43">
        <v>348.70000000000005</v>
      </c>
      <c r="E43">
        <v>0.98097999999999996</v>
      </c>
      <c r="H43" t="s">
        <v>258</v>
      </c>
      <c r="I43" t="s">
        <v>242</v>
      </c>
      <c r="J43">
        <v>3.4487997519665198E-4</v>
      </c>
      <c r="K43" t="s">
        <v>243</v>
      </c>
      <c r="P43" t="s">
        <v>112</v>
      </c>
      <c r="Q43" t="s">
        <v>284</v>
      </c>
      <c r="R43" t="s">
        <v>586</v>
      </c>
      <c r="S43" t="s">
        <v>547</v>
      </c>
      <c r="U43" t="s">
        <v>112</v>
      </c>
      <c r="V43" t="s">
        <v>697</v>
      </c>
      <c r="W43" t="s">
        <v>648</v>
      </c>
      <c r="X43" t="s">
        <v>666</v>
      </c>
    </row>
    <row r="44" spans="2:24" x14ac:dyDescent="0.45">
      <c r="B44" t="s">
        <v>157</v>
      </c>
      <c r="C44">
        <v>13.215547661750531</v>
      </c>
      <c r="D44">
        <v>227.70000000000002</v>
      </c>
      <c r="E44">
        <v>0.98758000000000001</v>
      </c>
      <c r="H44" t="s">
        <v>258</v>
      </c>
      <c r="I44" t="s">
        <v>244</v>
      </c>
      <c r="J44">
        <v>3.4487997519665198E-4</v>
      </c>
      <c r="K44" t="s">
        <v>243</v>
      </c>
      <c r="P44" t="s">
        <v>112</v>
      </c>
      <c r="Q44" t="s">
        <v>285</v>
      </c>
      <c r="R44" t="s">
        <v>587</v>
      </c>
      <c r="S44" t="s">
        <v>547</v>
      </c>
      <c r="U44" t="s">
        <v>112</v>
      </c>
      <c r="V44" t="s">
        <v>698</v>
      </c>
      <c r="W44" t="s">
        <v>548</v>
      </c>
      <c r="X44" t="s">
        <v>666</v>
      </c>
    </row>
    <row r="45" spans="2:24" x14ac:dyDescent="0.45">
      <c r="B45" t="s">
        <v>158</v>
      </c>
      <c r="C45">
        <v>18.768502550816358</v>
      </c>
      <c r="D45">
        <v>204.60000000000002</v>
      </c>
      <c r="E45">
        <v>0.98884000000000005</v>
      </c>
      <c r="H45" t="s">
        <v>258</v>
      </c>
      <c r="I45" t="s">
        <v>245</v>
      </c>
      <c r="J45">
        <v>3.4487997519665198E-4</v>
      </c>
      <c r="K45" t="s">
        <v>243</v>
      </c>
      <c r="P45" t="s">
        <v>112</v>
      </c>
      <c r="Q45" t="s">
        <v>286</v>
      </c>
      <c r="R45" t="s">
        <v>588</v>
      </c>
      <c r="S45" t="s">
        <v>547</v>
      </c>
      <c r="U45" t="s">
        <v>112</v>
      </c>
      <c r="V45" t="s">
        <v>698</v>
      </c>
      <c r="W45" t="s">
        <v>648</v>
      </c>
      <c r="X45" t="s">
        <v>666</v>
      </c>
    </row>
    <row r="46" spans="2:24" x14ac:dyDescent="0.45">
      <c r="B46" t="s">
        <v>159</v>
      </c>
      <c r="C46">
        <v>10.948293154642874</v>
      </c>
      <c r="D46">
        <v>194.70000000000002</v>
      </c>
      <c r="E46">
        <v>0.98938000000000004</v>
      </c>
      <c r="H46" t="s">
        <v>259</v>
      </c>
      <c r="I46" t="s">
        <v>242</v>
      </c>
      <c r="J46">
        <v>2.1211050243411057E-2</v>
      </c>
      <c r="K46" t="s">
        <v>243</v>
      </c>
      <c r="P46" t="s">
        <v>112</v>
      </c>
      <c r="Q46" t="s">
        <v>287</v>
      </c>
      <c r="R46" t="s">
        <v>589</v>
      </c>
      <c r="S46" t="s">
        <v>547</v>
      </c>
      <c r="U46" t="s">
        <v>112</v>
      </c>
      <c r="V46" t="s">
        <v>699</v>
      </c>
      <c r="W46" t="s">
        <v>548</v>
      </c>
      <c r="X46" t="s">
        <v>666</v>
      </c>
    </row>
    <row r="47" spans="2:24" x14ac:dyDescent="0.45">
      <c r="B47" t="s">
        <v>160</v>
      </c>
      <c r="C47">
        <v>10.948293154642874</v>
      </c>
      <c r="D47">
        <v>134.20000000000002</v>
      </c>
      <c r="E47">
        <v>0.99268000000000001</v>
      </c>
      <c r="H47" t="s">
        <v>259</v>
      </c>
      <c r="I47" t="s">
        <v>244</v>
      </c>
      <c r="J47">
        <v>2.1211050243411057E-2</v>
      </c>
      <c r="K47" t="s">
        <v>243</v>
      </c>
      <c r="P47" t="s">
        <v>112</v>
      </c>
      <c r="Q47" t="s">
        <v>288</v>
      </c>
      <c r="R47" t="s">
        <v>590</v>
      </c>
      <c r="S47" t="s">
        <v>547</v>
      </c>
      <c r="U47" t="s">
        <v>112</v>
      </c>
      <c r="V47" t="s">
        <v>699</v>
      </c>
      <c r="W47" t="s">
        <v>648</v>
      </c>
      <c r="X47" t="s">
        <v>666</v>
      </c>
    </row>
    <row r="48" spans="2:24" x14ac:dyDescent="0.45">
      <c r="B48" t="s">
        <v>161</v>
      </c>
      <c r="C48">
        <v>10.087463903281142</v>
      </c>
      <c r="D48">
        <v>326.70000000000005</v>
      </c>
      <c r="E48">
        <v>0.98218000000000005</v>
      </c>
      <c r="H48" t="s">
        <v>259</v>
      </c>
      <c r="I48" t="s">
        <v>245</v>
      </c>
      <c r="J48">
        <v>2.1211050243411057E-2</v>
      </c>
      <c r="K48" t="s">
        <v>243</v>
      </c>
      <c r="P48" t="s">
        <v>112</v>
      </c>
      <c r="Q48" t="s">
        <v>289</v>
      </c>
      <c r="R48" t="s">
        <v>591</v>
      </c>
      <c r="S48" t="s">
        <v>547</v>
      </c>
      <c r="U48" t="s">
        <v>112</v>
      </c>
      <c r="V48" t="s">
        <v>700</v>
      </c>
      <c r="W48" t="s">
        <v>648</v>
      </c>
      <c r="X48" t="s">
        <v>666</v>
      </c>
    </row>
    <row r="49" spans="2:24" x14ac:dyDescent="0.45">
      <c r="B49" t="s">
        <v>162</v>
      </c>
      <c r="C49">
        <v>16.343631420219928</v>
      </c>
      <c r="D49">
        <v>92.4</v>
      </c>
      <c r="E49">
        <v>0.99495999999999996</v>
      </c>
      <c r="H49" t="s">
        <v>260</v>
      </c>
      <c r="I49" t="s">
        <v>242</v>
      </c>
      <c r="J49">
        <v>3.6889328746051043E-3</v>
      </c>
      <c r="K49" t="s">
        <v>243</v>
      </c>
      <c r="P49" t="s">
        <v>112</v>
      </c>
      <c r="Q49" t="s">
        <v>290</v>
      </c>
      <c r="R49" t="s">
        <v>592</v>
      </c>
      <c r="S49" t="s">
        <v>547</v>
      </c>
      <c r="U49" t="s">
        <v>112</v>
      </c>
      <c r="V49" t="s">
        <v>701</v>
      </c>
      <c r="W49" t="s">
        <v>648</v>
      </c>
      <c r="X49" t="s">
        <v>666</v>
      </c>
    </row>
    <row r="50" spans="2:24" x14ac:dyDescent="0.45">
      <c r="B50" t="s">
        <v>163</v>
      </c>
      <c r="C50">
        <v>15.131195854921708</v>
      </c>
      <c r="D50">
        <v>260.70000000000005</v>
      </c>
      <c r="E50">
        <v>0.98577999999999999</v>
      </c>
      <c r="H50" t="s">
        <v>260</v>
      </c>
      <c r="I50" t="s">
        <v>244</v>
      </c>
      <c r="J50">
        <v>3.6889328746051043E-3</v>
      </c>
      <c r="K50" t="s">
        <v>243</v>
      </c>
      <c r="P50" t="s">
        <v>112</v>
      </c>
      <c r="Q50" t="s">
        <v>291</v>
      </c>
      <c r="R50" t="s">
        <v>593</v>
      </c>
      <c r="S50" t="s">
        <v>547</v>
      </c>
      <c r="U50" t="s">
        <v>112</v>
      </c>
      <c r="V50" t="s">
        <v>702</v>
      </c>
      <c r="W50" t="s">
        <v>648</v>
      </c>
      <c r="X50" t="s">
        <v>666</v>
      </c>
    </row>
    <row r="51" spans="2:24" x14ac:dyDescent="0.45">
      <c r="B51" t="s">
        <v>164</v>
      </c>
      <c r="C51">
        <v>23.460628188520442</v>
      </c>
      <c r="D51">
        <v>90.2</v>
      </c>
      <c r="E51">
        <v>0.99507999999999996</v>
      </c>
      <c r="H51" t="s">
        <v>260</v>
      </c>
      <c r="I51" t="s">
        <v>245</v>
      </c>
      <c r="J51">
        <v>3.6889328746051043E-3</v>
      </c>
      <c r="K51" t="s">
        <v>243</v>
      </c>
      <c r="P51" t="s">
        <v>112</v>
      </c>
      <c r="Q51" t="s">
        <v>292</v>
      </c>
      <c r="R51" t="s">
        <v>594</v>
      </c>
      <c r="S51" t="s">
        <v>547</v>
      </c>
      <c r="U51" t="s">
        <v>112</v>
      </c>
      <c r="V51" t="s">
        <v>702</v>
      </c>
      <c r="W51" t="s">
        <v>548</v>
      </c>
      <c r="X51" t="s">
        <v>547</v>
      </c>
    </row>
    <row r="52" spans="2:24" x14ac:dyDescent="0.45">
      <c r="B52" t="s">
        <v>165</v>
      </c>
      <c r="C52">
        <v>6.2561675169387847</v>
      </c>
      <c r="D52">
        <v>130.9</v>
      </c>
      <c r="E52">
        <v>0.99285999999999996</v>
      </c>
      <c r="H52" t="s">
        <v>261</v>
      </c>
      <c r="I52" t="s">
        <v>242</v>
      </c>
      <c r="J52">
        <v>1.2489417127963511E-2</v>
      </c>
      <c r="K52" t="s">
        <v>243</v>
      </c>
      <c r="P52" t="s">
        <v>112</v>
      </c>
      <c r="Q52" t="s">
        <v>293</v>
      </c>
      <c r="R52" t="s">
        <v>595</v>
      </c>
      <c r="S52" t="s">
        <v>547</v>
      </c>
      <c r="U52" t="s">
        <v>112</v>
      </c>
      <c r="V52" t="s">
        <v>703</v>
      </c>
      <c r="W52" t="s">
        <v>648</v>
      </c>
      <c r="X52" t="s">
        <v>666</v>
      </c>
    </row>
    <row r="53" spans="2:24" x14ac:dyDescent="0.45">
      <c r="B53" t="s">
        <v>166</v>
      </c>
      <c r="C53">
        <v>47.466852381425085</v>
      </c>
      <c r="D53">
        <v>69.300000000000011</v>
      </c>
      <c r="E53">
        <v>0.99621999999999999</v>
      </c>
      <c r="H53" t="s">
        <v>261</v>
      </c>
      <c r="I53" t="s">
        <v>244</v>
      </c>
      <c r="J53">
        <v>1.2489417127963511E-2</v>
      </c>
      <c r="K53" t="s">
        <v>243</v>
      </c>
      <c r="P53" t="s">
        <v>112</v>
      </c>
      <c r="Q53" t="s">
        <v>294</v>
      </c>
      <c r="R53" t="s">
        <v>596</v>
      </c>
      <c r="S53" t="s">
        <v>547</v>
      </c>
      <c r="U53" t="s">
        <v>112</v>
      </c>
      <c r="V53" t="s">
        <v>703</v>
      </c>
      <c r="W53" t="s">
        <v>548</v>
      </c>
      <c r="X53" t="s">
        <v>547</v>
      </c>
    </row>
    <row r="54" spans="2:24" x14ac:dyDescent="0.45">
      <c r="B54" t="s">
        <v>167</v>
      </c>
      <c r="C54">
        <v>15.640418792346964</v>
      </c>
      <c r="D54">
        <v>82.5</v>
      </c>
      <c r="E54">
        <v>0.99550000000000005</v>
      </c>
      <c r="H54" t="s">
        <v>261</v>
      </c>
      <c r="I54" t="s">
        <v>245</v>
      </c>
      <c r="J54">
        <v>1.2489417127963511E-2</v>
      </c>
      <c r="K54" t="s">
        <v>243</v>
      </c>
      <c r="P54" t="s">
        <v>112</v>
      </c>
      <c r="Q54" t="s">
        <v>295</v>
      </c>
      <c r="R54" t="s">
        <v>597</v>
      </c>
      <c r="S54" t="s">
        <v>547</v>
      </c>
      <c r="U54" t="s">
        <v>112</v>
      </c>
      <c r="V54" t="s">
        <v>704</v>
      </c>
      <c r="W54" t="s">
        <v>549</v>
      </c>
      <c r="X54" t="s">
        <v>666</v>
      </c>
    </row>
    <row r="55" spans="2:24" x14ac:dyDescent="0.45">
      <c r="B55" t="s">
        <v>168</v>
      </c>
      <c r="C55">
        <v>7.8202093961734818</v>
      </c>
      <c r="D55">
        <v>233.20000000000002</v>
      </c>
      <c r="E55">
        <v>0.98728000000000005</v>
      </c>
      <c r="H55" t="s">
        <v>262</v>
      </c>
      <c r="I55" t="s">
        <v>242</v>
      </c>
      <c r="J55">
        <v>9.6442343160286191E-4</v>
      </c>
      <c r="K55" t="s">
        <v>243</v>
      </c>
      <c r="P55" t="s">
        <v>112</v>
      </c>
      <c r="Q55" t="s">
        <v>296</v>
      </c>
      <c r="R55" t="s">
        <v>598</v>
      </c>
      <c r="S55" t="s">
        <v>547</v>
      </c>
      <c r="U55" t="s">
        <v>112</v>
      </c>
      <c r="V55" t="s">
        <v>705</v>
      </c>
      <c r="W55" t="s">
        <v>549</v>
      </c>
      <c r="X55" t="s">
        <v>666</v>
      </c>
    </row>
    <row r="56" spans="2:24" x14ac:dyDescent="0.45">
      <c r="B56" t="s">
        <v>169</v>
      </c>
      <c r="C56">
        <v>6.2561675169387847</v>
      </c>
      <c r="D56">
        <v>159.5</v>
      </c>
      <c r="E56">
        <v>0.99129999999999996</v>
      </c>
      <c r="H56" t="s">
        <v>262</v>
      </c>
      <c r="I56" t="s">
        <v>244</v>
      </c>
      <c r="J56">
        <v>9.6442343160286191E-4</v>
      </c>
      <c r="K56" t="s">
        <v>243</v>
      </c>
      <c r="P56" t="s">
        <v>112</v>
      </c>
      <c r="Q56" t="s">
        <v>297</v>
      </c>
      <c r="R56" t="s">
        <v>599</v>
      </c>
      <c r="S56" t="s">
        <v>547</v>
      </c>
      <c r="U56" t="s">
        <v>112</v>
      </c>
      <c r="V56" t="s">
        <v>706</v>
      </c>
      <c r="W56" t="s">
        <v>549</v>
      </c>
      <c r="X56" t="s">
        <v>666</v>
      </c>
    </row>
    <row r="57" spans="2:24" x14ac:dyDescent="0.45">
      <c r="B57" t="s">
        <v>170</v>
      </c>
      <c r="C57">
        <v>10.948293154642874</v>
      </c>
      <c r="D57">
        <v>134.20000000000002</v>
      </c>
      <c r="E57">
        <v>0.99268000000000001</v>
      </c>
      <c r="H57" t="s">
        <v>262</v>
      </c>
      <c r="I57" t="s">
        <v>245</v>
      </c>
      <c r="J57">
        <v>9.6442343160286191E-4</v>
      </c>
      <c r="K57" t="s">
        <v>243</v>
      </c>
      <c r="P57" t="s">
        <v>112</v>
      </c>
      <c r="Q57" t="s">
        <v>298</v>
      </c>
      <c r="R57" t="s">
        <v>600</v>
      </c>
      <c r="S57" t="s">
        <v>547</v>
      </c>
      <c r="U57" t="s">
        <v>112</v>
      </c>
      <c r="V57" t="s">
        <v>707</v>
      </c>
      <c r="W57" t="s">
        <v>549</v>
      </c>
      <c r="X57" t="s">
        <v>666</v>
      </c>
    </row>
    <row r="58" spans="2:24" x14ac:dyDescent="0.45">
      <c r="B58" t="s">
        <v>171</v>
      </c>
      <c r="C58">
        <v>6.2561675169387847</v>
      </c>
      <c r="D58">
        <v>103.4</v>
      </c>
      <c r="E58">
        <v>0.99436000000000002</v>
      </c>
      <c r="H58" t="s">
        <v>263</v>
      </c>
      <c r="I58" t="s">
        <v>242</v>
      </c>
      <c r="J58">
        <v>5.0671000109406873E-3</v>
      </c>
      <c r="K58" t="s">
        <v>243</v>
      </c>
      <c r="P58" t="s">
        <v>112</v>
      </c>
      <c r="Q58" t="s">
        <v>299</v>
      </c>
      <c r="R58" t="s">
        <v>601</v>
      </c>
      <c r="S58" t="s">
        <v>547</v>
      </c>
      <c r="U58" t="s">
        <v>112</v>
      </c>
      <c r="V58" t="s">
        <v>708</v>
      </c>
      <c r="W58" t="s">
        <v>549</v>
      </c>
      <c r="X58" t="s">
        <v>666</v>
      </c>
    </row>
    <row r="59" spans="2:24" x14ac:dyDescent="0.45">
      <c r="B59" t="s">
        <v>172</v>
      </c>
      <c r="C59">
        <v>12.512335033877569</v>
      </c>
      <c r="D59">
        <v>46.2</v>
      </c>
      <c r="E59">
        <v>0.99748000000000003</v>
      </c>
      <c r="H59" t="s">
        <v>263</v>
      </c>
      <c r="I59" t="s">
        <v>244</v>
      </c>
      <c r="J59">
        <v>5.0671000109406873E-3</v>
      </c>
      <c r="K59" t="s">
        <v>243</v>
      </c>
      <c r="P59" t="s">
        <v>112</v>
      </c>
      <c r="Q59" t="s">
        <v>300</v>
      </c>
      <c r="R59" t="s">
        <v>602</v>
      </c>
      <c r="S59" t="s">
        <v>547</v>
      </c>
      <c r="U59" t="s">
        <v>112</v>
      </c>
      <c r="V59" t="s">
        <v>709</v>
      </c>
      <c r="W59" t="s">
        <v>549</v>
      </c>
      <c r="X59" t="s">
        <v>666</v>
      </c>
    </row>
    <row r="60" spans="2:24" x14ac:dyDescent="0.45">
      <c r="B60" t="s">
        <v>173</v>
      </c>
      <c r="C60">
        <v>14.779589540985228</v>
      </c>
      <c r="D60">
        <v>171.60000000000002</v>
      </c>
      <c r="E60">
        <v>0.99063999999999997</v>
      </c>
      <c r="H60" t="s">
        <v>263</v>
      </c>
      <c r="I60" t="s">
        <v>245</v>
      </c>
      <c r="J60">
        <v>5.0671000109406873E-3</v>
      </c>
      <c r="K60" t="s">
        <v>243</v>
      </c>
      <c r="P60" t="s">
        <v>112</v>
      </c>
      <c r="Q60" t="s">
        <v>470</v>
      </c>
      <c r="R60" t="s">
        <v>603</v>
      </c>
      <c r="S60" t="s">
        <v>547</v>
      </c>
      <c r="U60" t="s">
        <v>112</v>
      </c>
      <c r="V60" t="s">
        <v>710</v>
      </c>
      <c r="W60" t="s">
        <v>549</v>
      </c>
      <c r="X60" t="s">
        <v>666</v>
      </c>
    </row>
    <row r="61" spans="2:24" x14ac:dyDescent="0.45">
      <c r="B61" t="s">
        <v>174</v>
      </c>
      <c r="C61">
        <v>3.1280837584693924</v>
      </c>
      <c r="D61">
        <v>17.600000000000001</v>
      </c>
      <c r="E61">
        <v>0.99904000000000004</v>
      </c>
      <c r="H61" t="s">
        <v>264</v>
      </c>
      <c r="I61" t="s">
        <v>242</v>
      </c>
      <c r="J61">
        <v>6.9898960424319319E-3</v>
      </c>
      <c r="K61" t="s">
        <v>243</v>
      </c>
      <c r="P61" t="s">
        <v>112</v>
      </c>
      <c r="Q61" t="s">
        <v>471</v>
      </c>
      <c r="R61" t="s">
        <v>604</v>
      </c>
      <c r="S61" t="s">
        <v>547</v>
      </c>
      <c r="U61" t="s">
        <v>112</v>
      </c>
      <c r="V61" t="s">
        <v>711</v>
      </c>
      <c r="W61" t="s">
        <v>549</v>
      </c>
      <c r="X61" t="s">
        <v>666</v>
      </c>
    </row>
    <row r="62" spans="2:24" x14ac:dyDescent="0.45">
      <c r="B62" t="s">
        <v>175</v>
      </c>
      <c r="C62">
        <v>28.152753826224533</v>
      </c>
      <c r="D62">
        <v>80.300000000000011</v>
      </c>
      <c r="E62">
        <v>0.99561999999999995</v>
      </c>
      <c r="H62" t="s">
        <v>264</v>
      </c>
      <c r="I62" t="s">
        <v>244</v>
      </c>
      <c r="J62">
        <v>6.9898960424319319E-3</v>
      </c>
      <c r="K62" t="s">
        <v>243</v>
      </c>
      <c r="P62" t="s">
        <v>112</v>
      </c>
      <c r="Q62" t="s">
        <v>472</v>
      </c>
      <c r="R62" t="s">
        <v>605</v>
      </c>
      <c r="S62" t="s">
        <v>547</v>
      </c>
      <c r="U62" t="s">
        <v>112</v>
      </c>
      <c r="V62" t="s">
        <v>712</v>
      </c>
      <c r="W62" t="s">
        <v>549</v>
      </c>
      <c r="X62" t="s">
        <v>666</v>
      </c>
    </row>
    <row r="63" spans="2:24" x14ac:dyDescent="0.45">
      <c r="B63" t="s">
        <v>176</v>
      </c>
      <c r="C63">
        <v>28.855966454097494</v>
      </c>
      <c r="D63">
        <v>47.300000000000004</v>
      </c>
      <c r="E63">
        <v>0.99741999999999997</v>
      </c>
      <c r="H63" t="s">
        <v>264</v>
      </c>
      <c r="I63" t="s">
        <v>245</v>
      </c>
      <c r="J63">
        <v>6.9898960424319319E-3</v>
      </c>
      <c r="K63" t="s">
        <v>243</v>
      </c>
      <c r="P63" t="s">
        <v>112</v>
      </c>
      <c r="Q63" t="s">
        <v>301</v>
      </c>
      <c r="R63" t="s">
        <v>546</v>
      </c>
      <c r="S63" t="s">
        <v>547</v>
      </c>
      <c r="U63" t="s">
        <v>112</v>
      </c>
      <c r="V63" t="s">
        <v>713</v>
      </c>
      <c r="W63" t="s">
        <v>549</v>
      </c>
      <c r="X63" t="s">
        <v>666</v>
      </c>
    </row>
    <row r="64" spans="2:24" x14ac:dyDescent="0.45">
      <c r="B64" t="s">
        <v>177</v>
      </c>
      <c r="C64">
        <v>12.512335033877569</v>
      </c>
      <c r="D64">
        <v>68.2</v>
      </c>
      <c r="E64">
        <v>0.99628000000000005</v>
      </c>
      <c r="H64" t="s">
        <v>265</v>
      </c>
      <c r="I64" t="s">
        <v>242</v>
      </c>
      <c r="J64">
        <v>1.2223340756300939E-2</v>
      </c>
      <c r="K64" t="s">
        <v>243</v>
      </c>
      <c r="P64" t="s">
        <v>112</v>
      </c>
      <c r="Q64" t="s">
        <v>302</v>
      </c>
      <c r="R64" t="s">
        <v>548</v>
      </c>
      <c r="S64" t="s">
        <v>547</v>
      </c>
      <c r="U64" t="s">
        <v>112</v>
      </c>
      <c r="V64" t="s">
        <v>714</v>
      </c>
      <c r="W64" t="s">
        <v>549</v>
      </c>
      <c r="X64" t="s">
        <v>666</v>
      </c>
    </row>
    <row r="65" spans="2:24" x14ac:dyDescent="0.45">
      <c r="B65" t="s">
        <v>178</v>
      </c>
      <c r="C65">
        <v>30.420008333332191</v>
      </c>
      <c r="D65">
        <v>55.000000000000007</v>
      </c>
      <c r="E65">
        <v>0.997</v>
      </c>
      <c r="H65" t="s">
        <v>265</v>
      </c>
      <c r="I65" t="s">
        <v>244</v>
      </c>
      <c r="J65">
        <v>1.2223340756300939E-2</v>
      </c>
      <c r="K65" t="s">
        <v>243</v>
      </c>
      <c r="P65" t="s">
        <v>112</v>
      </c>
      <c r="Q65" t="s">
        <v>303</v>
      </c>
      <c r="R65" t="s">
        <v>549</v>
      </c>
      <c r="S65" t="s">
        <v>547</v>
      </c>
      <c r="U65" t="s">
        <v>112</v>
      </c>
      <c r="V65" t="s">
        <v>715</v>
      </c>
      <c r="W65" t="s">
        <v>549</v>
      </c>
      <c r="X65" t="s">
        <v>666</v>
      </c>
    </row>
    <row r="66" spans="2:24" x14ac:dyDescent="0.45">
      <c r="B66" t="s">
        <v>179</v>
      </c>
      <c r="C66">
        <v>22.599798937158713</v>
      </c>
      <c r="D66">
        <v>70.400000000000006</v>
      </c>
      <c r="E66">
        <v>0.99616000000000005</v>
      </c>
      <c r="H66" t="s">
        <v>265</v>
      </c>
      <c r="I66" t="s">
        <v>245</v>
      </c>
      <c r="J66">
        <v>1.2223340756300939E-2</v>
      </c>
      <c r="K66" t="s">
        <v>243</v>
      </c>
      <c r="P66" t="s">
        <v>112</v>
      </c>
      <c r="Q66" t="s">
        <v>304</v>
      </c>
      <c r="R66" t="s">
        <v>550</v>
      </c>
      <c r="S66" t="s">
        <v>547</v>
      </c>
      <c r="U66" t="s">
        <v>112</v>
      </c>
      <c r="V66" t="s">
        <v>715</v>
      </c>
      <c r="W66" t="s">
        <v>637</v>
      </c>
      <c r="X66" t="s">
        <v>666</v>
      </c>
    </row>
    <row r="67" spans="2:24" x14ac:dyDescent="0.45">
      <c r="B67" t="s">
        <v>180</v>
      </c>
      <c r="C67">
        <v>12.512335033877569</v>
      </c>
      <c r="D67">
        <v>127.60000000000001</v>
      </c>
      <c r="E67">
        <v>0.99304000000000003</v>
      </c>
      <c r="H67" t="s">
        <v>266</v>
      </c>
      <c r="I67" t="s">
        <v>242</v>
      </c>
      <c r="J67">
        <v>3.6642379503561999E-3</v>
      </c>
      <c r="K67" t="s">
        <v>243</v>
      </c>
      <c r="P67" t="s">
        <v>112</v>
      </c>
      <c r="Q67" t="s">
        <v>305</v>
      </c>
      <c r="R67" t="s">
        <v>551</v>
      </c>
      <c r="S67" t="s">
        <v>547</v>
      </c>
      <c r="U67" t="s">
        <v>112</v>
      </c>
      <c r="V67" t="s">
        <v>716</v>
      </c>
      <c r="W67" t="s">
        <v>549</v>
      </c>
      <c r="X67" t="s">
        <v>666</v>
      </c>
    </row>
    <row r="68" spans="2:24" x14ac:dyDescent="0.45">
      <c r="B68" t="s">
        <v>181</v>
      </c>
      <c r="C68">
        <v>26.479592746112989</v>
      </c>
      <c r="D68">
        <v>237.60000000000002</v>
      </c>
      <c r="E68">
        <v>0.98704000000000003</v>
      </c>
      <c r="H68" t="s">
        <v>266</v>
      </c>
      <c r="I68" t="s">
        <v>244</v>
      </c>
      <c r="J68">
        <v>3.6642379503561999E-3</v>
      </c>
      <c r="K68" t="s">
        <v>243</v>
      </c>
      <c r="P68" t="s">
        <v>112</v>
      </c>
      <c r="Q68" t="s">
        <v>306</v>
      </c>
      <c r="R68" t="s">
        <v>552</v>
      </c>
      <c r="S68" t="s">
        <v>547</v>
      </c>
      <c r="U68" t="s">
        <v>112</v>
      </c>
      <c r="V68" t="s">
        <v>716</v>
      </c>
      <c r="W68" t="s">
        <v>637</v>
      </c>
      <c r="X68" t="s">
        <v>666</v>
      </c>
    </row>
    <row r="69" spans="2:24" x14ac:dyDescent="0.45">
      <c r="B69" t="s">
        <v>182</v>
      </c>
      <c r="C69">
        <v>3.1280837584693924</v>
      </c>
      <c r="D69">
        <v>114.4</v>
      </c>
      <c r="E69">
        <v>0.99375999999999998</v>
      </c>
      <c r="H69" t="s">
        <v>266</v>
      </c>
      <c r="I69" t="s">
        <v>245</v>
      </c>
      <c r="J69">
        <v>3.6642379503561999E-3</v>
      </c>
      <c r="K69" t="s">
        <v>243</v>
      </c>
      <c r="P69" t="s">
        <v>112</v>
      </c>
      <c r="Q69" t="s">
        <v>307</v>
      </c>
      <c r="R69" t="s">
        <v>553</v>
      </c>
      <c r="S69" t="s">
        <v>547</v>
      </c>
      <c r="U69" t="s">
        <v>112</v>
      </c>
      <c r="V69" t="s">
        <v>717</v>
      </c>
      <c r="W69" t="s">
        <v>549</v>
      </c>
      <c r="X69" t="s">
        <v>666</v>
      </c>
    </row>
    <row r="70" spans="2:24" x14ac:dyDescent="0.45">
      <c r="B70" t="s">
        <v>183</v>
      </c>
      <c r="C70">
        <v>3.1280837584693924</v>
      </c>
      <c r="D70">
        <v>66</v>
      </c>
      <c r="E70">
        <v>0.99639999999999995</v>
      </c>
      <c r="H70" t="s">
        <v>267</v>
      </c>
      <c r="I70" t="s">
        <v>242</v>
      </c>
      <c r="J70">
        <v>1.1327484701196917E-2</v>
      </c>
      <c r="K70" t="s">
        <v>243</v>
      </c>
      <c r="P70" t="s">
        <v>112</v>
      </c>
      <c r="Q70" t="s">
        <v>308</v>
      </c>
      <c r="R70" t="s">
        <v>554</v>
      </c>
      <c r="S70" t="s">
        <v>547</v>
      </c>
      <c r="U70" t="s">
        <v>112</v>
      </c>
      <c r="V70" t="s">
        <v>717</v>
      </c>
      <c r="W70" t="s">
        <v>637</v>
      </c>
      <c r="X70" t="s">
        <v>666</v>
      </c>
    </row>
    <row r="71" spans="2:24" x14ac:dyDescent="0.45">
      <c r="B71" t="s">
        <v>184</v>
      </c>
      <c r="C71">
        <v>9.3842512754081788</v>
      </c>
      <c r="D71">
        <v>70.400000000000006</v>
      </c>
      <c r="E71">
        <v>0.99616000000000005</v>
      </c>
      <c r="H71" t="s">
        <v>267</v>
      </c>
      <c r="I71" t="s">
        <v>244</v>
      </c>
      <c r="J71">
        <v>1.1327484701196917E-2</v>
      </c>
      <c r="K71" t="s">
        <v>243</v>
      </c>
      <c r="P71" t="s">
        <v>112</v>
      </c>
      <c r="Q71" t="s">
        <v>309</v>
      </c>
      <c r="R71" t="s">
        <v>555</v>
      </c>
      <c r="S71" t="s">
        <v>547</v>
      </c>
      <c r="U71" t="s">
        <v>112</v>
      </c>
      <c r="V71" t="s">
        <v>718</v>
      </c>
      <c r="W71" t="s">
        <v>549</v>
      </c>
      <c r="X71" t="s">
        <v>666</v>
      </c>
    </row>
    <row r="72" spans="2:24" x14ac:dyDescent="0.45">
      <c r="B72" t="s">
        <v>185</v>
      </c>
      <c r="C72">
        <v>7.8202093961734818</v>
      </c>
      <c r="D72">
        <v>124.30000000000001</v>
      </c>
      <c r="E72">
        <v>0.99321999999999999</v>
      </c>
      <c r="H72" t="s">
        <v>267</v>
      </c>
      <c r="I72" t="s">
        <v>245</v>
      </c>
      <c r="J72">
        <v>1.1327484701196917E-2</v>
      </c>
      <c r="K72" t="s">
        <v>243</v>
      </c>
      <c r="P72" t="s">
        <v>112</v>
      </c>
      <c r="Q72" t="s">
        <v>310</v>
      </c>
      <c r="R72" t="s">
        <v>556</v>
      </c>
      <c r="S72" t="s">
        <v>547</v>
      </c>
      <c r="U72" t="s">
        <v>112</v>
      </c>
      <c r="V72" t="s">
        <v>718</v>
      </c>
      <c r="W72" t="s">
        <v>637</v>
      </c>
      <c r="X72" t="s">
        <v>666</v>
      </c>
    </row>
    <row r="73" spans="2:24" x14ac:dyDescent="0.45">
      <c r="B73" t="s">
        <v>186</v>
      </c>
      <c r="C73">
        <v>17.907673299454625</v>
      </c>
      <c r="D73">
        <v>128.70000000000002</v>
      </c>
      <c r="E73">
        <v>0.99297999999999997</v>
      </c>
      <c r="H73" t="s">
        <v>268</v>
      </c>
      <c r="I73" t="s">
        <v>242</v>
      </c>
      <c r="J73">
        <v>1.4820510785805061E-3</v>
      </c>
      <c r="K73" t="s">
        <v>243</v>
      </c>
      <c r="P73" t="s">
        <v>112</v>
      </c>
      <c r="Q73" t="s">
        <v>311</v>
      </c>
      <c r="R73" t="s">
        <v>557</v>
      </c>
      <c r="S73" t="s">
        <v>547</v>
      </c>
      <c r="U73" t="s">
        <v>112</v>
      </c>
      <c r="V73" t="s">
        <v>719</v>
      </c>
      <c r="W73" t="s">
        <v>637</v>
      </c>
      <c r="X73" t="s">
        <v>666</v>
      </c>
    </row>
    <row r="74" spans="2:24" x14ac:dyDescent="0.45">
      <c r="B74" t="s">
        <v>187</v>
      </c>
      <c r="C74">
        <v>18.768502550816358</v>
      </c>
      <c r="D74">
        <v>100.10000000000001</v>
      </c>
      <c r="E74">
        <v>0.99453999999999998</v>
      </c>
      <c r="H74" t="s">
        <v>268</v>
      </c>
      <c r="I74" t="s">
        <v>244</v>
      </c>
      <c r="J74">
        <v>1.4820510785805061E-3</v>
      </c>
      <c r="K74" t="s">
        <v>243</v>
      </c>
      <c r="P74" t="s">
        <v>112</v>
      </c>
      <c r="Q74" t="s">
        <v>312</v>
      </c>
      <c r="R74" t="s">
        <v>558</v>
      </c>
      <c r="S74" t="s">
        <v>547</v>
      </c>
      <c r="U74" t="s">
        <v>112</v>
      </c>
      <c r="V74" t="s">
        <v>720</v>
      </c>
      <c r="W74" t="s">
        <v>637</v>
      </c>
      <c r="X74" t="s">
        <v>666</v>
      </c>
    </row>
    <row r="75" spans="2:24" x14ac:dyDescent="0.45">
      <c r="B75" t="s">
        <v>188</v>
      </c>
      <c r="C75">
        <v>31.123220961205156</v>
      </c>
      <c r="D75">
        <v>116.60000000000001</v>
      </c>
      <c r="E75">
        <v>0.99363999999999997</v>
      </c>
      <c r="H75" t="s">
        <v>268</v>
      </c>
      <c r="I75" t="s">
        <v>245</v>
      </c>
      <c r="J75">
        <v>1.4820510785805061E-3</v>
      </c>
      <c r="K75" t="s">
        <v>243</v>
      </c>
      <c r="P75" t="s">
        <v>112</v>
      </c>
      <c r="Q75" t="s">
        <v>313</v>
      </c>
      <c r="R75" t="s">
        <v>559</v>
      </c>
      <c r="S75" t="s">
        <v>547</v>
      </c>
      <c r="U75" t="s">
        <v>112</v>
      </c>
      <c r="V75" t="s">
        <v>721</v>
      </c>
      <c r="W75" t="s">
        <v>637</v>
      </c>
      <c r="X75" t="s">
        <v>666</v>
      </c>
    </row>
    <row r="76" spans="2:24" x14ac:dyDescent="0.45">
      <c r="B76" t="s">
        <v>189</v>
      </c>
      <c r="C76">
        <v>20.332544430051055</v>
      </c>
      <c r="D76">
        <v>100.10000000000001</v>
      </c>
      <c r="E76">
        <v>0.99453999999999998</v>
      </c>
      <c r="H76" t="s">
        <v>269</v>
      </c>
      <c r="I76" t="s">
        <v>242</v>
      </c>
      <c r="J76">
        <v>3.1849535560118332E-2</v>
      </c>
      <c r="K76" t="s">
        <v>243</v>
      </c>
      <c r="P76" t="s">
        <v>112</v>
      </c>
      <c r="Q76" t="s">
        <v>314</v>
      </c>
      <c r="R76" t="s">
        <v>560</v>
      </c>
      <c r="S76" t="s">
        <v>547</v>
      </c>
      <c r="U76" t="s">
        <v>112</v>
      </c>
      <c r="V76" t="s">
        <v>721</v>
      </c>
      <c r="W76" t="s">
        <v>549</v>
      </c>
      <c r="X76" t="s">
        <v>547</v>
      </c>
    </row>
    <row r="77" spans="2:24" x14ac:dyDescent="0.45">
      <c r="B77" t="s">
        <v>190</v>
      </c>
      <c r="C77">
        <v>4.6921256377040894</v>
      </c>
      <c r="D77">
        <v>143</v>
      </c>
      <c r="E77">
        <v>0.99219999999999997</v>
      </c>
      <c r="H77" t="s">
        <v>269</v>
      </c>
      <c r="I77" t="s">
        <v>244</v>
      </c>
      <c r="J77">
        <v>3.1849535560118332E-2</v>
      </c>
      <c r="K77" t="s">
        <v>243</v>
      </c>
      <c r="P77" t="s">
        <v>112</v>
      </c>
      <c r="Q77" t="s">
        <v>315</v>
      </c>
      <c r="R77" t="s">
        <v>561</v>
      </c>
      <c r="S77" t="s">
        <v>547</v>
      </c>
      <c r="U77" t="s">
        <v>112</v>
      </c>
      <c r="V77" t="s">
        <v>722</v>
      </c>
      <c r="W77" t="s">
        <v>637</v>
      </c>
      <c r="X77" t="s">
        <v>666</v>
      </c>
    </row>
    <row r="78" spans="2:24" x14ac:dyDescent="0.45">
      <c r="B78" t="s">
        <v>191</v>
      </c>
      <c r="C78">
        <v>16.343631420219925</v>
      </c>
      <c r="D78">
        <v>82.5</v>
      </c>
      <c r="E78">
        <v>0.99550000000000005</v>
      </c>
      <c r="H78" t="s">
        <v>269</v>
      </c>
      <c r="I78" t="s">
        <v>245</v>
      </c>
      <c r="J78">
        <v>3.1849535560118332E-2</v>
      </c>
      <c r="K78" t="s">
        <v>243</v>
      </c>
      <c r="P78" t="s">
        <v>112</v>
      </c>
      <c r="Q78" t="s">
        <v>316</v>
      </c>
      <c r="R78" t="s">
        <v>562</v>
      </c>
      <c r="S78" t="s">
        <v>547</v>
      </c>
      <c r="U78" t="s">
        <v>112</v>
      </c>
      <c r="V78" t="s">
        <v>722</v>
      </c>
      <c r="W78" t="s">
        <v>549</v>
      </c>
      <c r="X78" t="s">
        <v>547</v>
      </c>
    </row>
    <row r="79" spans="2:24" x14ac:dyDescent="0.45">
      <c r="B79" t="s">
        <v>192</v>
      </c>
      <c r="C79">
        <v>11.651505782515837</v>
      </c>
      <c r="D79">
        <v>195.8</v>
      </c>
      <c r="E79">
        <v>0.98931999999999998</v>
      </c>
      <c r="H79" t="s">
        <v>270</v>
      </c>
      <c r="I79" t="s">
        <v>242</v>
      </c>
      <c r="J79">
        <v>1.0749580589744135E-2</v>
      </c>
      <c r="K79" t="s">
        <v>243</v>
      </c>
      <c r="P79" t="s">
        <v>112</v>
      </c>
      <c r="Q79" t="s">
        <v>317</v>
      </c>
      <c r="R79" t="s">
        <v>563</v>
      </c>
      <c r="S79" t="s">
        <v>547</v>
      </c>
      <c r="U79" t="s">
        <v>112</v>
      </c>
      <c r="V79" t="s">
        <v>723</v>
      </c>
      <c r="W79" t="s">
        <v>550</v>
      </c>
      <c r="X79" t="s">
        <v>666</v>
      </c>
    </row>
    <row r="80" spans="2:24" x14ac:dyDescent="0.45">
      <c r="B80" t="s">
        <v>193</v>
      </c>
      <c r="C80">
        <v>12.512335033877569</v>
      </c>
      <c r="D80">
        <v>177.10000000000002</v>
      </c>
      <c r="E80">
        <v>0.99034</v>
      </c>
      <c r="H80" t="s">
        <v>270</v>
      </c>
      <c r="I80" t="s">
        <v>244</v>
      </c>
      <c r="J80">
        <v>1.0749580589744135E-2</v>
      </c>
      <c r="K80" t="s">
        <v>243</v>
      </c>
      <c r="P80" t="s">
        <v>112</v>
      </c>
      <c r="Q80" t="s">
        <v>318</v>
      </c>
      <c r="R80" t="s">
        <v>564</v>
      </c>
      <c r="S80" t="s">
        <v>547</v>
      </c>
      <c r="U80" t="s">
        <v>112</v>
      </c>
      <c r="V80" t="s">
        <v>724</v>
      </c>
      <c r="W80" t="s">
        <v>550</v>
      </c>
      <c r="X80" t="s">
        <v>666</v>
      </c>
    </row>
    <row r="81" spans="2:24" x14ac:dyDescent="0.45">
      <c r="B81" t="s">
        <v>194</v>
      </c>
      <c r="C81">
        <v>3.1280837584693924</v>
      </c>
      <c r="D81">
        <v>234.3</v>
      </c>
      <c r="E81">
        <v>0.98721999999999999</v>
      </c>
      <c r="H81" t="s">
        <v>270</v>
      </c>
      <c r="I81" t="s">
        <v>245</v>
      </c>
      <c r="J81">
        <v>1.0749580589744135E-2</v>
      </c>
      <c r="K81" t="s">
        <v>243</v>
      </c>
      <c r="P81" t="s">
        <v>112</v>
      </c>
      <c r="Q81" t="s">
        <v>319</v>
      </c>
      <c r="R81" t="s">
        <v>565</v>
      </c>
      <c r="S81" t="s">
        <v>547</v>
      </c>
      <c r="U81" t="s">
        <v>112</v>
      </c>
      <c r="V81" t="s">
        <v>725</v>
      </c>
      <c r="W81" t="s">
        <v>550</v>
      </c>
      <c r="X81" t="s">
        <v>666</v>
      </c>
    </row>
    <row r="82" spans="2:24" x14ac:dyDescent="0.45">
      <c r="B82" t="s">
        <v>195</v>
      </c>
      <c r="C82">
        <v>10.948293154642874</v>
      </c>
      <c r="D82">
        <v>64.900000000000006</v>
      </c>
      <c r="E82">
        <v>0.99646000000000001</v>
      </c>
      <c r="H82" t="s">
        <v>271</v>
      </c>
      <c r="I82" t="s">
        <v>242</v>
      </c>
      <c r="J82">
        <v>3.3808993441267837E-2</v>
      </c>
      <c r="K82" t="s">
        <v>243</v>
      </c>
      <c r="P82" t="s">
        <v>112</v>
      </c>
      <c r="Q82" t="s">
        <v>320</v>
      </c>
      <c r="R82" t="s">
        <v>566</v>
      </c>
      <c r="S82" t="s">
        <v>547</v>
      </c>
      <c r="U82" t="s">
        <v>112</v>
      </c>
      <c r="V82" t="s">
        <v>726</v>
      </c>
      <c r="W82" t="s">
        <v>550</v>
      </c>
      <c r="X82" t="s">
        <v>666</v>
      </c>
    </row>
    <row r="83" spans="2:24" x14ac:dyDescent="0.45">
      <c r="B83" t="s">
        <v>196</v>
      </c>
      <c r="C83">
        <v>22.599798937158713</v>
      </c>
      <c r="D83">
        <v>67.100000000000009</v>
      </c>
      <c r="E83">
        <v>0.99634</v>
      </c>
      <c r="H83" t="s">
        <v>271</v>
      </c>
      <c r="I83" t="s">
        <v>244</v>
      </c>
      <c r="J83">
        <v>3.3808993441267837E-2</v>
      </c>
      <c r="K83" t="s">
        <v>243</v>
      </c>
      <c r="P83" t="s">
        <v>112</v>
      </c>
      <c r="Q83" t="s">
        <v>321</v>
      </c>
      <c r="R83" t="s">
        <v>567</v>
      </c>
      <c r="S83" t="s">
        <v>547</v>
      </c>
      <c r="U83" t="s">
        <v>112</v>
      </c>
      <c r="V83" t="s">
        <v>727</v>
      </c>
      <c r="W83" t="s">
        <v>550</v>
      </c>
      <c r="X83" t="s">
        <v>666</v>
      </c>
    </row>
    <row r="84" spans="2:24" x14ac:dyDescent="0.45">
      <c r="B84" t="s">
        <v>197</v>
      </c>
      <c r="C84">
        <v>3.1280837584693924</v>
      </c>
      <c r="D84">
        <v>29.700000000000003</v>
      </c>
      <c r="E84">
        <v>0.99838000000000005</v>
      </c>
      <c r="H84" t="s">
        <v>271</v>
      </c>
      <c r="I84" t="s">
        <v>245</v>
      </c>
      <c r="J84">
        <v>3.3808993441267837E-2</v>
      </c>
      <c r="K84" t="s">
        <v>243</v>
      </c>
      <c r="P84" t="s">
        <v>112</v>
      </c>
      <c r="Q84" t="s">
        <v>322</v>
      </c>
      <c r="R84" t="s">
        <v>568</v>
      </c>
      <c r="S84" t="s">
        <v>547</v>
      </c>
      <c r="U84" t="s">
        <v>112</v>
      </c>
      <c r="V84" t="s">
        <v>728</v>
      </c>
      <c r="W84" t="s">
        <v>550</v>
      </c>
      <c r="X84" t="s">
        <v>666</v>
      </c>
    </row>
    <row r="85" spans="2:24" x14ac:dyDescent="0.45">
      <c r="B85" t="s">
        <v>198</v>
      </c>
      <c r="C85">
        <v>17.907673299454625</v>
      </c>
      <c r="D85">
        <v>134.20000000000002</v>
      </c>
      <c r="E85">
        <v>0.99268000000000001</v>
      </c>
      <c r="H85" t="s">
        <v>272</v>
      </c>
      <c r="I85" t="s">
        <v>242</v>
      </c>
      <c r="J85">
        <v>1.1522518522376721E-2</v>
      </c>
      <c r="K85" t="s">
        <v>243</v>
      </c>
      <c r="P85" t="s">
        <v>112</v>
      </c>
      <c r="Q85" t="s">
        <v>323</v>
      </c>
      <c r="R85" t="s">
        <v>569</v>
      </c>
      <c r="S85" t="s">
        <v>547</v>
      </c>
      <c r="U85" t="s">
        <v>112</v>
      </c>
      <c r="V85" t="s">
        <v>729</v>
      </c>
      <c r="W85" t="s">
        <v>550</v>
      </c>
      <c r="X85" t="s">
        <v>666</v>
      </c>
    </row>
    <row r="86" spans="2:24" x14ac:dyDescent="0.45">
      <c r="B86" t="s">
        <v>199</v>
      </c>
      <c r="C86">
        <v>6.2561675169387847</v>
      </c>
      <c r="D86">
        <v>93.500000000000014</v>
      </c>
      <c r="E86">
        <v>0.99490000000000001</v>
      </c>
      <c r="H86" t="s">
        <v>272</v>
      </c>
      <c r="I86" t="s">
        <v>244</v>
      </c>
      <c r="J86">
        <v>1.1522518522376721E-2</v>
      </c>
      <c r="K86" t="s">
        <v>243</v>
      </c>
      <c r="P86" t="s">
        <v>112</v>
      </c>
      <c r="Q86" t="s">
        <v>324</v>
      </c>
      <c r="R86" t="s">
        <v>570</v>
      </c>
      <c r="S86" t="s">
        <v>547</v>
      </c>
      <c r="U86" t="s">
        <v>112</v>
      </c>
      <c r="V86" t="s">
        <v>730</v>
      </c>
      <c r="W86" t="s">
        <v>550</v>
      </c>
      <c r="X86" t="s">
        <v>666</v>
      </c>
    </row>
    <row r="87" spans="2:24" x14ac:dyDescent="0.45">
      <c r="B87" t="s">
        <v>200</v>
      </c>
      <c r="C87">
        <v>15.640418792346964</v>
      </c>
      <c r="D87">
        <v>62.7</v>
      </c>
      <c r="E87">
        <v>0.99658000000000002</v>
      </c>
      <c r="H87" t="s">
        <v>272</v>
      </c>
      <c r="I87" t="s">
        <v>245</v>
      </c>
      <c r="J87">
        <v>1.1522518522376721E-2</v>
      </c>
      <c r="K87" t="s">
        <v>243</v>
      </c>
      <c r="P87" t="s">
        <v>112</v>
      </c>
      <c r="Q87" t="s">
        <v>325</v>
      </c>
      <c r="R87" t="s">
        <v>571</v>
      </c>
      <c r="S87" t="s">
        <v>547</v>
      </c>
      <c r="U87" t="s">
        <v>112</v>
      </c>
      <c r="V87" t="s">
        <v>731</v>
      </c>
      <c r="W87" t="s">
        <v>550</v>
      </c>
      <c r="X87" t="s">
        <v>666</v>
      </c>
    </row>
    <row r="88" spans="2:24" x14ac:dyDescent="0.45">
      <c r="B88" t="s">
        <v>201</v>
      </c>
      <c r="C88">
        <v>13.215547661750538</v>
      </c>
      <c r="D88">
        <v>91.300000000000011</v>
      </c>
      <c r="E88">
        <v>0.99502000000000002</v>
      </c>
      <c r="H88" t="s">
        <v>273</v>
      </c>
      <c r="I88" t="s">
        <v>242</v>
      </c>
      <c r="J88">
        <v>3.7632083342255249E-2</v>
      </c>
      <c r="K88" t="s">
        <v>243</v>
      </c>
      <c r="P88" t="s">
        <v>112</v>
      </c>
      <c r="Q88" t="s">
        <v>326</v>
      </c>
      <c r="R88" t="s">
        <v>572</v>
      </c>
      <c r="S88" t="s">
        <v>547</v>
      </c>
      <c r="U88" t="s">
        <v>112</v>
      </c>
      <c r="V88" t="s">
        <v>732</v>
      </c>
      <c r="W88" t="s">
        <v>550</v>
      </c>
      <c r="X88" t="s">
        <v>666</v>
      </c>
    </row>
    <row r="89" spans="2:24" x14ac:dyDescent="0.45">
      <c r="B89" t="s">
        <v>202</v>
      </c>
      <c r="C89">
        <v>14.779589540985231</v>
      </c>
      <c r="D89">
        <v>79.2</v>
      </c>
      <c r="E89">
        <v>0.99568000000000001</v>
      </c>
      <c r="H89" t="s">
        <v>273</v>
      </c>
      <c r="I89" t="s">
        <v>244</v>
      </c>
      <c r="J89">
        <v>3.7632083342255249E-2</v>
      </c>
      <c r="K89" t="s">
        <v>243</v>
      </c>
      <c r="P89" t="s">
        <v>112</v>
      </c>
      <c r="Q89" t="s">
        <v>327</v>
      </c>
      <c r="R89" t="s">
        <v>573</v>
      </c>
      <c r="S89" t="s">
        <v>547</v>
      </c>
      <c r="U89" t="s">
        <v>112</v>
      </c>
      <c r="V89" t="s">
        <v>733</v>
      </c>
      <c r="W89" t="s">
        <v>550</v>
      </c>
      <c r="X89" t="s">
        <v>666</v>
      </c>
    </row>
    <row r="90" spans="2:24" x14ac:dyDescent="0.45">
      <c r="B90" t="s">
        <v>203</v>
      </c>
      <c r="C90">
        <v>17.907673299454625</v>
      </c>
      <c r="D90">
        <v>81.400000000000006</v>
      </c>
      <c r="E90">
        <v>0.99556</v>
      </c>
      <c r="H90" t="s">
        <v>273</v>
      </c>
      <c r="I90" t="s">
        <v>245</v>
      </c>
      <c r="J90">
        <v>3.7632083342255249E-2</v>
      </c>
      <c r="K90" t="s">
        <v>243</v>
      </c>
      <c r="P90" t="s">
        <v>112</v>
      </c>
      <c r="Q90" t="s">
        <v>328</v>
      </c>
      <c r="R90" t="s">
        <v>574</v>
      </c>
      <c r="S90" t="s">
        <v>547</v>
      </c>
      <c r="U90" t="s">
        <v>112</v>
      </c>
      <c r="V90" t="s">
        <v>734</v>
      </c>
      <c r="W90" t="s">
        <v>550</v>
      </c>
      <c r="X90" t="s">
        <v>666</v>
      </c>
    </row>
    <row r="91" spans="2:24" x14ac:dyDescent="0.45">
      <c r="B91" t="s">
        <v>204</v>
      </c>
      <c r="C91">
        <v>10.087463903281142</v>
      </c>
      <c r="D91">
        <v>254.10000000000002</v>
      </c>
      <c r="E91">
        <v>0.98614000000000002</v>
      </c>
      <c r="H91" t="s">
        <v>274</v>
      </c>
      <c r="I91" t="s">
        <v>242</v>
      </c>
      <c r="J91">
        <v>3.8798356814314074E-2</v>
      </c>
      <c r="K91" t="s">
        <v>243</v>
      </c>
      <c r="P91" t="s">
        <v>112</v>
      </c>
      <c r="Q91" t="s">
        <v>329</v>
      </c>
      <c r="R91" t="s">
        <v>575</v>
      </c>
      <c r="S91" t="s">
        <v>547</v>
      </c>
      <c r="U91" t="s">
        <v>112</v>
      </c>
      <c r="V91" t="s">
        <v>734</v>
      </c>
      <c r="W91" t="s">
        <v>627</v>
      </c>
      <c r="X91" t="s">
        <v>666</v>
      </c>
    </row>
    <row r="92" spans="2:24" x14ac:dyDescent="0.45">
      <c r="B92" t="s">
        <v>205</v>
      </c>
      <c r="C92">
        <v>35.815346598909251</v>
      </c>
      <c r="D92">
        <v>145.20000000000002</v>
      </c>
      <c r="E92">
        <v>0.99207999999999996</v>
      </c>
      <c r="H92" t="s">
        <v>274</v>
      </c>
      <c r="I92" t="s">
        <v>244</v>
      </c>
      <c r="J92">
        <v>3.8798356814314074E-2</v>
      </c>
      <c r="K92" t="s">
        <v>243</v>
      </c>
      <c r="P92" t="s">
        <v>112</v>
      </c>
      <c r="Q92" t="s">
        <v>330</v>
      </c>
      <c r="R92" t="s">
        <v>576</v>
      </c>
      <c r="S92" t="s">
        <v>547</v>
      </c>
      <c r="U92" t="s">
        <v>112</v>
      </c>
      <c r="V92" t="s">
        <v>735</v>
      </c>
      <c r="W92" t="s">
        <v>550</v>
      </c>
      <c r="X92" t="s">
        <v>666</v>
      </c>
    </row>
    <row r="93" spans="2:24" x14ac:dyDescent="0.45">
      <c r="B93" t="s">
        <v>206</v>
      </c>
      <c r="C93">
        <v>9.3842512754081788</v>
      </c>
      <c r="D93">
        <v>143</v>
      </c>
      <c r="E93">
        <v>0.99219999999999997</v>
      </c>
      <c r="H93" t="s">
        <v>274</v>
      </c>
      <c r="I93" t="s">
        <v>245</v>
      </c>
      <c r="J93">
        <v>3.8798356814314074E-2</v>
      </c>
      <c r="K93" t="s">
        <v>243</v>
      </c>
      <c r="P93" t="s">
        <v>112</v>
      </c>
      <c r="Q93" t="s">
        <v>331</v>
      </c>
      <c r="R93" t="s">
        <v>577</v>
      </c>
      <c r="S93" t="s">
        <v>547</v>
      </c>
      <c r="U93" t="s">
        <v>112</v>
      </c>
      <c r="V93" t="s">
        <v>735</v>
      </c>
      <c r="W93" t="s">
        <v>627</v>
      </c>
      <c r="X93" t="s">
        <v>666</v>
      </c>
    </row>
    <row r="94" spans="2:24" x14ac:dyDescent="0.45">
      <c r="B94" t="s">
        <v>207</v>
      </c>
      <c r="C94">
        <v>9.3842512754081788</v>
      </c>
      <c r="D94">
        <v>83.600000000000009</v>
      </c>
      <c r="E94">
        <v>0.99543999999999999</v>
      </c>
      <c r="H94" t="s">
        <v>275</v>
      </c>
      <c r="I94" t="s">
        <v>242</v>
      </c>
      <c r="J94">
        <v>1.1960374503787598E-2</v>
      </c>
      <c r="K94" t="s">
        <v>243</v>
      </c>
      <c r="P94" t="s">
        <v>112</v>
      </c>
      <c r="Q94" t="s">
        <v>332</v>
      </c>
      <c r="R94" t="s">
        <v>578</v>
      </c>
      <c r="S94" t="s">
        <v>547</v>
      </c>
      <c r="U94" t="s">
        <v>112</v>
      </c>
      <c r="V94" t="s">
        <v>736</v>
      </c>
      <c r="W94" t="s">
        <v>550</v>
      </c>
      <c r="X94" t="s">
        <v>666</v>
      </c>
    </row>
    <row r="95" spans="2:24" x14ac:dyDescent="0.45">
      <c r="B95" t="s">
        <v>208</v>
      </c>
      <c r="C95">
        <v>7.8202093961734818</v>
      </c>
      <c r="D95">
        <v>130.9</v>
      </c>
      <c r="E95">
        <v>0.99285999999999996</v>
      </c>
      <c r="H95" t="s">
        <v>275</v>
      </c>
      <c r="I95" t="s">
        <v>244</v>
      </c>
      <c r="J95">
        <v>1.1960374503787598E-2</v>
      </c>
      <c r="K95" t="s">
        <v>243</v>
      </c>
      <c r="P95" t="s">
        <v>112</v>
      </c>
      <c r="Q95" t="s">
        <v>333</v>
      </c>
      <c r="R95" t="s">
        <v>579</v>
      </c>
      <c r="S95" t="s">
        <v>547</v>
      </c>
      <c r="U95" t="s">
        <v>112</v>
      </c>
      <c r="V95" t="s">
        <v>736</v>
      </c>
      <c r="W95" t="s">
        <v>627</v>
      </c>
      <c r="X95" t="s">
        <v>666</v>
      </c>
    </row>
    <row r="96" spans="2:24" x14ac:dyDescent="0.45">
      <c r="B96" t="s">
        <v>209</v>
      </c>
      <c r="C96">
        <v>27.291924574862804</v>
      </c>
      <c r="D96">
        <v>137.5</v>
      </c>
      <c r="E96">
        <v>0.99250000000000005</v>
      </c>
      <c r="H96" t="s">
        <v>275</v>
      </c>
      <c r="I96" t="s">
        <v>245</v>
      </c>
      <c r="J96">
        <v>1.1960374503787598E-2</v>
      </c>
      <c r="K96" t="s">
        <v>243</v>
      </c>
      <c r="P96" t="s">
        <v>112</v>
      </c>
      <c r="Q96" t="s">
        <v>334</v>
      </c>
      <c r="R96" t="s">
        <v>580</v>
      </c>
      <c r="S96" t="s">
        <v>547</v>
      </c>
      <c r="U96" t="s">
        <v>112</v>
      </c>
      <c r="V96" t="s">
        <v>737</v>
      </c>
      <c r="W96" t="s">
        <v>550</v>
      </c>
      <c r="X96" t="s">
        <v>666</v>
      </c>
    </row>
    <row r="97" spans="2:24" x14ac:dyDescent="0.45">
      <c r="B97" t="s">
        <v>210</v>
      </c>
      <c r="C97">
        <v>22.696793782382567</v>
      </c>
      <c r="D97">
        <v>80.300000000000011</v>
      </c>
      <c r="E97">
        <v>0.99561999999999995</v>
      </c>
      <c r="H97" t="s">
        <v>276</v>
      </c>
      <c r="I97" t="s">
        <v>242</v>
      </c>
      <c r="J97">
        <v>4.8029014527693668E-2</v>
      </c>
      <c r="K97" t="s">
        <v>243</v>
      </c>
      <c r="P97" t="s">
        <v>112</v>
      </c>
      <c r="Q97" t="s">
        <v>335</v>
      </c>
      <c r="R97" t="s">
        <v>581</v>
      </c>
      <c r="S97" t="s">
        <v>547</v>
      </c>
      <c r="U97" t="s">
        <v>112</v>
      </c>
      <c r="V97" t="s">
        <v>737</v>
      </c>
      <c r="W97" t="s">
        <v>627</v>
      </c>
      <c r="X97" t="s">
        <v>666</v>
      </c>
    </row>
    <row r="98" spans="2:24" x14ac:dyDescent="0.45">
      <c r="B98" t="s">
        <v>211</v>
      </c>
      <c r="C98">
        <v>30.262391709843417</v>
      </c>
      <c r="D98">
        <v>147.4</v>
      </c>
      <c r="E98">
        <v>0.99195999999999995</v>
      </c>
      <c r="H98" t="s">
        <v>276</v>
      </c>
      <c r="I98" t="s">
        <v>244</v>
      </c>
      <c r="J98">
        <v>4.8029014527693668E-2</v>
      </c>
      <c r="K98" t="s">
        <v>243</v>
      </c>
      <c r="P98" t="s">
        <v>112</v>
      </c>
      <c r="Q98" t="s">
        <v>336</v>
      </c>
      <c r="R98" t="s">
        <v>582</v>
      </c>
      <c r="S98" t="s">
        <v>547</v>
      </c>
      <c r="U98" t="s">
        <v>112</v>
      </c>
      <c r="V98" t="s">
        <v>738</v>
      </c>
      <c r="W98" t="s">
        <v>627</v>
      </c>
      <c r="X98" t="s">
        <v>666</v>
      </c>
    </row>
    <row r="99" spans="2:24" x14ac:dyDescent="0.45">
      <c r="B99" t="s">
        <v>212</v>
      </c>
      <c r="C99">
        <v>22.696793782382567</v>
      </c>
      <c r="D99">
        <v>93.500000000000014</v>
      </c>
      <c r="E99">
        <v>0.99490000000000001</v>
      </c>
      <c r="H99" t="s">
        <v>276</v>
      </c>
      <c r="I99" t="s">
        <v>245</v>
      </c>
      <c r="J99">
        <v>4.8029014527693668E-2</v>
      </c>
      <c r="K99" t="s">
        <v>243</v>
      </c>
      <c r="P99" t="s">
        <v>112</v>
      </c>
      <c r="Q99" t="s">
        <v>337</v>
      </c>
      <c r="R99" t="s">
        <v>583</v>
      </c>
      <c r="S99" t="s">
        <v>547</v>
      </c>
      <c r="U99" t="s">
        <v>112</v>
      </c>
      <c r="V99" t="s">
        <v>739</v>
      </c>
      <c r="W99" t="s">
        <v>627</v>
      </c>
      <c r="X99" t="s">
        <v>666</v>
      </c>
    </row>
    <row r="100" spans="2:24" x14ac:dyDescent="0.45">
      <c r="B100" t="s">
        <v>213</v>
      </c>
      <c r="C100">
        <v>32.844879463928628</v>
      </c>
      <c r="D100">
        <v>114.4</v>
      </c>
      <c r="E100">
        <v>0.99375999999999998</v>
      </c>
      <c r="H100" t="s">
        <v>277</v>
      </c>
      <c r="I100" t="s">
        <v>242</v>
      </c>
      <c r="J100">
        <v>3.7305617600396202E-5</v>
      </c>
      <c r="K100" t="s">
        <v>243</v>
      </c>
      <c r="P100" t="s">
        <v>112</v>
      </c>
      <c r="Q100" t="s">
        <v>338</v>
      </c>
      <c r="R100" t="s">
        <v>584</v>
      </c>
      <c r="S100" t="s">
        <v>547</v>
      </c>
      <c r="U100" t="s">
        <v>112</v>
      </c>
      <c r="V100" t="s">
        <v>740</v>
      </c>
      <c r="W100" t="s">
        <v>627</v>
      </c>
      <c r="X100" t="s">
        <v>666</v>
      </c>
    </row>
    <row r="101" spans="2:24" x14ac:dyDescent="0.45">
      <c r="B101" t="s">
        <v>214</v>
      </c>
      <c r="C101">
        <v>1.5640418792346962</v>
      </c>
      <c r="D101">
        <v>330</v>
      </c>
      <c r="E101">
        <v>0.98199999999999998</v>
      </c>
      <c r="H101" t="s">
        <v>277</v>
      </c>
      <c r="I101" t="s">
        <v>244</v>
      </c>
      <c r="J101">
        <v>3.7305617600396202E-5</v>
      </c>
      <c r="K101" t="s">
        <v>243</v>
      </c>
      <c r="P101" t="s">
        <v>112</v>
      </c>
      <c r="Q101" t="s">
        <v>339</v>
      </c>
      <c r="R101" t="s">
        <v>585</v>
      </c>
      <c r="S101" t="s">
        <v>547</v>
      </c>
      <c r="U101" t="s">
        <v>112</v>
      </c>
      <c r="V101" t="s">
        <v>740</v>
      </c>
      <c r="W101" t="s">
        <v>550</v>
      </c>
      <c r="X101" t="s">
        <v>547</v>
      </c>
    </row>
    <row r="102" spans="2:24" x14ac:dyDescent="0.45">
      <c r="B102" t="s">
        <v>215</v>
      </c>
      <c r="C102">
        <v>3.1280837584693924</v>
      </c>
      <c r="D102">
        <v>67.100000000000009</v>
      </c>
      <c r="E102">
        <v>0.99634</v>
      </c>
      <c r="H102" t="s">
        <v>277</v>
      </c>
      <c r="I102" t="s">
        <v>245</v>
      </c>
      <c r="J102">
        <v>3.7305617600396202E-5</v>
      </c>
      <c r="K102" t="s">
        <v>243</v>
      </c>
      <c r="P102" t="s">
        <v>112</v>
      </c>
      <c r="Q102" t="s">
        <v>340</v>
      </c>
      <c r="R102" t="s">
        <v>586</v>
      </c>
      <c r="S102" t="s">
        <v>547</v>
      </c>
      <c r="U102" t="s">
        <v>112</v>
      </c>
      <c r="V102" t="s">
        <v>741</v>
      </c>
      <c r="W102" t="s">
        <v>627</v>
      </c>
      <c r="X102" t="s">
        <v>666</v>
      </c>
    </row>
    <row r="103" spans="2:24" x14ac:dyDescent="0.45">
      <c r="B103" t="s">
        <v>216</v>
      </c>
      <c r="C103">
        <v>3.1280837584693924</v>
      </c>
      <c r="D103">
        <v>128.70000000000002</v>
      </c>
      <c r="E103">
        <v>0.99297999999999997</v>
      </c>
      <c r="H103" t="s">
        <v>278</v>
      </c>
      <c r="I103" t="s">
        <v>242</v>
      </c>
      <c r="J103">
        <v>5.3263200124154574E-3</v>
      </c>
      <c r="K103" t="s">
        <v>243</v>
      </c>
      <c r="P103" t="s">
        <v>112</v>
      </c>
      <c r="Q103" t="s">
        <v>341</v>
      </c>
      <c r="R103" t="s">
        <v>587</v>
      </c>
      <c r="S103" t="s">
        <v>547</v>
      </c>
      <c r="U103" t="s">
        <v>112</v>
      </c>
      <c r="V103" t="s">
        <v>741</v>
      </c>
      <c r="W103" t="s">
        <v>550</v>
      </c>
      <c r="X103" t="s">
        <v>547</v>
      </c>
    </row>
    <row r="104" spans="2:24" x14ac:dyDescent="0.45">
      <c r="B104" t="s">
        <v>217</v>
      </c>
      <c r="C104">
        <v>33.548092091801593</v>
      </c>
      <c r="D104">
        <v>58.300000000000004</v>
      </c>
      <c r="E104">
        <v>0.99682000000000004</v>
      </c>
      <c r="H104" t="s">
        <v>278</v>
      </c>
      <c r="I104" t="s">
        <v>244</v>
      </c>
      <c r="J104">
        <v>5.3263200124154574E-3</v>
      </c>
      <c r="K104" t="s">
        <v>243</v>
      </c>
      <c r="P104" t="s">
        <v>112</v>
      </c>
      <c r="Q104" t="s">
        <v>342</v>
      </c>
      <c r="R104" t="s">
        <v>588</v>
      </c>
      <c r="S104" t="s">
        <v>547</v>
      </c>
      <c r="U104" t="s">
        <v>112</v>
      </c>
      <c r="V104" t="s">
        <v>742</v>
      </c>
      <c r="W104" t="s">
        <v>551</v>
      </c>
      <c r="X104" t="s">
        <v>666</v>
      </c>
    </row>
    <row r="105" spans="2:24" x14ac:dyDescent="0.45">
      <c r="B105" t="s">
        <v>218</v>
      </c>
      <c r="C105">
        <v>26.588711946989839</v>
      </c>
      <c r="D105">
        <v>26.400000000000002</v>
      </c>
      <c r="E105">
        <v>0.99856</v>
      </c>
      <c r="H105" t="s">
        <v>278</v>
      </c>
      <c r="I105" t="s">
        <v>245</v>
      </c>
      <c r="J105">
        <v>5.3263200124154574E-3</v>
      </c>
      <c r="K105" t="s">
        <v>243</v>
      </c>
      <c r="P105" t="s">
        <v>112</v>
      </c>
      <c r="Q105" t="s">
        <v>343</v>
      </c>
      <c r="R105" t="s">
        <v>589</v>
      </c>
      <c r="S105" t="s">
        <v>547</v>
      </c>
      <c r="U105" t="s">
        <v>112</v>
      </c>
      <c r="V105" t="s">
        <v>743</v>
      </c>
      <c r="W105" t="s">
        <v>551</v>
      </c>
      <c r="X105" t="s">
        <v>666</v>
      </c>
    </row>
    <row r="106" spans="2:24" x14ac:dyDescent="0.45">
      <c r="B106" t="s">
        <v>219</v>
      </c>
      <c r="C106">
        <v>9.3842512754081788</v>
      </c>
      <c r="D106">
        <v>106.7</v>
      </c>
      <c r="E106">
        <v>0.99417999999999995</v>
      </c>
      <c r="H106" t="s">
        <v>279</v>
      </c>
      <c r="I106" t="s">
        <v>242</v>
      </c>
      <c r="J106">
        <v>2.066033913798344E-3</v>
      </c>
      <c r="K106" t="s">
        <v>243</v>
      </c>
      <c r="P106" t="s">
        <v>112</v>
      </c>
      <c r="Q106" t="s">
        <v>344</v>
      </c>
      <c r="R106" t="s">
        <v>590</v>
      </c>
      <c r="S106" t="s">
        <v>547</v>
      </c>
      <c r="U106" t="s">
        <v>112</v>
      </c>
      <c r="V106" t="s">
        <v>744</v>
      </c>
      <c r="W106" t="s">
        <v>551</v>
      </c>
      <c r="X106" t="s">
        <v>666</v>
      </c>
    </row>
    <row r="107" spans="2:24" x14ac:dyDescent="0.45">
      <c r="B107" t="s">
        <v>220</v>
      </c>
      <c r="C107">
        <v>4.6921256377040894</v>
      </c>
      <c r="D107">
        <v>113.30000000000001</v>
      </c>
      <c r="E107">
        <v>0.99382000000000004</v>
      </c>
      <c r="H107" t="s">
        <v>279</v>
      </c>
      <c r="I107" t="s">
        <v>244</v>
      </c>
      <c r="J107">
        <v>2.066033913798344E-3</v>
      </c>
      <c r="K107" t="s">
        <v>243</v>
      </c>
      <c r="P107" t="s">
        <v>112</v>
      </c>
      <c r="Q107" t="s">
        <v>345</v>
      </c>
      <c r="R107" t="s">
        <v>591</v>
      </c>
      <c r="S107" t="s">
        <v>547</v>
      </c>
      <c r="U107" t="s">
        <v>112</v>
      </c>
      <c r="V107" t="s">
        <v>745</v>
      </c>
      <c r="W107" t="s">
        <v>551</v>
      </c>
      <c r="X107" t="s">
        <v>666</v>
      </c>
    </row>
    <row r="108" spans="2:24" x14ac:dyDescent="0.45">
      <c r="B108" t="s">
        <v>221</v>
      </c>
      <c r="C108">
        <v>3.1280837584693924</v>
      </c>
      <c r="D108">
        <v>254.10000000000002</v>
      </c>
      <c r="E108">
        <v>0.98614000000000002</v>
      </c>
      <c r="H108" t="s">
        <v>279</v>
      </c>
      <c r="I108" t="s">
        <v>245</v>
      </c>
      <c r="J108">
        <v>2.066033913798344E-3</v>
      </c>
      <c r="K108" t="s">
        <v>243</v>
      </c>
      <c r="P108" t="s">
        <v>112</v>
      </c>
      <c r="Q108" t="s">
        <v>346</v>
      </c>
      <c r="R108" t="s">
        <v>592</v>
      </c>
      <c r="S108" t="s">
        <v>547</v>
      </c>
      <c r="U108" t="s">
        <v>112</v>
      </c>
      <c r="V108" t="s">
        <v>746</v>
      </c>
      <c r="W108" t="s">
        <v>551</v>
      </c>
      <c r="X108" t="s">
        <v>666</v>
      </c>
    </row>
    <row r="109" spans="2:24" x14ac:dyDescent="0.45">
      <c r="B109" t="s">
        <v>222</v>
      </c>
      <c r="C109">
        <v>6.2561675169387847</v>
      </c>
      <c r="D109">
        <v>130.9</v>
      </c>
      <c r="E109">
        <v>0.99285999999999996</v>
      </c>
      <c r="H109" t="s">
        <v>280</v>
      </c>
      <c r="I109" t="s">
        <v>242</v>
      </c>
      <c r="J109">
        <v>2.21848140254384E-4</v>
      </c>
      <c r="K109" t="s">
        <v>243</v>
      </c>
      <c r="P109" t="s">
        <v>112</v>
      </c>
      <c r="Q109" t="s">
        <v>347</v>
      </c>
      <c r="R109" t="s">
        <v>593</v>
      </c>
      <c r="S109" t="s">
        <v>547</v>
      </c>
      <c r="U109" t="s">
        <v>112</v>
      </c>
      <c r="V109" t="s">
        <v>747</v>
      </c>
      <c r="W109" t="s">
        <v>551</v>
      </c>
      <c r="X109" t="s">
        <v>666</v>
      </c>
    </row>
    <row r="110" spans="2:24" x14ac:dyDescent="0.45">
      <c r="B110" t="s">
        <v>223</v>
      </c>
      <c r="C110">
        <v>4.6921256377040894</v>
      </c>
      <c r="D110">
        <v>38.5</v>
      </c>
      <c r="E110">
        <v>0.99790000000000001</v>
      </c>
      <c r="H110" t="s">
        <v>280</v>
      </c>
      <c r="I110" t="s">
        <v>244</v>
      </c>
      <c r="J110">
        <v>2.21848140254384E-4</v>
      </c>
      <c r="K110" t="s">
        <v>243</v>
      </c>
      <c r="P110" t="s">
        <v>112</v>
      </c>
      <c r="Q110" t="s">
        <v>348</v>
      </c>
      <c r="R110" t="s">
        <v>594</v>
      </c>
      <c r="S110" t="s">
        <v>547</v>
      </c>
      <c r="U110" t="s">
        <v>112</v>
      </c>
      <c r="V110" t="s">
        <v>748</v>
      </c>
      <c r="W110" t="s">
        <v>551</v>
      </c>
      <c r="X110" t="s">
        <v>666</v>
      </c>
    </row>
    <row r="111" spans="2:24" x14ac:dyDescent="0.45">
      <c r="B111" t="s">
        <v>224</v>
      </c>
      <c r="C111">
        <v>25.024670067755139</v>
      </c>
      <c r="D111">
        <v>60.500000000000007</v>
      </c>
      <c r="E111">
        <v>0.99670000000000003</v>
      </c>
      <c r="H111" t="s">
        <v>280</v>
      </c>
      <c r="I111" t="s">
        <v>245</v>
      </c>
      <c r="J111">
        <v>2.21848140254384E-4</v>
      </c>
      <c r="K111" t="s">
        <v>243</v>
      </c>
      <c r="P111" t="s">
        <v>112</v>
      </c>
      <c r="Q111" t="s">
        <v>349</v>
      </c>
      <c r="R111" t="s">
        <v>595</v>
      </c>
      <c r="S111" t="s">
        <v>547</v>
      </c>
      <c r="U111" t="s">
        <v>112</v>
      </c>
      <c r="V111" t="s">
        <v>749</v>
      </c>
      <c r="W111" t="s">
        <v>551</v>
      </c>
      <c r="X111" t="s">
        <v>666</v>
      </c>
    </row>
    <row r="112" spans="2:24" x14ac:dyDescent="0.45">
      <c r="B112" t="s">
        <v>225</v>
      </c>
      <c r="C112">
        <v>15.640418792346964</v>
      </c>
      <c r="D112">
        <v>49.500000000000007</v>
      </c>
      <c r="E112">
        <v>0.99729999999999996</v>
      </c>
      <c r="H112" t="s">
        <v>281</v>
      </c>
      <c r="I112" t="s">
        <v>242</v>
      </c>
      <c r="J112">
        <v>8.2716403600425568E-3</v>
      </c>
      <c r="K112" t="s">
        <v>243</v>
      </c>
      <c r="P112" t="s">
        <v>112</v>
      </c>
      <c r="Q112" t="s">
        <v>350</v>
      </c>
      <c r="R112" t="s">
        <v>596</v>
      </c>
      <c r="S112" t="s">
        <v>547</v>
      </c>
      <c r="U112" t="s">
        <v>112</v>
      </c>
      <c r="V112" t="s">
        <v>750</v>
      </c>
      <c r="W112" t="s">
        <v>551</v>
      </c>
      <c r="X112" t="s">
        <v>666</v>
      </c>
    </row>
    <row r="113" spans="2:24" x14ac:dyDescent="0.45">
      <c r="B113" t="s">
        <v>226</v>
      </c>
      <c r="C113">
        <v>21.035757057924013</v>
      </c>
      <c r="D113">
        <v>101.2</v>
      </c>
      <c r="E113">
        <v>0.99448000000000003</v>
      </c>
      <c r="H113" t="s">
        <v>281</v>
      </c>
      <c r="I113" t="s">
        <v>244</v>
      </c>
      <c r="J113">
        <v>8.2716403600425568E-3</v>
      </c>
      <c r="K113" t="s">
        <v>243</v>
      </c>
      <c r="P113" t="s">
        <v>112</v>
      </c>
      <c r="Q113" t="s">
        <v>351</v>
      </c>
      <c r="R113" t="s">
        <v>597</v>
      </c>
      <c r="S113" t="s">
        <v>547</v>
      </c>
      <c r="U113" t="s">
        <v>112</v>
      </c>
      <c r="V113" t="s">
        <v>751</v>
      </c>
      <c r="W113" t="s">
        <v>551</v>
      </c>
      <c r="X113" t="s">
        <v>666</v>
      </c>
    </row>
    <row r="114" spans="2:24" x14ac:dyDescent="0.45">
      <c r="B114" t="s">
        <v>227</v>
      </c>
      <c r="C114">
        <v>12.512335033877569</v>
      </c>
      <c r="D114">
        <v>158.4</v>
      </c>
      <c r="E114">
        <v>0.99136000000000002</v>
      </c>
      <c r="H114" t="s">
        <v>281</v>
      </c>
      <c r="I114" t="s">
        <v>245</v>
      </c>
      <c r="J114">
        <v>8.2716403600425568E-3</v>
      </c>
      <c r="K114" t="s">
        <v>243</v>
      </c>
      <c r="P114" t="s">
        <v>112</v>
      </c>
      <c r="Q114" t="s">
        <v>352</v>
      </c>
      <c r="R114" t="s">
        <v>598</v>
      </c>
      <c r="S114" t="s">
        <v>547</v>
      </c>
      <c r="U114" t="s">
        <v>112</v>
      </c>
      <c r="V114" t="s">
        <v>752</v>
      </c>
      <c r="W114" t="s">
        <v>551</v>
      </c>
      <c r="X114" t="s">
        <v>666</v>
      </c>
    </row>
    <row r="115" spans="2:24" x14ac:dyDescent="0.45">
      <c r="B115" t="s">
        <v>228</v>
      </c>
      <c r="C115">
        <v>3.1280837584693924</v>
      </c>
      <c r="D115">
        <v>38.5</v>
      </c>
      <c r="E115">
        <v>0.99790000000000001</v>
      </c>
      <c r="H115" t="s">
        <v>282</v>
      </c>
      <c r="I115" t="s">
        <v>242</v>
      </c>
      <c r="J115">
        <v>2.5273099396306075E-2</v>
      </c>
      <c r="K115" t="s">
        <v>243</v>
      </c>
      <c r="P115" t="s">
        <v>112</v>
      </c>
      <c r="Q115" t="s">
        <v>353</v>
      </c>
      <c r="R115" t="s">
        <v>599</v>
      </c>
      <c r="S115" t="s">
        <v>547</v>
      </c>
      <c r="U115" t="s">
        <v>112</v>
      </c>
      <c r="V115" t="s">
        <v>753</v>
      </c>
      <c r="W115" t="s">
        <v>551</v>
      </c>
      <c r="X115" t="s">
        <v>666</v>
      </c>
    </row>
    <row r="116" spans="2:24" x14ac:dyDescent="0.45">
      <c r="B116" t="s">
        <v>229</v>
      </c>
      <c r="C116">
        <v>14.779589540985231</v>
      </c>
      <c r="D116">
        <v>55.000000000000007</v>
      </c>
      <c r="E116">
        <v>0.997</v>
      </c>
      <c r="H116" t="s">
        <v>282</v>
      </c>
      <c r="I116" t="s">
        <v>244</v>
      </c>
      <c r="J116">
        <v>2.5273099396306075E-2</v>
      </c>
      <c r="K116" t="s">
        <v>243</v>
      </c>
      <c r="P116" t="s">
        <v>112</v>
      </c>
      <c r="Q116" t="s">
        <v>354</v>
      </c>
      <c r="R116" t="s">
        <v>600</v>
      </c>
      <c r="S116" t="s">
        <v>547</v>
      </c>
      <c r="U116" t="s">
        <v>112</v>
      </c>
      <c r="V116" t="s">
        <v>753</v>
      </c>
      <c r="W116" t="s">
        <v>623</v>
      </c>
      <c r="X116" t="s">
        <v>666</v>
      </c>
    </row>
    <row r="117" spans="2:24" x14ac:dyDescent="0.45">
      <c r="B117" t="s">
        <v>230</v>
      </c>
      <c r="C117">
        <v>27.291924574862804</v>
      </c>
      <c r="D117">
        <v>126.50000000000001</v>
      </c>
      <c r="E117">
        <v>0.99309999999999998</v>
      </c>
      <c r="H117" t="s">
        <v>282</v>
      </c>
      <c r="I117" t="s">
        <v>245</v>
      </c>
      <c r="J117">
        <v>2.5273099396306075E-2</v>
      </c>
      <c r="K117" t="s">
        <v>243</v>
      </c>
      <c r="P117" t="s">
        <v>112</v>
      </c>
      <c r="Q117" t="s">
        <v>355</v>
      </c>
      <c r="R117" t="s">
        <v>601</v>
      </c>
      <c r="S117" t="s">
        <v>547</v>
      </c>
      <c r="U117" t="s">
        <v>112</v>
      </c>
      <c r="V117" t="s">
        <v>754</v>
      </c>
      <c r="W117" t="s">
        <v>551</v>
      </c>
      <c r="X117" t="s">
        <v>666</v>
      </c>
    </row>
    <row r="118" spans="2:24" x14ac:dyDescent="0.45">
      <c r="B118" t="s">
        <v>231</v>
      </c>
      <c r="C118">
        <v>15.992025106283441</v>
      </c>
      <c r="D118">
        <v>215.60000000000002</v>
      </c>
      <c r="E118">
        <v>0.98824000000000001</v>
      </c>
      <c r="H118" t="s">
        <v>283</v>
      </c>
      <c r="I118" t="s">
        <v>242</v>
      </c>
      <c r="J118">
        <v>8.2006989748067156E-3</v>
      </c>
      <c r="K118" t="s">
        <v>243</v>
      </c>
      <c r="P118" t="s">
        <v>112</v>
      </c>
      <c r="Q118" t="s">
        <v>356</v>
      </c>
      <c r="R118" t="s">
        <v>602</v>
      </c>
      <c r="S118" t="s">
        <v>547</v>
      </c>
      <c r="U118" t="s">
        <v>112</v>
      </c>
      <c r="V118" t="s">
        <v>754</v>
      </c>
      <c r="W118" t="s">
        <v>623</v>
      </c>
      <c r="X118" t="s">
        <v>666</v>
      </c>
    </row>
    <row r="119" spans="2:24" x14ac:dyDescent="0.45">
      <c r="B119" t="s">
        <v>232</v>
      </c>
      <c r="C119">
        <v>4.6921256377040894</v>
      </c>
      <c r="D119">
        <v>102.30000000000001</v>
      </c>
      <c r="E119">
        <v>0.99441999999999997</v>
      </c>
      <c r="H119" t="s">
        <v>283</v>
      </c>
      <c r="I119" t="s">
        <v>244</v>
      </c>
      <c r="J119">
        <v>8.2006989748067156E-3</v>
      </c>
      <c r="K119" t="s">
        <v>243</v>
      </c>
      <c r="P119" t="s">
        <v>112</v>
      </c>
      <c r="Q119" t="s">
        <v>473</v>
      </c>
      <c r="R119" t="s">
        <v>603</v>
      </c>
      <c r="S119" t="s">
        <v>547</v>
      </c>
      <c r="U119" t="s">
        <v>112</v>
      </c>
      <c r="V119" t="s">
        <v>755</v>
      </c>
      <c r="W119" t="s">
        <v>551</v>
      </c>
      <c r="X119" t="s">
        <v>666</v>
      </c>
    </row>
    <row r="120" spans="2:24" x14ac:dyDescent="0.45">
      <c r="B120" t="s">
        <v>233</v>
      </c>
      <c r="C120">
        <v>9.3842512754081788</v>
      </c>
      <c r="D120">
        <v>253.00000000000003</v>
      </c>
      <c r="E120">
        <v>0.98619999999999997</v>
      </c>
      <c r="H120" t="s">
        <v>283</v>
      </c>
      <c r="I120" t="s">
        <v>245</v>
      </c>
      <c r="J120">
        <v>8.2006989748067156E-3</v>
      </c>
      <c r="K120" t="s">
        <v>243</v>
      </c>
      <c r="P120" t="s">
        <v>112</v>
      </c>
      <c r="Q120" t="s">
        <v>474</v>
      </c>
      <c r="R120" t="s">
        <v>604</v>
      </c>
      <c r="S120" t="s">
        <v>547</v>
      </c>
      <c r="U120" t="s">
        <v>112</v>
      </c>
      <c r="V120" t="s">
        <v>755</v>
      </c>
      <c r="W120" t="s">
        <v>623</v>
      </c>
      <c r="X120" t="s">
        <v>666</v>
      </c>
    </row>
    <row r="121" spans="2:24" x14ac:dyDescent="0.45">
      <c r="B121" t="s">
        <v>234</v>
      </c>
      <c r="C121">
        <v>11.651505782515837</v>
      </c>
      <c r="D121">
        <v>29.700000000000003</v>
      </c>
      <c r="E121">
        <v>0.99838000000000005</v>
      </c>
      <c r="H121" t="s">
        <v>284</v>
      </c>
      <c r="I121" t="s">
        <v>242</v>
      </c>
      <c r="J121">
        <v>9.9382488597282229E-3</v>
      </c>
      <c r="K121" t="s">
        <v>243</v>
      </c>
      <c r="P121" t="s">
        <v>112</v>
      </c>
      <c r="Q121" t="s">
        <v>475</v>
      </c>
      <c r="R121" t="s">
        <v>605</v>
      </c>
      <c r="S121" t="s">
        <v>547</v>
      </c>
      <c r="U121" t="s">
        <v>112</v>
      </c>
      <c r="V121" t="s">
        <v>756</v>
      </c>
      <c r="W121" t="s">
        <v>551</v>
      </c>
      <c r="X121" t="s">
        <v>666</v>
      </c>
    </row>
    <row r="122" spans="2:24" x14ac:dyDescent="0.45">
      <c r="B122" t="s">
        <v>235</v>
      </c>
      <c r="C122">
        <v>19.471715178689319</v>
      </c>
      <c r="D122">
        <v>84.7</v>
      </c>
      <c r="E122">
        <v>0.99538000000000004</v>
      </c>
      <c r="H122" t="s">
        <v>284</v>
      </c>
      <c r="I122" t="s">
        <v>244</v>
      </c>
      <c r="J122">
        <v>9.9382488597282229E-3</v>
      </c>
      <c r="K122" t="s">
        <v>243</v>
      </c>
      <c r="P122" t="s">
        <v>112</v>
      </c>
      <c r="Q122" t="s">
        <v>357</v>
      </c>
      <c r="R122" t="s">
        <v>546</v>
      </c>
      <c r="S122" t="s">
        <v>547</v>
      </c>
      <c r="U122" t="s">
        <v>112</v>
      </c>
      <c r="V122" t="s">
        <v>756</v>
      </c>
      <c r="W122" t="s">
        <v>623</v>
      </c>
      <c r="X122" t="s">
        <v>666</v>
      </c>
    </row>
    <row r="123" spans="2:24" x14ac:dyDescent="0.45">
      <c r="B123" t="s">
        <v>236</v>
      </c>
      <c r="C123">
        <v>7.8202093961734818</v>
      </c>
      <c r="D123">
        <v>150.70000000000002</v>
      </c>
      <c r="E123">
        <v>0.99177999999999999</v>
      </c>
      <c r="H123" t="s">
        <v>284</v>
      </c>
      <c r="I123" t="s">
        <v>245</v>
      </c>
      <c r="J123">
        <v>9.9382488597282229E-3</v>
      </c>
      <c r="K123" t="s">
        <v>243</v>
      </c>
      <c r="P123" t="s">
        <v>112</v>
      </c>
      <c r="Q123" t="s">
        <v>358</v>
      </c>
      <c r="R123" t="s">
        <v>548</v>
      </c>
      <c r="S123" t="s">
        <v>547</v>
      </c>
      <c r="U123" t="s">
        <v>112</v>
      </c>
      <c r="V123" t="s">
        <v>757</v>
      </c>
      <c r="W123" t="s">
        <v>623</v>
      </c>
      <c r="X123" t="s">
        <v>666</v>
      </c>
    </row>
    <row r="124" spans="2:24" x14ac:dyDescent="0.45">
      <c r="B124" t="s">
        <v>237</v>
      </c>
      <c r="C124">
        <v>3.1280837584693924</v>
      </c>
      <c r="D124">
        <v>46.2</v>
      </c>
      <c r="E124">
        <v>0.99748000000000003</v>
      </c>
      <c r="H124" t="s">
        <v>285</v>
      </c>
      <c r="I124" t="s">
        <v>242</v>
      </c>
      <c r="J124">
        <v>1.2554265482434088E-2</v>
      </c>
      <c r="K124" t="s">
        <v>243</v>
      </c>
      <c r="P124" t="s">
        <v>112</v>
      </c>
      <c r="Q124" t="s">
        <v>359</v>
      </c>
      <c r="R124" t="s">
        <v>549</v>
      </c>
      <c r="S124" t="s">
        <v>547</v>
      </c>
      <c r="U124" t="s">
        <v>112</v>
      </c>
      <c r="V124" t="s">
        <v>758</v>
      </c>
      <c r="W124" t="s">
        <v>623</v>
      </c>
      <c r="X124" t="s">
        <v>666</v>
      </c>
    </row>
    <row r="125" spans="2:24" x14ac:dyDescent="0.45">
      <c r="H125" t="s">
        <v>285</v>
      </c>
      <c r="I125" t="s">
        <v>244</v>
      </c>
      <c r="J125">
        <v>1.2554265482434088E-2</v>
      </c>
      <c r="K125" t="s">
        <v>243</v>
      </c>
      <c r="P125" t="s">
        <v>112</v>
      </c>
      <c r="Q125" t="s">
        <v>360</v>
      </c>
      <c r="R125" t="s">
        <v>550</v>
      </c>
      <c r="S125" t="s">
        <v>547</v>
      </c>
      <c r="U125" t="s">
        <v>112</v>
      </c>
      <c r="V125" t="s">
        <v>759</v>
      </c>
      <c r="W125" t="s">
        <v>623</v>
      </c>
      <c r="X125" t="s">
        <v>666</v>
      </c>
    </row>
    <row r="126" spans="2:24" x14ac:dyDescent="0.45">
      <c r="H126" t="s">
        <v>285</v>
      </c>
      <c r="I126" t="s">
        <v>245</v>
      </c>
      <c r="J126">
        <v>1.2554265482434088E-2</v>
      </c>
      <c r="K126" t="s">
        <v>243</v>
      </c>
      <c r="P126" t="s">
        <v>112</v>
      </c>
      <c r="Q126" t="s">
        <v>361</v>
      </c>
      <c r="R126" t="s">
        <v>551</v>
      </c>
      <c r="S126" t="s">
        <v>547</v>
      </c>
      <c r="U126" t="s">
        <v>112</v>
      </c>
      <c r="V126" t="s">
        <v>759</v>
      </c>
      <c r="W126" t="s">
        <v>551</v>
      </c>
      <c r="X126" t="s">
        <v>547</v>
      </c>
    </row>
    <row r="127" spans="2:24" x14ac:dyDescent="0.45">
      <c r="H127" t="s">
        <v>286</v>
      </c>
      <c r="I127" t="s">
        <v>242</v>
      </c>
      <c r="J127">
        <v>1.5484397924847839E-2</v>
      </c>
      <c r="K127" t="s">
        <v>243</v>
      </c>
      <c r="P127" t="s">
        <v>112</v>
      </c>
      <c r="Q127" t="s">
        <v>362</v>
      </c>
      <c r="R127" t="s">
        <v>552</v>
      </c>
      <c r="S127" t="s">
        <v>547</v>
      </c>
      <c r="U127" t="s">
        <v>112</v>
      </c>
      <c r="V127" t="s">
        <v>760</v>
      </c>
      <c r="W127" t="s">
        <v>623</v>
      </c>
      <c r="X127" t="s">
        <v>666</v>
      </c>
    </row>
    <row r="128" spans="2:24" x14ac:dyDescent="0.45">
      <c r="H128" t="s">
        <v>286</v>
      </c>
      <c r="I128" t="s">
        <v>244</v>
      </c>
      <c r="J128">
        <v>1.5484397924847839E-2</v>
      </c>
      <c r="K128" t="s">
        <v>243</v>
      </c>
      <c r="P128" t="s">
        <v>112</v>
      </c>
      <c r="Q128" t="s">
        <v>363</v>
      </c>
      <c r="R128" t="s">
        <v>553</v>
      </c>
      <c r="S128" t="s">
        <v>547</v>
      </c>
      <c r="U128" t="s">
        <v>112</v>
      </c>
      <c r="V128" t="s">
        <v>760</v>
      </c>
      <c r="W128" t="s">
        <v>551</v>
      </c>
      <c r="X128" t="s">
        <v>547</v>
      </c>
    </row>
    <row r="129" spans="8:24" x14ac:dyDescent="0.45">
      <c r="H129" t="s">
        <v>286</v>
      </c>
      <c r="I129" t="s">
        <v>245</v>
      </c>
      <c r="J129">
        <v>1.5484397924847839E-2</v>
      </c>
      <c r="K129" t="s">
        <v>243</v>
      </c>
      <c r="P129" t="s">
        <v>112</v>
      </c>
      <c r="Q129" t="s">
        <v>364</v>
      </c>
      <c r="R129" t="s">
        <v>554</v>
      </c>
      <c r="S129" t="s">
        <v>547</v>
      </c>
      <c r="U129" t="s">
        <v>112</v>
      </c>
      <c r="V129" t="s">
        <v>761</v>
      </c>
      <c r="W129" t="s">
        <v>552</v>
      </c>
      <c r="X129" t="s">
        <v>666</v>
      </c>
    </row>
    <row r="130" spans="8:24" x14ac:dyDescent="0.45">
      <c r="H130" t="s">
        <v>287</v>
      </c>
      <c r="I130" t="s">
        <v>242</v>
      </c>
      <c r="J130">
        <v>2.6536690150118537E-3</v>
      </c>
      <c r="K130" t="s">
        <v>243</v>
      </c>
      <c r="P130" t="s">
        <v>112</v>
      </c>
      <c r="Q130" t="s">
        <v>365</v>
      </c>
      <c r="R130" t="s">
        <v>555</v>
      </c>
      <c r="S130" t="s">
        <v>547</v>
      </c>
      <c r="U130" t="s">
        <v>112</v>
      </c>
      <c r="V130" t="s">
        <v>762</v>
      </c>
      <c r="W130" t="s">
        <v>552</v>
      </c>
      <c r="X130" t="s">
        <v>666</v>
      </c>
    </row>
    <row r="131" spans="8:24" x14ac:dyDescent="0.45">
      <c r="H131" t="s">
        <v>287</v>
      </c>
      <c r="I131" t="s">
        <v>244</v>
      </c>
      <c r="J131">
        <v>2.6536690150118537E-3</v>
      </c>
      <c r="K131" t="s">
        <v>243</v>
      </c>
      <c r="P131" t="s">
        <v>112</v>
      </c>
      <c r="Q131" t="s">
        <v>366</v>
      </c>
      <c r="R131" t="s">
        <v>556</v>
      </c>
      <c r="S131" t="s">
        <v>547</v>
      </c>
      <c r="U131" t="s">
        <v>112</v>
      </c>
      <c r="V131" t="s">
        <v>763</v>
      </c>
      <c r="W131" t="s">
        <v>552</v>
      </c>
      <c r="X131" t="s">
        <v>666</v>
      </c>
    </row>
    <row r="132" spans="8:24" x14ac:dyDescent="0.45">
      <c r="H132" t="s">
        <v>287</v>
      </c>
      <c r="I132" t="s">
        <v>245</v>
      </c>
      <c r="J132">
        <v>2.6536690150118537E-3</v>
      </c>
      <c r="K132" t="s">
        <v>243</v>
      </c>
      <c r="P132" t="s">
        <v>112</v>
      </c>
      <c r="Q132" t="s">
        <v>367</v>
      </c>
      <c r="R132" t="s">
        <v>557</v>
      </c>
      <c r="S132" t="s">
        <v>547</v>
      </c>
      <c r="U132" t="s">
        <v>112</v>
      </c>
      <c r="V132" t="s">
        <v>764</v>
      </c>
      <c r="W132" t="s">
        <v>552</v>
      </c>
      <c r="X132" t="s">
        <v>666</v>
      </c>
    </row>
    <row r="133" spans="8:24" x14ac:dyDescent="0.45">
      <c r="H133" t="s">
        <v>288</v>
      </c>
      <c r="I133" t="s">
        <v>242</v>
      </c>
      <c r="J133">
        <v>3.1179826000032079E-5</v>
      </c>
      <c r="K133" t="s">
        <v>243</v>
      </c>
      <c r="P133" t="s">
        <v>112</v>
      </c>
      <c r="Q133" t="s">
        <v>368</v>
      </c>
      <c r="R133" t="s">
        <v>558</v>
      </c>
      <c r="S133" t="s">
        <v>547</v>
      </c>
      <c r="U133" t="s">
        <v>112</v>
      </c>
      <c r="V133" t="s">
        <v>765</v>
      </c>
      <c r="W133" t="s">
        <v>552</v>
      </c>
      <c r="X133" t="s">
        <v>666</v>
      </c>
    </row>
    <row r="134" spans="8:24" x14ac:dyDescent="0.45">
      <c r="H134" t="s">
        <v>288</v>
      </c>
      <c r="I134" t="s">
        <v>244</v>
      </c>
      <c r="J134">
        <v>3.1179826000032079E-5</v>
      </c>
      <c r="K134" t="s">
        <v>243</v>
      </c>
      <c r="P134" t="s">
        <v>112</v>
      </c>
      <c r="Q134" t="s">
        <v>369</v>
      </c>
      <c r="R134" t="s">
        <v>559</v>
      </c>
      <c r="S134" t="s">
        <v>547</v>
      </c>
      <c r="U134" t="s">
        <v>112</v>
      </c>
      <c r="V134" t="s">
        <v>766</v>
      </c>
      <c r="W134" t="s">
        <v>552</v>
      </c>
      <c r="X134" t="s">
        <v>666</v>
      </c>
    </row>
    <row r="135" spans="8:24" x14ac:dyDescent="0.45">
      <c r="H135" t="s">
        <v>288</v>
      </c>
      <c r="I135" t="s">
        <v>245</v>
      </c>
      <c r="J135">
        <v>3.1179826000032079E-5</v>
      </c>
      <c r="K135" t="s">
        <v>243</v>
      </c>
      <c r="P135" t="s">
        <v>112</v>
      </c>
      <c r="Q135" t="s">
        <v>370</v>
      </c>
      <c r="R135" t="s">
        <v>560</v>
      </c>
      <c r="S135" t="s">
        <v>547</v>
      </c>
      <c r="U135" t="s">
        <v>112</v>
      </c>
      <c r="V135" t="s">
        <v>767</v>
      </c>
      <c r="W135" t="s">
        <v>552</v>
      </c>
      <c r="X135" t="s">
        <v>666</v>
      </c>
    </row>
    <row r="136" spans="8:24" x14ac:dyDescent="0.45">
      <c r="H136" t="s">
        <v>289</v>
      </c>
      <c r="I136" t="s">
        <v>242</v>
      </c>
      <c r="J136">
        <v>9.1074866684046994E-3</v>
      </c>
      <c r="K136" t="s">
        <v>243</v>
      </c>
      <c r="P136" t="s">
        <v>112</v>
      </c>
      <c r="Q136" t="s">
        <v>371</v>
      </c>
      <c r="R136" t="s">
        <v>561</v>
      </c>
      <c r="S136" t="s">
        <v>547</v>
      </c>
      <c r="U136" t="s">
        <v>112</v>
      </c>
      <c r="V136" t="s">
        <v>768</v>
      </c>
      <c r="W136" t="s">
        <v>552</v>
      </c>
      <c r="X136" t="s">
        <v>666</v>
      </c>
    </row>
    <row r="137" spans="8:24" x14ac:dyDescent="0.45">
      <c r="H137" t="s">
        <v>289</v>
      </c>
      <c r="I137" t="s">
        <v>244</v>
      </c>
      <c r="J137">
        <v>9.1074866684046994E-3</v>
      </c>
      <c r="K137" t="s">
        <v>243</v>
      </c>
      <c r="P137" t="s">
        <v>112</v>
      </c>
      <c r="Q137" t="s">
        <v>372</v>
      </c>
      <c r="R137" t="s">
        <v>562</v>
      </c>
      <c r="S137" t="s">
        <v>547</v>
      </c>
      <c r="U137" t="s">
        <v>112</v>
      </c>
      <c r="V137" t="s">
        <v>769</v>
      </c>
      <c r="W137" t="s">
        <v>552</v>
      </c>
      <c r="X137" t="s">
        <v>666</v>
      </c>
    </row>
    <row r="138" spans="8:24" x14ac:dyDescent="0.45">
      <c r="H138" t="s">
        <v>289</v>
      </c>
      <c r="I138" t="s">
        <v>245</v>
      </c>
      <c r="J138">
        <v>9.1074866684046994E-3</v>
      </c>
      <c r="K138" t="s">
        <v>243</v>
      </c>
      <c r="P138" t="s">
        <v>112</v>
      </c>
      <c r="Q138" t="s">
        <v>373</v>
      </c>
      <c r="R138" t="s">
        <v>563</v>
      </c>
      <c r="S138" t="s">
        <v>547</v>
      </c>
      <c r="U138" t="s">
        <v>112</v>
      </c>
      <c r="V138" t="s">
        <v>770</v>
      </c>
      <c r="W138" t="s">
        <v>552</v>
      </c>
      <c r="X138" t="s">
        <v>666</v>
      </c>
    </row>
    <row r="139" spans="8:24" x14ac:dyDescent="0.45">
      <c r="H139" t="s">
        <v>290</v>
      </c>
      <c r="I139" t="s">
        <v>242</v>
      </c>
      <c r="J139">
        <v>2.2210442249279452E-2</v>
      </c>
      <c r="K139" t="s">
        <v>243</v>
      </c>
      <c r="P139" t="s">
        <v>112</v>
      </c>
      <c r="Q139" t="s">
        <v>374</v>
      </c>
      <c r="R139" t="s">
        <v>564</v>
      </c>
      <c r="S139" t="s">
        <v>547</v>
      </c>
      <c r="U139" t="s">
        <v>112</v>
      </c>
      <c r="V139" t="s">
        <v>771</v>
      </c>
      <c r="W139" t="s">
        <v>552</v>
      </c>
      <c r="X139" t="s">
        <v>666</v>
      </c>
    </row>
    <row r="140" spans="8:24" x14ac:dyDescent="0.45">
      <c r="H140" t="s">
        <v>290</v>
      </c>
      <c r="I140" t="s">
        <v>244</v>
      </c>
      <c r="J140">
        <v>2.2210442249279452E-2</v>
      </c>
      <c r="K140" t="s">
        <v>243</v>
      </c>
      <c r="P140" t="s">
        <v>112</v>
      </c>
      <c r="Q140" t="s">
        <v>375</v>
      </c>
      <c r="R140" t="s">
        <v>565</v>
      </c>
      <c r="S140" t="s">
        <v>547</v>
      </c>
      <c r="U140" t="s">
        <v>112</v>
      </c>
      <c r="V140" t="s">
        <v>772</v>
      </c>
      <c r="W140" t="s">
        <v>552</v>
      </c>
      <c r="X140" t="s">
        <v>666</v>
      </c>
    </row>
    <row r="141" spans="8:24" x14ac:dyDescent="0.45">
      <c r="H141" t="s">
        <v>290</v>
      </c>
      <c r="I141" t="s">
        <v>245</v>
      </c>
      <c r="J141">
        <v>2.2210442249279452E-2</v>
      </c>
      <c r="K141" t="s">
        <v>243</v>
      </c>
      <c r="P141" t="s">
        <v>112</v>
      </c>
      <c r="Q141" t="s">
        <v>376</v>
      </c>
      <c r="R141" t="s">
        <v>566</v>
      </c>
      <c r="S141" t="s">
        <v>547</v>
      </c>
      <c r="U141" t="s">
        <v>112</v>
      </c>
      <c r="V141" t="s">
        <v>772</v>
      </c>
      <c r="W141" t="s">
        <v>620</v>
      </c>
      <c r="X141" t="s">
        <v>666</v>
      </c>
    </row>
    <row r="142" spans="8:24" x14ac:dyDescent="0.45">
      <c r="H142" t="s">
        <v>291</v>
      </c>
      <c r="I142" t="s">
        <v>242</v>
      </c>
      <c r="J142">
        <v>2.9417069427630962E-2</v>
      </c>
      <c r="K142" t="s">
        <v>243</v>
      </c>
      <c r="P142" t="s">
        <v>112</v>
      </c>
      <c r="Q142" t="s">
        <v>377</v>
      </c>
      <c r="R142" t="s">
        <v>567</v>
      </c>
      <c r="S142" t="s">
        <v>547</v>
      </c>
      <c r="U142" t="s">
        <v>112</v>
      </c>
      <c r="V142" t="s">
        <v>773</v>
      </c>
      <c r="W142" t="s">
        <v>552</v>
      </c>
      <c r="X142" t="s">
        <v>666</v>
      </c>
    </row>
    <row r="143" spans="8:24" x14ac:dyDescent="0.45">
      <c r="H143" t="s">
        <v>291</v>
      </c>
      <c r="I143" t="s">
        <v>244</v>
      </c>
      <c r="J143">
        <v>2.9417069427630962E-2</v>
      </c>
      <c r="K143" t="s">
        <v>243</v>
      </c>
      <c r="P143" t="s">
        <v>112</v>
      </c>
      <c r="Q143" t="s">
        <v>378</v>
      </c>
      <c r="R143" t="s">
        <v>568</v>
      </c>
      <c r="S143" t="s">
        <v>547</v>
      </c>
      <c r="U143" t="s">
        <v>112</v>
      </c>
      <c r="V143" t="s">
        <v>773</v>
      </c>
      <c r="W143" t="s">
        <v>620</v>
      </c>
      <c r="X143" t="s">
        <v>666</v>
      </c>
    </row>
    <row r="144" spans="8:24" x14ac:dyDescent="0.45">
      <c r="H144" t="s">
        <v>291</v>
      </c>
      <c r="I144" t="s">
        <v>245</v>
      </c>
      <c r="J144">
        <v>2.9417069427630962E-2</v>
      </c>
      <c r="K144" t="s">
        <v>243</v>
      </c>
      <c r="P144" t="s">
        <v>112</v>
      </c>
      <c r="Q144" t="s">
        <v>379</v>
      </c>
      <c r="R144" t="s">
        <v>569</v>
      </c>
      <c r="S144" t="s">
        <v>547</v>
      </c>
      <c r="U144" t="s">
        <v>112</v>
      </c>
      <c r="V144" t="s">
        <v>774</v>
      </c>
      <c r="W144" t="s">
        <v>552</v>
      </c>
      <c r="X144" t="s">
        <v>666</v>
      </c>
    </row>
    <row r="145" spans="8:24" x14ac:dyDescent="0.45">
      <c r="H145" t="s">
        <v>292</v>
      </c>
      <c r="I145" t="s">
        <v>242</v>
      </c>
      <c r="J145">
        <v>9.3928651703745879E-3</v>
      </c>
      <c r="K145" t="s">
        <v>243</v>
      </c>
      <c r="P145" t="s">
        <v>112</v>
      </c>
      <c r="Q145" t="s">
        <v>380</v>
      </c>
      <c r="R145" t="s">
        <v>570</v>
      </c>
      <c r="S145" t="s">
        <v>547</v>
      </c>
      <c r="U145" t="s">
        <v>112</v>
      </c>
      <c r="V145" t="s">
        <v>774</v>
      </c>
      <c r="W145" t="s">
        <v>620</v>
      </c>
      <c r="X145" t="s">
        <v>666</v>
      </c>
    </row>
    <row r="146" spans="8:24" x14ac:dyDescent="0.45">
      <c r="H146" t="s">
        <v>292</v>
      </c>
      <c r="I146" t="s">
        <v>244</v>
      </c>
      <c r="J146">
        <v>9.3928651703745879E-3</v>
      </c>
      <c r="K146" t="s">
        <v>243</v>
      </c>
      <c r="P146" t="s">
        <v>112</v>
      </c>
      <c r="Q146" t="s">
        <v>381</v>
      </c>
      <c r="R146" t="s">
        <v>571</v>
      </c>
      <c r="S146" t="s">
        <v>547</v>
      </c>
      <c r="U146" t="s">
        <v>112</v>
      </c>
      <c r="V146" t="s">
        <v>775</v>
      </c>
      <c r="W146" t="s">
        <v>552</v>
      </c>
      <c r="X146" t="s">
        <v>666</v>
      </c>
    </row>
    <row r="147" spans="8:24" x14ac:dyDescent="0.45">
      <c r="H147" t="s">
        <v>292</v>
      </c>
      <c r="I147" t="s">
        <v>245</v>
      </c>
      <c r="J147">
        <v>9.3928651703745879E-3</v>
      </c>
      <c r="K147" t="s">
        <v>243</v>
      </c>
      <c r="P147" t="s">
        <v>112</v>
      </c>
      <c r="Q147" t="s">
        <v>382</v>
      </c>
      <c r="R147" t="s">
        <v>572</v>
      </c>
      <c r="S147" t="s">
        <v>547</v>
      </c>
      <c r="U147" t="s">
        <v>112</v>
      </c>
      <c r="V147" t="s">
        <v>775</v>
      </c>
      <c r="W147" t="s">
        <v>620</v>
      </c>
      <c r="X147" t="s">
        <v>666</v>
      </c>
    </row>
    <row r="148" spans="8:24" x14ac:dyDescent="0.45">
      <c r="H148" t="s">
        <v>293</v>
      </c>
      <c r="I148" t="s">
        <v>242</v>
      </c>
      <c r="J148">
        <v>1.3776599287490199E-2</v>
      </c>
      <c r="K148" t="s">
        <v>243</v>
      </c>
      <c r="P148" t="s">
        <v>112</v>
      </c>
      <c r="Q148" t="s">
        <v>383</v>
      </c>
      <c r="R148" t="s">
        <v>573</v>
      </c>
      <c r="S148" t="s">
        <v>547</v>
      </c>
      <c r="U148" t="s">
        <v>112</v>
      </c>
      <c r="V148" t="s">
        <v>776</v>
      </c>
      <c r="W148" t="s">
        <v>620</v>
      </c>
      <c r="X148" t="s">
        <v>666</v>
      </c>
    </row>
    <row r="149" spans="8:24" x14ac:dyDescent="0.45">
      <c r="H149" t="s">
        <v>293</v>
      </c>
      <c r="I149" t="s">
        <v>244</v>
      </c>
      <c r="J149">
        <v>1.3776599287490199E-2</v>
      </c>
      <c r="K149" t="s">
        <v>243</v>
      </c>
      <c r="P149" t="s">
        <v>112</v>
      </c>
      <c r="Q149" t="s">
        <v>384</v>
      </c>
      <c r="R149" t="s">
        <v>574</v>
      </c>
      <c r="S149" t="s">
        <v>547</v>
      </c>
      <c r="U149" t="s">
        <v>112</v>
      </c>
      <c r="V149" t="s">
        <v>777</v>
      </c>
      <c r="W149" t="s">
        <v>620</v>
      </c>
      <c r="X149" t="s">
        <v>666</v>
      </c>
    </row>
    <row r="150" spans="8:24" x14ac:dyDescent="0.45">
      <c r="H150" t="s">
        <v>293</v>
      </c>
      <c r="I150" t="s">
        <v>245</v>
      </c>
      <c r="J150">
        <v>1.3776599287490199E-2</v>
      </c>
      <c r="K150" t="s">
        <v>243</v>
      </c>
      <c r="P150" t="s">
        <v>112</v>
      </c>
      <c r="Q150" t="s">
        <v>385</v>
      </c>
      <c r="R150" t="s">
        <v>575</v>
      </c>
      <c r="S150" t="s">
        <v>547</v>
      </c>
      <c r="U150" t="s">
        <v>112</v>
      </c>
      <c r="V150" t="s">
        <v>778</v>
      </c>
      <c r="W150" t="s">
        <v>620</v>
      </c>
      <c r="X150" t="s">
        <v>666</v>
      </c>
    </row>
    <row r="151" spans="8:24" x14ac:dyDescent="0.45">
      <c r="H151" t="s">
        <v>294</v>
      </c>
      <c r="I151" t="s">
        <v>242</v>
      </c>
      <c r="J151">
        <v>5.0086591920417362E-3</v>
      </c>
      <c r="K151" t="s">
        <v>243</v>
      </c>
      <c r="P151" t="s">
        <v>112</v>
      </c>
      <c r="Q151" t="s">
        <v>386</v>
      </c>
      <c r="R151" t="s">
        <v>576</v>
      </c>
      <c r="S151" t="s">
        <v>547</v>
      </c>
      <c r="U151" t="s">
        <v>112</v>
      </c>
      <c r="V151" t="s">
        <v>778</v>
      </c>
      <c r="W151" t="s">
        <v>552</v>
      </c>
      <c r="X151" t="s">
        <v>547</v>
      </c>
    </row>
    <row r="152" spans="8:24" x14ac:dyDescent="0.45">
      <c r="H152" t="s">
        <v>294</v>
      </c>
      <c r="I152" t="s">
        <v>244</v>
      </c>
      <c r="J152">
        <v>5.0086591920417362E-3</v>
      </c>
      <c r="K152" t="s">
        <v>243</v>
      </c>
      <c r="P152" t="s">
        <v>112</v>
      </c>
      <c r="Q152" t="s">
        <v>387</v>
      </c>
      <c r="R152" t="s">
        <v>577</v>
      </c>
      <c r="S152" t="s">
        <v>547</v>
      </c>
      <c r="U152" t="s">
        <v>112</v>
      </c>
      <c r="V152" t="s">
        <v>779</v>
      </c>
      <c r="W152" t="s">
        <v>620</v>
      </c>
      <c r="X152" t="s">
        <v>666</v>
      </c>
    </row>
    <row r="153" spans="8:24" x14ac:dyDescent="0.45">
      <c r="H153" t="s">
        <v>294</v>
      </c>
      <c r="I153" t="s">
        <v>245</v>
      </c>
      <c r="J153">
        <v>5.0086591920417362E-3</v>
      </c>
      <c r="K153" t="s">
        <v>243</v>
      </c>
      <c r="P153" t="s">
        <v>112</v>
      </c>
      <c r="Q153" t="s">
        <v>388</v>
      </c>
      <c r="R153" t="s">
        <v>578</v>
      </c>
      <c r="S153" t="s">
        <v>547</v>
      </c>
      <c r="U153" t="s">
        <v>112</v>
      </c>
      <c r="V153" t="s">
        <v>779</v>
      </c>
      <c r="W153" t="s">
        <v>552</v>
      </c>
      <c r="X153" t="s">
        <v>547</v>
      </c>
    </row>
    <row r="154" spans="8:24" x14ac:dyDescent="0.45">
      <c r="H154" t="s">
        <v>295</v>
      </c>
      <c r="I154" t="s">
        <v>242</v>
      </c>
      <c r="J154">
        <v>6.1477653064319513E-3</v>
      </c>
      <c r="K154" t="s">
        <v>243</v>
      </c>
      <c r="P154" t="s">
        <v>112</v>
      </c>
      <c r="Q154" t="s">
        <v>389</v>
      </c>
      <c r="R154" t="s">
        <v>579</v>
      </c>
      <c r="S154" t="s">
        <v>547</v>
      </c>
      <c r="U154" t="s">
        <v>112</v>
      </c>
      <c r="V154" t="s">
        <v>780</v>
      </c>
      <c r="W154" t="s">
        <v>553</v>
      </c>
      <c r="X154" t="s">
        <v>666</v>
      </c>
    </row>
    <row r="155" spans="8:24" x14ac:dyDescent="0.45">
      <c r="H155" t="s">
        <v>295</v>
      </c>
      <c r="I155" t="s">
        <v>244</v>
      </c>
      <c r="J155">
        <v>6.1477653064319513E-3</v>
      </c>
      <c r="K155" t="s">
        <v>243</v>
      </c>
      <c r="P155" t="s">
        <v>112</v>
      </c>
      <c r="Q155" t="s">
        <v>390</v>
      </c>
      <c r="R155" t="s">
        <v>580</v>
      </c>
      <c r="S155" t="s">
        <v>547</v>
      </c>
      <c r="U155" t="s">
        <v>112</v>
      </c>
      <c r="V155" t="s">
        <v>781</v>
      </c>
      <c r="W155" t="s">
        <v>553</v>
      </c>
      <c r="X155" t="s">
        <v>666</v>
      </c>
    </row>
    <row r="156" spans="8:24" x14ac:dyDescent="0.45">
      <c r="H156" t="s">
        <v>295</v>
      </c>
      <c r="I156" t="s">
        <v>245</v>
      </c>
      <c r="J156">
        <v>6.1477653064319513E-3</v>
      </c>
      <c r="K156" t="s">
        <v>243</v>
      </c>
      <c r="P156" t="s">
        <v>112</v>
      </c>
      <c r="Q156" t="s">
        <v>391</v>
      </c>
      <c r="R156" t="s">
        <v>581</v>
      </c>
      <c r="S156" t="s">
        <v>547</v>
      </c>
      <c r="U156" t="s">
        <v>112</v>
      </c>
      <c r="V156" t="s">
        <v>782</v>
      </c>
      <c r="W156" t="s">
        <v>553</v>
      </c>
      <c r="X156" t="s">
        <v>666</v>
      </c>
    </row>
    <row r="157" spans="8:24" x14ac:dyDescent="0.45">
      <c r="H157" t="s">
        <v>296</v>
      </c>
      <c r="I157" t="s">
        <v>242</v>
      </c>
      <c r="J157">
        <v>2.6473019460272532E-2</v>
      </c>
      <c r="K157" t="s">
        <v>243</v>
      </c>
      <c r="P157" t="s">
        <v>112</v>
      </c>
      <c r="Q157" t="s">
        <v>392</v>
      </c>
      <c r="R157" t="s">
        <v>582</v>
      </c>
      <c r="S157" t="s">
        <v>547</v>
      </c>
      <c r="U157" t="s">
        <v>112</v>
      </c>
      <c r="V157" t="s">
        <v>783</v>
      </c>
      <c r="W157" t="s">
        <v>553</v>
      </c>
      <c r="X157" t="s">
        <v>666</v>
      </c>
    </row>
    <row r="158" spans="8:24" x14ac:dyDescent="0.45">
      <c r="H158" t="s">
        <v>296</v>
      </c>
      <c r="I158" t="s">
        <v>244</v>
      </c>
      <c r="J158">
        <v>2.6473019460272532E-2</v>
      </c>
      <c r="K158" t="s">
        <v>243</v>
      </c>
      <c r="P158" t="s">
        <v>112</v>
      </c>
      <c r="Q158" t="s">
        <v>393</v>
      </c>
      <c r="R158" t="s">
        <v>583</v>
      </c>
      <c r="S158" t="s">
        <v>547</v>
      </c>
      <c r="U158" t="s">
        <v>112</v>
      </c>
      <c r="V158" t="s">
        <v>784</v>
      </c>
      <c r="W158" t="s">
        <v>553</v>
      </c>
      <c r="X158" t="s">
        <v>666</v>
      </c>
    </row>
    <row r="159" spans="8:24" x14ac:dyDescent="0.45">
      <c r="H159" t="s">
        <v>296</v>
      </c>
      <c r="I159" t="s">
        <v>245</v>
      </c>
      <c r="J159">
        <v>2.6473019460272532E-2</v>
      </c>
      <c r="K159" t="s">
        <v>243</v>
      </c>
      <c r="P159" t="s">
        <v>112</v>
      </c>
      <c r="Q159" t="s">
        <v>394</v>
      </c>
      <c r="R159" t="s">
        <v>584</v>
      </c>
      <c r="S159" t="s">
        <v>547</v>
      </c>
      <c r="U159" t="s">
        <v>112</v>
      </c>
      <c r="V159" t="s">
        <v>785</v>
      </c>
      <c r="W159" t="s">
        <v>553</v>
      </c>
      <c r="X159" t="s">
        <v>666</v>
      </c>
    </row>
    <row r="160" spans="8:24" x14ac:dyDescent="0.45">
      <c r="H160" t="s">
        <v>297</v>
      </c>
      <c r="I160" t="s">
        <v>242</v>
      </c>
      <c r="J160">
        <v>4.8865315825130297E-2</v>
      </c>
      <c r="K160" t="s">
        <v>243</v>
      </c>
      <c r="P160" t="s">
        <v>112</v>
      </c>
      <c r="Q160" t="s">
        <v>395</v>
      </c>
      <c r="R160" t="s">
        <v>585</v>
      </c>
      <c r="S160" t="s">
        <v>547</v>
      </c>
      <c r="U160" t="s">
        <v>112</v>
      </c>
      <c r="V160" t="s">
        <v>786</v>
      </c>
      <c r="W160" t="s">
        <v>553</v>
      </c>
      <c r="X160" t="s">
        <v>666</v>
      </c>
    </row>
    <row r="161" spans="8:24" x14ac:dyDescent="0.45">
      <c r="H161" t="s">
        <v>297</v>
      </c>
      <c r="I161" t="s">
        <v>244</v>
      </c>
      <c r="J161">
        <v>4.8865315825130297E-2</v>
      </c>
      <c r="K161" t="s">
        <v>243</v>
      </c>
      <c r="P161" t="s">
        <v>112</v>
      </c>
      <c r="Q161" t="s">
        <v>396</v>
      </c>
      <c r="R161" t="s">
        <v>586</v>
      </c>
      <c r="S161" t="s">
        <v>547</v>
      </c>
      <c r="U161" t="s">
        <v>112</v>
      </c>
      <c r="V161" t="s">
        <v>787</v>
      </c>
      <c r="W161" t="s">
        <v>553</v>
      </c>
      <c r="X161" t="s">
        <v>666</v>
      </c>
    </row>
    <row r="162" spans="8:24" x14ac:dyDescent="0.45">
      <c r="H162" t="s">
        <v>297</v>
      </c>
      <c r="I162" t="s">
        <v>245</v>
      </c>
      <c r="J162">
        <v>4.8865315825130297E-2</v>
      </c>
      <c r="K162" t="s">
        <v>243</v>
      </c>
      <c r="P162" t="s">
        <v>112</v>
      </c>
      <c r="Q162" t="s">
        <v>397</v>
      </c>
      <c r="R162" t="s">
        <v>587</v>
      </c>
      <c r="S162" t="s">
        <v>547</v>
      </c>
      <c r="U162" t="s">
        <v>112</v>
      </c>
      <c r="V162" t="s">
        <v>788</v>
      </c>
      <c r="W162" t="s">
        <v>553</v>
      </c>
      <c r="X162" t="s">
        <v>666</v>
      </c>
    </row>
    <row r="163" spans="8:24" x14ac:dyDescent="0.45">
      <c r="H163" t="s">
        <v>298</v>
      </c>
      <c r="I163" t="s">
        <v>242</v>
      </c>
      <c r="J163">
        <v>2.6086249460113991E-2</v>
      </c>
      <c r="K163" t="s">
        <v>243</v>
      </c>
      <c r="P163" t="s">
        <v>112</v>
      </c>
      <c r="Q163" t="s">
        <v>398</v>
      </c>
      <c r="R163" t="s">
        <v>588</v>
      </c>
      <c r="S163" t="s">
        <v>547</v>
      </c>
      <c r="U163" t="s">
        <v>112</v>
      </c>
      <c r="V163" t="s">
        <v>789</v>
      </c>
      <c r="W163" t="s">
        <v>553</v>
      </c>
      <c r="X163" t="s">
        <v>666</v>
      </c>
    </row>
    <row r="164" spans="8:24" x14ac:dyDescent="0.45">
      <c r="H164" t="s">
        <v>298</v>
      </c>
      <c r="I164" t="s">
        <v>244</v>
      </c>
      <c r="J164">
        <v>2.6086249460113991E-2</v>
      </c>
      <c r="K164" t="s">
        <v>243</v>
      </c>
      <c r="P164" t="s">
        <v>112</v>
      </c>
      <c r="Q164" t="s">
        <v>399</v>
      </c>
      <c r="R164" t="s">
        <v>589</v>
      </c>
      <c r="S164" t="s">
        <v>547</v>
      </c>
      <c r="U164" t="s">
        <v>112</v>
      </c>
      <c r="V164" t="s">
        <v>790</v>
      </c>
      <c r="W164" t="s">
        <v>553</v>
      </c>
      <c r="X164" t="s">
        <v>666</v>
      </c>
    </row>
    <row r="165" spans="8:24" x14ac:dyDescent="0.45">
      <c r="H165" t="s">
        <v>298</v>
      </c>
      <c r="I165" t="s">
        <v>245</v>
      </c>
      <c r="J165">
        <v>2.6086249460113991E-2</v>
      </c>
      <c r="K165" t="s">
        <v>243</v>
      </c>
      <c r="P165" t="s">
        <v>112</v>
      </c>
      <c r="Q165" t="s">
        <v>400</v>
      </c>
      <c r="R165" t="s">
        <v>590</v>
      </c>
      <c r="S165" t="s">
        <v>547</v>
      </c>
      <c r="U165" t="s">
        <v>112</v>
      </c>
      <c r="V165" t="s">
        <v>791</v>
      </c>
      <c r="W165" t="s">
        <v>553</v>
      </c>
      <c r="X165" t="s">
        <v>666</v>
      </c>
    </row>
    <row r="166" spans="8:24" x14ac:dyDescent="0.45">
      <c r="H166" t="s">
        <v>299</v>
      </c>
      <c r="I166" t="s">
        <v>242</v>
      </c>
      <c r="J166">
        <v>1.5433973830342899E-2</v>
      </c>
      <c r="K166" t="s">
        <v>243</v>
      </c>
      <c r="P166" t="s">
        <v>112</v>
      </c>
      <c r="Q166" t="s">
        <v>401</v>
      </c>
      <c r="R166" t="s">
        <v>591</v>
      </c>
      <c r="S166" t="s">
        <v>547</v>
      </c>
      <c r="U166" t="s">
        <v>112</v>
      </c>
      <c r="V166" t="s">
        <v>791</v>
      </c>
      <c r="W166" t="s">
        <v>612</v>
      </c>
      <c r="X166" t="s">
        <v>666</v>
      </c>
    </row>
    <row r="167" spans="8:24" x14ac:dyDescent="0.45">
      <c r="H167" t="s">
        <v>299</v>
      </c>
      <c r="I167" t="s">
        <v>244</v>
      </c>
      <c r="J167">
        <v>1.5433973830342899E-2</v>
      </c>
      <c r="K167" t="s">
        <v>243</v>
      </c>
      <c r="P167" t="s">
        <v>112</v>
      </c>
      <c r="Q167" t="s">
        <v>402</v>
      </c>
      <c r="R167" t="s">
        <v>592</v>
      </c>
      <c r="S167" t="s">
        <v>547</v>
      </c>
      <c r="U167" t="s">
        <v>112</v>
      </c>
      <c r="V167" t="s">
        <v>792</v>
      </c>
      <c r="W167" t="s">
        <v>553</v>
      </c>
      <c r="X167" t="s">
        <v>666</v>
      </c>
    </row>
    <row r="168" spans="8:24" x14ac:dyDescent="0.45">
      <c r="H168" t="s">
        <v>299</v>
      </c>
      <c r="I168" t="s">
        <v>245</v>
      </c>
      <c r="J168">
        <v>1.5433973830342899E-2</v>
      </c>
      <c r="K168" t="s">
        <v>243</v>
      </c>
      <c r="P168" t="s">
        <v>112</v>
      </c>
      <c r="Q168" t="s">
        <v>403</v>
      </c>
      <c r="R168" t="s">
        <v>593</v>
      </c>
      <c r="S168" t="s">
        <v>547</v>
      </c>
      <c r="U168" t="s">
        <v>112</v>
      </c>
      <c r="V168" t="s">
        <v>792</v>
      </c>
      <c r="W168" t="s">
        <v>612</v>
      </c>
      <c r="X168" t="s">
        <v>666</v>
      </c>
    </row>
    <row r="169" spans="8:24" x14ac:dyDescent="0.45">
      <c r="H169" t="s">
        <v>300</v>
      </c>
      <c r="I169" t="s">
        <v>242</v>
      </c>
      <c r="J169">
        <v>1.1134566809932342E-2</v>
      </c>
      <c r="K169" t="s">
        <v>243</v>
      </c>
      <c r="P169" t="s">
        <v>112</v>
      </c>
      <c r="Q169" t="s">
        <v>404</v>
      </c>
      <c r="R169" t="s">
        <v>594</v>
      </c>
      <c r="S169" t="s">
        <v>547</v>
      </c>
      <c r="U169" t="s">
        <v>112</v>
      </c>
      <c r="V169" t="s">
        <v>793</v>
      </c>
      <c r="W169" t="s">
        <v>553</v>
      </c>
      <c r="X169" t="s">
        <v>666</v>
      </c>
    </row>
    <row r="170" spans="8:24" x14ac:dyDescent="0.45">
      <c r="H170" t="s">
        <v>300</v>
      </c>
      <c r="I170" t="s">
        <v>244</v>
      </c>
      <c r="J170">
        <v>1.1134566809932342E-2</v>
      </c>
      <c r="K170" t="s">
        <v>243</v>
      </c>
      <c r="P170" t="s">
        <v>112</v>
      </c>
      <c r="Q170" t="s">
        <v>405</v>
      </c>
      <c r="R170" t="s">
        <v>595</v>
      </c>
      <c r="S170" t="s">
        <v>547</v>
      </c>
      <c r="U170" t="s">
        <v>112</v>
      </c>
      <c r="V170" t="s">
        <v>793</v>
      </c>
      <c r="W170" t="s">
        <v>612</v>
      </c>
      <c r="X170" t="s">
        <v>666</v>
      </c>
    </row>
    <row r="171" spans="8:24" x14ac:dyDescent="0.45">
      <c r="H171" t="s">
        <v>300</v>
      </c>
      <c r="I171" t="s">
        <v>245</v>
      </c>
      <c r="J171">
        <v>1.1134566809932342E-2</v>
      </c>
      <c r="K171" t="s">
        <v>243</v>
      </c>
      <c r="P171" t="s">
        <v>112</v>
      </c>
      <c r="Q171" t="s">
        <v>406</v>
      </c>
      <c r="R171" t="s">
        <v>596</v>
      </c>
      <c r="S171" t="s">
        <v>547</v>
      </c>
      <c r="U171" t="s">
        <v>112</v>
      </c>
      <c r="V171" t="s">
        <v>794</v>
      </c>
      <c r="W171" t="s">
        <v>553</v>
      </c>
      <c r="X171" t="s">
        <v>666</v>
      </c>
    </row>
    <row r="172" spans="8:24" x14ac:dyDescent="0.45">
      <c r="H172" t="s">
        <v>301</v>
      </c>
      <c r="I172" t="s">
        <v>242</v>
      </c>
      <c r="J172">
        <v>6.7508893647565016E-2</v>
      </c>
      <c r="K172" t="s">
        <v>243</v>
      </c>
      <c r="P172" t="s">
        <v>112</v>
      </c>
      <c r="Q172" t="s">
        <v>407</v>
      </c>
      <c r="R172" t="s">
        <v>597</v>
      </c>
      <c r="S172" t="s">
        <v>547</v>
      </c>
      <c r="U172" t="s">
        <v>112</v>
      </c>
      <c r="V172" t="s">
        <v>794</v>
      </c>
      <c r="W172" t="s">
        <v>612</v>
      </c>
      <c r="X172" t="s">
        <v>666</v>
      </c>
    </row>
    <row r="173" spans="8:24" x14ac:dyDescent="0.45">
      <c r="H173" t="s">
        <v>301</v>
      </c>
      <c r="I173" t="s">
        <v>244</v>
      </c>
      <c r="J173">
        <v>6.7508893647565016E-2</v>
      </c>
      <c r="K173" t="s">
        <v>243</v>
      </c>
      <c r="P173" t="s">
        <v>112</v>
      </c>
      <c r="Q173" t="s">
        <v>408</v>
      </c>
      <c r="R173" t="s">
        <v>598</v>
      </c>
      <c r="S173" t="s">
        <v>547</v>
      </c>
      <c r="U173" t="s">
        <v>112</v>
      </c>
      <c r="V173" t="s">
        <v>795</v>
      </c>
      <c r="W173" t="s">
        <v>612</v>
      </c>
      <c r="X173" t="s">
        <v>666</v>
      </c>
    </row>
    <row r="174" spans="8:24" x14ac:dyDescent="0.45">
      <c r="H174" t="s">
        <v>301</v>
      </c>
      <c r="I174" t="s">
        <v>245</v>
      </c>
      <c r="J174">
        <v>6.7508893647565016E-2</v>
      </c>
      <c r="K174" t="s">
        <v>243</v>
      </c>
      <c r="P174" t="s">
        <v>112</v>
      </c>
      <c r="Q174" t="s">
        <v>409</v>
      </c>
      <c r="R174" t="s">
        <v>599</v>
      </c>
      <c r="S174" t="s">
        <v>547</v>
      </c>
      <c r="U174" t="s">
        <v>112</v>
      </c>
      <c r="V174" t="s">
        <v>796</v>
      </c>
      <c r="W174" t="s">
        <v>612</v>
      </c>
      <c r="X174" t="s">
        <v>666</v>
      </c>
    </row>
    <row r="175" spans="8:24" x14ac:dyDescent="0.45">
      <c r="H175" t="s">
        <v>302</v>
      </c>
      <c r="I175" t="s">
        <v>242</v>
      </c>
      <c r="J175">
        <v>1.8212025495717772E-2</v>
      </c>
      <c r="K175" t="s">
        <v>243</v>
      </c>
      <c r="P175" t="s">
        <v>112</v>
      </c>
      <c r="Q175" t="s">
        <v>410</v>
      </c>
      <c r="R175" t="s">
        <v>600</v>
      </c>
      <c r="S175" t="s">
        <v>547</v>
      </c>
      <c r="U175" t="s">
        <v>112</v>
      </c>
      <c r="V175" t="s">
        <v>797</v>
      </c>
      <c r="W175" t="s">
        <v>612</v>
      </c>
      <c r="X175" t="s">
        <v>666</v>
      </c>
    </row>
    <row r="176" spans="8:24" x14ac:dyDescent="0.45">
      <c r="H176" t="s">
        <v>302</v>
      </c>
      <c r="I176" t="s">
        <v>244</v>
      </c>
      <c r="J176">
        <v>1.8212025495717772E-2</v>
      </c>
      <c r="K176" t="s">
        <v>243</v>
      </c>
      <c r="P176" t="s">
        <v>112</v>
      </c>
      <c r="Q176" t="s">
        <v>411</v>
      </c>
      <c r="R176" t="s">
        <v>601</v>
      </c>
      <c r="S176" t="s">
        <v>547</v>
      </c>
      <c r="U176" t="s">
        <v>112</v>
      </c>
      <c r="V176" t="s">
        <v>797</v>
      </c>
      <c r="W176" t="s">
        <v>553</v>
      </c>
      <c r="X176" t="s">
        <v>547</v>
      </c>
    </row>
    <row r="177" spans="8:24" x14ac:dyDescent="0.45">
      <c r="H177" t="s">
        <v>302</v>
      </c>
      <c r="I177" t="s">
        <v>245</v>
      </c>
      <c r="J177">
        <v>1.8212025495717772E-2</v>
      </c>
      <c r="K177" t="s">
        <v>243</v>
      </c>
      <c r="P177" t="s">
        <v>112</v>
      </c>
      <c r="Q177" t="s">
        <v>412</v>
      </c>
      <c r="R177" t="s">
        <v>602</v>
      </c>
      <c r="S177" t="s">
        <v>547</v>
      </c>
      <c r="U177" t="s">
        <v>112</v>
      </c>
      <c r="V177" t="s">
        <v>798</v>
      </c>
      <c r="W177" t="s">
        <v>612</v>
      </c>
      <c r="X177" t="s">
        <v>666</v>
      </c>
    </row>
    <row r="178" spans="8:24" x14ac:dyDescent="0.45">
      <c r="H178" t="s">
        <v>303</v>
      </c>
      <c r="I178" t="s">
        <v>242</v>
      </c>
      <c r="J178">
        <v>3.7966015672833933E-2</v>
      </c>
      <c r="K178" t="s">
        <v>243</v>
      </c>
      <c r="P178" t="s">
        <v>112</v>
      </c>
      <c r="Q178" t="s">
        <v>476</v>
      </c>
      <c r="R178" t="s">
        <v>603</v>
      </c>
      <c r="S178" t="s">
        <v>547</v>
      </c>
      <c r="U178" t="s">
        <v>112</v>
      </c>
      <c r="V178" t="s">
        <v>798</v>
      </c>
      <c r="W178" t="s">
        <v>553</v>
      </c>
      <c r="X178" t="s">
        <v>547</v>
      </c>
    </row>
    <row r="179" spans="8:24" x14ac:dyDescent="0.45">
      <c r="H179" t="s">
        <v>303</v>
      </c>
      <c r="I179" t="s">
        <v>244</v>
      </c>
      <c r="J179">
        <v>3.7966015672833933E-2</v>
      </c>
      <c r="K179" t="s">
        <v>243</v>
      </c>
      <c r="P179" t="s">
        <v>112</v>
      </c>
      <c r="Q179" t="s">
        <v>477</v>
      </c>
      <c r="R179" t="s">
        <v>604</v>
      </c>
      <c r="S179" t="s">
        <v>547</v>
      </c>
      <c r="U179" t="s">
        <v>112</v>
      </c>
      <c r="V179" t="s">
        <v>799</v>
      </c>
      <c r="W179" t="s">
        <v>554</v>
      </c>
      <c r="X179" t="s">
        <v>666</v>
      </c>
    </row>
    <row r="180" spans="8:24" x14ac:dyDescent="0.45">
      <c r="H180" t="s">
        <v>303</v>
      </c>
      <c r="I180" t="s">
        <v>245</v>
      </c>
      <c r="J180">
        <v>3.7966015672833933E-2</v>
      </c>
      <c r="K180" t="s">
        <v>243</v>
      </c>
      <c r="P180" t="s">
        <v>112</v>
      </c>
      <c r="Q180" t="s">
        <v>478</v>
      </c>
      <c r="R180" t="s">
        <v>605</v>
      </c>
      <c r="S180" t="s">
        <v>547</v>
      </c>
      <c r="U180" t="s">
        <v>112</v>
      </c>
      <c r="V180" t="s">
        <v>800</v>
      </c>
      <c r="W180" t="s">
        <v>554</v>
      </c>
      <c r="X180" t="s">
        <v>666</v>
      </c>
    </row>
    <row r="181" spans="8:24" x14ac:dyDescent="0.45">
      <c r="H181" t="s">
        <v>304</v>
      </c>
      <c r="I181" t="s">
        <v>242</v>
      </c>
      <c r="J181">
        <v>1.2291107876762148E-2</v>
      </c>
      <c r="K181" t="s">
        <v>243</v>
      </c>
      <c r="P181" t="s">
        <v>112</v>
      </c>
      <c r="Q181" t="s">
        <v>413</v>
      </c>
      <c r="R181" t="s">
        <v>546</v>
      </c>
      <c r="S181" t="s">
        <v>547</v>
      </c>
      <c r="U181" t="s">
        <v>112</v>
      </c>
      <c r="V181" t="s">
        <v>801</v>
      </c>
      <c r="W181" t="s">
        <v>554</v>
      </c>
      <c r="X181" t="s">
        <v>666</v>
      </c>
    </row>
    <row r="182" spans="8:24" x14ac:dyDescent="0.45">
      <c r="H182" t="s">
        <v>304</v>
      </c>
      <c r="I182" t="s">
        <v>244</v>
      </c>
      <c r="J182">
        <v>1.2291107876762148E-2</v>
      </c>
      <c r="K182" t="s">
        <v>243</v>
      </c>
      <c r="P182" t="s">
        <v>112</v>
      </c>
      <c r="Q182" t="s">
        <v>414</v>
      </c>
      <c r="R182" t="s">
        <v>548</v>
      </c>
      <c r="S182" t="s">
        <v>547</v>
      </c>
      <c r="U182" t="s">
        <v>112</v>
      </c>
      <c r="V182" t="s">
        <v>802</v>
      </c>
      <c r="W182" t="s">
        <v>554</v>
      </c>
      <c r="X182" t="s">
        <v>666</v>
      </c>
    </row>
    <row r="183" spans="8:24" x14ac:dyDescent="0.45">
      <c r="H183" t="s">
        <v>304</v>
      </c>
      <c r="I183" t="s">
        <v>245</v>
      </c>
      <c r="J183">
        <v>1.2291107876762148E-2</v>
      </c>
      <c r="K183" t="s">
        <v>243</v>
      </c>
      <c r="P183" t="s">
        <v>112</v>
      </c>
      <c r="Q183" t="s">
        <v>415</v>
      </c>
      <c r="R183" t="s">
        <v>549</v>
      </c>
      <c r="S183" t="s">
        <v>547</v>
      </c>
      <c r="U183" t="s">
        <v>112</v>
      </c>
      <c r="V183" t="s">
        <v>803</v>
      </c>
      <c r="W183" t="s">
        <v>554</v>
      </c>
      <c r="X183" t="s">
        <v>666</v>
      </c>
    </row>
    <row r="184" spans="8:24" x14ac:dyDescent="0.45">
      <c r="H184" t="s">
        <v>305</v>
      </c>
      <c r="I184" t="s">
        <v>242</v>
      </c>
      <c r="J184">
        <v>4.5813904175743436E-2</v>
      </c>
      <c r="K184" t="s">
        <v>243</v>
      </c>
      <c r="P184" t="s">
        <v>112</v>
      </c>
      <c r="Q184" t="s">
        <v>416</v>
      </c>
      <c r="R184" t="s">
        <v>550</v>
      </c>
      <c r="S184" t="s">
        <v>547</v>
      </c>
      <c r="U184" t="s">
        <v>112</v>
      </c>
      <c r="V184" t="s">
        <v>804</v>
      </c>
      <c r="W184" t="s">
        <v>554</v>
      </c>
      <c r="X184" t="s">
        <v>666</v>
      </c>
    </row>
    <row r="185" spans="8:24" x14ac:dyDescent="0.45">
      <c r="H185" t="s">
        <v>305</v>
      </c>
      <c r="I185" t="s">
        <v>244</v>
      </c>
      <c r="J185">
        <v>4.5813904175743436E-2</v>
      </c>
      <c r="K185" t="s">
        <v>243</v>
      </c>
      <c r="P185" t="s">
        <v>112</v>
      </c>
      <c r="Q185" t="s">
        <v>417</v>
      </c>
      <c r="R185" t="s">
        <v>551</v>
      </c>
      <c r="S185" t="s">
        <v>547</v>
      </c>
      <c r="U185" t="s">
        <v>112</v>
      </c>
      <c r="V185" t="s">
        <v>805</v>
      </c>
      <c r="W185" t="s">
        <v>554</v>
      </c>
      <c r="X185" t="s">
        <v>666</v>
      </c>
    </row>
    <row r="186" spans="8:24" x14ac:dyDescent="0.45">
      <c r="H186" t="s">
        <v>305</v>
      </c>
      <c r="I186" t="s">
        <v>245</v>
      </c>
      <c r="J186">
        <v>4.5813904175743436E-2</v>
      </c>
      <c r="K186" t="s">
        <v>243</v>
      </c>
      <c r="P186" t="s">
        <v>112</v>
      </c>
      <c r="Q186" t="s">
        <v>418</v>
      </c>
      <c r="R186" t="s">
        <v>552</v>
      </c>
      <c r="S186" t="s">
        <v>547</v>
      </c>
      <c r="U186" t="s">
        <v>112</v>
      </c>
      <c r="V186" t="s">
        <v>806</v>
      </c>
      <c r="W186" t="s">
        <v>554</v>
      </c>
      <c r="X186" t="s">
        <v>666</v>
      </c>
    </row>
    <row r="187" spans="8:24" x14ac:dyDescent="0.45">
      <c r="H187" t="s">
        <v>306</v>
      </c>
      <c r="I187" t="s">
        <v>242</v>
      </c>
      <c r="J187">
        <v>4.2235675966022547E-2</v>
      </c>
      <c r="K187" t="s">
        <v>243</v>
      </c>
      <c r="P187" t="s">
        <v>112</v>
      </c>
      <c r="Q187" t="s">
        <v>419</v>
      </c>
      <c r="R187" t="s">
        <v>553</v>
      </c>
      <c r="S187" t="s">
        <v>547</v>
      </c>
      <c r="U187" t="s">
        <v>112</v>
      </c>
      <c r="V187" t="s">
        <v>807</v>
      </c>
      <c r="W187" t="s">
        <v>554</v>
      </c>
      <c r="X187" t="s">
        <v>666</v>
      </c>
    </row>
    <row r="188" spans="8:24" x14ac:dyDescent="0.45">
      <c r="H188" t="s">
        <v>306</v>
      </c>
      <c r="I188" t="s">
        <v>244</v>
      </c>
      <c r="J188">
        <v>4.2235675966022547E-2</v>
      </c>
      <c r="K188" t="s">
        <v>243</v>
      </c>
      <c r="P188" t="s">
        <v>112</v>
      </c>
      <c r="Q188" t="s">
        <v>420</v>
      </c>
      <c r="R188" t="s">
        <v>554</v>
      </c>
      <c r="S188" t="s">
        <v>547</v>
      </c>
      <c r="U188" t="s">
        <v>112</v>
      </c>
      <c r="V188" t="s">
        <v>808</v>
      </c>
      <c r="W188" t="s">
        <v>554</v>
      </c>
      <c r="X188" t="s">
        <v>666</v>
      </c>
    </row>
    <row r="189" spans="8:24" x14ac:dyDescent="0.45">
      <c r="H189" t="s">
        <v>306</v>
      </c>
      <c r="I189" t="s">
        <v>245</v>
      </c>
      <c r="J189">
        <v>4.2235675966022547E-2</v>
      </c>
      <c r="K189" t="s">
        <v>243</v>
      </c>
      <c r="P189" t="s">
        <v>112</v>
      </c>
      <c r="Q189" t="s">
        <v>421</v>
      </c>
      <c r="R189" t="s">
        <v>555</v>
      </c>
      <c r="S189" t="s">
        <v>547</v>
      </c>
      <c r="U189" t="s">
        <v>112</v>
      </c>
      <c r="V189" t="s">
        <v>809</v>
      </c>
      <c r="W189" t="s">
        <v>554</v>
      </c>
      <c r="X189" t="s">
        <v>666</v>
      </c>
    </row>
    <row r="190" spans="8:24" x14ac:dyDescent="0.45">
      <c r="H190" t="s">
        <v>307</v>
      </c>
      <c r="I190" t="s">
        <v>242</v>
      </c>
      <c r="J190">
        <v>1.1215346455244498E-2</v>
      </c>
      <c r="K190" t="s">
        <v>243</v>
      </c>
      <c r="P190" t="s">
        <v>112</v>
      </c>
      <c r="Q190" t="s">
        <v>422</v>
      </c>
      <c r="R190" t="s">
        <v>556</v>
      </c>
      <c r="S190" t="s">
        <v>547</v>
      </c>
      <c r="U190" t="s">
        <v>112</v>
      </c>
      <c r="V190" t="s">
        <v>810</v>
      </c>
      <c r="W190" t="s">
        <v>554</v>
      </c>
      <c r="X190" t="s">
        <v>666</v>
      </c>
    </row>
    <row r="191" spans="8:24" x14ac:dyDescent="0.45">
      <c r="H191" t="s">
        <v>307</v>
      </c>
      <c r="I191" t="s">
        <v>244</v>
      </c>
      <c r="J191">
        <v>1.1215346455244498E-2</v>
      </c>
      <c r="K191" t="s">
        <v>243</v>
      </c>
      <c r="P191" t="s">
        <v>112</v>
      </c>
      <c r="Q191" t="s">
        <v>423</v>
      </c>
      <c r="R191" t="s">
        <v>557</v>
      </c>
      <c r="S191" t="s">
        <v>547</v>
      </c>
      <c r="U191" t="s">
        <v>112</v>
      </c>
      <c r="V191" t="s">
        <v>810</v>
      </c>
      <c r="W191" t="s">
        <v>656</v>
      </c>
      <c r="X191" t="s">
        <v>666</v>
      </c>
    </row>
    <row r="192" spans="8:24" x14ac:dyDescent="0.45">
      <c r="H192" t="s">
        <v>307</v>
      </c>
      <c r="I192" t="s">
        <v>245</v>
      </c>
      <c r="J192">
        <v>1.1215346455244498E-2</v>
      </c>
      <c r="K192" t="s">
        <v>243</v>
      </c>
      <c r="P192" t="s">
        <v>112</v>
      </c>
      <c r="Q192" t="s">
        <v>424</v>
      </c>
      <c r="R192" t="s">
        <v>558</v>
      </c>
      <c r="S192" t="s">
        <v>547</v>
      </c>
      <c r="U192" t="s">
        <v>112</v>
      </c>
      <c r="V192" t="s">
        <v>811</v>
      </c>
      <c r="W192" t="s">
        <v>554</v>
      </c>
      <c r="X192" t="s">
        <v>666</v>
      </c>
    </row>
    <row r="193" spans="8:24" x14ac:dyDescent="0.45">
      <c r="H193" t="s">
        <v>308</v>
      </c>
      <c r="I193" t="s">
        <v>242</v>
      </c>
      <c r="J193">
        <v>1.805566500419031E-2</v>
      </c>
      <c r="K193" t="s">
        <v>243</v>
      </c>
      <c r="P193" t="s">
        <v>112</v>
      </c>
      <c r="Q193" t="s">
        <v>425</v>
      </c>
      <c r="R193" t="s">
        <v>559</v>
      </c>
      <c r="S193" t="s">
        <v>547</v>
      </c>
      <c r="U193" t="s">
        <v>112</v>
      </c>
      <c r="V193" t="s">
        <v>811</v>
      </c>
      <c r="W193" t="s">
        <v>656</v>
      </c>
      <c r="X193" t="s">
        <v>666</v>
      </c>
    </row>
    <row r="194" spans="8:24" x14ac:dyDescent="0.45">
      <c r="H194" t="s">
        <v>308</v>
      </c>
      <c r="I194" t="s">
        <v>244</v>
      </c>
      <c r="J194">
        <v>1.805566500419031E-2</v>
      </c>
      <c r="K194" t="s">
        <v>243</v>
      </c>
      <c r="P194" t="s">
        <v>112</v>
      </c>
      <c r="Q194" t="s">
        <v>426</v>
      </c>
      <c r="R194" t="s">
        <v>560</v>
      </c>
      <c r="S194" t="s">
        <v>547</v>
      </c>
      <c r="U194" t="s">
        <v>112</v>
      </c>
      <c r="V194" t="s">
        <v>812</v>
      </c>
      <c r="W194" t="s">
        <v>554</v>
      </c>
      <c r="X194" t="s">
        <v>666</v>
      </c>
    </row>
    <row r="195" spans="8:24" x14ac:dyDescent="0.45">
      <c r="H195" t="s">
        <v>308</v>
      </c>
      <c r="I195" t="s">
        <v>245</v>
      </c>
      <c r="J195">
        <v>1.805566500419031E-2</v>
      </c>
      <c r="K195" t="s">
        <v>243</v>
      </c>
      <c r="P195" t="s">
        <v>112</v>
      </c>
      <c r="Q195" t="s">
        <v>427</v>
      </c>
      <c r="R195" t="s">
        <v>561</v>
      </c>
      <c r="S195" t="s">
        <v>547</v>
      </c>
      <c r="U195" t="s">
        <v>112</v>
      </c>
      <c r="V195" t="s">
        <v>812</v>
      </c>
      <c r="W195" t="s">
        <v>656</v>
      </c>
      <c r="X195" t="s">
        <v>666</v>
      </c>
    </row>
    <row r="196" spans="8:24" x14ac:dyDescent="0.45">
      <c r="H196" t="s">
        <v>309</v>
      </c>
      <c r="I196" t="s">
        <v>242</v>
      </c>
      <c r="J196">
        <v>1.3586949985506535E-2</v>
      </c>
      <c r="K196" t="s">
        <v>243</v>
      </c>
      <c r="P196" t="s">
        <v>112</v>
      </c>
      <c r="Q196" t="s">
        <v>428</v>
      </c>
      <c r="R196" t="s">
        <v>562</v>
      </c>
      <c r="S196" t="s">
        <v>547</v>
      </c>
      <c r="U196" t="s">
        <v>112</v>
      </c>
      <c r="V196" t="s">
        <v>813</v>
      </c>
      <c r="W196" t="s">
        <v>554</v>
      </c>
      <c r="X196" t="s">
        <v>666</v>
      </c>
    </row>
    <row r="197" spans="8:24" x14ac:dyDescent="0.45">
      <c r="H197" t="s">
        <v>309</v>
      </c>
      <c r="I197" t="s">
        <v>244</v>
      </c>
      <c r="J197">
        <v>1.3586949985506535E-2</v>
      </c>
      <c r="K197" t="s">
        <v>243</v>
      </c>
      <c r="P197" t="s">
        <v>112</v>
      </c>
      <c r="Q197" t="s">
        <v>429</v>
      </c>
      <c r="R197" t="s">
        <v>563</v>
      </c>
      <c r="S197" t="s">
        <v>547</v>
      </c>
      <c r="U197" t="s">
        <v>112</v>
      </c>
      <c r="V197" t="s">
        <v>813</v>
      </c>
      <c r="W197" t="s">
        <v>656</v>
      </c>
      <c r="X197" t="s">
        <v>666</v>
      </c>
    </row>
    <row r="198" spans="8:24" x14ac:dyDescent="0.45">
      <c r="H198" t="s">
        <v>309</v>
      </c>
      <c r="I198" t="s">
        <v>245</v>
      </c>
      <c r="J198">
        <v>1.3586949985506535E-2</v>
      </c>
      <c r="K198" t="s">
        <v>243</v>
      </c>
      <c r="P198" t="s">
        <v>112</v>
      </c>
      <c r="Q198" t="s">
        <v>430</v>
      </c>
      <c r="R198" t="s">
        <v>564</v>
      </c>
      <c r="S198" t="s">
        <v>547</v>
      </c>
      <c r="U198" t="s">
        <v>112</v>
      </c>
      <c r="V198" t="s">
        <v>814</v>
      </c>
      <c r="W198" t="s">
        <v>656</v>
      </c>
      <c r="X198" t="s">
        <v>666</v>
      </c>
    </row>
    <row r="199" spans="8:24" x14ac:dyDescent="0.45">
      <c r="H199" t="s">
        <v>310</v>
      </c>
      <c r="I199" t="s">
        <v>242</v>
      </c>
      <c r="J199">
        <v>4.3007056057302595E-2</v>
      </c>
      <c r="K199" t="s">
        <v>243</v>
      </c>
      <c r="P199" t="s">
        <v>112</v>
      </c>
      <c r="Q199" t="s">
        <v>431</v>
      </c>
      <c r="R199" t="s">
        <v>565</v>
      </c>
      <c r="S199" t="s">
        <v>547</v>
      </c>
      <c r="U199" t="s">
        <v>112</v>
      </c>
      <c r="V199" t="s">
        <v>815</v>
      </c>
      <c r="W199" t="s">
        <v>656</v>
      </c>
      <c r="X199" t="s">
        <v>666</v>
      </c>
    </row>
    <row r="200" spans="8:24" x14ac:dyDescent="0.45">
      <c r="H200" t="s">
        <v>310</v>
      </c>
      <c r="I200" t="s">
        <v>244</v>
      </c>
      <c r="J200">
        <v>4.3007056057302595E-2</v>
      </c>
      <c r="K200" t="s">
        <v>243</v>
      </c>
      <c r="P200" t="s">
        <v>112</v>
      </c>
      <c r="Q200" t="s">
        <v>432</v>
      </c>
      <c r="R200" t="s">
        <v>566</v>
      </c>
      <c r="S200" t="s">
        <v>547</v>
      </c>
      <c r="U200" t="s">
        <v>112</v>
      </c>
      <c r="V200" t="s">
        <v>816</v>
      </c>
      <c r="W200" t="s">
        <v>656</v>
      </c>
      <c r="X200" t="s">
        <v>666</v>
      </c>
    </row>
    <row r="201" spans="8:24" x14ac:dyDescent="0.45">
      <c r="H201" t="s">
        <v>310</v>
      </c>
      <c r="I201" t="s">
        <v>245</v>
      </c>
      <c r="J201">
        <v>4.3007056057302595E-2</v>
      </c>
      <c r="K201" t="s">
        <v>243</v>
      </c>
      <c r="P201" t="s">
        <v>112</v>
      </c>
      <c r="Q201" t="s">
        <v>433</v>
      </c>
      <c r="R201" t="s">
        <v>567</v>
      </c>
      <c r="S201" t="s">
        <v>547</v>
      </c>
      <c r="U201" t="s">
        <v>112</v>
      </c>
      <c r="V201" t="s">
        <v>816</v>
      </c>
      <c r="W201" t="s">
        <v>554</v>
      </c>
      <c r="X201" t="s">
        <v>547</v>
      </c>
    </row>
    <row r="202" spans="8:24" x14ac:dyDescent="0.45">
      <c r="H202" t="s">
        <v>311</v>
      </c>
      <c r="I202" t="s">
        <v>242</v>
      </c>
      <c r="J202">
        <v>4.4696313692848996E-4</v>
      </c>
      <c r="K202" t="s">
        <v>243</v>
      </c>
      <c r="P202" t="s">
        <v>112</v>
      </c>
      <c r="Q202" t="s">
        <v>434</v>
      </c>
      <c r="R202" t="s">
        <v>568</v>
      </c>
      <c r="S202" t="s">
        <v>547</v>
      </c>
      <c r="U202" t="s">
        <v>112</v>
      </c>
      <c r="V202" t="s">
        <v>817</v>
      </c>
      <c r="W202" t="s">
        <v>656</v>
      </c>
      <c r="X202" t="s">
        <v>666</v>
      </c>
    </row>
    <row r="203" spans="8:24" x14ac:dyDescent="0.45">
      <c r="H203" t="s">
        <v>311</v>
      </c>
      <c r="I203" t="s">
        <v>244</v>
      </c>
      <c r="J203">
        <v>4.4696313692848996E-4</v>
      </c>
      <c r="K203" t="s">
        <v>243</v>
      </c>
      <c r="P203" t="s">
        <v>112</v>
      </c>
      <c r="Q203" t="s">
        <v>435</v>
      </c>
      <c r="R203" t="s">
        <v>569</v>
      </c>
      <c r="S203" t="s">
        <v>547</v>
      </c>
      <c r="U203" t="s">
        <v>112</v>
      </c>
      <c r="V203" t="s">
        <v>817</v>
      </c>
      <c r="W203" t="s">
        <v>554</v>
      </c>
      <c r="X203" t="s">
        <v>547</v>
      </c>
    </row>
    <row r="204" spans="8:24" x14ac:dyDescent="0.45">
      <c r="H204" t="s">
        <v>311</v>
      </c>
      <c r="I204" t="s">
        <v>245</v>
      </c>
      <c r="J204">
        <v>4.4696313692848996E-4</v>
      </c>
      <c r="K204" t="s">
        <v>243</v>
      </c>
      <c r="P204" t="s">
        <v>112</v>
      </c>
      <c r="Q204" t="s">
        <v>436</v>
      </c>
      <c r="R204" t="s">
        <v>570</v>
      </c>
      <c r="S204" t="s">
        <v>547</v>
      </c>
      <c r="U204" t="s">
        <v>112</v>
      </c>
      <c r="V204" t="s">
        <v>818</v>
      </c>
      <c r="W204" t="s">
        <v>555</v>
      </c>
      <c r="X204" t="s">
        <v>666</v>
      </c>
    </row>
    <row r="205" spans="8:24" x14ac:dyDescent="0.45">
      <c r="H205" t="s">
        <v>312</v>
      </c>
      <c r="I205" t="s">
        <v>242</v>
      </c>
      <c r="J205">
        <v>2.0567792762250802E-2</v>
      </c>
      <c r="K205" t="s">
        <v>243</v>
      </c>
      <c r="P205" t="s">
        <v>112</v>
      </c>
      <c r="Q205" t="s">
        <v>437</v>
      </c>
      <c r="R205" t="s">
        <v>571</v>
      </c>
      <c r="S205" t="s">
        <v>547</v>
      </c>
      <c r="U205" t="s">
        <v>112</v>
      </c>
      <c r="V205" t="s">
        <v>819</v>
      </c>
      <c r="W205" t="s">
        <v>555</v>
      </c>
      <c r="X205" t="s">
        <v>666</v>
      </c>
    </row>
    <row r="206" spans="8:24" x14ac:dyDescent="0.45">
      <c r="H206" t="s">
        <v>312</v>
      </c>
      <c r="I206" t="s">
        <v>244</v>
      </c>
      <c r="J206">
        <v>2.0567792762250802E-2</v>
      </c>
      <c r="K206" t="s">
        <v>243</v>
      </c>
      <c r="P206" t="s">
        <v>112</v>
      </c>
      <c r="Q206" t="s">
        <v>438</v>
      </c>
      <c r="R206" t="s">
        <v>572</v>
      </c>
      <c r="S206" t="s">
        <v>547</v>
      </c>
      <c r="U206" t="s">
        <v>112</v>
      </c>
      <c r="V206" t="s">
        <v>820</v>
      </c>
      <c r="W206" t="s">
        <v>555</v>
      </c>
      <c r="X206" t="s">
        <v>666</v>
      </c>
    </row>
    <row r="207" spans="8:24" x14ac:dyDescent="0.45">
      <c r="H207" t="s">
        <v>312</v>
      </c>
      <c r="I207" t="s">
        <v>245</v>
      </c>
      <c r="J207">
        <v>2.0567792762250802E-2</v>
      </c>
      <c r="K207" t="s">
        <v>243</v>
      </c>
      <c r="P207" t="s">
        <v>112</v>
      </c>
      <c r="Q207" t="s">
        <v>439</v>
      </c>
      <c r="R207" t="s">
        <v>573</v>
      </c>
      <c r="S207" t="s">
        <v>547</v>
      </c>
      <c r="U207" t="s">
        <v>112</v>
      </c>
      <c r="V207" t="s">
        <v>821</v>
      </c>
      <c r="W207" t="s">
        <v>555</v>
      </c>
      <c r="X207" t="s">
        <v>666</v>
      </c>
    </row>
    <row r="208" spans="8:24" x14ac:dyDescent="0.45">
      <c r="H208" t="s">
        <v>313</v>
      </c>
      <c r="I208" t="s">
        <v>242</v>
      </c>
      <c r="J208">
        <v>3.2176612059093695E-2</v>
      </c>
      <c r="K208" t="s">
        <v>243</v>
      </c>
      <c r="P208" t="s">
        <v>112</v>
      </c>
      <c r="Q208" t="s">
        <v>440</v>
      </c>
      <c r="R208" t="s">
        <v>574</v>
      </c>
      <c r="S208" t="s">
        <v>547</v>
      </c>
      <c r="U208" t="s">
        <v>112</v>
      </c>
      <c r="V208" t="s">
        <v>822</v>
      </c>
      <c r="W208" t="s">
        <v>555</v>
      </c>
      <c r="X208" t="s">
        <v>666</v>
      </c>
    </row>
    <row r="209" spans="8:24" x14ac:dyDescent="0.45">
      <c r="H209" t="s">
        <v>313</v>
      </c>
      <c r="I209" t="s">
        <v>244</v>
      </c>
      <c r="J209">
        <v>3.2176612059093695E-2</v>
      </c>
      <c r="K209" t="s">
        <v>243</v>
      </c>
      <c r="P209" t="s">
        <v>112</v>
      </c>
      <c r="Q209" t="s">
        <v>441</v>
      </c>
      <c r="R209" t="s">
        <v>575</v>
      </c>
      <c r="S209" t="s">
        <v>547</v>
      </c>
      <c r="U209" t="s">
        <v>112</v>
      </c>
      <c r="V209" t="s">
        <v>823</v>
      </c>
      <c r="W209" t="s">
        <v>555</v>
      </c>
      <c r="X209" t="s">
        <v>666</v>
      </c>
    </row>
    <row r="210" spans="8:24" x14ac:dyDescent="0.45">
      <c r="H210" t="s">
        <v>313</v>
      </c>
      <c r="I210" t="s">
        <v>245</v>
      </c>
      <c r="J210">
        <v>3.2176612059093695E-2</v>
      </c>
      <c r="K210" t="s">
        <v>243</v>
      </c>
      <c r="P210" t="s">
        <v>112</v>
      </c>
      <c r="Q210" t="s">
        <v>442</v>
      </c>
      <c r="R210" t="s">
        <v>576</v>
      </c>
      <c r="S210" t="s">
        <v>547</v>
      </c>
      <c r="U210" t="s">
        <v>112</v>
      </c>
      <c r="V210" t="s">
        <v>824</v>
      </c>
      <c r="W210" t="s">
        <v>555</v>
      </c>
      <c r="X210" t="s">
        <v>666</v>
      </c>
    </row>
    <row r="211" spans="8:24" x14ac:dyDescent="0.45">
      <c r="H211" t="s">
        <v>314</v>
      </c>
      <c r="I211" t="s">
        <v>242</v>
      </c>
      <c r="J211">
        <v>3.4487997519665198E-4</v>
      </c>
      <c r="K211" t="s">
        <v>243</v>
      </c>
      <c r="P211" t="s">
        <v>112</v>
      </c>
      <c r="Q211" t="s">
        <v>443</v>
      </c>
      <c r="R211" t="s">
        <v>577</v>
      </c>
      <c r="S211" t="s">
        <v>547</v>
      </c>
      <c r="U211" t="s">
        <v>112</v>
      </c>
      <c r="V211" t="s">
        <v>825</v>
      </c>
      <c r="W211" t="s">
        <v>555</v>
      </c>
      <c r="X211" t="s">
        <v>666</v>
      </c>
    </row>
    <row r="212" spans="8:24" x14ac:dyDescent="0.45">
      <c r="H212" t="s">
        <v>314</v>
      </c>
      <c r="I212" t="s">
        <v>244</v>
      </c>
      <c r="J212">
        <v>3.4487997519665198E-4</v>
      </c>
      <c r="K212" t="s">
        <v>243</v>
      </c>
      <c r="P212" t="s">
        <v>112</v>
      </c>
      <c r="Q212" t="s">
        <v>444</v>
      </c>
      <c r="R212" t="s">
        <v>578</v>
      </c>
      <c r="S212" t="s">
        <v>547</v>
      </c>
      <c r="U212" t="s">
        <v>112</v>
      </c>
      <c r="V212" t="s">
        <v>826</v>
      </c>
      <c r="W212" t="s">
        <v>555</v>
      </c>
      <c r="X212" t="s">
        <v>666</v>
      </c>
    </row>
    <row r="213" spans="8:24" x14ac:dyDescent="0.45">
      <c r="H213" t="s">
        <v>314</v>
      </c>
      <c r="I213" t="s">
        <v>245</v>
      </c>
      <c r="J213">
        <v>3.4487997519665198E-4</v>
      </c>
      <c r="K213" t="s">
        <v>243</v>
      </c>
      <c r="P213" t="s">
        <v>112</v>
      </c>
      <c r="Q213" t="s">
        <v>445</v>
      </c>
      <c r="R213" t="s">
        <v>579</v>
      </c>
      <c r="S213" t="s">
        <v>547</v>
      </c>
      <c r="U213" t="s">
        <v>112</v>
      </c>
      <c r="V213" t="s">
        <v>827</v>
      </c>
      <c r="W213" t="s">
        <v>555</v>
      </c>
      <c r="X213" t="s">
        <v>666</v>
      </c>
    </row>
    <row r="214" spans="8:24" x14ac:dyDescent="0.45">
      <c r="H214" t="s">
        <v>315</v>
      </c>
      <c r="I214" t="s">
        <v>242</v>
      </c>
      <c r="J214">
        <v>2.1211050243411057E-2</v>
      </c>
      <c r="K214" t="s">
        <v>243</v>
      </c>
      <c r="P214" t="s">
        <v>112</v>
      </c>
      <c r="Q214" t="s">
        <v>446</v>
      </c>
      <c r="R214" t="s">
        <v>580</v>
      </c>
      <c r="S214" t="s">
        <v>547</v>
      </c>
      <c r="U214" t="s">
        <v>112</v>
      </c>
      <c r="V214" t="s">
        <v>828</v>
      </c>
      <c r="W214" t="s">
        <v>555</v>
      </c>
      <c r="X214" t="s">
        <v>666</v>
      </c>
    </row>
    <row r="215" spans="8:24" x14ac:dyDescent="0.45">
      <c r="H215" t="s">
        <v>315</v>
      </c>
      <c r="I215" t="s">
        <v>244</v>
      </c>
      <c r="J215">
        <v>2.1211050243411057E-2</v>
      </c>
      <c r="K215" t="s">
        <v>243</v>
      </c>
      <c r="P215" t="s">
        <v>112</v>
      </c>
      <c r="Q215" t="s">
        <v>447</v>
      </c>
      <c r="R215" t="s">
        <v>581</v>
      </c>
      <c r="S215" t="s">
        <v>547</v>
      </c>
      <c r="U215" t="s">
        <v>112</v>
      </c>
      <c r="V215" t="s">
        <v>829</v>
      </c>
      <c r="W215" t="s">
        <v>555</v>
      </c>
      <c r="X215" t="s">
        <v>666</v>
      </c>
    </row>
    <row r="216" spans="8:24" x14ac:dyDescent="0.45">
      <c r="H216" t="s">
        <v>315</v>
      </c>
      <c r="I216" t="s">
        <v>245</v>
      </c>
      <c r="J216">
        <v>2.1211050243411057E-2</v>
      </c>
      <c r="K216" t="s">
        <v>243</v>
      </c>
      <c r="P216" t="s">
        <v>112</v>
      </c>
      <c r="Q216" t="s">
        <v>448</v>
      </c>
      <c r="R216" t="s">
        <v>582</v>
      </c>
      <c r="S216" t="s">
        <v>547</v>
      </c>
      <c r="U216" t="s">
        <v>112</v>
      </c>
      <c r="V216" t="s">
        <v>829</v>
      </c>
      <c r="W216" t="s">
        <v>619</v>
      </c>
      <c r="X216" t="s">
        <v>666</v>
      </c>
    </row>
    <row r="217" spans="8:24" x14ac:dyDescent="0.45">
      <c r="H217" t="s">
        <v>316</v>
      </c>
      <c r="I217" t="s">
        <v>242</v>
      </c>
      <c r="J217">
        <v>3.6889328746051043E-3</v>
      </c>
      <c r="K217" t="s">
        <v>243</v>
      </c>
      <c r="P217" t="s">
        <v>112</v>
      </c>
      <c r="Q217" t="s">
        <v>449</v>
      </c>
      <c r="R217" t="s">
        <v>583</v>
      </c>
      <c r="S217" t="s">
        <v>547</v>
      </c>
      <c r="U217" t="s">
        <v>112</v>
      </c>
      <c r="V217" t="s">
        <v>830</v>
      </c>
      <c r="W217" t="s">
        <v>555</v>
      </c>
      <c r="X217" t="s">
        <v>666</v>
      </c>
    </row>
    <row r="218" spans="8:24" x14ac:dyDescent="0.45">
      <c r="H218" t="s">
        <v>316</v>
      </c>
      <c r="I218" t="s">
        <v>244</v>
      </c>
      <c r="J218">
        <v>3.6889328746051043E-3</v>
      </c>
      <c r="K218" t="s">
        <v>243</v>
      </c>
      <c r="P218" t="s">
        <v>112</v>
      </c>
      <c r="Q218" t="s">
        <v>450</v>
      </c>
      <c r="R218" t="s">
        <v>584</v>
      </c>
      <c r="S218" t="s">
        <v>547</v>
      </c>
      <c r="U218" t="s">
        <v>112</v>
      </c>
      <c r="V218" t="s">
        <v>830</v>
      </c>
      <c r="W218" t="s">
        <v>619</v>
      </c>
      <c r="X218" t="s">
        <v>666</v>
      </c>
    </row>
    <row r="219" spans="8:24" x14ac:dyDescent="0.45">
      <c r="H219" t="s">
        <v>316</v>
      </c>
      <c r="I219" t="s">
        <v>245</v>
      </c>
      <c r="J219">
        <v>3.6889328746051043E-3</v>
      </c>
      <c r="K219" t="s">
        <v>243</v>
      </c>
      <c r="P219" t="s">
        <v>112</v>
      </c>
      <c r="Q219" t="s">
        <v>451</v>
      </c>
      <c r="R219" t="s">
        <v>585</v>
      </c>
      <c r="S219" t="s">
        <v>547</v>
      </c>
      <c r="U219" t="s">
        <v>112</v>
      </c>
      <c r="V219" t="s">
        <v>831</v>
      </c>
      <c r="W219" t="s">
        <v>555</v>
      </c>
      <c r="X219" t="s">
        <v>666</v>
      </c>
    </row>
    <row r="220" spans="8:24" x14ac:dyDescent="0.45">
      <c r="H220" t="s">
        <v>317</v>
      </c>
      <c r="I220" t="s">
        <v>242</v>
      </c>
      <c r="J220">
        <v>1.2489417127963511E-2</v>
      </c>
      <c r="K220" t="s">
        <v>243</v>
      </c>
      <c r="P220" t="s">
        <v>112</v>
      </c>
      <c r="Q220" t="s">
        <v>452</v>
      </c>
      <c r="R220" t="s">
        <v>586</v>
      </c>
      <c r="S220" t="s">
        <v>547</v>
      </c>
      <c r="U220" t="s">
        <v>112</v>
      </c>
      <c r="V220" t="s">
        <v>831</v>
      </c>
      <c r="W220" t="s">
        <v>619</v>
      </c>
      <c r="X220" t="s">
        <v>666</v>
      </c>
    </row>
    <row r="221" spans="8:24" x14ac:dyDescent="0.45">
      <c r="H221" t="s">
        <v>317</v>
      </c>
      <c r="I221" t="s">
        <v>244</v>
      </c>
      <c r="J221">
        <v>1.2489417127963511E-2</v>
      </c>
      <c r="K221" t="s">
        <v>243</v>
      </c>
      <c r="P221" t="s">
        <v>112</v>
      </c>
      <c r="Q221" t="s">
        <v>453</v>
      </c>
      <c r="R221" t="s">
        <v>587</v>
      </c>
      <c r="S221" t="s">
        <v>547</v>
      </c>
      <c r="U221" t="s">
        <v>112</v>
      </c>
      <c r="V221" t="s">
        <v>832</v>
      </c>
      <c r="W221" t="s">
        <v>555</v>
      </c>
      <c r="X221" t="s">
        <v>666</v>
      </c>
    </row>
    <row r="222" spans="8:24" x14ac:dyDescent="0.45">
      <c r="H222" t="s">
        <v>317</v>
      </c>
      <c r="I222" t="s">
        <v>245</v>
      </c>
      <c r="J222">
        <v>1.2489417127963511E-2</v>
      </c>
      <c r="K222" t="s">
        <v>243</v>
      </c>
      <c r="P222" t="s">
        <v>112</v>
      </c>
      <c r="Q222" t="s">
        <v>454</v>
      </c>
      <c r="R222" t="s">
        <v>588</v>
      </c>
      <c r="S222" t="s">
        <v>547</v>
      </c>
      <c r="U222" t="s">
        <v>112</v>
      </c>
      <c r="V222" t="s">
        <v>832</v>
      </c>
      <c r="W222" t="s">
        <v>619</v>
      </c>
      <c r="X222" t="s">
        <v>666</v>
      </c>
    </row>
    <row r="223" spans="8:24" x14ac:dyDescent="0.45">
      <c r="H223" t="s">
        <v>318</v>
      </c>
      <c r="I223" t="s">
        <v>242</v>
      </c>
      <c r="J223">
        <v>9.6442343160286191E-4</v>
      </c>
      <c r="K223" t="s">
        <v>243</v>
      </c>
      <c r="P223" t="s">
        <v>112</v>
      </c>
      <c r="Q223" t="s">
        <v>455</v>
      </c>
      <c r="R223" t="s">
        <v>589</v>
      </c>
      <c r="S223" t="s">
        <v>547</v>
      </c>
      <c r="U223" t="s">
        <v>112</v>
      </c>
      <c r="V223" t="s">
        <v>833</v>
      </c>
      <c r="W223" t="s">
        <v>619</v>
      </c>
      <c r="X223" t="s">
        <v>666</v>
      </c>
    </row>
    <row r="224" spans="8:24" x14ac:dyDescent="0.45">
      <c r="H224" t="s">
        <v>318</v>
      </c>
      <c r="I224" t="s">
        <v>244</v>
      </c>
      <c r="J224">
        <v>9.6442343160286191E-4</v>
      </c>
      <c r="K224" t="s">
        <v>243</v>
      </c>
      <c r="P224" t="s">
        <v>112</v>
      </c>
      <c r="Q224" t="s">
        <v>456</v>
      </c>
      <c r="R224" t="s">
        <v>590</v>
      </c>
      <c r="S224" t="s">
        <v>547</v>
      </c>
      <c r="U224" t="s">
        <v>112</v>
      </c>
      <c r="V224" t="s">
        <v>834</v>
      </c>
      <c r="W224" t="s">
        <v>619</v>
      </c>
      <c r="X224" t="s">
        <v>666</v>
      </c>
    </row>
    <row r="225" spans="8:24" x14ac:dyDescent="0.45">
      <c r="H225" t="s">
        <v>318</v>
      </c>
      <c r="I225" t="s">
        <v>245</v>
      </c>
      <c r="J225">
        <v>9.6442343160286191E-4</v>
      </c>
      <c r="K225" t="s">
        <v>243</v>
      </c>
      <c r="P225" t="s">
        <v>112</v>
      </c>
      <c r="Q225" t="s">
        <v>457</v>
      </c>
      <c r="R225" t="s">
        <v>591</v>
      </c>
      <c r="S225" t="s">
        <v>547</v>
      </c>
      <c r="U225" t="s">
        <v>112</v>
      </c>
      <c r="V225" t="s">
        <v>835</v>
      </c>
      <c r="W225" t="s">
        <v>619</v>
      </c>
      <c r="X225" t="s">
        <v>666</v>
      </c>
    </row>
    <row r="226" spans="8:24" x14ac:dyDescent="0.45">
      <c r="H226" t="s">
        <v>319</v>
      </c>
      <c r="I226" t="s">
        <v>242</v>
      </c>
      <c r="J226">
        <v>5.0671000109406873E-3</v>
      </c>
      <c r="K226" t="s">
        <v>243</v>
      </c>
      <c r="P226" t="s">
        <v>112</v>
      </c>
      <c r="Q226" t="s">
        <v>458</v>
      </c>
      <c r="R226" t="s">
        <v>592</v>
      </c>
      <c r="S226" t="s">
        <v>547</v>
      </c>
      <c r="U226" t="s">
        <v>112</v>
      </c>
      <c r="V226" t="s">
        <v>835</v>
      </c>
      <c r="W226" t="s">
        <v>555</v>
      </c>
      <c r="X226" t="s">
        <v>547</v>
      </c>
    </row>
    <row r="227" spans="8:24" x14ac:dyDescent="0.45">
      <c r="H227" t="s">
        <v>319</v>
      </c>
      <c r="I227" t="s">
        <v>244</v>
      </c>
      <c r="J227">
        <v>5.0671000109406873E-3</v>
      </c>
      <c r="K227" t="s">
        <v>243</v>
      </c>
      <c r="P227" t="s">
        <v>112</v>
      </c>
      <c r="Q227" t="s">
        <v>459</v>
      </c>
      <c r="R227" t="s">
        <v>593</v>
      </c>
      <c r="S227" t="s">
        <v>547</v>
      </c>
      <c r="U227" t="s">
        <v>112</v>
      </c>
      <c r="V227" t="s">
        <v>836</v>
      </c>
      <c r="W227" t="s">
        <v>619</v>
      </c>
      <c r="X227" t="s">
        <v>666</v>
      </c>
    </row>
    <row r="228" spans="8:24" x14ac:dyDescent="0.45">
      <c r="H228" t="s">
        <v>319</v>
      </c>
      <c r="I228" t="s">
        <v>245</v>
      </c>
      <c r="J228">
        <v>5.0671000109406873E-3</v>
      </c>
      <c r="K228" t="s">
        <v>243</v>
      </c>
      <c r="P228" t="s">
        <v>112</v>
      </c>
      <c r="Q228" t="s">
        <v>460</v>
      </c>
      <c r="R228" t="s">
        <v>594</v>
      </c>
      <c r="S228" t="s">
        <v>547</v>
      </c>
      <c r="U228" t="s">
        <v>112</v>
      </c>
      <c r="V228" t="s">
        <v>836</v>
      </c>
      <c r="W228" t="s">
        <v>555</v>
      </c>
      <c r="X228" t="s">
        <v>547</v>
      </c>
    </row>
    <row r="229" spans="8:24" x14ac:dyDescent="0.45">
      <c r="H229" t="s">
        <v>320</v>
      </c>
      <c r="I229" t="s">
        <v>242</v>
      </c>
      <c r="J229">
        <v>6.9898960424319319E-3</v>
      </c>
      <c r="K229" t="s">
        <v>243</v>
      </c>
      <c r="P229" t="s">
        <v>112</v>
      </c>
      <c r="Q229" t="s">
        <v>461</v>
      </c>
      <c r="R229" t="s">
        <v>595</v>
      </c>
      <c r="S229" t="s">
        <v>547</v>
      </c>
      <c r="U229" t="s">
        <v>112</v>
      </c>
      <c r="V229" t="s">
        <v>837</v>
      </c>
      <c r="W229" t="s">
        <v>556</v>
      </c>
      <c r="X229" t="s">
        <v>666</v>
      </c>
    </row>
    <row r="230" spans="8:24" x14ac:dyDescent="0.45">
      <c r="H230" t="s">
        <v>320</v>
      </c>
      <c r="I230" t="s">
        <v>244</v>
      </c>
      <c r="J230">
        <v>6.9898960424319319E-3</v>
      </c>
      <c r="K230" t="s">
        <v>243</v>
      </c>
      <c r="P230" t="s">
        <v>112</v>
      </c>
      <c r="Q230" t="s">
        <v>462</v>
      </c>
      <c r="R230" t="s">
        <v>596</v>
      </c>
      <c r="S230" t="s">
        <v>547</v>
      </c>
      <c r="U230" t="s">
        <v>112</v>
      </c>
      <c r="V230" t="s">
        <v>838</v>
      </c>
      <c r="W230" t="s">
        <v>556</v>
      </c>
      <c r="X230" t="s">
        <v>666</v>
      </c>
    </row>
    <row r="231" spans="8:24" x14ac:dyDescent="0.45">
      <c r="H231" t="s">
        <v>320</v>
      </c>
      <c r="I231" t="s">
        <v>245</v>
      </c>
      <c r="J231">
        <v>6.9898960424319319E-3</v>
      </c>
      <c r="K231" t="s">
        <v>243</v>
      </c>
      <c r="P231" t="s">
        <v>112</v>
      </c>
      <c r="Q231" t="s">
        <v>463</v>
      </c>
      <c r="R231" t="s">
        <v>597</v>
      </c>
      <c r="S231" t="s">
        <v>547</v>
      </c>
      <c r="U231" t="s">
        <v>112</v>
      </c>
      <c r="V231" t="s">
        <v>839</v>
      </c>
      <c r="W231" t="s">
        <v>556</v>
      </c>
      <c r="X231" t="s">
        <v>666</v>
      </c>
    </row>
    <row r="232" spans="8:24" x14ac:dyDescent="0.45">
      <c r="H232" t="s">
        <v>321</v>
      </c>
      <c r="I232" t="s">
        <v>242</v>
      </c>
      <c r="J232">
        <v>1.2223340756300939E-2</v>
      </c>
      <c r="K232" t="s">
        <v>243</v>
      </c>
      <c r="P232" t="s">
        <v>112</v>
      </c>
      <c r="Q232" t="s">
        <v>464</v>
      </c>
      <c r="R232" t="s">
        <v>598</v>
      </c>
      <c r="S232" t="s">
        <v>547</v>
      </c>
      <c r="U232" t="s">
        <v>112</v>
      </c>
      <c r="V232" t="s">
        <v>840</v>
      </c>
      <c r="W232" t="s">
        <v>556</v>
      </c>
      <c r="X232" t="s">
        <v>666</v>
      </c>
    </row>
    <row r="233" spans="8:24" x14ac:dyDescent="0.45">
      <c r="H233" t="s">
        <v>321</v>
      </c>
      <c r="I233" t="s">
        <v>244</v>
      </c>
      <c r="J233">
        <v>1.2223340756300939E-2</v>
      </c>
      <c r="K233" t="s">
        <v>243</v>
      </c>
      <c r="P233" t="s">
        <v>112</v>
      </c>
      <c r="Q233" t="s">
        <v>465</v>
      </c>
      <c r="R233" t="s">
        <v>599</v>
      </c>
      <c r="S233" t="s">
        <v>547</v>
      </c>
      <c r="U233" t="s">
        <v>112</v>
      </c>
      <c r="V233" t="s">
        <v>841</v>
      </c>
      <c r="W233" t="s">
        <v>556</v>
      </c>
      <c r="X233" t="s">
        <v>666</v>
      </c>
    </row>
    <row r="234" spans="8:24" x14ac:dyDescent="0.45">
      <c r="H234" t="s">
        <v>321</v>
      </c>
      <c r="I234" t="s">
        <v>245</v>
      </c>
      <c r="J234">
        <v>1.2223340756300939E-2</v>
      </c>
      <c r="K234" t="s">
        <v>243</v>
      </c>
      <c r="P234" t="s">
        <v>112</v>
      </c>
      <c r="Q234" t="s">
        <v>466</v>
      </c>
      <c r="R234" t="s">
        <v>600</v>
      </c>
      <c r="S234" t="s">
        <v>547</v>
      </c>
      <c r="U234" t="s">
        <v>112</v>
      </c>
      <c r="V234" t="s">
        <v>842</v>
      </c>
      <c r="W234" t="s">
        <v>556</v>
      </c>
      <c r="X234" t="s">
        <v>666</v>
      </c>
    </row>
    <row r="235" spans="8:24" x14ac:dyDescent="0.45">
      <c r="H235" t="s">
        <v>322</v>
      </c>
      <c r="I235" t="s">
        <v>242</v>
      </c>
      <c r="J235">
        <v>3.6642379503561999E-3</v>
      </c>
      <c r="K235" t="s">
        <v>243</v>
      </c>
      <c r="P235" t="s">
        <v>112</v>
      </c>
      <c r="Q235" t="s">
        <v>467</v>
      </c>
      <c r="R235" t="s">
        <v>601</v>
      </c>
      <c r="S235" t="s">
        <v>547</v>
      </c>
      <c r="U235" t="s">
        <v>112</v>
      </c>
      <c r="V235" t="s">
        <v>843</v>
      </c>
      <c r="W235" t="s">
        <v>556</v>
      </c>
      <c r="X235" t="s">
        <v>666</v>
      </c>
    </row>
    <row r="236" spans="8:24" x14ac:dyDescent="0.45">
      <c r="H236" t="s">
        <v>322</v>
      </c>
      <c r="I236" t="s">
        <v>244</v>
      </c>
      <c r="J236">
        <v>3.6642379503561999E-3</v>
      </c>
      <c r="K236" t="s">
        <v>243</v>
      </c>
      <c r="P236" t="s">
        <v>112</v>
      </c>
      <c r="Q236" t="s">
        <v>468</v>
      </c>
      <c r="R236" t="s">
        <v>602</v>
      </c>
      <c r="S236" t="s">
        <v>547</v>
      </c>
      <c r="U236" t="s">
        <v>112</v>
      </c>
      <c r="V236" t="s">
        <v>844</v>
      </c>
      <c r="W236" t="s">
        <v>556</v>
      </c>
      <c r="X236" t="s">
        <v>666</v>
      </c>
    </row>
    <row r="237" spans="8:24" x14ac:dyDescent="0.45">
      <c r="H237" t="s">
        <v>322</v>
      </c>
      <c r="I237" t="s">
        <v>245</v>
      </c>
      <c r="J237">
        <v>3.6642379503561999E-3</v>
      </c>
      <c r="K237" t="s">
        <v>243</v>
      </c>
      <c r="P237" t="s">
        <v>112</v>
      </c>
      <c r="Q237" t="s">
        <v>479</v>
      </c>
      <c r="R237" t="s">
        <v>603</v>
      </c>
      <c r="S237" t="s">
        <v>547</v>
      </c>
      <c r="U237" t="s">
        <v>112</v>
      </c>
      <c r="V237" t="s">
        <v>845</v>
      </c>
      <c r="W237" t="s">
        <v>556</v>
      </c>
      <c r="X237" t="s">
        <v>666</v>
      </c>
    </row>
    <row r="238" spans="8:24" x14ac:dyDescent="0.45">
      <c r="H238" t="s">
        <v>323</v>
      </c>
      <c r="I238" t="s">
        <v>242</v>
      </c>
      <c r="J238">
        <v>1.1327484701196917E-2</v>
      </c>
      <c r="K238" t="s">
        <v>243</v>
      </c>
      <c r="P238" t="s">
        <v>112</v>
      </c>
      <c r="Q238" t="s">
        <v>480</v>
      </c>
      <c r="R238" t="s">
        <v>604</v>
      </c>
      <c r="S238" t="s">
        <v>547</v>
      </c>
      <c r="U238" t="s">
        <v>112</v>
      </c>
      <c r="V238" t="s">
        <v>846</v>
      </c>
      <c r="W238" t="s">
        <v>556</v>
      </c>
      <c r="X238" t="s">
        <v>666</v>
      </c>
    </row>
    <row r="239" spans="8:24" x14ac:dyDescent="0.45">
      <c r="H239" t="s">
        <v>323</v>
      </c>
      <c r="I239" t="s">
        <v>244</v>
      </c>
      <c r="J239">
        <v>1.1327484701196917E-2</v>
      </c>
      <c r="K239" t="s">
        <v>243</v>
      </c>
      <c r="P239" t="s">
        <v>112</v>
      </c>
      <c r="Q239" t="s">
        <v>481</v>
      </c>
      <c r="R239" t="s">
        <v>605</v>
      </c>
      <c r="S239" t="s">
        <v>547</v>
      </c>
      <c r="U239" t="s">
        <v>112</v>
      </c>
      <c r="V239" t="s">
        <v>847</v>
      </c>
      <c r="W239" t="s">
        <v>556</v>
      </c>
      <c r="X239" t="s">
        <v>666</v>
      </c>
    </row>
    <row r="240" spans="8:24" x14ac:dyDescent="0.45">
      <c r="H240" t="s">
        <v>323</v>
      </c>
      <c r="I240" t="s">
        <v>245</v>
      </c>
      <c r="J240">
        <v>1.1327484701196917E-2</v>
      </c>
      <c r="K240" t="s">
        <v>243</v>
      </c>
      <c r="P240" t="s">
        <v>112</v>
      </c>
      <c r="Q240" t="s">
        <v>482</v>
      </c>
      <c r="R240" t="s">
        <v>606</v>
      </c>
      <c r="S240" t="s">
        <v>547</v>
      </c>
      <c r="U240" t="s">
        <v>112</v>
      </c>
      <c r="V240" t="s">
        <v>848</v>
      </c>
      <c r="W240" t="s">
        <v>556</v>
      </c>
      <c r="X240" t="s">
        <v>666</v>
      </c>
    </row>
    <row r="241" spans="8:24" x14ac:dyDescent="0.45">
      <c r="H241" t="s">
        <v>324</v>
      </c>
      <c r="I241" t="s">
        <v>242</v>
      </c>
      <c r="J241">
        <v>1.4820510785805061E-3</v>
      </c>
      <c r="K241" t="s">
        <v>243</v>
      </c>
      <c r="P241" t="s">
        <v>112</v>
      </c>
      <c r="Q241" t="s">
        <v>484</v>
      </c>
      <c r="R241" t="s">
        <v>607</v>
      </c>
      <c r="S241" t="s">
        <v>547</v>
      </c>
      <c r="U241" t="s">
        <v>112</v>
      </c>
      <c r="V241" t="s">
        <v>848</v>
      </c>
      <c r="W241" t="s">
        <v>638</v>
      </c>
      <c r="X241" t="s">
        <v>666</v>
      </c>
    </row>
    <row r="242" spans="8:24" x14ac:dyDescent="0.45">
      <c r="H242" t="s">
        <v>324</v>
      </c>
      <c r="I242" t="s">
        <v>244</v>
      </c>
      <c r="J242">
        <v>1.4820510785805061E-3</v>
      </c>
      <c r="K242" t="s">
        <v>243</v>
      </c>
      <c r="P242" t="s">
        <v>112</v>
      </c>
      <c r="Q242" t="s">
        <v>486</v>
      </c>
      <c r="R242" t="s">
        <v>608</v>
      </c>
      <c r="S242" t="s">
        <v>547</v>
      </c>
      <c r="U242" t="s">
        <v>112</v>
      </c>
      <c r="V242" t="s">
        <v>849</v>
      </c>
      <c r="W242" t="s">
        <v>556</v>
      </c>
      <c r="X242" t="s">
        <v>666</v>
      </c>
    </row>
    <row r="243" spans="8:24" x14ac:dyDescent="0.45">
      <c r="H243" t="s">
        <v>324</v>
      </c>
      <c r="I243" t="s">
        <v>245</v>
      </c>
      <c r="J243">
        <v>1.4820510785805061E-3</v>
      </c>
      <c r="K243" t="s">
        <v>243</v>
      </c>
      <c r="P243" t="s">
        <v>112</v>
      </c>
      <c r="Q243" t="s">
        <v>487</v>
      </c>
      <c r="R243" t="s">
        <v>609</v>
      </c>
      <c r="S243" t="s">
        <v>547</v>
      </c>
      <c r="U243" t="s">
        <v>112</v>
      </c>
      <c r="V243" t="s">
        <v>849</v>
      </c>
      <c r="W243" t="s">
        <v>638</v>
      </c>
      <c r="X243" t="s">
        <v>666</v>
      </c>
    </row>
    <row r="244" spans="8:24" x14ac:dyDescent="0.45">
      <c r="H244" t="s">
        <v>325</v>
      </c>
      <c r="I244" t="s">
        <v>242</v>
      </c>
      <c r="J244">
        <v>3.1849535560118332E-2</v>
      </c>
      <c r="K244" t="s">
        <v>243</v>
      </c>
      <c r="P244" t="s">
        <v>112</v>
      </c>
      <c r="Q244" t="s">
        <v>488</v>
      </c>
      <c r="R244" t="s">
        <v>610</v>
      </c>
      <c r="S244" t="s">
        <v>547</v>
      </c>
      <c r="U244" t="s">
        <v>112</v>
      </c>
      <c r="V244" t="s">
        <v>850</v>
      </c>
      <c r="W244" t="s">
        <v>556</v>
      </c>
      <c r="X244" t="s">
        <v>666</v>
      </c>
    </row>
    <row r="245" spans="8:24" x14ac:dyDescent="0.45">
      <c r="H245" t="s">
        <v>325</v>
      </c>
      <c r="I245" t="s">
        <v>244</v>
      </c>
      <c r="J245">
        <v>3.1849535560118332E-2</v>
      </c>
      <c r="K245" t="s">
        <v>243</v>
      </c>
      <c r="P245" t="s">
        <v>112</v>
      </c>
      <c r="Q245" t="s">
        <v>489</v>
      </c>
      <c r="R245" t="s">
        <v>611</v>
      </c>
      <c r="S245" t="s">
        <v>547</v>
      </c>
      <c r="U245" t="s">
        <v>112</v>
      </c>
      <c r="V245" t="s">
        <v>850</v>
      </c>
      <c r="W245" t="s">
        <v>638</v>
      </c>
      <c r="X245" t="s">
        <v>666</v>
      </c>
    </row>
    <row r="246" spans="8:24" x14ac:dyDescent="0.45">
      <c r="H246" t="s">
        <v>325</v>
      </c>
      <c r="I246" t="s">
        <v>245</v>
      </c>
      <c r="J246">
        <v>3.1849535560118332E-2</v>
      </c>
      <c r="K246" t="s">
        <v>243</v>
      </c>
      <c r="P246" t="s">
        <v>112</v>
      </c>
      <c r="Q246" t="s">
        <v>490</v>
      </c>
      <c r="R246" t="s">
        <v>612</v>
      </c>
      <c r="S246" t="s">
        <v>547</v>
      </c>
      <c r="U246" t="s">
        <v>112</v>
      </c>
      <c r="V246" t="s">
        <v>851</v>
      </c>
      <c r="W246" t="s">
        <v>556</v>
      </c>
      <c r="X246" t="s">
        <v>666</v>
      </c>
    </row>
    <row r="247" spans="8:24" x14ac:dyDescent="0.45">
      <c r="H247" t="s">
        <v>326</v>
      </c>
      <c r="I247" t="s">
        <v>242</v>
      </c>
      <c r="J247">
        <v>1.0749580589744135E-2</v>
      </c>
      <c r="K247" t="s">
        <v>243</v>
      </c>
      <c r="P247" t="s">
        <v>112</v>
      </c>
      <c r="Q247" t="s">
        <v>491</v>
      </c>
      <c r="R247" t="s">
        <v>613</v>
      </c>
      <c r="S247" t="s">
        <v>547</v>
      </c>
      <c r="U247" t="s">
        <v>112</v>
      </c>
      <c r="V247" t="s">
        <v>851</v>
      </c>
      <c r="W247" t="s">
        <v>638</v>
      </c>
      <c r="X247" t="s">
        <v>666</v>
      </c>
    </row>
    <row r="248" spans="8:24" x14ac:dyDescent="0.45">
      <c r="H248" t="s">
        <v>326</v>
      </c>
      <c r="I248" t="s">
        <v>244</v>
      </c>
      <c r="J248">
        <v>1.0749580589744135E-2</v>
      </c>
      <c r="K248" t="s">
        <v>243</v>
      </c>
      <c r="P248" t="s">
        <v>112</v>
      </c>
      <c r="Q248" t="s">
        <v>492</v>
      </c>
      <c r="R248" t="s">
        <v>614</v>
      </c>
      <c r="S248" t="s">
        <v>547</v>
      </c>
      <c r="U248" t="s">
        <v>112</v>
      </c>
      <c r="V248" t="s">
        <v>852</v>
      </c>
      <c r="W248" t="s">
        <v>638</v>
      </c>
      <c r="X248" t="s">
        <v>666</v>
      </c>
    </row>
    <row r="249" spans="8:24" x14ac:dyDescent="0.45">
      <c r="H249" t="s">
        <v>326</v>
      </c>
      <c r="I249" t="s">
        <v>245</v>
      </c>
      <c r="J249">
        <v>1.0749580589744135E-2</v>
      </c>
      <c r="K249" t="s">
        <v>243</v>
      </c>
      <c r="P249" t="s">
        <v>112</v>
      </c>
      <c r="Q249" t="s">
        <v>493</v>
      </c>
      <c r="R249" t="s">
        <v>615</v>
      </c>
      <c r="S249" t="s">
        <v>547</v>
      </c>
      <c r="U249" t="s">
        <v>112</v>
      </c>
      <c r="V249" t="s">
        <v>853</v>
      </c>
      <c r="W249" t="s">
        <v>638</v>
      </c>
      <c r="X249" t="s">
        <v>666</v>
      </c>
    </row>
    <row r="250" spans="8:24" x14ac:dyDescent="0.45">
      <c r="H250" t="s">
        <v>327</v>
      </c>
      <c r="I250" t="s">
        <v>242</v>
      </c>
      <c r="J250">
        <v>3.3808993441267837E-2</v>
      </c>
      <c r="K250" t="s">
        <v>243</v>
      </c>
      <c r="P250" t="s">
        <v>112</v>
      </c>
      <c r="Q250" t="s">
        <v>494</v>
      </c>
      <c r="R250" t="s">
        <v>616</v>
      </c>
      <c r="S250" t="s">
        <v>547</v>
      </c>
      <c r="U250" t="s">
        <v>112</v>
      </c>
      <c r="V250" t="s">
        <v>854</v>
      </c>
      <c r="W250" t="s">
        <v>638</v>
      </c>
      <c r="X250" t="s">
        <v>666</v>
      </c>
    </row>
    <row r="251" spans="8:24" x14ac:dyDescent="0.45">
      <c r="H251" t="s">
        <v>327</v>
      </c>
      <c r="I251" t="s">
        <v>244</v>
      </c>
      <c r="J251">
        <v>3.3808993441267837E-2</v>
      </c>
      <c r="K251" t="s">
        <v>243</v>
      </c>
      <c r="P251" t="s">
        <v>112</v>
      </c>
      <c r="Q251" t="s">
        <v>495</v>
      </c>
      <c r="R251" t="s">
        <v>617</v>
      </c>
      <c r="S251" t="s">
        <v>547</v>
      </c>
      <c r="U251" t="s">
        <v>112</v>
      </c>
      <c r="V251" t="s">
        <v>854</v>
      </c>
      <c r="W251" t="s">
        <v>556</v>
      </c>
      <c r="X251" t="s">
        <v>547</v>
      </c>
    </row>
    <row r="252" spans="8:24" x14ac:dyDescent="0.45">
      <c r="H252" t="s">
        <v>327</v>
      </c>
      <c r="I252" t="s">
        <v>245</v>
      </c>
      <c r="J252">
        <v>3.3808993441267837E-2</v>
      </c>
      <c r="K252" t="s">
        <v>243</v>
      </c>
      <c r="P252" t="s">
        <v>112</v>
      </c>
      <c r="Q252" t="s">
        <v>496</v>
      </c>
      <c r="R252" t="s">
        <v>618</v>
      </c>
      <c r="S252" t="s">
        <v>547</v>
      </c>
      <c r="U252" t="s">
        <v>112</v>
      </c>
      <c r="V252" t="s">
        <v>855</v>
      </c>
      <c r="W252" t="s">
        <v>638</v>
      </c>
      <c r="X252" t="s">
        <v>666</v>
      </c>
    </row>
    <row r="253" spans="8:24" x14ac:dyDescent="0.45">
      <c r="H253" t="s">
        <v>328</v>
      </c>
      <c r="I253" t="s">
        <v>242</v>
      </c>
      <c r="J253">
        <v>1.1522518522376721E-2</v>
      </c>
      <c r="K253" t="s">
        <v>243</v>
      </c>
      <c r="P253" t="s">
        <v>112</v>
      </c>
      <c r="Q253" t="s">
        <v>497</v>
      </c>
      <c r="R253" t="s">
        <v>619</v>
      </c>
      <c r="S253" t="s">
        <v>547</v>
      </c>
      <c r="U253" t="s">
        <v>112</v>
      </c>
      <c r="V253" t="s">
        <v>855</v>
      </c>
      <c r="W253" t="s">
        <v>556</v>
      </c>
      <c r="X253" t="s">
        <v>547</v>
      </c>
    </row>
    <row r="254" spans="8:24" x14ac:dyDescent="0.45">
      <c r="H254" t="s">
        <v>328</v>
      </c>
      <c r="I254" t="s">
        <v>244</v>
      </c>
      <c r="J254">
        <v>1.1522518522376721E-2</v>
      </c>
      <c r="K254" t="s">
        <v>243</v>
      </c>
      <c r="P254" t="s">
        <v>112</v>
      </c>
      <c r="Q254" t="s">
        <v>498</v>
      </c>
      <c r="R254" t="s">
        <v>620</v>
      </c>
      <c r="S254" t="s">
        <v>547</v>
      </c>
      <c r="U254" t="s">
        <v>112</v>
      </c>
      <c r="V254" t="s">
        <v>856</v>
      </c>
      <c r="W254" t="s">
        <v>557</v>
      </c>
      <c r="X254" t="s">
        <v>666</v>
      </c>
    </row>
    <row r="255" spans="8:24" x14ac:dyDescent="0.45">
      <c r="H255" t="s">
        <v>328</v>
      </c>
      <c r="I255" t="s">
        <v>245</v>
      </c>
      <c r="J255">
        <v>1.1522518522376721E-2</v>
      </c>
      <c r="K255" t="s">
        <v>243</v>
      </c>
      <c r="P255" t="s">
        <v>112</v>
      </c>
      <c r="Q255" t="s">
        <v>499</v>
      </c>
      <c r="R255" t="s">
        <v>621</v>
      </c>
      <c r="S255" t="s">
        <v>547</v>
      </c>
      <c r="U255" t="s">
        <v>112</v>
      </c>
      <c r="V255" t="s">
        <v>857</v>
      </c>
      <c r="W255" t="s">
        <v>557</v>
      </c>
      <c r="X255" t="s">
        <v>666</v>
      </c>
    </row>
    <row r="256" spans="8:24" x14ac:dyDescent="0.45">
      <c r="H256" t="s">
        <v>329</v>
      </c>
      <c r="I256" t="s">
        <v>242</v>
      </c>
      <c r="J256">
        <v>3.7632083342255249E-2</v>
      </c>
      <c r="K256" t="s">
        <v>243</v>
      </c>
      <c r="P256" t="s">
        <v>112</v>
      </c>
      <c r="Q256" t="s">
        <v>500</v>
      </c>
      <c r="R256" t="s">
        <v>622</v>
      </c>
      <c r="S256" t="s">
        <v>547</v>
      </c>
      <c r="U256" t="s">
        <v>112</v>
      </c>
      <c r="V256" t="s">
        <v>858</v>
      </c>
      <c r="W256" t="s">
        <v>557</v>
      </c>
      <c r="X256" t="s">
        <v>666</v>
      </c>
    </row>
    <row r="257" spans="8:24" x14ac:dyDescent="0.45">
      <c r="H257" t="s">
        <v>329</v>
      </c>
      <c r="I257" t="s">
        <v>244</v>
      </c>
      <c r="J257">
        <v>3.7632083342255249E-2</v>
      </c>
      <c r="K257" t="s">
        <v>243</v>
      </c>
      <c r="P257" t="s">
        <v>112</v>
      </c>
      <c r="Q257" t="s">
        <v>501</v>
      </c>
      <c r="R257" t="s">
        <v>623</v>
      </c>
      <c r="S257" t="s">
        <v>547</v>
      </c>
      <c r="U257" t="s">
        <v>112</v>
      </c>
      <c r="V257" t="s">
        <v>859</v>
      </c>
      <c r="W257" t="s">
        <v>557</v>
      </c>
      <c r="X257" t="s">
        <v>666</v>
      </c>
    </row>
    <row r="258" spans="8:24" x14ac:dyDescent="0.45">
      <c r="H258" t="s">
        <v>329</v>
      </c>
      <c r="I258" t="s">
        <v>245</v>
      </c>
      <c r="J258">
        <v>3.7632083342255249E-2</v>
      </c>
      <c r="K258" t="s">
        <v>243</v>
      </c>
      <c r="P258" t="s">
        <v>112</v>
      </c>
      <c r="Q258" t="s">
        <v>502</v>
      </c>
      <c r="R258" t="s">
        <v>624</v>
      </c>
      <c r="S258" t="s">
        <v>547</v>
      </c>
      <c r="U258" t="s">
        <v>112</v>
      </c>
      <c r="V258" t="s">
        <v>860</v>
      </c>
      <c r="W258" t="s">
        <v>557</v>
      </c>
      <c r="X258" t="s">
        <v>666</v>
      </c>
    </row>
    <row r="259" spans="8:24" x14ac:dyDescent="0.45">
      <c r="H259" t="s">
        <v>330</v>
      </c>
      <c r="I259" t="s">
        <v>242</v>
      </c>
      <c r="J259">
        <v>3.8798356814314074E-2</v>
      </c>
      <c r="K259" t="s">
        <v>243</v>
      </c>
      <c r="P259" t="s">
        <v>112</v>
      </c>
      <c r="Q259" t="s">
        <v>503</v>
      </c>
      <c r="R259" t="s">
        <v>625</v>
      </c>
      <c r="S259" t="s">
        <v>547</v>
      </c>
      <c r="U259" t="s">
        <v>112</v>
      </c>
      <c r="V259" t="s">
        <v>861</v>
      </c>
      <c r="W259" t="s">
        <v>557</v>
      </c>
      <c r="X259" t="s">
        <v>666</v>
      </c>
    </row>
    <row r="260" spans="8:24" x14ac:dyDescent="0.45">
      <c r="H260" t="s">
        <v>330</v>
      </c>
      <c r="I260" t="s">
        <v>244</v>
      </c>
      <c r="J260">
        <v>3.8798356814314074E-2</v>
      </c>
      <c r="K260" t="s">
        <v>243</v>
      </c>
      <c r="P260" t="s">
        <v>112</v>
      </c>
      <c r="Q260" t="s">
        <v>504</v>
      </c>
      <c r="R260" t="s">
        <v>626</v>
      </c>
      <c r="S260" t="s">
        <v>547</v>
      </c>
      <c r="U260" t="s">
        <v>112</v>
      </c>
      <c r="V260" t="s">
        <v>862</v>
      </c>
      <c r="W260" t="s">
        <v>557</v>
      </c>
      <c r="X260" t="s">
        <v>666</v>
      </c>
    </row>
    <row r="261" spans="8:24" x14ac:dyDescent="0.45">
      <c r="H261" t="s">
        <v>330</v>
      </c>
      <c r="I261" t="s">
        <v>245</v>
      </c>
      <c r="J261">
        <v>3.8798356814314074E-2</v>
      </c>
      <c r="K261" t="s">
        <v>243</v>
      </c>
      <c r="P261" t="s">
        <v>112</v>
      </c>
      <c r="Q261" t="s">
        <v>505</v>
      </c>
      <c r="R261" t="s">
        <v>627</v>
      </c>
      <c r="S261" t="s">
        <v>547</v>
      </c>
      <c r="U261" t="s">
        <v>112</v>
      </c>
      <c r="V261" t="s">
        <v>863</v>
      </c>
      <c r="W261" t="s">
        <v>557</v>
      </c>
      <c r="X261" t="s">
        <v>666</v>
      </c>
    </row>
    <row r="262" spans="8:24" x14ac:dyDescent="0.45">
      <c r="H262" t="s">
        <v>331</v>
      </c>
      <c r="I262" t="s">
        <v>242</v>
      </c>
      <c r="J262">
        <v>1.1960374503787598E-2</v>
      </c>
      <c r="K262" t="s">
        <v>243</v>
      </c>
      <c r="P262" t="s">
        <v>112</v>
      </c>
      <c r="Q262" t="s">
        <v>506</v>
      </c>
      <c r="R262" t="s">
        <v>628</v>
      </c>
      <c r="S262" t="s">
        <v>547</v>
      </c>
      <c r="U262" t="s">
        <v>112</v>
      </c>
      <c r="V262" t="s">
        <v>864</v>
      </c>
      <c r="W262" t="s">
        <v>557</v>
      </c>
      <c r="X262" t="s">
        <v>666</v>
      </c>
    </row>
    <row r="263" spans="8:24" x14ac:dyDescent="0.45">
      <c r="H263" t="s">
        <v>331</v>
      </c>
      <c r="I263" t="s">
        <v>244</v>
      </c>
      <c r="J263">
        <v>1.1960374503787598E-2</v>
      </c>
      <c r="K263" t="s">
        <v>243</v>
      </c>
      <c r="P263" t="s">
        <v>112</v>
      </c>
      <c r="Q263" t="s">
        <v>507</v>
      </c>
      <c r="R263" t="s">
        <v>629</v>
      </c>
      <c r="S263" t="s">
        <v>547</v>
      </c>
      <c r="U263" t="s">
        <v>112</v>
      </c>
      <c r="V263" t="s">
        <v>865</v>
      </c>
      <c r="W263" t="s">
        <v>557</v>
      </c>
      <c r="X263" t="s">
        <v>666</v>
      </c>
    </row>
    <row r="264" spans="8:24" x14ac:dyDescent="0.45">
      <c r="H264" t="s">
        <v>331</v>
      </c>
      <c r="I264" t="s">
        <v>245</v>
      </c>
      <c r="J264">
        <v>1.1960374503787598E-2</v>
      </c>
      <c r="K264" t="s">
        <v>243</v>
      </c>
      <c r="P264" t="s">
        <v>112</v>
      </c>
      <c r="Q264" t="s">
        <v>508</v>
      </c>
      <c r="R264" t="s">
        <v>630</v>
      </c>
      <c r="S264" t="s">
        <v>547</v>
      </c>
      <c r="U264" t="s">
        <v>112</v>
      </c>
      <c r="V264" t="s">
        <v>866</v>
      </c>
      <c r="W264" t="s">
        <v>557</v>
      </c>
      <c r="X264" t="s">
        <v>666</v>
      </c>
    </row>
    <row r="265" spans="8:24" x14ac:dyDescent="0.45">
      <c r="H265" t="s">
        <v>332</v>
      </c>
      <c r="I265" t="s">
        <v>242</v>
      </c>
      <c r="J265">
        <v>4.8029014527693668E-2</v>
      </c>
      <c r="K265" t="s">
        <v>243</v>
      </c>
      <c r="P265" t="s">
        <v>112</v>
      </c>
      <c r="Q265" t="s">
        <v>509</v>
      </c>
      <c r="R265" t="s">
        <v>631</v>
      </c>
      <c r="S265" t="s">
        <v>547</v>
      </c>
      <c r="U265" t="s">
        <v>112</v>
      </c>
      <c r="V265" t="s">
        <v>867</v>
      </c>
      <c r="W265" t="s">
        <v>557</v>
      </c>
      <c r="X265" t="s">
        <v>666</v>
      </c>
    </row>
    <row r="266" spans="8:24" x14ac:dyDescent="0.45">
      <c r="H266" t="s">
        <v>332</v>
      </c>
      <c r="I266" t="s">
        <v>244</v>
      </c>
      <c r="J266">
        <v>4.8029014527693668E-2</v>
      </c>
      <c r="K266" t="s">
        <v>243</v>
      </c>
      <c r="P266" t="s">
        <v>112</v>
      </c>
      <c r="Q266" t="s">
        <v>510</v>
      </c>
      <c r="R266" t="s">
        <v>632</v>
      </c>
      <c r="S266" t="s">
        <v>547</v>
      </c>
      <c r="U266" t="s">
        <v>112</v>
      </c>
      <c r="V266" t="s">
        <v>867</v>
      </c>
      <c r="W266" t="s">
        <v>650</v>
      </c>
      <c r="X266" t="s">
        <v>666</v>
      </c>
    </row>
    <row r="267" spans="8:24" x14ac:dyDescent="0.45">
      <c r="H267" t="s">
        <v>332</v>
      </c>
      <c r="I267" t="s">
        <v>245</v>
      </c>
      <c r="J267">
        <v>4.8029014527693668E-2</v>
      </c>
      <c r="K267" t="s">
        <v>243</v>
      </c>
      <c r="P267" t="s">
        <v>112</v>
      </c>
      <c r="Q267" t="s">
        <v>511</v>
      </c>
      <c r="R267" t="s">
        <v>633</v>
      </c>
      <c r="S267" t="s">
        <v>547</v>
      </c>
      <c r="U267" t="s">
        <v>112</v>
      </c>
      <c r="V267" t="s">
        <v>868</v>
      </c>
      <c r="W267" t="s">
        <v>557</v>
      </c>
      <c r="X267" t="s">
        <v>666</v>
      </c>
    </row>
    <row r="268" spans="8:24" x14ac:dyDescent="0.45">
      <c r="H268" t="s">
        <v>333</v>
      </c>
      <c r="I268" t="s">
        <v>242</v>
      </c>
      <c r="J268">
        <v>3.7305617600396202E-5</v>
      </c>
      <c r="K268" t="s">
        <v>243</v>
      </c>
      <c r="P268" t="s">
        <v>112</v>
      </c>
      <c r="Q268" t="s">
        <v>512</v>
      </c>
      <c r="R268" t="s">
        <v>634</v>
      </c>
      <c r="S268" t="s">
        <v>547</v>
      </c>
      <c r="U268" t="s">
        <v>112</v>
      </c>
      <c r="V268" t="s">
        <v>868</v>
      </c>
      <c r="W268" t="s">
        <v>650</v>
      </c>
      <c r="X268" t="s">
        <v>666</v>
      </c>
    </row>
    <row r="269" spans="8:24" x14ac:dyDescent="0.45">
      <c r="H269" t="s">
        <v>333</v>
      </c>
      <c r="I269" t="s">
        <v>244</v>
      </c>
      <c r="J269">
        <v>3.7305617600396202E-5</v>
      </c>
      <c r="K269" t="s">
        <v>243</v>
      </c>
      <c r="P269" t="s">
        <v>112</v>
      </c>
      <c r="Q269" t="s">
        <v>513</v>
      </c>
      <c r="R269" t="s">
        <v>635</v>
      </c>
      <c r="S269" t="s">
        <v>547</v>
      </c>
      <c r="U269" t="s">
        <v>112</v>
      </c>
      <c r="V269" t="s">
        <v>869</v>
      </c>
      <c r="W269" t="s">
        <v>557</v>
      </c>
      <c r="X269" t="s">
        <v>666</v>
      </c>
    </row>
    <row r="270" spans="8:24" x14ac:dyDescent="0.45">
      <c r="H270" t="s">
        <v>333</v>
      </c>
      <c r="I270" t="s">
        <v>245</v>
      </c>
      <c r="J270">
        <v>3.7305617600396202E-5</v>
      </c>
      <c r="K270" t="s">
        <v>243</v>
      </c>
      <c r="P270" t="s">
        <v>112</v>
      </c>
      <c r="Q270" t="s">
        <v>514</v>
      </c>
      <c r="R270" t="s">
        <v>636</v>
      </c>
      <c r="S270" t="s">
        <v>547</v>
      </c>
      <c r="U270" t="s">
        <v>112</v>
      </c>
      <c r="V270" t="s">
        <v>869</v>
      </c>
      <c r="W270" t="s">
        <v>650</v>
      </c>
      <c r="X270" t="s">
        <v>666</v>
      </c>
    </row>
    <row r="271" spans="8:24" x14ac:dyDescent="0.45">
      <c r="H271" t="s">
        <v>334</v>
      </c>
      <c r="I271" t="s">
        <v>242</v>
      </c>
      <c r="J271">
        <v>5.3263200124154574E-3</v>
      </c>
      <c r="K271" t="s">
        <v>243</v>
      </c>
      <c r="P271" t="s">
        <v>112</v>
      </c>
      <c r="Q271" t="s">
        <v>515</v>
      </c>
      <c r="R271" t="s">
        <v>637</v>
      </c>
      <c r="S271" t="s">
        <v>547</v>
      </c>
      <c r="U271" t="s">
        <v>112</v>
      </c>
      <c r="V271" t="s">
        <v>870</v>
      </c>
      <c r="W271" t="s">
        <v>557</v>
      </c>
      <c r="X271" t="s">
        <v>666</v>
      </c>
    </row>
    <row r="272" spans="8:24" x14ac:dyDescent="0.45">
      <c r="H272" t="s">
        <v>334</v>
      </c>
      <c r="I272" t="s">
        <v>244</v>
      </c>
      <c r="J272">
        <v>5.3263200124154574E-3</v>
      </c>
      <c r="K272" t="s">
        <v>243</v>
      </c>
      <c r="P272" t="s">
        <v>112</v>
      </c>
      <c r="Q272" t="s">
        <v>516</v>
      </c>
      <c r="R272" t="s">
        <v>638</v>
      </c>
      <c r="S272" t="s">
        <v>547</v>
      </c>
      <c r="U272" t="s">
        <v>112</v>
      </c>
      <c r="V272" t="s">
        <v>870</v>
      </c>
      <c r="W272" t="s">
        <v>650</v>
      </c>
      <c r="X272" t="s">
        <v>666</v>
      </c>
    </row>
    <row r="273" spans="8:24" x14ac:dyDescent="0.45">
      <c r="H273" t="s">
        <v>334</v>
      </c>
      <c r="I273" t="s">
        <v>245</v>
      </c>
      <c r="J273">
        <v>5.3263200124154574E-3</v>
      </c>
      <c r="K273" t="s">
        <v>243</v>
      </c>
      <c r="P273" t="s">
        <v>112</v>
      </c>
      <c r="Q273" t="s">
        <v>517</v>
      </c>
      <c r="R273" t="s">
        <v>639</v>
      </c>
      <c r="S273" t="s">
        <v>547</v>
      </c>
      <c r="U273" t="s">
        <v>112</v>
      </c>
      <c r="V273" t="s">
        <v>871</v>
      </c>
      <c r="W273" t="s">
        <v>650</v>
      </c>
      <c r="X273" t="s">
        <v>666</v>
      </c>
    </row>
    <row r="274" spans="8:24" x14ac:dyDescent="0.45">
      <c r="H274" t="s">
        <v>335</v>
      </c>
      <c r="I274" t="s">
        <v>242</v>
      </c>
      <c r="J274">
        <v>2.066033913798344E-3</v>
      </c>
      <c r="K274" t="s">
        <v>243</v>
      </c>
      <c r="P274" t="s">
        <v>112</v>
      </c>
      <c r="Q274" t="s">
        <v>518</v>
      </c>
      <c r="R274" t="s">
        <v>640</v>
      </c>
      <c r="S274" t="s">
        <v>547</v>
      </c>
      <c r="U274" t="s">
        <v>112</v>
      </c>
      <c r="V274" t="s">
        <v>872</v>
      </c>
      <c r="W274" t="s">
        <v>650</v>
      </c>
      <c r="X274" t="s">
        <v>666</v>
      </c>
    </row>
    <row r="275" spans="8:24" x14ac:dyDescent="0.45">
      <c r="H275" t="s">
        <v>335</v>
      </c>
      <c r="I275" t="s">
        <v>244</v>
      </c>
      <c r="J275">
        <v>2.066033913798344E-3</v>
      </c>
      <c r="K275" t="s">
        <v>243</v>
      </c>
      <c r="P275" t="s">
        <v>112</v>
      </c>
      <c r="Q275" t="s">
        <v>519</v>
      </c>
      <c r="R275" t="s">
        <v>641</v>
      </c>
      <c r="S275" t="s">
        <v>547</v>
      </c>
      <c r="U275" t="s">
        <v>112</v>
      </c>
      <c r="V275" t="s">
        <v>873</v>
      </c>
      <c r="W275" t="s">
        <v>650</v>
      </c>
      <c r="X275" t="s">
        <v>666</v>
      </c>
    </row>
    <row r="276" spans="8:24" x14ac:dyDescent="0.45">
      <c r="H276" t="s">
        <v>335</v>
      </c>
      <c r="I276" t="s">
        <v>245</v>
      </c>
      <c r="J276">
        <v>2.066033913798344E-3</v>
      </c>
      <c r="K276" t="s">
        <v>243</v>
      </c>
      <c r="P276" t="s">
        <v>112</v>
      </c>
      <c r="Q276" t="s">
        <v>520</v>
      </c>
      <c r="R276" t="s">
        <v>642</v>
      </c>
      <c r="S276" t="s">
        <v>547</v>
      </c>
      <c r="U276" t="s">
        <v>112</v>
      </c>
      <c r="V276" t="s">
        <v>873</v>
      </c>
      <c r="W276" t="s">
        <v>557</v>
      </c>
      <c r="X276" t="s">
        <v>547</v>
      </c>
    </row>
    <row r="277" spans="8:24" x14ac:dyDescent="0.45">
      <c r="H277" t="s">
        <v>336</v>
      </c>
      <c r="I277" t="s">
        <v>242</v>
      </c>
      <c r="J277">
        <v>2.21848140254384E-4</v>
      </c>
      <c r="K277" t="s">
        <v>243</v>
      </c>
      <c r="P277" t="s">
        <v>112</v>
      </c>
      <c r="Q277" t="s">
        <v>521</v>
      </c>
      <c r="R277" t="s">
        <v>643</v>
      </c>
      <c r="S277" t="s">
        <v>547</v>
      </c>
      <c r="U277" t="s">
        <v>112</v>
      </c>
      <c r="V277" t="s">
        <v>874</v>
      </c>
      <c r="W277" t="s">
        <v>650</v>
      </c>
      <c r="X277" t="s">
        <v>666</v>
      </c>
    </row>
    <row r="278" spans="8:24" x14ac:dyDescent="0.45">
      <c r="H278" t="s">
        <v>336</v>
      </c>
      <c r="I278" t="s">
        <v>244</v>
      </c>
      <c r="J278">
        <v>2.21848140254384E-4</v>
      </c>
      <c r="K278" t="s">
        <v>243</v>
      </c>
      <c r="P278" t="s">
        <v>112</v>
      </c>
      <c r="Q278" t="s">
        <v>522</v>
      </c>
      <c r="R278" t="s">
        <v>644</v>
      </c>
      <c r="S278" t="s">
        <v>547</v>
      </c>
      <c r="U278" t="s">
        <v>112</v>
      </c>
      <c r="V278" t="s">
        <v>874</v>
      </c>
      <c r="W278" t="s">
        <v>557</v>
      </c>
      <c r="X278" t="s">
        <v>547</v>
      </c>
    </row>
    <row r="279" spans="8:24" x14ac:dyDescent="0.45">
      <c r="H279" t="s">
        <v>336</v>
      </c>
      <c r="I279" t="s">
        <v>245</v>
      </c>
      <c r="J279">
        <v>2.21848140254384E-4</v>
      </c>
      <c r="K279" t="s">
        <v>243</v>
      </c>
      <c r="P279" t="s">
        <v>112</v>
      </c>
      <c r="Q279" t="s">
        <v>523</v>
      </c>
      <c r="R279" t="s">
        <v>645</v>
      </c>
      <c r="S279" t="s">
        <v>547</v>
      </c>
      <c r="U279" t="s">
        <v>112</v>
      </c>
      <c r="V279" t="s">
        <v>875</v>
      </c>
      <c r="W279" t="s">
        <v>558</v>
      </c>
      <c r="X279" t="s">
        <v>666</v>
      </c>
    </row>
    <row r="280" spans="8:24" x14ac:dyDescent="0.45">
      <c r="H280" t="s">
        <v>337</v>
      </c>
      <c r="I280" t="s">
        <v>242</v>
      </c>
      <c r="J280">
        <v>8.2716403600425568E-3</v>
      </c>
      <c r="K280" t="s">
        <v>243</v>
      </c>
      <c r="P280" t="s">
        <v>112</v>
      </c>
      <c r="Q280" t="s">
        <v>524</v>
      </c>
      <c r="R280" t="s">
        <v>646</v>
      </c>
      <c r="S280" t="s">
        <v>547</v>
      </c>
      <c r="U280" t="s">
        <v>112</v>
      </c>
      <c r="V280" t="s">
        <v>876</v>
      </c>
      <c r="W280" t="s">
        <v>558</v>
      </c>
      <c r="X280" t="s">
        <v>666</v>
      </c>
    </row>
    <row r="281" spans="8:24" x14ac:dyDescent="0.45">
      <c r="H281" t="s">
        <v>337</v>
      </c>
      <c r="I281" t="s">
        <v>244</v>
      </c>
      <c r="J281">
        <v>8.2716403600425568E-3</v>
      </c>
      <c r="K281" t="s">
        <v>243</v>
      </c>
      <c r="P281" t="s">
        <v>112</v>
      </c>
      <c r="Q281" t="s">
        <v>525</v>
      </c>
      <c r="R281" t="s">
        <v>647</v>
      </c>
      <c r="S281" t="s">
        <v>547</v>
      </c>
      <c r="U281" t="s">
        <v>112</v>
      </c>
      <c r="V281" t="s">
        <v>877</v>
      </c>
      <c r="W281" t="s">
        <v>558</v>
      </c>
      <c r="X281" t="s">
        <v>666</v>
      </c>
    </row>
    <row r="282" spans="8:24" x14ac:dyDescent="0.45">
      <c r="H282" t="s">
        <v>337</v>
      </c>
      <c r="I282" t="s">
        <v>245</v>
      </c>
      <c r="J282">
        <v>8.2716403600425568E-3</v>
      </c>
      <c r="K282" t="s">
        <v>243</v>
      </c>
      <c r="P282" t="s">
        <v>112</v>
      </c>
      <c r="Q282" t="s">
        <v>526</v>
      </c>
      <c r="R282" t="s">
        <v>648</v>
      </c>
      <c r="S282" t="s">
        <v>547</v>
      </c>
      <c r="U282" t="s">
        <v>112</v>
      </c>
      <c r="V282" t="s">
        <v>878</v>
      </c>
      <c r="W282" t="s">
        <v>558</v>
      </c>
      <c r="X282" t="s">
        <v>666</v>
      </c>
    </row>
    <row r="283" spans="8:24" x14ac:dyDescent="0.45">
      <c r="H283" t="s">
        <v>338</v>
      </c>
      <c r="I283" t="s">
        <v>242</v>
      </c>
      <c r="J283">
        <v>2.5273099396306075E-2</v>
      </c>
      <c r="K283" t="s">
        <v>243</v>
      </c>
      <c r="P283" t="s">
        <v>112</v>
      </c>
      <c r="Q283" t="s">
        <v>527</v>
      </c>
      <c r="R283" t="s">
        <v>649</v>
      </c>
      <c r="S283" t="s">
        <v>547</v>
      </c>
      <c r="U283" t="s">
        <v>112</v>
      </c>
      <c r="V283" t="s">
        <v>879</v>
      </c>
      <c r="W283" t="s">
        <v>558</v>
      </c>
      <c r="X283" t="s">
        <v>666</v>
      </c>
    </row>
    <row r="284" spans="8:24" x14ac:dyDescent="0.45">
      <c r="H284" t="s">
        <v>338</v>
      </c>
      <c r="I284" t="s">
        <v>244</v>
      </c>
      <c r="J284">
        <v>2.5273099396306075E-2</v>
      </c>
      <c r="K284" t="s">
        <v>243</v>
      </c>
      <c r="P284" t="s">
        <v>112</v>
      </c>
      <c r="Q284" t="s">
        <v>528</v>
      </c>
      <c r="R284" t="s">
        <v>650</v>
      </c>
      <c r="S284" t="s">
        <v>547</v>
      </c>
      <c r="U284" t="s">
        <v>112</v>
      </c>
      <c r="V284" t="s">
        <v>880</v>
      </c>
      <c r="W284" t="s">
        <v>558</v>
      </c>
      <c r="X284" t="s">
        <v>666</v>
      </c>
    </row>
    <row r="285" spans="8:24" x14ac:dyDescent="0.45">
      <c r="H285" t="s">
        <v>338</v>
      </c>
      <c r="I285" t="s">
        <v>245</v>
      </c>
      <c r="J285">
        <v>2.5273099396306075E-2</v>
      </c>
      <c r="K285" t="s">
        <v>243</v>
      </c>
      <c r="P285" t="s">
        <v>112</v>
      </c>
      <c r="Q285" t="s">
        <v>529</v>
      </c>
      <c r="R285" t="s">
        <v>651</v>
      </c>
      <c r="S285" t="s">
        <v>547</v>
      </c>
      <c r="U285" t="s">
        <v>112</v>
      </c>
      <c r="V285" t="s">
        <v>881</v>
      </c>
      <c r="W285" t="s">
        <v>558</v>
      </c>
      <c r="X285" t="s">
        <v>666</v>
      </c>
    </row>
    <row r="286" spans="8:24" x14ac:dyDescent="0.45">
      <c r="H286" t="s">
        <v>339</v>
      </c>
      <c r="I286" t="s">
        <v>242</v>
      </c>
      <c r="J286">
        <v>8.2006989748067156E-3</v>
      </c>
      <c r="K286" t="s">
        <v>243</v>
      </c>
      <c r="P286" t="s">
        <v>112</v>
      </c>
      <c r="Q286" t="s">
        <v>530</v>
      </c>
      <c r="R286" t="s">
        <v>652</v>
      </c>
      <c r="S286" t="s">
        <v>547</v>
      </c>
      <c r="U286" t="s">
        <v>112</v>
      </c>
      <c r="V286" t="s">
        <v>882</v>
      </c>
      <c r="W286" t="s">
        <v>558</v>
      </c>
      <c r="X286" t="s">
        <v>666</v>
      </c>
    </row>
    <row r="287" spans="8:24" x14ac:dyDescent="0.45">
      <c r="H287" t="s">
        <v>339</v>
      </c>
      <c r="I287" t="s">
        <v>244</v>
      </c>
      <c r="J287">
        <v>8.2006989748067156E-3</v>
      </c>
      <c r="K287" t="s">
        <v>243</v>
      </c>
      <c r="P287" t="s">
        <v>112</v>
      </c>
      <c r="Q287" t="s">
        <v>531</v>
      </c>
      <c r="R287" t="s">
        <v>653</v>
      </c>
      <c r="S287" t="s">
        <v>547</v>
      </c>
      <c r="U287" t="s">
        <v>112</v>
      </c>
      <c r="V287" t="s">
        <v>883</v>
      </c>
      <c r="W287" t="s">
        <v>558</v>
      </c>
      <c r="X287" t="s">
        <v>666</v>
      </c>
    </row>
    <row r="288" spans="8:24" x14ac:dyDescent="0.45">
      <c r="H288" t="s">
        <v>339</v>
      </c>
      <c r="I288" t="s">
        <v>245</v>
      </c>
      <c r="J288">
        <v>8.2006989748067156E-3</v>
      </c>
      <c r="K288" t="s">
        <v>243</v>
      </c>
      <c r="P288" t="s">
        <v>112</v>
      </c>
      <c r="Q288" t="s">
        <v>532</v>
      </c>
      <c r="R288" t="s">
        <v>654</v>
      </c>
      <c r="S288" t="s">
        <v>547</v>
      </c>
      <c r="U288" t="s">
        <v>112</v>
      </c>
      <c r="V288" t="s">
        <v>884</v>
      </c>
      <c r="W288" t="s">
        <v>558</v>
      </c>
      <c r="X288" t="s">
        <v>666</v>
      </c>
    </row>
    <row r="289" spans="8:24" x14ac:dyDescent="0.45">
      <c r="H289" t="s">
        <v>340</v>
      </c>
      <c r="I289" t="s">
        <v>242</v>
      </c>
      <c r="J289">
        <v>9.9382488597282229E-3</v>
      </c>
      <c r="K289" t="s">
        <v>243</v>
      </c>
      <c r="P289" t="s">
        <v>112</v>
      </c>
      <c r="Q289" t="s">
        <v>533</v>
      </c>
      <c r="R289" t="s">
        <v>655</v>
      </c>
      <c r="S289" t="s">
        <v>547</v>
      </c>
      <c r="U289" t="s">
        <v>112</v>
      </c>
      <c r="V289" t="s">
        <v>885</v>
      </c>
      <c r="W289" t="s">
        <v>558</v>
      </c>
      <c r="X289" t="s">
        <v>666</v>
      </c>
    </row>
    <row r="290" spans="8:24" x14ac:dyDescent="0.45">
      <c r="H290" t="s">
        <v>340</v>
      </c>
      <c r="I290" t="s">
        <v>244</v>
      </c>
      <c r="J290">
        <v>9.9382488597282229E-3</v>
      </c>
      <c r="K290" t="s">
        <v>243</v>
      </c>
      <c r="P290" t="s">
        <v>112</v>
      </c>
      <c r="Q290" t="s">
        <v>534</v>
      </c>
      <c r="R290" t="s">
        <v>656</v>
      </c>
      <c r="S290" t="s">
        <v>547</v>
      </c>
      <c r="U290" t="s">
        <v>112</v>
      </c>
      <c r="V290" t="s">
        <v>886</v>
      </c>
      <c r="W290" t="s">
        <v>558</v>
      </c>
      <c r="X290" t="s">
        <v>666</v>
      </c>
    </row>
    <row r="291" spans="8:24" x14ac:dyDescent="0.45">
      <c r="H291" t="s">
        <v>340</v>
      </c>
      <c r="I291" t="s">
        <v>245</v>
      </c>
      <c r="J291">
        <v>9.9382488597282229E-3</v>
      </c>
      <c r="K291" t="s">
        <v>243</v>
      </c>
      <c r="P291" t="s">
        <v>112</v>
      </c>
      <c r="Q291" t="s">
        <v>535</v>
      </c>
      <c r="R291" t="s">
        <v>657</v>
      </c>
      <c r="S291" t="s">
        <v>547</v>
      </c>
      <c r="U291" t="s">
        <v>112</v>
      </c>
      <c r="V291" t="s">
        <v>886</v>
      </c>
      <c r="W291" t="s">
        <v>646</v>
      </c>
      <c r="X291" t="s">
        <v>666</v>
      </c>
    </row>
    <row r="292" spans="8:24" x14ac:dyDescent="0.45">
      <c r="H292" t="s">
        <v>341</v>
      </c>
      <c r="I292" t="s">
        <v>242</v>
      </c>
      <c r="J292">
        <v>1.2554265482434088E-2</v>
      </c>
      <c r="K292" t="s">
        <v>243</v>
      </c>
      <c r="P292" t="s">
        <v>112</v>
      </c>
      <c r="Q292" t="s">
        <v>536</v>
      </c>
      <c r="R292" t="s">
        <v>658</v>
      </c>
      <c r="S292" t="s">
        <v>547</v>
      </c>
      <c r="U292" t="s">
        <v>112</v>
      </c>
      <c r="V292" t="s">
        <v>887</v>
      </c>
      <c r="W292" t="s">
        <v>558</v>
      </c>
      <c r="X292" t="s">
        <v>666</v>
      </c>
    </row>
    <row r="293" spans="8:24" x14ac:dyDescent="0.45">
      <c r="H293" t="s">
        <v>341</v>
      </c>
      <c r="I293" t="s">
        <v>244</v>
      </c>
      <c r="J293">
        <v>1.2554265482434088E-2</v>
      </c>
      <c r="K293" t="s">
        <v>243</v>
      </c>
      <c r="P293" t="s">
        <v>112</v>
      </c>
      <c r="Q293" t="s">
        <v>537</v>
      </c>
      <c r="R293" t="s">
        <v>659</v>
      </c>
      <c r="S293" t="s">
        <v>547</v>
      </c>
      <c r="U293" t="s">
        <v>112</v>
      </c>
      <c r="V293" t="s">
        <v>887</v>
      </c>
      <c r="W293" t="s">
        <v>646</v>
      </c>
      <c r="X293" t="s">
        <v>666</v>
      </c>
    </row>
    <row r="294" spans="8:24" x14ac:dyDescent="0.45">
      <c r="H294" t="s">
        <v>341</v>
      </c>
      <c r="I294" t="s">
        <v>245</v>
      </c>
      <c r="J294">
        <v>1.2554265482434088E-2</v>
      </c>
      <c r="K294" t="s">
        <v>243</v>
      </c>
      <c r="P294" t="s">
        <v>112</v>
      </c>
      <c r="Q294" t="s">
        <v>538</v>
      </c>
      <c r="R294" t="s">
        <v>660</v>
      </c>
      <c r="S294" t="s">
        <v>547</v>
      </c>
      <c r="U294" t="s">
        <v>112</v>
      </c>
      <c r="V294" t="s">
        <v>888</v>
      </c>
      <c r="W294" t="s">
        <v>558</v>
      </c>
      <c r="X294" t="s">
        <v>666</v>
      </c>
    </row>
    <row r="295" spans="8:24" x14ac:dyDescent="0.45">
      <c r="H295" t="s">
        <v>342</v>
      </c>
      <c r="I295" t="s">
        <v>242</v>
      </c>
      <c r="J295">
        <v>1.5484397924847839E-2</v>
      </c>
      <c r="K295" t="s">
        <v>243</v>
      </c>
      <c r="P295" t="s">
        <v>112</v>
      </c>
      <c r="Q295" t="s">
        <v>539</v>
      </c>
      <c r="R295" t="s">
        <v>661</v>
      </c>
      <c r="S295" t="s">
        <v>547</v>
      </c>
      <c r="U295" t="s">
        <v>112</v>
      </c>
      <c r="V295" t="s">
        <v>888</v>
      </c>
      <c r="W295" t="s">
        <v>646</v>
      </c>
      <c r="X295" t="s">
        <v>666</v>
      </c>
    </row>
    <row r="296" spans="8:24" x14ac:dyDescent="0.45">
      <c r="H296" t="s">
        <v>342</v>
      </c>
      <c r="I296" t="s">
        <v>244</v>
      </c>
      <c r="J296">
        <v>1.5484397924847839E-2</v>
      </c>
      <c r="K296" t="s">
        <v>243</v>
      </c>
      <c r="P296" t="s">
        <v>112</v>
      </c>
      <c r="Q296" t="s">
        <v>540</v>
      </c>
      <c r="R296" t="s">
        <v>662</v>
      </c>
      <c r="S296" t="s">
        <v>547</v>
      </c>
      <c r="U296" t="s">
        <v>112</v>
      </c>
      <c r="V296" t="s">
        <v>889</v>
      </c>
      <c r="W296" t="s">
        <v>558</v>
      </c>
      <c r="X296" t="s">
        <v>666</v>
      </c>
    </row>
    <row r="297" spans="8:24" x14ac:dyDescent="0.45">
      <c r="H297" t="s">
        <v>342</v>
      </c>
      <c r="I297" t="s">
        <v>245</v>
      </c>
      <c r="J297">
        <v>1.5484397924847839E-2</v>
      </c>
      <c r="K297" t="s">
        <v>243</v>
      </c>
      <c r="P297" t="s">
        <v>112</v>
      </c>
      <c r="Q297" t="s">
        <v>541</v>
      </c>
      <c r="R297" t="s">
        <v>663</v>
      </c>
      <c r="S297" t="s">
        <v>547</v>
      </c>
      <c r="U297" t="s">
        <v>112</v>
      </c>
      <c r="V297" t="s">
        <v>889</v>
      </c>
      <c r="W297" t="s">
        <v>646</v>
      </c>
      <c r="X297" t="s">
        <v>666</v>
      </c>
    </row>
    <row r="298" spans="8:24" x14ac:dyDescent="0.45">
      <c r="H298" t="s">
        <v>343</v>
      </c>
      <c r="I298" t="s">
        <v>242</v>
      </c>
      <c r="J298">
        <v>2.6536690150118537E-3</v>
      </c>
      <c r="K298" t="s">
        <v>243</v>
      </c>
      <c r="P298" t="s">
        <v>112</v>
      </c>
      <c r="Q298" t="s">
        <v>542</v>
      </c>
      <c r="R298" t="s">
        <v>664</v>
      </c>
      <c r="S298" t="s">
        <v>547</v>
      </c>
      <c r="U298" t="s">
        <v>112</v>
      </c>
      <c r="V298" t="s">
        <v>890</v>
      </c>
      <c r="W298" t="s">
        <v>646</v>
      </c>
      <c r="X298" t="s">
        <v>666</v>
      </c>
    </row>
    <row r="299" spans="8:24" x14ac:dyDescent="0.45">
      <c r="H299" t="s">
        <v>343</v>
      </c>
      <c r="I299" t="s">
        <v>244</v>
      </c>
      <c r="J299">
        <v>2.6536690150118537E-3</v>
      </c>
      <c r="K299" t="s">
        <v>243</v>
      </c>
      <c r="U299" t="s">
        <v>112</v>
      </c>
      <c r="V299" t="s">
        <v>891</v>
      </c>
      <c r="W299" t="s">
        <v>646</v>
      </c>
      <c r="X299" t="s">
        <v>666</v>
      </c>
    </row>
    <row r="300" spans="8:24" x14ac:dyDescent="0.45">
      <c r="H300" t="s">
        <v>343</v>
      </c>
      <c r="I300" t="s">
        <v>245</v>
      </c>
      <c r="J300">
        <v>2.6536690150118537E-3</v>
      </c>
      <c r="K300" t="s">
        <v>243</v>
      </c>
      <c r="U300" t="s">
        <v>112</v>
      </c>
      <c r="V300" t="s">
        <v>892</v>
      </c>
      <c r="W300" t="s">
        <v>646</v>
      </c>
      <c r="X300" t="s">
        <v>666</v>
      </c>
    </row>
    <row r="301" spans="8:24" x14ac:dyDescent="0.45">
      <c r="H301" t="s">
        <v>344</v>
      </c>
      <c r="I301" t="s">
        <v>242</v>
      </c>
      <c r="J301">
        <v>3.1179826000032079E-5</v>
      </c>
      <c r="K301" t="s">
        <v>243</v>
      </c>
      <c r="U301" t="s">
        <v>112</v>
      </c>
      <c r="V301" t="s">
        <v>892</v>
      </c>
      <c r="W301" t="s">
        <v>558</v>
      </c>
      <c r="X301" t="s">
        <v>547</v>
      </c>
    </row>
    <row r="302" spans="8:24" x14ac:dyDescent="0.45">
      <c r="H302" t="s">
        <v>344</v>
      </c>
      <c r="I302" t="s">
        <v>244</v>
      </c>
      <c r="J302">
        <v>3.1179826000032079E-5</v>
      </c>
      <c r="K302" t="s">
        <v>243</v>
      </c>
      <c r="U302" t="s">
        <v>112</v>
      </c>
      <c r="V302" t="s">
        <v>893</v>
      </c>
      <c r="W302" t="s">
        <v>646</v>
      </c>
      <c r="X302" t="s">
        <v>666</v>
      </c>
    </row>
    <row r="303" spans="8:24" x14ac:dyDescent="0.45">
      <c r="H303" t="s">
        <v>344</v>
      </c>
      <c r="I303" t="s">
        <v>245</v>
      </c>
      <c r="J303">
        <v>3.1179826000032079E-5</v>
      </c>
      <c r="K303" t="s">
        <v>243</v>
      </c>
      <c r="U303" t="s">
        <v>112</v>
      </c>
      <c r="V303" t="s">
        <v>893</v>
      </c>
      <c r="W303" t="s">
        <v>558</v>
      </c>
      <c r="X303" t="s">
        <v>547</v>
      </c>
    </row>
    <row r="304" spans="8:24" x14ac:dyDescent="0.45">
      <c r="H304" t="s">
        <v>345</v>
      </c>
      <c r="I304" t="s">
        <v>242</v>
      </c>
      <c r="J304">
        <v>9.1074866684046994E-3</v>
      </c>
      <c r="K304" t="s">
        <v>243</v>
      </c>
      <c r="U304" t="s">
        <v>112</v>
      </c>
      <c r="V304" t="s">
        <v>894</v>
      </c>
      <c r="W304" t="s">
        <v>559</v>
      </c>
      <c r="X304" t="s">
        <v>666</v>
      </c>
    </row>
    <row r="305" spans="8:24" x14ac:dyDescent="0.45">
      <c r="H305" t="s">
        <v>345</v>
      </c>
      <c r="I305" t="s">
        <v>244</v>
      </c>
      <c r="J305">
        <v>9.1074866684046994E-3</v>
      </c>
      <c r="K305" t="s">
        <v>243</v>
      </c>
      <c r="U305" t="s">
        <v>112</v>
      </c>
      <c r="V305" t="s">
        <v>895</v>
      </c>
      <c r="W305" t="s">
        <v>559</v>
      </c>
      <c r="X305" t="s">
        <v>666</v>
      </c>
    </row>
    <row r="306" spans="8:24" x14ac:dyDescent="0.45">
      <c r="H306" t="s">
        <v>345</v>
      </c>
      <c r="I306" t="s">
        <v>245</v>
      </c>
      <c r="J306">
        <v>9.1074866684046994E-3</v>
      </c>
      <c r="K306" t="s">
        <v>243</v>
      </c>
      <c r="U306" t="s">
        <v>112</v>
      </c>
      <c r="V306" t="s">
        <v>896</v>
      </c>
      <c r="W306" t="s">
        <v>559</v>
      </c>
      <c r="X306" t="s">
        <v>666</v>
      </c>
    </row>
    <row r="307" spans="8:24" x14ac:dyDescent="0.45">
      <c r="H307" t="s">
        <v>346</v>
      </c>
      <c r="I307" t="s">
        <v>242</v>
      </c>
      <c r="J307">
        <v>2.2210442249279452E-2</v>
      </c>
      <c r="K307" t="s">
        <v>243</v>
      </c>
      <c r="U307" t="s">
        <v>112</v>
      </c>
      <c r="V307" t="s">
        <v>897</v>
      </c>
      <c r="W307" t="s">
        <v>559</v>
      </c>
      <c r="X307" t="s">
        <v>666</v>
      </c>
    </row>
    <row r="308" spans="8:24" x14ac:dyDescent="0.45">
      <c r="H308" t="s">
        <v>346</v>
      </c>
      <c r="I308" t="s">
        <v>244</v>
      </c>
      <c r="J308">
        <v>2.2210442249279452E-2</v>
      </c>
      <c r="K308" t="s">
        <v>243</v>
      </c>
      <c r="U308" t="s">
        <v>112</v>
      </c>
      <c r="V308" t="s">
        <v>898</v>
      </c>
      <c r="W308" t="s">
        <v>559</v>
      </c>
      <c r="X308" t="s">
        <v>666</v>
      </c>
    </row>
    <row r="309" spans="8:24" x14ac:dyDescent="0.45">
      <c r="H309" t="s">
        <v>346</v>
      </c>
      <c r="I309" t="s">
        <v>245</v>
      </c>
      <c r="J309">
        <v>2.2210442249279452E-2</v>
      </c>
      <c r="K309" t="s">
        <v>243</v>
      </c>
      <c r="U309" t="s">
        <v>112</v>
      </c>
      <c r="V309" t="s">
        <v>899</v>
      </c>
      <c r="W309" t="s">
        <v>559</v>
      </c>
      <c r="X309" t="s">
        <v>666</v>
      </c>
    </row>
    <row r="310" spans="8:24" x14ac:dyDescent="0.45">
      <c r="H310" t="s">
        <v>347</v>
      </c>
      <c r="I310" t="s">
        <v>242</v>
      </c>
      <c r="J310">
        <v>2.9417069427630962E-2</v>
      </c>
      <c r="K310" t="s">
        <v>243</v>
      </c>
      <c r="U310" t="s">
        <v>112</v>
      </c>
      <c r="V310" t="s">
        <v>900</v>
      </c>
      <c r="W310" t="s">
        <v>559</v>
      </c>
      <c r="X310" t="s">
        <v>666</v>
      </c>
    </row>
    <row r="311" spans="8:24" x14ac:dyDescent="0.45">
      <c r="H311" t="s">
        <v>347</v>
      </c>
      <c r="I311" t="s">
        <v>244</v>
      </c>
      <c r="J311">
        <v>2.9417069427630962E-2</v>
      </c>
      <c r="K311" t="s">
        <v>243</v>
      </c>
      <c r="U311" t="s">
        <v>112</v>
      </c>
      <c r="V311" t="s">
        <v>901</v>
      </c>
      <c r="W311" t="s">
        <v>559</v>
      </c>
      <c r="X311" t="s">
        <v>666</v>
      </c>
    </row>
    <row r="312" spans="8:24" x14ac:dyDescent="0.45">
      <c r="H312" t="s">
        <v>347</v>
      </c>
      <c r="I312" t="s">
        <v>245</v>
      </c>
      <c r="J312">
        <v>2.9417069427630962E-2</v>
      </c>
      <c r="K312" t="s">
        <v>243</v>
      </c>
      <c r="U312" t="s">
        <v>112</v>
      </c>
      <c r="V312" t="s">
        <v>902</v>
      </c>
      <c r="W312" t="s">
        <v>559</v>
      </c>
      <c r="X312" t="s">
        <v>666</v>
      </c>
    </row>
    <row r="313" spans="8:24" x14ac:dyDescent="0.45">
      <c r="H313" t="s">
        <v>348</v>
      </c>
      <c r="I313" t="s">
        <v>242</v>
      </c>
      <c r="J313">
        <v>9.3928651703745879E-3</v>
      </c>
      <c r="K313" t="s">
        <v>243</v>
      </c>
      <c r="U313" t="s">
        <v>112</v>
      </c>
      <c r="V313" t="s">
        <v>903</v>
      </c>
      <c r="W313" t="s">
        <v>559</v>
      </c>
      <c r="X313" t="s">
        <v>666</v>
      </c>
    </row>
    <row r="314" spans="8:24" x14ac:dyDescent="0.45">
      <c r="H314" t="s">
        <v>348</v>
      </c>
      <c r="I314" t="s">
        <v>244</v>
      </c>
      <c r="J314">
        <v>9.3928651703745879E-3</v>
      </c>
      <c r="K314" t="s">
        <v>243</v>
      </c>
      <c r="U314" t="s">
        <v>112</v>
      </c>
      <c r="V314" t="s">
        <v>904</v>
      </c>
      <c r="W314" t="s">
        <v>559</v>
      </c>
      <c r="X314" t="s">
        <v>666</v>
      </c>
    </row>
    <row r="315" spans="8:24" x14ac:dyDescent="0.45">
      <c r="H315" t="s">
        <v>348</v>
      </c>
      <c r="I315" t="s">
        <v>245</v>
      </c>
      <c r="J315">
        <v>9.3928651703745879E-3</v>
      </c>
      <c r="K315" t="s">
        <v>243</v>
      </c>
      <c r="U315" t="s">
        <v>112</v>
      </c>
      <c r="V315" t="s">
        <v>905</v>
      </c>
      <c r="W315" t="s">
        <v>559</v>
      </c>
      <c r="X315" t="s">
        <v>666</v>
      </c>
    </row>
    <row r="316" spans="8:24" x14ac:dyDescent="0.45">
      <c r="H316" t="s">
        <v>349</v>
      </c>
      <c r="I316" t="s">
        <v>242</v>
      </c>
      <c r="J316">
        <v>1.3776599287490199E-2</v>
      </c>
      <c r="K316" t="s">
        <v>243</v>
      </c>
      <c r="U316" t="s">
        <v>112</v>
      </c>
      <c r="V316" t="s">
        <v>905</v>
      </c>
      <c r="W316" t="s">
        <v>616</v>
      </c>
      <c r="X316" t="s">
        <v>666</v>
      </c>
    </row>
    <row r="317" spans="8:24" x14ac:dyDescent="0.45">
      <c r="H317" t="s">
        <v>349</v>
      </c>
      <c r="I317" t="s">
        <v>244</v>
      </c>
      <c r="J317">
        <v>1.3776599287490199E-2</v>
      </c>
      <c r="K317" t="s">
        <v>243</v>
      </c>
      <c r="U317" t="s">
        <v>112</v>
      </c>
      <c r="V317" t="s">
        <v>906</v>
      </c>
      <c r="W317" t="s">
        <v>559</v>
      </c>
      <c r="X317" t="s">
        <v>666</v>
      </c>
    </row>
    <row r="318" spans="8:24" x14ac:dyDescent="0.45">
      <c r="H318" t="s">
        <v>349</v>
      </c>
      <c r="I318" t="s">
        <v>245</v>
      </c>
      <c r="J318">
        <v>1.3776599287490199E-2</v>
      </c>
      <c r="K318" t="s">
        <v>243</v>
      </c>
      <c r="U318" t="s">
        <v>112</v>
      </c>
      <c r="V318" t="s">
        <v>906</v>
      </c>
      <c r="W318" t="s">
        <v>616</v>
      </c>
      <c r="X318" t="s">
        <v>666</v>
      </c>
    </row>
    <row r="319" spans="8:24" x14ac:dyDescent="0.45">
      <c r="H319" t="s">
        <v>350</v>
      </c>
      <c r="I319" t="s">
        <v>242</v>
      </c>
      <c r="J319">
        <v>5.0086591920417362E-3</v>
      </c>
      <c r="K319" t="s">
        <v>243</v>
      </c>
      <c r="U319" t="s">
        <v>112</v>
      </c>
      <c r="V319" t="s">
        <v>907</v>
      </c>
      <c r="W319" t="s">
        <v>559</v>
      </c>
      <c r="X319" t="s">
        <v>666</v>
      </c>
    </row>
    <row r="320" spans="8:24" x14ac:dyDescent="0.45">
      <c r="H320" t="s">
        <v>350</v>
      </c>
      <c r="I320" t="s">
        <v>244</v>
      </c>
      <c r="J320">
        <v>5.0086591920417362E-3</v>
      </c>
      <c r="K320" t="s">
        <v>243</v>
      </c>
      <c r="U320" t="s">
        <v>112</v>
      </c>
      <c r="V320" t="s">
        <v>907</v>
      </c>
      <c r="W320" t="s">
        <v>616</v>
      </c>
      <c r="X320" t="s">
        <v>666</v>
      </c>
    </row>
    <row r="321" spans="8:24" x14ac:dyDescent="0.45">
      <c r="H321" t="s">
        <v>350</v>
      </c>
      <c r="I321" t="s">
        <v>245</v>
      </c>
      <c r="J321">
        <v>5.0086591920417362E-3</v>
      </c>
      <c r="K321" t="s">
        <v>243</v>
      </c>
      <c r="U321" t="s">
        <v>112</v>
      </c>
      <c r="V321" t="s">
        <v>908</v>
      </c>
      <c r="W321" t="s">
        <v>559</v>
      </c>
      <c r="X321" t="s">
        <v>666</v>
      </c>
    </row>
    <row r="322" spans="8:24" x14ac:dyDescent="0.45">
      <c r="H322" t="s">
        <v>351</v>
      </c>
      <c r="I322" t="s">
        <v>242</v>
      </c>
      <c r="J322">
        <v>6.1477653064319513E-3</v>
      </c>
      <c r="K322" t="s">
        <v>243</v>
      </c>
      <c r="U322" t="s">
        <v>112</v>
      </c>
      <c r="V322" t="s">
        <v>908</v>
      </c>
      <c r="W322" t="s">
        <v>616</v>
      </c>
      <c r="X322" t="s">
        <v>666</v>
      </c>
    </row>
    <row r="323" spans="8:24" x14ac:dyDescent="0.45">
      <c r="H323" t="s">
        <v>351</v>
      </c>
      <c r="I323" t="s">
        <v>244</v>
      </c>
      <c r="J323">
        <v>6.1477653064319513E-3</v>
      </c>
      <c r="K323" t="s">
        <v>243</v>
      </c>
      <c r="U323" t="s">
        <v>112</v>
      </c>
      <c r="V323" t="s">
        <v>909</v>
      </c>
      <c r="W323" t="s">
        <v>616</v>
      </c>
      <c r="X323" t="s">
        <v>666</v>
      </c>
    </row>
    <row r="324" spans="8:24" x14ac:dyDescent="0.45">
      <c r="H324" t="s">
        <v>351</v>
      </c>
      <c r="I324" t="s">
        <v>245</v>
      </c>
      <c r="J324">
        <v>6.1477653064319513E-3</v>
      </c>
      <c r="K324" t="s">
        <v>243</v>
      </c>
      <c r="U324" t="s">
        <v>112</v>
      </c>
      <c r="V324" t="s">
        <v>910</v>
      </c>
      <c r="W324" t="s">
        <v>616</v>
      </c>
      <c r="X324" t="s">
        <v>666</v>
      </c>
    </row>
    <row r="325" spans="8:24" x14ac:dyDescent="0.45">
      <c r="H325" t="s">
        <v>352</v>
      </c>
      <c r="I325" t="s">
        <v>242</v>
      </c>
      <c r="J325">
        <v>2.6473019460272532E-2</v>
      </c>
      <c r="K325" t="s">
        <v>243</v>
      </c>
      <c r="U325" t="s">
        <v>112</v>
      </c>
      <c r="V325" t="s">
        <v>911</v>
      </c>
      <c r="W325" t="s">
        <v>616</v>
      </c>
      <c r="X325" t="s">
        <v>666</v>
      </c>
    </row>
    <row r="326" spans="8:24" x14ac:dyDescent="0.45">
      <c r="H326" t="s">
        <v>352</v>
      </c>
      <c r="I326" t="s">
        <v>244</v>
      </c>
      <c r="J326">
        <v>2.6473019460272532E-2</v>
      </c>
      <c r="K326" t="s">
        <v>243</v>
      </c>
      <c r="U326" t="s">
        <v>112</v>
      </c>
      <c r="V326" t="s">
        <v>911</v>
      </c>
      <c r="W326" t="s">
        <v>559</v>
      </c>
      <c r="X326" t="s">
        <v>547</v>
      </c>
    </row>
    <row r="327" spans="8:24" x14ac:dyDescent="0.45">
      <c r="H327" t="s">
        <v>352</v>
      </c>
      <c r="I327" t="s">
        <v>245</v>
      </c>
      <c r="J327">
        <v>2.6473019460272532E-2</v>
      </c>
      <c r="K327" t="s">
        <v>243</v>
      </c>
      <c r="U327" t="s">
        <v>112</v>
      </c>
      <c r="V327" t="s">
        <v>912</v>
      </c>
      <c r="W327" t="s">
        <v>616</v>
      </c>
      <c r="X327" t="s">
        <v>666</v>
      </c>
    </row>
    <row r="328" spans="8:24" x14ac:dyDescent="0.45">
      <c r="H328" t="s">
        <v>353</v>
      </c>
      <c r="I328" t="s">
        <v>242</v>
      </c>
      <c r="J328">
        <v>4.8865315825130297E-2</v>
      </c>
      <c r="K328" t="s">
        <v>243</v>
      </c>
      <c r="U328" t="s">
        <v>112</v>
      </c>
      <c r="V328" t="s">
        <v>912</v>
      </c>
      <c r="W328" t="s">
        <v>559</v>
      </c>
      <c r="X328" t="s">
        <v>547</v>
      </c>
    </row>
    <row r="329" spans="8:24" x14ac:dyDescent="0.45">
      <c r="H329" t="s">
        <v>353</v>
      </c>
      <c r="I329" t="s">
        <v>244</v>
      </c>
      <c r="J329">
        <v>4.8865315825130297E-2</v>
      </c>
      <c r="K329" t="s">
        <v>243</v>
      </c>
      <c r="U329" t="s">
        <v>112</v>
      </c>
      <c r="V329" t="s">
        <v>913</v>
      </c>
      <c r="W329" t="s">
        <v>560</v>
      </c>
      <c r="X329" t="s">
        <v>666</v>
      </c>
    </row>
    <row r="330" spans="8:24" x14ac:dyDescent="0.45">
      <c r="H330" t="s">
        <v>353</v>
      </c>
      <c r="I330" t="s">
        <v>245</v>
      </c>
      <c r="J330">
        <v>4.8865315825130297E-2</v>
      </c>
      <c r="K330" t="s">
        <v>243</v>
      </c>
      <c r="U330" t="s">
        <v>112</v>
      </c>
      <c r="V330" t="s">
        <v>914</v>
      </c>
      <c r="W330" t="s">
        <v>560</v>
      </c>
      <c r="X330" t="s">
        <v>666</v>
      </c>
    </row>
    <row r="331" spans="8:24" x14ac:dyDescent="0.45">
      <c r="H331" t="s">
        <v>354</v>
      </c>
      <c r="I331" t="s">
        <v>242</v>
      </c>
      <c r="J331">
        <v>2.6086249460113991E-2</v>
      </c>
      <c r="K331" t="s">
        <v>243</v>
      </c>
      <c r="U331" t="s">
        <v>112</v>
      </c>
      <c r="V331" t="s">
        <v>915</v>
      </c>
      <c r="W331" t="s">
        <v>560</v>
      </c>
      <c r="X331" t="s">
        <v>666</v>
      </c>
    </row>
    <row r="332" spans="8:24" x14ac:dyDescent="0.45">
      <c r="H332" t="s">
        <v>354</v>
      </c>
      <c r="I332" t="s">
        <v>244</v>
      </c>
      <c r="J332">
        <v>2.6086249460113991E-2</v>
      </c>
      <c r="K332" t="s">
        <v>243</v>
      </c>
      <c r="U332" t="s">
        <v>112</v>
      </c>
      <c r="V332" t="s">
        <v>916</v>
      </c>
      <c r="W332" t="s">
        <v>560</v>
      </c>
      <c r="X332" t="s">
        <v>666</v>
      </c>
    </row>
    <row r="333" spans="8:24" x14ac:dyDescent="0.45">
      <c r="H333" t="s">
        <v>354</v>
      </c>
      <c r="I333" t="s">
        <v>245</v>
      </c>
      <c r="J333">
        <v>2.6086249460113991E-2</v>
      </c>
      <c r="K333" t="s">
        <v>243</v>
      </c>
      <c r="U333" t="s">
        <v>112</v>
      </c>
      <c r="V333" t="s">
        <v>917</v>
      </c>
      <c r="W333" t="s">
        <v>560</v>
      </c>
      <c r="X333" t="s">
        <v>666</v>
      </c>
    </row>
    <row r="334" spans="8:24" x14ac:dyDescent="0.45">
      <c r="H334" t="s">
        <v>355</v>
      </c>
      <c r="I334" t="s">
        <v>242</v>
      </c>
      <c r="J334">
        <v>1.5433973830342899E-2</v>
      </c>
      <c r="K334" t="s">
        <v>243</v>
      </c>
      <c r="U334" t="s">
        <v>112</v>
      </c>
      <c r="V334" t="s">
        <v>918</v>
      </c>
      <c r="W334" t="s">
        <v>560</v>
      </c>
      <c r="X334" t="s">
        <v>666</v>
      </c>
    </row>
    <row r="335" spans="8:24" x14ac:dyDescent="0.45">
      <c r="H335" t="s">
        <v>355</v>
      </c>
      <c r="I335" t="s">
        <v>244</v>
      </c>
      <c r="J335">
        <v>1.5433973830342899E-2</v>
      </c>
      <c r="K335" t="s">
        <v>243</v>
      </c>
      <c r="U335" t="s">
        <v>112</v>
      </c>
      <c r="V335" t="s">
        <v>919</v>
      </c>
      <c r="W335" t="s">
        <v>560</v>
      </c>
      <c r="X335" t="s">
        <v>666</v>
      </c>
    </row>
    <row r="336" spans="8:24" x14ac:dyDescent="0.45">
      <c r="H336" t="s">
        <v>355</v>
      </c>
      <c r="I336" t="s">
        <v>245</v>
      </c>
      <c r="J336">
        <v>1.5433973830342899E-2</v>
      </c>
      <c r="K336" t="s">
        <v>243</v>
      </c>
      <c r="U336" t="s">
        <v>112</v>
      </c>
      <c r="V336" t="s">
        <v>920</v>
      </c>
      <c r="W336" t="s">
        <v>560</v>
      </c>
      <c r="X336" t="s">
        <v>666</v>
      </c>
    </row>
    <row r="337" spans="8:24" x14ac:dyDescent="0.45">
      <c r="H337" t="s">
        <v>356</v>
      </c>
      <c r="I337" t="s">
        <v>242</v>
      </c>
      <c r="J337">
        <v>1.1134566809932342E-2</v>
      </c>
      <c r="K337" t="s">
        <v>243</v>
      </c>
      <c r="U337" t="s">
        <v>112</v>
      </c>
      <c r="V337" t="s">
        <v>921</v>
      </c>
      <c r="W337" t="s">
        <v>560</v>
      </c>
      <c r="X337" t="s">
        <v>666</v>
      </c>
    </row>
    <row r="338" spans="8:24" x14ac:dyDescent="0.45">
      <c r="H338" t="s">
        <v>356</v>
      </c>
      <c r="I338" t="s">
        <v>244</v>
      </c>
      <c r="J338">
        <v>1.1134566809932342E-2</v>
      </c>
      <c r="K338" t="s">
        <v>243</v>
      </c>
      <c r="U338" t="s">
        <v>112</v>
      </c>
      <c r="V338" t="s">
        <v>922</v>
      </c>
      <c r="W338" t="s">
        <v>560</v>
      </c>
      <c r="X338" t="s">
        <v>666</v>
      </c>
    </row>
    <row r="339" spans="8:24" x14ac:dyDescent="0.45">
      <c r="H339" t="s">
        <v>356</v>
      </c>
      <c r="I339" t="s">
        <v>245</v>
      </c>
      <c r="J339">
        <v>1.1134566809932342E-2</v>
      </c>
      <c r="K339" t="s">
        <v>243</v>
      </c>
      <c r="U339" t="s">
        <v>112</v>
      </c>
      <c r="V339" t="s">
        <v>923</v>
      </c>
      <c r="W339" t="s">
        <v>560</v>
      </c>
      <c r="X339" t="s">
        <v>666</v>
      </c>
    </row>
    <row r="340" spans="8:24" x14ac:dyDescent="0.45">
      <c r="H340" t="s">
        <v>357</v>
      </c>
      <c r="I340" t="s">
        <v>242</v>
      </c>
      <c r="J340">
        <v>6.7508893647565016E-2</v>
      </c>
      <c r="K340" t="s">
        <v>243</v>
      </c>
      <c r="U340" t="s">
        <v>112</v>
      </c>
      <c r="V340" t="s">
        <v>924</v>
      </c>
      <c r="W340" t="s">
        <v>560</v>
      </c>
      <c r="X340" t="s">
        <v>666</v>
      </c>
    </row>
    <row r="341" spans="8:24" x14ac:dyDescent="0.45">
      <c r="H341" t="s">
        <v>357</v>
      </c>
      <c r="I341" t="s">
        <v>244</v>
      </c>
      <c r="J341">
        <v>6.7508893647565016E-2</v>
      </c>
      <c r="K341" t="s">
        <v>243</v>
      </c>
      <c r="U341" t="s">
        <v>112</v>
      </c>
      <c r="V341" t="s">
        <v>924</v>
      </c>
      <c r="W341" t="s">
        <v>654</v>
      </c>
      <c r="X341" t="s">
        <v>666</v>
      </c>
    </row>
    <row r="342" spans="8:24" x14ac:dyDescent="0.45">
      <c r="H342" t="s">
        <v>357</v>
      </c>
      <c r="I342" t="s">
        <v>245</v>
      </c>
      <c r="J342">
        <v>6.7508893647565016E-2</v>
      </c>
      <c r="K342" t="s">
        <v>243</v>
      </c>
      <c r="U342" t="s">
        <v>112</v>
      </c>
      <c r="V342" t="s">
        <v>925</v>
      </c>
      <c r="W342" t="s">
        <v>560</v>
      </c>
      <c r="X342" t="s">
        <v>666</v>
      </c>
    </row>
    <row r="343" spans="8:24" x14ac:dyDescent="0.45">
      <c r="H343" t="s">
        <v>358</v>
      </c>
      <c r="I343" t="s">
        <v>242</v>
      </c>
      <c r="J343">
        <v>1.8212025495717772E-2</v>
      </c>
      <c r="K343" t="s">
        <v>243</v>
      </c>
      <c r="U343" t="s">
        <v>112</v>
      </c>
      <c r="V343" t="s">
        <v>925</v>
      </c>
      <c r="W343" t="s">
        <v>654</v>
      </c>
      <c r="X343" t="s">
        <v>666</v>
      </c>
    </row>
    <row r="344" spans="8:24" x14ac:dyDescent="0.45">
      <c r="H344" t="s">
        <v>358</v>
      </c>
      <c r="I344" t="s">
        <v>244</v>
      </c>
      <c r="J344">
        <v>1.8212025495717772E-2</v>
      </c>
      <c r="K344" t="s">
        <v>243</v>
      </c>
      <c r="U344" t="s">
        <v>112</v>
      </c>
      <c r="V344" t="s">
        <v>926</v>
      </c>
      <c r="W344" t="s">
        <v>560</v>
      </c>
      <c r="X344" t="s">
        <v>666</v>
      </c>
    </row>
    <row r="345" spans="8:24" x14ac:dyDescent="0.45">
      <c r="H345" t="s">
        <v>358</v>
      </c>
      <c r="I345" t="s">
        <v>245</v>
      </c>
      <c r="J345">
        <v>1.8212025495717772E-2</v>
      </c>
      <c r="K345" t="s">
        <v>243</v>
      </c>
      <c r="U345" t="s">
        <v>112</v>
      </c>
      <c r="V345" t="s">
        <v>926</v>
      </c>
      <c r="W345" t="s">
        <v>654</v>
      </c>
      <c r="X345" t="s">
        <v>666</v>
      </c>
    </row>
    <row r="346" spans="8:24" x14ac:dyDescent="0.45">
      <c r="H346" t="s">
        <v>359</v>
      </c>
      <c r="I346" t="s">
        <v>242</v>
      </c>
      <c r="J346">
        <v>3.7966015672833933E-2</v>
      </c>
      <c r="K346" t="s">
        <v>243</v>
      </c>
      <c r="U346" t="s">
        <v>112</v>
      </c>
      <c r="V346" t="s">
        <v>927</v>
      </c>
      <c r="W346" t="s">
        <v>560</v>
      </c>
      <c r="X346" t="s">
        <v>666</v>
      </c>
    </row>
    <row r="347" spans="8:24" x14ac:dyDescent="0.45">
      <c r="H347" t="s">
        <v>359</v>
      </c>
      <c r="I347" t="s">
        <v>244</v>
      </c>
      <c r="J347">
        <v>3.7966015672833933E-2</v>
      </c>
      <c r="K347" t="s">
        <v>243</v>
      </c>
      <c r="U347" t="s">
        <v>112</v>
      </c>
      <c r="V347" t="s">
        <v>927</v>
      </c>
      <c r="W347" t="s">
        <v>654</v>
      </c>
      <c r="X347" t="s">
        <v>666</v>
      </c>
    </row>
    <row r="348" spans="8:24" x14ac:dyDescent="0.45">
      <c r="H348" t="s">
        <v>359</v>
      </c>
      <c r="I348" t="s">
        <v>245</v>
      </c>
      <c r="J348">
        <v>3.7966015672833933E-2</v>
      </c>
      <c r="K348" t="s">
        <v>243</v>
      </c>
      <c r="U348" t="s">
        <v>112</v>
      </c>
      <c r="V348" t="s">
        <v>928</v>
      </c>
      <c r="W348" t="s">
        <v>654</v>
      </c>
      <c r="X348" t="s">
        <v>666</v>
      </c>
    </row>
    <row r="349" spans="8:24" x14ac:dyDescent="0.45">
      <c r="H349" t="s">
        <v>360</v>
      </c>
      <c r="I349" t="s">
        <v>242</v>
      </c>
      <c r="J349">
        <v>1.2291107876762148E-2</v>
      </c>
      <c r="K349" t="s">
        <v>243</v>
      </c>
      <c r="U349" t="s">
        <v>112</v>
      </c>
      <c r="V349" t="s">
        <v>929</v>
      </c>
      <c r="W349" t="s">
        <v>654</v>
      </c>
      <c r="X349" t="s">
        <v>666</v>
      </c>
    </row>
    <row r="350" spans="8:24" x14ac:dyDescent="0.45">
      <c r="H350" t="s">
        <v>360</v>
      </c>
      <c r="I350" t="s">
        <v>244</v>
      </c>
      <c r="J350">
        <v>1.2291107876762148E-2</v>
      </c>
      <c r="K350" t="s">
        <v>243</v>
      </c>
      <c r="U350" t="s">
        <v>112</v>
      </c>
      <c r="V350" t="s">
        <v>930</v>
      </c>
      <c r="W350" t="s">
        <v>654</v>
      </c>
      <c r="X350" t="s">
        <v>666</v>
      </c>
    </row>
    <row r="351" spans="8:24" x14ac:dyDescent="0.45">
      <c r="H351" t="s">
        <v>360</v>
      </c>
      <c r="I351" t="s">
        <v>245</v>
      </c>
      <c r="J351">
        <v>1.2291107876762148E-2</v>
      </c>
      <c r="K351" t="s">
        <v>243</v>
      </c>
      <c r="U351" t="s">
        <v>112</v>
      </c>
      <c r="V351" t="s">
        <v>930</v>
      </c>
      <c r="W351" t="s">
        <v>560</v>
      </c>
      <c r="X351" t="s">
        <v>547</v>
      </c>
    </row>
    <row r="352" spans="8:24" x14ac:dyDescent="0.45">
      <c r="H352" t="s">
        <v>361</v>
      </c>
      <c r="I352" t="s">
        <v>242</v>
      </c>
      <c r="J352">
        <v>4.5813904175743436E-2</v>
      </c>
      <c r="K352" t="s">
        <v>243</v>
      </c>
      <c r="U352" t="s">
        <v>112</v>
      </c>
      <c r="V352" t="s">
        <v>931</v>
      </c>
      <c r="W352" t="s">
        <v>654</v>
      </c>
      <c r="X352" t="s">
        <v>666</v>
      </c>
    </row>
    <row r="353" spans="8:24" x14ac:dyDescent="0.45">
      <c r="H353" t="s">
        <v>361</v>
      </c>
      <c r="I353" t="s">
        <v>244</v>
      </c>
      <c r="J353">
        <v>4.5813904175743436E-2</v>
      </c>
      <c r="K353" t="s">
        <v>243</v>
      </c>
      <c r="U353" t="s">
        <v>112</v>
      </c>
      <c r="V353" t="s">
        <v>931</v>
      </c>
      <c r="W353" t="s">
        <v>560</v>
      </c>
      <c r="X353" t="s">
        <v>547</v>
      </c>
    </row>
    <row r="354" spans="8:24" x14ac:dyDescent="0.45">
      <c r="H354" t="s">
        <v>361</v>
      </c>
      <c r="I354" t="s">
        <v>245</v>
      </c>
      <c r="J354">
        <v>4.5813904175743436E-2</v>
      </c>
      <c r="K354" t="s">
        <v>243</v>
      </c>
      <c r="U354" t="s">
        <v>112</v>
      </c>
      <c r="V354" t="s">
        <v>932</v>
      </c>
      <c r="W354" t="s">
        <v>561</v>
      </c>
      <c r="X354" t="s">
        <v>666</v>
      </c>
    </row>
    <row r="355" spans="8:24" x14ac:dyDescent="0.45">
      <c r="H355" t="s">
        <v>362</v>
      </c>
      <c r="I355" t="s">
        <v>242</v>
      </c>
      <c r="J355">
        <v>4.2235675966022547E-2</v>
      </c>
      <c r="K355" t="s">
        <v>243</v>
      </c>
      <c r="U355" t="s">
        <v>112</v>
      </c>
      <c r="V355" t="s">
        <v>933</v>
      </c>
      <c r="W355" t="s">
        <v>561</v>
      </c>
      <c r="X355" t="s">
        <v>666</v>
      </c>
    </row>
    <row r="356" spans="8:24" x14ac:dyDescent="0.45">
      <c r="H356" t="s">
        <v>362</v>
      </c>
      <c r="I356" t="s">
        <v>244</v>
      </c>
      <c r="J356">
        <v>4.2235675966022547E-2</v>
      </c>
      <c r="K356" t="s">
        <v>243</v>
      </c>
      <c r="U356" t="s">
        <v>112</v>
      </c>
      <c r="V356" t="s">
        <v>934</v>
      </c>
      <c r="W356" t="s">
        <v>561</v>
      </c>
      <c r="X356" t="s">
        <v>666</v>
      </c>
    </row>
    <row r="357" spans="8:24" x14ac:dyDescent="0.45">
      <c r="H357" t="s">
        <v>362</v>
      </c>
      <c r="I357" t="s">
        <v>245</v>
      </c>
      <c r="J357">
        <v>4.2235675966022547E-2</v>
      </c>
      <c r="K357" t="s">
        <v>243</v>
      </c>
      <c r="U357" t="s">
        <v>112</v>
      </c>
      <c r="V357" t="s">
        <v>935</v>
      </c>
      <c r="W357" t="s">
        <v>561</v>
      </c>
      <c r="X357" t="s">
        <v>666</v>
      </c>
    </row>
    <row r="358" spans="8:24" x14ac:dyDescent="0.45">
      <c r="H358" t="s">
        <v>363</v>
      </c>
      <c r="I358" t="s">
        <v>242</v>
      </c>
      <c r="J358">
        <v>1.1215346455244498E-2</v>
      </c>
      <c r="K358" t="s">
        <v>243</v>
      </c>
      <c r="U358" t="s">
        <v>112</v>
      </c>
      <c r="V358" t="s">
        <v>936</v>
      </c>
      <c r="W358" t="s">
        <v>561</v>
      </c>
      <c r="X358" t="s">
        <v>666</v>
      </c>
    </row>
    <row r="359" spans="8:24" x14ac:dyDescent="0.45">
      <c r="H359" t="s">
        <v>363</v>
      </c>
      <c r="I359" t="s">
        <v>244</v>
      </c>
      <c r="J359">
        <v>1.1215346455244498E-2</v>
      </c>
      <c r="K359" t="s">
        <v>243</v>
      </c>
      <c r="U359" t="s">
        <v>112</v>
      </c>
      <c r="V359" t="s">
        <v>937</v>
      </c>
      <c r="W359" t="s">
        <v>561</v>
      </c>
      <c r="X359" t="s">
        <v>666</v>
      </c>
    </row>
    <row r="360" spans="8:24" x14ac:dyDescent="0.45">
      <c r="H360" t="s">
        <v>363</v>
      </c>
      <c r="I360" t="s">
        <v>245</v>
      </c>
      <c r="J360">
        <v>1.1215346455244498E-2</v>
      </c>
      <c r="K360" t="s">
        <v>243</v>
      </c>
      <c r="U360" t="s">
        <v>112</v>
      </c>
      <c r="V360" t="s">
        <v>938</v>
      </c>
      <c r="W360" t="s">
        <v>561</v>
      </c>
      <c r="X360" t="s">
        <v>666</v>
      </c>
    </row>
    <row r="361" spans="8:24" x14ac:dyDescent="0.45">
      <c r="H361" t="s">
        <v>364</v>
      </c>
      <c r="I361" t="s">
        <v>242</v>
      </c>
      <c r="J361">
        <v>1.805566500419031E-2</v>
      </c>
      <c r="K361" t="s">
        <v>243</v>
      </c>
      <c r="U361" t="s">
        <v>112</v>
      </c>
      <c r="V361" t="s">
        <v>939</v>
      </c>
      <c r="W361" t="s">
        <v>561</v>
      </c>
      <c r="X361" t="s">
        <v>666</v>
      </c>
    </row>
    <row r="362" spans="8:24" x14ac:dyDescent="0.45">
      <c r="H362" t="s">
        <v>364</v>
      </c>
      <c r="I362" t="s">
        <v>244</v>
      </c>
      <c r="J362">
        <v>1.805566500419031E-2</v>
      </c>
      <c r="K362" t="s">
        <v>243</v>
      </c>
      <c r="U362" t="s">
        <v>112</v>
      </c>
      <c r="V362" t="s">
        <v>940</v>
      </c>
      <c r="W362" t="s">
        <v>561</v>
      </c>
      <c r="X362" t="s">
        <v>666</v>
      </c>
    </row>
    <row r="363" spans="8:24" x14ac:dyDescent="0.45">
      <c r="H363" t="s">
        <v>364</v>
      </c>
      <c r="I363" t="s">
        <v>245</v>
      </c>
      <c r="J363">
        <v>1.805566500419031E-2</v>
      </c>
      <c r="K363" t="s">
        <v>243</v>
      </c>
      <c r="U363" t="s">
        <v>112</v>
      </c>
      <c r="V363" t="s">
        <v>941</v>
      </c>
      <c r="W363" t="s">
        <v>561</v>
      </c>
      <c r="X363" t="s">
        <v>666</v>
      </c>
    </row>
    <row r="364" spans="8:24" x14ac:dyDescent="0.45">
      <c r="H364" t="s">
        <v>365</v>
      </c>
      <c r="I364" t="s">
        <v>242</v>
      </c>
      <c r="J364">
        <v>1.3586949985506535E-2</v>
      </c>
      <c r="K364" t="s">
        <v>243</v>
      </c>
      <c r="U364" t="s">
        <v>112</v>
      </c>
      <c r="V364" t="s">
        <v>942</v>
      </c>
      <c r="W364" t="s">
        <v>561</v>
      </c>
      <c r="X364" t="s">
        <v>666</v>
      </c>
    </row>
    <row r="365" spans="8:24" x14ac:dyDescent="0.45">
      <c r="H365" t="s">
        <v>365</v>
      </c>
      <c r="I365" t="s">
        <v>244</v>
      </c>
      <c r="J365">
        <v>1.3586949985506535E-2</v>
      </c>
      <c r="K365" t="s">
        <v>243</v>
      </c>
      <c r="U365" t="s">
        <v>112</v>
      </c>
      <c r="V365" t="s">
        <v>943</v>
      </c>
      <c r="W365" t="s">
        <v>561</v>
      </c>
      <c r="X365" t="s">
        <v>666</v>
      </c>
    </row>
    <row r="366" spans="8:24" x14ac:dyDescent="0.45">
      <c r="H366" t="s">
        <v>365</v>
      </c>
      <c r="I366" t="s">
        <v>245</v>
      </c>
      <c r="J366">
        <v>1.3586949985506535E-2</v>
      </c>
      <c r="K366" t="s">
        <v>243</v>
      </c>
      <c r="U366" t="s">
        <v>112</v>
      </c>
      <c r="V366" t="s">
        <v>943</v>
      </c>
      <c r="W366" t="s">
        <v>630</v>
      </c>
      <c r="X366" t="s">
        <v>666</v>
      </c>
    </row>
    <row r="367" spans="8:24" x14ac:dyDescent="0.45">
      <c r="H367" t="s">
        <v>366</v>
      </c>
      <c r="I367" t="s">
        <v>242</v>
      </c>
      <c r="J367">
        <v>4.3007056057302595E-2</v>
      </c>
      <c r="K367" t="s">
        <v>243</v>
      </c>
      <c r="U367" t="s">
        <v>112</v>
      </c>
      <c r="V367" t="s">
        <v>944</v>
      </c>
      <c r="W367" t="s">
        <v>561</v>
      </c>
      <c r="X367" t="s">
        <v>666</v>
      </c>
    </row>
    <row r="368" spans="8:24" x14ac:dyDescent="0.45">
      <c r="H368" t="s">
        <v>366</v>
      </c>
      <c r="I368" t="s">
        <v>244</v>
      </c>
      <c r="J368">
        <v>4.3007056057302595E-2</v>
      </c>
      <c r="K368" t="s">
        <v>243</v>
      </c>
      <c r="U368" t="s">
        <v>112</v>
      </c>
      <c r="V368" t="s">
        <v>944</v>
      </c>
      <c r="W368" t="s">
        <v>630</v>
      </c>
      <c r="X368" t="s">
        <v>666</v>
      </c>
    </row>
    <row r="369" spans="8:24" x14ac:dyDescent="0.45">
      <c r="H369" t="s">
        <v>366</v>
      </c>
      <c r="I369" t="s">
        <v>245</v>
      </c>
      <c r="J369">
        <v>4.3007056057302595E-2</v>
      </c>
      <c r="K369" t="s">
        <v>243</v>
      </c>
      <c r="U369" t="s">
        <v>112</v>
      </c>
      <c r="V369" t="s">
        <v>945</v>
      </c>
      <c r="W369" t="s">
        <v>561</v>
      </c>
      <c r="X369" t="s">
        <v>666</v>
      </c>
    </row>
    <row r="370" spans="8:24" x14ac:dyDescent="0.45">
      <c r="H370" t="s">
        <v>367</v>
      </c>
      <c r="I370" t="s">
        <v>242</v>
      </c>
      <c r="J370">
        <v>4.4696313692848996E-4</v>
      </c>
      <c r="K370" t="s">
        <v>243</v>
      </c>
      <c r="U370" t="s">
        <v>112</v>
      </c>
      <c r="V370" t="s">
        <v>945</v>
      </c>
      <c r="W370" t="s">
        <v>630</v>
      </c>
      <c r="X370" t="s">
        <v>666</v>
      </c>
    </row>
    <row r="371" spans="8:24" x14ac:dyDescent="0.45">
      <c r="H371" t="s">
        <v>367</v>
      </c>
      <c r="I371" t="s">
        <v>244</v>
      </c>
      <c r="J371">
        <v>4.4696313692848996E-4</v>
      </c>
      <c r="K371" t="s">
        <v>243</v>
      </c>
      <c r="U371" t="s">
        <v>112</v>
      </c>
      <c r="V371" t="s">
        <v>946</v>
      </c>
      <c r="W371" t="s">
        <v>561</v>
      </c>
      <c r="X371" t="s">
        <v>666</v>
      </c>
    </row>
    <row r="372" spans="8:24" x14ac:dyDescent="0.45">
      <c r="H372" t="s">
        <v>367</v>
      </c>
      <c r="I372" t="s">
        <v>245</v>
      </c>
      <c r="J372">
        <v>4.4696313692848996E-4</v>
      </c>
      <c r="K372" t="s">
        <v>243</v>
      </c>
      <c r="U372" t="s">
        <v>112</v>
      </c>
      <c r="V372" t="s">
        <v>946</v>
      </c>
      <c r="W372" t="s">
        <v>630</v>
      </c>
      <c r="X372" t="s">
        <v>666</v>
      </c>
    </row>
    <row r="373" spans="8:24" x14ac:dyDescent="0.45">
      <c r="H373" t="s">
        <v>368</v>
      </c>
      <c r="I373" t="s">
        <v>242</v>
      </c>
      <c r="J373">
        <v>2.0567792762250802E-2</v>
      </c>
      <c r="K373" t="s">
        <v>243</v>
      </c>
      <c r="U373" t="s">
        <v>112</v>
      </c>
      <c r="V373" t="s">
        <v>947</v>
      </c>
      <c r="W373" t="s">
        <v>630</v>
      </c>
      <c r="X373" t="s">
        <v>666</v>
      </c>
    </row>
    <row r="374" spans="8:24" x14ac:dyDescent="0.45">
      <c r="H374" t="s">
        <v>368</v>
      </c>
      <c r="I374" t="s">
        <v>244</v>
      </c>
      <c r="J374">
        <v>2.0567792762250802E-2</v>
      </c>
      <c r="K374" t="s">
        <v>243</v>
      </c>
      <c r="U374" t="s">
        <v>112</v>
      </c>
      <c r="V374" t="s">
        <v>948</v>
      </c>
      <c r="W374" t="s">
        <v>630</v>
      </c>
      <c r="X374" t="s">
        <v>666</v>
      </c>
    </row>
    <row r="375" spans="8:24" x14ac:dyDescent="0.45">
      <c r="H375" t="s">
        <v>368</v>
      </c>
      <c r="I375" t="s">
        <v>245</v>
      </c>
      <c r="J375">
        <v>2.0567792762250802E-2</v>
      </c>
      <c r="K375" t="s">
        <v>243</v>
      </c>
      <c r="U375" t="s">
        <v>112</v>
      </c>
      <c r="V375" t="s">
        <v>949</v>
      </c>
      <c r="W375" t="s">
        <v>630</v>
      </c>
      <c r="X375" t="s">
        <v>666</v>
      </c>
    </row>
    <row r="376" spans="8:24" x14ac:dyDescent="0.45">
      <c r="H376" t="s">
        <v>369</v>
      </c>
      <c r="I376" t="s">
        <v>242</v>
      </c>
      <c r="J376">
        <v>3.2176612059093695E-2</v>
      </c>
      <c r="K376" t="s">
        <v>243</v>
      </c>
      <c r="U376" t="s">
        <v>112</v>
      </c>
      <c r="V376" t="s">
        <v>949</v>
      </c>
      <c r="W376" t="s">
        <v>561</v>
      </c>
      <c r="X376" t="s">
        <v>547</v>
      </c>
    </row>
    <row r="377" spans="8:24" x14ac:dyDescent="0.45">
      <c r="H377" t="s">
        <v>369</v>
      </c>
      <c r="I377" t="s">
        <v>244</v>
      </c>
      <c r="J377">
        <v>3.2176612059093695E-2</v>
      </c>
      <c r="K377" t="s">
        <v>243</v>
      </c>
      <c r="U377" t="s">
        <v>112</v>
      </c>
      <c r="V377" t="s">
        <v>950</v>
      </c>
      <c r="W377" t="s">
        <v>630</v>
      </c>
      <c r="X377" t="s">
        <v>666</v>
      </c>
    </row>
    <row r="378" spans="8:24" x14ac:dyDescent="0.45">
      <c r="H378" t="s">
        <v>369</v>
      </c>
      <c r="I378" t="s">
        <v>245</v>
      </c>
      <c r="J378">
        <v>3.2176612059093695E-2</v>
      </c>
      <c r="K378" t="s">
        <v>243</v>
      </c>
      <c r="U378" t="s">
        <v>112</v>
      </c>
      <c r="V378" t="s">
        <v>950</v>
      </c>
      <c r="W378" t="s">
        <v>561</v>
      </c>
      <c r="X378" t="s">
        <v>547</v>
      </c>
    </row>
    <row r="379" spans="8:24" x14ac:dyDescent="0.45">
      <c r="H379" t="s">
        <v>370</v>
      </c>
      <c r="I379" t="s">
        <v>242</v>
      </c>
      <c r="J379">
        <v>3.4487997519665198E-4</v>
      </c>
      <c r="K379" t="s">
        <v>243</v>
      </c>
      <c r="U379" t="s">
        <v>112</v>
      </c>
      <c r="V379" t="s">
        <v>951</v>
      </c>
      <c r="W379" t="s">
        <v>562</v>
      </c>
      <c r="X379" t="s">
        <v>666</v>
      </c>
    </row>
    <row r="380" spans="8:24" x14ac:dyDescent="0.45">
      <c r="H380" t="s">
        <v>370</v>
      </c>
      <c r="I380" t="s">
        <v>244</v>
      </c>
      <c r="J380">
        <v>3.4487997519665198E-4</v>
      </c>
      <c r="K380" t="s">
        <v>243</v>
      </c>
      <c r="U380" t="s">
        <v>112</v>
      </c>
      <c r="V380" t="s">
        <v>952</v>
      </c>
      <c r="W380" t="s">
        <v>562</v>
      </c>
      <c r="X380" t="s">
        <v>666</v>
      </c>
    </row>
    <row r="381" spans="8:24" x14ac:dyDescent="0.45">
      <c r="H381" t="s">
        <v>370</v>
      </c>
      <c r="I381" t="s">
        <v>245</v>
      </c>
      <c r="J381">
        <v>3.4487997519665198E-4</v>
      </c>
      <c r="K381" t="s">
        <v>243</v>
      </c>
      <c r="U381" t="s">
        <v>112</v>
      </c>
      <c r="V381" t="s">
        <v>953</v>
      </c>
      <c r="W381" t="s">
        <v>562</v>
      </c>
      <c r="X381" t="s">
        <v>666</v>
      </c>
    </row>
    <row r="382" spans="8:24" x14ac:dyDescent="0.45">
      <c r="H382" t="s">
        <v>371</v>
      </c>
      <c r="I382" t="s">
        <v>242</v>
      </c>
      <c r="J382">
        <v>2.1211050243411057E-2</v>
      </c>
      <c r="K382" t="s">
        <v>243</v>
      </c>
      <c r="U382" t="s">
        <v>112</v>
      </c>
      <c r="V382" t="s">
        <v>954</v>
      </c>
      <c r="W382" t="s">
        <v>562</v>
      </c>
      <c r="X382" t="s">
        <v>666</v>
      </c>
    </row>
    <row r="383" spans="8:24" x14ac:dyDescent="0.45">
      <c r="H383" t="s">
        <v>371</v>
      </c>
      <c r="I383" t="s">
        <v>244</v>
      </c>
      <c r="J383">
        <v>2.1211050243411057E-2</v>
      </c>
      <c r="K383" t="s">
        <v>243</v>
      </c>
      <c r="U383" t="s">
        <v>112</v>
      </c>
      <c r="V383" t="s">
        <v>955</v>
      </c>
      <c r="W383" t="s">
        <v>562</v>
      </c>
      <c r="X383" t="s">
        <v>666</v>
      </c>
    </row>
    <row r="384" spans="8:24" x14ac:dyDescent="0.45">
      <c r="H384" t="s">
        <v>371</v>
      </c>
      <c r="I384" t="s">
        <v>245</v>
      </c>
      <c r="J384">
        <v>2.1211050243411057E-2</v>
      </c>
      <c r="K384" t="s">
        <v>243</v>
      </c>
      <c r="U384" t="s">
        <v>112</v>
      </c>
      <c r="V384" t="s">
        <v>956</v>
      </c>
      <c r="W384" t="s">
        <v>562</v>
      </c>
      <c r="X384" t="s">
        <v>666</v>
      </c>
    </row>
    <row r="385" spans="8:24" x14ac:dyDescent="0.45">
      <c r="H385" t="s">
        <v>372</v>
      </c>
      <c r="I385" t="s">
        <v>242</v>
      </c>
      <c r="J385">
        <v>3.6889328746051043E-3</v>
      </c>
      <c r="K385" t="s">
        <v>243</v>
      </c>
      <c r="U385" t="s">
        <v>112</v>
      </c>
      <c r="V385" t="s">
        <v>957</v>
      </c>
      <c r="W385" t="s">
        <v>562</v>
      </c>
      <c r="X385" t="s">
        <v>666</v>
      </c>
    </row>
    <row r="386" spans="8:24" x14ac:dyDescent="0.45">
      <c r="H386" t="s">
        <v>372</v>
      </c>
      <c r="I386" t="s">
        <v>244</v>
      </c>
      <c r="J386">
        <v>3.6889328746051043E-3</v>
      </c>
      <c r="K386" t="s">
        <v>243</v>
      </c>
      <c r="U386" t="s">
        <v>112</v>
      </c>
      <c r="V386" t="s">
        <v>958</v>
      </c>
      <c r="W386" t="s">
        <v>562</v>
      </c>
      <c r="X386" t="s">
        <v>666</v>
      </c>
    </row>
    <row r="387" spans="8:24" x14ac:dyDescent="0.45">
      <c r="H387" t="s">
        <v>372</v>
      </c>
      <c r="I387" t="s">
        <v>245</v>
      </c>
      <c r="J387">
        <v>3.6889328746051043E-3</v>
      </c>
      <c r="K387" t="s">
        <v>243</v>
      </c>
      <c r="U387" t="s">
        <v>112</v>
      </c>
      <c r="V387" t="s">
        <v>959</v>
      </c>
      <c r="W387" t="s">
        <v>562</v>
      </c>
      <c r="X387" t="s">
        <v>666</v>
      </c>
    </row>
    <row r="388" spans="8:24" x14ac:dyDescent="0.45">
      <c r="H388" t="s">
        <v>373</v>
      </c>
      <c r="I388" t="s">
        <v>242</v>
      </c>
      <c r="J388">
        <v>1.2489417127963511E-2</v>
      </c>
      <c r="K388" t="s">
        <v>243</v>
      </c>
      <c r="U388" t="s">
        <v>112</v>
      </c>
      <c r="V388" t="s">
        <v>960</v>
      </c>
      <c r="W388" t="s">
        <v>562</v>
      </c>
      <c r="X388" t="s">
        <v>666</v>
      </c>
    </row>
    <row r="389" spans="8:24" x14ac:dyDescent="0.45">
      <c r="H389" t="s">
        <v>373</v>
      </c>
      <c r="I389" t="s">
        <v>244</v>
      </c>
      <c r="J389">
        <v>1.2489417127963511E-2</v>
      </c>
      <c r="K389" t="s">
        <v>243</v>
      </c>
      <c r="U389" t="s">
        <v>112</v>
      </c>
      <c r="V389" t="s">
        <v>961</v>
      </c>
      <c r="W389" t="s">
        <v>562</v>
      </c>
      <c r="X389" t="s">
        <v>666</v>
      </c>
    </row>
    <row r="390" spans="8:24" x14ac:dyDescent="0.45">
      <c r="H390" t="s">
        <v>373</v>
      </c>
      <c r="I390" t="s">
        <v>245</v>
      </c>
      <c r="J390">
        <v>1.2489417127963511E-2</v>
      </c>
      <c r="K390" t="s">
        <v>243</v>
      </c>
      <c r="U390" t="s">
        <v>112</v>
      </c>
      <c r="V390" t="s">
        <v>962</v>
      </c>
      <c r="W390" t="s">
        <v>562</v>
      </c>
      <c r="X390" t="s">
        <v>666</v>
      </c>
    </row>
    <row r="391" spans="8:24" x14ac:dyDescent="0.45">
      <c r="H391" t="s">
        <v>374</v>
      </c>
      <c r="I391" t="s">
        <v>242</v>
      </c>
      <c r="J391">
        <v>9.6442343160286191E-4</v>
      </c>
      <c r="K391" t="s">
        <v>243</v>
      </c>
      <c r="U391" t="s">
        <v>112</v>
      </c>
      <c r="V391" t="s">
        <v>962</v>
      </c>
      <c r="W391" t="s">
        <v>652</v>
      </c>
      <c r="X391" t="s">
        <v>666</v>
      </c>
    </row>
    <row r="392" spans="8:24" x14ac:dyDescent="0.45">
      <c r="H392" t="s">
        <v>374</v>
      </c>
      <c r="I392" t="s">
        <v>244</v>
      </c>
      <c r="J392">
        <v>9.6442343160286191E-4</v>
      </c>
      <c r="K392" t="s">
        <v>243</v>
      </c>
      <c r="U392" t="s">
        <v>112</v>
      </c>
      <c r="V392" t="s">
        <v>963</v>
      </c>
      <c r="W392" t="s">
        <v>562</v>
      </c>
      <c r="X392" t="s">
        <v>666</v>
      </c>
    </row>
    <row r="393" spans="8:24" x14ac:dyDescent="0.45">
      <c r="H393" t="s">
        <v>374</v>
      </c>
      <c r="I393" t="s">
        <v>245</v>
      </c>
      <c r="J393">
        <v>9.6442343160286191E-4</v>
      </c>
      <c r="K393" t="s">
        <v>243</v>
      </c>
      <c r="U393" t="s">
        <v>112</v>
      </c>
      <c r="V393" t="s">
        <v>963</v>
      </c>
      <c r="W393" t="s">
        <v>652</v>
      </c>
      <c r="X393" t="s">
        <v>666</v>
      </c>
    </row>
    <row r="394" spans="8:24" x14ac:dyDescent="0.45">
      <c r="H394" t="s">
        <v>375</v>
      </c>
      <c r="I394" t="s">
        <v>242</v>
      </c>
      <c r="J394">
        <v>5.0671000109406873E-3</v>
      </c>
      <c r="K394" t="s">
        <v>243</v>
      </c>
      <c r="U394" t="s">
        <v>112</v>
      </c>
      <c r="V394" t="s">
        <v>964</v>
      </c>
      <c r="W394" t="s">
        <v>562</v>
      </c>
      <c r="X394" t="s">
        <v>666</v>
      </c>
    </row>
    <row r="395" spans="8:24" x14ac:dyDescent="0.45">
      <c r="H395" t="s">
        <v>375</v>
      </c>
      <c r="I395" t="s">
        <v>244</v>
      </c>
      <c r="J395">
        <v>5.0671000109406873E-3</v>
      </c>
      <c r="K395" t="s">
        <v>243</v>
      </c>
      <c r="U395" t="s">
        <v>112</v>
      </c>
      <c r="V395" t="s">
        <v>964</v>
      </c>
      <c r="W395" t="s">
        <v>652</v>
      </c>
      <c r="X395" t="s">
        <v>666</v>
      </c>
    </row>
    <row r="396" spans="8:24" x14ac:dyDescent="0.45">
      <c r="H396" t="s">
        <v>375</v>
      </c>
      <c r="I396" t="s">
        <v>245</v>
      </c>
      <c r="J396">
        <v>5.0671000109406873E-3</v>
      </c>
      <c r="K396" t="s">
        <v>243</v>
      </c>
      <c r="U396" t="s">
        <v>112</v>
      </c>
      <c r="V396" t="s">
        <v>965</v>
      </c>
      <c r="W396" t="s">
        <v>562</v>
      </c>
      <c r="X396" t="s">
        <v>666</v>
      </c>
    </row>
    <row r="397" spans="8:24" x14ac:dyDescent="0.45">
      <c r="H397" t="s">
        <v>376</v>
      </c>
      <c r="I397" t="s">
        <v>242</v>
      </c>
      <c r="J397">
        <v>6.9898960424319319E-3</v>
      </c>
      <c r="K397" t="s">
        <v>243</v>
      </c>
      <c r="U397" t="s">
        <v>112</v>
      </c>
      <c r="V397" t="s">
        <v>965</v>
      </c>
      <c r="W397" t="s">
        <v>652</v>
      </c>
      <c r="X397" t="s">
        <v>666</v>
      </c>
    </row>
    <row r="398" spans="8:24" x14ac:dyDescent="0.45">
      <c r="H398" t="s">
        <v>376</v>
      </c>
      <c r="I398" t="s">
        <v>244</v>
      </c>
      <c r="J398">
        <v>6.9898960424319319E-3</v>
      </c>
      <c r="K398" t="s">
        <v>243</v>
      </c>
      <c r="U398" t="s">
        <v>112</v>
      </c>
      <c r="V398" t="s">
        <v>966</v>
      </c>
      <c r="W398" t="s">
        <v>652</v>
      </c>
      <c r="X398" t="s">
        <v>666</v>
      </c>
    </row>
    <row r="399" spans="8:24" x14ac:dyDescent="0.45">
      <c r="H399" t="s">
        <v>376</v>
      </c>
      <c r="I399" t="s">
        <v>245</v>
      </c>
      <c r="J399">
        <v>6.9898960424319319E-3</v>
      </c>
      <c r="K399" t="s">
        <v>243</v>
      </c>
      <c r="U399" t="s">
        <v>112</v>
      </c>
      <c r="V399" t="s">
        <v>967</v>
      </c>
      <c r="W399" t="s">
        <v>652</v>
      </c>
      <c r="X399" t="s">
        <v>666</v>
      </c>
    </row>
    <row r="400" spans="8:24" x14ac:dyDescent="0.45">
      <c r="H400" t="s">
        <v>377</v>
      </c>
      <c r="I400" t="s">
        <v>242</v>
      </c>
      <c r="J400">
        <v>1.2223340756300939E-2</v>
      </c>
      <c r="K400" t="s">
        <v>243</v>
      </c>
      <c r="U400" t="s">
        <v>112</v>
      </c>
      <c r="V400" t="s">
        <v>968</v>
      </c>
      <c r="W400" t="s">
        <v>652</v>
      </c>
      <c r="X400" t="s">
        <v>666</v>
      </c>
    </row>
    <row r="401" spans="8:24" x14ac:dyDescent="0.45">
      <c r="H401" t="s">
        <v>377</v>
      </c>
      <c r="I401" t="s">
        <v>244</v>
      </c>
      <c r="J401">
        <v>1.2223340756300939E-2</v>
      </c>
      <c r="K401" t="s">
        <v>243</v>
      </c>
      <c r="U401" t="s">
        <v>112</v>
      </c>
      <c r="V401" t="s">
        <v>968</v>
      </c>
      <c r="W401" t="s">
        <v>562</v>
      </c>
      <c r="X401" t="s">
        <v>547</v>
      </c>
    </row>
    <row r="402" spans="8:24" x14ac:dyDescent="0.45">
      <c r="H402" t="s">
        <v>377</v>
      </c>
      <c r="I402" t="s">
        <v>245</v>
      </c>
      <c r="J402">
        <v>1.2223340756300939E-2</v>
      </c>
      <c r="K402" t="s">
        <v>243</v>
      </c>
      <c r="U402" t="s">
        <v>112</v>
      </c>
      <c r="V402" t="s">
        <v>969</v>
      </c>
      <c r="W402" t="s">
        <v>652</v>
      </c>
      <c r="X402" t="s">
        <v>666</v>
      </c>
    </row>
    <row r="403" spans="8:24" x14ac:dyDescent="0.45">
      <c r="H403" t="s">
        <v>378</v>
      </c>
      <c r="I403" t="s">
        <v>242</v>
      </c>
      <c r="J403">
        <v>3.6642379503561999E-3</v>
      </c>
      <c r="K403" t="s">
        <v>243</v>
      </c>
      <c r="U403" t="s">
        <v>112</v>
      </c>
      <c r="V403" t="s">
        <v>969</v>
      </c>
      <c r="W403" t="s">
        <v>562</v>
      </c>
      <c r="X403" t="s">
        <v>547</v>
      </c>
    </row>
    <row r="404" spans="8:24" x14ac:dyDescent="0.45">
      <c r="H404" t="s">
        <v>378</v>
      </c>
      <c r="I404" t="s">
        <v>244</v>
      </c>
      <c r="J404">
        <v>3.6642379503561999E-3</v>
      </c>
      <c r="K404" t="s">
        <v>243</v>
      </c>
      <c r="U404" t="s">
        <v>112</v>
      </c>
      <c r="V404" t="s">
        <v>970</v>
      </c>
      <c r="W404" t="s">
        <v>563</v>
      </c>
      <c r="X404" t="s">
        <v>666</v>
      </c>
    </row>
    <row r="405" spans="8:24" x14ac:dyDescent="0.45">
      <c r="H405" t="s">
        <v>378</v>
      </c>
      <c r="I405" t="s">
        <v>245</v>
      </c>
      <c r="J405">
        <v>3.6642379503561999E-3</v>
      </c>
      <c r="K405" t="s">
        <v>243</v>
      </c>
      <c r="U405" t="s">
        <v>112</v>
      </c>
      <c r="V405" t="s">
        <v>971</v>
      </c>
      <c r="W405" t="s">
        <v>563</v>
      </c>
      <c r="X405" t="s">
        <v>666</v>
      </c>
    </row>
    <row r="406" spans="8:24" x14ac:dyDescent="0.45">
      <c r="H406" t="s">
        <v>379</v>
      </c>
      <c r="I406" t="s">
        <v>242</v>
      </c>
      <c r="J406">
        <v>1.1327484701196917E-2</v>
      </c>
      <c r="K406" t="s">
        <v>243</v>
      </c>
      <c r="U406" t="s">
        <v>112</v>
      </c>
      <c r="V406" t="s">
        <v>972</v>
      </c>
      <c r="W406" t="s">
        <v>563</v>
      </c>
      <c r="X406" t="s">
        <v>666</v>
      </c>
    </row>
    <row r="407" spans="8:24" x14ac:dyDescent="0.45">
      <c r="H407" t="s">
        <v>379</v>
      </c>
      <c r="I407" t="s">
        <v>244</v>
      </c>
      <c r="J407">
        <v>1.1327484701196917E-2</v>
      </c>
      <c r="K407" t="s">
        <v>243</v>
      </c>
      <c r="U407" t="s">
        <v>112</v>
      </c>
      <c r="V407" t="s">
        <v>973</v>
      </c>
      <c r="W407" t="s">
        <v>563</v>
      </c>
      <c r="X407" t="s">
        <v>666</v>
      </c>
    </row>
    <row r="408" spans="8:24" x14ac:dyDescent="0.45">
      <c r="H408" t="s">
        <v>379</v>
      </c>
      <c r="I408" t="s">
        <v>245</v>
      </c>
      <c r="J408">
        <v>1.1327484701196917E-2</v>
      </c>
      <c r="K408" t="s">
        <v>243</v>
      </c>
      <c r="U408" t="s">
        <v>112</v>
      </c>
      <c r="V408" t="s">
        <v>974</v>
      </c>
      <c r="W408" t="s">
        <v>563</v>
      </c>
      <c r="X408" t="s">
        <v>666</v>
      </c>
    </row>
    <row r="409" spans="8:24" x14ac:dyDescent="0.45">
      <c r="H409" t="s">
        <v>380</v>
      </c>
      <c r="I409" t="s">
        <v>242</v>
      </c>
      <c r="J409">
        <v>1.4820510785805061E-3</v>
      </c>
      <c r="K409" t="s">
        <v>243</v>
      </c>
      <c r="U409" t="s">
        <v>112</v>
      </c>
      <c r="V409" t="s">
        <v>975</v>
      </c>
      <c r="W409" t="s">
        <v>563</v>
      </c>
      <c r="X409" t="s">
        <v>666</v>
      </c>
    </row>
    <row r="410" spans="8:24" x14ac:dyDescent="0.45">
      <c r="H410" t="s">
        <v>380</v>
      </c>
      <c r="I410" t="s">
        <v>244</v>
      </c>
      <c r="J410">
        <v>1.4820510785805061E-3</v>
      </c>
      <c r="K410" t="s">
        <v>243</v>
      </c>
      <c r="U410" t="s">
        <v>112</v>
      </c>
      <c r="V410" t="s">
        <v>976</v>
      </c>
      <c r="W410" t="s">
        <v>563</v>
      </c>
      <c r="X410" t="s">
        <v>666</v>
      </c>
    </row>
    <row r="411" spans="8:24" x14ac:dyDescent="0.45">
      <c r="H411" t="s">
        <v>380</v>
      </c>
      <c r="I411" t="s">
        <v>245</v>
      </c>
      <c r="J411">
        <v>1.4820510785805061E-3</v>
      </c>
      <c r="K411" t="s">
        <v>243</v>
      </c>
      <c r="U411" t="s">
        <v>112</v>
      </c>
      <c r="V411" t="s">
        <v>977</v>
      </c>
      <c r="W411" t="s">
        <v>563</v>
      </c>
      <c r="X411" t="s">
        <v>666</v>
      </c>
    </row>
    <row r="412" spans="8:24" x14ac:dyDescent="0.45">
      <c r="H412" t="s">
        <v>381</v>
      </c>
      <c r="I412" t="s">
        <v>242</v>
      </c>
      <c r="J412">
        <v>3.1849535560118332E-2</v>
      </c>
      <c r="K412" t="s">
        <v>243</v>
      </c>
      <c r="U412" t="s">
        <v>112</v>
      </c>
      <c r="V412" t="s">
        <v>978</v>
      </c>
      <c r="W412" t="s">
        <v>563</v>
      </c>
      <c r="X412" t="s">
        <v>666</v>
      </c>
    </row>
    <row r="413" spans="8:24" x14ac:dyDescent="0.45">
      <c r="H413" t="s">
        <v>381</v>
      </c>
      <c r="I413" t="s">
        <v>244</v>
      </c>
      <c r="J413">
        <v>3.1849535560118332E-2</v>
      </c>
      <c r="K413" t="s">
        <v>243</v>
      </c>
      <c r="U413" t="s">
        <v>112</v>
      </c>
      <c r="V413" t="s">
        <v>979</v>
      </c>
      <c r="W413" t="s">
        <v>563</v>
      </c>
      <c r="X413" t="s">
        <v>666</v>
      </c>
    </row>
    <row r="414" spans="8:24" x14ac:dyDescent="0.45">
      <c r="H414" t="s">
        <v>381</v>
      </c>
      <c r="I414" t="s">
        <v>245</v>
      </c>
      <c r="J414">
        <v>3.1849535560118332E-2</v>
      </c>
      <c r="K414" t="s">
        <v>243</v>
      </c>
      <c r="U414" t="s">
        <v>112</v>
      </c>
      <c r="V414" t="s">
        <v>980</v>
      </c>
      <c r="W414" t="s">
        <v>563</v>
      </c>
      <c r="X414" t="s">
        <v>666</v>
      </c>
    </row>
    <row r="415" spans="8:24" x14ac:dyDescent="0.45">
      <c r="H415" t="s">
        <v>382</v>
      </c>
      <c r="I415" t="s">
        <v>242</v>
      </c>
      <c r="J415">
        <v>1.0749580589744135E-2</v>
      </c>
      <c r="K415" t="s">
        <v>243</v>
      </c>
      <c r="U415" t="s">
        <v>112</v>
      </c>
      <c r="V415" t="s">
        <v>981</v>
      </c>
      <c r="W415" t="s">
        <v>563</v>
      </c>
      <c r="X415" t="s">
        <v>666</v>
      </c>
    </row>
    <row r="416" spans="8:24" x14ac:dyDescent="0.45">
      <c r="H416" t="s">
        <v>382</v>
      </c>
      <c r="I416" t="s">
        <v>244</v>
      </c>
      <c r="J416">
        <v>1.0749580589744135E-2</v>
      </c>
      <c r="K416" t="s">
        <v>243</v>
      </c>
      <c r="U416" t="s">
        <v>112</v>
      </c>
      <c r="V416" t="s">
        <v>981</v>
      </c>
      <c r="W416" t="s">
        <v>635</v>
      </c>
      <c r="X416" t="s">
        <v>666</v>
      </c>
    </row>
    <row r="417" spans="8:24" x14ac:dyDescent="0.45">
      <c r="H417" t="s">
        <v>382</v>
      </c>
      <c r="I417" t="s">
        <v>245</v>
      </c>
      <c r="J417">
        <v>1.0749580589744135E-2</v>
      </c>
      <c r="K417" t="s">
        <v>243</v>
      </c>
      <c r="U417" t="s">
        <v>112</v>
      </c>
      <c r="V417" t="s">
        <v>982</v>
      </c>
      <c r="W417" t="s">
        <v>563</v>
      </c>
      <c r="X417" t="s">
        <v>666</v>
      </c>
    </row>
    <row r="418" spans="8:24" x14ac:dyDescent="0.45">
      <c r="H418" t="s">
        <v>383</v>
      </c>
      <c r="I418" t="s">
        <v>242</v>
      </c>
      <c r="J418">
        <v>3.3808993441267837E-2</v>
      </c>
      <c r="K418" t="s">
        <v>243</v>
      </c>
      <c r="U418" t="s">
        <v>112</v>
      </c>
      <c r="V418" t="s">
        <v>982</v>
      </c>
      <c r="W418" t="s">
        <v>635</v>
      </c>
      <c r="X418" t="s">
        <v>666</v>
      </c>
    </row>
    <row r="419" spans="8:24" x14ac:dyDescent="0.45">
      <c r="H419" t="s">
        <v>383</v>
      </c>
      <c r="I419" t="s">
        <v>244</v>
      </c>
      <c r="J419">
        <v>3.3808993441267837E-2</v>
      </c>
      <c r="K419" t="s">
        <v>243</v>
      </c>
      <c r="U419" t="s">
        <v>112</v>
      </c>
      <c r="V419" t="s">
        <v>983</v>
      </c>
      <c r="W419" t="s">
        <v>563</v>
      </c>
      <c r="X419" t="s">
        <v>666</v>
      </c>
    </row>
    <row r="420" spans="8:24" x14ac:dyDescent="0.45">
      <c r="H420" t="s">
        <v>383</v>
      </c>
      <c r="I420" t="s">
        <v>245</v>
      </c>
      <c r="J420">
        <v>3.3808993441267837E-2</v>
      </c>
      <c r="K420" t="s">
        <v>243</v>
      </c>
      <c r="U420" t="s">
        <v>112</v>
      </c>
      <c r="V420" t="s">
        <v>983</v>
      </c>
      <c r="W420" t="s">
        <v>635</v>
      </c>
      <c r="X420" t="s">
        <v>666</v>
      </c>
    </row>
    <row r="421" spans="8:24" x14ac:dyDescent="0.45">
      <c r="H421" t="s">
        <v>384</v>
      </c>
      <c r="I421" t="s">
        <v>242</v>
      </c>
      <c r="J421">
        <v>1.1522518522376721E-2</v>
      </c>
      <c r="K421" t="s">
        <v>243</v>
      </c>
      <c r="U421" t="s">
        <v>112</v>
      </c>
      <c r="V421" t="s">
        <v>984</v>
      </c>
      <c r="W421" t="s">
        <v>563</v>
      </c>
      <c r="X421" t="s">
        <v>666</v>
      </c>
    </row>
    <row r="422" spans="8:24" x14ac:dyDescent="0.45">
      <c r="H422" t="s">
        <v>384</v>
      </c>
      <c r="I422" t="s">
        <v>244</v>
      </c>
      <c r="J422">
        <v>1.1522518522376721E-2</v>
      </c>
      <c r="K422" t="s">
        <v>243</v>
      </c>
      <c r="U422" t="s">
        <v>112</v>
      </c>
      <c r="V422" t="s">
        <v>984</v>
      </c>
      <c r="W422" t="s">
        <v>635</v>
      </c>
      <c r="X422" t="s">
        <v>666</v>
      </c>
    </row>
    <row r="423" spans="8:24" x14ac:dyDescent="0.45">
      <c r="H423" t="s">
        <v>384</v>
      </c>
      <c r="I423" t="s">
        <v>245</v>
      </c>
      <c r="J423">
        <v>1.1522518522376721E-2</v>
      </c>
      <c r="K423" t="s">
        <v>243</v>
      </c>
      <c r="U423" t="s">
        <v>112</v>
      </c>
      <c r="V423" t="s">
        <v>985</v>
      </c>
      <c r="W423" t="s">
        <v>635</v>
      </c>
      <c r="X423" t="s">
        <v>666</v>
      </c>
    </row>
    <row r="424" spans="8:24" x14ac:dyDescent="0.45">
      <c r="H424" t="s">
        <v>385</v>
      </c>
      <c r="I424" t="s">
        <v>242</v>
      </c>
      <c r="J424">
        <v>3.7632083342255249E-2</v>
      </c>
      <c r="K424" t="s">
        <v>243</v>
      </c>
      <c r="U424" t="s">
        <v>112</v>
      </c>
      <c r="V424" t="s">
        <v>986</v>
      </c>
      <c r="W424" t="s">
        <v>635</v>
      </c>
      <c r="X424" t="s">
        <v>666</v>
      </c>
    </row>
    <row r="425" spans="8:24" x14ac:dyDescent="0.45">
      <c r="H425" t="s">
        <v>385</v>
      </c>
      <c r="I425" t="s">
        <v>244</v>
      </c>
      <c r="J425">
        <v>3.7632083342255249E-2</v>
      </c>
      <c r="K425" t="s">
        <v>243</v>
      </c>
      <c r="U425" t="s">
        <v>112</v>
      </c>
      <c r="V425" t="s">
        <v>987</v>
      </c>
      <c r="W425" t="s">
        <v>635</v>
      </c>
      <c r="X425" t="s">
        <v>666</v>
      </c>
    </row>
    <row r="426" spans="8:24" x14ac:dyDescent="0.45">
      <c r="H426" t="s">
        <v>385</v>
      </c>
      <c r="I426" t="s">
        <v>245</v>
      </c>
      <c r="J426">
        <v>3.7632083342255249E-2</v>
      </c>
      <c r="K426" t="s">
        <v>243</v>
      </c>
      <c r="U426" t="s">
        <v>112</v>
      </c>
      <c r="V426" t="s">
        <v>987</v>
      </c>
      <c r="W426" t="s">
        <v>563</v>
      </c>
      <c r="X426" t="s">
        <v>547</v>
      </c>
    </row>
    <row r="427" spans="8:24" x14ac:dyDescent="0.45">
      <c r="H427" t="s">
        <v>386</v>
      </c>
      <c r="I427" t="s">
        <v>242</v>
      </c>
      <c r="J427">
        <v>3.8798356814314074E-2</v>
      </c>
      <c r="K427" t="s">
        <v>243</v>
      </c>
      <c r="U427" t="s">
        <v>112</v>
      </c>
      <c r="V427" t="s">
        <v>988</v>
      </c>
      <c r="W427" t="s">
        <v>635</v>
      </c>
      <c r="X427" t="s">
        <v>666</v>
      </c>
    </row>
    <row r="428" spans="8:24" x14ac:dyDescent="0.45">
      <c r="H428" t="s">
        <v>386</v>
      </c>
      <c r="I428" t="s">
        <v>244</v>
      </c>
      <c r="J428">
        <v>3.8798356814314074E-2</v>
      </c>
      <c r="K428" t="s">
        <v>243</v>
      </c>
      <c r="U428" t="s">
        <v>112</v>
      </c>
      <c r="V428" t="s">
        <v>988</v>
      </c>
      <c r="W428" t="s">
        <v>563</v>
      </c>
      <c r="X428" t="s">
        <v>547</v>
      </c>
    </row>
    <row r="429" spans="8:24" x14ac:dyDescent="0.45">
      <c r="H429" t="s">
        <v>386</v>
      </c>
      <c r="I429" t="s">
        <v>245</v>
      </c>
      <c r="J429">
        <v>3.8798356814314074E-2</v>
      </c>
      <c r="K429" t="s">
        <v>243</v>
      </c>
      <c r="U429" t="s">
        <v>112</v>
      </c>
      <c r="V429" t="s">
        <v>989</v>
      </c>
      <c r="W429" t="s">
        <v>564</v>
      </c>
      <c r="X429" t="s">
        <v>666</v>
      </c>
    </row>
    <row r="430" spans="8:24" x14ac:dyDescent="0.45">
      <c r="H430" t="s">
        <v>387</v>
      </c>
      <c r="I430" t="s">
        <v>242</v>
      </c>
      <c r="J430">
        <v>1.1960374503787598E-2</v>
      </c>
      <c r="K430" t="s">
        <v>243</v>
      </c>
      <c r="U430" t="s">
        <v>112</v>
      </c>
      <c r="V430" t="s">
        <v>990</v>
      </c>
      <c r="W430" t="s">
        <v>564</v>
      </c>
      <c r="X430" t="s">
        <v>666</v>
      </c>
    </row>
    <row r="431" spans="8:24" x14ac:dyDescent="0.45">
      <c r="H431" t="s">
        <v>387</v>
      </c>
      <c r="I431" t="s">
        <v>244</v>
      </c>
      <c r="J431">
        <v>1.1960374503787598E-2</v>
      </c>
      <c r="K431" t="s">
        <v>243</v>
      </c>
      <c r="U431" t="s">
        <v>112</v>
      </c>
      <c r="V431" t="s">
        <v>991</v>
      </c>
      <c r="W431" t="s">
        <v>564</v>
      </c>
      <c r="X431" t="s">
        <v>666</v>
      </c>
    </row>
    <row r="432" spans="8:24" x14ac:dyDescent="0.45">
      <c r="H432" t="s">
        <v>387</v>
      </c>
      <c r="I432" t="s">
        <v>245</v>
      </c>
      <c r="J432">
        <v>1.1960374503787598E-2</v>
      </c>
      <c r="K432" t="s">
        <v>243</v>
      </c>
      <c r="U432" t="s">
        <v>112</v>
      </c>
      <c r="V432" t="s">
        <v>992</v>
      </c>
      <c r="W432" t="s">
        <v>564</v>
      </c>
      <c r="X432" t="s">
        <v>666</v>
      </c>
    </row>
    <row r="433" spans="8:24" x14ac:dyDescent="0.45">
      <c r="H433" t="s">
        <v>388</v>
      </c>
      <c r="I433" t="s">
        <v>242</v>
      </c>
      <c r="J433">
        <v>4.8029014527693668E-2</v>
      </c>
      <c r="K433" t="s">
        <v>243</v>
      </c>
      <c r="U433" t="s">
        <v>112</v>
      </c>
      <c r="V433" t="s">
        <v>993</v>
      </c>
      <c r="W433" t="s">
        <v>564</v>
      </c>
      <c r="X433" t="s">
        <v>666</v>
      </c>
    </row>
    <row r="434" spans="8:24" x14ac:dyDescent="0.45">
      <c r="H434" t="s">
        <v>388</v>
      </c>
      <c r="I434" t="s">
        <v>244</v>
      </c>
      <c r="J434">
        <v>4.8029014527693668E-2</v>
      </c>
      <c r="K434" t="s">
        <v>243</v>
      </c>
      <c r="U434" t="s">
        <v>112</v>
      </c>
      <c r="V434" t="s">
        <v>994</v>
      </c>
      <c r="W434" t="s">
        <v>564</v>
      </c>
      <c r="X434" t="s">
        <v>666</v>
      </c>
    </row>
    <row r="435" spans="8:24" x14ac:dyDescent="0.45">
      <c r="H435" t="s">
        <v>388</v>
      </c>
      <c r="I435" t="s">
        <v>245</v>
      </c>
      <c r="J435">
        <v>4.8029014527693668E-2</v>
      </c>
      <c r="K435" t="s">
        <v>243</v>
      </c>
      <c r="U435" t="s">
        <v>112</v>
      </c>
      <c r="V435" t="s">
        <v>995</v>
      </c>
      <c r="W435" t="s">
        <v>564</v>
      </c>
      <c r="X435" t="s">
        <v>666</v>
      </c>
    </row>
    <row r="436" spans="8:24" x14ac:dyDescent="0.45">
      <c r="H436" t="s">
        <v>389</v>
      </c>
      <c r="I436" t="s">
        <v>242</v>
      </c>
      <c r="J436">
        <v>3.7305617600396202E-5</v>
      </c>
      <c r="K436" t="s">
        <v>243</v>
      </c>
      <c r="U436" t="s">
        <v>112</v>
      </c>
      <c r="V436" t="s">
        <v>996</v>
      </c>
      <c r="W436" t="s">
        <v>564</v>
      </c>
      <c r="X436" t="s">
        <v>666</v>
      </c>
    </row>
    <row r="437" spans="8:24" x14ac:dyDescent="0.45">
      <c r="H437" t="s">
        <v>389</v>
      </c>
      <c r="I437" t="s">
        <v>244</v>
      </c>
      <c r="J437">
        <v>3.7305617600396202E-5</v>
      </c>
      <c r="K437" t="s">
        <v>243</v>
      </c>
      <c r="U437" t="s">
        <v>112</v>
      </c>
      <c r="V437" t="s">
        <v>997</v>
      </c>
      <c r="W437" t="s">
        <v>564</v>
      </c>
      <c r="X437" t="s">
        <v>666</v>
      </c>
    </row>
    <row r="438" spans="8:24" x14ac:dyDescent="0.45">
      <c r="H438" t="s">
        <v>389</v>
      </c>
      <c r="I438" t="s">
        <v>245</v>
      </c>
      <c r="J438">
        <v>3.7305617600396202E-5</v>
      </c>
      <c r="K438" t="s">
        <v>243</v>
      </c>
      <c r="U438" t="s">
        <v>112</v>
      </c>
      <c r="V438" t="s">
        <v>998</v>
      </c>
      <c r="W438" t="s">
        <v>564</v>
      </c>
      <c r="X438" t="s">
        <v>666</v>
      </c>
    </row>
    <row r="439" spans="8:24" x14ac:dyDescent="0.45">
      <c r="H439" t="s">
        <v>390</v>
      </c>
      <c r="I439" t="s">
        <v>242</v>
      </c>
      <c r="J439">
        <v>5.3263200124154574E-3</v>
      </c>
      <c r="K439" t="s">
        <v>243</v>
      </c>
      <c r="U439" t="s">
        <v>112</v>
      </c>
      <c r="V439" t="s">
        <v>999</v>
      </c>
      <c r="W439" t="s">
        <v>564</v>
      </c>
      <c r="X439" t="s">
        <v>666</v>
      </c>
    </row>
    <row r="440" spans="8:24" x14ac:dyDescent="0.45">
      <c r="H440" t="s">
        <v>390</v>
      </c>
      <c r="I440" t="s">
        <v>244</v>
      </c>
      <c r="J440">
        <v>5.3263200124154574E-3</v>
      </c>
      <c r="K440" t="s">
        <v>243</v>
      </c>
      <c r="U440" t="s">
        <v>112</v>
      </c>
      <c r="V440" t="s">
        <v>1000</v>
      </c>
      <c r="W440" t="s">
        <v>564</v>
      </c>
      <c r="X440" t="s">
        <v>666</v>
      </c>
    </row>
    <row r="441" spans="8:24" x14ac:dyDescent="0.45">
      <c r="H441" t="s">
        <v>390</v>
      </c>
      <c r="I441" t="s">
        <v>245</v>
      </c>
      <c r="J441">
        <v>5.3263200124154574E-3</v>
      </c>
      <c r="K441" t="s">
        <v>243</v>
      </c>
      <c r="U441" t="s">
        <v>112</v>
      </c>
      <c r="V441" t="s">
        <v>1000</v>
      </c>
      <c r="W441" t="s">
        <v>653</v>
      </c>
      <c r="X441" t="s">
        <v>666</v>
      </c>
    </row>
    <row r="442" spans="8:24" x14ac:dyDescent="0.45">
      <c r="H442" t="s">
        <v>391</v>
      </c>
      <c r="I442" t="s">
        <v>242</v>
      </c>
      <c r="J442">
        <v>2.066033913798344E-3</v>
      </c>
      <c r="K442" t="s">
        <v>243</v>
      </c>
      <c r="U442" t="s">
        <v>112</v>
      </c>
      <c r="V442" t="s">
        <v>1001</v>
      </c>
      <c r="W442" t="s">
        <v>564</v>
      </c>
      <c r="X442" t="s">
        <v>666</v>
      </c>
    </row>
    <row r="443" spans="8:24" x14ac:dyDescent="0.45">
      <c r="H443" t="s">
        <v>391</v>
      </c>
      <c r="I443" t="s">
        <v>244</v>
      </c>
      <c r="J443">
        <v>2.066033913798344E-3</v>
      </c>
      <c r="K443" t="s">
        <v>243</v>
      </c>
      <c r="U443" t="s">
        <v>112</v>
      </c>
      <c r="V443" t="s">
        <v>1001</v>
      </c>
      <c r="W443" t="s">
        <v>653</v>
      </c>
      <c r="X443" t="s">
        <v>666</v>
      </c>
    </row>
    <row r="444" spans="8:24" x14ac:dyDescent="0.45">
      <c r="H444" t="s">
        <v>391</v>
      </c>
      <c r="I444" t="s">
        <v>245</v>
      </c>
      <c r="J444">
        <v>2.066033913798344E-3</v>
      </c>
      <c r="K444" t="s">
        <v>243</v>
      </c>
      <c r="U444" t="s">
        <v>112</v>
      </c>
      <c r="V444" t="s">
        <v>1002</v>
      </c>
      <c r="W444" t="s">
        <v>564</v>
      </c>
      <c r="X444" t="s">
        <v>666</v>
      </c>
    </row>
    <row r="445" spans="8:24" x14ac:dyDescent="0.45">
      <c r="H445" t="s">
        <v>392</v>
      </c>
      <c r="I445" t="s">
        <v>242</v>
      </c>
      <c r="J445">
        <v>2.21848140254384E-4</v>
      </c>
      <c r="K445" t="s">
        <v>243</v>
      </c>
      <c r="U445" t="s">
        <v>112</v>
      </c>
      <c r="V445" t="s">
        <v>1002</v>
      </c>
      <c r="W445" t="s">
        <v>653</v>
      </c>
      <c r="X445" t="s">
        <v>666</v>
      </c>
    </row>
    <row r="446" spans="8:24" x14ac:dyDescent="0.45">
      <c r="H446" t="s">
        <v>392</v>
      </c>
      <c r="I446" t="s">
        <v>244</v>
      </c>
      <c r="J446">
        <v>2.21848140254384E-4</v>
      </c>
      <c r="K446" t="s">
        <v>243</v>
      </c>
      <c r="U446" t="s">
        <v>112</v>
      </c>
      <c r="V446" t="s">
        <v>1003</v>
      </c>
      <c r="W446" t="s">
        <v>564</v>
      </c>
      <c r="X446" t="s">
        <v>666</v>
      </c>
    </row>
    <row r="447" spans="8:24" x14ac:dyDescent="0.45">
      <c r="H447" t="s">
        <v>392</v>
      </c>
      <c r="I447" t="s">
        <v>245</v>
      </c>
      <c r="J447">
        <v>2.21848140254384E-4</v>
      </c>
      <c r="K447" t="s">
        <v>243</v>
      </c>
      <c r="U447" t="s">
        <v>112</v>
      </c>
      <c r="V447" t="s">
        <v>1003</v>
      </c>
      <c r="W447" t="s">
        <v>653</v>
      </c>
      <c r="X447" t="s">
        <v>666</v>
      </c>
    </row>
    <row r="448" spans="8:24" x14ac:dyDescent="0.45">
      <c r="H448" t="s">
        <v>393</v>
      </c>
      <c r="I448" t="s">
        <v>242</v>
      </c>
      <c r="J448">
        <v>8.2716403600425568E-3</v>
      </c>
      <c r="K448" t="s">
        <v>243</v>
      </c>
      <c r="U448" t="s">
        <v>112</v>
      </c>
      <c r="V448" t="s">
        <v>1004</v>
      </c>
      <c r="W448" t="s">
        <v>653</v>
      </c>
      <c r="X448" t="s">
        <v>666</v>
      </c>
    </row>
    <row r="449" spans="8:24" x14ac:dyDescent="0.45">
      <c r="H449" t="s">
        <v>393</v>
      </c>
      <c r="I449" t="s">
        <v>244</v>
      </c>
      <c r="J449">
        <v>8.2716403600425568E-3</v>
      </c>
      <c r="K449" t="s">
        <v>243</v>
      </c>
      <c r="U449" t="s">
        <v>112</v>
      </c>
      <c r="V449" t="s">
        <v>1005</v>
      </c>
      <c r="W449" t="s">
        <v>653</v>
      </c>
      <c r="X449" t="s">
        <v>666</v>
      </c>
    </row>
    <row r="450" spans="8:24" x14ac:dyDescent="0.45">
      <c r="H450" t="s">
        <v>393</v>
      </c>
      <c r="I450" t="s">
        <v>245</v>
      </c>
      <c r="J450">
        <v>8.2716403600425568E-3</v>
      </c>
      <c r="K450" t="s">
        <v>243</v>
      </c>
      <c r="U450" t="s">
        <v>112</v>
      </c>
      <c r="V450" t="s">
        <v>1006</v>
      </c>
      <c r="W450" t="s">
        <v>653</v>
      </c>
      <c r="X450" t="s">
        <v>666</v>
      </c>
    </row>
    <row r="451" spans="8:24" x14ac:dyDescent="0.45">
      <c r="H451" t="s">
        <v>394</v>
      </c>
      <c r="I451" t="s">
        <v>242</v>
      </c>
      <c r="J451">
        <v>2.5273099396306075E-2</v>
      </c>
      <c r="K451" t="s">
        <v>243</v>
      </c>
      <c r="U451" t="s">
        <v>112</v>
      </c>
      <c r="V451" t="s">
        <v>1006</v>
      </c>
      <c r="W451" t="s">
        <v>564</v>
      </c>
      <c r="X451" t="s">
        <v>547</v>
      </c>
    </row>
    <row r="452" spans="8:24" x14ac:dyDescent="0.45">
      <c r="H452" t="s">
        <v>394</v>
      </c>
      <c r="I452" t="s">
        <v>244</v>
      </c>
      <c r="J452">
        <v>2.5273099396306075E-2</v>
      </c>
      <c r="K452" t="s">
        <v>243</v>
      </c>
      <c r="U452" t="s">
        <v>112</v>
      </c>
      <c r="V452" t="s">
        <v>1007</v>
      </c>
      <c r="W452" t="s">
        <v>653</v>
      </c>
      <c r="X452" t="s">
        <v>666</v>
      </c>
    </row>
    <row r="453" spans="8:24" x14ac:dyDescent="0.45">
      <c r="H453" t="s">
        <v>394</v>
      </c>
      <c r="I453" t="s">
        <v>245</v>
      </c>
      <c r="J453">
        <v>2.5273099396306075E-2</v>
      </c>
      <c r="K453" t="s">
        <v>243</v>
      </c>
      <c r="U453" t="s">
        <v>112</v>
      </c>
      <c r="V453" t="s">
        <v>1007</v>
      </c>
      <c r="W453" t="s">
        <v>564</v>
      </c>
      <c r="X453" t="s">
        <v>547</v>
      </c>
    </row>
    <row r="454" spans="8:24" x14ac:dyDescent="0.45">
      <c r="H454" t="s">
        <v>395</v>
      </c>
      <c r="I454" t="s">
        <v>242</v>
      </c>
      <c r="J454">
        <v>8.2006989748067156E-3</v>
      </c>
      <c r="K454" t="s">
        <v>243</v>
      </c>
      <c r="U454" t="s">
        <v>112</v>
      </c>
      <c r="V454" t="s">
        <v>1008</v>
      </c>
      <c r="W454" t="s">
        <v>565</v>
      </c>
      <c r="X454" t="s">
        <v>666</v>
      </c>
    </row>
    <row r="455" spans="8:24" x14ac:dyDescent="0.45">
      <c r="H455" t="s">
        <v>395</v>
      </c>
      <c r="I455" t="s">
        <v>244</v>
      </c>
      <c r="J455">
        <v>8.2006989748067156E-3</v>
      </c>
      <c r="K455" t="s">
        <v>243</v>
      </c>
      <c r="U455" t="s">
        <v>112</v>
      </c>
      <c r="V455" t="s">
        <v>1009</v>
      </c>
      <c r="W455" t="s">
        <v>565</v>
      </c>
      <c r="X455" t="s">
        <v>666</v>
      </c>
    </row>
    <row r="456" spans="8:24" x14ac:dyDescent="0.45">
      <c r="H456" t="s">
        <v>395</v>
      </c>
      <c r="I456" t="s">
        <v>245</v>
      </c>
      <c r="J456">
        <v>8.2006989748067156E-3</v>
      </c>
      <c r="K456" t="s">
        <v>243</v>
      </c>
      <c r="U456" t="s">
        <v>112</v>
      </c>
      <c r="V456" t="s">
        <v>1010</v>
      </c>
      <c r="W456" t="s">
        <v>565</v>
      </c>
      <c r="X456" t="s">
        <v>666</v>
      </c>
    </row>
    <row r="457" spans="8:24" x14ac:dyDescent="0.45">
      <c r="H457" t="s">
        <v>396</v>
      </c>
      <c r="I457" t="s">
        <v>242</v>
      </c>
      <c r="J457">
        <v>9.9382488597282229E-3</v>
      </c>
      <c r="K457" t="s">
        <v>243</v>
      </c>
      <c r="U457" t="s">
        <v>112</v>
      </c>
      <c r="V457" t="s">
        <v>1011</v>
      </c>
      <c r="W457" t="s">
        <v>565</v>
      </c>
      <c r="X457" t="s">
        <v>666</v>
      </c>
    </row>
    <row r="458" spans="8:24" x14ac:dyDescent="0.45">
      <c r="H458" t="s">
        <v>396</v>
      </c>
      <c r="I458" t="s">
        <v>244</v>
      </c>
      <c r="J458">
        <v>9.9382488597282229E-3</v>
      </c>
      <c r="K458" t="s">
        <v>243</v>
      </c>
      <c r="U458" t="s">
        <v>112</v>
      </c>
      <c r="V458" t="s">
        <v>1012</v>
      </c>
      <c r="W458" t="s">
        <v>565</v>
      </c>
      <c r="X458" t="s">
        <v>666</v>
      </c>
    </row>
    <row r="459" spans="8:24" x14ac:dyDescent="0.45">
      <c r="H459" t="s">
        <v>396</v>
      </c>
      <c r="I459" t="s">
        <v>245</v>
      </c>
      <c r="J459">
        <v>9.9382488597282229E-3</v>
      </c>
      <c r="K459" t="s">
        <v>243</v>
      </c>
      <c r="U459" t="s">
        <v>112</v>
      </c>
      <c r="V459" t="s">
        <v>1013</v>
      </c>
      <c r="W459" t="s">
        <v>565</v>
      </c>
      <c r="X459" t="s">
        <v>666</v>
      </c>
    </row>
    <row r="460" spans="8:24" x14ac:dyDescent="0.45">
      <c r="H460" t="s">
        <v>397</v>
      </c>
      <c r="I460" t="s">
        <v>242</v>
      </c>
      <c r="J460">
        <v>1.2554265482434088E-2</v>
      </c>
      <c r="K460" t="s">
        <v>243</v>
      </c>
      <c r="U460" t="s">
        <v>112</v>
      </c>
      <c r="V460" t="s">
        <v>1014</v>
      </c>
      <c r="W460" t="s">
        <v>565</v>
      </c>
      <c r="X460" t="s">
        <v>666</v>
      </c>
    </row>
    <row r="461" spans="8:24" x14ac:dyDescent="0.45">
      <c r="H461" t="s">
        <v>397</v>
      </c>
      <c r="I461" t="s">
        <v>244</v>
      </c>
      <c r="J461">
        <v>1.2554265482434088E-2</v>
      </c>
      <c r="K461" t="s">
        <v>243</v>
      </c>
      <c r="U461" t="s">
        <v>112</v>
      </c>
      <c r="V461" t="s">
        <v>1015</v>
      </c>
      <c r="W461" t="s">
        <v>565</v>
      </c>
      <c r="X461" t="s">
        <v>666</v>
      </c>
    </row>
    <row r="462" spans="8:24" x14ac:dyDescent="0.45">
      <c r="H462" t="s">
        <v>397</v>
      </c>
      <c r="I462" t="s">
        <v>245</v>
      </c>
      <c r="J462">
        <v>1.2554265482434088E-2</v>
      </c>
      <c r="K462" t="s">
        <v>243</v>
      </c>
      <c r="U462" t="s">
        <v>112</v>
      </c>
      <c r="V462" t="s">
        <v>1016</v>
      </c>
      <c r="W462" t="s">
        <v>565</v>
      </c>
      <c r="X462" t="s">
        <v>666</v>
      </c>
    </row>
    <row r="463" spans="8:24" x14ac:dyDescent="0.45">
      <c r="H463" t="s">
        <v>398</v>
      </c>
      <c r="I463" t="s">
        <v>242</v>
      </c>
      <c r="J463">
        <v>1.5484397924847839E-2</v>
      </c>
      <c r="K463" t="s">
        <v>243</v>
      </c>
      <c r="U463" t="s">
        <v>112</v>
      </c>
      <c r="V463" t="s">
        <v>1017</v>
      </c>
      <c r="W463" t="s">
        <v>565</v>
      </c>
      <c r="X463" t="s">
        <v>666</v>
      </c>
    </row>
    <row r="464" spans="8:24" x14ac:dyDescent="0.45">
      <c r="H464" t="s">
        <v>398</v>
      </c>
      <c r="I464" t="s">
        <v>244</v>
      </c>
      <c r="J464">
        <v>1.5484397924847839E-2</v>
      </c>
      <c r="K464" t="s">
        <v>243</v>
      </c>
      <c r="U464" t="s">
        <v>112</v>
      </c>
      <c r="V464" t="s">
        <v>1018</v>
      </c>
      <c r="W464" t="s">
        <v>565</v>
      </c>
      <c r="X464" t="s">
        <v>666</v>
      </c>
    </row>
    <row r="465" spans="8:24" x14ac:dyDescent="0.45">
      <c r="H465" t="s">
        <v>398</v>
      </c>
      <c r="I465" t="s">
        <v>245</v>
      </c>
      <c r="J465">
        <v>1.5484397924847839E-2</v>
      </c>
      <c r="K465" t="s">
        <v>243</v>
      </c>
      <c r="U465" t="s">
        <v>112</v>
      </c>
      <c r="V465" t="s">
        <v>1019</v>
      </c>
      <c r="W465" t="s">
        <v>565</v>
      </c>
      <c r="X465" t="s">
        <v>666</v>
      </c>
    </row>
    <row r="466" spans="8:24" x14ac:dyDescent="0.45">
      <c r="H466" t="s">
        <v>399</v>
      </c>
      <c r="I466" t="s">
        <v>242</v>
      </c>
      <c r="J466">
        <v>2.6536690150118537E-3</v>
      </c>
      <c r="K466" t="s">
        <v>243</v>
      </c>
      <c r="U466" t="s">
        <v>112</v>
      </c>
      <c r="V466" t="s">
        <v>1019</v>
      </c>
      <c r="W466" t="s">
        <v>649</v>
      </c>
      <c r="X466" t="s">
        <v>666</v>
      </c>
    </row>
    <row r="467" spans="8:24" x14ac:dyDescent="0.45">
      <c r="H467" t="s">
        <v>399</v>
      </c>
      <c r="I467" t="s">
        <v>244</v>
      </c>
      <c r="J467">
        <v>2.6536690150118537E-3</v>
      </c>
      <c r="K467" t="s">
        <v>243</v>
      </c>
      <c r="U467" t="s">
        <v>112</v>
      </c>
      <c r="V467" t="s">
        <v>1020</v>
      </c>
      <c r="W467" t="s">
        <v>565</v>
      </c>
      <c r="X467" t="s">
        <v>666</v>
      </c>
    </row>
    <row r="468" spans="8:24" x14ac:dyDescent="0.45">
      <c r="H468" t="s">
        <v>399</v>
      </c>
      <c r="I468" t="s">
        <v>245</v>
      </c>
      <c r="J468">
        <v>2.6536690150118537E-3</v>
      </c>
      <c r="K468" t="s">
        <v>243</v>
      </c>
      <c r="U468" t="s">
        <v>112</v>
      </c>
      <c r="V468" t="s">
        <v>1020</v>
      </c>
      <c r="W468" t="s">
        <v>649</v>
      </c>
      <c r="X468" t="s">
        <v>666</v>
      </c>
    </row>
    <row r="469" spans="8:24" x14ac:dyDescent="0.45">
      <c r="H469" t="s">
        <v>400</v>
      </c>
      <c r="I469" t="s">
        <v>242</v>
      </c>
      <c r="J469">
        <v>3.1179826000032079E-5</v>
      </c>
      <c r="K469" t="s">
        <v>243</v>
      </c>
      <c r="U469" t="s">
        <v>112</v>
      </c>
      <c r="V469" t="s">
        <v>1021</v>
      </c>
      <c r="W469" t="s">
        <v>565</v>
      </c>
      <c r="X469" t="s">
        <v>666</v>
      </c>
    </row>
    <row r="470" spans="8:24" x14ac:dyDescent="0.45">
      <c r="H470" t="s">
        <v>400</v>
      </c>
      <c r="I470" t="s">
        <v>244</v>
      </c>
      <c r="J470">
        <v>3.1179826000032079E-5</v>
      </c>
      <c r="K470" t="s">
        <v>243</v>
      </c>
      <c r="U470" t="s">
        <v>112</v>
      </c>
      <c r="V470" t="s">
        <v>1021</v>
      </c>
      <c r="W470" t="s">
        <v>649</v>
      </c>
      <c r="X470" t="s">
        <v>666</v>
      </c>
    </row>
    <row r="471" spans="8:24" x14ac:dyDescent="0.45">
      <c r="H471" t="s">
        <v>400</v>
      </c>
      <c r="I471" t="s">
        <v>245</v>
      </c>
      <c r="J471">
        <v>3.1179826000032079E-5</v>
      </c>
      <c r="K471" t="s">
        <v>243</v>
      </c>
      <c r="U471" t="s">
        <v>112</v>
      </c>
      <c r="V471" t="s">
        <v>1022</v>
      </c>
      <c r="W471" t="s">
        <v>565</v>
      </c>
      <c r="X471" t="s">
        <v>666</v>
      </c>
    </row>
    <row r="472" spans="8:24" x14ac:dyDescent="0.45">
      <c r="H472" t="s">
        <v>401</v>
      </c>
      <c r="I472" t="s">
        <v>242</v>
      </c>
      <c r="J472">
        <v>9.1074866684046994E-3</v>
      </c>
      <c r="K472" t="s">
        <v>243</v>
      </c>
      <c r="U472" t="s">
        <v>112</v>
      </c>
      <c r="V472" t="s">
        <v>1022</v>
      </c>
      <c r="W472" t="s">
        <v>649</v>
      </c>
      <c r="X472" t="s">
        <v>666</v>
      </c>
    </row>
    <row r="473" spans="8:24" x14ac:dyDescent="0.45">
      <c r="H473" t="s">
        <v>401</v>
      </c>
      <c r="I473" t="s">
        <v>244</v>
      </c>
      <c r="J473">
        <v>9.1074866684046994E-3</v>
      </c>
      <c r="K473" t="s">
        <v>243</v>
      </c>
      <c r="U473" t="s">
        <v>112</v>
      </c>
      <c r="V473" t="s">
        <v>1023</v>
      </c>
      <c r="W473" t="s">
        <v>649</v>
      </c>
      <c r="X473" t="s">
        <v>666</v>
      </c>
    </row>
    <row r="474" spans="8:24" x14ac:dyDescent="0.45">
      <c r="H474" t="s">
        <v>401</v>
      </c>
      <c r="I474" t="s">
        <v>245</v>
      </c>
      <c r="J474">
        <v>9.1074866684046994E-3</v>
      </c>
      <c r="K474" t="s">
        <v>243</v>
      </c>
      <c r="U474" t="s">
        <v>112</v>
      </c>
      <c r="V474" t="s">
        <v>1024</v>
      </c>
      <c r="W474" t="s">
        <v>649</v>
      </c>
      <c r="X474" t="s">
        <v>666</v>
      </c>
    </row>
    <row r="475" spans="8:24" x14ac:dyDescent="0.45">
      <c r="H475" t="s">
        <v>402</v>
      </c>
      <c r="I475" t="s">
        <v>242</v>
      </c>
      <c r="J475">
        <v>2.2210442249279452E-2</v>
      </c>
      <c r="K475" t="s">
        <v>243</v>
      </c>
      <c r="U475" t="s">
        <v>112</v>
      </c>
      <c r="V475" t="s">
        <v>1025</v>
      </c>
      <c r="W475" t="s">
        <v>649</v>
      </c>
      <c r="X475" t="s">
        <v>666</v>
      </c>
    </row>
    <row r="476" spans="8:24" x14ac:dyDescent="0.45">
      <c r="H476" t="s">
        <v>402</v>
      </c>
      <c r="I476" t="s">
        <v>244</v>
      </c>
      <c r="J476">
        <v>2.2210442249279452E-2</v>
      </c>
      <c r="K476" t="s">
        <v>243</v>
      </c>
      <c r="U476" t="s">
        <v>112</v>
      </c>
      <c r="V476" t="s">
        <v>1025</v>
      </c>
      <c r="W476" t="s">
        <v>565</v>
      </c>
      <c r="X476" t="s">
        <v>547</v>
      </c>
    </row>
    <row r="477" spans="8:24" x14ac:dyDescent="0.45">
      <c r="H477" t="s">
        <v>402</v>
      </c>
      <c r="I477" t="s">
        <v>245</v>
      </c>
      <c r="J477">
        <v>2.2210442249279452E-2</v>
      </c>
      <c r="K477" t="s">
        <v>243</v>
      </c>
      <c r="U477" t="s">
        <v>112</v>
      </c>
      <c r="V477" t="s">
        <v>1026</v>
      </c>
      <c r="W477" t="s">
        <v>649</v>
      </c>
      <c r="X477" t="s">
        <v>666</v>
      </c>
    </row>
    <row r="478" spans="8:24" x14ac:dyDescent="0.45">
      <c r="H478" t="s">
        <v>403</v>
      </c>
      <c r="I478" t="s">
        <v>242</v>
      </c>
      <c r="J478">
        <v>2.9417069427630962E-2</v>
      </c>
      <c r="K478" t="s">
        <v>243</v>
      </c>
      <c r="U478" t="s">
        <v>112</v>
      </c>
      <c r="V478" t="s">
        <v>1026</v>
      </c>
      <c r="W478" t="s">
        <v>565</v>
      </c>
      <c r="X478" t="s">
        <v>547</v>
      </c>
    </row>
    <row r="479" spans="8:24" x14ac:dyDescent="0.45">
      <c r="H479" t="s">
        <v>403</v>
      </c>
      <c r="I479" t="s">
        <v>244</v>
      </c>
      <c r="J479">
        <v>2.9417069427630962E-2</v>
      </c>
      <c r="K479" t="s">
        <v>243</v>
      </c>
      <c r="U479" t="s">
        <v>112</v>
      </c>
      <c r="V479" t="s">
        <v>1027</v>
      </c>
      <c r="W479" t="s">
        <v>566</v>
      </c>
      <c r="X479" t="s">
        <v>666</v>
      </c>
    </row>
    <row r="480" spans="8:24" x14ac:dyDescent="0.45">
      <c r="H480" t="s">
        <v>403</v>
      </c>
      <c r="I480" t="s">
        <v>245</v>
      </c>
      <c r="J480">
        <v>2.9417069427630962E-2</v>
      </c>
      <c r="K480" t="s">
        <v>243</v>
      </c>
      <c r="U480" t="s">
        <v>112</v>
      </c>
      <c r="V480" t="s">
        <v>1028</v>
      </c>
      <c r="W480" t="s">
        <v>566</v>
      </c>
      <c r="X480" t="s">
        <v>666</v>
      </c>
    </row>
    <row r="481" spans="8:24" x14ac:dyDescent="0.45">
      <c r="H481" t="s">
        <v>404</v>
      </c>
      <c r="I481" t="s">
        <v>242</v>
      </c>
      <c r="J481">
        <v>9.3928651703745879E-3</v>
      </c>
      <c r="K481" t="s">
        <v>243</v>
      </c>
      <c r="U481" t="s">
        <v>112</v>
      </c>
      <c r="V481" t="s">
        <v>1029</v>
      </c>
      <c r="W481" t="s">
        <v>566</v>
      </c>
      <c r="X481" t="s">
        <v>666</v>
      </c>
    </row>
    <row r="482" spans="8:24" x14ac:dyDescent="0.45">
      <c r="H482" t="s">
        <v>404</v>
      </c>
      <c r="I482" t="s">
        <v>244</v>
      </c>
      <c r="J482">
        <v>9.3928651703745879E-3</v>
      </c>
      <c r="K482" t="s">
        <v>243</v>
      </c>
      <c r="U482" t="s">
        <v>112</v>
      </c>
      <c r="V482" t="s">
        <v>1030</v>
      </c>
      <c r="W482" t="s">
        <v>566</v>
      </c>
      <c r="X482" t="s">
        <v>666</v>
      </c>
    </row>
    <row r="483" spans="8:24" x14ac:dyDescent="0.45">
      <c r="H483" t="s">
        <v>404</v>
      </c>
      <c r="I483" t="s">
        <v>245</v>
      </c>
      <c r="J483">
        <v>9.3928651703745879E-3</v>
      </c>
      <c r="K483" t="s">
        <v>243</v>
      </c>
      <c r="U483" t="s">
        <v>112</v>
      </c>
      <c r="V483" t="s">
        <v>1031</v>
      </c>
      <c r="W483" t="s">
        <v>566</v>
      </c>
      <c r="X483" t="s">
        <v>666</v>
      </c>
    </row>
    <row r="484" spans="8:24" x14ac:dyDescent="0.45">
      <c r="H484" t="s">
        <v>405</v>
      </c>
      <c r="I484" t="s">
        <v>242</v>
      </c>
      <c r="J484">
        <v>1.3776599287490199E-2</v>
      </c>
      <c r="K484" t="s">
        <v>243</v>
      </c>
      <c r="U484" t="s">
        <v>112</v>
      </c>
      <c r="V484" t="s">
        <v>1032</v>
      </c>
      <c r="W484" t="s">
        <v>566</v>
      </c>
      <c r="X484" t="s">
        <v>666</v>
      </c>
    </row>
    <row r="485" spans="8:24" x14ac:dyDescent="0.45">
      <c r="H485" t="s">
        <v>405</v>
      </c>
      <c r="I485" t="s">
        <v>244</v>
      </c>
      <c r="J485">
        <v>1.3776599287490199E-2</v>
      </c>
      <c r="K485" t="s">
        <v>243</v>
      </c>
      <c r="U485" t="s">
        <v>112</v>
      </c>
      <c r="V485" t="s">
        <v>1033</v>
      </c>
      <c r="W485" t="s">
        <v>566</v>
      </c>
      <c r="X485" t="s">
        <v>666</v>
      </c>
    </row>
    <row r="486" spans="8:24" x14ac:dyDescent="0.45">
      <c r="H486" t="s">
        <v>405</v>
      </c>
      <c r="I486" t="s">
        <v>245</v>
      </c>
      <c r="J486">
        <v>1.3776599287490199E-2</v>
      </c>
      <c r="K486" t="s">
        <v>243</v>
      </c>
      <c r="U486" t="s">
        <v>112</v>
      </c>
      <c r="V486" t="s">
        <v>1034</v>
      </c>
      <c r="W486" t="s">
        <v>566</v>
      </c>
      <c r="X486" t="s">
        <v>666</v>
      </c>
    </row>
    <row r="487" spans="8:24" x14ac:dyDescent="0.45">
      <c r="H487" t="s">
        <v>406</v>
      </c>
      <c r="I487" t="s">
        <v>242</v>
      </c>
      <c r="J487">
        <v>5.0086591920417362E-3</v>
      </c>
      <c r="K487" t="s">
        <v>243</v>
      </c>
      <c r="U487" t="s">
        <v>112</v>
      </c>
      <c r="V487" t="s">
        <v>1035</v>
      </c>
      <c r="W487" t="s">
        <v>566</v>
      </c>
      <c r="X487" t="s">
        <v>666</v>
      </c>
    </row>
    <row r="488" spans="8:24" x14ac:dyDescent="0.45">
      <c r="H488" t="s">
        <v>406</v>
      </c>
      <c r="I488" t="s">
        <v>244</v>
      </c>
      <c r="J488">
        <v>5.0086591920417362E-3</v>
      </c>
      <c r="K488" t="s">
        <v>243</v>
      </c>
      <c r="U488" t="s">
        <v>112</v>
      </c>
      <c r="V488" t="s">
        <v>1036</v>
      </c>
      <c r="W488" t="s">
        <v>566</v>
      </c>
      <c r="X488" t="s">
        <v>666</v>
      </c>
    </row>
    <row r="489" spans="8:24" x14ac:dyDescent="0.45">
      <c r="H489" t="s">
        <v>406</v>
      </c>
      <c r="I489" t="s">
        <v>245</v>
      </c>
      <c r="J489">
        <v>5.0086591920417362E-3</v>
      </c>
      <c r="K489" t="s">
        <v>243</v>
      </c>
      <c r="U489" t="s">
        <v>112</v>
      </c>
      <c r="V489" t="s">
        <v>1037</v>
      </c>
      <c r="W489" t="s">
        <v>566</v>
      </c>
      <c r="X489" t="s">
        <v>666</v>
      </c>
    </row>
    <row r="490" spans="8:24" x14ac:dyDescent="0.45">
      <c r="H490" t="s">
        <v>407</v>
      </c>
      <c r="I490" t="s">
        <v>242</v>
      </c>
      <c r="J490">
        <v>6.1477653064319513E-3</v>
      </c>
      <c r="K490" t="s">
        <v>243</v>
      </c>
      <c r="U490" t="s">
        <v>112</v>
      </c>
      <c r="V490" t="s">
        <v>1038</v>
      </c>
      <c r="W490" t="s">
        <v>566</v>
      </c>
      <c r="X490" t="s">
        <v>666</v>
      </c>
    </row>
    <row r="491" spans="8:24" x14ac:dyDescent="0.45">
      <c r="H491" t="s">
        <v>407</v>
      </c>
      <c r="I491" t="s">
        <v>244</v>
      </c>
      <c r="J491">
        <v>6.1477653064319513E-3</v>
      </c>
      <c r="K491" t="s">
        <v>243</v>
      </c>
      <c r="U491" t="s">
        <v>112</v>
      </c>
      <c r="V491" t="s">
        <v>1038</v>
      </c>
      <c r="W491" t="s">
        <v>651</v>
      </c>
      <c r="X491" t="s">
        <v>666</v>
      </c>
    </row>
    <row r="492" spans="8:24" x14ac:dyDescent="0.45">
      <c r="H492" t="s">
        <v>407</v>
      </c>
      <c r="I492" t="s">
        <v>245</v>
      </c>
      <c r="J492">
        <v>6.1477653064319513E-3</v>
      </c>
      <c r="K492" t="s">
        <v>243</v>
      </c>
      <c r="U492" t="s">
        <v>112</v>
      </c>
      <c r="V492" t="s">
        <v>1039</v>
      </c>
      <c r="W492" t="s">
        <v>566</v>
      </c>
      <c r="X492" t="s">
        <v>666</v>
      </c>
    </row>
    <row r="493" spans="8:24" x14ac:dyDescent="0.45">
      <c r="H493" t="s">
        <v>408</v>
      </c>
      <c r="I493" t="s">
        <v>242</v>
      </c>
      <c r="J493">
        <v>2.6473019460272532E-2</v>
      </c>
      <c r="K493" t="s">
        <v>243</v>
      </c>
      <c r="U493" t="s">
        <v>112</v>
      </c>
      <c r="V493" t="s">
        <v>1039</v>
      </c>
      <c r="W493" t="s">
        <v>651</v>
      </c>
      <c r="X493" t="s">
        <v>666</v>
      </c>
    </row>
    <row r="494" spans="8:24" x14ac:dyDescent="0.45">
      <c r="H494" t="s">
        <v>408</v>
      </c>
      <c r="I494" t="s">
        <v>244</v>
      </c>
      <c r="J494">
        <v>2.6473019460272532E-2</v>
      </c>
      <c r="K494" t="s">
        <v>243</v>
      </c>
      <c r="U494" t="s">
        <v>112</v>
      </c>
      <c r="V494" t="s">
        <v>1040</v>
      </c>
      <c r="W494" t="s">
        <v>566</v>
      </c>
      <c r="X494" t="s">
        <v>666</v>
      </c>
    </row>
    <row r="495" spans="8:24" x14ac:dyDescent="0.45">
      <c r="H495" t="s">
        <v>408</v>
      </c>
      <c r="I495" t="s">
        <v>245</v>
      </c>
      <c r="J495">
        <v>2.6473019460272532E-2</v>
      </c>
      <c r="K495" t="s">
        <v>243</v>
      </c>
      <c r="U495" t="s">
        <v>112</v>
      </c>
      <c r="V495" t="s">
        <v>1040</v>
      </c>
      <c r="W495" t="s">
        <v>651</v>
      </c>
      <c r="X495" t="s">
        <v>666</v>
      </c>
    </row>
    <row r="496" spans="8:24" x14ac:dyDescent="0.45">
      <c r="H496" t="s">
        <v>409</v>
      </c>
      <c r="I496" t="s">
        <v>242</v>
      </c>
      <c r="J496">
        <v>4.8865315825130297E-2</v>
      </c>
      <c r="K496" t="s">
        <v>243</v>
      </c>
      <c r="U496" t="s">
        <v>112</v>
      </c>
      <c r="V496" t="s">
        <v>1041</v>
      </c>
      <c r="W496" t="s">
        <v>566</v>
      </c>
      <c r="X496" t="s">
        <v>666</v>
      </c>
    </row>
    <row r="497" spans="8:24" x14ac:dyDescent="0.45">
      <c r="H497" t="s">
        <v>409</v>
      </c>
      <c r="I497" t="s">
        <v>244</v>
      </c>
      <c r="J497">
        <v>4.8865315825130297E-2</v>
      </c>
      <c r="K497" t="s">
        <v>243</v>
      </c>
      <c r="U497" t="s">
        <v>112</v>
      </c>
      <c r="V497" t="s">
        <v>1041</v>
      </c>
      <c r="W497" t="s">
        <v>651</v>
      </c>
      <c r="X497" t="s">
        <v>666</v>
      </c>
    </row>
    <row r="498" spans="8:24" x14ac:dyDescent="0.45">
      <c r="H498" t="s">
        <v>409</v>
      </c>
      <c r="I498" t="s">
        <v>245</v>
      </c>
      <c r="J498">
        <v>4.8865315825130297E-2</v>
      </c>
      <c r="K498" t="s">
        <v>243</v>
      </c>
      <c r="U498" t="s">
        <v>112</v>
      </c>
      <c r="V498" t="s">
        <v>1042</v>
      </c>
      <c r="W498" t="s">
        <v>651</v>
      </c>
      <c r="X498" t="s">
        <v>666</v>
      </c>
    </row>
    <row r="499" spans="8:24" x14ac:dyDescent="0.45">
      <c r="H499" t="s">
        <v>410</v>
      </c>
      <c r="I499" t="s">
        <v>242</v>
      </c>
      <c r="J499">
        <v>2.6086249460113991E-2</v>
      </c>
      <c r="K499" t="s">
        <v>243</v>
      </c>
      <c r="U499" t="s">
        <v>112</v>
      </c>
      <c r="V499" t="s">
        <v>1043</v>
      </c>
      <c r="W499" t="s">
        <v>651</v>
      </c>
      <c r="X499" t="s">
        <v>666</v>
      </c>
    </row>
    <row r="500" spans="8:24" x14ac:dyDescent="0.45">
      <c r="H500" t="s">
        <v>410</v>
      </c>
      <c r="I500" t="s">
        <v>244</v>
      </c>
      <c r="J500">
        <v>2.6086249460113991E-2</v>
      </c>
      <c r="K500" t="s">
        <v>243</v>
      </c>
      <c r="U500" t="s">
        <v>112</v>
      </c>
      <c r="V500" t="s">
        <v>1044</v>
      </c>
      <c r="W500" t="s">
        <v>651</v>
      </c>
      <c r="X500" t="s">
        <v>666</v>
      </c>
    </row>
    <row r="501" spans="8:24" x14ac:dyDescent="0.45">
      <c r="H501" t="s">
        <v>410</v>
      </c>
      <c r="I501" t="s">
        <v>245</v>
      </c>
      <c r="J501">
        <v>2.6086249460113991E-2</v>
      </c>
      <c r="K501" t="s">
        <v>243</v>
      </c>
      <c r="U501" t="s">
        <v>112</v>
      </c>
      <c r="V501" t="s">
        <v>1044</v>
      </c>
      <c r="W501" t="s">
        <v>566</v>
      </c>
      <c r="X501" t="s">
        <v>547</v>
      </c>
    </row>
    <row r="502" spans="8:24" x14ac:dyDescent="0.45">
      <c r="H502" t="s">
        <v>411</v>
      </c>
      <c r="I502" t="s">
        <v>242</v>
      </c>
      <c r="J502">
        <v>1.5433973830342899E-2</v>
      </c>
      <c r="K502" t="s">
        <v>243</v>
      </c>
      <c r="U502" t="s">
        <v>112</v>
      </c>
      <c r="V502" t="s">
        <v>1045</v>
      </c>
      <c r="W502" t="s">
        <v>651</v>
      </c>
      <c r="X502" t="s">
        <v>666</v>
      </c>
    </row>
    <row r="503" spans="8:24" x14ac:dyDescent="0.45">
      <c r="H503" t="s">
        <v>411</v>
      </c>
      <c r="I503" t="s">
        <v>244</v>
      </c>
      <c r="J503">
        <v>1.5433973830342899E-2</v>
      </c>
      <c r="K503" t="s">
        <v>243</v>
      </c>
      <c r="U503" t="s">
        <v>112</v>
      </c>
      <c r="V503" t="s">
        <v>1045</v>
      </c>
      <c r="W503" t="s">
        <v>566</v>
      </c>
      <c r="X503" t="s">
        <v>547</v>
      </c>
    </row>
    <row r="504" spans="8:24" x14ac:dyDescent="0.45">
      <c r="H504" t="s">
        <v>411</v>
      </c>
      <c r="I504" t="s">
        <v>245</v>
      </c>
      <c r="J504">
        <v>1.5433973830342899E-2</v>
      </c>
      <c r="K504" t="s">
        <v>243</v>
      </c>
      <c r="U504" t="s">
        <v>112</v>
      </c>
      <c r="V504" t="s">
        <v>1046</v>
      </c>
      <c r="W504" t="s">
        <v>567</v>
      </c>
      <c r="X504" t="s">
        <v>666</v>
      </c>
    </row>
    <row r="505" spans="8:24" x14ac:dyDescent="0.45">
      <c r="H505" t="s">
        <v>412</v>
      </c>
      <c r="I505" t="s">
        <v>242</v>
      </c>
      <c r="J505">
        <v>1.1134566809932342E-2</v>
      </c>
      <c r="K505" t="s">
        <v>243</v>
      </c>
      <c r="U505" t="s">
        <v>112</v>
      </c>
      <c r="V505" t="s">
        <v>1047</v>
      </c>
      <c r="W505" t="s">
        <v>567</v>
      </c>
      <c r="X505" t="s">
        <v>666</v>
      </c>
    </row>
    <row r="506" spans="8:24" x14ac:dyDescent="0.45">
      <c r="H506" t="s">
        <v>412</v>
      </c>
      <c r="I506" t="s">
        <v>244</v>
      </c>
      <c r="J506">
        <v>1.1134566809932342E-2</v>
      </c>
      <c r="K506" t="s">
        <v>243</v>
      </c>
      <c r="U506" t="s">
        <v>112</v>
      </c>
      <c r="V506" t="s">
        <v>1048</v>
      </c>
      <c r="W506" t="s">
        <v>567</v>
      </c>
      <c r="X506" t="s">
        <v>666</v>
      </c>
    </row>
    <row r="507" spans="8:24" x14ac:dyDescent="0.45">
      <c r="H507" t="s">
        <v>412</v>
      </c>
      <c r="I507" t="s">
        <v>245</v>
      </c>
      <c r="J507">
        <v>1.1134566809932342E-2</v>
      </c>
      <c r="K507" t="s">
        <v>243</v>
      </c>
      <c r="U507" t="s">
        <v>112</v>
      </c>
      <c r="V507" t="s">
        <v>1049</v>
      </c>
      <c r="W507" t="s">
        <v>567</v>
      </c>
      <c r="X507" t="s">
        <v>666</v>
      </c>
    </row>
    <row r="508" spans="8:24" x14ac:dyDescent="0.45">
      <c r="H508" t="s">
        <v>413</v>
      </c>
      <c r="I508" t="s">
        <v>242</v>
      </c>
      <c r="J508">
        <v>6.7508893647565016E-2</v>
      </c>
      <c r="K508" t="s">
        <v>243</v>
      </c>
      <c r="U508" t="s">
        <v>112</v>
      </c>
      <c r="V508" t="s">
        <v>1050</v>
      </c>
      <c r="W508" t="s">
        <v>567</v>
      </c>
      <c r="X508" t="s">
        <v>666</v>
      </c>
    </row>
    <row r="509" spans="8:24" x14ac:dyDescent="0.45">
      <c r="H509" t="s">
        <v>413</v>
      </c>
      <c r="I509" t="s">
        <v>244</v>
      </c>
      <c r="J509">
        <v>6.7508893647565016E-2</v>
      </c>
      <c r="K509" t="s">
        <v>243</v>
      </c>
      <c r="U509" t="s">
        <v>112</v>
      </c>
      <c r="V509" t="s">
        <v>1051</v>
      </c>
      <c r="W509" t="s">
        <v>567</v>
      </c>
      <c r="X509" t="s">
        <v>666</v>
      </c>
    </row>
    <row r="510" spans="8:24" x14ac:dyDescent="0.45">
      <c r="H510" t="s">
        <v>413</v>
      </c>
      <c r="I510" t="s">
        <v>245</v>
      </c>
      <c r="J510">
        <v>6.7508893647565016E-2</v>
      </c>
      <c r="K510" t="s">
        <v>243</v>
      </c>
      <c r="U510" t="s">
        <v>112</v>
      </c>
      <c r="V510" t="s">
        <v>1052</v>
      </c>
      <c r="W510" t="s">
        <v>567</v>
      </c>
      <c r="X510" t="s">
        <v>666</v>
      </c>
    </row>
    <row r="511" spans="8:24" x14ac:dyDescent="0.45">
      <c r="H511" t="s">
        <v>414</v>
      </c>
      <c r="I511" t="s">
        <v>242</v>
      </c>
      <c r="J511">
        <v>1.8212025495717772E-2</v>
      </c>
      <c r="K511" t="s">
        <v>243</v>
      </c>
      <c r="U511" t="s">
        <v>112</v>
      </c>
      <c r="V511" t="s">
        <v>1053</v>
      </c>
      <c r="W511" t="s">
        <v>567</v>
      </c>
      <c r="X511" t="s">
        <v>666</v>
      </c>
    </row>
    <row r="512" spans="8:24" x14ac:dyDescent="0.45">
      <c r="H512" t="s">
        <v>414</v>
      </c>
      <c r="I512" t="s">
        <v>244</v>
      </c>
      <c r="J512">
        <v>1.8212025495717772E-2</v>
      </c>
      <c r="K512" t="s">
        <v>243</v>
      </c>
      <c r="U512" t="s">
        <v>112</v>
      </c>
      <c r="V512" t="s">
        <v>1054</v>
      </c>
      <c r="W512" t="s">
        <v>567</v>
      </c>
      <c r="X512" t="s">
        <v>666</v>
      </c>
    </row>
    <row r="513" spans="8:24" x14ac:dyDescent="0.45">
      <c r="H513" t="s">
        <v>414</v>
      </c>
      <c r="I513" t="s">
        <v>245</v>
      </c>
      <c r="J513">
        <v>1.8212025495717772E-2</v>
      </c>
      <c r="K513" t="s">
        <v>243</v>
      </c>
      <c r="U513" t="s">
        <v>112</v>
      </c>
      <c r="V513" t="s">
        <v>1055</v>
      </c>
      <c r="W513" t="s">
        <v>567</v>
      </c>
      <c r="X513" t="s">
        <v>666</v>
      </c>
    </row>
    <row r="514" spans="8:24" x14ac:dyDescent="0.45">
      <c r="H514" t="s">
        <v>415</v>
      </c>
      <c r="I514" t="s">
        <v>242</v>
      </c>
      <c r="J514">
        <v>3.7966015672833933E-2</v>
      </c>
      <c r="K514" t="s">
        <v>243</v>
      </c>
      <c r="U514" t="s">
        <v>112</v>
      </c>
      <c r="V514" t="s">
        <v>1056</v>
      </c>
      <c r="W514" t="s">
        <v>567</v>
      </c>
      <c r="X514" t="s">
        <v>666</v>
      </c>
    </row>
    <row r="515" spans="8:24" x14ac:dyDescent="0.45">
      <c r="H515" t="s">
        <v>415</v>
      </c>
      <c r="I515" t="s">
        <v>244</v>
      </c>
      <c r="J515">
        <v>3.7966015672833933E-2</v>
      </c>
      <c r="K515" t="s">
        <v>243</v>
      </c>
      <c r="U515" t="s">
        <v>112</v>
      </c>
      <c r="V515" t="s">
        <v>1057</v>
      </c>
      <c r="W515" t="s">
        <v>567</v>
      </c>
      <c r="X515" t="s">
        <v>666</v>
      </c>
    </row>
    <row r="516" spans="8:24" x14ac:dyDescent="0.45">
      <c r="H516" t="s">
        <v>415</v>
      </c>
      <c r="I516" t="s">
        <v>245</v>
      </c>
      <c r="J516">
        <v>3.7966015672833933E-2</v>
      </c>
      <c r="K516" t="s">
        <v>243</v>
      </c>
      <c r="U516" t="s">
        <v>112</v>
      </c>
      <c r="V516" t="s">
        <v>1057</v>
      </c>
      <c r="W516" t="s">
        <v>611</v>
      </c>
      <c r="X516" t="s">
        <v>666</v>
      </c>
    </row>
    <row r="517" spans="8:24" x14ac:dyDescent="0.45">
      <c r="H517" t="s">
        <v>416</v>
      </c>
      <c r="I517" t="s">
        <v>242</v>
      </c>
      <c r="J517">
        <v>1.2291107876762148E-2</v>
      </c>
      <c r="K517" t="s">
        <v>243</v>
      </c>
      <c r="U517" t="s">
        <v>112</v>
      </c>
      <c r="V517" t="s">
        <v>1058</v>
      </c>
      <c r="W517" t="s">
        <v>567</v>
      </c>
      <c r="X517" t="s">
        <v>666</v>
      </c>
    </row>
    <row r="518" spans="8:24" x14ac:dyDescent="0.45">
      <c r="H518" t="s">
        <v>416</v>
      </c>
      <c r="I518" t="s">
        <v>244</v>
      </c>
      <c r="J518">
        <v>1.2291107876762148E-2</v>
      </c>
      <c r="K518" t="s">
        <v>243</v>
      </c>
      <c r="U518" t="s">
        <v>112</v>
      </c>
      <c r="V518" t="s">
        <v>1058</v>
      </c>
      <c r="W518" t="s">
        <v>611</v>
      </c>
      <c r="X518" t="s">
        <v>666</v>
      </c>
    </row>
    <row r="519" spans="8:24" x14ac:dyDescent="0.45">
      <c r="H519" t="s">
        <v>416</v>
      </c>
      <c r="I519" t="s">
        <v>245</v>
      </c>
      <c r="J519">
        <v>1.2291107876762148E-2</v>
      </c>
      <c r="K519" t="s">
        <v>243</v>
      </c>
      <c r="U519" t="s">
        <v>112</v>
      </c>
      <c r="V519" t="s">
        <v>1059</v>
      </c>
      <c r="W519" t="s">
        <v>567</v>
      </c>
      <c r="X519" t="s">
        <v>666</v>
      </c>
    </row>
    <row r="520" spans="8:24" x14ac:dyDescent="0.45">
      <c r="H520" t="s">
        <v>417</v>
      </c>
      <c r="I520" t="s">
        <v>242</v>
      </c>
      <c r="J520">
        <v>4.5813904175743436E-2</v>
      </c>
      <c r="K520" t="s">
        <v>243</v>
      </c>
      <c r="U520" t="s">
        <v>112</v>
      </c>
      <c r="V520" t="s">
        <v>1059</v>
      </c>
      <c r="W520" t="s">
        <v>611</v>
      </c>
      <c r="X520" t="s">
        <v>666</v>
      </c>
    </row>
    <row r="521" spans="8:24" x14ac:dyDescent="0.45">
      <c r="H521" t="s">
        <v>417</v>
      </c>
      <c r="I521" t="s">
        <v>244</v>
      </c>
      <c r="J521">
        <v>4.5813904175743436E-2</v>
      </c>
      <c r="K521" t="s">
        <v>243</v>
      </c>
      <c r="U521" t="s">
        <v>112</v>
      </c>
      <c r="V521" t="s">
        <v>1060</v>
      </c>
      <c r="W521" t="s">
        <v>567</v>
      </c>
      <c r="X521" t="s">
        <v>666</v>
      </c>
    </row>
    <row r="522" spans="8:24" x14ac:dyDescent="0.45">
      <c r="H522" t="s">
        <v>417</v>
      </c>
      <c r="I522" t="s">
        <v>245</v>
      </c>
      <c r="J522">
        <v>4.5813904175743436E-2</v>
      </c>
      <c r="K522" t="s">
        <v>243</v>
      </c>
      <c r="U522" t="s">
        <v>112</v>
      </c>
      <c r="V522" t="s">
        <v>1060</v>
      </c>
      <c r="W522" t="s">
        <v>611</v>
      </c>
      <c r="X522" t="s">
        <v>666</v>
      </c>
    </row>
    <row r="523" spans="8:24" x14ac:dyDescent="0.45">
      <c r="H523" t="s">
        <v>418</v>
      </c>
      <c r="I523" t="s">
        <v>242</v>
      </c>
      <c r="J523">
        <v>4.2235675966022547E-2</v>
      </c>
      <c r="K523" t="s">
        <v>243</v>
      </c>
      <c r="U523" t="s">
        <v>112</v>
      </c>
      <c r="V523" t="s">
        <v>1061</v>
      </c>
      <c r="W523" t="s">
        <v>611</v>
      </c>
      <c r="X523" t="s">
        <v>666</v>
      </c>
    </row>
    <row r="524" spans="8:24" x14ac:dyDescent="0.45">
      <c r="H524" t="s">
        <v>418</v>
      </c>
      <c r="I524" t="s">
        <v>244</v>
      </c>
      <c r="J524">
        <v>4.2235675966022547E-2</v>
      </c>
      <c r="K524" t="s">
        <v>243</v>
      </c>
      <c r="U524" t="s">
        <v>112</v>
      </c>
      <c r="V524" t="s">
        <v>1062</v>
      </c>
      <c r="W524" t="s">
        <v>611</v>
      </c>
      <c r="X524" t="s">
        <v>666</v>
      </c>
    </row>
    <row r="525" spans="8:24" x14ac:dyDescent="0.45">
      <c r="H525" t="s">
        <v>418</v>
      </c>
      <c r="I525" t="s">
        <v>245</v>
      </c>
      <c r="J525">
        <v>4.2235675966022547E-2</v>
      </c>
      <c r="K525" t="s">
        <v>243</v>
      </c>
      <c r="U525" t="s">
        <v>112</v>
      </c>
      <c r="V525" t="s">
        <v>1063</v>
      </c>
      <c r="W525" t="s">
        <v>611</v>
      </c>
      <c r="X525" t="s">
        <v>666</v>
      </c>
    </row>
    <row r="526" spans="8:24" x14ac:dyDescent="0.45">
      <c r="H526" t="s">
        <v>419</v>
      </c>
      <c r="I526" t="s">
        <v>242</v>
      </c>
      <c r="J526">
        <v>1.1215346455244498E-2</v>
      </c>
      <c r="K526" t="s">
        <v>243</v>
      </c>
      <c r="U526" t="s">
        <v>112</v>
      </c>
      <c r="V526" t="s">
        <v>1063</v>
      </c>
      <c r="W526" t="s">
        <v>567</v>
      </c>
      <c r="X526" t="s">
        <v>547</v>
      </c>
    </row>
    <row r="527" spans="8:24" x14ac:dyDescent="0.45">
      <c r="H527" t="s">
        <v>419</v>
      </c>
      <c r="I527" t="s">
        <v>244</v>
      </c>
      <c r="J527">
        <v>1.1215346455244498E-2</v>
      </c>
      <c r="K527" t="s">
        <v>243</v>
      </c>
      <c r="U527" t="s">
        <v>112</v>
      </c>
      <c r="V527" t="s">
        <v>1064</v>
      </c>
      <c r="W527" t="s">
        <v>611</v>
      </c>
      <c r="X527" t="s">
        <v>666</v>
      </c>
    </row>
    <row r="528" spans="8:24" x14ac:dyDescent="0.45">
      <c r="H528" t="s">
        <v>419</v>
      </c>
      <c r="I528" t="s">
        <v>245</v>
      </c>
      <c r="J528">
        <v>1.1215346455244498E-2</v>
      </c>
      <c r="K528" t="s">
        <v>243</v>
      </c>
      <c r="U528" t="s">
        <v>112</v>
      </c>
      <c r="V528" t="s">
        <v>1064</v>
      </c>
      <c r="W528" t="s">
        <v>567</v>
      </c>
      <c r="X528" t="s">
        <v>547</v>
      </c>
    </row>
    <row r="529" spans="8:24" x14ac:dyDescent="0.45">
      <c r="H529" t="s">
        <v>420</v>
      </c>
      <c r="I529" t="s">
        <v>242</v>
      </c>
      <c r="J529">
        <v>1.805566500419031E-2</v>
      </c>
      <c r="K529" t="s">
        <v>243</v>
      </c>
      <c r="U529" t="s">
        <v>112</v>
      </c>
      <c r="V529" t="s">
        <v>1065</v>
      </c>
      <c r="W529" t="s">
        <v>568</v>
      </c>
      <c r="X529" t="s">
        <v>666</v>
      </c>
    </row>
    <row r="530" spans="8:24" x14ac:dyDescent="0.45">
      <c r="H530" t="s">
        <v>420</v>
      </c>
      <c r="I530" t="s">
        <v>244</v>
      </c>
      <c r="J530">
        <v>1.805566500419031E-2</v>
      </c>
      <c r="K530" t="s">
        <v>243</v>
      </c>
      <c r="U530" t="s">
        <v>112</v>
      </c>
      <c r="V530" t="s">
        <v>1066</v>
      </c>
      <c r="W530" t="s">
        <v>568</v>
      </c>
      <c r="X530" t="s">
        <v>666</v>
      </c>
    </row>
    <row r="531" spans="8:24" x14ac:dyDescent="0.45">
      <c r="H531" t="s">
        <v>420</v>
      </c>
      <c r="I531" t="s">
        <v>245</v>
      </c>
      <c r="J531">
        <v>1.805566500419031E-2</v>
      </c>
      <c r="K531" t="s">
        <v>243</v>
      </c>
      <c r="U531" t="s">
        <v>112</v>
      </c>
      <c r="V531" t="s">
        <v>1067</v>
      </c>
      <c r="W531" t="s">
        <v>568</v>
      </c>
      <c r="X531" t="s">
        <v>666</v>
      </c>
    </row>
    <row r="532" spans="8:24" x14ac:dyDescent="0.45">
      <c r="H532" t="s">
        <v>421</v>
      </c>
      <c r="I532" t="s">
        <v>242</v>
      </c>
      <c r="J532">
        <v>1.3586949985506535E-2</v>
      </c>
      <c r="K532" t="s">
        <v>243</v>
      </c>
      <c r="U532" t="s">
        <v>112</v>
      </c>
      <c r="V532" t="s">
        <v>1068</v>
      </c>
      <c r="W532" t="s">
        <v>568</v>
      </c>
      <c r="X532" t="s">
        <v>666</v>
      </c>
    </row>
    <row r="533" spans="8:24" x14ac:dyDescent="0.45">
      <c r="H533" t="s">
        <v>421</v>
      </c>
      <c r="I533" t="s">
        <v>244</v>
      </c>
      <c r="J533">
        <v>1.3586949985506535E-2</v>
      </c>
      <c r="K533" t="s">
        <v>243</v>
      </c>
      <c r="U533" t="s">
        <v>112</v>
      </c>
      <c r="V533" t="s">
        <v>1069</v>
      </c>
      <c r="W533" t="s">
        <v>568</v>
      </c>
      <c r="X533" t="s">
        <v>666</v>
      </c>
    </row>
    <row r="534" spans="8:24" x14ac:dyDescent="0.45">
      <c r="H534" t="s">
        <v>421</v>
      </c>
      <c r="I534" t="s">
        <v>245</v>
      </c>
      <c r="J534">
        <v>1.3586949985506535E-2</v>
      </c>
      <c r="K534" t="s">
        <v>243</v>
      </c>
      <c r="U534" t="s">
        <v>112</v>
      </c>
      <c r="V534" t="s">
        <v>1070</v>
      </c>
      <c r="W534" t="s">
        <v>568</v>
      </c>
      <c r="X534" t="s">
        <v>666</v>
      </c>
    </row>
    <row r="535" spans="8:24" x14ac:dyDescent="0.45">
      <c r="H535" t="s">
        <v>422</v>
      </c>
      <c r="I535" t="s">
        <v>242</v>
      </c>
      <c r="J535">
        <v>4.3007056057302595E-2</v>
      </c>
      <c r="K535" t="s">
        <v>243</v>
      </c>
      <c r="U535" t="s">
        <v>112</v>
      </c>
      <c r="V535" t="s">
        <v>1071</v>
      </c>
      <c r="W535" t="s">
        <v>568</v>
      </c>
      <c r="X535" t="s">
        <v>666</v>
      </c>
    </row>
    <row r="536" spans="8:24" x14ac:dyDescent="0.45">
      <c r="H536" t="s">
        <v>422</v>
      </c>
      <c r="I536" t="s">
        <v>244</v>
      </c>
      <c r="J536">
        <v>4.3007056057302595E-2</v>
      </c>
      <c r="K536" t="s">
        <v>243</v>
      </c>
      <c r="U536" t="s">
        <v>112</v>
      </c>
      <c r="V536" t="s">
        <v>1072</v>
      </c>
      <c r="W536" t="s">
        <v>568</v>
      </c>
      <c r="X536" t="s">
        <v>666</v>
      </c>
    </row>
    <row r="537" spans="8:24" x14ac:dyDescent="0.45">
      <c r="H537" t="s">
        <v>422</v>
      </c>
      <c r="I537" t="s">
        <v>245</v>
      </c>
      <c r="J537">
        <v>4.3007056057302595E-2</v>
      </c>
      <c r="K537" t="s">
        <v>243</v>
      </c>
      <c r="U537" t="s">
        <v>112</v>
      </c>
      <c r="V537" t="s">
        <v>1073</v>
      </c>
      <c r="W537" t="s">
        <v>568</v>
      </c>
      <c r="X537" t="s">
        <v>666</v>
      </c>
    </row>
    <row r="538" spans="8:24" x14ac:dyDescent="0.45">
      <c r="H538" t="s">
        <v>423</v>
      </c>
      <c r="I538" t="s">
        <v>242</v>
      </c>
      <c r="J538">
        <v>4.4696313692848996E-4</v>
      </c>
      <c r="K538" t="s">
        <v>243</v>
      </c>
      <c r="U538" t="s">
        <v>112</v>
      </c>
      <c r="V538" t="s">
        <v>1074</v>
      </c>
      <c r="W538" t="s">
        <v>568</v>
      </c>
      <c r="X538" t="s">
        <v>666</v>
      </c>
    </row>
    <row r="539" spans="8:24" x14ac:dyDescent="0.45">
      <c r="H539" t="s">
        <v>423</v>
      </c>
      <c r="I539" t="s">
        <v>244</v>
      </c>
      <c r="J539">
        <v>4.4696313692848996E-4</v>
      </c>
      <c r="K539" t="s">
        <v>243</v>
      </c>
      <c r="U539" t="s">
        <v>112</v>
      </c>
      <c r="V539" t="s">
        <v>1075</v>
      </c>
      <c r="W539" t="s">
        <v>568</v>
      </c>
      <c r="X539" t="s">
        <v>666</v>
      </c>
    </row>
    <row r="540" spans="8:24" x14ac:dyDescent="0.45">
      <c r="H540" t="s">
        <v>423</v>
      </c>
      <c r="I540" t="s">
        <v>245</v>
      </c>
      <c r="J540">
        <v>4.4696313692848996E-4</v>
      </c>
      <c r="K540" t="s">
        <v>243</v>
      </c>
      <c r="U540" t="s">
        <v>112</v>
      </c>
      <c r="V540" t="s">
        <v>1076</v>
      </c>
      <c r="W540" t="s">
        <v>568</v>
      </c>
      <c r="X540" t="s">
        <v>666</v>
      </c>
    </row>
    <row r="541" spans="8:24" x14ac:dyDescent="0.45">
      <c r="H541" t="s">
        <v>424</v>
      </c>
      <c r="I541" t="s">
        <v>242</v>
      </c>
      <c r="J541">
        <v>2.0567792762250802E-2</v>
      </c>
      <c r="K541" t="s">
        <v>243</v>
      </c>
      <c r="U541" t="s">
        <v>112</v>
      </c>
      <c r="V541" t="s">
        <v>1076</v>
      </c>
      <c r="W541" t="s">
        <v>657</v>
      </c>
      <c r="X541" t="s">
        <v>666</v>
      </c>
    </row>
    <row r="542" spans="8:24" x14ac:dyDescent="0.45">
      <c r="H542" t="s">
        <v>424</v>
      </c>
      <c r="I542" t="s">
        <v>244</v>
      </c>
      <c r="J542">
        <v>2.0567792762250802E-2</v>
      </c>
      <c r="K542" t="s">
        <v>243</v>
      </c>
      <c r="U542" t="s">
        <v>112</v>
      </c>
      <c r="V542" t="s">
        <v>1077</v>
      </c>
      <c r="W542" t="s">
        <v>568</v>
      </c>
      <c r="X542" t="s">
        <v>666</v>
      </c>
    </row>
    <row r="543" spans="8:24" x14ac:dyDescent="0.45">
      <c r="H543" t="s">
        <v>424</v>
      </c>
      <c r="I543" t="s">
        <v>245</v>
      </c>
      <c r="J543">
        <v>2.0567792762250802E-2</v>
      </c>
      <c r="K543" t="s">
        <v>243</v>
      </c>
      <c r="U543" t="s">
        <v>112</v>
      </c>
      <c r="V543" t="s">
        <v>1077</v>
      </c>
      <c r="W543" t="s">
        <v>657</v>
      </c>
      <c r="X543" t="s">
        <v>666</v>
      </c>
    </row>
    <row r="544" spans="8:24" x14ac:dyDescent="0.45">
      <c r="H544" t="s">
        <v>425</v>
      </c>
      <c r="I544" t="s">
        <v>242</v>
      </c>
      <c r="J544">
        <v>3.2176612059093695E-2</v>
      </c>
      <c r="K544" t="s">
        <v>243</v>
      </c>
      <c r="U544" t="s">
        <v>112</v>
      </c>
      <c r="V544" t="s">
        <v>1078</v>
      </c>
      <c r="W544" t="s">
        <v>568</v>
      </c>
      <c r="X544" t="s">
        <v>666</v>
      </c>
    </row>
    <row r="545" spans="8:24" x14ac:dyDescent="0.45">
      <c r="H545" t="s">
        <v>425</v>
      </c>
      <c r="I545" t="s">
        <v>244</v>
      </c>
      <c r="J545">
        <v>3.2176612059093695E-2</v>
      </c>
      <c r="K545" t="s">
        <v>243</v>
      </c>
      <c r="U545" t="s">
        <v>112</v>
      </c>
      <c r="V545" t="s">
        <v>1078</v>
      </c>
      <c r="W545" t="s">
        <v>657</v>
      </c>
      <c r="X545" t="s">
        <v>666</v>
      </c>
    </row>
    <row r="546" spans="8:24" x14ac:dyDescent="0.45">
      <c r="H546" t="s">
        <v>425</v>
      </c>
      <c r="I546" t="s">
        <v>245</v>
      </c>
      <c r="J546">
        <v>3.2176612059093695E-2</v>
      </c>
      <c r="K546" t="s">
        <v>243</v>
      </c>
      <c r="U546" t="s">
        <v>112</v>
      </c>
      <c r="V546" t="s">
        <v>1079</v>
      </c>
      <c r="W546" t="s">
        <v>568</v>
      </c>
      <c r="X546" t="s">
        <v>666</v>
      </c>
    </row>
    <row r="547" spans="8:24" x14ac:dyDescent="0.45">
      <c r="H547" t="s">
        <v>426</v>
      </c>
      <c r="I547" t="s">
        <v>242</v>
      </c>
      <c r="J547">
        <v>3.4487997519665198E-4</v>
      </c>
      <c r="K547" t="s">
        <v>243</v>
      </c>
      <c r="U547" t="s">
        <v>112</v>
      </c>
      <c r="V547" t="s">
        <v>1079</v>
      </c>
      <c r="W547" t="s">
        <v>657</v>
      </c>
      <c r="X547" t="s">
        <v>666</v>
      </c>
    </row>
    <row r="548" spans="8:24" x14ac:dyDescent="0.45">
      <c r="H548" t="s">
        <v>426</v>
      </c>
      <c r="I548" t="s">
        <v>244</v>
      </c>
      <c r="J548">
        <v>3.4487997519665198E-4</v>
      </c>
      <c r="K548" t="s">
        <v>243</v>
      </c>
      <c r="U548" t="s">
        <v>112</v>
      </c>
      <c r="V548" t="s">
        <v>1080</v>
      </c>
      <c r="W548" t="s">
        <v>657</v>
      </c>
      <c r="X548" t="s">
        <v>666</v>
      </c>
    </row>
    <row r="549" spans="8:24" x14ac:dyDescent="0.45">
      <c r="H549" t="s">
        <v>426</v>
      </c>
      <c r="I549" t="s">
        <v>245</v>
      </c>
      <c r="J549">
        <v>3.4487997519665198E-4</v>
      </c>
      <c r="K549" t="s">
        <v>243</v>
      </c>
      <c r="U549" t="s">
        <v>112</v>
      </c>
      <c r="V549" t="s">
        <v>1081</v>
      </c>
      <c r="W549" t="s">
        <v>657</v>
      </c>
      <c r="X549" t="s">
        <v>666</v>
      </c>
    </row>
    <row r="550" spans="8:24" x14ac:dyDescent="0.45">
      <c r="H550" t="s">
        <v>427</v>
      </c>
      <c r="I550" t="s">
        <v>242</v>
      </c>
      <c r="J550">
        <v>2.1211050243411057E-2</v>
      </c>
      <c r="K550" t="s">
        <v>243</v>
      </c>
      <c r="U550" t="s">
        <v>112</v>
      </c>
      <c r="V550" t="s">
        <v>1082</v>
      </c>
      <c r="W550" t="s">
        <v>657</v>
      </c>
      <c r="X550" t="s">
        <v>666</v>
      </c>
    </row>
    <row r="551" spans="8:24" x14ac:dyDescent="0.45">
      <c r="H551" t="s">
        <v>427</v>
      </c>
      <c r="I551" t="s">
        <v>244</v>
      </c>
      <c r="J551">
        <v>2.1211050243411057E-2</v>
      </c>
      <c r="K551" t="s">
        <v>243</v>
      </c>
      <c r="U551" t="s">
        <v>112</v>
      </c>
      <c r="V551" t="s">
        <v>1082</v>
      </c>
      <c r="W551" t="s">
        <v>568</v>
      </c>
      <c r="X551" t="s">
        <v>547</v>
      </c>
    </row>
    <row r="552" spans="8:24" x14ac:dyDescent="0.45">
      <c r="H552" t="s">
        <v>427</v>
      </c>
      <c r="I552" t="s">
        <v>245</v>
      </c>
      <c r="J552">
        <v>2.1211050243411057E-2</v>
      </c>
      <c r="K552" t="s">
        <v>243</v>
      </c>
      <c r="U552" t="s">
        <v>112</v>
      </c>
      <c r="V552" t="s">
        <v>1083</v>
      </c>
      <c r="W552" t="s">
        <v>657</v>
      </c>
      <c r="X552" t="s">
        <v>666</v>
      </c>
    </row>
    <row r="553" spans="8:24" x14ac:dyDescent="0.45">
      <c r="H553" t="s">
        <v>428</v>
      </c>
      <c r="I553" t="s">
        <v>242</v>
      </c>
      <c r="J553">
        <v>3.6889328746051043E-3</v>
      </c>
      <c r="K553" t="s">
        <v>243</v>
      </c>
      <c r="U553" t="s">
        <v>112</v>
      </c>
      <c r="V553" t="s">
        <v>1083</v>
      </c>
      <c r="W553" t="s">
        <v>568</v>
      </c>
      <c r="X553" t="s">
        <v>547</v>
      </c>
    </row>
    <row r="554" spans="8:24" x14ac:dyDescent="0.45">
      <c r="H554" t="s">
        <v>428</v>
      </c>
      <c r="I554" t="s">
        <v>244</v>
      </c>
      <c r="J554">
        <v>3.6889328746051043E-3</v>
      </c>
      <c r="K554" t="s">
        <v>243</v>
      </c>
      <c r="U554" t="s">
        <v>112</v>
      </c>
      <c r="V554" t="s">
        <v>1084</v>
      </c>
      <c r="W554" t="s">
        <v>569</v>
      </c>
      <c r="X554" t="s">
        <v>666</v>
      </c>
    </row>
    <row r="555" spans="8:24" x14ac:dyDescent="0.45">
      <c r="H555" t="s">
        <v>428</v>
      </c>
      <c r="I555" t="s">
        <v>245</v>
      </c>
      <c r="J555">
        <v>3.6889328746051043E-3</v>
      </c>
      <c r="K555" t="s">
        <v>243</v>
      </c>
      <c r="U555" t="s">
        <v>112</v>
      </c>
      <c r="V555" t="s">
        <v>1085</v>
      </c>
      <c r="W555" t="s">
        <v>569</v>
      </c>
      <c r="X555" t="s">
        <v>666</v>
      </c>
    </row>
    <row r="556" spans="8:24" x14ac:dyDescent="0.45">
      <c r="H556" t="s">
        <v>429</v>
      </c>
      <c r="I556" t="s">
        <v>242</v>
      </c>
      <c r="J556">
        <v>1.2489417127963511E-2</v>
      </c>
      <c r="K556" t="s">
        <v>243</v>
      </c>
      <c r="U556" t="s">
        <v>112</v>
      </c>
      <c r="V556" t="s">
        <v>1086</v>
      </c>
      <c r="W556" t="s">
        <v>569</v>
      </c>
      <c r="X556" t="s">
        <v>666</v>
      </c>
    </row>
    <row r="557" spans="8:24" x14ac:dyDescent="0.45">
      <c r="H557" t="s">
        <v>429</v>
      </c>
      <c r="I557" t="s">
        <v>244</v>
      </c>
      <c r="J557">
        <v>1.2489417127963511E-2</v>
      </c>
      <c r="K557" t="s">
        <v>243</v>
      </c>
      <c r="U557" t="s">
        <v>112</v>
      </c>
      <c r="V557" t="s">
        <v>1087</v>
      </c>
      <c r="W557" t="s">
        <v>569</v>
      </c>
      <c r="X557" t="s">
        <v>666</v>
      </c>
    </row>
    <row r="558" spans="8:24" x14ac:dyDescent="0.45">
      <c r="H558" t="s">
        <v>429</v>
      </c>
      <c r="I558" t="s">
        <v>245</v>
      </c>
      <c r="J558">
        <v>1.2489417127963511E-2</v>
      </c>
      <c r="K558" t="s">
        <v>243</v>
      </c>
      <c r="U558" t="s">
        <v>112</v>
      </c>
      <c r="V558" t="s">
        <v>1088</v>
      </c>
      <c r="W558" t="s">
        <v>569</v>
      </c>
      <c r="X558" t="s">
        <v>666</v>
      </c>
    </row>
    <row r="559" spans="8:24" x14ac:dyDescent="0.45">
      <c r="H559" t="s">
        <v>430</v>
      </c>
      <c r="I559" t="s">
        <v>242</v>
      </c>
      <c r="J559">
        <v>9.6442343160286191E-4</v>
      </c>
      <c r="K559" t="s">
        <v>243</v>
      </c>
      <c r="U559" t="s">
        <v>112</v>
      </c>
      <c r="V559" t="s">
        <v>1089</v>
      </c>
      <c r="W559" t="s">
        <v>569</v>
      </c>
      <c r="X559" t="s">
        <v>666</v>
      </c>
    </row>
    <row r="560" spans="8:24" x14ac:dyDescent="0.45">
      <c r="H560" t="s">
        <v>430</v>
      </c>
      <c r="I560" t="s">
        <v>244</v>
      </c>
      <c r="J560">
        <v>9.6442343160286191E-4</v>
      </c>
      <c r="K560" t="s">
        <v>243</v>
      </c>
      <c r="U560" t="s">
        <v>112</v>
      </c>
      <c r="V560" t="s">
        <v>1090</v>
      </c>
      <c r="W560" t="s">
        <v>569</v>
      </c>
      <c r="X560" t="s">
        <v>666</v>
      </c>
    </row>
    <row r="561" spans="8:24" x14ac:dyDescent="0.45">
      <c r="H561" t="s">
        <v>430</v>
      </c>
      <c r="I561" t="s">
        <v>245</v>
      </c>
      <c r="J561">
        <v>9.6442343160286191E-4</v>
      </c>
      <c r="K561" t="s">
        <v>243</v>
      </c>
      <c r="U561" t="s">
        <v>112</v>
      </c>
      <c r="V561" t="s">
        <v>1091</v>
      </c>
      <c r="W561" t="s">
        <v>569</v>
      </c>
      <c r="X561" t="s">
        <v>666</v>
      </c>
    </row>
    <row r="562" spans="8:24" x14ac:dyDescent="0.45">
      <c r="H562" t="s">
        <v>431</v>
      </c>
      <c r="I562" t="s">
        <v>242</v>
      </c>
      <c r="J562">
        <v>5.0671000109406873E-3</v>
      </c>
      <c r="K562" t="s">
        <v>243</v>
      </c>
      <c r="U562" t="s">
        <v>112</v>
      </c>
      <c r="V562" t="s">
        <v>1092</v>
      </c>
      <c r="W562" t="s">
        <v>569</v>
      </c>
      <c r="X562" t="s">
        <v>666</v>
      </c>
    </row>
    <row r="563" spans="8:24" x14ac:dyDescent="0.45">
      <c r="H563" t="s">
        <v>431</v>
      </c>
      <c r="I563" t="s">
        <v>244</v>
      </c>
      <c r="J563">
        <v>5.0671000109406873E-3</v>
      </c>
      <c r="K563" t="s">
        <v>243</v>
      </c>
      <c r="U563" t="s">
        <v>112</v>
      </c>
      <c r="V563" t="s">
        <v>1093</v>
      </c>
      <c r="W563" t="s">
        <v>569</v>
      </c>
      <c r="X563" t="s">
        <v>666</v>
      </c>
    </row>
    <row r="564" spans="8:24" x14ac:dyDescent="0.45">
      <c r="H564" t="s">
        <v>431</v>
      </c>
      <c r="I564" t="s">
        <v>245</v>
      </c>
      <c r="J564">
        <v>5.0671000109406873E-3</v>
      </c>
      <c r="K564" t="s">
        <v>243</v>
      </c>
      <c r="U564" t="s">
        <v>112</v>
      </c>
      <c r="V564" t="s">
        <v>1094</v>
      </c>
      <c r="W564" t="s">
        <v>569</v>
      </c>
      <c r="X564" t="s">
        <v>666</v>
      </c>
    </row>
    <row r="565" spans="8:24" x14ac:dyDescent="0.45">
      <c r="H565" t="s">
        <v>432</v>
      </c>
      <c r="I565" t="s">
        <v>242</v>
      </c>
      <c r="J565">
        <v>6.9898960424319319E-3</v>
      </c>
      <c r="K565" t="s">
        <v>243</v>
      </c>
      <c r="U565" t="s">
        <v>112</v>
      </c>
      <c r="V565" t="s">
        <v>1095</v>
      </c>
      <c r="W565" t="s">
        <v>569</v>
      </c>
      <c r="X565" t="s">
        <v>666</v>
      </c>
    </row>
    <row r="566" spans="8:24" x14ac:dyDescent="0.45">
      <c r="H566" t="s">
        <v>432</v>
      </c>
      <c r="I566" t="s">
        <v>244</v>
      </c>
      <c r="J566">
        <v>6.9898960424319319E-3</v>
      </c>
      <c r="K566" t="s">
        <v>243</v>
      </c>
      <c r="U566" t="s">
        <v>112</v>
      </c>
      <c r="V566" t="s">
        <v>1095</v>
      </c>
      <c r="W566" t="s">
        <v>642</v>
      </c>
      <c r="X566" t="s">
        <v>666</v>
      </c>
    </row>
    <row r="567" spans="8:24" x14ac:dyDescent="0.45">
      <c r="H567" t="s">
        <v>432</v>
      </c>
      <c r="I567" t="s">
        <v>245</v>
      </c>
      <c r="J567">
        <v>6.9898960424319319E-3</v>
      </c>
      <c r="K567" t="s">
        <v>243</v>
      </c>
      <c r="U567" t="s">
        <v>112</v>
      </c>
      <c r="V567" t="s">
        <v>1096</v>
      </c>
      <c r="W567" t="s">
        <v>569</v>
      </c>
      <c r="X567" t="s">
        <v>666</v>
      </c>
    </row>
    <row r="568" spans="8:24" x14ac:dyDescent="0.45">
      <c r="H568" t="s">
        <v>433</v>
      </c>
      <c r="I568" t="s">
        <v>242</v>
      </c>
      <c r="J568">
        <v>1.2223340756300939E-2</v>
      </c>
      <c r="K568" t="s">
        <v>243</v>
      </c>
      <c r="U568" t="s">
        <v>112</v>
      </c>
      <c r="V568" t="s">
        <v>1096</v>
      </c>
      <c r="W568" t="s">
        <v>642</v>
      </c>
      <c r="X568" t="s">
        <v>666</v>
      </c>
    </row>
    <row r="569" spans="8:24" x14ac:dyDescent="0.45">
      <c r="H569" t="s">
        <v>433</v>
      </c>
      <c r="I569" t="s">
        <v>244</v>
      </c>
      <c r="J569">
        <v>1.2223340756300939E-2</v>
      </c>
      <c r="K569" t="s">
        <v>243</v>
      </c>
      <c r="U569" t="s">
        <v>112</v>
      </c>
      <c r="V569" t="s">
        <v>1097</v>
      </c>
      <c r="W569" t="s">
        <v>569</v>
      </c>
      <c r="X569" t="s">
        <v>666</v>
      </c>
    </row>
    <row r="570" spans="8:24" x14ac:dyDescent="0.45">
      <c r="H570" t="s">
        <v>433</v>
      </c>
      <c r="I570" t="s">
        <v>245</v>
      </c>
      <c r="J570">
        <v>1.2223340756300939E-2</v>
      </c>
      <c r="K570" t="s">
        <v>243</v>
      </c>
      <c r="U570" t="s">
        <v>112</v>
      </c>
      <c r="V570" t="s">
        <v>1097</v>
      </c>
      <c r="W570" t="s">
        <v>642</v>
      </c>
      <c r="X570" t="s">
        <v>666</v>
      </c>
    </row>
    <row r="571" spans="8:24" x14ac:dyDescent="0.45">
      <c r="H571" t="s">
        <v>434</v>
      </c>
      <c r="I571" t="s">
        <v>242</v>
      </c>
      <c r="J571">
        <v>3.6642379503561999E-3</v>
      </c>
      <c r="K571" t="s">
        <v>243</v>
      </c>
      <c r="U571" t="s">
        <v>112</v>
      </c>
      <c r="V571" t="s">
        <v>1098</v>
      </c>
      <c r="W571" t="s">
        <v>569</v>
      </c>
      <c r="X571" t="s">
        <v>666</v>
      </c>
    </row>
    <row r="572" spans="8:24" x14ac:dyDescent="0.45">
      <c r="H572" t="s">
        <v>434</v>
      </c>
      <c r="I572" t="s">
        <v>244</v>
      </c>
      <c r="J572">
        <v>3.6642379503561999E-3</v>
      </c>
      <c r="K572" t="s">
        <v>243</v>
      </c>
      <c r="U572" t="s">
        <v>112</v>
      </c>
      <c r="V572" t="s">
        <v>1098</v>
      </c>
      <c r="W572" t="s">
        <v>642</v>
      </c>
      <c r="X572" t="s">
        <v>666</v>
      </c>
    </row>
    <row r="573" spans="8:24" x14ac:dyDescent="0.45">
      <c r="H573" t="s">
        <v>434</v>
      </c>
      <c r="I573" t="s">
        <v>245</v>
      </c>
      <c r="J573">
        <v>3.6642379503561999E-3</v>
      </c>
      <c r="K573" t="s">
        <v>243</v>
      </c>
      <c r="U573" t="s">
        <v>112</v>
      </c>
      <c r="V573" t="s">
        <v>1099</v>
      </c>
      <c r="W573" t="s">
        <v>642</v>
      </c>
      <c r="X573" t="s">
        <v>666</v>
      </c>
    </row>
    <row r="574" spans="8:24" x14ac:dyDescent="0.45">
      <c r="H574" t="s">
        <v>435</v>
      </c>
      <c r="I574" t="s">
        <v>242</v>
      </c>
      <c r="J574">
        <v>1.1327484701196917E-2</v>
      </c>
      <c r="K574" t="s">
        <v>243</v>
      </c>
      <c r="U574" t="s">
        <v>112</v>
      </c>
      <c r="V574" t="s">
        <v>1100</v>
      </c>
      <c r="W574" t="s">
        <v>642</v>
      </c>
      <c r="X574" t="s">
        <v>666</v>
      </c>
    </row>
    <row r="575" spans="8:24" x14ac:dyDescent="0.45">
      <c r="H575" t="s">
        <v>435</v>
      </c>
      <c r="I575" t="s">
        <v>244</v>
      </c>
      <c r="J575">
        <v>1.1327484701196917E-2</v>
      </c>
      <c r="K575" t="s">
        <v>243</v>
      </c>
      <c r="U575" t="s">
        <v>112</v>
      </c>
      <c r="V575" t="s">
        <v>1101</v>
      </c>
      <c r="W575" t="s">
        <v>642</v>
      </c>
      <c r="X575" t="s">
        <v>666</v>
      </c>
    </row>
    <row r="576" spans="8:24" x14ac:dyDescent="0.45">
      <c r="H576" t="s">
        <v>435</v>
      </c>
      <c r="I576" t="s">
        <v>245</v>
      </c>
      <c r="J576">
        <v>1.1327484701196917E-2</v>
      </c>
      <c r="K576" t="s">
        <v>243</v>
      </c>
      <c r="U576" t="s">
        <v>112</v>
      </c>
      <c r="V576" t="s">
        <v>1101</v>
      </c>
      <c r="W576" t="s">
        <v>569</v>
      </c>
      <c r="X576" t="s">
        <v>547</v>
      </c>
    </row>
    <row r="577" spans="8:24" x14ac:dyDescent="0.45">
      <c r="H577" t="s">
        <v>436</v>
      </c>
      <c r="I577" t="s">
        <v>242</v>
      </c>
      <c r="J577">
        <v>1.4820510785805061E-3</v>
      </c>
      <c r="K577" t="s">
        <v>243</v>
      </c>
      <c r="U577" t="s">
        <v>112</v>
      </c>
      <c r="V577" t="s">
        <v>1102</v>
      </c>
      <c r="W577" t="s">
        <v>642</v>
      </c>
      <c r="X577" t="s">
        <v>666</v>
      </c>
    </row>
    <row r="578" spans="8:24" x14ac:dyDescent="0.45">
      <c r="H578" t="s">
        <v>436</v>
      </c>
      <c r="I578" t="s">
        <v>244</v>
      </c>
      <c r="J578">
        <v>1.4820510785805061E-3</v>
      </c>
      <c r="K578" t="s">
        <v>243</v>
      </c>
      <c r="U578" t="s">
        <v>112</v>
      </c>
      <c r="V578" t="s">
        <v>1102</v>
      </c>
      <c r="W578" t="s">
        <v>569</v>
      </c>
      <c r="X578" t="s">
        <v>547</v>
      </c>
    </row>
    <row r="579" spans="8:24" x14ac:dyDescent="0.45">
      <c r="H579" t="s">
        <v>436</v>
      </c>
      <c r="I579" t="s">
        <v>245</v>
      </c>
      <c r="J579">
        <v>1.4820510785805061E-3</v>
      </c>
      <c r="K579" t="s">
        <v>243</v>
      </c>
      <c r="U579" t="s">
        <v>112</v>
      </c>
      <c r="V579" t="s">
        <v>1103</v>
      </c>
      <c r="W579" t="s">
        <v>570</v>
      </c>
      <c r="X579" t="s">
        <v>666</v>
      </c>
    </row>
    <row r="580" spans="8:24" x14ac:dyDescent="0.45">
      <c r="H580" t="s">
        <v>437</v>
      </c>
      <c r="I580" t="s">
        <v>242</v>
      </c>
      <c r="J580">
        <v>3.1849535560118332E-2</v>
      </c>
      <c r="K580" t="s">
        <v>243</v>
      </c>
      <c r="U580" t="s">
        <v>112</v>
      </c>
      <c r="V580" t="s">
        <v>1104</v>
      </c>
      <c r="W580" t="s">
        <v>570</v>
      </c>
      <c r="X580" t="s">
        <v>666</v>
      </c>
    </row>
    <row r="581" spans="8:24" x14ac:dyDescent="0.45">
      <c r="H581" t="s">
        <v>437</v>
      </c>
      <c r="I581" t="s">
        <v>244</v>
      </c>
      <c r="J581">
        <v>3.1849535560118332E-2</v>
      </c>
      <c r="K581" t="s">
        <v>243</v>
      </c>
      <c r="U581" t="s">
        <v>112</v>
      </c>
      <c r="V581" t="s">
        <v>1105</v>
      </c>
      <c r="W581" t="s">
        <v>570</v>
      </c>
      <c r="X581" t="s">
        <v>666</v>
      </c>
    </row>
    <row r="582" spans="8:24" x14ac:dyDescent="0.45">
      <c r="H582" t="s">
        <v>437</v>
      </c>
      <c r="I582" t="s">
        <v>245</v>
      </c>
      <c r="J582">
        <v>3.1849535560118332E-2</v>
      </c>
      <c r="K582" t="s">
        <v>243</v>
      </c>
      <c r="U582" t="s">
        <v>112</v>
      </c>
      <c r="V582" t="s">
        <v>1106</v>
      </c>
      <c r="W582" t="s">
        <v>570</v>
      </c>
      <c r="X582" t="s">
        <v>666</v>
      </c>
    </row>
    <row r="583" spans="8:24" x14ac:dyDescent="0.45">
      <c r="H583" t="s">
        <v>438</v>
      </c>
      <c r="I583" t="s">
        <v>242</v>
      </c>
      <c r="J583">
        <v>1.0749580589744135E-2</v>
      </c>
      <c r="K583" t="s">
        <v>243</v>
      </c>
      <c r="U583" t="s">
        <v>112</v>
      </c>
      <c r="V583" t="s">
        <v>1107</v>
      </c>
      <c r="W583" t="s">
        <v>570</v>
      </c>
      <c r="X583" t="s">
        <v>666</v>
      </c>
    </row>
    <row r="584" spans="8:24" x14ac:dyDescent="0.45">
      <c r="H584" t="s">
        <v>438</v>
      </c>
      <c r="I584" t="s">
        <v>244</v>
      </c>
      <c r="J584">
        <v>1.0749580589744135E-2</v>
      </c>
      <c r="K584" t="s">
        <v>243</v>
      </c>
      <c r="U584" t="s">
        <v>112</v>
      </c>
      <c r="V584" t="s">
        <v>1108</v>
      </c>
      <c r="W584" t="s">
        <v>570</v>
      </c>
      <c r="X584" t="s">
        <v>666</v>
      </c>
    </row>
    <row r="585" spans="8:24" x14ac:dyDescent="0.45">
      <c r="H585" t="s">
        <v>438</v>
      </c>
      <c r="I585" t="s">
        <v>245</v>
      </c>
      <c r="J585">
        <v>1.0749580589744135E-2</v>
      </c>
      <c r="K585" t="s">
        <v>243</v>
      </c>
      <c r="U585" t="s">
        <v>112</v>
      </c>
      <c r="V585" t="s">
        <v>1109</v>
      </c>
      <c r="W585" t="s">
        <v>570</v>
      </c>
      <c r="X585" t="s">
        <v>666</v>
      </c>
    </row>
    <row r="586" spans="8:24" x14ac:dyDescent="0.45">
      <c r="H586" t="s">
        <v>439</v>
      </c>
      <c r="I586" t="s">
        <v>242</v>
      </c>
      <c r="J586">
        <v>3.3808993441267837E-2</v>
      </c>
      <c r="K586" t="s">
        <v>243</v>
      </c>
      <c r="U586" t="s">
        <v>112</v>
      </c>
      <c r="V586" t="s">
        <v>1110</v>
      </c>
      <c r="W586" t="s">
        <v>570</v>
      </c>
      <c r="X586" t="s">
        <v>666</v>
      </c>
    </row>
    <row r="587" spans="8:24" x14ac:dyDescent="0.45">
      <c r="H587" t="s">
        <v>439</v>
      </c>
      <c r="I587" t="s">
        <v>244</v>
      </c>
      <c r="J587">
        <v>3.3808993441267837E-2</v>
      </c>
      <c r="K587" t="s">
        <v>243</v>
      </c>
      <c r="U587" t="s">
        <v>112</v>
      </c>
      <c r="V587" t="s">
        <v>1111</v>
      </c>
      <c r="W587" t="s">
        <v>570</v>
      </c>
      <c r="X587" t="s">
        <v>666</v>
      </c>
    </row>
    <row r="588" spans="8:24" x14ac:dyDescent="0.45">
      <c r="H588" t="s">
        <v>439</v>
      </c>
      <c r="I588" t="s">
        <v>245</v>
      </c>
      <c r="J588">
        <v>3.3808993441267837E-2</v>
      </c>
      <c r="K588" t="s">
        <v>243</v>
      </c>
      <c r="U588" t="s">
        <v>112</v>
      </c>
      <c r="V588" t="s">
        <v>1112</v>
      </c>
      <c r="W588" t="s">
        <v>570</v>
      </c>
      <c r="X588" t="s">
        <v>666</v>
      </c>
    </row>
    <row r="589" spans="8:24" x14ac:dyDescent="0.45">
      <c r="H589" t="s">
        <v>440</v>
      </c>
      <c r="I589" t="s">
        <v>242</v>
      </c>
      <c r="J589">
        <v>1.1522518522376721E-2</v>
      </c>
      <c r="K589" t="s">
        <v>243</v>
      </c>
      <c r="U589" t="s">
        <v>112</v>
      </c>
      <c r="V589" t="s">
        <v>1113</v>
      </c>
      <c r="W589" t="s">
        <v>570</v>
      </c>
      <c r="X589" t="s">
        <v>666</v>
      </c>
    </row>
    <row r="590" spans="8:24" x14ac:dyDescent="0.45">
      <c r="H590" t="s">
        <v>440</v>
      </c>
      <c r="I590" t="s">
        <v>244</v>
      </c>
      <c r="J590">
        <v>1.1522518522376721E-2</v>
      </c>
      <c r="K590" t="s">
        <v>243</v>
      </c>
      <c r="U590" t="s">
        <v>112</v>
      </c>
      <c r="V590" t="s">
        <v>1114</v>
      </c>
      <c r="W590" t="s">
        <v>570</v>
      </c>
      <c r="X590" t="s">
        <v>666</v>
      </c>
    </row>
    <row r="591" spans="8:24" x14ac:dyDescent="0.45">
      <c r="H591" t="s">
        <v>440</v>
      </c>
      <c r="I591" t="s">
        <v>245</v>
      </c>
      <c r="J591">
        <v>1.1522518522376721E-2</v>
      </c>
      <c r="K591" t="s">
        <v>243</v>
      </c>
      <c r="U591" t="s">
        <v>112</v>
      </c>
      <c r="V591" t="s">
        <v>1114</v>
      </c>
      <c r="W591" t="s">
        <v>660</v>
      </c>
      <c r="X591" t="s">
        <v>666</v>
      </c>
    </row>
    <row r="592" spans="8:24" x14ac:dyDescent="0.45">
      <c r="H592" t="s">
        <v>441</v>
      </c>
      <c r="I592" t="s">
        <v>242</v>
      </c>
      <c r="J592">
        <v>3.7632083342255249E-2</v>
      </c>
      <c r="K592" t="s">
        <v>243</v>
      </c>
      <c r="U592" t="s">
        <v>112</v>
      </c>
      <c r="V592" t="s">
        <v>1115</v>
      </c>
      <c r="W592" t="s">
        <v>570</v>
      </c>
      <c r="X592" t="s">
        <v>666</v>
      </c>
    </row>
    <row r="593" spans="8:24" x14ac:dyDescent="0.45">
      <c r="H593" t="s">
        <v>441</v>
      </c>
      <c r="I593" t="s">
        <v>244</v>
      </c>
      <c r="J593">
        <v>3.7632083342255249E-2</v>
      </c>
      <c r="K593" t="s">
        <v>243</v>
      </c>
      <c r="U593" t="s">
        <v>112</v>
      </c>
      <c r="V593" t="s">
        <v>1115</v>
      </c>
      <c r="W593" t="s">
        <v>660</v>
      </c>
      <c r="X593" t="s">
        <v>666</v>
      </c>
    </row>
    <row r="594" spans="8:24" x14ac:dyDescent="0.45">
      <c r="H594" t="s">
        <v>441</v>
      </c>
      <c r="I594" t="s">
        <v>245</v>
      </c>
      <c r="J594">
        <v>3.7632083342255249E-2</v>
      </c>
      <c r="K594" t="s">
        <v>243</v>
      </c>
      <c r="U594" t="s">
        <v>112</v>
      </c>
      <c r="V594" t="s">
        <v>1116</v>
      </c>
      <c r="W594" t="s">
        <v>570</v>
      </c>
      <c r="X594" t="s">
        <v>666</v>
      </c>
    </row>
    <row r="595" spans="8:24" x14ac:dyDescent="0.45">
      <c r="H595" t="s">
        <v>442</v>
      </c>
      <c r="I595" t="s">
        <v>242</v>
      </c>
      <c r="J595">
        <v>3.8798356814314074E-2</v>
      </c>
      <c r="K595" t="s">
        <v>243</v>
      </c>
      <c r="U595" t="s">
        <v>112</v>
      </c>
      <c r="V595" t="s">
        <v>1116</v>
      </c>
      <c r="W595" t="s">
        <v>660</v>
      </c>
      <c r="X595" t="s">
        <v>666</v>
      </c>
    </row>
    <row r="596" spans="8:24" x14ac:dyDescent="0.45">
      <c r="H596" t="s">
        <v>442</v>
      </c>
      <c r="I596" t="s">
        <v>244</v>
      </c>
      <c r="J596">
        <v>3.8798356814314074E-2</v>
      </c>
      <c r="K596" t="s">
        <v>243</v>
      </c>
      <c r="U596" t="s">
        <v>112</v>
      </c>
      <c r="V596" t="s">
        <v>1117</v>
      </c>
      <c r="W596" t="s">
        <v>570</v>
      </c>
      <c r="X596" t="s">
        <v>666</v>
      </c>
    </row>
    <row r="597" spans="8:24" x14ac:dyDescent="0.45">
      <c r="H597" t="s">
        <v>442</v>
      </c>
      <c r="I597" t="s">
        <v>245</v>
      </c>
      <c r="J597">
        <v>3.8798356814314074E-2</v>
      </c>
      <c r="K597" t="s">
        <v>243</v>
      </c>
      <c r="U597" t="s">
        <v>112</v>
      </c>
      <c r="V597" t="s">
        <v>1117</v>
      </c>
      <c r="W597" t="s">
        <v>660</v>
      </c>
      <c r="X597" t="s">
        <v>666</v>
      </c>
    </row>
    <row r="598" spans="8:24" x14ac:dyDescent="0.45">
      <c r="H598" t="s">
        <v>443</v>
      </c>
      <c r="I598" t="s">
        <v>242</v>
      </c>
      <c r="J598">
        <v>1.1960374503787598E-2</v>
      </c>
      <c r="K598" t="s">
        <v>243</v>
      </c>
      <c r="U598" t="s">
        <v>112</v>
      </c>
      <c r="V598" t="s">
        <v>1118</v>
      </c>
      <c r="W598" t="s">
        <v>660</v>
      </c>
      <c r="X598" t="s">
        <v>666</v>
      </c>
    </row>
    <row r="599" spans="8:24" x14ac:dyDescent="0.45">
      <c r="H599" t="s">
        <v>443</v>
      </c>
      <c r="I599" t="s">
        <v>244</v>
      </c>
      <c r="J599">
        <v>1.1960374503787598E-2</v>
      </c>
      <c r="K599" t="s">
        <v>243</v>
      </c>
      <c r="U599" t="s">
        <v>112</v>
      </c>
      <c r="V599" t="s">
        <v>1119</v>
      </c>
      <c r="W599" t="s">
        <v>660</v>
      </c>
      <c r="X599" t="s">
        <v>666</v>
      </c>
    </row>
    <row r="600" spans="8:24" x14ac:dyDescent="0.45">
      <c r="H600" t="s">
        <v>443</v>
      </c>
      <c r="I600" t="s">
        <v>245</v>
      </c>
      <c r="J600">
        <v>1.1960374503787598E-2</v>
      </c>
      <c r="K600" t="s">
        <v>243</v>
      </c>
      <c r="U600" t="s">
        <v>112</v>
      </c>
      <c r="V600" t="s">
        <v>1120</v>
      </c>
      <c r="W600" t="s">
        <v>660</v>
      </c>
      <c r="X600" t="s">
        <v>666</v>
      </c>
    </row>
    <row r="601" spans="8:24" x14ac:dyDescent="0.45">
      <c r="H601" t="s">
        <v>444</v>
      </c>
      <c r="I601" t="s">
        <v>242</v>
      </c>
      <c r="J601">
        <v>4.8029014527693668E-2</v>
      </c>
      <c r="K601" t="s">
        <v>243</v>
      </c>
      <c r="U601" t="s">
        <v>112</v>
      </c>
      <c r="V601" t="s">
        <v>1120</v>
      </c>
      <c r="W601" t="s">
        <v>570</v>
      </c>
      <c r="X601" t="s">
        <v>547</v>
      </c>
    </row>
    <row r="602" spans="8:24" x14ac:dyDescent="0.45">
      <c r="H602" t="s">
        <v>444</v>
      </c>
      <c r="I602" t="s">
        <v>244</v>
      </c>
      <c r="J602">
        <v>4.8029014527693668E-2</v>
      </c>
      <c r="K602" t="s">
        <v>243</v>
      </c>
      <c r="U602" t="s">
        <v>112</v>
      </c>
      <c r="V602" t="s">
        <v>1121</v>
      </c>
      <c r="W602" t="s">
        <v>660</v>
      </c>
      <c r="X602" t="s">
        <v>666</v>
      </c>
    </row>
    <row r="603" spans="8:24" x14ac:dyDescent="0.45">
      <c r="H603" t="s">
        <v>444</v>
      </c>
      <c r="I603" t="s">
        <v>245</v>
      </c>
      <c r="J603">
        <v>4.8029014527693668E-2</v>
      </c>
      <c r="K603" t="s">
        <v>243</v>
      </c>
      <c r="U603" t="s">
        <v>112</v>
      </c>
      <c r="V603" t="s">
        <v>1121</v>
      </c>
      <c r="W603" t="s">
        <v>570</v>
      </c>
      <c r="X603" t="s">
        <v>547</v>
      </c>
    </row>
    <row r="604" spans="8:24" x14ac:dyDescent="0.45">
      <c r="H604" t="s">
        <v>445</v>
      </c>
      <c r="I604" t="s">
        <v>242</v>
      </c>
      <c r="J604">
        <v>3.7305617600396202E-5</v>
      </c>
      <c r="K604" t="s">
        <v>243</v>
      </c>
      <c r="U604" t="s">
        <v>112</v>
      </c>
      <c r="V604" t="s">
        <v>1122</v>
      </c>
      <c r="W604" t="s">
        <v>603</v>
      </c>
      <c r="X604" t="s">
        <v>666</v>
      </c>
    </row>
    <row r="605" spans="8:24" x14ac:dyDescent="0.45">
      <c r="H605" t="s">
        <v>445</v>
      </c>
      <c r="I605" t="s">
        <v>244</v>
      </c>
      <c r="J605">
        <v>3.7305617600396202E-5</v>
      </c>
      <c r="K605" t="s">
        <v>243</v>
      </c>
      <c r="U605" t="s">
        <v>112</v>
      </c>
      <c r="V605" t="s">
        <v>1123</v>
      </c>
      <c r="W605" t="s">
        <v>603</v>
      </c>
      <c r="X605" t="s">
        <v>666</v>
      </c>
    </row>
    <row r="606" spans="8:24" x14ac:dyDescent="0.45">
      <c r="H606" t="s">
        <v>445</v>
      </c>
      <c r="I606" t="s">
        <v>245</v>
      </c>
      <c r="J606">
        <v>3.7305617600396202E-5</v>
      </c>
      <c r="K606" t="s">
        <v>243</v>
      </c>
      <c r="U606" t="s">
        <v>112</v>
      </c>
      <c r="V606" t="s">
        <v>1124</v>
      </c>
      <c r="W606" t="s">
        <v>603</v>
      </c>
      <c r="X606" t="s">
        <v>666</v>
      </c>
    </row>
    <row r="607" spans="8:24" x14ac:dyDescent="0.45">
      <c r="H607" t="s">
        <v>446</v>
      </c>
      <c r="I607" t="s">
        <v>242</v>
      </c>
      <c r="J607">
        <v>5.3263200124154574E-3</v>
      </c>
      <c r="K607" t="s">
        <v>243</v>
      </c>
      <c r="U607" t="s">
        <v>112</v>
      </c>
      <c r="V607" t="s">
        <v>1125</v>
      </c>
      <c r="W607" t="s">
        <v>603</v>
      </c>
      <c r="X607" t="s">
        <v>666</v>
      </c>
    </row>
    <row r="608" spans="8:24" x14ac:dyDescent="0.45">
      <c r="H608" t="s">
        <v>446</v>
      </c>
      <c r="I608" t="s">
        <v>244</v>
      </c>
      <c r="J608">
        <v>5.3263200124154574E-3</v>
      </c>
      <c r="K608" t="s">
        <v>243</v>
      </c>
      <c r="U608" t="s">
        <v>112</v>
      </c>
      <c r="V608" t="s">
        <v>1126</v>
      </c>
      <c r="W608" t="s">
        <v>603</v>
      </c>
      <c r="X608" t="s">
        <v>666</v>
      </c>
    </row>
    <row r="609" spans="8:24" x14ac:dyDescent="0.45">
      <c r="H609" t="s">
        <v>446</v>
      </c>
      <c r="I609" t="s">
        <v>245</v>
      </c>
      <c r="J609">
        <v>5.3263200124154574E-3</v>
      </c>
      <c r="K609" t="s">
        <v>243</v>
      </c>
      <c r="U609" t="s">
        <v>112</v>
      </c>
      <c r="V609" t="s">
        <v>1127</v>
      </c>
      <c r="W609" t="s">
        <v>603</v>
      </c>
      <c r="X609" t="s">
        <v>666</v>
      </c>
    </row>
    <row r="610" spans="8:24" x14ac:dyDescent="0.45">
      <c r="H610" t="s">
        <v>447</v>
      </c>
      <c r="I610" t="s">
        <v>242</v>
      </c>
      <c r="J610">
        <v>2.066033913798344E-3</v>
      </c>
      <c r="K610" t="s">
        <v>243</v>
      </c>
      <c r="U610" t="s">
        <v>112</v>
      </c>
      <c r="V610" t="s">
        <v>1128</v>
      </c>
      <c r="W610" t="s">
        <v>603</v>
      </c>
      <c r="X610" t="s">
        <v>666</v>
      </c>
    </row>
    <row r="611" spans="8:24" x14ac:dyDescent="0.45">
      <c r="H611" t="s">
        <v>447</v>
      </c>
      <c r="I611" t="s">
        <v>244</v>
      </c>
      <c r="J611">
        <v>2.066033913798344E-3</v>
      </c>
      <c r="K611" t="s">
        <v>243</v>
      </c>
      <c r="U611" t="s">
        <v>112</v>
      </c>
      <c r="V611" t="s">
        <v>1129</v>
      </c>
      <c r="W611" t="s">
        <v>603</v>
      </c>
      <c r="X611" t="s">
        <v>666</v>
      </c>
    </row>
    <row r="612" spans="8:24" x14ac:dyDescent="0.45">
      <c r="H612" t="s">
        <v>447</v>
      </c>
      <c r="I612" t="s">
        <v>245</v>
      </c>
      <c r="J612">
        <v>2.066033913798344E-3</v>
      </c>
      <c r="K612" t="s">
        <v>243</v>
      </c>
      <c r="U612" t="s">
        <v>112</v>
      </c>
      <c r="V612" t="s">
        <v>1130</v>
      </c>
      <c r="W612" t="s">
        <v>603</v>
      </c>
      <c r="X612" t="s">
        <v>666</v>
      </c>
    </row>
    <row r="613" spans="8:24" x14ac:dyDescent="0.45">
      <c r="H613" t="s">
        <v>448</v>
      </c>
      <c r="I613" t="s">
        <v>242</v>
      </c>
      <c r="J613">
        <v>2.21848140254384E-4</v>
      </c>
      <c r="K613" t="s">
        <v>243</v>
      </c>
      <c r="U613" t="s">
        <v>112</v>
      </c>
      <c r="V613" t="s">
        <v>1131</v>
      </c>
      <c r="W613" t="s">
        <v>603</v>
      </c>
      <c r="X613" t="s">
        <v>666</v>
      </c>
    </row>
    <row r="614" spans="8:24" x14ac:dyDescent="0.45">
      <c r="H614" t="s">
        <v>448</v>
      </c>
      <c r="I614" t="s">
        <v>244</v>
      </c>
      <c r="J614">
        <v>2.21848140254384E-4</v>
      </c>
      <c r="K614" t="s">
        <v>243</v>
      </c>
      <c r="U614" t="s">
        <v>112</v>
      </c>
      <c r="V614" t="s">
        <v>1132</v>
      </c>
      <c r="W614" t="s">
        <v>603</v>
      </c>
      <c r="X614" t="s">
        <v>666</v>
      </c>
    </row>
    <row r="615" spans="8:24" x14ac:dyDescent="0.45">
      <c r="H615" t="s">
        <v>448</v>
      </c>
      <c r="I615" t="s">
        <v>245</v>
      </c>
      <c r="J615">
        <v>2.21848140254384E-4</v>
      </c>
      <c r="K615" t="s">
        <v>243</v>
      </c>
      <c r="U615" t="s">
        <v>112</v>
      </c>
      <c r="V615" t="s">
        <v>1133</v>
      </c>
      <c r="W615" t="s">
        <v>603</v>
      </c>
      <c r="X615" t="s">
        <v>666</v>
      </c>
    </row>
    <row r="616" spans="8:24" x14ac:dyDescent="0.45">
      <c r="H616" t="s">
        <v>449</v>
      </c>
      <c r="I616" t="s">
        <v>242</v>
      </c>
      <c r="J616">
        <v>8.2716403600425568E-3</v>
      </c>
      <c r="K616" t="s">
        <v>243</v>
      </c>
      <c r="U616" t="s">
        <v>112</v>
      </c>
      <c r="V616" t="s">
        <v>1133</v>
      </c>
      <c r="W616" t="s">
        <v>606</v>
      </c>
      <c r="X616" t="s">
        <v>666</v>
      </c>
    </row>
    <row r="617" spans="8:24" x14ac:dyDescent="0.45">
      <c r="H617" t="s">
        <v>449</v>
      </c>
      <c r="I617" t="s">
        <v>244</v>
      </c>
      <c r="J617">
        <v>8.2716403600425568E-3</v>
      </c>
      <c r="K617" t="s">
        <v>243</v>
      </c>
      <c r="U617" t="s">
        <v>112</v>
      </c>
      <c r="V617" t="s">
        <v>1134</v>
      </c>
      <c r="W617" t="s">
        <v>603</v>
      </c>
      <c r="X617" t="s">
        <v>666</v>
      </c>
    </row>
    <row r="618" spans="8:24" x14ac:dyDescent="0.45">
      <c r="H618" t="s">
        <v>449</v>
      </c>
      <c r="I618" t="s">
        <v>245</v>
      </c>
      <c r="J618">
        <v>8.2716403600425568E-3</v>
      </c>
      <c r="K618" t="s">
        <v>243</v>
      </c>
      <c r="U618" t="s">
        <v>112</v>
      </c>
      <c r="V618" t="s">
        <v>1134</v>
      </c>
      <c r="W618" t="s">
        <v>606</v>
      </c>
      <c r="X618" t="s">
        <v>666</v>
      </c>
    </row>
    <row r="619" spans="8:24" x14ac:dyDescent="0.45">
      <c r="H619" t="s">
        <v>450</v>
      </c>
      <c r="I619" t="s">
        <v>242</v>
      </c>
      <c r="J619">
        <v>2.5273099396306075E-2</v>
      </c>
      <c r="K619" t="s">
        <v>243</v>
      </c>
      <c r="U619" t="s">
        <v>112</v>
      </c>
      <c r="V619" t="s">
        <v>1135</v>
      </c>
      <c r="W619" t="s">
        <v>603</v>
      </c>
      <c r="X619" t="s">
        <v>666</v>
      </c>
    </row>
    <row r="620" spans="8:24" x14ac:dyDescent="0.45">
      <c r="H620" t="s">
        <v>450</v>
      </c>
      <c r="I620" t="s">
        <v>244</v>
      </c>
      <c r="J620">
        <v>2.5273099396306075E-2</v>
      </c>
      <c r="K620" t="s">
        <v>243</v>
      </c>
      <c r="U620" t="s">
        <v>112</v>
      </c>
      <c r="V620" t="s">
        <v>1135</v>
      </c>
      <c r="W620" t="s">
        <v>606</v>
      </c>
      <c r="X620" t="s">
        <v>666</v>
      </c>
    </row>
    <row r="621" spans="8:24" x14ac:dyDescent="0.45">
      <c r="H621" t="s">
        <v>450</v>
      </c>
      <c r="I621" t="s">
        <v>245</v>
      </c>
      <c r="J621">
        <v>2.5273099396306075E-2</v>
      </c>
      <c r="K621" t="s">
        <v>243</v>
      </c>
      <c r="U621" t="s">
        <v>112</v>
      </c>
      <c r="V621" t="s">
        <v>1136</v>
      </c>
      <c r="W621" t="s">
        <v>603</v>
      </c>
      <c r="X621" t="s">
        <v>666</v>
      </c>
    </row>
    <row r="622" spans="8:24" x14ac:dyDescent="0.45">
      <c r="H622" t="s">
        <v>451</v>
      </c>
      <c r="I622" t="s">
        <v>242</v>
      </c>
      <c r="J622">
        <v>8.2006989748067156E-3</v>
      </c>
      <c r="K622" t="s">
        <v>243</v>
      </c>
      <c r="U622" t="s">
        <v>112</v>
      </c>
      <c r="V622" t="s">
        <v>1136</v>
      </c>
      <c r="W622" t="s">
        <v>606</v>
      </c>
      <c r="X622" t="s">
        <v>666</v>
      </c>
    </row>
    <row r="623" spans="8:24" x14ac:dyDescent="0.45">
      <c r="H623" t="s">
        <v>451</v>
      </c>
      <c r="I623" t="s">
        <v>244</v>
      </c>
      <c r="J623">
        <v>8.2006989748067156E-3</v>
      </c>
      <c r="K623" t="s">
        <v>243</v>
      </c>
      <c r="U623" t="s">
        <v>112</v>
      </c>
      <c r="V623" t="s">
        <v>1137</v>
      </c>
      <c r="W623" t="s">
        <v>606</v>
      </c>
      <c r="X623" t="s">
        <v>666</v>
      </c>
    </row>
    <row r="624" spans="8:24" x14ac:dyDescent="0.45">
      <c r="H624" t="s">
        <v>451</v>
      </c>
      <c r="I624" t="s">
        <v>245</v>
      </c>
      <c r="J624">
        <v>8.2006989748067156E-3</v>
      </c>
      <c r="K624" t="s">
        <v>243</v>
      </c>
      <c r="U624" t="s">
        <v>112</v>
      </c>
      <c r="V624" t="s">
        <v>1138</v>
      </c>
      <c r="W624" t="s">
        <v>606</v>
      </c>
      <c r="X624" t="s">
        <v>666</v>
      </c>
    </row>
    <row r="625" spans="8:24" x14ac:dyDescent="0.45">
      <c r="H625" t="s">
        <v>452</v>
      </c>
      <c r="I625" t="s">
        <v>242</v>
      </c>
      <c r="J625">
        <v>9.9382488597282229E-3</v>
      </c>
      <c r="K625" t="s">
        <v>243</v>
      </c>
      <c r="U625" t="s">
        <v>112</v>
      </c>
      <c r="V625" t="s">
        <v>1139</v>
      </c>
      <c r="W625" t="s">
        <v>606</v>
      </c>
      <c r="X625" t="s">
        <v>666</v>
      </c>
    </row>
    <row r="626" spans="8:24" x14ac:dyDescent="0.45">
      <c r="H626" t="s">
        <v>452</v>
      </c>
      <c r="I626" t="s">
        <v>244</v>
      </c>
      <c r="J626">
        <v>9.9382488597282229E-3</v>
      </c>
      <c r="K626" t="s">
        <v>243</v>
      </c>
      <c r="U626" t="s">
        <v>112</v>
      </c>
      <c r="V626" t="s">
        <v>1139</v>
      </c>
      <c r="W626" t="s">
        <v>603</v>
      </c>
      <c r="X626" t="s">
        <v>547</v>
      </c>
    </row>
    <row r="627" spans="8:24" x14ac:dyDescent="0.45">
      <c r="H627" t="s">
        <v>452</v>
      </c>
      <c r="I627" t="s">
        <v>245</v>
      </c>
      <c r="J627">
        <v>9.9382488597282229E-3</v>
      </c>
      <c r="K627" t="s">
        <v>243</v>
      </c>
      <c r="U627" t="s">
        <v>112</v>
      </c>
      <c r="V627" t="s">
        <v>1140</v>
      </c>
      <c r="W627" t="s">
        <v>606</v>
      </c>
      <c r="X627" t="s">
        <v>666</v>
      </c>
    </row>
    <row r="628" spans="8:24" x14ac:dyDescent="0.45">
      <c r="H628" t="s">
        <v>453</v>
      </c>
      <c r="I628" t="s">
        <v>242</v>
      </c>
      <c r="J628">
        <v>1.2554265482434088E-2</v>
      </c>
      <c r="K628" t="s">
        <v>243</v>
      </c>
      <c r="U628" t="s">
        <v>112</v>
      </c>
      <c r="V628" t="s">
        <v>1140</v>
      </c>
      <c r="W628" t="s">
        <v>603</v>
      </c>
      <c r="X628" t="s">
        <v>547</v>
      </c>
    </row>
    <row r="629" spans="8:24" x14ac:dyDescent="0.45">
      <c r="H629" t="s">
        <v>453</v>
      </c>
      <c r="I629" t="s">
        <v>244</v>
      </c>
      <c r="J629">
        <v>1.2554265482434088E-2</v>
      </c>
      <c r="K629" t="s">
        <v>243</v>
      </c>
      <c r="U629" t="s">
        <v>112</v>
      </c>
      <c r="V629" t="s">
        <v>1141</v>
      </c>
      <c r="W629" t="s">
        <v>571</v>
      </c>
      <c r="X629" t="s">
        <v>666</v>
      </c>
    </row>
    <row r="630" spans="8:24" x14ac:dyDescent="0.45">
      <c r="H630" t="s">
        <v>453</v>
      </c>
      <c r="I630" t="s">
        <v>245</v>
      </c>
      <c r="J630">
        <v>1.2554265482434088E-2</v>
      </c>
      <c r="K630" t="s">
        <v>243</v>
      </c>
      <c r="U630" t="s">
        <v>112</v>
      </c>
      <c r="V630" t="s">
        <v>1142</v>
      </c>
      <c r="W630" t="s">
        <v>571</v>
      </c>
      <c r="X630" t="s">
        <v>666</v>
      </c>
    </row>
    <row r="631" spans="8:24" x14ac:dyDescent="0.45">
      <c r="H631" t="s">
        <v>454</v>
      </c>
      <c r="I631" t="s">
        <v>242</v>
      </c>
      <c r="J631">
        <v>1.5484397924847839E-2</v>
      </c>
      <c r="K631" t="s">
        <v>243</v>
      </c>
      <c r="U631" t="s">
        <v>112</v>
      </c>
      <c r="V631" t="s">
        <v>1143</v>
      </c>
      <c r="W631" t="s">
        <v>571</v>
      </c>
      <c r="X631" t="s">
        <v>666</v>
      </c>
    </row>
    <row r="632" spans="8:24" x14ac:dyDescent="0.45">
      <c r="H632" t="s">
        <v>454</v>
      </c>
      <c r="I632" t="s">
        <v>244</v>
      </c>
      <c r="J632">
        <v>1.5484397924847839E-2</v>
      </c>
      <c r="K632" t="s">
        <v>243</v>
      </c>
      <c r="U632" t="s">
        <v>112</v>
      </c>
      <c r="V632" t="s">
        <v>1144</v>
      </c>
      <c r="W632" t="s">
        <v>571</v>
      </c>
      <c r="X632" t="s">
        <v>666</v>
      </c>
    </row>
    <row r="633" spans="8:24" x14ac:dyDescent="0.45">
      <c r="H633" t="s">
        <v>454</v>
      </c>
      <c r="I633" t="s">
        <v>245</v>
      </c>
      <c r="J633">
        <v>1.5484397924847839E-2</v>
      </c>
      <c r="K633" t="s">
        <v>243</v>
      </c>
      <c r="U633" t="s">
        <v>112</v>
      </c>
      <c r="V633" t="s">
        <v>1145</v>
      </c>
      <c r="W633" t="s">
        <v>571</v>
      </c>
      <c r="X633" t="s">
        <v>666</v>
      </c>
    </row>
    <row r="634" spans="8:24" x14ac:dyDescent="0.45">
      <c r="H634" t="s">
        <v>455</v>
      </c>
      <c r="I634" t="s">
        <v>242</v>
      </c>
      <c r="J634">
        <v>2.6536690150118537E-3</v>
      </c>
      <c r="K634" t="s">
        <v>243</v>
      </c>
      <c r="U634" t="s">
        <v>112</v>
      </c>
      <c r="V634" t="s">
        <v>1146</v>
      </c>
      <c r="W634" t="s">
        <v>571</v>
      </c>
      <c r="X634" t="s">
        <v>666</v>
      </c>
    </row>
    <row r="635" spans="8:24" x14ac:dyDescent="0.45">
      <c r="H635" t="s">
        <v>455</v>
      </c>
      <c r="I635" t="s">
        <v>244</v>
      </c>
      <c r="J635">
        <v>2.6536690150118537E-3</v>
      </c>
      <c r="K635" t="s">
        <v>243</v>
      </c>
      <c r="U635" t="s">
        <v>112</v>
      </c>
      <c r="V635" t="s">
        <v>1147</v>
      </c>
      <c r="W635" t="s">
        <v>571</v>
      </c>
      <c r="X635" t="s">
        <v>666</v>
      </c>
    </row>
    <row r="636" spans="8:24" x14ac:dyDescent="0.45">
      <c r="H636" t="s">
        <v>455</v>
      </c>
      <c r="I636" t="s">
        <v>245</v>
      </c>
      <c r="J636">
        <v>2.6536690150118537E-3</v>
      </c>
      <c r="K636" t="s">
        <v>243</v>
      </c>
      <c r="U636" t="s">
        <v>112</v>
      </c>
      <c r="V636" t="s">
        <v>1148</v>
      </c>
      <c r="W636" t="s">
        <v>571</v>
      </c>
      <c r="X636" t="s">
        <v>666</v>
      </c>
    </row>
    <row r="637" spans="8:24" x14ac:dyDescent="0.45">
      <c r="H637" t="s">
        <v>456</v>
      </c>
      <c r="I637" t="s">
        <v>242</v>
      </c>
      <c r="J637">
        <v>3.1179826000032079E-5</v>
      </c>
      <c r="K637" t="s">
        <v>243</v>
      </c>
      <c r="U637" t="s">
        <v>112</v>
      </c>
      <c r="V637" t="s">
        <v>1149</v>
      </c>
      <c r="W637" t="s">
        <v>571</v>
      </c>
      <c r="X637" t="s">
        <v>666</v>
      </c>
    </row>
    <row r="638" spans="8:24" x14ac:dyDescent="0.45">
      <c r="H638" t="s">
        <v>456</v>
      </c>
      <c r="I638" t="s">
        <v>244</v>
      </c>
      <c r="J638">
        <v>3.1179826000032079E-5</v>
      </c>
      <c r="K638" t="s">
        <v>243</v>
      </c>
      <c r="U638" t="s">
        <v>112</v>
      </c>
      <c r="V638" t="s">
        <v>1150</v>
      </c>
      <c r="W638" t="s">
        <v>571</v>
      </c>
      <c r="X638" t="s">
        <v>666</v>
      </c>
    </row>
    <row r="639" spans="8:24" x14ac:dyDescent="0.45">
      <c r="H639" t="s">
        <v>456</v>
      </c>
      <c r="I639" t="s">
        <v>245</v>
      </c>
      <c r="J639">
        <v>3.1179826000032079E-5</v>
      </c>
      <c r="K639" t="s">
        <v>243</v>
      </c>
      <c r="U639" t="s">
        <v>112</v>
      </c>
      <c r="V639" t="s">
        <v>1151</v>
      </c>
      <c r="W639" t="s">
        <v>571</v>
      </c>
      <c r="X639" t="s">
        <v>666</v>
      </c>
    </row>
    <row r="640" spans="8:24" x14ac:dyDescent="0.45">
      <c r="H640" t="s">
        <v>457</v>
      </c>
      <c r="I640" t="s">
        <v>242</v>
      </c>
      <c r="J640">
        <v>9.1074866684046994E-3</v>
      </c>
      <c r="K640" t="s">
        <v>243</v>
      </c>
      <c r="U640" t="s">
        <v>112</v>
      </c>
      <c r="V640" t="s">
        <v>1152</v>
      </c>
      <c r="W640" t="s">
        <v>571</v>
      </c>
      <c r="X640" t="s">
        <v>666</v>
      </c>
    </row>
    <row r="641" spans="8:24" x14ac:dyDescent="0.45">
      <c r="H641" t="s">
        <v>457</v>
      </c>
      <c r="I641" t="s">
        <v>244</v>
      </c>
      <c r="J641">
        <v>9.1074866684046994E-3</v>
      </c>
      <c r="K641" t="s">
        <v>243</v>
      </c>
      <c r="U641" t="s">
        <v>112</v>
      </c>
      <c r="V641" t="s">
        <v>1152</v>
      </c>
      <c r="W641" t="s">
        <v>625</v>
      </c>
      <c r="X641" t="s">
        <v>666</v>
      </c>
    </row>
    <row r="642" spans="8:24" x14ac:dyDescent="0.45">
      <c r="H642" t="s">
        <v>457</v>
      </c>
      <c r="I642" t="s">
        <v>245</v>
      </c>
      <c r="J642">
        <v>9.1074866684046994E-3</v>
      </c>
      <c r="K642" t="s">
        <v>243</v>
      </c>
      <c r="U642" t="s">
        <v>112</v>
      </c>
      <c r="V642" t="s">
        <v>1153</v>
      </c>
      <c r="W642" t="s">
        <v>571</v>
      </c>
      <c r="X642" t="s">
        <v>666</v>
      </c>
    </row>
    <row r="643" spans="8:24" x14ac:dyDescent="0.45">
      <c r="H643" t="s">
        <v>458</v>
      </c>
      <c r="I643" t="s">
        <v>242</v>
      </c>
      <c r="J643">
        <v>2.2210442249279452E-2</v>
      </c>
      <c r="K643" t="s">
        <v>243</v>
      </c>
      <c r="U643" t="s">
        <v>112</v>
      </c>
      <c r="V643" t="s">
        <v>1153</v>
      </c>
      <c r="W643" t="s">
        <v>625</v>
      </c>
      <c r="X643" t="s">
        <v>666</v>
      </c>
    </row>
    <row r="644" spans="8:24" x14ac:dyDescent="0.45">
      <c r="H644" t="s">
        <v>458</v>
      </c>
      <c r="I644" t="s">
        <v>244</v>
      </c>
      <c r="J644">
        <v>2.2210442249279452E-2</v>
      </c>
      <c r="K644" t="s">
        <v>243</v>
      </c>
      <c r="U644" t="s">
        <v>112</v>
      </c>
      <c r="V644" t="s">
        <v>1154</v>
      </c>
      <c r="W644" t="s">
        <v>571</v>
      </c>
      <c r="X644" t="s">
        <v>666</v>
      </c>
    </row>
    <row r="645" spans="8:24" x14ac:dyDescent="0.45">
      <c r="H645" t="s">
        <v>458</v>
      </c>
      <c r="I645" t="s">
        <v>245</v>
      </c>
      <c r="J645">
        <v>2.2210442249279452E-2</v>
      </c>
      <c r="K645" t="s">
        <v>243</v>
      </c>
      <c r="U645" t="s">
        <v>112</v>
      </c>
      <c r="V645" t="s">
        <v>1154</v>
      </c>
      <c r="W645" t="s">
        <v>625</v>
      </c>
      <c r="X645" t="s">
        <v>666</v>
      </c>
    </row>
    <row r="646" spans="8:24" x14ac:dyDescent="0.45">
      <c r="H646" t="s">
        <v>459</v>
      </c>
      <c r="I646" t="s">
        <v>242</v>
      </c>
      <c r="J646">
        <v>2.9417069427630962E-2</v>
      </c>
      <c r="K646" t="s">
        <v>243</v>
      </c>
      <c r="U646" t="s">
        <v>112</v>
      </c>
      <c r="V646" t="s">
        <v>1155</v>
      </c>
      <c r="W646" t="s">
        <v>571</v>
      </c>
      <c r="X646" t="s">
        <v>666</v>
      </c>
    </row>
    <row r="647" spans="8:24" x14ac:dyDescent="0.45">
      <c r="H647" t="s">
        <v>459</v>
      </c>
      <c r="I647" t="s">
        <v>244</v>
      </c>
      <c r="J647">
        <v>2.9417069427630962E-2</v>
      </c>
      <c r="K647" t="s">
        <v>243</v>
      </c>
      <c r="U647" t="s">
        <v>112</v>
      </c>
      <c r="V647" t="s">
        <v>1155</v>
      </c>
      <c r="W647" t="s">
        <v>625</v>
      </c>
      <c r="X647" t="s">
        <v>666</v>
      </c>
    </row>
    <row r="648" spans="8:24" x14ac:dyDescent="0.45">
      <c r="H648" t="s">
        <v>459</v>
      </c>
      <c r="I648" t="s">
        <v>245</v>
      </c>
      <c r="J648">
        <v>2.9417069427630962E-2</v>
      </c>
      <c r="K648" t="s">
        <v>243</v>
      </c>
      <c r="U648" t="s">
        <v>112</v>
      </c>
      <c r="V648" t="s">
        <v>1156</v>
      </c>
      <c r="W648" t="s">
        <v>625</v>
      </c>
      <c r="X648" t="s">
        <v>666</v>
      </c>
    </row>
    <row r="649" spans="8:24" x14ac:dyDescent="0.45">
      <c r="H649" t="s">
        <v>460</v>
      </c>
      <c r="I649" t="s">
        <v>242</v>
      </c>
      <c r="J649">
        <v>9.3928651703745879E-3</v>
      </c>
      <c r="K649" t="s">
        <v>243</v>
      </c>
      <c r="U649" t="s">
        <v>112</v>
      </c>
      <c r="V649" t="s">
        <v>1157</v>
      </c>
      <c r="W649" t="s">
        <v>625</v>
      </c>
      <c r="X649" t="s">
        <v>666</v>
      </c>
    </row>
    <row r="650" spans="8:24" x14ac:dyDescent="0.45">
      <c r="H650" t="s">
        <v>460</v>
      </c>
      <c r="I650" t="s">
        <v>244</v>
      </c>
      <c r="J650">
        <v>9.3928651703745879E-3</v>
      </c>
      <c r="K650" t="s">
        <v>243</v>
      </c>
      <c r="U650" t="s">
        <v>112</v>
      </c>
      <c r="V650" t="s">
        <v>1158</v>
      </c>
      <c r="W650" t="s">
        <v>625</v>
      </c>
      <c r="X650" t="s">
        <v>666</v>
      </c>
    </row>
    <row r="651" spans="8:24" x14ac:dyDescent="0.45">
      <c r="H651" t="s">
        <v>460</v>
      </c>
      <c r="I651" t="s">
        <v>245</v>
      </c>
      <c r="J651">
        <v>9.3928651703745879E-3</v>
      </c>
      <c r="K651" t="s">
        <v>243</v>
      </c>
      <c r="U651" t="s">
        <v>112</v>
      </c>
      <c r="V651" t="s">
        <v>1158</v>
      </c>
      <c r="W651" t="s">
        <v>571</v>
      </c>
      <c r="X651" t="s">
        <v>547</v>
      </c>
    </row>
    <row r="652" spans="8:24" x14ac:dyDescent="0.45">
      <c r="H652" t="s">
        <v>461</v>
      </c>
      <c r="I652" t="s">
        <v>242</v>
      </c>
      <c r="J652">
        <v>1.3776599287490199E-2</v>
      </c>
      <c r="K652" t="s">
        <v>243</v>
      </c>
      <c r="U652" t="s">
        <v>112</v>
      </c>
      <c r="V652" t="s">
        <v>1159</v>
      </c>
      <c r="W652" t="s">
        <v>625</v>
      </c>
      <c r="X652" t="s">
        <v>666</v>
      </c>
    </row>
    <row r="653" spans="8:24" x14ac:dyDescent="0.45">
      <c r="H653" t="s">
        <v>461</v>
      </c>
      <c r="I653" t="s">
        <v>244</v>
      </c>
      <c r="J653">
        <v>1.3776599287490199E-2</v>
      </c>
      <c r="K653" t="s">
        <v>243</v>
      </c>
      <c r="U653" t="s">
        <v>112</v>
      </c>
      <c r="V653" t="s">
        <v>1159</v>
      </c>
      <c r="W653" t="s">
        <v>571</v>
      </c>
      <c r="X653" t="s">
        <v>547</v>
      </c>
    </row>
    <row r="654" spans="8:24" x14ac:dyDescent="0.45">
      <c r="H654" t="s">
        <v>461</v>
      </c>
      <c r="I654" t="s">
        <v>245</v>
      </c>
      <c r="J654">
        <v>1.3776599287490199E-2</v>
      </c>
      <c r="K654" t="s">
        <v>243</v>
      </c>
      <c r="U654" t="s">
        <v>112</v>
      </c>
      <c r="V654" t="s">
        <v>1160</v>
      </c>
      <c r="W654" t="s">
        <v>572</v>
      </c>
      <c r="X654" t="s">
        <v>666</v>
      </c>
    </row>
    <row r="655" spans="8:24" x14ac:dyDescent="0.45">
      <c r="H655" t="s">
        <v>462</v>
      </c>
      <c r="I655" t="s">
        <v>242</v>
      </c>
      <c r="J655">
        <v>5.0086591920417362E-3</v>
      </c>
      <c r="K655" t="s">
        <v>243</v>
      </c>
      <c r="U655" t="s">
        <v>112</v>
      </c>
      <c r="V655" t="s">
        <v>1161</v>
      </c>
      <c r="W655" t="s">
        <v>572</v>
      </c>
      <c r="X655" t="s">
        <v>666</v>
      </c>
    </row>
    <row r="656" spans="8:24" x14ac:dyDescent="0.45">
      <c r="H656" t="s">
        <v>462</v>
      </c>
      <c r="I656" t="s">
        <v>244</v>
      </c>
      <c r="J656">
        <v>5.0086591920417362E-3</v>
      </c>
      <c r="K656" t="s">
        <v>243</v>
      </c>
      <c r="U656" t="s">
        <v>112</v>
      </c>
      <c r="V656" t="s">
        <v>1162</v>
      </c>
      <c r="W656" t="s">
        <v>572</v>
      </c>
      <c r="X656" t="s">
        <v>666</v>
      </c>
    </row>
    <row r="657" spans="8:24" x14ac:dyDescent="0.45">
      <c r="H657" t="s">
        <v>462</v>
      </c>
      <c r="I657" t="s">
        <v>245</v>
      </c>
      <c r="J657">
        <v>5.0086591920417362E-3</v>
      </c>
      <c r="K657" t="s">
        <v>243</v>
      </c>
      <c r="U657" t="s">
        <v>112</v>
      </c>
      <c r="V657" t="s">
        <v>1163</v>
      </c>
      <c r="W657" t="s">
        <v>572</v>
      </c>
      <c r="X657" t="s">
        <v>666</v>
      </c>
    </row>
    <row r="658" spans="8:24" x14ac:dyDescent="0.45">
      <c r="H658" t="s">
        <v>463</v>
      </c>
      <c r="I658" t="s">
        <v>242</v>
      </c>
      <c r="J658">
        <v>6.1477653064319513E-3</v>
      </c>
      <c r="K658" t="s">
        <v>243</v>
      </c>
      <c r="U658" t="s">
        <v>112</v>
      </c>
      <c r="V658" t="s">
        <v>1164</v>
      </c>
      <c r="W658" t="s">
        <v>572</v>
      </c>
      <c r="X658" t="s">
        <v>666</v>
      </c>
    </row>
    <row r="659" spans="8:24" x14ac:dyDescent="0.45">
      <c r="H659" t="s">
        <v>463</v>
      </c>
      <c r="I659" t="s">
        <v>244</v>
      </c>
      <c r="J659">
        <v>6.1477653064319513E-3</v>
      </c>
      <c r="K659" t="s">
        <v>243</v>
      </c>
      <c r="U659" t="s">
        <v>112</v>
      </c>
      <c r="V659" t="s">
        <v>1165</v>
      </c>
      <c r="W659" t="s">
        <v>572</v>
      </c>
      <c r="X659" t="s">
        <v>666</v>
      </c>
    </row>
    <row r="660" spans="8:24" x14ac:dyDescent="0.45">
      <c r="H660" t="s">
        <v>463</v>
      </c>
      <c r="I660" t="s">
        <v>245</v>
      </c>
      <c r="J660">
        <v>6.1477653064319513E-3</v>
      </c>
      <c r="K660" t="s">
        <v>243</v>
      </c>
      <c r="U660" t="s">
        <v>112</v>
      </c>
      <c r="V660" t="s">
        <v>1166</v>
      </c>
      <c r="W660" t="s">
        <v>572</v>
      </c>
      <c r="X660" t="s">
        <v>666</v>
      </c>
    </row>
    <row r="661" spans="8:24" x14ac:dyDescent="0.45">
      <c r="H661" t="s">
        <v>464</v>
      </c>
      <c r="I661" t="s">
        <v>242</v>
      </c>
      <c r="J661">
        <v>2.6473019460272532E-2</v>
      </c>
      <c r="K661" t="s">
        <v>243</v>
      </c>
      <c r="U661" t="s">
        <v>112</v>
      </c>
      <c r="V661" t="s">
        <v>1167</v>
      </c>
      <c r="W661" t="s">
        <v>572</v>
      </c>
      <c r="X661" t="s">
        <v>666</v>
      </c>
    </row>
    <row r="662" spans="8:24" x14ac:dyDescent="0.45">
      <c r="H662" t="s">
        <v>464</v>
      </c>
      <c r="I662" t="s">
        <v>244</v>
      </c>
      <c r="J662">
        <v>2.6473019460272532E-2</v>
      </c>
      <c r="K662" t="s">
        <v>243</v>
      </c>
      <c r="U662" t="s">
        <v>112</v>
      </c>
      <c r="V662" t="s">
        <v>1168</v>
      </c>
      <c r="W662" t="s">
        <v>572</v>
      </c>
      <c r="X662" t="s">
        <v>666</v>
      </c>
    </row>
    <row r="663" spans="8:24" x14ac:dyDescent="0.45">
      <c r="H663" t="s">
        <v>464</v>
      </c>
      <c r="I663" t="s">
        <v>245</v>
      </c>
      <c r="J663">
        <v>2.6473019460272532E-2</v>
      </c>
      <c r="K663" t="s">
        <v>243</v>
      </c>
      <c r="U663" t="s">
        <v>112</v>
      </c>
      <c r="V663" t="s">
        <v>1169</v>
      </c>
      <c r="W663" t="s">
        <v>572</v>
      </c>
      <c r="X663" t="s">
        <v>666</v>
      </c>
    </row>
    <row r="664" spans="8:24" x14ac:dyDescent="0.45">
      <c r="H664" t="s">
        <v>465</v>
      </c>
      <c r="I664" t="s">
        <v>242</v>
      </c>
      <c r="J664">
        <v>4.8865315825130297E-2</v>
      </c>
      <c r="K664" t="s">
        <v>243</v>
      </c>
      <c r="U664" t="s">
        <v>112</v>
      </c>
      <c r="V664" t="s">
        <v>1170</v>
      </c>
      <c r="W664" t="s">
        <v>572</v>
      </c>
      <c r="X664" t="s">
        <v>666</v>
      </c>
    </row>
    <row r="665" spans="8:24" x14ac:dyDescent="0.45">
      <c r="H665" t="s">
        <v>465</v>
      </c>
      <c r="I665" t="s">
        <v>244</v>
      </c>
      <c r="J665">
        <v>4.8865315825130297E-2</v>
      </c>
      <c r="K665" t="s">
        <v>243</v>
      </c>
      <c r="U665" t="s">
        <v>112</v>
      </c>
      <c r="V665" t="s">
        <v>1171</v>
      </c>
      <c r="W665" t="s">
        <v>572</v>
      </c>
      <c r="X665" t="s">
        <v>666</v>
      </c>
    </row>
    <row r="666" spans="8:24" x14ac:dyDescent="0.45">
      <c r="H666" t="s">
        <v>465</v>
      </c>
      <c r="I666" t="s">
        <v>245</v>
      </c>
      <c r="J666">
        <v>4.8865315825130297E-2</v>
      </c>
      <c r="K666" t="s">
        <v>243</v>
      </c>
      <c r="U666" t="s">
        <v>112</v>
      </c>
      <c r="V666" t="s">
        <v>1171</v>
      </c>
      <c r="W666" t="s">
        <v>634</v>
      </c>
      <c r="X666" t="s">
        <v>666</v>
      </c>
    </row>
    <row r="667" spans="8:24" x14ac:dyDescent="0.45">
      <c r="H667" t="s">
        <v>466</v>
      </c>
      <c r="I667" t="s">
        <v>242</v>
      </c>
      <c r="J667">
        <v>2.6086249460113991E-2</v>
      </c>
      <c r="K667" t="s">
        <v>243</v>
      </c>
      <c r="U667" t="s">
        <v>112</v>
      </c>
      <c r="V667" t="s">
        <v>1172</v>
      </c>
      <c r="W667" t="s">
        <v>572</v>
      </c>
      <c r="X667" t="s">
        <v>666</v>
      </c>
    </row>
    <row r="668" spans="8:24" x14ac:dyDescent="0.45">
      <c r="H668" t="s">
        <v>466</v>
      </c>
      <c r="I668" t="s">
        <v>244</v>
      </c>
      <c r="J668">
        <v>2.6086249460113991E-2</v>
      </c>
      <c r="K668" t="s">
        <v>243</v>
      </c>
      <c r="U668" t="s">
        <v>112</v>
      </c>
      <c r="V668" t="s">
        <v>1172</v>
      </c>
      <c r="W668" t="s">
        <v>634</v>
      </c>
      <c r="X668" t="s">
        <v>666</v>
      </c>
    </row>
    <row r="669" spans="8:24" x14ac:dyDescent="0.45">
      <c r="H669" t="s">
        <v>466</v>
      </c>
      <c r="I669" t="s">
        <v>245</v>
      </c>
      <c r="J669">
        <v>2.6086249460113991E-2</v>
      </c>
      <c r="K669" t="s">
        <v>243</v>
      </c>
      <c r="U669" t="s">
        <v>112</v>
      </c>
      <c r="V669" t="s">
        <v>1173</v>
      </c>
      <c r="W669" t="s">
        <v>572</v>
      </c>
      <c r="X669" t="s">
        <v>666</v>
      </c>
    </row>
    <row r="670" spans="8:24" x14ac:dyDescent="0.45">
      <c r="H670" t="s">
        <v>467</v>
      </c>
      <c r="I670" t="s">
        <v>242</v>
      </c>
      <c r="J670">
        <v>1.5433973830342899E-2</v>
      </c>
      <c r="K670" t="s">
        <v>243</v>
      </c>
      <c r="U670" t="s">
        <v>112</v>
      </c>
      <c r="V670" t="s">
        <v>1173</v>
      </c>
      <c r="W670" t="s">
        <v>634</v>
      </c>
      <c r="X670" t="s">
        <v>666</v>
      </c>
    </row>
    <row r="671" spans="8:24" x14ac:dyDescent="0.45">
      <c r="H671" t="s">
        <v>467</v>
      </c>
      <c r="I671" t="s">
        <v>244</v>
      </c>
      <c r="J671">
        <v>1.5433973830342899E-2</v>
      </c>
      <c r="K671" t="s">
        <v>243</v>
      </c>
      <c r="U671" t="s">
        <v>112</v>
      </c>
      <c r="V671" t="s">
        <v>1174</v>
      </c>
      <c r="W671" t="s">
        <v>572</v>
      </c>
      <c r="X671" t="s">
        <v>666</v>
      </c>
    </row>
    <row r="672" spans="8:24" x14ac:dyDescent="0.45">
      <c r="H672" t="s">
        <v>467</v>
      </c>
      <c r="I672" t="s">
        <v>245</v>
      </c>
      <c r="J672">
        <v>1.5433973830342899E-2</v>
      </c>
      <c r="K672" t="s">
        <v>243</v>
      </c>
      <c r="U672" t="s">
        <v>112</v>
      </c>
      <c r="V672" t="s">
        <v>1174</v>
      </c>
      <c r="W672" t="s">
        <v>634</v>
      </c>
      <c r="X672" t="s">
        <v>666</v>
      </c>
    </row>
    <row r="673" spans="8:24" x14ac:dyDescent="0.45">
      <c r="H673" t="s">
        <v>468</v>
      </c>
      <c r="I673" t="s">
        <v>242</v>
      </c>
      <c r="J673">
        <v>1.1134566809932342E-2</v>
      </c>
      <c r="K673" t="s">
        <v>243</v>
      </c>
      <c r="U673" t="s">
        <v>112</v>
      </c>
      <c r="V673" t="s">
        <v>1175</v>
      </c>
      <c r="W673" t="s">
        <v>634</v>
      </c>
      <c r="X673" t="s">
        <v>666</v>
      </c>
    </row>
    <row r="674" spans="8:24" x14ac:dyDescent="0.45">
      <c r="H674" t="s">
        <v>468</v>
      </c>
      <c r="I674" t="s">
        <v>244</v>
      </c>
      <c r="J674">
        <v>1.1134566809932342E-2</v>
      </c>
      <c r="K674" t="s">
        <v>243</v>
      </c>
      <c r="U674" t="s">
        <v>112</v>
      </c>
      <c r="V674" t="s">
        <v>1176</v>
      </c>
      <c r="W674" t="s">
        <v>634</v>
      </c>
      <c r="X674" t="s">
        <v>666</v>
      </c>
    </row>
    <row r="675" spans="8:24" x14ac:dyDescent="0.45">
      <c r="H675" t="s">
        <v>468</v>
      </c>
      <c r="I675" t="s">
        <v>245</v>
      </c>
      <c r="J675">
        <v>1.1134566809932342E-2</v>
      </c>
      <c r="K675" t="s">
        <v>243</v>
      </c>
      <c r="U675" t="s">
        <v>112</v>
      </c>
      <c r="V675" t="s">
        <v>1177</v>
      </c>
      <c r="W675" t="s">
        <v>634</v>
      </c>
      <c r="X675" t="s">
        <v>666</v>
      </c>
    </row>
    <row r="676" spans="8:24" x14ac:dyDescent="0.45">
      <c r="H676" t="s">
        <v>241</v>
      </c>
      <c r="I676" t="s">
        <v>469</v>
      </c>
      <c r="J676">
        <v>5.2703075544178836E-2</v>
      </c>
      <c r="K676" t="s">
        <v>243</v>
      </c>
      <c r="U676" t="s">
        <v>112</v>
      </c>
      <c r="V676" t="s">
        <v>1177</v>
      </c>
      <c r="W676" t="s">
        <v>572</v>
      </c>
      <c r="X676" t="s">
        <v>547</v>
      </c>
    </row>
    <row r="677" spans="8:24" x14ac:dyDescent="0.45">
      <c r="H677" t="s">
        <v>246</v>
      </c>
      <c r="I677" t="s">
        <v>469</v>
      </c>
      <c r="J677">
        <v>1.8384588031274261E-2</v>
      </c>
      <c r="K677" t="s">
        <v>243</v>
      </c>
      <c r="U677" t="s">
        <v>112</v>
      </c>
      <c r="V677" t="s">
        <v>1178</v>
      </c>
      <c r="W677" t="s">
        <v>634</v>
      </c>
      <c r="X677" t="s">
        <v>666</v>
      </c>
    </row>
    <row r="678" spans="8:24" x14ac:dyDescent="0.45">
      <c r="H678" t="s">
        <v>247</v>
      </c>
      <c r="I678" t="s">
        <v>469</v>
      </c>
      <c r="J678">
        <v>3.1336047248973702E-2</v>
      </c>
      <c r="K678" t="s">
        <v>243</v>
      </c>
      <c r="U678" t="s">
        <v>112</v>
      </c>
      <c r="V678" t="s">
        <v>1178</v>
      </c>
      <c r="W678" t="s">
        <v>572</v>
      </c>
      <c r="X678" t="s">
        <v>547</v>
      </c>
    </row>
    <row r="679" spans="8:24" x14ac:dyDescent="0.45">
      <c r="H679" t="s">
        <v>248</v>
      </c>
      <c r="I679" t="s">
        <v>469</v>
      </c>
      <c r="J679">
        <v>1.5406117499191706E-2</v>
      </c>
      <c r="K679" t="s">
        <v>243</v>
      </c>
      <c r="U679" t="s">
        <v>112</v>
      </c>
      <c r="V679" t="s">
        <v>1179</v>
      </c>
      <c r="W679" t="s">
        <v>573</v>
      </c>
      <c r="X679" t="s">
        <v>666</v>
      </c>
    </row>
    <row r="680" spans="8:24" x14ac:dyDescent="0.45">
      <c r="H680" t="s">
        <v>249</v>
      </c>
      <c r="I680" t="s">
        <v>469</v>
      </c>
      <c r="J680">
        <v>3.5216225546079068E-2</v>
      </c>
      <c r="K680" t="s">
        <v>243</v>
      </c>
      <c r="U680" t="s">
        <v>112</v>
      </c>
      <c r="V680" t="s">
        <v>1180</v>
      </c>
      <c r="W680" t="s">
        <v>573</v>
      </c>
      <c r="X680" t="s">
        <v>666</v>
      </c>
    </row>
    <row r="681" spans="8:24" x14ac:dyDescent="0.45">
      <c r="H681" t="s">
        <v>250</v>
      </c>
      <c r="I681" t="s">
        <v>469</v>
      </c>
      <c r="J681">
        <v>2.9188663941177299E-2</v>
      </c>
      <c r="K681" t="s">
        <v>243</v>
      </c>
      <c r="U681" t="s">
        <v>112</v>
      </c>
      <c r="V681" t="s">
        <v>1181</v>
      </c>
      <c r="W681" t="s">
        <v>573</v>
      </c>
      <c r="X681" t="s">
        <v>666</v>
      </c>
    </row>
    <row r="682" spans="8:24" x14ac:dyDescent="0.45">
      <c r="H682" t="s">
        <v>251</v>
      </c>
      <c r="I682" t="s">
        <v>469</v>
      </c>
      <c r="J682">
        <v>1.2470273212603612E-2</v>
      </c>
      <c r="K682" t="s">
        <v>243</v>
      </c>
      <c r="U682" t="s">
        <v>112</v>
      </c>
      <c r="V682" t="s">
        <v>1182</v>
      </c>
      <c r="W682" t="s">
        <v>573</v>
      </c>
      <c r="X682" t="s">
        <v>666</v>
      </c>
    </row>
    <row r="683" spans="8:24" x14ac:dyDescent="0.45">
      <c r="H683" t="s">
        <v>252</v>
      </c>
      <c r="I683" t="s">
        <v>469</v>
      </c>
      <c r="J683">
        <v>1.2471730954208834E-2</v>
      </c>
      <c r="K683" t="s">
        <v>243</v>
      </c>
      <c r="U683" t="s">
        <v>112</v>
      </c>
      <c r="V683" t="s">
        <v>1183</v>
      </c>
      <c r="W683" t="s">
        <v>573</v>
      </c>
      <c r="X683" t="s">
        <v>666</v>
      </c>
    </row>
    <row r="684" spans="8:24" x14ac:dyDescent="0.45">
      <c r="H684" t="s">
        <v>253</v>
      </c>
      <c r="I684" t="s">
        <v>469</v>
      </c>
      <c r="J684">
        <v>1.7556182695526452E-2</v>
      </c>
      <c r="K684" t="s">
        <v>243</v>
      </c>
      <c r="U684" t="s">
        <v>112</v>
      </c>
      <c r="V684" t="s">
        <v>1184</v>
      </c>
      <c r="W684" t="s">
        <v>573</v>
      </c>
      <c r="X684" t="s">
        <v>666</v>
      </c>
    </row>
    <row r="685" spans="8:24" x14ac:dyDescent="0.45">
      <c r="H685" t="s">
        <v>254</v>
      </c>
      <c r="I685" t="s">
        <v>469</v>
      </c>
      <c r="J685">
        <v>3.1184374379652227E-2</v>
      </c>
      <c r="K685" t="s">
        <v>243</v>
      </c>
      <c r="U685" t="s">
        <v>112</v>
      </c>
      <c r="V685" t="s">
        <v>1185</v>
      </c>
      <c r="W685" t="s">
        <v>573</v>
      </c>
      <c r="X685" t="s">
        <v>666</v>
      </c>
    </row>
    <row r="686" spans="8:24" x14ac:dyDescent="0.45">
      <c r="H686" t="s">
        <v>255</v>
      </c>
      <c r="I686" t="s">
        <v>469</v>
      </c>
      <c r="J686">
        <v>1.707937460806234E-3</v>
      </c>
      <c r="K686" t="s">
        <v>243</v>
      </c>
      <c r="U686" t="s">
        <v>112</v>
      </c>
      <c r="V686" t="s">
        <v>1186</v>
      </c>
      <c r="W686" t="s">
        <v>573</v>
      </c>
      <c r="X686" t="s">
        <v>666</v>
      </c>
    </row>
    <row r="687" spans="8:24" x14ac:dyDescent="0.45">
      <c r="H687" t="s">
        <v>256</v>
      </c>
      <c r="I687" t="s">
        <v>469</v>
      </c>
      <c r="J687">
        <v>1.5869738336310783E-2</v>
      </c>
      <c r="K687" t="s">
        <v>243</v>
      </c>
      <c r="U687" t="s">
        <v>112</v>
      </c>
      <c r="V687" t="s">
        <v>1187</v>
      </c>
      <c r="W687" t="s">
        <v>573</v>
      </c>
      <c r="X687" t="s">
        <v>666</v>
      </c>
    </row>
    <row r="688" spans="8:24" x14ac:dyDescent="0.45">
      <c r="H688" t="s">
        <v>257</v>
      </c>
      <c r="I688" t="s">
        <v>469</v>
      </c>
      <c r="J688">
        <v>2.614290438044891E-2</v>
      </c>
      <c r="K688" t="s">
        <v>243</v>
      </c>
      <c r="U688" t="s">
        <v>112</v>
      </c>
      <c r="V688" t="s">
        <v>1188</v>
      </c>
      <c r="W688" t="s">
        <v>573</v>
      </c>
      <c r="X688" t="s">
        <v>666</v>
      </c>
    </row>
    <row r="689" spans="8:24" x14ac:dyDescent="0.45">
      <c r="H689" t="s">
        <v>258</v>
      </c>
      <c r="I689" t="s">
        <v>469</v>
      </c>
      <c r="J689">
        <v>4.0038758071454655E-3</v>
      </c>
      <c r="K689" t="s">
        <v>243</v>
      </c>
      <c r="U689" t="s">
        <v>112</v>
      </c>
      <c r="V689" t="s">
        <v>1189</v>
      </c>
      <c r="W689" t="s">
        <v>573</v>
      </c>
      <c r="X689" t="s">
        <v>666</v>
      </c>
    </row>
    <row r="690" spans="8:24" x14ac:dyDescent="0.45">
      <c r="H690" t="s">
        <v>259</v>
      </c>
      <c r="I690" t="s">
        <v>469</v>
      </c>
      <c r="J690">
        <v>2.5786477604542536E-2</v>
      </c>
      <c r="K690" t="s">
        <v>243</v>
      </c>
      <c r="U690" t="s">
        <v>112</v>
      </c>
      <c r="V690" t="s">
        <v>1190</v>
      </c>
      <c r="W690" t="s">
        <v>573</v>
      </c>
      <c r="X690" t="s">
        <v>666</v>
      </c>
    </row>
    <row r="691" spans="8:24" x14ac:dyDescent="0.45">
      <c r="H691" t="s">
        <v>260</v>
      </c>
      <c r="I691" t="s">
        <v>469</v>
      </c>
      <c r="J691">
        <v>3.248127330065422E-3</v>
      </c>
      <c r="K691" t="s">
        <v>243</v>
      </c>
      <c r="U691" t="s">
        <v>112</v>
      </c>
      <c r="V691" t="s">
        <v>1190</v>
      </c>
      <c r="W691" t="s">
        <v>609</v>
      </c>
      <c r="X691" t="s">
        <v>666</v>
      </c>
    </row>
    <row r="692" spans="8:24" x14ac:dyDescent="0.45">
      <c r="H692" t="s">
        <v>261</v>
      </c>
      <c r="I692" t="s">
        <v>469</v>
      </c>
      <c r="J692">
        <v>1.2203844447429264E-2</v>
      </c>
      <c r="K692" t="s">
        <v>243</v>
      </c>
      <c r="U692" t="s">
        <v>112</v>
      </c>
      <c r="V692" t="s">
        <v>1191</v>
      </c>
      <c r="W692" t="s">
        <v>573</v>
      </c>
      <c r="X692" t="s">
        <v>666</v>
      </c>
    </row>
    <row r="693" spans="8:24" x14ac:dyDescent="0.45">
      <c r="H693" t="s">
        <v>262</v>
      </c>
      <c r="I693" t="s">
        <v>469</v>
      </c>
      <c r="J693">
        <v>4.8883022311723735E-3</v>
      </c>
      <c r="K693" t="s">
        <v>243</v>
      </c>
      <c r="U693" t="s">
        <v>112</v>
      </c>
      <c r="V693" t="s">
        <v>1191</v>
      </c>
      <c r="W693" t="s">
        <v>609</v>
      </c>
      <c r="X693" t="s">
        <v>666</v>
      </c>
    </row>
    <row r="694" spans="8:24" x14ac:dyDescent="0.45">
      <c r="H694" t="s">
        <v>263</v>
      </c>
      <c r="I694" t="s">
        <v>469</v>
      </c>
      <c r="J694">
        <v>7.1447070593131518E-3</v>
      </c>
      <c r="K694" t="s">
        <v>243</v>
      </c>
      <c r="U694" t="s">
        <v>112</v>
      </c>
      <c r="V694" t="s">
        <v>1192</v>
      </c>
      <c r="W694" t="s">
        <v>573</v>
      </c>
      <c r="X694" t="s">
        <v>666</v>
      </c>
    </row>
    <row r="695" spans="8:24" x14ac:dyDescent="0.45">
      <c r="H695" t="s">
        <v>264</v>
      </c>
      <c r="I695" t="s">
        <v>469</v>
      </c>
      <c r="J695">
        <v>5.0022070085081081E-3</v>
      </c>
      <c r="K695" t="s">
        <v>243</v>
      </c>
      <c r="U695" t="s">
        <v>112</v>
      </c>
      <c r="V695" t="s">
        <v>1192</v>
      </c>
      <c r="W695" t="s">
        <v>609</v>
      </c>
      <c r="X695" t="s">
        <v>666</v>
      </c>
    </row>
    <row r="696" spans="8:24" x14ac:dyDescent="0.45">
      <c r="H696" t="s">
        <v>265</v>
      </c>
      <c r="I696" t="s">
        <v>469</v>
      </c>
      <c r="J696">
        <v>1.864698144148455E-2</v>
      </c>
      <c r="K696" t="s">
        <v>243</v>
      </c>
      <c r="U696" t="s">
        <v>112</v>
      </c>
      <c r="V696" t="s">
        <v>1193</v>
      </c>
      <c r="W696" t="s">
        <v>573</v>
      </c>
      <c r="X696" t="s">
        <v>666</v>
      </c>
    </row>
    <row r="697" spans="8:24" x14ac:dyDescent="0.45">
      <c r="H697" t="s">
        <v>266</v>
      </c>
      <c r="I697" t="s">
        <v>469</v>
      </c>
      <c r="J697">
        <v>7.1899094610696221E-3</v>
      </c>
      <c r="K697" t="s">
        <v>243</v>
      </c>
      <c r="U697" t="s">
        <v>112</v>
      </c>
      <c r="V697" t="s">
        <v>1193</v>
      </c>
      <c r="W697" t="s">
        <v>609</v>
      </c>
      <c r="X697" t="s">
        <v>666</v>
      </c>
    </row>
    <row r="698" spans="8:24" x14ac:dyDescent="0.45">
      <c r="H698" t="s">
        <v>267</v>
      </c>
      <c r="I698" t="s">
        <v>469</v>
      </c>
      <c r="J698">
        <v>1.0495613795321284E-2</v>
      </c>
      <c r="K698" t="s">
        <v>243</v>
      </c>
      <c r="U698" t="s">
        <v>112</v>
      </c>
      <c r="V698" t="s">
        <v>1194</v>
      </c>
      <c r="W698" t="s">
        <v>609</v>
      </c>
      <c r="X698" t="s">
        <v>666</v>
      </c>
    </row>
    <row r="699" spans="8:24" x14ac:dyDescent="0.45">
      <c r="H699" t="s">
        <v>268</v>
      </c>
      <c r="I699" t="s">
        <v>469</v>
      </c>
      <c r="J699">
        <v>4.3254351271437607E-3</v>
      </c>
      <c r="K699" t="s">
        <v>243</v>
      </c>
      <c r="U699" t="s">
        <v>112</v>
      </c>
      <c r="V699" t="s">
        <v>1195</v>
      </c>
      <c r="W699" t="s">
        <v>609</v>
      </c>
      <c r="X699" t="s">
        <v>666</v>
      </c>
    </row>
    <row r="700" spans="8:24" x14ac:dyDescent="0.45">
      <c r="H700" t="s">
        <v>269</v>
      </c>
      <c r="I700" t="s">
        <v>469</v>
      </c>
      <c r="J700">
        <v>2.5800927127930723E-2</v>
      </c>
      <c r="K700" t="s">
        <v>243</v>
      </c>
      <c r="U700" t="s">
        <v>112</v>
      </c>
      <c r="V700" t="s">
        <v>1196</v>
      </c>
      <c r="W700" t="s">
        <v>609</v>
      </c>
      <c r="X700" t="s">
        <v>666</v>
      </c>
    </row>
    <row r="701" spans="8:24" x14ac:dyDescent="0.45">
      <c r="H701" t="s">
        <v>270</v>
      </c>
      <c r="I701" t="s">
        <v>469</v>
      </c>
      <c r="J701">
        <v>1.405753444086124E-2</v>
      </c>
      <c r="K701" t="s">
        <v>243</v>
      </c>
      <c r="U701" t="s">
        <v>112</v>
      </c>
      <c r="V701" t="s">
        <v>1196</v>
      </c>
      <c r="W701" t="s">
        <v>573</v>
      </c>
      <c r="X701" t="s">
        <v>547</v>
      </c>
    </row>
    <row r="702" spans="8:24" x14ac:dyDescent="0.45">
      <c r="H702" t="s">
        <v>271</v>
      </c>
      <c r="I702" t="s">
        <v>469</v>
      </c>
      <c r="J702">
        <v>3.4426870689328502E-2</v>
      </c>
      <c r="K702" t="s">
        <v>243</v>
      </c>
      <c r="U702" t="s">
        <v>112</v>
      </c>
      <c r="V702" t="s">
        <v>1197</v>
      </c>
      <c r="W702" t="s">
        <v>609</v>
      </c>
      <c r="X702" t="s">
        <v>666</v>
      </c>
    </row>
    <row r="703" spans="8:24" x14ac:dyDescent="0.45">
      <c r="H703" t="s">
        <v>272</v>
      </c>
      <c r="I703" t="s">
        <v>469</v>
      </c>
      <c r="J703">
        <v>1.1000418110446381E-2</v>
      </c>
      <c r="K703" t="s">
        <v>243</v>
      </c>
      <c r="U703" t="s">
        <v>112</v>
      </c>
      <c r="V703" t="s">
        <v>1197</v>
      </c>
      <c r="W703" t="s">
        <v>573</v>
      </c>
      <c r="X703" t="s">
        <v>547</v>
      </c>
    </row>
    <row r="704" spans="8:24" x14ac:dyDescent="0.45">
      <c r="H704" t="s">
        <v>273</v>
      </c>
      <c r="I704" t="s">
        <v>469</v>
      </c>
      <c r="J704">
        <v>3.1039562329627415E-2</v>
      </c>
      <c r="K704" t="s">
        <v>243</v>
      </c>
      <c r="U704" t="s">
        <v>112</v>
      </c>
      <c r="V704" t="s">
        <v>1198</v>
      </c>
      <c r="W704" t="s">
        <v>604</v>
      </c>
      <c r="X704" t="s">
        <v>666</v>
      </c>
    </row>
    <row r="705" spans="8:24" x14ac:dyDescent="0.45">
      <c r="H705" t="s">
        <v>274</v>
      </c>
      <c r="I705" t="s">
        <v>469</v>
      </c>
      <c r="J705">
        <v>2.8299217649428922E-2</v>
      </c>
      <c r="K705" t="s">
        <v>243</v>
      </c>
      <c r="U705" t="s">
        <v>112</v>
      </c>
      <c r="V705" t="s">
        <v>1199</v>
      </c>
      <c r="W705" t="s">
        <v>604</v>
      </c>
      <c r="X705" t="s">
        <v>666</v>
      </c>
    </row>
    <row r="706" spans="8:24" x14ac:dyDescent="0.45">
      <c r="H706" t="s">
        <v>275</v>
      </c>
      <c r="I706" t="s">
        <v>469</v>
      </c>
      <c r="J706">
        <v>1.1952000805990378E-2</v>
      </c>
      <c r="K706" t="s">
        <v>243</v>
      </c>
      <c r="U706" t="s">
        <v>112</v>
      </c>
      <c r="V706" t="s">
        <v>1200</v>
      </c>
      <c r="W706" t="s">
        <v>604</v>
      </c>
      <c r="X706" t="s">
        <v>666</v>
      </c>
    </row>
    <row r="707" spans="8:24" x14ac:dyDescent="0.45">
      <c r="H707" t="s">
        <v>276</v>
      </c>
      <c r="I707" t="s">
        <v>469</v>
      </c>
      <c r="J707">
        <v>3.5469515667934652E-2</v>
      </c>
      <c r="K707" t="s">
        <v>243</v>
      </c>
      <c r="U707" t="s">
        <v>112</v>
      </c>
      <c r="V707" t="s">
        <v>1201</v>
      </c>
      <c r="W707" t="s">
        <v>604</v>
      </c>
      <c r="X707" t="s">
        <v>666</v>
      </c>
    </row>
    <row r="708" spans="8:24" x14ac:dyDescent="0.45">
      <c r="H708" t="s">
        <v>277</v>
      </c>
      <c r="I708" t="s">
        <v>469</v>
      </c>
      <c r="J708">
        <v>1.6156975036991599E-4</v>
      </c>
      <c r="K708" t="s">
        <v>243</v>
      </c>
      <c r="U708" t="s">
        <v>112</v>
      </c>
      <c r="V708" t="s">
        <v>1202</v>
      </c>
      <c r="W708" t="s">
        <v>604</v>
      </c>
      <c r="X708" t="s">
        <v>666</v>
      </c>
    </row>
    <row r="709" spans="8:24" x14ac:dyDescent="0.45">
      <c r="H709" t="s">
        <v>278</v>
      </c>
      <c r="I709" t="s">
        <v>469</v>
      </c>
      <c r="J709">
        <v>2.3761230856444941E-2</v>
      </c>
      <c r="K709" t="s">
        <v>243</v>
      </c>
      <c r="U709" t="s">
        <v>112</v>
      </c>
      <c r="V709" t="s">
        <v>1203</v>
      </c>
      <c r="W709" t="s">
        <v>604</v>
      </c>
      <c r="X709" t="s">
        <v>666</v>
      </c>
    </row>
    <row r="710" spans="8:24" x14ac:dyDescent="0.45">
      <c r="H710" t="s">
        <v>279</v>
      </c>
      <c r="I710" t="s">
        <v>469</v>
      </c>
      <c r="J710">
        <v>5.8832428739188161E-3</v>
      </c>
      <c r="K710" t="s">
        <v>243</v>
      </c>
      <c r="U710" t="s">
        <v>112</v>
      </c>
      <c r="V710" t="s">
        <v>1204</v>
      </c>
      <c r="W710" t="s">
        <v>604</v>
      </c>
      <c r="X710" t="s">
        <v>666</v>
      </c>
    </row>
    <row r="711" spans="8:24" x14ac:dyDescent="0.45">
      <c r="H711" t="s">
        <v>280</v>
      </c>
      <c r="I711" t="s">
        <v>469</v>
      </c>
      <c r="J711">
        <v>7.8013068502856195E-4</v>
      </c>
      <c r="K711" t="s">
        <v>243</v>
      </c>
      <c r="U711" t="s">
        <v>112</v>
      </c>
      <c r="V711" t="s">
        <v>1205</v>
      </c>
      <c r="W711" t="s">
        <v>604</v>
      </c>
      <c r="X711" t="s">
        <v>666</v>
      </c>
    </row>
    <row r="712" spans="8:24" x14ac:dyDescent="0.45">
      <c r="H712" t="s">
        <v>281</v>
      </c>
      <c r="I712" t="s">
        <v>469</v>
      </c>
      <c r="J712">
        <v>2.3105306089315381E-2</v>
      </c>
      <c r="K712" t="s">
        <v>243</v>
      </c>
      <c r="U712" t="s">
        <v>112</v>
      </c>
      <c r="V712" t="s">
        <v>1206</v>
      </c>
      <c r="W712" t="s">
        <v>604</v>
      </c>
      <c r="X712" t="s">
        <v>666</v>
      </c>
    </row>
    <row r="713" spans="8:24" x14ac:dyDescent="0.45">
      <c r="H713" t="s">
        <v>282</v>
      </c>
      <c r="I713" t="s">
        <v>469</v>
      </c>
      <c r="J713">
        <v>2.1820044474176171E-2</v>
      </c>
      <c r="K713" t="s">
        <v>243</v>
      </c>
      <c r="U713" t="s">
        <v>112</v>
      </c>
      <c r="V713" t="s">
        <v>1207</v>
      </c>
      <c r="W713" t="s">
        <v>604</v>
      </c>
      <c r="X713" t="s">
        <v>666</v>
      </c>
    </row>
    <row r="714" spans="8:24" x14ac:dyDescent="0.45">
      <c r="H714" t="s">
        <v>283</v>
      </c>
      <c r="I714" t="s">
        <v>469</v>
      </c>
      <c r="J714">
        <v>8.6410921225688643E-3</v>
      </c>
      <c r="K714" t="s">
        <v>243</v>
      </c>
      <c r="U714" t="s">
        <v>112</v>
      </c>
      <c r="V714" t="s">
        <v>1208</v>
      </c>
      <c r="W714" t="s">
        <v>604</v>
      </c>
      <c r="X714" t="s">
        <v>666</v>
      </c>
    </row>
    <row r="715" spans="8:24" x14ac:dyDescent="0.45">
      <c r="H715" t="s">
        <v>284</v>
      </c>
      <c r="I715" t="s">
        <v>469</v>
      </c>
      <c r="J715">
        <v>1.7865851029570584E-2</v>
      </c>
      <c r="K715" t="s">
        <v>243</v>
      </c>
      <c r="U715" t="s">
        <v>112</v>
      </c>
      <c r="V715" t="s">
        <v>1209</v>
      </c>
      <c r="W715" t="s">
        <v>604</v>
      </c>
      <c r="X715" t="s">
        <v>666</v>
      </c>
    </row>
    <row r="716" spans="8:24" x14ac:dyDescent="0.45">
      <c r="H716" t="s">
        <v>285</v>
      </c>
      <c r="I716" t="s">
        <v>469</v>
      </c>
      <c r="J716">
        <v>1.324203606058452E-2</v>
      </c>
      <c r="K716" t="s">
        <v>243</v>
      </c>
      <c r="U716" t="s">
        <v>112</v>
      </c>
      <c r="V716" t="s">
        <v>1209</v>
      </c>
      <c r="W716" t="s">
        <v>608</v>
      </c>
      <c r="X716" t="s">
        <v>666</v>
      </c>
    </row>
    <row r="717" spans="8:24" x14ac:dyDescent="0.45">
      <c r="H717" t="s">
        <v>286</v>
      </c>
      <c r="I717" t="s">
        <v>469</v>
      </c>
      <c r="J717">
        <v>1.7650393171082406E-2</v>
      </c>
      <c r="K717" t="s">
        <v>243</v>
      </c>
      <c r="U717" t="s">
        <v>112</v>
      </c>
      <c r="V717" t="s">
        <v>1210</v>
      </c>
      <c r="W717" t="s">
        <v>604</v>
      </c>
      <c r="X717" t="s">
        <v>666</v>
      </c>
    </row>
    <row r="718" spans="8:24" x14ac:dyDescent="0.45">
      <c r="H718" t="s">
        <v>287</v>
      </c>
      <c r="I718" t="s">
        <v>469</v>
      </c>
      <c r="J718">
        <v>8.9705086198717202E-3</v>
      </c>
      <c r="K718" t="s">
        <v>243</v>
      </c>
      <c r="U718" t="s">
        <v>112</v>
      </c>
      <c r="V718" t="s">
        <v>1210</v>
      </c>
      <c r="W718" t="s">
        <v>608</v>
      </c>
      <c r="X718" t="s">
        <v>666</v>
      </c>
    </row>
    <row r="719" spans="8:24" x14ac:dyDescent="0.45">
      <c r="H719" t="s">
        <v>288</v>
      </c>
      <c r="I719" t="s">
        <v>469</v>
      </c>
      <c r="J719">
        <v>1.8154792518597699E-3</v>
      </c>
      <c r="K719" t="s">
        <v>243</v>
      </c>
      <c r="U719" t="s">
        <v>112</v>
      </c>
      <c r="V719" t="s">
        <v>1211</v>
      </c>
      <c r="W719" t="s">
        <v>604</v>
      </c>
      <c r="X719" t="s">
        <v>666</v>
      </c>
    </row>
    <row r="720" spans="8:24" x14ac:dyDescent="0.45">
      <c r="H720" t="s">
        <v>289</v>
      </c>
      <c r="I720" t="s">
        <v>469</v>
      </c>
      <c r="J720">
        <v>1.0193733781361899E-2</v>
      </c>
      <c r="K720" t="s">
        <v>243</v>
      </c>
      <c r="U720" t="s">
        <v>112</v>
      </c>
      <c r="V720" t="s">
        <v>1211</v>
      </c>
      <c r="W720" t="s">
        <v>608</v>
      </c>
      <c r="X720" t="s">
        <v>666</v>
      </c>
    </row>
    <row r="721" spans="8:24" x14ac:dyDescent="0.45">
      <c r="H721" t="s">
        <v>290</v>
      </c>
      <c r="I721" t="s">
        <v>469</v>
      </c>
      <c r="J721">
        <v>2.1190661901700786E-2</v>
      </c>
      <c r="K721" t="s">
        <v>243</v>
      </c>
      <c r="U721" t="s">
        <v>112</v>
      </c>
      <c r="V721" t="s">
        <v>1212</v>
      </c>
      <c r="W721" t="s">
        <v>604</v>
      </c>
      <c r="X721" t="s">
        <v>666</v>
      </c>
    </row>
    <row r="722" spans="8:24" x14ac:dyDescent="0.45">
      <c r="H722" t="s">
        <v>291</v>
      </c>
      <c r="I722" t="s">
        <v>469</v>
      </c>
      <c r="J722">
        <v>2.7214004573236993E-2</v>
      </c>
      <c r="K722" t="s">
        <v>243</v>
      </c>
      <c r="U722" t="s">
        <v>112</v>
      </c>
      <c r="V722" t="s">
        <v>1212</v>
      </c>
      <c r="W722" t="s">
        <v>608</v>
      </c>
      <c r="X722" t="s">
        <v>666</v>
      </c>
    </row>
    <row r="723" spans="8:24" x14ac:dyDescent="0.45">
      <c r="H723" t="s">
        <v>292</v>
      </c>
      <c r="I723" t="s">
        <v>469</v>
      </c>
      <c r="J723">
        <v>1.8283289522999763E-2</v>
      </c>
      <c r="K723" t="s">
        <v>243</v>
      </c>
      <c r="U723" t="s">
        <v>112</v>
      </c>
      <c r="V723" t="s">
        <v>1213</v>
      </c>
      <c r="W723" t="s">
        <v>608</v>
      </c>
      <c r="X723" t="s">
        <v>666</v>
      </c>
    </row>
    <row r="724" spans="8:24" x14ac:dyDescent="0.45">
      <c r="H724" t="s">
        <v>293</v>
      </c>
      <c r="I724" t="s">
        <v>469</v>
      </c>
      <c r="J724">
        <v>1.8681500065978192E-2</v>
      </c>
      <c r="K724" t="s">
        <v>243</v>
      </c>
      <c r="U724" t="s">
        <v>112</v>
      </c>
      <c r="V724" t="s">
        <v>1214</v>
      </c>
      <c r="W724" t="s">
        <v>608</v>
      </c>
      <c r="X724" t="s">
        <v>666</v>
      </c>
    </row>
    <row r="725" spans="8:24" x14ac:dyDescent="0.45">
      <c r="H725" t="s">
        <v>294</v>
      </c>
      <c r="I725" t="s">
        <v>469</v>
      </c>
      <c r="J725">
        <v>5.1300524772893898E-3</v>
      </c>
      <c r="K725" t="s">
        <v>243</v>
      </c>
      <c r="U725" t="s">
        <v>112</v>
      </c>
      <c r="V725" t="s">
        <v>1215</v>
      </c>
      <c r="W725" t="s">
        <v>608</v>
      </c>
      <c r="X725" t="s">
        <v>666</v>
      </c>
    </row>
    <row r="726" spans="8:24" x14ac:dyDescent="0.45">
      <c r="H726" t="s">
        <v>295</v>
      </c>
      <c r="I726" t="s">
        <v>469</v>
      </c>
      <c r="J726">
        <v>1.5461363788657192E-2</v>
      </c>
      <c r="K726" t="s">
        <v>243</v>
      </c>
      <c r="U726" t="s">
        <v>112</v>
      </c>
      <c r="V726" t="s">
        <v>1215</v>
      </c>
      <c r="W726" t="s">
        <v>604</v>
      </c>
      <c r="X726" t="s">
        <v>547</v>
      </c>
    </row>
    <row r="727" spans="8:24" x14ac:dyDescent="0.45">
      <c r="H727" t="s">
        <v>296</v>
      </c>
      <c r="I727" t="s">
        <v>469</v>
      </c>
      <c r="J727">
        <v>2.0263204175399025E-2</v>
      </c>
      <c r="K727" t="s">
        <v>243</v>
      </c>
      <c r="U727" t="s">
        <v>112</v>
      </c>
      <c r="V727" t="s">
        <v>1216</v>
      </c>
      <c r="W727" t="s">
        <v>608</v>
      </c>
      <c r="X727" t="s">
        <v>666</v>
      </c>
    </row>
    <row r="728" spans="8:24" x14ac:dyDescent="0.45">
      <c r="H728" t="s">
        <v>297</v>
      </c>
      <c r="I728" t="s">
        <v>469</v>
      </c>
      <c r="J728">
        <v>3.7729505193986705E-2</v>
      </c>
      <c r="K728" t="s">
        <v>243</v>
      </c>
      <c r="U728" t="s">
        <v>112</v>
      </c>
      <c r="V728" t="s">
        <v>1216</v>
      </c>
      <c r="W728" t="s">
        <v>604</v>
      </c>
      <c r="X728" t="s">
        <v>547</v>
      </c>
    </row>
    <row r="729" spans="8:24" x14ac:dyDescent="0.45">
      <c r="H729" t="s">
        <v>298</v>
      </c>
      <c r="I729" t="s">
        <v>469</v>
      </c>
      <c r="J729">
        <v>3.4268075616681118E-2</v>
      </c>
      <c r="K729" t="s">
        <v>243</v>
      </c>
      <c r="U729" t="s">
        <v>112</v>
      </c>
      <c r="V729" t="s">
        <v>1217</v>
      </c>
      <c r="W729" t="s">
        <v>574</v>
      </c>
      <c r="X729" t="s">
        <v>666</v>
      </c>
    </row>
    <row r="730" spans="8:24" x14ac:dyDescent="0.45">
      <c r="H730" t="s">
        <v>299</v>
      </c>
      <c r="I730" t="s">
        <v>469</v>
      </c>
      <c r="J730">
        <v>1.3115205940839829E-2</v>
      </c>
      <c r="K730" t="s">
        <v>243</v>
      </c>
      <c r="U730" t="s">
        <v>112</v>
      </c>
      <c r="V730" t="s">
        <v>1218</v>
      </c>
      <c r="W730" t="s">
        <v>574</v>
      </c>
      <c r="X730" t="s">
        <v>666</v>
      </c>
    </row>
    <row r="731" spans="8:24" x14ac:dyDescent="0.45">
      <c r="H731" t="s">
        <v>300</v>
      </c>
      <c r="I731" t="s">
        <v>469</v>
      </c>
      <c r="J731">
        <v>9.7436705237028218E-3</v>
      </c>
      <c r="K731" t="s">
        <v>243</v>
      </c>
      <c r="U731" t="s">
        <v>112</v>
      </c>
      <c r="V731" t="s">
        <v>1219</v>
      </c>
      <c r="W731" t="s">
        <v>574</v>
      </c>
      <c r="X731" t="s">
        <v>666</v>
      </c>
    </row>
    <row r="732" spans="8:24" x14ac:dyDescent="0.45">
      <c r="H732" t="s">
        <v>470</v>
      </c>
      <c r="I732" t="s">
        <v>469</v>
      </c>
      <c r="J732">
        <v>6.9138205125889619E-3</v>
      </c>
      <c r="K732" t="s">
        <v>243</v>
      </c>
      <c r="U732" t="s">
        <v>112</v>
      </c>
      <c r="V732" t="s">
        <v>1220</v>
      </c>
      <c r="W732" t="s">
        <v>574</v>
      </c>
      <c r="X732" t="s">
        <v>666</v>
      </c>
    </row>
    <row r="733" spans="8:24" x14ac:dyDescent="0.45">
      <c r="H733" t="s">
        <v>471</v>
      </c>
      <c r="I733" t="s">
        <v>469</v>
      </c>
      <c r="J733">
        <v>1.8116399724624321E-3</v>
      </c>
      <c r="K733" t="s">
        <v>243</v>
      </c>
      <c r="U733" t="s">
        <v>112</v>
      </c>
      <c r="V733" t="s">
        <v>1221</v>
      </c>
      <c r="W733" t="s">
        <v>574</v>
      </c>
      <c r="X733" t="s">
        <v>666</v>
      </c>
    </row>
    <row r="734" spans="8:24" x14ac:dyDescent="0.45">
      <c r="H734" t="s">
        <v>472</v>
      </c>
      <c r="I734" t="s">
        <v>469</v>
      </c>
      <c r="J734">
        <v>1.683999603144908E-3</v>
      </c>
      <c r="K734" t="s">
        <v>243</v>
      </c>
      <c r="U734" t="s">
        <v>112</v>
      </c>
      <c r="V734" t="s">
        <v>1222</v>
      </c>
      <c r="W734" t="s">
        <v>574</v>
      </c>
      <c r="X734" t="s">
        <v>666</v>
      </c>
    </row>
    <row r="735" spans="8:24" x14ac:dyDescent="0.45">
      <c r="H735" t="s">
        <v>301</v>
      </c>
      <c r="I735" t="s">
        <v>469</v>
      </c>
      <c r="J735">
        <v>5.2703075544178836E-2</v>
      </c>
      <c r="K735" t="s">
        <v>243</v>
      </c>
      <c r="U735" t="s">
        <v>112</v>
      </c>
      <c r="V735" t="s">
        <v>1223</v>
      </c>
      <c r="W735" t="s">
        <v>574</v>
      </c>
      <c r="X735" t="s">
        <v>666</v>
      </c>
    </row>
    <row r="736" spans="8:24" x14ac:dyDescent="0.45">
      <c r="H736" t="s">
        <v>302</v>
      </c>
      <c r="I736" t="s">
        <v>469</v>
      </c>
      <c r="J736">
        <v>1.8384588031274261E-2</v>
      </c>
      <c r="K736" t="s">
        <v>243</v>
      </c>
      <c r="U736" t="s">
        <v>112</v>
      </c>
      <c r="V736" t="s">
        <v>1224</v>
      </c>
      <c r="W736" t="s">
        <v>574</v>
      </c>
      <c r="X736" t="s">
        <v>666</v>
      </c>
    </row>
    <row r="737" spans="8:24" x14ac:dyDescent="0.45">
      <c r="H737" t="s">
        <v>303</v>
      </c>
      <c r="I737" t="s">
        <v>469</v>
      </c>
      <c r="J737">
        <v>3.1336047248973702E-2</v>
      </c>
      <c r="K737" t="s">
        <v>243</v>
      </c>
      <c r="U737" t="s">
        <v>112</v>
      </c>
      <c r="V737" t="s">
        <v>1225</v>
      </c>
      <c r="W737" t="s">
        <v>574</v>
      </c>
      <c r="X737" t="s">
        <v>666</v>
      </c>
    </row>
    <row r="738" spans="8:24" x14ac:dyDescent="0.45">
      <c r="H738" t="s">
        <v>304</v>
      </c>
      <c r="I738" t="s">
        <v>469</v>
      </c>
      <c r="J738">
        <v>1.5406117499191706E-2</v>
      </c>
      <c r="K738" t="s">
        <v>243</v>
      </c>
      <c r="U738" t="s">
        <v>112</v>
      </c>
      <c r="V738" t="s">
        <v>1226</v>
      </c>
      <c r="W738" t="s">
        <v>574</v>
      </c>
      <c r="X738" t="s">
        <v>666</v>
      </c>
    </row>
    <row r="739" spans="8:24" x14ac:dyDescent="0.45">
      <c r="H739" t="s">
        <v>305</v>
      </c>
      <c r="I739" t="s">
        <v>469</v>
      </c>
      <c r="J739">
        <v>3.5216225546079068E-2</v>
      </c>
      <c r="K739" t="s">
        <v>243</v>
      </c>
      <c r="U739" t="s">
        <v>112</v>
      </c>
      <c r="V739" t="s">
        <v>1227</v>
      </c>
      <c r="W739" t="s">
        <v>574</v>
      </c>
      <c r="X739" t="s">
        <v>666</v>
      </c>
    </row>
    <row r="740" spans="8:24" x14ac:dyDescent="0.45">
      <c r="H740" t="s">
        <v>306</v>
      </c>
      <c r="I740" t="s">
        <v>469</v>
      </c>
      <c r="J740">
        <v>2.9188663941177299E-2</v>
      </c>
      <c r="K740" t="s">
        <v>243</v>
      </c>
      <c r="U740" t="s">
        <v>112</v>
      </c>
      <c r="V740" t="s">
        <v>1228</v>
      </c>
      <c r="W740" t="s">
        <v>574</v>
      </c>
      <c r="X740" t="s">
        <v>666</v>
      </c>
    </row>
    <row r="741" spans="8:24" x14ac:dyDescent="0.45">
      <c r="H741" t="s">
        <v>307</v>
      </c>
      <c r="I741" t="s">
        <v>469</v>
      </c>
      <c r="J741">
        <v>1.2470273212603612E-2</v>
      </c>
      <c r="K741" t="s">
        <v>243</v>
      </c>
      <c r="U741" t="s">
        <v>112</v>
      </c>
      <c r="V741" t="s">
        <v>1228</v>
      </c>
      <c r="W741" t="s">
        <v>628</v>
      </c>
      <c r="X741" t="s">
        <v>666</v>
      </c>
    </row>
    <row r="742" spans="8:24" x14ac:dyDescent="0.45">
      <c r="H742" t="s">
        <v>308</v>
      </c>
      <c r="I742" t="s">
        <v>469</v>
      </c>
      <c r="J742">
        <v>1.2471730954208834E-2</v>
      </c>
      <c r="K742" t="s">
        <v>243</v>
      </c>
      <c r="U742" t="s">
        <v>112</v>
      </c>
      <c r="V742" t="s">
        <v>1229</v>
      </c>
      <c r="W742" t="s">
        <v>574</v>
      </c>
      <c r="X742" t="s">
        <v>666</v>
      </c>
    </row>
    <row r="743" spans="8:24" x14ac:dyDescent="0.45">
      <c r="H743" t="s">
        <v>309</v>
      </c>
      <c r="I743" t="s">
        <v>469</v>
      </c>
      <c r="J743">
        <v>1.7556182695526452E-2</v>
      </c>
      <c r="K743" t="s">
        <v>243</v>
      </c>
      <c r="U743" t="s">
        <v>112</v>
      </c>
      <c r="V743" t="s">
        <v>1229</v>
      </c>
      <c r="W743" t="s">
        <v>628</v>
      </c>
      <c r="X743" t="s">
        <v>666</v>
      </c>
    </row>
    <row r="744" spans="8:24" x14ac:dyDescent="0.45">
      <c r="H744" t="s">
        <v>310</v>
      </c>
      <c r="I744" t="s">
        <v>469</v>
      </c>
      <c r="J744">
        <v>3.1184374379652227E-2</v>
      </c>
      <c r="K744" t="s">
        <v>243</v>
      </c>
      <c r="U744" t="s">
        <v>112</v>
      </c>
      <c r="V744" t="s">
        <v>1230</v>
      </c>
      <c r="W744" t="s">
        <v>574</v>
      </c>
      <c r="X744" t="s">
        <v>666</v>
      </c>
    </row>
    <row r="745" spans="8:24" x14ac:dyDescent="0.45">
      <c r="H745" t="s">
        <v>311</v>
      </c>
      <c r="I745" t="s">
        <v>469</v>
      </c>
      <c r="J745">
        <v>1.707937460806234E-3</v>
      </c>
      <c r="K745" t="s">
        <v>243</v>
      </c>
      <c r="U745" t="s">
        <v>112</v>
      </c>
      <c r="V745" t="s">
        <v>1230</v>
      </c>
      <c r="W745" t="s">
        <v>628</v>
      </c>
      <c r="X745" t="s">
        <v>666</v>
      </c>
    </row>
    <row r="746" spans="8:24" x14ac:dyDescent="0.45">
      <c r="H746" t="s">
        <v>312</v>
      </c>
      <c r="I746" t="s">
        <v>469</v>
      </c>
      <c r="J746">
        <v>1.5869738336310783E-2</v>
      </c>
      <c r="K746" t="s">
        <v>243</v>
      </c>
      <c r="U746" t="s">
        <v>112</v>
      </c>
      <c r="V746" t="s">
        <v>1231</v>
      </c>
      <c r="W746" t="s">
        <v>574</v>
      </c>
      <c r="X746" t="s">
        <v>666</v>
      </c>
    </row>
    <row r="747" spans="8:24" x14ac:dyDescent="0.45">
      <c r="H747" t="s">
        <v>313</v>
      </c>
      <c r="I747" t="s">
        <v>469</v>
      </c>
      <c r="J747">
        <v>2.614290438044891E-2</v>
      </c>
      <c r="K747" t="s">
        <v>243</v>
      </c>
      <c r="U747" t="s">
        <v>112</v>
      </c>
      <c r="V747" t="s">
        <v>1231</v>
      </c>
      <c r="W747" t="s">
        <v>628</v>
      </c>
      <c r="X747" t="s">
        <v>666</v>
      </c>
    </row>
    <row r="748" spans="8:24" x14ac:dyDescent="0.45">
      <c r="H748" t="s">
        <v>314</v>
      </c>
      <c r="I748" t="s">
        <v>469</v>
      </c>
      <c r="J748">
        <v>4.0038758071454655E-3</v>
      </c>
      <c r="K748" t="s">
        <v>243</v>
      </c>
      <c r="U748" t="s">
        <v>112</v>
      </c>
      <c r="V748" t="s">
        <v>1232</v>
      </c>
      <c r="W748" t="s">
        <v>628</v>
      </c>
      <c r="X748" t="s">
        <v>666</v>
      </c>
    </row>
    <row r="749" spans="8:24" x14ac:dyDescent="0.45">
      <c r="H749" t="s">
        <v>315</v>
      </c>
      <c r="I749" t="s">
        <v>469</v>
      </c>
      <c r="J749">
        <v>2.5786477604542536E-2</v>
      </c>
      <c r="K749" t="s">
        <v>243</v>
      </c>
      <c r="U749" t="s">
        <v>112</v>
      </c>
      <c r="V749" t="s">
        <v>1233</v>
      </c>
      <c r="W749" t="s">
        <v>628</v>
      </c>
      <c r="X749" t="s">
        <v>666</v>
      </c>
    </row>
    <row r="750" spans="8:24" x14ac:dyDescent="0.45">
      <c r="H750" t="s">
        <v>316</v>
      </c>
      <c r="I750" t="s">
        <v>469</v>
      </c>
      <c r="J750">
        <v>3.248127330065422E-3</v>
      </c>
      <c r="K750" t="s">
        <v>243</v>
      </c>
      <c r="U750" t="s">
        <v>112</v>
      </c>
      <c r="V750" t="s">
        <v>1234</v>
      </c>
      <c r="W750" t="s">
        <v>628</v>
      </c>
      <c r="X750" t="s">
        <v>666</v>
      </c>
    </row>
    <row r="751" spans="8:24" x14ac:dyDescent="0.45">
      <c r="H751" t="s">
        <v>317</v>
      </c>
      <c r="I751" t="s">
        <v>469</v>
      </c>
      <c r="J751">
        <v>1.2203844447429264E-2</v>
      </c>
      <c r="K751" t="s">
        <v>243</v>
      </c>
      <c r="U751" t="s">
        <v>112</v>
      </c>
      <c r="V751" t="s">
        <v>1234</v>
      </c>
      <c r="W751" t="s">
        <v>574</v>
      </c>
      <c r="X751" t="s">
        <v>547</v>
      </c>
    </row>
    <row r="752" spans="8:24" x14ac:dyDescent="0.45">
      <c r="H752" t="s">
        <v>318</v>
      </c>
      <c r="I752" t="s">
        <v>469</v>
      </c>
      <c r="J752">
        <v>4.8883022311723735E-3</v>
      </c>
      <c r="K752" t="s">
        <v>243</v>
      </c>
      <c r="U752" t="s">
        <v>112</v>
      </c>
      <c r="V752" t="s">
        <v>1235</v>
      </c>
      <c r="W752" t="s">
        <v>628</v>
      </c>
      <c r="X752" t="s">
        <v>666</v>
      </c>
    </row>
    <row r="753" spans="8:24" x14ac:dyDescent="0.45">
      <c r="H753" t="s">
        <v>319</v>
      </c>
      <c r="I753" t="s">
        <v>469</v>
      </c>
      <c r="J753">
        <v>7.1447070593131518E-3</v>
      </c>
      <c r="K753" t="s">
        <v>243</v>
      </c>
      <c r="U753" t="s">
        <v>112</v>
      </c>
      <c r="V753" t="s">
        <v>1235</v>
      </c>
      <c r="W753" t="s">
        <v>574</v>
      </c>
      <c r="X753" t="s">
        <v>547</v>
      </c>
    </row>
    <row r="754" spans="8:24" x14ac:dyDescent="0.45">
      <c r="H754" t="s">
        <v>320</v>
      </c>
      <c r="I754" t="s">
        <v>469</v>
      </c>
      <c r="J754">
        <v>5.0022070085081081E-3</v>
      </c>
      <c r="K754" t="s">
        <v>243</v>
      </c>
      <c r="U754" t="s">
        <v>112</v>
      </c>
      <c r="V754" t="s">
        <v>1236</v>
      </c>
      <c r="W754" t="s">
        <v>575</v>
      </c>
      <c r="X754" t="s">
        <v>666</v>
      </c>
    </row>
    <row r="755" spans="8:24" x14ac:dyDescent="0.45">
      <c r="H755" t="s">
        <v>321</v>
      </c>
      <c r="I755" t="s">
        <v>469</v>
      </c>
      <c r="J755">
        <v>1.864698144148455E-2</v>
      </c>
      <c r="K755" t="s">
        <v>243</v>
      </c>
      <c r="U755" t="s">
        <v>112</v>
      </c>
      <c r="V755" t="s">
        <v>1237</v>
      </c>
      <c r="W755" t="s">
        <v>575</v>
      </c>
      <c r="X755" t="s">
        <v>666</v>
      </c>
    </row>
    <row r="756" spans="8:24" x14ac:dyDescent="0.45">
      <c r="H756" t="s">
        <v>322</v>
      </c>
      <c r="I756" t="s">
        <v>469</v>
      </c>
      <c r="J756">
        <v>7.1899094610696221E-3</v>
      </c>
      <c r="K756" t="s">
        <v>243</v>
      </c>
      <c r="U756" t="s">
        <v>112</v>
      </c>
      <c r="V756" t="s">
        <v>1238</v>
      </c>
      <c r="W756" t="s">
        <v>575</v>
      </c>
      <c r="X756" t="s">
        <v>666</v>
      </c>
    </row>
    <row r="757" spans="8:24" x14ac:dyDescent="0.45">
      <c r="H757" t="s">
        <v>323</v>
      </c>
      <c r="I757" t="s">
        <v>469</v>
      </c>
      <c r="J757">
        <v>1.0495613795321284E-2</v>
      </c>
      <c r="K757" t="s">
        <v>243</v>
      </c>
      <c r="U757" t="s">
        <v>112</v>
      </c>
      <c r="V757" t="s">
        <v>1239</v>
      </c>
      <c r="W757" t="s">
        <v>575</v>
      </c>
      <c r="X757" t="s">
        <v>666</v>
      </c>
    </row>
    <row r="758" spans="8:24" x14ac:dyDescent="0.45">
      <c r="H758" t="s">
        <v>324</v>
      </c>
      <c r="I758" t="s">
        <v>469</v>
      </c>
      <c r="J758">
        <v>4.3254351271437607E-3</v>
      </c>
      <c r="K758" t="s">
        <v>243</v>
      </c>
      <c r="U758" t="s">
        <v>112</v>
      </c>
      <c r="V758" t="s">
        <v>1240</v>
      </c>
      <c r="W758" t="s">
        <v>575</v>
      </c>
      <c r="X758" t="s">
        <v>666</v>
      </c>
    </row>
    <row r="759" spans="8:24" x14ac:dyDescent="0.45">
      <c r="H759" t="s">
        <v>325</v>
      </c>
      <c r="I759" t="s">
        <v>469</v>
      </c>
      <c r="J759">
        <v>2.5800927127930723E-2</v>
      </c>
      <c r="K759" t="s">
        <v>243</v>
      </c>
      <c r="U759" t="s">
        <v>112</v>
      </c>
      <c r="V759" t="s">
        <v>1241</v>
      </c>
      <c r="W759" t="s">
        <v>575</v>
      </c>
      <c r="X759" t="s">
        <v>666</v>
      </c>
    </row>
    <row r="760" spans="8:24" x14ac:dyDescent="0.45">
      <c r="H760" t="s">
        <v>326</v>
      </c>
      <c r="I760" t="s">
        <v>469</v>
      </c>
      <c r="J760">
        <v>1.405753444086124E-2</v>
      </c>
      <c r="K760" t="s">
        <v>243</v>
      </c>
      <c r="U760" t="s">
        <v>112</v>
      </c>
      <c r="V760" t="s">
        <v>1242</v>
      </c>
      <c r="W760" t="s">
        <v>575</v>
      </c>
      <c r="X760" t="s">
        <v>666</v>
      </c>
    </row>
    <row r="761" spans="8:24" x14ac:dyDescent="0.45">
      <c r="H761" t="s">
        <v>327</v>
      </c>
      <c r="I761" t="s">
        <v>469</v>
      </c>
      <c r="J761">
        <v>3.4426870689328502E-2</v>
      </c>
      <c r="K761" t="s">
        <v>243</v>
      </c>
      <c r="U761" t="s">
        <v>112</v>
      </c>
      <c r="V761" t="s">
        <v>1243</v>
      </c>
      <c r="W761" t="s">
        <v>575</v>
      </c>
      <c r="X761" t="s">
        <v>666</v>
      </c>
    </row>
    <row r="762" spans="8:24" x14ac:dyDescent="0.45">
      <c r="H762" t="s">
        <v>328</v>
      </c>
      <c r="I762" t="s">
        <v>469</v>
      </c>
      <c r="J762">
        <v>1.1000418110446381E-2</v>
      </c>
      <c r="K762" t="s">
        <v>243</v>
      </c>
      <c r="U762" t="s">
        <v>112</v>
      </c>
      <c r="V762" t="s">
        <v>1244</v>
      </c>
      <c r="W762" t="s">
        <v>575</v>
      </c>
      <c r="X762" t="s">
        <v>666</v>
      </c>
    </row>
    <row r="763" spans="8:24" x14ac:dyDescent="0.45">
      <c r="H763" t="s">
        <v>329</v>
      </c>
      <c r="I763" t="s">
        <v>469</v>
      </c>
      <c r="J763">
        <v>3.1039562329627415E-2</v>
      </c>
      <c r="K763" t="s">
        <v>243</v>
      </c>
      <c r="U763" t="s">
        <v>112</v>
      </c>
      <c r="V763" t="s">
        <v>1245</v>
      </c>
      <c r="W763" t="s">
        <v>575</v>
      </c>
      <c r="X763" t="s">
        <v>666</v>
      </c>
    </row>
    <row r="764" spans="8:24" x14ac:dyDescent="0.45">
      <c r="H764" t="s">
        <v>330</v>
      </c>
      <c r="I764" t="s">
        <v>469</v>
      </c>
      <c r="J764">
        <v>2.8299217649428922E-2</v>
      </c>
      <c r="K764" t="s">
        <v>243</v>
      </c>
      <c r="U764" t="s">
        <v>112</v>
      </c>
      <c r="V764" t="s">
        <v>1246</v>
      </c>
      <c r="W764" t="s">
        <v>575</v>
      </c>
      <c r="X764" t="s">
        <v>666</v>
      </c>
    </row>
    <row r="765" spans="8:24" x14ac:dyDescent="0.45">
      <c r="H765" t="s">
        <v>331</v>
      </c>
      <c r="I765" t="s">
        <v>469</v>
      </c>
      <c r="J765">
        <v>1.1952000805990378E-2</v>
      </c>
      <c r="K765" t="s">
        <v>243</v>
      </c>
      <c r="U765" t="s">
        <v>112</v>
      </c>
      <c r="V765" t="s">
        <v>1247</v>
      </c>
      <c r="W765" t="s">
        <v>575</v>
      </c>
      <c r="X765" t="s">
        <v>666</v>
      </c>
    </row>
    <row r="766" spans="8:24" x14ac:dyDescent="0.45">
      <c r="H766" t="s">
        <v>332</v>
      </c>
      <c r="I766" t="s">
        <v>469</v>
      </c>
      <c r="J766">
        <v>3.5469515667934652E-2</v>
      </c>
      <c r="K766" t="s">
        <v>243</v>
      </c>
      <c r="U766" t="s">
        <v>112</v>
      </c>
      <c r="V766" t="s">
        <v>1247</v>
      </c>
      <c r="W766" t="s">
        <v>621</v>
      </c>
      <c r="X766" t="s">
        <v>666</v>
      </c>
    </row>
    <row r="767" spans="8:24" x14ac:dyDescent="0.45">
      <c r="H767" t="s">
        <v>333</v>
      </c>
      <c r="I767" t="s">
        <v>469</v>
      </c>
      <c r="J767">
        <v>1.6156975036991599E-4</v>
      </c>
      <c r="K767" t="s">
        <v>243</v>
      </c>
      <c r="U767" t="s">
        <v>112</v>
      </c>
      <c r="V767" t="s">
        <v>1248</v>
      </c>
      <c r="W767" t="s">
        <v>575</v>
      </c>
      <c r="X767" t="s">
        <v>666</v>
      </c>
    </row>
    <row r="768" spans="8:24" x14ac:dyDescent="0.45">
      <c r="H768" t="s">
        <v>334</v>
      </c>
      <c r="I768" t="s">
        <v>469</v>
      </c>
      <c r="J768">
        <v>2.3761230856444941E-2</v>
      </c>
      <c r="K768" t="s">
        <v>243</v>
      </c>
      <c r="U768" t="s">
        <v>112</v>
      </c>
      <c r="V768" t="s">
        <v>1248</v>
      </c>
      <c r="W768" t="s">
        <v>621</v>
      </c>
      <c r="X768" t="s">
        <v>666</v>
      </c>
    </row>
    <row r="769" spans="8:24" x14ac:dyDescent="0.45">
      <c r="H769" t="s">
        <v>335</v>
      </c>
      <c r="I769" t="s">
        <v>469</v>
      </c>
      <c r="J769">
        <v>5.8832428739188161E-3</v>
      </c>
      <c r="K769" t="s">
        <v>243</v>
      </c>
      <c r="U769" t="s">
        <v>112</v>
      </c>
      <c r="V769" t="s">
        <v>1249</v>
      </c>
      <c r="W769" t="s">
        <v>575</v>
      </c>
      <c r="X769" t="s">
        <v>666</v>
      </c>
    </row>
    <row r="770" spans="8:24" x14ac:dyDescent="0.45">
      <c r="H770" t="s">
        <v>336</v>
      </c>
      <c r="I770" t="s">
        <v>469</v>
      </c>
      <c r="J770">
        <v>7.8013068502856195E-4</v>
      </c>
      <c r="K770" t="s">
        <v>243</v>
      </c>
      <c r="U770" t="s">
        <v>112</v>
      </c>
      <c r="V770" t="s">
        <v>1249</v>
      </c>
      <c r="W770" t="s">
        <v>621</v>
      </c>
      <c r="X770" t="s">
        <v>666</v>
      </c>
    </row>
    <row r="771" spans="8:24" x14ac:dyDescent="0.45">
      <c r="H771" t="s">
        <v>337</v>
      </c>
      <c r="I771" t="s">
        <v>469</v>
      </c>
      <c r="J771">
        <v>2.3105306089315381E-2</v>
      </c>
      <c r="K771" t="s">
        <v>243</v>
      </c>
      <c r="U771" t="s">
        <v>112</v>
      </c>
      <c r="V771" t="s">
        <v>1250</v>
      </c>
      <c r="W771" t="s">
        <v>575</v>
      </c>
      <c r="X771" t="s">
        <v>666</v>
      </c>
    </row>
    <row r="772" spans="8:24" x14ac:dyDescent="0.45">
      <c r="H772" t="s">
        <v>338</v>
      </c>
      <c r="I772" t="s">
        <v>469</v>
      </c>
      <c r="J772">
        <v>2.1820044474176171E-2</v>
      </c>
      <c r="K772" t="s">
        <v>243</v>
      </c>
      <c r="U772" t="s">
        <v>112</v>
      </c>
      <c r="V772" t="s">
        <v>1250</v>
      </c>
      <c r="W772" t="s">
        <v>621</v>
      </c>
      <c r="X772" t="s">
        <v>666</v>
      </c>
    </row>
    <row r="773" spans="8:24" x14ac:dyDescent="0.45">
      <c r="H773" t="s">
        <v>339</v>
      </c>
      <c r="I773" t="s">
        <v>469</v>
      </c>
      <c r="J773">
        <v>8.6410921225688643E-3</v>
      </c>
      <c r="K773" t="s">
        <v>243</v>
      </c>
      <c r="U773" t="s">
        <v>112</v>
      </c>
      <c r="V773" t="s">
        <v>1251</v>
      </c>
      <c r="W773" t="s">
        <v>621</v>
      </c>
      <c r="X773" t="s">
        <v>666</v>
      </c>
    </row>
    <row r="774" spans="8:24" x14ac:dyDescent="0.45">
      <c r="H774" t="s">
        <v>340</v>
      </c>
      <c r="I774" t="s">
        <v>469</v>
      </c>
      <c r="J774">
        <v>1.7865851029570584E-2</v>
      </c>
      <c r="K774" t="s">
        <v>243</v>
      </c>
      <c r="U774" t="s">
        <v>112</v>
      </c>
      <c r="V774" t="s">
        <v>1252</v>
      </c>
      <c r="W774" t="s">
        <v>621</v>
      </c>
      <c r="X774" t="s">
        <v>666</v>
      </c>
    </row>
    <row r="775" spans="8:24" x14ac:dyDescent="0.45">
      <c r="H775" t="s">
        <v>341</v>
      </c>
      <c r="I775" t="s">
        <v>469</v>
      </c>
      <c r="J775">
        <v>1.324203606058452E-2</v>
      </c>
      <c r="K775" t="s">
        <v>243</v>
      </c>
      <c r="U775" t="s">
        <v>112</v>
      </c>
      <c r="V775" t="s">
        <v>1253</v>
      </c>
      <c r="W775" t="s">
        <v>621</v>
      </c>
      <c r="X775" t="s">
        <v>666</v>
      </c>
    </row>
    <row r="776" spans="8:24" x14ac:dyDescent="0.45">
      <c r="H776" t="s">
        <v>342</v>
      </c>
      <c r="I776" t="s">
        <v>469</v>
      </c>
      <c r="J776">
        <v>1.7650393171082406E-2</v>
      </c>
      <c r="K776" t="s">
        <v>243</v>
      </c>
      <c r="U776" t="s">
        <v>112</v>
      </c>
      <c r="V776" t="s">
        <v>1253</v>
      </c>
      <c r="W776" t="s">
        <v>575</v>
      </c>
      <c r="X776" t="s">
        <v>547</v>
      </c>
    </row>
    <row r="777" spans="8:24" x14ac:dyDescent="0.45">
      <c r="H777" t="s">
        <v>343</v>
      </c>
      <c r="I777" t="s">
        <v>469</v>
      </c>
      <c r="J777">
        <v>8.9705086198717202E-3</v>
      </c>
      <c r="K777" t="s">
        <v>243</v>
      </c>
      <c r="U777" t="s">
        <v>112</v>
      </c>
      <c r="V777" t="s">
        <v>1254</v>
      </c>
      <c r="W777" t="s">
        <v>621</v>
      </c>
      <c r="X777" t="s">
        <v>666</v>
      </c>
    </row>
    <row r="778" spans="8:24" x14ac:dyDescent="0.45">
      <c r="H778" t="s">
        <v>344</v>
      </c>
      <c r="I778" t="s">
        <v>469</v>
      </c>
      <c r="J778">
        <v>1.8154792518597699E-3</v>
      </c>
      <c r="K778" t="s">
        <v>243</v>
      </c>
      <c r="U778" t="s">
        <v>112</v>
      </c>
      <c r="V778" t="s">
        <v>1254</v>
      </c>
      <c r="W778" t="s">
        <v>575</v>
      </c>
      <c r="X778" t="s">
        <v>547</v>
      </c>
    </row>
    <row r="779" spans="8:24" x14ac:dyDescent="0.45">
      <c r="H779" t="s">
        <v>345</v>
      </c>
      <c r="I779" t="s">
        <v>469</v>
      </c>
      <c r="J779">
        <v>1.0193733781361899E-2</v>
      </c>
      <c r="K779" t="s">
        <v>243</v>
      </c>
      <c r="U779" t="s">
        <v>112</v>
      </c>
      <c r="V779" t="s">
        <v>1255</v>
      </c>
      <c r="W779" t="s">
        <v>576</v>
      </c>
      <c r="X779" t="s">
        <v>666</v>
      </c>
    </row>
    <row r="780" spans="8:24" x14ac:dyDescent="0.45">
      <c r="H780" t="s">
        <v>346</v>
      </c>
      <c r="I780" t="s">
        <v>469</v>
      </c>
      <c r="J780">
        <v>2.1190661901700786E-2</v>
      </c>
      <c r="K780" t="s">
        <v>243</v>
      </c>
      <c r="U780" t="s">
        <v>112</v>
      </c>
      <c r="V780" t="s">
        <v>1256</v>
      </c>
      <c r="W780" t="s">
        <v>576</v>
      </c>
      <c r="X780" t="s">
        <v>666</v>
      </c>
    </row>
    <row r="781" spans="8:24" x14ac:dyDescent="0.45">
      <c r="H781" t="s">
        <v>347</v>
      </c>
      <c r="I781" t="s">
        <v>469</v>
      </c>
      <c r="J781">
        <v>2.7214004573236993E-2</v>
      </c>
      <c r="K781" t="s">
        <v>243</v>
      </c>
      <c r="U781" t="s">
        <v>112</v>
      </c>
      <c r="V781" t="s">
        <v>1257</v>
      </c>
      <c r="W781" t="s">
        <v>576</v>
      </c>
      <c r="X781" t="s">
        <v>666</v>
      </c>
    </row>
    <row r="782" spans="8:24" x14ac:dyDescent="0.45">
      <c r="H782" t="s">
        <v>348</v>
      </c>
      <c r="I782" t="s">
        <v>469</v>
      </c>
      <c r="J782">
        <v>1.8283289522999763E-2</v>
      </c>
      <c r="K782" t="s">
        <v>243</v>
      </c>
      <c r="U782" t="s">
        <v>112</v>
      </c>
      <c r="V782" t="s">
        <v>1258</v>
      </c>
      <c r="W782" t="s">
        <v>576</v>
      </c>
      <c r="X782" t="s">
        <v>666</v>
      </c>
    </row>
    <row r="783" spans="8:24" x14ac:dyDescent="0.45">
      <c r="H783" t="s">
        <v>349</v>
      </c>
      <c r="I783" t="s">
        <v>469</v>
      </c>
      <c r="J783">
        <v>1.8681500065978192E-2</v>
      </c>
      <c r="K783" t="s">
        <v>243</v>
      </c>
      <c r="U783" t="s">
        <v>112</v>
      </c>
      <c r="V783" t="s">
        <v>1259</v>
      </c>
      <c r="W783" t="s">
        <v>576</v>
      </c>
      <c r="X783" t="s">
        <v>666</v>
      </c>
    </row>
    <row r="784" spans="8:24" x14ac:dyDescent="0.45">
      <c r="H784" t="s">
        <v>350</v>
      </c>
      <c r="I784" t="s">
        <v>469</v>
      </c>
      <c r="J784">
        <v>5.1300524772893898E-3</v>
      </c>
      <c r="K784" t="s">
        <v>243</v>
      </c>
      <c r="U784" t="s">
        <v>112</v>
      </c>
      <c r="V784" t="s">
        <v>1260</v>
      </c>
      <c r="W784" t="s">
        <v>576</v>
      </c>
      <c r="X784" t="s">
        <v>666</v>
      </c>
    </row>
    <row r="785" spans="8:24" x14ac:dyDescent="0.45">
      <c r="H785" t="s">
        <v>351</v>
      </c>
      <c r="I785" t="s">
        <v>469</v>
      </c>
      <c r="J785">
        <v>1.5461363788657192E-2</v>
      </c>
      <c r="K785" t="s">
        <v>243</v>
      </c>
      <c r="U785" t="s">
        <v>112</v>
      </c>
      <c r="V785" t="s">
        <v>1261</v>
      </c>
      <c r="W785" t="s">
        <v>576</v>
      </c>
      <c r="X785" t="s">
        <v>666</v>
      </c>
    </row>
    <row r="786" spans="8:24" x14ac:dyDescent="0.45">
      <c r="H786" t="s">
        <v>352</v>
      </c>
      <c r="I786" t="s">
        <v>469</v>
      </c>
      <c r="J786">
        <v>2.0263204175399025E-2</v>
      </c>
      <c r="K786" t="s">
        <v>243</v>
      </c>
      <c r="U786" t="s">
        <v>112</v>
      </c>
      <c r="V786" t="s">
        <v>1262</v>
      </c>
      <c r="W786" t="s">
        <v>576</v>
      </c>
      <c r="X786" t="s">
        <v>666</v>
      </c>
    </row>
    <row r="787" spans="8:24" x14ac:dyDescent="0.45">
      <c r="H787" t="s">
        <v>353</v>
      </c>
      <c r="I787" t="s">
        <v>469</v>
      </c>
      <c r="J787">
        <v>3.7729505193986705E-2</v>
      </c>
      <c r="K787" t="s">
        <v>243</v>
      </c>
      <c r="U787" t="s">
        <v>112</v>
      </c>
      <c r="V787" t="s">
        <v>1263</v>
      </c>
      <c r="W787" t="s">
        <v>576</v>
      </c>
      <c r="X787" t="s">
        <v>666</v>
      </c>
    </row>
    <row r="788" spans="8:24" x14ac:dyDescent="0.45">
      <c r="H788" t="s">
        <v>354</v>
      </c>
      <c r="I788" t="s">
        <v>469</v>
      </c>
      <c r="J788">
        <v>3.4268075616681118E-2</v>
      </c>
      <c r="K788" t="s">
        <v>243</v>
      </c>
      <c r="U788" t="s">
        <v>112</v>
      </c>
      <c r="V788" t="s">
        <v>1264</v>
      </c>
      <c r="W788" t="s">
        <v>576</v>
      </c>
      <c r="X788" t="s">
        <v>666</v>
      </c>
    </row>
    <row r="789" spans="8:24" x14ac:dyDescent="0.45">
      <c r="H789" t="s">
        <v>355</v>
      </c>
      <c r="I789" t="s">
        <v>469</v>
      </c>
      <c r="J789">
        <v>1.3115205940839829E-2</v>
      </c>
      <c r="K789" t="s">
        <v>243</v>
      </c>
      <c r="U789" t="s">
        <v>112</v>
      </c>
      <c r="V789" t="s">
        <v>1265</v>
      </c>
      <c r="W789" t="s">
        <v>576</v>
      </c>
      <c r="X789" t="s">
        <v>666</v>
      </c>
    </row>
    <row r="790" spans="8:24" x14ac:dyDescent="0.45">
      <c r="H790" t="s">
        <v>356</v>
      </c>
      <c r="I790" t="s">
        <v>469</v>
      </c>
      <c r="J790">
        <v>9.7436705237028218E-3</v>
      </c>
      <c r="K790" t="s">
        <v>243</v>
      </c>
      <c r="U790" t="s">
        <v>112</v>
      </c>
      <c r="V790" t="s">
        <v>1266</v>
      </c>
      <c r="W790" t="s">
        <v>576</v>
      </c>
      <c r="X790" t="s">
        <v>666</v>
      </c>
    </row>
    <row r="791" spans="8:24" x14ac:dyDescent="0.45">
      <c r="H791" t="s">
        <v>473</v>
      </c>
      <c r="I791" t="s">
        <v>469</v>
      </c>
      <c r="J791">
        <v>6.9138205125889619E-3</v>
      </c>
      <c r="K791" t="s">
        <v>243</v>
      </c>
      <c r="U791" t="s">
        <v>112</v>
      </c>
      <c r="V791" t="s">
        <v>1266</v>
      </c>
      <c r="W791" t="s">
        <v>633</v>
      </c>
      <c r="X791" t="s">
        <v>666</v>
      </c>
    </row>
    <row r="792" spans="8:24" x14ac:dyDescent="0.45">
      <c r="H792" t="s">
        <v>474</v>
      </c>
      <c r="I792" t="s">
        <v>469</v>
      </c>
      <c r="J792">
        <v>1.8116399724624321E-3</v>
      </c>
      <c r="K792" t="s">
        <v>243</v>
      </c>
      <c r="U792" t="s">
        <v>112</v>
      </c>
      <c r="V792" t="s">
        <v>1267</v>
      </c>
      <c r="W792" t="s">
        <v>576</v>
      </c>
      <c r="X792" t="s">
        <v>666</v>
      </c>
    </row>
    <row r="793" spans="8:24" x14ac:dyDescent="0.45">
      <c r="H793" t="s">
        <v>475</v>
      </c>
      <c r="I793" t="s">
        <v>469</v>
      </c>
      <c r="J793">
        <v>1.683999603144908E-3</v>
      </c>
      <c r="K793" t="s">
        <v>243</v>
      </c>
      <c r="U793" t="s">
        <v>112</v>
      </c>
      <c r="V793" t="s">
        <v>1267</v>
      </c>
      <c r="W793" t="s">
        <v>633</v>
      </c>
      <c r="X793" t="s">
        <v>666</v>
      </c>
    </row>
    <row r="794" spans="8:24" x14ac:dyDescent="0.45">
      <c r="H794" t="s">
        <v>357</v>
      </c>
      <c r="I794" t="s">
        <v>469</v>
      </c>
      <c r="J794">
        <v>5.2703075544178836E-2</v>
      </c>
      <c r="K794" t="s">
        <v>243</v>
      </c>
      <c r="U794" t="s">
        <v>112</v>
      </c>
      <c r="V794" t="s">
        <v>1268</v>
      </c>
      <c r="W794" t="s">
        <v>576</v>
      </c>
      <c r="X794" t="s">
        <v>666</v>
      </c>
    </row>
    <row r="795" spans="8:24" x14ac:dyDescent="0.45">
      <c r="H795" t="s">
        <v>358</v>
      </c>
      <c r="I795" t="s">
        <v>469</v>
      </c>
      <c r="J795">
        <v>1.8384588031274261E-2</v>
      </c>
      <c r="K795" t="s">
        <v>243</v>
      </c>
      <c r="U795" t="s">
        <v>112</v>
      </c>
      <c r="V795" t="s">
        <v>1268</v>
      </c>
      <c r="W795" t="s">
        <v>633</v>
      </c>
      <c r="X795" t="s">
        <v>666</v>
      </c>
    </row>
    <row r="796" spans="8:24" x14ac:dyDescent="0.45">
      <c r="H796" t="s">
        <v>359</v>
      </c>
      <c r="I796" t="s">
        <v>469</v>
      </c>
      <c r="J796">
        <v>3.1336047248973702E-2</v>
      </c>
      <c r="K796" t="s">
        <v>243</v>
      </c>
      <c r="U796" t="s">
        <v>112</v>
      </c>
      <c r="V796" t="s">
        <v>1269</v>
      </c>
      <c r="W796" t="s">
        <v>576</v>
      </c>
      <c r="X796" t="s">
        <v>666</v>
      </c>
    </row>
    <row r="797" spans="8:24" x14ac:dyDescent="0.45">
      <c r="H797" t="s">
        <v>360</v>
      </c>
      <c r="I797" t="s">
        <v>469</v>
      </c>
      <c r="J797">
        <v>1.5406117499191706E-2</v>
      </c>
      <c r="K797" t="s">
        <v>243</v>
      </c>
      <c r="U797" t="s">
        <v>112</v>
      </c>
      <c r="V797" t="s">
        <v>1269</v>
      </c>
      <c r="W797" t="s">
        <v>633</v>
      </c>
      <c r="X797" t="s">
        <v>666</v>
      </c>
    </row>
    <row r="798" spans="8:24" x14ac:dyDescent="0.45">
      <c r="H798" t="s">
        <v>361</v>
      </c>
      <c r="I798" t="s">
        <v>469</v>
      </c>
      <c r="J798">
        <v>3.5216225546079068E-2</v>
      </c>
      <c r="K798" t="s">
        <v>243</v>
      </c>
      <c r="U798" t="s">
        <v>112</v>
      </c>
      <c r="V798" t="s">
        <v>1270</v>
      </c>
      <c r="W798" t="s">
        <v>633</v>
      </c>
      <c r="X798" t="s">
        <v>666</v>
      </c>
    </row>
    <row r="799" spans="8:24" x14ac:dyDescent="0.45">
      <c r="H799" t="s">
        <v>362</v>
      </c>
      <c r="I799" t="s">
        <v>469</v>
      </c>
      <c r="J799">
        <v>2.9188663941177299E-2</v>
      </c>
      <c r="K799" t="s">
        <v>243</v>
      </c>
      <c r="U799" t="s">
        <v>112</v>
      </c>
      <c r="V799" t="s">
        <v>1271</v>
      </c>
      <c r="W799" t="s">
        <v>633</v>
      </c>
      <c r="X799" t="s">
        <v>666</v>
      </c>
    </row>
    <row r="800" spans="8:24" x14ac:dyDescent="0.45">
      <c r="H800" t="s">
        <v>363</v>
      </c>
      <c r="I800" t="s">
        <v>469</v>
      </c>
      <c r="J800">
        <v>1.2470273212603612E-2</v>
      </c>
      <c r="K800" t="s">
        <v>243</v>
      </c>
      <c r="U800" t="s">
        <v>112</v>
      </c>
      <c r="V800" t="s">
        <v>1272</v>
      </c>
      <c r="W800" t="s">
        <v>633</v>
      </c>
      <c r="X800" t="s">
        <v>666</v>
      </c>
    </row>
    <row r="801" spans="8:24" x14ac:dyDescent="0.45">
      <c r="H801" t="s">
        <v>364</v>
      </c>
      <c r="I801" t="s">
        <v>469</v>
      </c>
      <c r="J801">
        <v>1.2471730954208834E-2</v>
      </c>
      <c r="K801" t="s">
        <v>243</v>
      </c>
      <c r="U801" t="s">
        <v>112</v>
      </c>
      <c r="V801" t="s">
        <v>1272</v>
      </c>
      <c r="W801" t="s">
        <v>576</v>
      </c>
      <c r="X801" t="s">
        <v>547</v>
      </c>
    </row>
    <row r="802" spans="8:24" x14ac:dyDescent="0.45">
      <c r="H802" t="s">
        <v>365</v>
      </c>
      <c r="I802" t="s">
        <v>469</v>
      </c>
      <c r="J802">
        <v>1.7556182695526452E-2</v>
      </c>
      <c r="K802" t="s">
        <v>243</v>
      </c>
      <c r="U802" t="s">
        <v>112</v>
      </c>
      <c r="V802" t="s">
        <v>1273</v>
      </c>
      <c r="W802" t="s">
        <v>633</v>
      </c>
      <c r="X802" t="s">
        <v>666</v>
      </c>
    </row>
    <row r="803" spans="8:24" x14ac:dyDescent="0.45">
      <c r="H803" t="s">
        <v>366</v>
      </c>
      <c r="I803" t="s">
        <v>469</v>
      </c>
      <c r="J803">
        <v>3.1184374379652227E-2</v>
      </c>
      <c r="K803" t="s">
        <v>243</v>
      </c>
      <c r="U803" t="s">
        <v>112</v>
      </c>
      <c r="V803" t="s">
        <v>1273</v>
      </c>
      <c r="W803" t="s">
        <v>576</v>
      </c>
      <c r="X803" t="s">
        <v>547</v>
      </c>
    </row>
    <row r="804" spans="8:24" x14ac:dyDescent="0.45">
      <c r="H804" t="s">
        <v>367</v>
      </c>
      <c r="I804" t="s">
        <v>469</v>
      </c>
      <c r="J804">
        <v>1.707937460806234E-3</v>
      </c>
      <c r="K804" t="s">
        <v>243</v>
      </c>
      <c r="U804" t="s">
        <v>112</v>
      </c>
      <c r="V804" t="s">
        <v>1274</v>
      </c>
      <c r="W804" t="s">
        <v>577</v>
      </c>
      <c r="X804" t="s">
        <v>666</v>
      </c>
    </row>
    <row r="805" spans="8:24" x14ac:dyDescent="0.45">
      <c r="H805" t="s">
        <v>368</v>
      </c>
      <c r="I805" t="s">
        <v>469</v>
      </c>
      <c r="J805">
        <v>1.5869738336310783E-2</v>
      </c>
      <c r="K805" t="s">
        <v>243</v>
      </c>
      <c r="U805" t="s">
        <v>112</v>
      </c>
      <c r="V805" t="s">
        <v>1275</v>
      </c>
      <c r="W805" t="s">
        <v>577</v>
      </c>
      <c r="X805" t="s">
        <v>666</v>
      </c>
    </row>
    <row r="806" spans="8:24" x14ac:dyDescent="0.45">
      <c r="H806" t="s">
        <v>369</v>
      </c>
      <c r="I806" t="s">
        <v>469</v>
      </c>
      <c r="J806">
        <v>2.614290438044891E-2</v>
      </c>
      <c r="K806" t="s">
        <v>243</v>
      </c>
      <c r="U806" t="s">
        <v>112</v>
      </c>
      <c r="V806" t="s">
        <v>1276</v>
      </c>
      <c r="W806" t="s">
        <v>577</v>
      </c>
      <c r="X806" t="s">
        <v>666</v>
      </c>
    </row>
    <row r="807" spans="8:24" x14ac:dyDescent="0.45">
      <c r="H807" t="s">
        <v>370</v>
      </c>
      <c r="I807" t="s">
        <v>469</v>
      </c>
      <c r="J807">
        <v>4.0038758071454655E-3</v>
      </c>
      <c r="K807" t="s">
        <v>243</v>
      </c>
      <c r="U807" t="s">
        <v>112</v>
      </c>
      <c r="V807" t="s">
        <v>1277</v>
      </c>
      <c r="W807" t="s">
        <v>577</v>
      </c>
      <c r="X807" t="s">
        <v>666</v>
      </c>
    </row>
    <row r="808" spans="8:24" x14ac:dyDescent="0.45">
      <c r="H808" t="s">
        <v>371</v>
      </c>
      <c r="I808" t="s">
        <v>469</v>
      </c>
      <c r="J808">
        <v>2.5786477604542536E-2</v>
      </c>
      <c r="K808" t="s">
        <v>243</v>
      </c>
      <c r="U808" t="s">
        <v>112</v>
      </c>
      <c r="V808" t="s">
        <v>1278</v>
      </c>
      <c r="W808" t="s">
        <v>577</v>
      </c>
      <c r="X808" t="s">
        <v>666</v>
      </c>
    </row>
    <row r="809" spans="8:24" x14ac:dyDescent="0.45">
      <c r="H809" t="s">
        <v>372</v>
      </c>
      <c r="I809" t="s">
        <v>469</v>
      </c>
      <c r="J809">
        <v>3.248127330065422E-3</v>
      </c>
      <c r="K809" t="s">
        <v>243</v>
      </c>
      <c r="U809" t="s">
        <v>112</v>
      </c>
      <c r="V809" t="s">
        <v>1279</v>
      </c>
      <c r="W809" t="s">
        <v>577</v>
      </c>
      <c r="X809" t="s">
        <v>666</v>
      </c>
    </row>
    <row r="810" spans="8:24" x14ac:dyDescent="0.45">
      <c r="H810" t="s">
        <v>373</v>
      </c>
      <c r="I810" t="s">
        <v>469</v>
      </c>
      <c r="J810">
        <v>1.2203844447429264E-2</v>
      </c>
      <c r="K810" t="s">
        <v>243</v>
      </c>
      <c r="U810" t="s">
        <v>112</v>
      </c>
      <c r="V810" t="s">
        <v>1280</v>
      </c>
      <c r="W810" t="s">
        <v>577</v>
      </c>
      <c r="X810" t="s">
        <v>666</v>
      </c>
    </row>
    <row r="811" spans="8:24" x14ac:dyDescent="0.45">
      <c r="H811" t="s">
        <v>374</v>
      </c>
      <c r="I811" t="s">
        <v>469</v>
      </c>
      <c r="J811">
        <v>4.8883022311723735E-3</v>
      </c>
      <c r="K811" t="s">
        <v>243</v>
      </c>
      <c r="U811" t="s">
        <v>112</v>
      </c>
      <c r="V811" t="s">
        <v>1281</v>
      </c>
      <c r="W811" t="s">
        <v>577</v>
      </c>
      <c r="X811" t="s">
        <v>666</v>
      </c>
    </row>
    <row r="812" spans="8:24" x14ac:dyDescent="0.45">
      <c r="H812" t="s">
        <v>375</v>
      </c>
      <c r="I812" t="s">
        <v>469</v>
      </c>
      <c r="J812">
        <v>7.1447070593131518E-3</v>
      </c>
      <c r="K812" t="s">
        <v>243</v>
      </c>
      <c r="U812" t="s">
        <v>112</v>
      </c>
      <c r="V812" t="s">
        <v>1282</v>
      </c>
      <c r="W812" t="s">
        <v>577</v>
      </c>
      <c r="X812" t="s">
        <v>666</v>
      </c>
    </row>
    <row r="813" spans="8:24" x14ac:dyDescent="0.45">
      <c r="H813" t="s">
        <v>376</v>
      </c>
      <c r="I813" t="s">
        <v>469</v>
      </c>
      <c r="J813">
        <v>5.0022070085081081E-3</v>
      </c>
      <c r="K813" t="s">
        <v>243</v>
      </c>
      <c r="U813" t="s">
        <v>112</v>
      </c>
      <c r="V813" t="s">
        <v>1283</v>
      </c>
      <c r="W813" t="s">
        <v>577</v>
      </c>
      <c r="X813" t="s">
        <v>666</v>
      </c>
    </row>
    <row r="814" spans="8:24" x14ac:dyDescent="0.45">
      <c r="H814" t="s">
        <v>377</v>
      </c>
      <c r="I814" t="s">
        <v>469</v>
      </c>
      <c r="J814">
        <v>1.864698144148455E-2</v>
      </c>
      <c r="K814" t="s">
        <v>243</v>
      </c>
      <c r="U814" t="s">
        <v>112</v>
      </c>
      <c r="V814" t="s">
        <v>1284</v>
      </c>
      <c r="W814" t="s">
        <v>577</v>
      </c>
      <c r="X814" t="s">
        <v>666</v>
      </c>
    </row>
    <row r="815" spans="8:24" x14ac:dyDescent="0.45">
      <c r="H815" t="s">
        <v>378</v>
      </c>
      <c r="I815" t="s">
        <v>469</v>
      </c>
      <c r="J815">
        <v>7.1899094610696221E-3</v>
      </c>
      <c r="K815" t="s">
        <v>243</v>
      </c>
      <c r="U815" t="s">
        <v>112</v>
      </c>
      <c r="V815" t="s">
        <v>1285</v>
      </c>
      <c r="W815" t="s">
        <v>577</v>
      </c>
      <c r="X815" t="s">
        <v>666</v>
      </c>
    </row>
    <row r="816" spans="8:24" x14ac:dyDescent="0.45">
      <c r="H816" t="s">
        <v>379</v>
      </c>
      <c r="I816" t="s">
        <v>469</v>
      </c>
      <c r="J816">
        <v>1.0495613795321284E-2</v>
      </c>
      <c r="K816" t="s">
        <v>243</v>
      </c>
      <c r="U816" t="s">
        <v>112</v>
      </c>
      <c r="V816" t="s">
        <v>1285</v>
      </c>
      <c r="W816" t="s">
        <v>632</v>
      </c>
      <c r="X816" t="s">
        <v>666</v>
      </c>
    </row>
    <row r="817" spans="8:24" x14ac:dyDescent="0.45">
      <c r="H817" t="s">
        <v>380</v>
      </c>
      <c r="I817" t="s">
        <v>469</v>
      </c>
      <c r="J817">
        <v>4.3254351271437607E-3</v>
      </c>
      <c r="K817" t="s">
        <v>243</v>
      </c>
      <c r="U817" t="s">
        <v>112</v>
      </c>
      <c r="V817" t="s">
        <v>1286</v>
      </c>
      <c r="W817" t="s">
        <v>577</v>
      </c>
      <c r="X817" t="s">
        <v>666</v>
      </c>
    </row>
    <row r="818" spans="8:24" x14ac:dyDescent="0.45">
      <c r="H818" t="s">
        <v>381</v>
      </c>
      <c r="I818" t="s">
        <v>469</v>
      </c>
      <c r="J818">
        <v>2.5800927127930723E-2</v>
      </c>
      <c r="K818" t="s">
        <v>243</v>
      </c>
      <c r="U818" t="s">
        <v>112</v>
      </c>
      <c r="V818" t="s">
        <v>1286</v>
      </c>
      <c r="W818" t="s">
        <v>632</v>
      </c>
      <c r="X818" t="s">
        <v>666</v>
      </c>
    </row>
    <row r="819" spans="8:24" x14ac:dyDescent="0.45">
      <c r="H819" t="s">
        <v>382</v>
      </c>
      <c r="I819" t="s">
        <v>469</v>
      </c>
      <c r="J819">
        <v>1.405753444086124E-2</v>
      </c>
      <c r="K819" t="s">
        <v>243</v>
      </c>
      <c r="U819" t="s">
        <v>112</v>
      </c>
      <c r="V819" t="s">
        <v>1287</v>
      </c>
      <c r="W819" t="s">
        <v>577</v>
      </c>
      <c r="X819" t="s">
        <v>666</v>
      </c>
    </row>
    <row r="820" spans="8:24" x14ac:dyDescent="0.45">
      <c r="H820" t="s">
        <v>383</v>
      </c>
      <c r="I820" t="s">
        <v>469</v>
      </c>
      <c r="J820">
        <v>3.4426870689328502E-2</v>
      </c>
      <c r="K820" t="s">
        <v>243</v>
      </c>
      <c r="U820" t="s">
        <v>112</v>
      </c>
      <c r="V820" t="s">
        <v>1287</v>
      </c>
      <c r="W820" t="s">
        <v>632</v>
      </c>
      <c r="X820" t="s">
        <v>666</v>
      </c>
    </row>
    <row r="821" spans="8:24" x14ac:dyDescent="0.45">
      <c r="H821" t="s">
        <v>384</v>
      </c>
      <c r="I821" t="s">
        <v>469</v>
      </c>
      <c r="J821">
        <v>1.1000418110446381E-2</v>
      </c>
      <c r="K821" t="s">
        <v>243</v>
      </c>
      <c r="U821" t="s">
        <v>112</v>
      </c>
      <c r="V821" t="s">
        <v>1288</v>
      </c>
      <c r="W821" t="s">
        <v>577</v>
      </c>
      <c r="X821" t="s">
        <v>666</v>
      </c>
    </row>
    <row r="822" spans="8:24" x14ac:dyDescent="0.45">
      <c r="H822" t="s">
        <v>385</v>
      </c>
      <c r="I822" t="s">
        <v>469</v>
      </c>
      <c r="J822">
        <v>3.1039562329627415E-2</v>
      </c>
      <c r="K822" t="s">
        <v>243</v>
      </c>
      <c r="U822" t="s">
        <v>112</v>
      </c>
      <c r="V822" t="s">
        <v>1288</v>
      </c>
      <c r="W822" t="s">
        <v>632</v>
      </c>
      <c r="X822" t="s">
        <v>666</v>
      </c>
    </row>
    <row r="823" spans="8:24" x14ac:dyDescent="0.45">
      <c r="H823" t="s">
        <v>386</v>
      </c>
      <c r="I823" t="s">
        <v>469</v>
      </c>
      <c r="J823">
        <v>2.8299217649428922E-2</v>
      </c>
      <c r="K823" t="s">
        <v>243</v>
      </c>
      <c r="U823" t="s">
        <v>112</v>
      </c>
      <c r="V823" t="s">
        <v>1289</v>
      </c>
      <c r="W823" t="s">
        <v>632</v>
      </c>
      <c r="X823" t="s">
        <v>666</v>
      </c>
    </row>
    <row r="824" spans="8:24" x14ac:dyDescent="0.45">
      <c r="H824" t="s">
        <v>387</v>
      </c>
      <c r="I824" t="s">
        <v>469</v>
      </c>
      <c r="J824">
        <v>1.1952000805990378E-2</v>
      </c>
      <c r="K824" t="s">
        <v>243</v>
      </c>
      <c r="U824" t="s">
        <v>112</v>
      </c>
      <c r="V824" t="s">
        <v>1290</v>
      </c>
      <c r="W824" t="s">
        <v>632</v>
      </c>
      <c r="X824" t="s">
        <v>666</v>
      </c>
    </row>
    <row r="825" spans="8:24" x14ac:dyDescent="0.45">
      <c r="H825" t="s">
        <v>388</v>
      </c>
      <c r="I825" t="s">
        <v>469</v>
      </c>
      <c r="J825">
        <v>3.5469515667934652E-2</v>
      </c>
      <c r="K825" t="s">
        <v>243</v>
      </c>
      <c r="U825" t="s">
        <v>112</v>
      </c>
      <c r="V825" t="s">
        <v>1291</v>
      </c>
      <c r="W825" t="s">
        <v>632</v>
      </c>
      <c r="X825" t="s">
        <v>666</v>
      </c>
    </row>
    <row r="826" spans="8:24" x14ac:dyDescent="0.45">
      <c r="H826" t="s">
        <v>389</v>
      </c>
      <c r="I826" t="s">
        <v>469</v>
      </c>
      <c r="J826">
        <v>1.6156975036991599E-4</v>
      </c>
      <c r="K826" t="s">
        <v>243</v>
      </c>
      <c r="U826" t="s">
        <v>112</v>
      </c>
      <c r="V826" t="s">
        <v>1291</v>
      </c>
      <c r="W826" t="s">
        <v>577</v>
      </c>
      <c r="X826" t="s">
        <v>547</v>
      </c>
    </row>
    <row r="827" spans="8:24" x14ac:dyDescent="0.45">
      <c r="H827" t="s">
        <v>390</v>
      </c>
      <c r="I827" t="s">
        <v>469</v>
      </c>
      <c r="J827">
        <v>2.3761230856444941E-2</v>
      </c>
      <c r="K827" t="s">
        <v>243</v>
      </c>
      <c r="U827" t="s">
        <v>112</v>
      </c>
      <c r="V827" t="s">
        <v>1292</v>
      </c>
      <c r="W827" t="s">
        <v>632</v>
      </c>
      <c r="X827" t="s">
        <v>666</v>
      </c>
    </row>
    <row r="828" spans="8:24" x14ac:dyDescent="0.45">
      <c r="H828" t="s">
        <v>391</v>
      </c>
      <c r="I828" t="s">
        <v>469</v>
      </c>
      <c r="J828">
        <v>5.8832428739188161E-3</v>
      </c>
      <c r="K828" t="s">
        <v>243</v>
      </c>
      <c r="U828" t="s">
        <v>112</v>
      </c>
      <c r="V828" t="s">
        <v>1292</v>
      </c>
      <c r="W828" t="s">
        <v>577</v>
      </c>
      <c r="X828" t="s">
        <v>547</v>
      </c>
    </row>
    <row r="829" spans="8:24" x14ac:dyDescent="0.45">
      <c r="H829" t="s">
        <v>392</v>
      </c>
      <c r="I829" t="s">
        <v>469</v>
      </c>
      <c r="J829">
        <v>7.8013068502856195E-4</v>
      </c>
      <c r="K829" t="s">
        <v>243</v>
      </c>
      <c r="U829" t="s">
        <v>112</v>
      </c>
      <c r="V829" t="s">
        <v>1293</v>
      </c>
      <c r="W829" t="s">
        <v>578</v>
      </c>
      <c r="X829" t="s">
        <v>666</v>
      </c>
    </row>
    <row r="830" spans="8:24" x14ac:dyDescent="0.45">
      <c r="H830" t="s">
        <v>393</v>
      </c>
      <c r="I830" t="s">
        <v>469</v>
      </c>
      <c r="J830">
        <v>2.3105306089315381E-2</v>
      </c>
      <c r="K830" t="s">
        <v>243</v>
      </c>
      <c r="U830" t="s">
        <v>112</v>
      </c>
      <c r="V830" t="s">
        <v>1294</v>
      </c>
      <c r="W830" t="s">
        <v>578</v>
      </c>
      <c r="X830" t="s">
        <v>666</v>
      </c>
    </row>
    <row r="831" spans="8:24" x14ac:dyDescent="0.45">
      <c r="H831" t="s">
        <v>394</v>
      </c>
      <c r="I831" t="s">
        <v>469</v>
      </c>
      <c r="J831">
        <v>2.1820044474176171E-2</v>
      </c>
      <c r="K831" t="s">
        <v>243</v>
      </c>
      <c r="U831" t="s">
        <v>112</v>
      </c>
      <c r="V831" t="s">
        <v>1295</v>
      </c>
      <c r="W831" t="s">
        <v>578</v>
      </c>
      <c r="X831" t="s">
        <v>666</v>
      </c>
    </row>
    <row r="832" spans="8:24" x14ac:dyDescent="0.45">
      <c r="H832" t="s">
        <v>395</v>
      </c>
      <c r="I832" t="s">
        <v>469</v>
      </c>
      <c r="J832">
        <v>8.6410921225688643E-3</v>
      </c>
      <c r="K832" t="s">
        <v>243</v>
      </c>
      <c r="U832" t="s">
        <v>112</v>
      </c>
      <c r="V832" t="s">
        <v>1296</v>
      </c>
      <c r="W832" t="s">
        <v>578</v>
      </c>
      <c r="X832" t="s">
        <v>666</v>
      </c>
    </row>
    <row r="833" spans="8:24" x14ac:dyDescent="0.45">
      <c r="H833" t="s">
        <v>396</v>
      </c>
      <c r="I833" t="s">
        <v>469</v>
      </c>
      <c r="J833">
        <v>1.7865851029570584E-2</v>
      </c>
      <c r="K833" t="s">
        <v>243</v>
      </c>
      <c r="U833" t="s">
        <v>112</v>
      </c>
      <c r="V833" t="s">
        <v>1297</v>
      </c>
      <c r="W833" t="s">
        <v>578</v>
      </c>
      <c r="X833" t="s">
        <v>666</v>
      </c>
    </row>
    <row r="834" spans="8:24" x14ac:dyDescent="0.45">
      <c r="H834" t="s">
        <v>397</v>
      </c>
      <c r="I834" t="s">
        <v>469</v>
      </c>
      <c r="J834">
        <v>1.324203606058452E-2</v>
      </c>
      <c r="K834" t="s">
        <v>243</v>
      </c>
      <c r="U834" t="s">
        <v>112</v>
      </c>
      <c r="V834" t="s">
        <v>1298</v>
      </c>
      <c r="W834" t="s">
        <v>578</v>
      </c>
      <c r="X834" t="s">
        <v>666</v>
      </c>
    </row>
    <row r="835" spans="8:24" x14ac:dyDescent="0.45">
      <c r="H835" t="s">
        <v>398</v>
      </c>
      <c r="I835" t="s">
        <v>469</v>
      </c>
      <c r="J835">
        <v>1.7650393171082406E-2</v>
      </c>
      <c r="K835" t="s">
        <v>243</v>
      </c>
      <c r="U835" t="s">
        <v>112</v>
      </c>
      <c r="V835" t="s">
        <v>1299</v>
      </c>
      <c r="W835" t="s">
        <v>578</v>
      </c>
      <c r="X835" t="s">
        <v>666</v>
      </c>
    </row>
    <row r="836" spans="8:24" x14ac:dyDescent="0.45">
      <c r="H836" t="s">
        <v>399</v>
      </c>
      <c r="I836" t="s">
        <v>469</v>
      </c>
      <c r="J836">
        <v>8.9705086198717202E-3</v>
      </c>
      <c r="K836" t="s">
        <v>243</v>
      </c>
      <c r="U836" t="s">
        <v>112</v>
      </c>
      <c r="V836" t="s">
        <v>1300</v>
      </c>
      <c r="W836" t="s">
        <v>578</v>
      </c>
      <c r="X836" t="s">
        <v>666</v>
      </c>
    </row>
    <row r="837" spans="8:24" x14ac:dyDescent="0.45">
      <c r="H837" t="s">
        <v>400</v>
      </c>
      <c r="I837" t="s">
        <v>469</v>
      </c>
      <c r="J837">
        <v>1.8154792518597699E-3</v>
      </c>
      <c r="K837" t="s">
        <v>243</v>
      </c>
      <c r="U837" t="s">
        <v>112</v>
      </c>
      <c r="V837" t="s">
        <v>1301</v>
      </c>
      <c r="W837" t="s">
        <v>578</v>
      </c>
      <c r="X837" t="s">
        <v>666</v>
      </c>
    </row>
    <row r="838" spans="8:24" x14ac:dyDescent="0.45">
      <c r="H838" t="s">
        <v>401</v>
      </c>
      <c r="I838" t="s">
        <v>469</v>
      </c>
      <c r="J838">
        <v>1.0193733781361899E-2</v>
      </c>
      <c r="K838" t="s">
        <v>243</v>
      </c>
      <c r="U838" t="s">
        <v>112</v>
      </c>
      <c r="V838" t="s">
        <v>1302</v>
      </c>
      <c r="W838" t="s">
        <v>578</v>
      </c>
      <c r="X838" t="s">
        <v>666</v>
      </c>
    </row>
    <row r="839" spans="8:24" x14ac:dyDescent="0.45">
      <c r="H839" t="s">
        <v>402</v>
      </c>
      <c r="I839" t="s">
        <v>469</v>
      </c>
      <c r="J839">
        <v>2.1190661901700786E-2</v>
      </c>
      <c r="K839" t="s">
        <v>243</v>
      </c>
      <c r="U839" t="s">
        <v>112</v>
      </c>
      <c r="V839" t="s">
        <v>1303</v>
      </c>
      <c r="W839" t="s">
        <v>578</v>
      </c>
      <c r="X839" t="s">
        <v>666</v>
      </c>
    </row>
    <row r="840" spans="8:24" x14ac:dyDescent="0.45">
      <c r="H840" t="s">
        <v>403</v>
      </c>
      <c r="I840" t="s">
        <v>469</v>
      </c>
      <c r="J840">
        <v>2.7214004573236993E-2</v>
      </c>
      <c r="K840" t="s">
        <v>243</v>
      </c>
      <c r="U840" t="s">
        <v>112</v>
      </c>
      <c r="V840" t="s">
        <v>1304</v>
      </c>
      <c r="W840" t="s">
        <v>578</v>
      </c>
      <c r="X840" t="s">
        <v>666</v>
      </c>
    </row>
    <row r="841" spans="8:24" x14ac:dyDescent="0.45">
      <c r="H841" t="s">
        <v>404</v>
      </c>
      <c r="I841" t="s">
        <v>469</v>
      </c>
      <c r="J841">
        <v>1.8283289522999763E-2</v>
      </c>
      <c r="K841" t="s">
        <v>243</v>
      </c>
      <c r="U841" t="s">
        <v>112</v>
      </c>
      <c r="V841" t="s">
        <v>1304</v>
      </c>
      <c r="W841" t="s">
        <v>658</v>
      </c>
      <c r="X841" t="s">
        <v>666</v>
      </c>
    </row>
    <row r="842" spans="8:24" x14ac:dyDescent="0.45">
      <c r="H842" t="s">
        <v>405</v>
      </c>
      <c r="I842" t="s">
        <v>469</v>
      </c>
      <c r="J842">
        <v>1.8681500065978192E-2</v>
      </c>
      <c r="K842" t="s">
        <v>243</v>
      </c>
      <c r="U842" t="s">
        <v>112</v>
      </c>
      <c r="V842" t="s">
        <v>1305</v>
      </c>
      <c r="W842" t="s">
        <v>578</v>
      </c>
      <c r="X842" t="s">
        <v>666</v>
      </c>
    </row>
    <row r="843" spans="8:24" x14ac:dyDescent="0.45">
      <c r="H843" t="s">
        <v>406</v>
      </c>
      <c r="I843" t="s">
        <v>469</v>
      </c>
      <c r="J843">
        <v>5.1300524772893898E-3</v>
      </c>
      <c r="K843" t="s">
        <v>243</v>
      </c>
      <c r="U843" t="s">
        <v>112</v>
      </c>
      <c r="V843" t="s">
        <v>1305</v>
      </c>
      <c r="W843" t="s">
        <v>658</v>
      </c>
      <c r="X843" t="s">
        <v>666</v>
      </c>
    </row>
    <row r="844" spans="8:24" x14ac:dyDescent="0.45">
      <c r="H844" t="s">
        <v>407</v>
      </c>
      <c r="I844" t="s">
        <v>469</v>
      </c>
      <c r="J844">
        <v>1.5461363788657192E-2</v>
      </c>
      <c r="K844" t="s">
        <v>243</v>
      </c>
      <c r="U844" t="s">
        <v>112</v>
      </c>
      <c r="V844" t="s">
        <v>1306</v>
      </c>
      <c r="W844" t="s">
        <v>578</v>
      </c>
      <c r="X844" t="s">
        <v>666</v>
      </c>
    </row>
    <row r="845" spans="8:24" x14ac:dyDescent="0.45">
      <c r="H845" t="s">
        <v>408</v>
      </c>
      <c r="I845" t="s">
        <v>469</v>
      </c>
      <c r="J845">
        <v>2.0263204175399025E-2</v>
      </c>
      <c r="K845" t="s">
        <v>243</v>
      </c>
      <c r="U845" t="s">
        <v>112</v>
      </c>
      <c r="V845" t="s">
        <v>1306</v>
      </c>
      <c r="W845" t="s">
        <v>658</v>
      </c>
      <c r="X845" t="s">
        <v>666</v>
      </c>
    </row>
    <row r="846" spans="8:24" x14ac:dyDescent="0.45">
      <c r="H846" t="s">
        <v>409</v>
      </c>
      <c r="I846" t="s">
        <v>469</v>
      </c>
      <c r="J846">
        <v>3.7729505193986705E-2</v>
      </c>
      <c r="K846" t="s">
        <v>243</v>
      </c>
      <c r="U846" t="s">
        <v>112</v>
      </c>
      <c r="V846" t="s">
        <v>1307</v>
      </c>
      <c r="W846" t="s">
        <v>578</v>
      </c>
      <c r="X846" t="s">
        <v>666</v>
      </c>
    </row>
    <row r="847" spans="8:24" x14ac:dyDescent="0.45">
      <c r="H847" t="s">
        <v>410</v>
      </c>
      <c r="I847" t="s">
        <v>469</v>
      </c>
      <c r="J847">
        <v>3.4268075616681118E-2</v>
      </c>
      <c r="K847" t="s">
        <v>243</v>
      </c>
      <c r="U847" t="s">
        <v>112</v>
      </c>
      <c r="V847" t="s">
        <v>1307</v>
      </c>
      <c r="W847" t="s">
        <v>658</v>
      </c>
      <c r="X847" t="s">
        <v>666</v>
      </c>
    </row>
    <row r="848" spans="8:24" x14ac:dyDescent="0.45">
      <c r="H848" t="s">
        <v>411</v>
      </c>
      <c r="I848" t="s">
        <v>469</v>
      </c>
      <c r="J848">
        <v>1.3115205940839829E-2</v>
      </c>
      <c r="K848" t="s">
        <v>243</v>
      </c>
      <c r="U848" t="s">
        <v>112</v>
      </c>
      <c r="V848" t="s">
        <v>1308</v>
      </c>
      <c r="W848" t="s">
        <v>658</v>
      </c>
      <c r="X848" t="s">
        <v>666</v>
      </c>
    </row>
    <row r="849" spans="8:24" x14ac:dyDescent="0.45">
      <c r="H849" t="s">
        <v>412</v>
      </c>
      <c r="I849" t="s">
        <v>469</v>
      </c>
      <c r="J849">
        <v>9.7436705237028218E-3</v>
      </c>
      <c r="K849" t="s">
        <v>243</v>
      </c>
      <c r="U849" t="s">
        <v>112</v>
      </c>
      <c r="V849" t="s">
        <v>1309</v>
      </c>
      <c r="W849" t="s">
        <v>658</v>
      </c>
      <c r="X849" t="s">
        <v>666</v>
      </c>
    </row>
    <row r="850" spans="8:24" x14ac:dyDescent="0.45">
      <c r="H850" t="s">
        <v>476</v>
      </c>
      <c r="I850" t="s">
        <v>469</v>
      </c>
      <c r="J850">
        <v>6.9138205125889619E-3</v>
      </c>
      <c r="K850" t="s">
        <v>243</v>
      </c>
      <c r="U850" t="s">
        <v>112</v>
      </c>
      <c r="V850" t="s">
        <v>1310</v>
      </c>
      <c r="W850" t="s">
        <v>658</v>
      </c>
      <c r="X850" t="s">
        <v>666</v>
      </c>
    </row>
    <row r="851" spans="8:24" x14ac:dyDescent="0.45">
      <c r="H851" t="s">
        <v>477</v>
      </c>
      <c r="I851" t="s">
        <v>469</v>
      </c>
      <c r="J851">
        <v>1.8116399724624321E-3</v>
      </c>
      <c r="K851" t="s">
        <v>243</v>
      </c>
      <c r="U851" t="s">
        <v>112</v>
      </c>
      <c r="V851" t="s">
        <v>1310</v>
      </c>
      <c r="W851" t="s">
        <v>578</v>
      </c>
      <c r="X851" t="s">
        <v>547</v>
      </c>
    </row>
    <row r="852" spans="8:24" x14ac:dyDescent="0.45">
      <c r="H852" t="s">
        <v>478</v>
      </c>
      <c r="I852" t="s">
        <v>469</v>
      </c>
      <c r="J852">
        <v>1.683999603144908E-3</v>
      </c>
      <c r="K852" t="s">
        <v>243</v>
      </c>
      <c r="U852" t="s">
        <v>112</v>
      </c>
      <c r="V852" t="s">
        <v>1311</v>
      </c>
      <c r="W852" t="s">
        <v>658</v>
      </c>
      <c r="X852" t="s">
        <v>666</v>
      </c>
    </row>
    <row r="853" spans="8:24" x14ac:dyDescent="0.45">
      <c r="H853" t="s">
        <v>413</v>
      </c>
      <c r="I853" t="s">
        <v>469</v>
      </c>
      <c r="J853">
        <v>5.2703075544178836E-2</v>
      </c>
      <c r="K853" t="s">
        <v>243</v>
      </c>
      <c r="U853" t="s">
        <v>112</v>
      </c>
      <c r="V853" t="s">
        <v>1311</v>
      </c>
      <c r="W853" t="s">
        <v>578</v>
      </c>
      <c r="X853" t="s">
        <v>547</v>
      </c>
    </row>
    <row r="854" spans="8:24" x14ac:dyDescent="0.45">
      <c r="H854" t="s">
        <v>414</v>
      </c>
      <c r="I854" t="s">
        <v>469</v>
      </c>
      <c r="J854">
        <v>1.8384588031274261E-2</v>
      </c>
      <c r="K854" t="s">
        <v>243</v>
      </c>
      <c r="U854" t="s">
        <v>112</v>
      </c>
      <c r="V854" t="s">
        <v>1312</v>
      </c>
      <c r="W854" t="s">
        <v>579</v>
      </c>
      <c r="X854" t="s">
        <v>666</v>
      </c>
    </row>
    <row r="855" spans="8:24" x14ac:dyDescent="0.45">
      <c r="H855" t="s">
        <v>415</v>
      </c>
      <c r="I855" t="s">
        <v>469</v>
      </c>
      <c r="J855">
        <v>3.1336047248973702E-2</v>
      </c>
      <c r="K855" t="s">
        <v>243</v>
      </c>
      <c r="U855" t="s">
        <v>112</v>
      </c>
      <c r="V855" t="s">
        <v>1313</v>
      </c>
      <c r="W855" t="s">
        <v>579</v>
      </c>
      <c r="X855" t="s">
        <v>666</v>
      </c>
    </row>
    <row r="856" spans="8:24" x14ac:dyDescent="0.45">
      <c r="H856" t="s">
        <v>416</v>
      </c>
      <c r="I856" t="s">
        <v>469</v>
      </c>
      <c r="J856">
        <v>1.5406117499191706E-2</v>
      </c>
      <c r="K856" t="s">
        <v>243</v>
      </c>
      <c r="U856" t="s">
        <v>112</v>
      </c>
      <c r="V856" t="s">
        <v>1314</v>
      </c>
      <c r="W856" t="s">
        <v>579</v>
      </c>
      <c r="X856" t="s">
        <v>666</v>
      </c>
    </row>
    <row r="857" spans="8:24" x14ac:dyDescent="0.45">
      <c r="H857" t="s">
        <v>417</v>
      </c>
      <c r="I857" t="s">
        <v>469</v>
      </c>
      <c r="J857">
        <v>3.5216225546079068E-2</v>
      </c>
      <c r="K857" t="s">
        <v>243</v>
      </c>
      <c r="U857" t="s">
        <v>112</v>
      </c>
      <c r="V857" t="s">
        <v>1315</v>
      </c>
      <c r="W857" t="s">
        <v>579</v>
      </c>
      <c r="X857" t="s">
        <v>666</v>
      </c>
    </row>
    <row r="858" spans="8:24" x14ac:dyDescent="0.45">
      <c r="H858" t="s">
        <v>418</v>
      </c>
      <c r="I858" t="s">
        <v>469</v>
      </c>
      <c r="J858">
        <v>2.9188663941177299E-2</v>
      </c>
      <c r="K858" t="s">
        <v>243</v>
      </c>
      <c r="U858" t="s">
        <v>112</v>
      </c>
      <c r="V858" t="s">
        <v>1316</v>
      </c>
      <c r="W858" t="s">
        <v>579</v>
      </c>
      <c r="X858" t="s">
        <v>666</v>
      </c>
    </row>
    <row r="859" spans="8:24" x14ac:dyDescent="0.45">
      <c r="H859" t="s">
        <v>419</v>
      </c>
      <c r="I859" t="s">
        <v>469</v>
      </c>
      <c r="J859">
        <v>1.2470273212603612E-2</v>
      </c>
      <c r="K859" t="s">
        <v>243</v>
      </c>
      <c r="U859" t="s">
        <v>112</v>
      </c>
      <c r="V859" t="s">
        <v>1317</v>
      </c>
      <c r="W859" t="s">
        <v>579</v>
      </c>
      <c r="X859" t="s">
        <v>666</v>
      </c>
    </row>
    <row r="860" spans="8:24" x14ac:dyDescent="0.45">
      <c r="H860" t="s">
        <v>420</v>
      </c>
      <c r="I860" t="s">
        <v>469</v>
      </c>
      <c r="J860">
        <v>1.2471730954208834E-2</v>
      </c>
      <c r="K860" t="s">
        <v>243</v>
      </c>
      <c r="U860" t="s">
        <v>112</v>
      </c>
      <c r="V860" t="s">
        <v>1318</v>
      </c>
      <c r="W860" t="s">
        <v>579</v>
      </c>
      <c r="X860" t="s">
        <v>666</v>
      </c>
    </row>
    <row r="861" spans="8:24" x14ac:dyDescent="0.45">
      <c r="H861" t="s">
        <v>421</v>
      </c>
      <c r="I861" t="s">
        <v>469</v>
      </c>
      <c r="J861">
        <v>1.7556182695526452E-2</v>
      </c>
      <c r="K861" t="s">
        <v>243</v>
      </c>
      <c r="U861" t="s">
        <v>112</v>
      </c>
      <c r="V861" t="s">
        <v>1319</v>
      </c>
      <c r="W861" t="s">
        <v>579</v>
      </c>
      <c r="X861" t="s">
        <v>666</v>
      </c>
    </row>
    <row r="862" spans="8:24" x14ac:dyDescent="0.45">
      <c r="H862" t="s">
        <v>422</v>
      </c>
      <c r="I862" t="s">
        <v>469</v>
      </c>
      <c r="J862">
        <v>3.1184374379652227E-2</v>
      </c>
      <c r="K862" t="s">
        <v>243</v>
      </c>
      <c r="U862" t="s">
        <v>112</v>
      </c>
      <c r="V862" t="s">
        <v>1320</v>
      </c>
      <c r="W862" t="s">
        <v>579</v>
      </c>
      <c r="X862" t="s">
        <v>666</v>
      </c>
    </row>
    <row r="863" spans="8:24" x14ac:dyDescent="0.45">
      <c r="H863" t="s">
        <v>423</v>
      </c>
      <c r="I863" t="s">
        <v>469</v>
      </c>
      <c r="J863">
        <v>1.707937460806234E-3</v>
      </c>
      <c r="K863" t="s">
        <v>243</v>
      </c>
      <c r="U863" t="s">
        <v>112</v>
      </c>
      <c r="V863" t="s">
        <v>1321</v>
      </c>
      <c r="W863" t="s">
        <v>579</v>
      </c>
      <c r="X863" t="s">
        <v>666</v>
      </c>
    </row>
    <row r="864" spans="8:24" x14ac:dyDescent="0.45">
      <c r="H864" t="s">
        <v>424</v>
      </c>
      <c r="I864" t="s">
        <v>469</v>
      </c>
      <c r="J864">
        <v>1.5869738336310783E-2</v>
      </c>
      <c r="K864" t="s">
        <v>243</v>
      </c>
      <c r="U864" t="s">
        <v>112</v>
      </c>
      <c r="V864" t="s">
        <v>1322</v>
      </c>
      <c r="W864" t="s">
        <v>579</v>
      </c>
      <c r="X864" t="s">
        <v>666</v>
      </c>
    </row>
    <row r="865" spans="8:24" x14ac:dyDescent="0.45">
      <c r="H865" t="s">
        <v>425</v>
      </c>
      <c r="I865" t="s">
        <v>469</v>
      </c>
      <c r="J865">
        <v>2.614290438044891E-2</v>
      </c>
      <c r="K865" t="s">
        <v>243</v>
      </c>
      <c r="U865" t="s">
        <v>112</v>
      </c>
      <c r="V865" t="s">
        <v>1323</v>
      </c>
      <c r="W865" t="s">
        <v>579</v>
      </c>
      <c r="X865" t="s">
        <v>666</v>
      </c>
    </row>
    <row r="866" spans="8:24" x14ac:dyDescent="0.45">
      <c r="H866" t="s">
        <v>426</v>
      </c>
      <c r="I866" t="s">
        <v>469</v>
      </c>
      <c r="J866">
        <v>4.0038758071454655E-3</v>
      </c>
      <c r="K866" t="s">
        <v>243</v>
      </c>
      <c r="U866" t="s">
        <v>112</v>
      </c>
      <c r="V866" t="s">
        <v>1323</v>
      </c>
      <c r="W866" t="s">
        <v>659</v>
      </c>
      <c r="X866" t="s">
        <v>666</v>
      </c>
    </row>
    <row r="867" spans="8:24" x14ac:dyDescent="0.45">
      <c r="H867" t="s">
        <v>427</v>
      </c>
      <c r="I867" t="s">
        <v>469</v>
      </c>
      <c r="J867">
        <v>2.5786477604542536E-2</v>
      </c>
      <c r="K867" t="s">
        <v>243</v>
      </c>
      <c r="U867" t="s">
        <v>112</v>
      </c>
      <c r="V867" t="s">
        <v>1324</v>
      </c>
      <c r="W867" t="s">
        <v>579</v>
      </c>
      <c r="X867" t="s">
        <v>666</v>
      </c>
    </row>
    <row r="868" spans="8:24" x14ac:dyDescent="0.45">
      <c r="H868" t="s">
        <v>428</v>
      </c>
      <c r="I868" t="s">
        <v>469</v>
      </c>
      <c r="J868">
        <v>3.248127330065422E-3</v>
      </c>
      <c r="K868" t="s">
        <v>243</v>
      </c>
      <c r="U868" t="s">
        <v>112</v>
      </c>
      <c r="V868" t="s">
        <v>1324</v>
      </c>
      <c r="W868" t="s">
        <v>659</v>
      </c>
      <c r="X868" t="s">
        <v>666</v>
      </c>
    </row>
    <row r="869" spans="8:24" x14ac:dyDescent="0.45">
      <c r="H869" t="s">
        <v>429</v>
      </c>
      <c r="I869" t="s">
        <v>469</v>
      </c>
      <c r="J869">
        <v>1.2203844447429264E-2</v>
      </c>
      <c r="K869" t="s">
        <v>243</v>
      </c>
      <c r="U869" t="s">
        <v>112</v>
      </c>
      <c r="V869" t="s">
        <v>1325</v>
      </c>
      <c r="W869" t="s">
        <v>579</v>
      </c>
      <c r="X869" t="s">
        <v>666</v>
      </c>
    </row>
    <row r="870" spans="8:24" x14ac:dyDescent="0.45">
      <c r="H870" t="s">
        <v>430</v>
      </c>
      <c r="I870" t="s">
        <v>469</v>
      </c>
      <c r="J870">
        <v>4.8883022311723735E-3</v>
      </c>
      <c r="K870" t="s">
        <v>243</v>
      </c>
      <c r="U870" t="s">
        <v>112</v>
      </c>
      <c r="V870" t="s">
        <v>1325</v>
      </c>
      <c r="W870" t="s">
        <v>659</v>
      </c>
      <c r="X870" t="s">
        <v>666</v>
      </c>
    </row>
    <row r="871" spans="8:24" x14ac:dyDescent="0.45">
      <c r="H871" t="s">
        <v>431</v>
      </c>
      <c r="I871" t="s">
        <v>469</v>
      </c>
      <c r="J871">
        <v>7.1447070593131518E-3</v>
      </c>
      <c r="K871" t="s">
        <v>243</v>
      </c>
      <c r="U871" t="s">
        <v>112</v>
      </c>
      <c r="V871" t="s">
        <v>1326</v>
      </c>
      <c r="W871" t="s">
        <v>579</v>
      </c>
      <c r="X871" t="s">
        <v>666</v>
      </c>
    </row>
    <row r="872" spans="8:24" x14ac:dyDescent="0.45">
      <c r="H872" t="s">
        <v>432</v>
      </c>
      <c r="I872" t="s">
        <v>469</v>
      </c>
      <c r="J872">
        <v>5.0022070085081081E-3</v>
      </c>
      <c r="K872" t="s">
        <v>243</v>
      </c>
      <c r="U872" t="s">
        <v>112</v>
      </c>
      <c r="V872" t="s">
        <v>1326</v>
      </c>
      <c r="W872" t="s">
        <v>659</v>
      </c>
      <c r="X872" t="s">
        <v>666</v>
      </c>
    </row>
    <row r="873" spans="8:24" x14ac:dyDescent="0.45">
      <c r="H873" t="s">
        <v>433</v>
      </c>
      <c r="I873" t="s">
        <v>469</v>
      </c>
      <c r="J873">
        <v>1.864698144148455E-2</v>
      </c>
      <c r="K873" t="s">
        <v>243</v>
      </c>
      <c r="U873" t="s">
        <v>112</v>
      </c>
      <c r="V873" t="s">
        <v>1327</v>
      </c>
      <c r="W873" t="s">
        <v>659</v>
      </c>
      <c r="X873" t="s">
        <v>666</v>
      </c>
    </row>
    <row r="874" spans="8:24" x14ac:dyDescent="0.45">
      <c r="H874" t="s">
        <v>434</v>
      </c>
      <c r="I874" t="s">
        <v>469</v>
      </c>
      <c r="J874">
        <v>7.1899094610696221E-3</v>
      </c>
      <c r="K874" t="s">
        <v>243</v>
      </c>
      <c r="U874" t="s">
        <v>112</v>
      </c>
      <c r="V874" t="s">
        <v>1328</v>
      </c>
      <c r="W874" t="s">
        <v>659</v>
      </c>
      <c r="X874" t="s">
        <v>666</v>
      </c>
    </row>
    <row r="875" spans="8:24" x14ac:dyDescent="0.45">
      <c r="H875" t="s">
        <v>435</v>
      </c>
      <c r="I875" t="s">
        <v>469</v>
      </c>
      <c r="J875">
        <v>1.0495613795321284E-2</v>
      </c>
      <c r="K875" t="s">
        <v>243</v>
      </c>
      <c r="U875" t="s">
        <v>112</v>
      </c>
      <c r="V875" t="s">
        <v>1329</v>
      </c>
      <c r="W875" t="s">
        <v>659</v>
      </c>
      <c r="X875" t="s">
        <v>666</v>
      </c>
    </row>
    <row r="876" spans="8:24" x14ac:dyDescent="0.45">
      <c r="H876" t="s">
        <v>436</v>
      </c>
      <c r="I876" t="s">
        <v>469</v>
      </c>
      <c r="J876">
        <v>4.3254351271437607E-3</v>
      </c>
      <c r="K876" t="s">
        <v>243</v>
      </c>
      <c r="U876" t="s">
        <v>112</v>
      </c>
      <c r="V876" t="s">
        <v>1329</v>
      </c>
      <c r="W876" t="s">
        <v>579</v>
      </c>
      <c r="X876" t="s">
        <v>547</v>
      </c>
    </row>
    <row r="877" spans="8:24" x14ac:dyDescent="0.45">
      <c r="H877" t="s">
        <v>437</v>
      </c>
      <c r="I877" t="s">
        <v>469</v>
      </c>
      <c r="J877">
        <v>2.5800927127930723E-2</v>
      </c>
      <c r="K877" t="s">
        <v>243</v>
      </c>
      <c r="U877" t="s">
        <v>112</v>
      </c>
      <c r="V877" t="s">
        <v>1330</v>
      </c>
      <c r="W877" t="s">
        <v>659</v>
      </c>
      <c r="X877" t="s">
        <v>666</v>
      </c>
    </row>
    <row r="878" spans="8:24" x14ac:dyDescent="0.45">
      <c r="H878" t="s">
        <v>438</v>
      </c>
      <c r="I878" t="s">
        <v>469</v>
      </c>
      <c r="J878">
        <v>1.405753444086124E-2</v>
      </c>
      <c r="K878" t="s">
        <v>243</v>
      </c>
      <c r="U878" t="s">
        <v>112</v>
      </c>
      <c r="V878" t="s">
        <v>1330</v>
      </c>
      <c r="W878" t="s">
        <v>579</v>
      </c>
      <c r="X878" t="s">
        <v>547</v>
      </c>
    </row>
    <row r="879" spans="8:24" x14ac:dyDescent="0.45">
      <c r="H879" t="s">
        <v>439</v>
      </c>
      <c r="I879" t="s">
        <v>469</v>
      </c>
      <c r="J879">
        <v>3.4426870689328502E-2</v>
      </c>
      <c r="K879" t="s">
        <v>243</v>
      </c>
      <c r="U879" t="s">
        <v>112</v>
      </c>
      <c r="V879" t="s">
        <v>1331</v>
      </c>
      <c r="W879" t="s">
        <v>580</v>
      </c>
      <c r="X879" t="s">
        <v>666</v>
      </c>
    </row>
    <row r="880" spans="8:24" x14ac:dyDescent="0.45">
      <c r="H880" t="s">
        <v>440</v>
      </c>
      <c r="I880" t="s">
        <v>469</v>
      </c>
      <c r="J880">
        <v>1.1000418110446381E-2</v>
      </c>
      <c r="K880" t="s">
        <v>243</v>
      </c>
      <c r="U880" t="s">
        <v>112</v>
      </c>
      <c r="V880" t="s">
        <v>1332</v>
      </c>
      <c r="W880" t="s">
        <v>580</v>
      </c>
      <c r="X880" t="s">
        <v>666</v>
      </c>
    </row>
    <row r="881" spans="8:24" x14ac:dyDescent="0.45">
      <c r="H881" t="s">
        <v>441</v>
      </c>
      <c r="I881" t="s">
        <v>469</v>
      </c>
      <c r="J881">
        <v>3.1039562329627415E-2</v>
      </c>
      <c r="K881" t="s">
        <v>243</v>
      </c>
      <c r="U881" t="s">
        <v>112</v>
      </c>
      <c r="V881" t="s">
        <v>1333</v>
      </c>
      <c r="W881" t="s">
        <v>580</v>
      </c>
      <c r="X881" t="s">
        <v>666</v>
      </c>
    </row>
    <row r="882" spans="8:24" x14ac:dyDescent="0.45">
      <c r="H882" t="s">
        <v>442</v>
      </c>
      <c r="I882" t="s">
        <v>469</v>
      </c>
      <c r="J882">
        <v>2.8299217649428922E-2</v>
      </c>
      <c r="K882" t="s">
        <v>243</v>
      </c>
      <c r="U882" t="s">
        <v>112</v>
      </c>
      <c r="V882" t="s">
        <v>1334</v>
      </c>
      <c r="W882" t="s">
        <v>580</v>
      </c>
      <c r="X882" t="s">
        <v>666</v>
      </c>
    </row>
    <row r="883" spans="8:24" x14ac:dyDescent="0.45">
      <c r="H883" t="s">
        <v>443</v>
      </c>
      <c r="I883" t="s">
        <v>469</v>
      </c>
      <c r="J883">
        <v>1.1952000805990378E-2</v>
      </c>
      <c r="K883" t="s">
        <v>243</v>
      </c>
      <c r="U883" t="s">
        <v>112</v>
      </c>
      <c r="V883" t="s">
        <v>1335</v>
      </c>
      <c r="W883" t="s">
        <v>580</v>
      </c>
      <c r="X883" t="s">
        <v>666</v>
      </c>
    </row>
    <row r="884" spans="8:24" x14ac:dyDescent="0.45">
      <c r="H884" t="s">
        <v>444</v>
      </c>
      <c r="I884" t="s">
        <v>469</v>
      </c>
      <c r="J884">
        <v>3.5469515667934652E-2</v>
      </c>
      <c r="K884" t="s">
        <v>243</v>
      </c>
      <c r="U884" t="s">
        <v>112</v>
      </c>
      <c r="V884" t="s">
        <v>1336</v>
      </c>
      <c r="W884" t="s">
        <v>580</v>
      </c>
      <c r="X884" t="s">
        <v>666</v>
      </c>
    </row>
    <row r="885" spans="8:24" x14ac:dyDescent="0.45">
      <c r="H885" t="s">
        <v>445</v>
      </c>
      <c r="I885" t="s">
        <v>469</v>
      </c>
      <c r="J885">
        <v>1.6156975036991599E-4</v>
      </c>
      <c r="K885" t="s">
        <v>243</v>
      </c>
      <c r="U885" t="s">
        <v>112</v>
      </c>
      <c r="V885" t="s">
        <v>1337</v>
      </c>
      <c r="W885" t="s">
        <v>580</v>
      </c>
      <c r="X885" t="s">
        <v>666</v>
      </c>
    </row>
    <row r="886" spans="8:24" x14ac:dyDescent="0.45">
      <c r="H886" t="s">
        <v>446</v>
      </c>
      <c r="I886" t="s">
        <v>469</v>
      </c>
      <c r="J886">
        <v>2.3761230856444941E-2</v>
      </c>
      <c r="K886" t="s">
        <v>243</v>
      </c>
      <c r="U886" t="s">
        <v>112</v>
      </c>
      <c r="V886" t="s">
        <v>1338</v>
      </c>
      <c r="W886" t="s">
        <v>580</v>
      </c>
      <c r="X886" t="s">
        <v>666</v>
      </c>
    </row>
    <row r="887" spans="8:24" x14ac:dyDescent="0.45">
      <c r="H887" t="s">
        <v>447</v>
      </c>
      <c r="I887" t="s">
        <v>469</v>
      </c>
      <c r="J887">
        <v>5.8832428739188161E-3</v>
      </c>
      <c r="K887" t="s">
        <v>243</v>
      </c>
      <c r="U887" t="s">
        <v>112</v>
      </c>
      <c r="V887" t="s">
        <v>1339</v>
      </c>
      <c r="W887" t="s">
        <v>580</v>
      </c>
      <c r="X887" t="s">
        <v>666</v>
      </c>
    </row>
    <row r="888" spans="8:24" x14ac:dyDescent="0.45">
      <c r="H888" t="s">
        <v>448</v>
      </c>
      <c r="I888" t="s">
        <v>469</v>
      </c>
      <c r="J888">
        <v>7.8013068502856195E-4</v>
      </c>
      <c r="K888" t="s">
        <v>243</v>
      </c>
      <c r="U888" t="s">
        <v>112</v>
      </c>
      <c r="V888" t="s">
        <v>1340</v>
      </c>
      <c r="W888" t="s">
        <v>580</v>
      </c>
      <c r="X888" t="s">
        <v>666</v>
      </c>
    </row>
    <row r="889" spans="8:24" x14ac:dyDescent="0.45">
      <c r="H889" t="s">
        <v>449</v>
      </c>
      <c r="I889" t="s">
        <v>469</v>
      </c>
      <c r="J889">
        <v>2.3105306089315381E-2</v>
      </c>
      <c r="K889" t="s">
        <v>243</v>
      </c>
      <c r="U889" t="s">
        <v>112</v>
      </c>
      <c r="V889" t="s">
        <v>1341</v>
      </c>
      <c r="W889" t="s">
        <v>580</v>
      </c>
      <c r="X889" t="s">
        <v>666</v>
      </c>
    </row>
    <row r="890" spans="8:24" x14ac:dyDescent="0.45">
      <c r="H890" t="s">
        <v>450</v>
      </c>
      <c r="I890" t="s">
        <v>469</v>
      </c>
      <c r="J890">
        <v>2.1820044474176171E-2</v>
      </c>
      <c r="K890" t="s">
        <v>243</v>
      </c>
      <c r="U890" t="s">
        <v>112</v>
      </c>
      <c r="V890" t="s">
        <v>1342</v>
      </c>
      <c r="W890" t="s">
        <v>580</v>
      </c>
      <c r="X890" t="s">
        <v>666</v>
      </c>
    </row>
    <row r="891" spans="8:24" x14ac:dyDescent="0.45">
      <c r="H891" t="s">
        <v>451</v>
      </c>
      <c r="I891" t="s">
        <v>469</v>
      </c>
      <c r="J891">
        <v>8.6410921225688643E-3</v>
      </c>
      <c r="K891" t="s">
        <v>243</v>
      </c>
      <c r="U891" t="s">
        <v>112</v>
      </c>
      <c r="V891" t="s">
        <v>1342</v>
      </c>
      <c r="W891" t="s">
        <v>655</v>
      </c>
      <c r="X891" t="s">
        <v>666</v>
      </c>
    </row>
    <row r="892" spans="8:24" x14ac:dyDescent="0.45">
      <c r="H892" t="s">
        <v>452</v>
      </c>
      <c r="I892" t="s">
        <v>469</v>
      </c>
      <c r="J892">
        <v>1.7865851029570584E-2</v>
      </c>
      <c r="K892" t="s">
        <v>243</v>
      </c>
      <c r="U892" t="s">
        <v>112</v>
      </c>
      <c r="V892" t="s">
        <v>1343</v>
      </c>
      <c r="W892" t="s">
        <v>580</v>
      </c>
      <c r="X892" t="s">
        <v>666</v>
      </c>
    </row>
    <row r="893" spans="8:24" x14ac:dyDescent="0.45">
      <c r="H893" t="s">
        <v>453</v>
      </c>
      <c r="I893" t="s">
        <v>469</v>
      </c>
      <c r="J893">
        <v>1.324203606058452E-2</v>
      </c>
      <c r="K893" t="s">
        <v>243</v>
      </c>
      <c r="U893" t="s">
        <v>112</v>
      </c>
      <c r="V893" t="s">
        <v>1343</v>
      </c>
      <c r="W893" t="s">
        <v>655</v>
      </c>
      <c r="X893" t="s">
        <v>666</v>
      </c>
    </row>
    <row r="894" spans="8:24" x14ac:dyDescent="0.45">
      <c r="H894" t="s">
        <v>454</v>
      </c>
      <c r="I894" t="s">
        <v>469</v>
      </c>
      <c r="J894">
        <v>1.7650393171082406E-2</v>
      </c>
      <c r="K894" t="s">
        <v>243</v>
      </c>
      <c r="U894" t="s">
        <v>112</v>
      </c>
      <c r="V894" t="s">
        <v>1344</v>
      </c>
      <c r="W894" t="s">
        <v>580</v>
      </c>
      <c r="X894" t="s">
        <v>666</v>
      </c>
    </row>
    <row r="895" spans="8:24" x14ac:dyDescent="0.45">
      <c r="H895" t="s">
        <v>455</v>
      </c>
      <c r="I895" t="s">
        <v>469</v>
      </c>
      <c r="J895">
        <v>8.9705086198717202E-3</v>
      </c>
      <c r="K895" t="s">
        <v>243</v>
      </c>
      <c r="U895" t="s">
        <v>112</v>
      </c>
      <c r="V895" t="s">
        <v>1344</v>
      </c>
      <c r="W895" t="s">
        <v>655</v>
      </c>
      <c r="X895" t="s">
        <v>666</v>
      </c>
    </row>
    <row r="896" spans="8:24" x14ac:dyDescent="0.45">
      <c r="H896" t="s">
        <v>456</v>
      </c>
      <c r="I896" t="s">
        <v>469</v>
      </c>
      <c r="J896">
        <v>1.8154792518597699E-3</v>
      </c>
      <c r="K896" t="s">
        <v>243</v>
      </c>
      <c r="U896" t="s">
        <v>112</v>
      </c>
      <c r="V896" t="s">
        <v>1345</v>
      </c>
      <c r="W896" t="s">
        <v>580</v>
      </c>
      <c r="X896" t="s">
        <v>666</v>
      </c>
    </row>
    <row r="897" spans="8:24" x14ac:dyDescent="0.45">
      <c r="H897" t="s">
        <v>457</v>
      </c>
      <c r="I897" t="s">
        <v>469</v>
      </c>
      <c r="J897">
        <v>1.0193733781361899E-2</v>
      </c>
      <c r="K897" t="s">
        <v>243</v>
      </c>
      <c r="U897" t="s">
        <v>112</v>
      </c>
      <c r="V897" t="s">
        <v>1345</v>
      </c>
      <c r="W897" t="s">
        <v>655</v>
      </c>
      <c r="X897" t="s">
        <v>666</v>
      </c>
    </row>
    <row r="898" spans="8:24" x14ac:dyDescent="0.45">
      <c r="H898" t="s">
        <v>458</v>
      </c>
      <c r="I898" t="s">
        <v>469</v>
      </c>
      <c r="J898">
        <v>2.1190661901700786E-2</v>
      </c>
      <c r="K898" t="s">
        <v>243</v>
      </c>
      <c r="U898" t="s">
        <v>112</v>
      </c>
      <c r="V898" t="s">
        <v>1346</v>
      </c>
      <c r="W898" t="s">
        <v>655</v>
      </c>
      <c r="X898" t="s">
        <v>666</v>
      </c>
    </row>
    <row r="899" spans="8:24" x14ac:dyDescent="0.45">
      <c r="H899" t="s">
        <v>459</v>
      </c>
      <c r="I899" t="s">
        <v>469</v>
      </c>
      <c r="J899">
        <v>2.7214004573236993E-2</v>
      </c>
      <c r="K899" t="s">
        <v>243</v>
      </c>
      <c r="U899" t="s">
        <v>112</v>
      </c>
      <c r="V899" t="s">
        <v>1347</v>
      </c>
      <c r="W899" t="s">
        <v>655</v>
      </c>
      <c r="X899" t="s">
        <v>666</v>
      </c>
    </row>
    <row r="900" spans="8:24" x14ac:dyDescent="0.45">
      <c r="H900" t="s">
        <v>460</v>
      </c>
      <c r="I900" t="s">
        <v>469</v>
      </c>
      <c r="J900">
        <v>1.8283289522999763E-2</v>
      </c>
      <c r="K900" t="s">
        <v>243</v>
      </c>
      <c r="U900" t="s">
        <v>112</v>
      </c>
      <c r="V900" t="s">
        <v>1348</v>
      </c>
      <c r="W900" t="s">
        <v>655</v>
      </c>
      <c r="X900" t="s">
        <v>666</v>
      </c>
    </row>
    <row r="901" spans="8:24" x14ac:dyDescent="0.45">
      <c r="H901" t="s">
        <v>461</v>
      </c>
      <c r="I901" t="s">
        <v>469</v>
      </c>
      <c r="J901">
        <v>1.8681500065978192E-2</v>
      </c>
      <c r="K901" t="s">
        <v>243</v>
      </c>
      <c r="U901" t="s">
        <v>112</v>
      </c>
      <c r="V901" t="s">
        <v>1348</v>
      </c>
      <c r="W901" t="s">
        <v>580</v>
      </c>
      <c r="X901" t="s">
        <v>547</v>
      </c>
    </row>
    <row r="902" spans="8:24" x14ac:dyDescent="0.45">
      <c r="H902" t="s">
        <v>462</v>
      </c>
      <c r="I902" t="s">
        <v>469</v>
      </c>
      <c r="J902">
        <v>5.1300524772893898E-3</v>
      </c>
      <c r="K902" t="s">
        <v>243</v>
      </c>
      <c r="U902" t="s">
        <v>112</v>
      </c>
      <c r="V902" t="s">
        <v>1349</v>
      </c>
      <c r="W902" t="s">
        <v>655</v>
      </c>
      <c r="X902" t="s">
        <v>666</v>
      </c>
    </row>
    <row r="903" spans="8:24" x14ac:dyDescent="0.45">
      <c r="H903" t="s">
        <v>463</v>
      </c>
      <c r="I903" t="s">
        <v>469</v>
      </c>
      <c r="J903">
        <v>1.5461363788657192E-2</v>
      </c>
      <c r="K903" t="s">
        <v>243</v>
      </c>
      <c r="U903" t="s">
        <v>112</v>
      </c>
      <c r="V903" t="s">
        <v>1349</v>
      </c>
      <c r="W903" t="s">
        <v>580</v>
      </c>
      <c r="X903" t="s">
        <v>547</v>
      </c>
    </row>
    <row r="904" spans="8:24" x14ac:dyDescent="0.45">
      <c r="H904" t="s">
        <v>464</v>
      </c>
      <c r="I904" t="s">
        <v>469</v>
      </c>
      <c r="J904">
        <v>2.0263204175399025E-2</v>
      </c>
      <c r="K904" t="s">
        <v>243</v>
      </c>
      <c r="U904" t="s">
        <v>112</v>
      </c>
      <c r="V904" t="s">
        <v>1350</v>
      </c>
      <c r="W904" t="s">
        <v>581</v>
      </c>
      <c r="X904" t="s">
        <v>666</v>
      </c>
    </row>
    <row r="905" spans="8:24" x14ac:dyDescent="0.45">
      <c r="H905" t="s">
        <v>465</v>
      </c>
      <c r="I905" t="s">
        <v>469</v>
      </c>
      <c r="J905">
        <v>3.7729505193986705E-2</v>
      </c>
      <c r="K905" t="s">
        <v>243</v>
      </c>
      <c r="U905" t="s">
        <v>112</v>
      </c>
      <c r="V905" t="s">
        <v>1351</v>
      </c>
      <c r="W905" t="s">
        <v>581</v>
      </c>
      <c r="X905" t="s">
        <v>666</v>
      </c>
    </row>
    <row r="906" spans="8:24" x14ac:dyDescent="0.45">
      <c r="H906" t="s">
        <v>466</v>
      </c>
      <c r="I906" t="s">
        <v>469</v>
      </c>
      <c r="J906">
        <v>3.4268075616681118E-2</v>
      </c>
      <c r="K906" t="s">
        <v>243</v>
      </c>
      <c r="U906" t="s">
        <v>112</v>
      </c>
      <c r="V906" t="s">
        <v>1352</v>
      </c>
      <c r="W906" t="s">
        <v>581</v>
      </c>
      <c r="X906" t="s">
        <v>666</v>
      </c>
    </row>
    <row r="907" spans="8:24" x14ac:dyDescent="0.45">
      <c r="H907" t="s">
        <v>467</v>
      </c>
      <c r="I907" t="s">
        <v>469</v>
      </c>
      <c r="J907">
        <v>1.3115205940839829E-2</v>
      </c>
      <c r="K907" t="s">
        <v>243</v>
      </c>
      <c r="U907" t="s">
        <v>112</v>
      </c>
      <c r="V907" t="s">
        <v>1353</v>
      </c>
      <c r="W907" t="s">
        <v>581</v>
      </c>
      <c r="X907" t="s">
        <v>666</v>
      </c>
    </row>
    <row r="908" spans="8:24" x14ac:dyDescent="0.45">
      <c r="H908" t="s">
        <v>468</v>
      </c>
      <c r="I908" t="s">
        <v>469</v>
      </c>
      <c r="J908">
        <v>9.7436705237028218E-3</v>
      </c>
      <c r="K908" t="s">
        <v>243</v>
      </c>
      <c r="U908" t="s">
        <v>112</v>
      </c>
      <c r="V908" t="s">
        <v>1354</v>
      </c>
      <c r="W908" t="s">
        <v>581</v>
      </c>
      <c r="X908" t="s">
        <v>666</v>
      </c>
    </row>
    <row r="909" spans="8:24" x14ac:dyDescent="0.45">
      <c r="H909" t="s">
        <v>479</v>
      </c>
      <c r="I909" t="s">
        <v>469</v>
      </c>
      <c r="J909">
        <v>6.9138205125889619E-3</v>
      </c>
      <c r="K909" t="s">
        <v>243</v>
      </c>
      <c r="U909" t="s">
        <v>112</v>
      </c>
      <c r="V909" t="s">
        <v>1355</v>
      </c>
      <c r="W909" t="s">
        <v>581</v>
      </c>
      <c r="X909" t="s">
        <v>666</v>
      </c>
    </row>
    <row r="910" spans="8:24" x14ac:dyDescent="0.45">
      <c r="H910" t="s">
        <v>480</v>
      </c>
      <c r="I910" t="s">
        <v>469</v>
      </c>
      <c r="J910">
        <v>1.8116399724624321E-3</v>
      </c>
      <c r="K910" t="s">
        <v>243</v>
      </c>
      <c r="U910" t="s">
        <v>112</v>
      </c>
      <c r="V910" t="s">
        <v>1356</v>
      </c>
      <c r="W910" t="s">
        <v>581</v>
      </c>
      <c r="X910" t="s">
        <v>666</v>
      </c>
    </row>
    <row r="911" spans="8:24" x14ac:dyDescent="0.45">
      <c r="H911" t="s">
        <v>481</v>
      </c>
      <c r="I911" t="s">
        <v>469</v>
      </c>
      <c r="J911">
        <v>1.683999603144908E-3</v>
      </c>
      <c r="K911" t="s">
        <v>243</v>
      </c>
      <c r="U911" t="s">
        <v>112</v>
      </c>
      <c r="V911" t="s">
        <v>1357</v>
      </c>
      <c r="W911" t="s">
        <v>581</v>
      </c>
      <c r="X911" t="s">
        <v>666</v>
      </c>
    </row>
    <row r="912" spans="8:24" x14ac:dyDescent="0.45">
      <c r="H912" t="s">
        <v>482</v>
      </c>
      <c r="I912" t="s">
        <v>483</v>
      </c>
      <c r="J912">
        <v>1.27148236205576E-2</v>
      </c>
      <c r="K912" t="s">
        <v>243</v>
      </c>
      <c r="U912" t="s">
        <v>112</v>
      </c>
      <c r="V912" t="s">
        <v>1358</v>
      </c>
      <c r="W912" t="s">
        <v>581</v>
      </c>
      <c r="X912" t="s">
        <v>666</v>
      </c>
    </row>
    <row r="913" spans="8:24" x14ac:dyDescent="0.45">
      <c r="H913" t="s">
        <v>484</v>
      </c>
      <c r="I913" t="s">
        <v>485</v>
      </c>
      <c r="J913">
        <v>6.0063876925418799E-2</v>
      </c>
      <c r="K913" t="s">
        <v>243</v>
      </c>
      <c r="U913" t="s">
        <v>112</v>
      </c>
      <c r="V913" t="s">
        <v>1359</v>
      </c>
      <c r="W913" t="s">
        <v>581</v>
      </c>
      <c r="X913" t="s">
        <v>666</v>
      </c>
    </row>
    <row r="914" spans="8:24" x14ac:dyDescent="0.45">
      <c r="H914" t="s">
        <v>484</v>
      </c>
      <c r="I914" t="s">
        <v>483</v>
      </c>
      <c r="J914">
        <v>7.3052893497843899E-2</v>
      </c>
      <c r="K914" t="s">
        <v>243</v>
      </c>
      <c r="U914" t="s">
        <v>112</v>
      </c>
      <c r="V914" t="s">
        <v>1360</v>
      </c>
      <c r="W914" t="s">
        <v>581</v>
      </c>
      <c r="X914" t="s">
        <v>666</v>
      </c>
    </row>
    <row r="915" spans="8:24" x14ac:dyDescent="0.45">
      <c r="H915" t="s">
        <v>486</v>
      </c>
      <c r="I915" t="s">
        <v>483</v>
      </c>
      <c r="J915">
        <v>1.0073842653674999E-3</v>
      </c>
      <c r="K915" t="s">
        <v>243</v>
      </c>
      <c r="U915" t="s">
        <v>112</v>
      </c>
      <c r="V915" t="s">
        <v>1361</v>
      </c>
      <c r="W915" t="s">
        <v>581</v>
      </c>
      <c r="X915" t="s">
        <v>666</v>
      </c>
    </row>
    <row r="916" spans="8:24" x14ac:dyDescent="0.45">
      <c r="H916" t="s">
        <v>487</v>
      </c>
      <c r="I916" t="s">
        <v>485</v>
      </c>
      <c r="J916">
        <v>0.10357846409469761</v>
      </c>
      <c r="K916" t="s">
        <v>243</v>
      </c>
      <c r="U916" t="s">
        <v>112</v>
      </c>
      <c r="V916" t="s">
        <v>1361</v>
      </c>
      <c r="W916" t="s">
        <v>643</v>
      </c>
      <c r="X916" t="s">
        <v>666</v>
      </c>
    </row>
    <row r="917" spans="8:24" x14ac:dyDescent="0.45">
      <c r="H917" t="s">
        <v>487</v>
      </c>
      <c r="I917" t="s">
        <v>483</v>
      </c>
      <c r="J917">
        <v>9.7651914381434099E-2</v>
      </c>
      <c r="K917" t="s">
        <v>243</v>
      </c>
      <c r="U917" t="s">
        <v>112</v>
      </c>
      <c r="V917" t="s">
        <v>1362</v>
      </c>
      <c r="W917" t="s">
        <v>581</v>
      </c>
      <c r="X917" t="s">
        <v>666</v>
      </c>
    </row>
    <row r="918" spans="8:24" x14ac:dyDescent="0.45">
      <c r="H918" t="s">
        <v>488</v>
      </c>
      <c r="I918" t="s">
        <v>485</v>
      </c>
      <c r="J918">
        <v>1.22135327932523E-2</v>
      </c>
      <c r="K918" t="s">
        <v>243</v>
      </c>
      <c r="U918" t="s">
        <v>112</v>
      </c>
      <c r="V918" t="s">
        <v>1362</v>
      </c>
      <c r="W918" t="s">
        <v>643</v>
      </c>
      <c r="X918" t="s">
        <v>666</v>
      </c>
    </row>
    <row r="919" spans="8:24" x14ac:dyDescent="0.45">
      <c r="H919" t="s">
        <v>488</v>
      </c>
      <c r="I919" t="s">
        <v>483</v>
      </c>
      <c r="J919">
        <v>9.7630253416555006E-3</v>
      </c>
      <c r="K919" t="s">
        <v>243</v>
      </c>
      <c r="U919" t="s">
        <v>112</v>
      </c>
      <c r="V919" t="s">
        <v>1363</v>
      </c>
      <c r="W919" t="s">
        <v>581</v>
      </c>
      <c r="X919" t="s">
        <v>666</v>
      </c>
    </row>
    <row r="920" spans="8:24" x14ac:dyDescent="0.45">
      <c r="H920" t="s">
        <v>489</v>
      </c>
      <c r="I920" t="s">
        <v>485</v>
      </c>
      <c r="J920">
        <v>2.1303212212212801E-2</v>
      </c>
      <c r="K920" t="s">
        <v>243</v>
      </c>
      <c r="U920" t="s">
        <v>112</v>
      </c>
      <c r="V920" t="s">
        <v>1363</v>
      </c>
      <c r="W920" t="s">
        <v>643</v>
      </c>
      <c r="X920" t="s">
        <v>666</v>
      </c>
    </row>
    <row r="921" spans="8:24" x14ac:dyDescent="0.45">
      <c r="H921" t="s">
        <v>489</v>
      </c>
      <c r="I921" t="s">
        <v>483</v>
      </c>
      <c r="J921">
        <v>3.0089134868984499E-2</v>
      </c>
      <c r="K921" t="s">
        <v>243</v>
      </c>
      <c r="U921" t="s">
        <v>112</v>
      </c>
      <c r="V921" t="s">
        <v>1364</v>
      </c>
      <c r="W921" t="s">
        <v>581</v>
      </c>
      <c r="X921" t="s">
        <v>666</v>
      </c>
    </row>
    <row r="922" spans="8:24" x14ac:dyDescent="0.45">
      <c r="H922" t="s">
        <v>490</v>
      </c>
      <c r="I922" t="s">
        <v>485</v>
      </c>
      <c r="J922">
        <v>1.7219207817883699E-2</v>
      </c>
      <c r="K922" t="s">
        <v>243</v>
      </c>
      <c r="U922" t="s">
        <v>112</v>
      </c>
      <c r="V922" t="s">
        <v>1364</v>
      </c>
      <c r="W922" t="s">
        <v>643</v>
      </c>
      <c r="X922" t="s">
        <v>666</v>
      </c>
    </row>
    <row r="923" spans="8:24" x14ac:dyDescent="0.45">
      <c r="H923" t="s">
        <v>490</v>
      </c>
      <c r="I923" t="s">
        <v>483</v>
      </c>
      <c r="J923">
        <v>1.7726476933215E-2</v>
      </c>
      <c r="K923" t="s">
        <v>243</v>
      </c>
      <c r="U923" t="s">
        <v>112</v>
      </c>
      <c r="V923" t="s">
        <v>1365</v>
      </c>
      <c r="W923" t="s">
        <v>643</v>
      </c>
      <c r="X923" t="s">
        <v>666</v>
      </c>
    </row>
    <row r="924" spans="8:24" x14ac:dyDescent="0.45">
      <c r="H924" t="s">
        <v>491</v>
      </c>
      <c r="I924" t="s">
        <v>485</v>
      </c>
      <c r="J924">
        <v>8.7632057566552707E-2</v>
      </c>
      <c r="K924" t="s">
        <v>243</v>
      </c>
      <c r="U924" t="s">
        <v>112</v>
      </c>
      <c r="V924" t="s">
        <v>1366</v>
      </c>
      <c r="W924" t="s">
        <v>643</v>
      </c>
      <c r="X924" t="s">
        <v>666</v>
      </c>
    </row>
    <row r="925" spans="8:24" x14ac:dyDescent="0.45">
      <c r="H925" t="s">
        <v>491</v>
      </c>
      <c r="I925" t="s">
        <v>483</v>
      </c>
      <c r="J925">
        <v>6.26454302364228E-2</v>
      </c>
      <c r="K925" t="s">
        <v>243</v>
      </c>
      <c r="U925" t="s">
        <v>112</v>
      </c>
      <c r="V925" t="s">
        <v>1367</v>
      </c>
      <c r="W925" t="s">
        <v>643</v>
      </c>
      <c r="X925" t="s">
        <v>666</v>
      </c>
    </row>
    <row r="926" spans="8:24" x14ac:dyDescent="0.45">
      <c r="H926" t="s">
        <v>492</v>
      </c>
      <c r="I926" t="s">
        <v>485</v>
      </c>
      <c r="J926">
        <v>1.3770299901667E-3</v>
      </c>
      <c r="K926" t="s">
        <v>243</v>
      </c>
      <c r="U926" t="s">
        <v>112</v>
      </c>
      <c r="V926" t="s">
        <v>1367</v>
      </c>
      <c r="W926" t="s">
        <v>581</v>
      </c>
      <c r="X926" t="s">
        <v>547</v>
      </c>
    </row>
    <row r="927" spans="8:24" x14ac:dyDescent="0.45">
      <c r="H927" t="s">
        <v>492</v>
      </c>
      <c r="I927" t="s">
        <v>483</v>
      </c>
      <c r="J927">
        <v>1.1156774396146E-3</v>
      </c>
      <c r="K927" t="s">
        <v>243</v>
      </c>
      <c r="U927" t="s">
        <v>112</v>
      </c>
      <c r="V927" t="s">
        <v>1368</v>
      </c>
      <c r="W927" t="s">
        <v>643</v>
      </c>
      <c r="X927" t="s">
        <v>666</v>
      </c>
    </row>
    <row r="928" spans="8:24" x14ac:dyDescent="0.45">
      <c r="H928" t="s">
        <v>493</v>
      </c>
      <c r="I928" t="s">
        <v>485</v>
      </c>
      <c r="J928">
        <v>9.6852555368884003E-3</v>
      </c>
      <c r="K928" t="s">
        <v>243</v>
      </c>
      <c r="U928" t="s">
        <v>112</v>
      </c>
      <c r="V928" t="s">
        <v>1368</v>
      </c>
      <c r="W928" t="s">
        <v>581</v>
      </c>
      <c r="X928" t="s">
        <v>547</v>
      </c>
    </row>
    <row r="929" spans="8:24" x14ac:dyDescent="0.45">
      <c r="H929" t="s">
        <v>493</v>
      </c>
      <c r="I929" t="s">
        <v>483</v>
      </c>
      <c r="J929">
        <v>2.2552131250171699E-2</v>
      </c>
      <c r="K929" t="s">
        <v>243</v>
      </c>
      <c r="U929" t="s">
        <v>112</v>
      </c>
      <c r="V929" t="s">
        <v>1369</v>
      </c>
      <c r="W929" t="s">
        <v>582</v>
      </c>
      <c r="X929" t="s">
        <v>666</v>
      </c>
    </row>
    <row r="930" spans="8:24" x14ac:dyDescent="0.45">
      <c r="H930" t="s">
        <v>494</v>
      </c>
      <c r="I930" t="s">
        <v>485</v>
      </c>
      <c r="J930">
        <v>1.87924109020387E-2</v>
      </c>
      <c r="K930" t="s">
        <v>243</v>
      </c>
      <c r="U930" t="s">
        <v>112</v>
      </c>
      <c r="V930" t="s">
        <v>1370</v>
      </c>
      <c r="W930" t="s">
        <v>582</v>
      </c>
      <c r="X930" t="s">
        <v>666</v>
      </c>
    </row>
    <row r="931" spans="8:24" x14ac:dyDescent="0.45">
      <c r="H931" t="s">
        <v>494</v>
      </c>
      <c r="I931" t="s">
        <v>483</v>
      </c>
      <c r="J931">
        <v>1.4136503583731801E-2</v>
      </c>
      <c r="K931" t="s">
        <v>243</v>
      </c>
      <c r="U931" t="s">
        <v>112</v>
      </c>
      <c r="V931" t="s">
        <v>1371</v>
      </c>
      <c r="W931" t="s">
        <v>582</v>
      </c>
      <c r="X931" t="s">
        <v>666</v>
      </c>
    </row>
    <row r="932" spans="8:24" x14ac:dyDescent="0.45">
      <c r="H932" t="s">
        <v>495</v>
      </c>
      <c r="I932" t="s">
        <v>485</v>
      </c>
      <c r="J932">
        <v>2.0200253687164198E-2</v>
      </c>
      <c r="K932" t="s">
        <v>243</v>
      </c>
      <c r="U932" t="s">
        <v>112</v>
      </c>
      <c r="V932" t="s">
        <v>1372</v>
      </c>
      <c r="W932" t="s">
        <v>582</v>
      </c>
      <c r="X932" t="s">
        <v>666</v>
      </c>
    </row>
    <row r="933" spans="8:24" x14ac:dyDescent="0.45">
      <c r="H933" t="s">
        <v>495</v>
      </c>
      <c r="I933" t="s">
        <v>483</v>
      </c>
      <c r="J933">
        <v>2.5361359521581701E-2</v>
      </c>
      <c r="K933" t="s">
        <v>243</v>
      </c>
      <c r="U933" t="s">
        <v>112</v>
      </c>
      <c r="V933" t="s">
        <v>1373</v>
      </c>
      <c r="W933" t="s">
        <v>582</v>
      </c>
      <c r="X933" t="s">
        <v>666</v>
      </c>
    </row>
    <row r="934" spans="8:24" x14ac:dyDescent="0.45">
      <c r="H934" t="s">
        <v>496</v>
      </c>
      <c r="I934" t="s">
        <v>485</v>
      </c>
      <c r="J934">
        <v>7.8373584927408004E-3</v>
      </c>
      <c r="K934" t="s">
        <v>243</v>
      </c>
      <c r="U934" t="s">
        <v>112</v>
      </c>
      <c r="V934" t="s">
        <v>1374</v>
      </c>
      <c r="W934" t="s">
        <v>582</v>
      </c>
      <c r="X934" t="s">
        <v>666</v>
      </c>
    </row>
    <row r="935" spans="8:24" x14ac:dyDescent="0.45">
      <c r="H935" t="s">
        <v>496</v>
      </c>
      <c r="I935" t="s">
        <v>483</v>
      </c>
      <c r="J935">
        <v>1.3044563196209599E-2</v>
      </c>
      <c r="K935" t="s">
        <v>243</v>
      </c>
      <c r="U935" t="s">
        <v>112</v>
      </c>
      <c r="V935" t="s">
        <v>1375</v>
      </c>
      <c r="W935" t="s">
        <v>582</v>
      </c>
      <c r="X935" t="s">
        <v>666</v>
      </c>
    </row>
    <row r="936" spans="8:24" x14ac:dyDescent="0.45">
      <c r="H936" t="s">
        <v>497</v>
      </c>
      <c r="I936" t="s">
        <v>485</v>
      </c>
      <c r="J936">
        <v>5.9257315177492003E-3</v>
      </c>
      <c r="K936" t="s">
        <v>243</v>
      </c>
      <c r="U936" t="s">
        <v>112</v>
      </c>
      <c r="V936" t="s">
        <v>1376</v>
      </c>
      <c r="W936" t="s">
        <v>582</v>
      </c>
      <c r="X936" t="s">
        <v>666</v>
      </c>
    </row>
    <row r="937" spans="8:24" x14ac:dyDescent="0.45">
      <c r="H937" t="s">
        <v>497</v>
      </c>
      <c r="I937" t="s">
        <v>483</v>
      </c>
      <c r="J937">
        <v>7.0891811371306002E-3</v>
      </c>
      <c r="K937" t="s">
        <v>243</v>
      </c>
      <c r="U937" t="s">
        <v>112</v>
      </c>
      <c r="V937" t="s">
        <v>1377</v>
      </c>
      <c r="W937" t="s">
        <v>582</v>
      </c>
      <c r="X937" t="s">
        <v>666</v>
      </c>
    </row>
    <row r="938" spans="8:24" x14ac:dyDescent="0.45">
      <c r="H938" t="s">
        <v>498</v>
      </c>
      <c r="I938" t="s">
        <v>485</v>
      </c>
      <c r="J938">
        <v>4.3903327109867302E-2</v>
      </c>
      <c r="K938" t="s">
        <v>243</v>
      </c>
      <c r="U938" t="s">
        <v>112</v>
      </c>
      <c r="V938" t="s">
        <v>1378</v>
      </c>
      <c r="W938" t="s">
        <v>582</v>
      </c>
      <c r="X938" t="s">
        <v>666</v>
      </c>
    </row>
    <row r="939" spans="8:24" x14ac:dyDescent="0.45">
      <c r="H939" t="s">
        <v>498</v>
      </c>
      <c r="I939" t="s">
        <v>483</v>
      </c>
      <c r="J939">
        <v>2.8091710769803501E-2</v>
      </c>
      <c r="K939" t="s">
        <v>243</v>
      </c>
      <c r="U939" t="s">
        <v>112</v>
      </c>
      <c r="V939" t="s">
        <v>1379</v>
      </c>
      <c r="W939" t="s">
        <v>582</v>
      </c>
      <c r="X939" t="s">
        <v>666</v>
      </c>
    </row>
    <row r="940" spans="8:24" x14ac:dyDescent="0.45">
      <c r="H940" t="s">
        <v>499</v>
      </c>
      <c r="I940" t="s">
        <v>485</v>
      </c>
      <c r="J940">
        <v>6.4801653100677398E-2</v>
      </c>
      <c r="K940" t="s">
        <v>243</v>
      </c>
      <c r="U940" t="s">
        <v>112</v>
      </c>
      <c r="V940" t="s">
        <v>1380</v>
      </c>
      <c r="W940" t="s">
        <v>582</v>
      </c>
      <c r="X940" t="s">
        <v>666</v>
      </c>
    </row>
    <row r="941" spans="8:24" x14ac:dyDescent="0.45">
      <c r="H941" t="s">
        <v>499</v>
      </c>
      <c r="I941" t="s">
        <v>483</v>
      </c>
      <c r="J941">
        <v>4.9486803198372897E-2</v>
      </c>
      <c r="K941" t="s">
        <v>243</v>
      </c>
      <c r="U941" t="s">
        <v>112</v>
      </c>
      <c r="V941" t="s">
        <v>1380</v>
      </c>
      <c r="W941" t="s">
        <v>664</v>
      </c>
      <c r="X941" t="s">
        <v>666</v>
      </c>
    </row>
    <row r="942" spans="8:24" x14ac:dyDescent="0.45">
      <c r="H942" t="s">
        <v>500</v>
      </c>
      <c r="I942" t="s">
        <v>485</v>
      </c>
      <c r="J942">
        <v>2.9474682374542802E-2</v>
      </c>
      <c r="K942" t="s">
        <v>243</v>
      </c>
      <c r="U942" t="s">
        <v>112</v>
      </c>
      <c r="V942" t="s">
        <v>1381</v>
      </c>
      <c r="W942" t="s">
        <v>582</v>
      </c>
      <c r="X942" t="s">
        <v>666</v>
      </c>
    </row>
    <row r="943" spans="8:24" x14ac:dyDescent="0.45">
      <c r="H943" t="s">
        <v>500</v>
      </c>
      <c r="I943" t="s">
        <v>483</v>
      </c>
      <c r="J943">
        <v>2.5245743733454298E-2</v>
      </c>
      <c r="K943" t="s">
        <v>243</v>
      </c>
      <c r="U943" t="s">
        <v>112</v>
      </c>
      <c r="V943" t="s">
        <v>1381</v>
      </c>
      <c r="W943" t="s">
        <v>664</v>
      </c>
      <c r="X943" t="s">
        <v>666</v>
      </c>
    </row>
    <row r="944" spans="8:24" x14ac:dyDescent="0.45">
      <c r="H944" t="s">
        <v>501</v>
      </c>
      <c r="I944" t="s">
        <v>485</v>
      </c>
      <c r="J944">
        <v>3.5664581130195203E-2</v>
      </c>
      <c r="K944" t="s">
        <v>243</v>
      </c>
      <c r="U944" t="s">
        <v>112</v>
      </c>
      <c r="V944" t="s">
        <v>1382</v>
      </c>
      <c r="W944" t="s">
        <v>582</v>
      </c>
      <c r="X944" t="s">
        <v>666</v>
      </c>
    </row>
    <row r="945" spans="8:24" x14ac:dyDescent="0.45">
      <c r="H945" t="s">
        <v>501</v>
      </c>
      <c r="I945" t="s">
        <v>483</v>
      </c>
      <c r="J945">
        <v>2.5382162432900601E-2</v>
      </c>
      <c r="K945" t="s">
        <v>243</v>
      </c>
      <c r="U945" t="s">
        <v>112</v>
      </c>
      <c r="V945" t="s">
        <v>1382</v>
      </c>
      <c r="W945" t="s">
        <v>664</v>
      </c>
      <c r="X945" t="s">
        <v>666</v>
      </c>
    </row>
    <row r="946" spans="8:24" x14ac:dyDescent="0.45">
      <c r="H946" t="s">
        <v>502</v>
      </c>
      <c r="I946" t="s">
        <v>485</v>
      </c>
      <c r="J946">
        <v>2.2818655821425001E-3</v>
      </c>
      <c r="K946" t="s">
        <v>243</v>
      </c>
      <c r="U946" t="s">
        <v>112</v>
      </c>
      <c r="V946" t="s">
        <v>1383</v>
      </c>
      <c r="W946" t="s">
        <v>582</v>
      </c>
      <c r="X946" t="s">
        <v>666</v>
      </c>
    </row>
    <row r="947" spans="8:24" x14ac:dyDescent="0.45">
      <c r="H947" t="s">
        <v>502</v>
      </c>
      <c r="I947" t="s">
        <v>483</v>
      </c>
      <c r="J947">
        <v>2.3646713458805001E-3</v>
      </c>
      <c r="K947" t="s">
        <v>243</v>
      </c>
      <c r="U947" t="s">
        <v>112</v>
      </c>
      <c r="V947" t="s">
        <v>1383</v>
      </c>
      <c r="W947" t="s">
        <v>664</v>
      </c>
      <c r="X947" t="s">
        <v>666</v>
      </c>
    </row>
    <row r="948" spans="8:24" x14ac:dyDescent="0.45">
      <c r="H948" t="s">
        <v>503</v>
      </c>
      <c r="I948" t="s">
        <v>485</v>
      </c>
      <c r="J948">
        <v>4.3199464409619102E-2</v>
      </c>
      <c r="K948" t="s">
        <v>243</v>
      </c>
      <c r="U948" t="s">
        <v>112</v>
      </c>
      <c r="V948" t="s">
        <v>1384</v>
      </c>
      <c r="W948" t="s">
        <v>664</v>
      </c>
      <c r="X948" t="s">
        <v>666</v>
      </c>
    </row>
    <row r="949" spans="8:24" x14ac:dyDescent="0.45">
      <c r="H949" t="s">
        <v>503</v>
      </c>
      <c r="I949" t="s">
        <v>483</v>
      </c>
      <c r="J949">
        <v>3.2400861565350297E-2</v>
      </c>
      <c r="K949" t="s">
        <v>243</v>
      </c>
      <c r="U949" t="s">
        <v>112</v>
      </c>
      <c r="V949" t="s">
        <v>1385</v>
      </c>
      <c r="W949" t="s">
        <v>664</v>
      </c>
      <c r="X949" t="s">
        <v>666</v>
      </c>
    </row>
    <row r="950" spans="8:24" x14ac:dyDescent="0.45">
      <c r="H950" t="s">
        <v>504</v>
      </c>
      <c r="I950" t="s">
        <v>485</v>
      </c>
      <c r="J950">
        <v>1.2046305842581701E-2</v>
      </c>
      <c r="K950" t="s">
        <v>243</v>
      </c>
      <c r="U950" t="s">
        <v>112</v>
      </c>
      <c r="V950" t="s">
        <v>1386</v>
      </c>
      <c r="W950" t="s">
        <v>664</v>
      </c>
      <c r="X950" t="s">
        <v>666</v>
      </c>
    </row>
    <row r="951" spans="8:24" x14ac:dyDescent="0.45">
      <c r="H951" t="s">
        <v>504</v>
      </c>
      <c r="I951" t="s">
        <v>483</v>
      </c>
      <c r="J951">
        <v>1.0641116284221701E-2</v>
      </c>
      <c r="K951" t="s">
        <v>243</v>
      </c>
      <c r="U951" t="s">
        <v>112</v>
      </c>
      <c r="V951" t="s">
        <v>1386</v>
      </c>
      <c r="W951" t="s">
        <v>582</v>
      </c>
      <c r="X951" t="s">
        <v>547</v>
      </c>
    </row>
    <row r="952" spans="8:24" x14ac:dyDescent="0.45">
      <c r="H952" t="s">
        <v>505</v>
      </c>
      <c r="I952" t="s">
        <v>485</v>
      </c>
      <c r="J952">
        <v>8.0816396740160997E-3</v>
      </c>
      <c r="K952" t="s">
        <v>243</v>
      </c>
      <c r="U952" t="s">
        <v>112</v>
      </c>
      <c r="V952" t="s">
        <v>1387</v>
      </c>
      <c r="W952" t="s">
        <v>664</v>
      </c>
      <c r="X952" t="s">
        <v>666</v>
      </c>
    </row>
    <row r="953" spans="8:24" x14ac:dyDescent="0.45">
      <c r="H953" t="s">
        <v>505</v>
      </c>
      <c r="I953" t="s">
        <v>483</v>
      </c>
      <c r="J953">
        <v>9.3788080240879996E-3</v>
      </c>
      <c r="K953" t="s">
        <v>243</v>
      </c>
      <c r="U953" t="s">
        <v>112</v>
      </c>
      <c r="V953" t="s">
        <v>1387</v>
      </c>
      <c r="W953" t="s">
        <v>582</v>
      </c>
      <c r="X953" t="s">
        <v>547</v>
      </c>
    </row>
    <row r="954" spans="8:24" x14ac:dyDescent="0.45">
      <c r="H954" t="s">
        <v>506</v>
      </c>
      <c r="I954" t="s">
        <v>485</v>
      </c>
      <c r="J954">
        <v>3.8870795364872E-3</v>
      </c>
      <c r="K954" t="s">
        <v>243</v>
      </c>
      <c r="U954" t="s">
        <v>112</v>
      </c>
      <c r="V954" t="s">
        <v>1388</v>
      </c>
      <c r="W954" t="s">
        <v>583</v>
      </c>
      <c r="X954" t="s">
        <v>666</v>
      </c>
    </row>
    <row r="955" spans="8:24" x14ac:dyDescent="0.45">
      <c r="H955" t="s">
        <v>506</v>
      </c>
      <c r="I955" t="s">
        <v>483</v>
      </c>
      <c r="J955">
        <v>3.4358262416994E-3</v>
      </c>
      <c r="K955" t="s">
        <v>243</v>
      </c>
      <c r="U955" t="s">
        <v>112</v>
      </c>
      <c r="V955" t="s">
        <v>1389</v>
      </c>
      <c r="W955" t="s">
        <v>583</v>
      </c>
      <c r="X955" t="s">
        <v>666</v>
      </c>
    </row>
    <row r="956" spans="8:24" x14ac:dyDescent="0.45">
      <c r="H956" t="s">
        <v>507</v>
      </c>
      <c r="I956" t="s">
        <v>485</v>
      </c>
      <c r="J956">
        <v>9.26656300145378E-2</v>
      </c>
      <c r="K956" t="s">
        <v>243</v>
      </c>
      <c r="U956" t="s">
        <v>112</v>
      </c>
      <c r="V956" t="s">
        <v>1390</v>
      </c>
      <c r="W956" t="s">
        <v>583</v>
      </c>
      <c r="X956" t="s">
        <v>666</v>
      </c>
    </row>
    <row r="957" spans="8:24" x14ac:dyDescent="0.45">
      <c r="H957" t="s">
        <v>507</v>
      </c>
      <c r="I957" t="s">
        <v>483</v>
      </c>
      <c r="J957">
        <v>6.6979151176891905E-2</v>
      </c>
      <c r="K957" t="s">
        <v>243</v>
      </c>
      <c r="U957" t="s">
        <v>112</v>
      </c>
      <c r="V957" t="s">
        <v>1391</v>
      </c>
      <c r="W957" t="s">
        <v>583</v>
      </c>
      <c r="X957" t="s">
        <v>666</v>
      </c>
    </row>
    <row r="958" spans="8:24" x14ac:dyDescent="0.45">
      <c r="H958" t="s">
        <v>508</v>
      </c>
      <c r="I958" t="s">
        <v>485</v>
      </c>
      <c r="J958">
        <v>1.4552432698771401E-2</v>
      </c>
      <c r="K958" t="s">
        <v>243</v>
      </c>
      <c r="U958" t="s">
        <v>112</v>
      </c>
      <c r="V958" t="s">
        <v>1392</v>
      </c>
      <c r="W958" t="s">
        <v>583</v>
      </c>
      <c r="X958" t="s">
        <v>666</v>
      </c>
    </row>
    <row r="959" spans="8:24" x14ac:dyDescent="0.45">
      <c r="H959" t="s">
        <v>508</v>
      </c>
      <c r="I959" t="s">
        <v>483</v>
      </c>
      <c r="J959">
        <v>1.6379907190562901E-2</v>
      </c>
      <c r="K959" t="s">
        <v>243</v>
      </c>
      <c r="U959" t="s">
        <v>112</v>
      </c>
      <c r="V959" t="s">
        <v>1393</v>
      </c>
      <c r="W959" t="s">
        <v>583</v>
      </c>
      <c r="X959" t="s">
        <v>666</v>
      </c>
    </row>
    <row r="960" spans="8:24" x14ac:dyDescent="0.45">
      <c r="H960" t="s">
        <v>509</v>
      </c>
      <c r="I960" t="s">
        <v>485</v>
      </c>
      <c r="J960">
        <v>6.0320163606248003E-3</v>
      </c>
      <c r="K960" t="s">
        <v>243</v>
      </c>
      <c r="U960" t="s">
        <v>112</v>
      </c>
      <c r="V960" t="s">
        <v>1394</v>
      </c>
      <c r="W960" t="s">
        <v>583</v>
      </c>
      <c r="X960" t="s">
        <v>666</v>
      </c>
    </row>
    <row r="961" spans="8:24" x14ac:dyDescent="0.45">
      <c r="H961" t="s">
        <v>509</v>
      </c>
      <c r="I961" t="s">
        <v>483</v>
      </c>
      <c r="J961">
        <v>5.7201685328820999E-3</v>
      </c>
      <c r="K961" t="s">
        <v>243</v>
      </c>
      <c r="U961" t="s">
        <v>112</v>
      </c>
      <c r="V961" t="s">
        <v>1395</v>
      </c>
      <c r="W961" t="s">
        <v>583</v>
      </c>
      <c r="X961" t="s">
        <v>666</v>
      </c>
    </row>
    <row r="962" spans="8:24" x14ac:dyDescent="0.45">
      <c r="H962" t="s">
        <v>510</v>
      </c>
      <c r="I962" t="s">
        <v>485</v>
      </c>
      <c r="J962">
        <v>1.9947684681627998E-3</v>
      </c>
      <c r="K962" t="s">
        <v>243</v>
      </c>
      <c r="U962" t="s">
        <v>112</v>
      </c>
      <c r="V962" t="s">
        <v>1396</v>
      </c>
      <c r="W962" t="s">
        <v>583</v>
      </c>
      <c r="X962" t="s">
        <v>666</v>
      </c>
    </row>
    <row r="963" spans="8:24" x14ac:dyDescent="0.45">
      <c r="H963" t="s">
        <v>510</v>
      </c>
      <c r="I963" t="s">
        <v>483</v>
      </c>
      <c r="J963">
        <v>1.8455861294413001E-3</v>
      </c>
      <c r="K963" t="s">
        <v>243</v>
      </c>
      <c r="U963" t="s">
        <v>112</v>
      </c>
      <c r="V963" t="s">
        <v>1397</v>
      </c>
      <c r="W963" t="s">
        <v>583</v>
      </c>
      <c r="X963" t="s">
        <v>666</v>
      </c>
    </row>
    <row r="964" spans="8:24" x14ac:dyDescent="0.45">
      <c r="H964" t="s">
        <v>511</v>
      </c>
      <c r="I964" t="s">
        <v>485</v>
      </c>
      <c r="J964">
        <v>1.9183068716835502E-2</v>
      </c>
      <c r="K964" t="s">
        <v>243</v>
      </c>
      <c r="U964" t="s">
        <v>112</v>
      </c>
      <c r="V964" t="s">
        <v>1398</v>
      </c>
      <c r="W964" t="s">
        <v>583</v>
      </c>
      <c r="X964" t="s">
        <v>666</v>
      </c>
    </row>
    <row r="965" spans="8:24" x14ac:dyDescent="0.45">
      <c r="H965" t="s">
        <v>511</v>
      </c>
      <c r="I965" t="s">
        <v>483</v>
      </c>
      <c r="J965">
        <v>1.2954634572470701E-2</v>
      </c>
      <c r="K965" t="s">
        <v>243</v>
      </c>
      <c r="U965" t="s">
        <v>112</v>
      </c>
      <c r="V965" t="s">
        <v>1399</v>
      </c>
      <c r="W965" t="s">
        <v>583</v>
      </c>
      <c r="X965" t="s">
        <v>666</v>
      </c>
    </row>
    <row r="966" spans="8:24" x14ac:dyDescent="0.45">
      <c r="H966" t="s">
        <v>512</v>
      </c>
      <c r="I966" t="s">
        <v>485</v>
      </c>
      <c r="J966">
        <v>6.9074299073542001E-3</v>
      </c>
      <c r="K966" t="s">
        <v>243</v>
      </c>
      <c r="U966" t="s">
        <v>112</v>
      </c>
      <c r="V966" t="s">
        <v>1399</v>
      </c>
      <c r="W966" t="s">
        <v>639</v>
      </c>
      <c r="X966" t="s">
        <v>666</v>
      </c>
    </row>
    <row r="967" spans="8:24" x14ac:dyDescent="0.45">
      <c r="H967" t="s">
        <v>512</v>
      </c>
      <c r="I967" t="s">
        <v>483</v>
      </c>
      <c r="J967">
        <v>8.3633468908365996E-3</v>
      </c>
      <c r="K967" t="s">
        <v>243</v>
      </c>
      <c r="U967" t="s">
        <v>112</v>
      </c>
      <c r="V967" t="s">
        <v>1400</v>
      </c>
      <c r="W967" t="s">
        <v>583</v>
      </c>
      <c r="X967" t="s">
        <v>666</v>
      </c>
    </row>
    <row r="968" spans="8:24" x14ac:dyDescent="0.45">
      <c r="H968" t="s">
        <v>513</v>
      </c>
      <c r="I968" t="s">
        <v>485</v>
      </c>
      <c r="J968">
        <v>1.3184711874543001E-2</v>
      </c>
      <c r="K968" t="s">
        <v>243</v>
      </c>
      <c r="U968" t="s">
        <v>112</v>
      </c>
      <c r="V968" t="s">
        <v>1400</v>
      </c>
      <c r="W968" t="s">
        <v>639</v>
      </c>
      <c r="X968" t="s">
        <v>666</v>
      </c>
    </row>
    <row r="969" spans="8:24" x14ac:dyDescent="0.45">
      <c r="H969" t="s">
        <v>513</v>
      </c>
      <c r="I969" t="s">
        <v>483</v>
      </c>
      <c r="J969">
        <v>1.1928095954396501E-2</v>
      </c>
      <c r="K969" t="s">
        <v>243</v>
      </c>
      <c r="U969" t="s">
        <v>112</v>
      </c>
      <c r="V969" t="s">
        <v>1401</v>
      </c>
      <c r="W969" t="s">
        <v>583</v>
      </c>
      <c r="X969" t="s">
        <v>666</v>
      </c>
    </row>
    <row r="970" spans="8:24" x14ac:dyDescent="0.45">
      <c r="H970" t="s">
        <v>514</v>
      </c>
      <c r="I970" t="s">
        <v>485</v>
      </c>
      <c r="J970">
        <v>2.4763377584090401E-2</v>
      </c>
      <c r="K970" t="s">
        <v>243</v>
      </c>
      <c r="U970" t="s">
        <v>112</v>
      </c>
      <c r="V970" t="s">
        <v>1401</v>
      </c>
      <c r="W970" t="s">
        <v>639</v>
      </c>
      <c r="X970" t="s">
        <v>666</v>
      </c>
    </row>
    <row r="971" spans="8:24" x14ac:dyDescent="0.45">
      <c r="H971" t="s">
        <v>514</v>
      </c>
      <c r="I971" t="s">
        <v>483</v>
      </c>
      <c r="J971">
        <v>2.61346042397511E-2</v>
      </c>
      <c r="K971" t="s">
        <v>243</v>
      </c>
      <c r="U971" t="s">
        <v>112</v>
      </c>
      <c r="V971" t="s">
        <v>1402</v>
      </c>
      <c r="W971" t="s">
        <v>583</v>
      </c>
      <c r="X971" t="s">
        <v>666</v>
      </c>
    </row>
    <row r="972" spans="8:24" x14ac:dyDescent="0.45">
      <c r="H972" t="s">
        <v>515</v>
      </c>
      <c r="I972" t="s">
        <v>485</v>
      </c>
      <c r="J972">
        <v>4.3022646873581503E-2</v>
      </c>
      <c r="K972" t="s">
        <v>243</v>
      </c>
      <c r="U972" t="s">
        <v>112</v>
      </c>
      <c r="V972" t="s">
        <v>1402</v>
      </c>
      <c r="W972" t="s">
        <v>639</v>
      </c>
      <c r="X972" t="s">
        <v>666</v>
      </c>
    </row>
    <row r="973" spans="8:24" x14ac:dyDescent="0.45">
      <c r="H973" t="s">
        <v>515</v>
      </c>
      <c r="I973" t="s">
        <v>483</v>
      </c>
      <c r="J973">
        <v>3.2877009285735198E-2</v>
      </c>
      <c r="K973" t="s">
        <v>243</v>
      </c>
      <c r="U973" t="s">
        <v>112</v>
      </c>
      <c r="V973" t="s">
        <v>1403</v>
      </c>
      <c r="W973" t="s">
        <v>639</v>
      </c>
      <c r="X973" t="s">
        <v>666</v>
      </c>
    </row>
    <row r="974" spans="8:24" x14ac:dyDescent="0.45">
      <c r="H974" t="s">
        <v>516</v>
      </c>
      <c r="I974" t="s">
        <v>485</v>
      </c>
      <c r="J974">
        <v>1.6902067292648201E-2</v>
      </c>
      <c r="K974" t="s">
        <v>243</v>
      </c>
      <c r="U974" t="s">
        <v>112</v>
      </c>
      <c r="V974" t="s">
        <v>1404</v>
      </c>
      <c r="W974" t="s">
        <v>639</v>
      </c>
      <c r="X974" t="s">
        <v>666</v>
      </c>
    </row>
    <row r="975" spans="8:24" x14ac:dyDescent="0.45">
      <c r="H975" t="s">
        <v>516</v>
      </c>
      <c r="I975" t="s">
        <v>483</v>
      </c>
      <c r="J975">
        <v>1.13470543445118E-2</v>
      </c>
      <c r="K975" t="s">
        <v>243</v>
      </c>
      <c r="U975" t="s">
        <v>112</v>
      </c>
      <c r="V975" t="s">
        <v>1405</v>
      </c>
      <c r="W975" t="s">
        <v>639</v>
      </c>
      <c r="X975" t="s">
        <v>666</v>
      </c>
    </row>
    <row r="976" spans="8:24" x14ac:dyDescent="0.45">
      <c r="H976" t="s">
        <v>517</v>
      </c>
      <c r="I976" t="s">
        <v>485</v>
      </c>
      <c r="J976">
        <v>1.5691618565375601E-2</v>
      </c>
      <c r="K976" t="s">
        <v>243</v>
      </c>
      <c r="U976" t="s">
        <v>112</v>
      </c>
      <c r="V976" t="s">
        <v>1405</v>
      </c>
      <c r="W976" t="s">
        <v>583</v>
      </c>
      <c r="X976" t="s">
        <v>547</v>
      </c>
    </row>
    <row r="977" spans="8:24" x14ac:dyDescent="0.45">
      <c r="H977" t="s">
        <v>517</v>
      </c>
      <c r="I977" t="s">
        <v>483</v>
      </c>
      <c r="J977">
        <v>4.0582034248394197E-2</v>
      </c>
      <c r="K977" t="s">
        <v>243</v>
      </c>
      <c r="U977" t="s">
        <v>112</v>
      </c>
      <c r="V977" t="s">
        <v>1406</v>
      </c>
      <c r="W977" t="s">
        <v>639</v>
      </c>
      <c r="X977" t="s">
        <v>666</v>
      </c>
    </row>
    <row r="978" spans="8:24" x14ac:dyDescent="0.45">
      <c r="H978" t="s">
        <v>518</v>
      </c>
      <c r="I978" t="s">
        <v>485</v>
      </c>
      <c r="J978">
        <v>3.9582783800051003E-3</v>
      </c>
      <c r="K978" t="s">
        <v>243</v>
      </c>
      <c r="U978" t="s">
        <v>112</v>
      </c>
      <c r="V978" t="s">
        <v>1406</v>
      </c>
      <c r="W978" t="s">
        <v>583</v>
      </c>
      <c r="X978" t="s">
        <v>547</v>
      </c>
    </row>
    <row r="979" spans="8:24" x14ac:dyDescent="0.45">
      <c r="H979" t="s">
        <v>518</v>
      </c>
      <c r="I979" t="s">
        <v>483</v>
      </c>
      <c r="J979">
        <v>7.1335969871139998E-3</v>
      </c>
      <c r="K979" t="s">
        <v>243</v>
      </c>
      <c r="U979" t="s">
        <v>112</v>
      </c>
      <c r="V979" t="s">
        <v>1407</v>
      </c>
      <c r="W979" t="s">
        <v>584</v>
      </c>
      <c r="X979" t="s">
        <v>666</v>
      </c>
    </row>
    <row r="980" spans="8:24" x14ac:dyDescent="0.45">
      <c r="H980" t="s">
        <v>519</v>
      </c>
      <c r="I980" t="s">
        <v>485</v>
      </c>
      <c r="J980">
        <v>1.2933056951625201E-2</v>
      </c>
      <c r="K980" t="s">
        <v>243</v>
      </c>
      <c r="U980" t="s">
        <v>112</v>
      </c>
      <c r="V980" t="s">
        <v>1408</v>
      </c>
      <c r="W980" t="s">
        <v>584</v>
      </c>
      <c r="X980" t="s">
        <v>666</v>
      </c>
    </row>
    <row r="981" spans="8:24" x14ac:dyDescent="0.45">
      <c r="H981" t="s">
        <v>519</v>
      </c>
      <c r="I981" t="s">
        <v>483</v>
      </c>
      <c r="J981">
        <v>9.1654083567028997E-3</v>
      </c>
      <c r="K981" t="s">
        <v>243</v>
      </c>
      <c r="U981" t="s">
        <v>112</v>
      </c>
      <c r="V981" t="s">
        <v>1409</v>
      </c>
      <c r="W981" t="s">
        <v>584</v>
      </c>
      <c r="X981" t="s">
        <v>666</v>
      </c>
    </row>
    <row r="982" spans="8:24" x14ac:dyDescent="0.45">
      <c r="H982" t="s">
        <v>520</v>
      </c>
      <c r="I982" t="s">
        <v>485</v>
      </c>
      <c r="J982">
        <v>1.4465042804612E-3</v>
      </c>
      <c r="K982" t="s">
        <v>243</v>
      </c>
      <c r="U982" t="s">
        <v>112</v>
      </c>
      <c r="V982" t="s">
        <v>1410</v>
      </c>
      <c r="W982" t="s">
        <v>584</v>
      </c>
      <c r="X982" t="s">
        <v>666</v>
      </c>
    </row>
    <row r="983" spans="8:24" x14ac:dyDescent="0.45">
      <c r="H983" t="s">
        <v>520</v>
      </c>
      <c r="I983" t="s">
        <v>483</v>
      </c>
      <c r="J983">
        <v>1.2409093825004E-3</v>
      </c>
      <c r="K983" t="s">
        <v>243</v>
      </c>
      <c r="U983" t="s">
        <v>112</v>
      </c>
      <c r="V983" t="s">
        <v>1411</v>
      </c>
      <c r="W983" t="s">
        <v>584</v>
      </c>
      <c r="X983" t="s">
        <v>666</v>
      </c>
    </row>
    <row r="984" spans="8:24" x14ac:dyDescent="0.45">
      <c r="H984" t="s">
        <v>521</v>
      </c>
      <c r="I984" t="s">
        <v>485</v>
      </c>
      <c r="J984">
        <v>3.4785466266217999E-3</v>
      </c>
      <c r="K984" t="s">
        <v>243</v>
      </c>
      <c r="U984" t="s">
        <v>112</v>
      </c>
      <c r="V984" t="s">
        <v>1412</v>
      </c>
      <c r="W984" t="s">
        <v>584</v>
      </c>
      <c r="X984" t="s">
        <v>666</v>
      </c>
    </row>
    <row r="985" spans="8:24" x14ac:dyDescent="0.45">
      <c r="H985" t="s">
        <v>521</v>
      </c>
      <c r="I985" t="s">
        <v>483</v>
      </c>
      <c r="J985">
        <v>9.1711363031753996E-3</v>
      </c>
      <c r="K985" t="s">
        <v>243</v>
      </c>
      <c r="U985" t="s">
        <v>112</v>
      </c>
      <c r="V985" t="s">
        <v>1413</v>
      </c>
      <c r="W985" t="s">
        <v>584</v>
      </c>
      <c r="X985" t="s">
        <v>666</v>
      </c>
    </row>
    <row r="986" spans="8:24" x14ac:dyDescent="0.45">
      <c r="H986" t="s">
        <v>522</v>
      </c>
      <c r="I986" t="s">
        <v>485</v>
      </c>
      <c r="J986">
        <v>2.4963439512395002E-3</v>
      </c>
      <c r="K986" t="s">
        <v>243</v>
      </c>
      <c r="U986" t="s">
        <v>112</v>
      </c>
      <c r="V986" t="s">
        <v>1414</v>
      </c>
      <c r="W986" t="s">
        <v>584</v>
      </c>
      <c r="X986" t="s">
        <v>666</v>
      </c>
    </row>
    <row r="987" spans="8:24" x14ac:dyDescent="0.45">
      <c r="H987" t="s">
        <v>522</v>
      </c>
      <c r="I987" t="s">
        <v>483</v>
      </c>
      <c r="J987">
        <v>2.4353880772717E-3</v>
      </c>
      <c r="K987" t="s">
        <v>243</v>
      </c>
      <c r="U987" t="s">
        <v>112</v>
      </c>
      <c r="V987" t="s">
        <v>1415</v>
      </c>
      <c r="W987" t="s">
        <v>584</v>
      </c>
      <c r="X987" t="s">
        <v>666</v>
      </c>
    </row>
    <row r="988" spans="8:24" x14ac:dyDescent="0.45">
      <c r="H988" t="s">
        <v>523</v>
      </c>
      <c r="I988" t="s">
        <v>485</v>
      </c>
      <c r="J988">
        <v>6.3321217755694997E-3</v>
      </c>
      <c r="K988" t="s">
        <v>243</v>
      </c>
      <c r="U988" t="s">
        <v>112</v>
      </c>
      <c r="V988" t="s">
        <v>1416</v>
      </c>
      <c r="W988" t="s">
        <v>584</v>
      </c>
      <c r="X988" t="s">
        <v>666</v>
      </c>
    </row>
    <row r="989" spans="8:24" x14ac:dyDescent="0.45">
      <c r="H989" t="s">
        <v>523</v>
      </c>
      <c r="I989" t="s">
        <v>483</v>
      </c>
      <c r="J989">
        <v>4.9818724139305002E-3</v>
      </c>
      <c r="K989" t="s">
        <v>243</v>
      </c>
      <c r="U989" t="s">
        <v>112</v>
      </c>
      <c r="V989" t="s">
        <v>1417</v>
      </c>
      <c r="W989" t="s">
        <v>584</v>
      </c>
      <c r="X989" t="s">
        <v>666</v>
      </c>
    </row>
    <row r="990" spans="8:24" x14ac:dyDescent="0.45">
      <c r="H990" t="s">
        <v>524</v>
      </c>
      <c r="I990" t="s">
        <v>485</v>
      </c>
      <c r="J990">
        <v>1.3257618576509899E-2</v>
      </c>
      <c r="K990" t="s">
        <v>243</v>
      </c>
      <c r="U990" t="s">
        <v>112</v>
      </c>
      <c r="V990" t="s">
        <v>1418</v>
      </c>
      <c r="W990" t="s">
        <v>584</v>
      </c>
      <c r="X990" t="s">
        <v>666</v>
      </c>
    </row>
    <row r="991" spans="8:24" x14ac:dyDescent="0.45">
      <c r="H991" t="s">
        <v>524</v>
      </c>
      <c r="I991" t="s">
        <v>483</v>
      </c>
      <c r="J991">
        <v>9.4709509232341008E-3</v>
      </c>
      <c r="K991" t="s">
        <v>243</v>
      </c>
      <c r="U991" t="s">
        <v>112</v>
      </c>
      <c r="V991" t="s">
        <v>1418</v>
      </c>
      <c r="W991" t="s">
        <v>610</v>
      </c>
      <c r="X991" t="s">
        <v>666</v>
      </c>
    </row>
    <row r="992" spans="8:24" x14ac:dyDescent="0.45">
      <c r="H992" t="s">
        <v>525</v>
      </c>
      <c r="I992" t="s">
        <v>485</v>
      </c>
      <c r="J992">
        <v>4.3329173801471997E-3</v>
      </c>
      <c r="K992" t="s">
        <v>243</v>
      </c>
      <c r="U992" t="s">
        <v>112</v>
      </c>
      <c r="V992" t="s">
        <v>1419</v>
      </c>
      <c r="W992" t="s">
        <v>584</v>
      </c>
      <c r="X992" t="s">
        <v>666</v>
      </c>
    </row>
    <row r="993" spans="8:24" x14ac:dyDescent="0.45">
      <c r="H993" t="s">
        <v>525</v>
      </c>
      <c r="I993" t="s">
        <v>483</v>
      </c>
      <c r="J993">
        <v>4.2314562368124002E-3</v>
      </c>
      <c r="K993" t="s">
        <v>243</v>
      </c>
      <c r="U993" t="s">
        <v>112</v>
      </c>
      <c r="V993" t="s">
        <v>1419</v>
      </c>
      <c r="W993" t="s">
        <v>610</v>
      </c>
      <c r="X993" t="s">
        <v>666</v>
      </c>
    </row>
    <row r="994" spans="8:24" x14ac:dyDescent="0.45">
      <c r="H994" t="s">
        <v>526</v>
      </c>
      <c r="I994" t="s">
        <v>485</v>
      </c>
      <c r="J994">
        <v>2.99494849519121E-2</v>
      </c>
      <c r="K994" t="s">
        <v>243</v>
      </c>
      <c r="U994" t="s">
        <v>112</v>
      </c>
      <c r="V994" t="s">
        <v>1420</v>
      </c>
      <c r="W994" t="s">
        <v>584</v>
      </c>
      <c r="X994" t="s">
        <v>666</v>
      </c>
    </row>
    <row r="995" spans="8:24" x14ac:dyDescent="0.45">
      <c r="H995" t="s">
        <v>526</v>
      </c>
      <c r="I995" t="s">
        <v>483</v>
      </c>
      <c r="J995">
        <v>2.79918111020627E-2</v>
      </c>
      <c r="K995" t="s">
        <v>243</v>
      </c>
      <c r="U995" t="s">
        <v>112</v>
      </c>
      <c r="V995" t="s">
        <v>1420</v>
      </c>
      <c r="W995" t="s">
        <v>610</v>
      </c>
      <c r="X995" t="s">
        <v>666</v>
      </c>
    </row>
    <row r="996" spans="8:24" x14ac:dyDescent="0.45">
      <c r="H996" t="s">
        <v>527</v>
      </c>
      <c r="I996" t="s">
        <v>485</v>
      </c>
      <c r="J996">
        <v>6.2341502238630001E-3</v>
      </c>
      <c r="K996" t="s">
        <v>243</v>
      </c>
      <c r="U996" t="s">
        <v>112</v>
      </c>
      <c r="V996" t="s">
        <v>1421</v>
      </c>
      <c r="W996" t="s">
        <v>584</v>
      </c>
      <c r="X996" t="s">
        <v>666</v>
      </c>
    </row>
    <row r="997" spans="8:24" x14ac:dyDescent="0.45">
      <c r="H997" t="s">
        <v>527</v>
      </c>
      <c r="I997" t="s">
        <v>483</v>
      </c>
      <c r="J997">
        <v>8.1385718463055992E-3</v>
      </c>
      <c r="K997" t="s">
        <v>243</v>
      </c>
      <c r="U997" t="s">
        <v>112</v>
      </c>
      <c r="V997" t="s">
        <v>1421</v>
      </c>
      <c r="W997" t="s">
        <v>610</v>
      </c>
      <c r="X997" t="s">
        <v>666</v>
      </c>
    </row>
    <row r="998" spans="8:24" x14ac:dyDescent="0.45">
      <c r="H998" t="s">
        <v>528</v>
      </c>
      <c r="I998" t="s">
        <v>485</v>
      </c>
      <c r="J998">
        <v>1.3614097834450001E-4</v>
      </c>
      <c r="K998" t="s">
        <v>243</v>
      </c>
      <c r="U998" t="s">
        <v>112</v>
      </c>
      <c r="V998" t="s">
        <v>1422</v>
      </c>
      <c r="W998" t="s">
        <v>610</v>
      </c>
      <c r="X998" t="s">
        <v>666</v>
      </c>
    </row>
    <row r="999" spans="8:24" x14ac:dyDescent="0.45">
      <c r="H999" t="s">
        <v>528</v>
      </c>
      <c r="I999" t="s">
        <v>483</v>
      </c>
      <c r="J999">
        <v>4.8165393504630001E-4</v>
      </c>
      <c r="K999" t="s">
        <v>243</v>
      </c>
      <c r="U999" t="s">
        <v>112</v>
      </c>
      <c r="V999" t="s">
        <v>1423</v>
      </c>
      <c r="W999" t="s">
        <v>610</v>
      </c>
      <c r="X999" t="s">
        <v>666</v>
      </c>
    </row>
    <row r="1000" spans="8:24" x14ac:dyDescent="0.45">
      <c r="H1000" t="s">
        <v>529</v>
      </c>
      <c r="I1000" t="s">
        <v>485</v>
      </c>
      <c r="J1000">
        <v>1.8208264880564E-3</v>
      </c>
      <c r="K1000" t="s">
        <v>243</v>
      </c>
      <c r="U1000" t="s">
        <v>112</v>
      </c>
      <c r="V1000" t="s">
        <v>1424</v>
      </c>
      <c r="W1000" t="s">
        <v>610</v>
      </c>
      <c r="X1000" t="s">
        <v>666</v>
      </c>
    </row>
    <row r="1001" spans="8:24" x14ac:dyDescent="0.45">
      <c r="H1001" t="s">
        <v>529</v>
      </c>
      <c r="I1001" t="s">
        <v>483</v>
      </c>
      <c r="J1001">
        <v>1.2064393498545001E-3</v>
      </c>
      <c r="K1001" t="s">
        <v>243</v>
      </c>
      <c r="U1001" t="s">
        <v>112</v>
      </c>
      <c r="V1001" t="s">
        <v>1424</v>
      </c>
      <c r="W1001" t="s">
        <v>584</v>
      </c>
      <c r="X1001" t="s">
        <v>547</v>
      </c>
    </row>
    <row r="1002" spans="8:24" x14ac:dyDescent="0.45">
      <c r="H1002" t="s">
        <v>530</v>
      </c>
      <c r="I1002" t="s">
        <v>485</v>
      </c>
      <c r="J1002">
        <v>4.4277272286447404E-6</v>
      </c>
      <c r="K1002" t="s">
        <v>243</v>
      </c>
      <c r="U1002" t="s">
        <v>112</v>
      </c>
      <c r="V1002" t="s">
        <v>1425</v>
      </c>
      <c r="W1002" t="s">
        <v>610</v>
      </c>
      <c r="X1002" t="s">
        <v>666</v>
      </c>
    </row>
    <row r="1003" spans="8:24" x14ac:dyDescent="0.45">
      <c r="H1003" t="s">
        <v>530</v>
      </c>
      <c r="I1003" t="s">
        <v>483</v>
      </c>
      <c r="J1003">
        <v>3.6096005068946735E-6</v>
      </c>
      <c r="K1003" t="s">
        <v>243</v>
      </c>
      <c r="U1003" t="s">
        <v>112</v>
      </c>
      <c r="V1003" t="s">
        <v>1425</v>
      </c>
      <c r="W1003" t="s">
        <v>584</v>
      </c>
      <c r="X1003" t="s">
        <v>547</v>
      </c>
    </row>
    <row r="1004" spans="8:24" x14ac:dyDescent="0.45">
      <c r="H1004" t="s">
        <v>531</v>
      </c>
      <c r="I1004" t="s">
        <v>485</v>
      </c>
      <c r="J1004">
        <v>9.0439474462619999E-4</v>
      </c>
      <c r="K1004" t="s">
        <v>243</v>
      </c>
      <c r="U1004" t="s">
        <v>112</v>
      </c>
      <c r="V1004" t="s">
        <v>1426</v>
      </c>
      <c r="W1004" t="s">
        <v>585</v>
      </c>
      <c r="X1004" t="s">
        <v>666</v>
      </c>
    </row>
    <row r="1005" spans="8:24" x14ac:dyDescent="0.45">
      <c r="H1005" t="s">
        <v>531</v>
      </c>
      <c r="I1005" t="s">
        <v>483</v>
      </c>
      <c r="J1005">
        <v>4.2441850740068E-3</v>
      </c>
      <c r="K1005" t="s">
        <v>243</v>
      </c>
      <c r="U1005" t="s">
        <v>112</v>
      </c>
      <c r="V1005" t="s">
        <v>1427</v>
      </c>
      <c r="W1005" t="s">
        <v>585</v>
      </c>
      <c r="X1005" t="s">
        <v>666</v>
      </c>
    </row>
    <row r="1006" spans="8:24" x14ac:dyDescent="0.45">
      <c r="H1006" t="s">
        <v>532</v>
      </c>
      <c r="I1006" t="s">
        <v>485</v>
      </c>
      <c r="J1006">
        <v>3.3224002041874657E-5</v>
      </c>
      <c r="K1006" t="s">
        <v>243</v>
      </c>
      <c r="U1006" t="s">
        <v>112</v>
      </c>
      <c r="V1006" t="s">
        <v>1428</v>
      </c>
      <c r="W1006" t="s">
        <v>585</v>
      </c>
      <c r="X1006" t="s">
        <v>666</v>
      </c>
    </row>
    <row r="1007" spans="8:24" x14ac:dyDescent="0.45">
      <c r="H1007" t="s">
        <v>532</v>
      </c>
      <c r="I1007" t="s">
        <v>483</v>
      </c>
      <c r="J1007">
        <v>3.5711702246370001E-4</v>
      </c>
      <c r="K1007" t="s">
        <v>243</v>
      </c>
      <c r="U1007" t="s">
        <v>112</v>
      </c>
      <c r="V1007" t="s">
        <v>1429</v>
      </c>
      <c r="W1007" t="s">
        <v>585</v>
      </c>
      <c r="X1007" t="s">
        <v>666</v>
      </c>
    </row>
    <row r="1008" spans="8:24" x14ac:dyDescent="0.45">
      <c r="H1008" t="s">
        <v>533</v>
      </c>
      <c r="I1008" t="s">
        <v>485</v>
      </c>
      <c r="J1008">
        <v>1.52598600748159E-2</v>
      </c>
      <c r="K1008" t="s">
        <v>243</v>
      </c>
      <c r="U1008" t="s">
        <v>112</v>
      </c>
      <c r="V1008" t="s">
        <v>1430</v>
      </c>
      <c r="W1008" t="s">
        <v>585</v>
      </c>
      <c r="X1008" t="s">
        <v>666</v>
      </c>
    </row>
    <row r="1009" spans="8:24" x14ac:dyDescent="0.45">
      <c r="H1009" t="s">
        <v>533</v>
      </c>
      <c r="I1009" t="s">
        <v>483</v>
      </c>
      <c r="J1009">
        <v>6.3028680750705404E-2</v>
      </c>
      <c r="K1009" t="s">
        <v>243</v>
      </c>
      <c r="U1009" t="s">
        <v>112</v>
      </c>
      <c r="V1009" t="s">
        <v>1431</v>
      </c>
      <c r="W1009" t="s">
        <v>585</v>
      </c>
      <c r="X1009" t="s">
        <v>666</v>
      </c>
    </row>
    <row r="1010" spans="8:24" x14ac:dyDescent="0.45">
      <c r="H1010" t="s">
        <v>534</v>
      </c>
      <c r="I1010" t="s">
        <v>485</v>
      </c>
      <c r="J1010">
        <v>7.9619268628420992E-3</v>
      </c>
      <c r="K1010" t="s">
        <v>243</v>
      </c>
      <c r="U1010" t="s">
        <v>112</v>
      </c>
      <c r="V1010" t="s">
        <v>1432</v>
      </c>
      <c r="W1010" t="s">
        <v>585</v>
      </c>
      <c r="X1010" t="s">
        <v>666</v>
      </c>
    </row>
    <row r="1011" spans="8:24" x14ac:dyDescent="0.45">
      <c r="H1011" t="s">
        <v>534</v>
      </c>
      <c r="I1011" t="s">
        <v>483</v>
      </c>
      <c r="J1011">
        <v>5.0918712833787003E-3</v>
      </c>
      <c r="K1011" t="s">
        <v>243</v>
      </c>
      <c r="U1011" t="s">
        <v>112</v>
      </c>
      <c r="V1011" t="s">
        <v>1433</v>
      </c>
      <c r="W1011" t="s">
        <v>585</v>
      </c>
      <c r="X1011" t="s">
        <v>666</v>
      </c>
    </row>
    <row r="1012" spans="8:24" x14ac:dyDescent="0.45">
      <c r="H1012" t="s">
        <v>535</v>
      </c>
      <c r="I1012" t="s">
        <v>485</v>
      </c>
      <c r="J1012">
        <v>3.993972531494E-4</v>
      </c>
      <c r="K1012" t="s">
        <v>243</v>
      </c>
      <c r="U1012" t="s">
        <v>112</v>
      </c>
      <c r="V1012" t="s">
        <v>1434</v>
      </c>
      <c r="W1012" t="s">
        <v>585</v>
      </c>
      <c r="X1012" t="s">
        <v>666</v>
      </c>
    </row>
    <row r="1013" spans="8:24" x14ac:dyDescent="0.45">
      <c r="H1013" t="s">
        <v>535</v>
      </c>
      <c r="I1013" t="s">
        <v>483</v>
      </c>
      <c r="J1013">
        <v>7.2558920794160004E-4</v>
      </c>
      <c r="K1013" t="s">
        <v>243</v>
      </c>
      <c r="U1013" t="s">
        <v>112</v>
      </c>
      <c r="V1013" t="s">
        <v>1435</v>
      </c>
      <c r="W1013" t="s">
        <v>585</v>
      </c>
      <c r="X1013" t="s">
        <v>666</v>
      </c>
    </row>
    <row r="1014" spans="8:24" x14ac:dyDescent="0.45">
      <c r="H1014" t="s">
        <v>536</v>
      </c>
      <c r="I1014" t="s">
        <v>485</v>
      </c>
      <c r="J1014">
        <v>2.4162005516848001E-3</v>
      </c>
      <c r="K1014" t="s">
        <v>243</v>
      </c>
      <c r="U1014" t="s">
        <v>112</v>
      </c>
      <c r="V1014" t="s">
        <v>1436</v>
      </c>
      <c r="W1014" t="s">
        <v>585</v>
      </c>
      <c r="X1014" t="s">
        <v>666</v>
      </c>
    </row>
    <row r="1015" spans="8:24" x14ac:dyDescent="0.45">
      <c r="H1015" t="s">
        <v>536</v>
      </c>
      <c r="I1015" t="s">
        <v>483</v>
      </c>
      <c r="J1015">
        <v>1.6520780055985999E-3</v>
      </c>
      <c r="K1015" t="s">
        <v>243</v>
      </c>
      <c r="U1015" t="s">
        <v>112</v>
      </c>
      <c r="V1015" t="s">
        <v>1437</v>
      </c>
      <c r="W1015" t="s">
        <v>585</v>
      </c>
      <c r="X1015" t="s">
        <v>666</v>
      </c>
    </row>
    <row r="1016" spans="8:24" x14ac:dyDescent="0.45">
      <c r="H1016" t="s">
        <v>537</v>
      </c>
      <c r="I1016" t="s">
        <v>485</v>
      </c>
      <c r="J1016">
        <v>2.3929701318987238E-7</v>
      </c>
      <c r="K1016" t="s">
        <v>243</v>
      </c>
      <c r="U1016" t="s">
        <v>112</v>
      </c>
      <c r="V1016" t="s">
        <v>1437</v>
      </c>
      <c r="W1016" t="s">
        <v>644</v>
      </c>
      <c r="X1016" t="s">
        <v>666</v>
      </c>
    </row>
    <row r="1017" spans="8:24" x14ac:dyDescent="0.45">
      <c r="H1017" t="s">
        <v>537</v>
      </c>
      <c r="I1017" t="s">
        <v>483</v>
      </c>
      <c r="J1017">
        <v>9.595532604857905E-7</v>
      </c>
      <c r="K1017" t="s">
        <v>243</v>
      </c>
      <c r="U1017" t="s">
        <v>112</v>
      </c>
      <c r="V1017" t="s">
        <v>1438</v>
      </c>
      <c r="W1017" t="s">
        <v>585</v>
      </c>
      <c r="X1017" t="s">
        <v>666</v>
      </c>
    </row>
    <row r="1018" spans="8:24" x14ac:dyDescent="0.45">
      <c r="H1018" t="s">
        <v>538</v>
      </c>
      <c r="I1018" t="s">
        <v>485</v>
      </c>
      <c r="J1018">
        <v>1.2336050218084919E-5</v>
      </c>
      <c r="K1018" t="s">
        <v>243</v>
      </c>
      <c r="U1018" t="s">
        <v>112</v>
      </c>
      <c r="V1018" t="s">
        <v>1438</v>
      </c>
      <c r="W1018" t="s">
        <v>644</v>
      </c>
      <c r="X1018" t="s">
        <v>666</v>
      </c>
    </row>
    <row r="1019" spans="8:24" x14ac:dyDescent="0.45">
      <c r="H1019" t="s">
        <v>538</v>
      </c>
      <c r="I1019" t="s">
        <v>483</v>
      </c>
      <c r="J1019">
        <v>3.3334101039002519E-5</v>
      </c>
      <c r="K1019" t="s">
        <v>243</v>
      </c>
      <c r="U1019" t="s">
        <v>112</v>
      </c>
      <c r="V1019" t="s">
        <v>1439</v>
      </c>
      <c r="W1019" t="s">
        <v>585</v>
      </c>
      <c r="X1019" t="s">
        <v>666</v>
      </c>
    </row>
    <row r="1020" spans="8:24" x14ac:dyDescent="0.45">
      <c r="H1020" t="s">
        <v>539</v>
      </c>
      <c r="I1020" t="s">
        <v>485</v>
      </c>
      <c r="J1020">
        <v>2.4877463555763001E-3</v>
      </c>
      <c r="K1020" t="s">
        <v>243</v>
      </c>
      <c r="U1020" t="s">
        <v>112</v>
      </c>
      <c r="V1020" t="s">
        <v>1439</v>
      </c>
      <c r="W1020" t="s">
        <v>644</v>
      </c>
      <c r="X1020" t="s">
        <v>666</v>
      </c>
    </row>
    <row r="1021" spans="8:24" x14ac:dyDescent="0.45">
      <c r="H1021" t="s">
        <v>539</v>
      </c>
      <c r="I1021" t="s">
        <v>483</v>
      </c>
      <c r="J1021">
        <v>7.7861434493684996E-3</v>
      </c>
      <c r="K1021" t="s">
        <v>243</v>
      </c>
      <c r="U1021" t="s">
        <v>112</v>
      </c>
      <c r="V1021" t="s">
        <v>1440</v>
      </c>
      <c r="W1021" t="s">
        <v>585</v>
      </c>
      <c r="X1021" t="s">
        <v>666</v>
      </c>
    </row>
    <row r="1022" spans="8:24" x14ac:dyDescent="0.45">
      <c r="H1022" t="s">
        <v>540</v>
      </c>
      <c r="I1022" t="s">
        <v>485</v>
      </c>
      <c r="J1022">
        <v>1.5758888466376418E-5</v>
      </c>
      <c r="K1022" t="s">
        <v>243</v>
      </c>
      <c r="U1022" t="s">
        <v>112</v>
      </c>
      <c r="V1022" t="s">
        <v>1440</v>
      </c>
      <c r="W1022" t="s">
        <v>644</v>
      </c>
      <c r="X1022" t="s">
        <v>666</v>
      </c>
    </row>
    <row r="1023" spans="8:24" x14ac:dyDescent="0.45">
      <c r="H1023" t="s">
        <v>540</v>
      </c>
      <c r="I1023" t="s">
        <v>483</v>
      </c>
      <c r="J1023">
        <v>8.495504460367E-4</v>
      </c>
      <c r="K1023" t="s">
        <v>243</v>
      </c>
      <c r="U1023" t="s">
        <v>112</v>
      </c>
      <c r="V1023" t="s">
        <v>1441</v>
      </c>
      <c r="W1023" t="s">
        <v>644</v>
      </c>
      <c r="X1023" t="s">
        <v>666</v>
      </c>
    </row>
    <row r="1024" spans="8:24" x14ac:dyDescent="0.45">
      <c r="H1024" t="s">
        <v>541</v>
      </c>
      <c r="I1024" t="s">
        <v>483</v>
      </c>
      <c r="J1024">
        <v>8.9339307577299999E-4</v>
      </c>
      <c r="K1024" t="s">
        <v>243</v>
      </c>
      <c r="U1024" t="s">
        <v>112</v>
      </c>
      <c r="V1024" t="s">
        <v>1442</v>
      </c>
      <c r="W1024" t="s">
        <v>644</v>
      </c>
      <c r="X1024" t="s">
        <v>666</v>
      </c>
    </row>
    <row r="1025" spans="8:24" x14ac:dyDescent="0.45">
      <c r="H1025" t="s">
        <v>542</v>
      </c>
      <c r="I1025" t="s">
        <v>485</v>
      </c>
      <c r="J1025">
        <v>5.9738974558807789E-5</v>
      </c>
      <c r="K1025" t="s">
        <v>243</v>
      </c>
      <c r="U1025" t="s">
        <v>112</v>
      </c>
      <c r="V1025" t="s">
        <v>1443</v>
      </c>
      <c r="W1025" t="s">
        <v>644</v>
      </c>
      <c r="X1025" t="s">
        <v>666</v>
      </c>
    </row>
    <row r="1026" spans="8:24" x14ac:dyDescent="0.45">
      <c r="H1026" t="s">
        <v>542</v>
      </c>
      <c r="I1026" t="s">
        <v>483</v>
      </c>
      <c r="J1026">
        <v>1.9449808034060001E-4</v>
      </c>
      <c r="K1026" t="s">
        <v>243</v>
      </c>
      <c r="U1026" t="s">
        <v>112</v>
      </c>
      <c r="V1026" t="s">
        <v>1443</v>
      </c>
      <c r="W1026" t="s">
        <v>585</v>
      </c>
      <c r="X1026" t="s">
        <v>547</v>
      </c>
    </row>
    <row r="1027" spans="8:24" x14ac:dyDescent="0.45">
      <c r="U1027" t="s">
        <v>112</v>
      </c>
      <c r="V1027" t="s">
        <v>1444</v>
      </c>
      <c r="W1027" t="s">
        <v>644</v>
      </c>
      <c r="X1027" t="s">
        <v>666</v>
      </c>
    </row>
    <row r="1028" spans="8:24" x14ac:dyDescent="0.45">
      <c r="U1028" t="s">
        <v>112</v>
      </c>
      <c r="V1028" t="s">
        <v>1444</v>
      </c>
      <c r="W1028" t="s">
        <v>585</v>
      </c>
      <c r="X1028" t="s">
        <v>547</v>
      </c>
    </row>
    <row r="1029" spans="8:24" x14ac:dyDescent="0.45">
      <c r="U1029" t="s">
        <v>112</v>
      </c>
      <c r="V1029" t="s">
        <v>1445</v>
      </c>
      <c r="W1029" t="s">
        <v>586</v>
      </c>
      <c r="X1029" t="s">
        <v>666</v>
      </c>
    </row>
    <row r="1030" spans="8:24" x14ac:dyDescent="0.45">
      <c r="U1030" t="s">
        <v>112</v>
      </c>
      <c r="V1030" t="s">
        <v>1446</v>
      </c>
      <c r="W1030" t="s">
        <v>586</v>
      </c>
      <c r="X1030" t="s">
        <v>666</v>
      </c>
    </row>
    <row r="1031" spans="8:24" x14ac:dyDescent="0.45">
      <c r="U1031" t="s">
        <v>112</v>
      </c>
      <c r="V1031" t="s">
        <v>1447</v>
      </c>
      <c r="W1031" t="s">
        <v>586</v>
      </c>
      <c r="X1031" t="s">
        <v>666</v>
      </c>
    </row>
    <row r="1032" spans="8:24" x14ac:dyDescent="0.45">
      <c r="U1032" t="s">
        <v>112</v>
      </c>
      <c r="V1032" t="s">
        <v>1448</v>
      </c>
      <c r="W1032" t="s">
        <v>586</v>
      </c>
      <c r="X1032" t="s">
        <v>666</v>
      </c>
    </row>
    <row r="1033" spans="8:24" x14ac:dyDescent="0.45">
      <c r="U1033" t="s">
        <v>112</v>
      </c>
      <c r="V1033" t="s">
        <v>1449</v>
      </c>
      <c r="W1033" t="s">
        <v>586</v>
      </c>
      <c r="X1033" t="s">
        <v>666</v>
      </c>
    </row>
    <row r="1034" spans="8:24" x14ac:dyDescent="0.45">
      <c r="U1034" t="s">
        <v>112</v>
      </c>
      <c r="V1034" t="s">
        <v>1450</v>
      </c>
      <c r="W1034" t="s">
        <v>586</v>
      </c>
      <c r="X1034" t="s">
        <v>666</v>
      </c>
    </row>
    <row r="1035" spans="8:24" x14ac:dyDescent="0.45">
      <c r="U1035" t="s">
        <v>112</v>
      </c>
      <c r="V1035" t="s">
        <v>1451</v>
      </c>
      <c r="W1035" t="s">
        <v>586</v>
      </c>
      <c r="X1035" t="s">
        <v>666</v>
      </c>
    </row>
    <row r="1036" spans="8:24" x14ac:dyDescent="0.45">
      <c r="U1036" t="s">
        <v>112</v>
      </c>
      <c r="V1036" t="s">
        <v>1452</v>
      </c>
      <c r="W1036" t="s">
        <v>586</v>
      </c>
      <c r="X1036" t="s">
        <v>666</v>
      </c>
    </row>
    <row r="1037" spans="8:24" x14ac:dyDescent="0.45">
      <c r="U1037" t="s">
        <v>112</v>
      </c>
      <c r="V1037" t="s">
        <v>1453</v>
      </c>
      <c r="W1037" t="s">
        <v>586</v>
      </c>
      <c r="X1037" t="s">
        <v>666</v>
      </c>
    </row>
    <row r="1038" spans="8:24" x14ac:dyDescent="0.45">
      <c r="U1038" t="s">
        <v>112</v>
      </c>
      <c r="V1038" t="s">
        <v>1454</v>
      </c>
      <c r="W1038" t="s">
        <v>586</v>
      </c>
      <c r="X1038" t="s">
        <v>666</v>
      </c>
    </row>
    <row r="1039" spans="8:24" x14ac:dyDescent="0.45">
      <c r="U1039" t="s">
        <v>112</v>
      </c>
      <c r="V1039" t="s">
        <v>1455</v>
      </c>
      <c r="W1039" t="s">
        <v>586</v>
      </c>
      <c r="X1039" t="s">
        <v>666</v>
      </c>
    </row>
    <row r="1040" spans="8:24" x14ac:dyDescent="0.45">
      <c r="U1040" t="s">
        <v>112</v>
      </c>
      <c r="V1040" t="s">
        <v>1456</v>
      </c>
      <c r="W1040" t="s">
        <v>586</v>
      </c>
      <c r="X1040" t="s">
        <v>666</v>
      </c>
    </row>
    <row r="1041" spans="21:24" x14ac:dyDescent="0.45">
      <c r="U1041" t="s">
        <v>112</v>
      </c>
      <c r="V1041" t="s">
        <v>1456</v>
      </c>
      <c r="W1041" t="s">
        <v>618</v>
      </c>
      <c r="X1041" t="s">
        <v>666</v>
      </c>
    </row>
    <row r="1042" spans="21:24" x14ac:dyDescent="0.45">
      <c r="U1042" t="s">
        <v>112</v>
      </c>
      <c r="V1042" t="s">
        <v>1457</v>
      </c>
      <c r="W1042" t="s">
        <v>586</v>
      </c>
      <c r="X1042" t="s">
        <v>666</v>
      </c>
    </row>
    <row r="1043" spans="21:24" x14ac:dyDescent="0.45">
      <c r="U1043" t="s">
        <v>112</v>
      </c>
      <c r="V1043" t="s">
        <v>1457</v>
      </c>
      <c r="W1043" t="s">
        <v>618</v>
      </c>
      <c r="X1043" t="s">
        <v>666</v>
      </c>
    </row>
    <row r="1044" spans="21:24" x14ac:dyDescent="0.45">
      <c r="U1044" t="s">
        <v>112</v>
      </c>
      <c r="V1044" t="s">
        <v>1458</v>
      </c>
      <c r="W1044" t="s">
        <v>586</v>
      </c>
      <c r="X1044" t="s">
        <v>666</v>
      </c>
    </row>
    <row r="1045" spans="21:24" x14ac:dyDescent="0.45">
      <c r="U1045" t="s">
        <v>112</v>
      </c>
      <c r="V1045" t="s">
        <v>1458</v>
      </c>
      <c r="W1045" t="s">
        <v>618</v>
      </c>
      <c r="X1045" t="s">
        <v>666</v>
      </c>
    </row>
    <row r="1046" spans="21:24" x14ac:dyDescent="0.45">
      <c r="U1046" t="s">
        <v>112</v>
      </c>
      <c r="V1046" t="s">
        <v>1459</v>
      </c>
      <c r="W1046" t="s">
        <v>586</v>
      </c>
      <c r="X1046" t="s">
        <v>666</v>
      </c>
    </row>
    <row r="1047" spans="21:24" x14ac:dyDescent="0.45">
      <c r="U1047" t="s">
        <v>112</v>
      </c>
      <c r="V1047" t="s">
        <v>1459</v>
      </c>
      <c r="W1047" t="s">
        <v>618</v>
      </c>
      <c r="X1047" t="s">
        <v>666</v>
      </c>
    </row>
    <row r="1048" spans="21:24" x14ac:dyDescent="0.45">
      <c r="U1048" t="s">
        <v>112</v>
      </c>
      <c r="V1048" t="s">
        <v>1460</v>
      </c>
      <c r="W1048" t="s">
        <v>618</v>
      </c>
      <c r="X1048" t="s">
        <v>666</v>
      </c>
    </row>
    <row r="1049" spans="21:24" x14ac:dyDescent="0.45">
      <c r="U1049" t="s">
        <v>112</v>
      </c>
      <c r="V1049" t="s">
        <v>1461</v>
      </c>
      <c r="W1049" t="s">
        <v>618</v>
      </c>
      <c r="X1049" t="s">
        <v>666</v>
      </c>
    </row>
    <row r="1050" spans="21:24" x14ac:dyDescent="0.45">
      <c r="U1050" t="s">
        <v>112</v>
      </c>
      <c r="V1050" t="s">
        <v>1462</v>
      </c>
      <c r="W1050" t="s">
        <v>618</v>
      </c>
      <c r="X1050" t="s">
        <v>666</v>
      </c>
    </row>
    <row r="1051" spans="21:24" x14ac:dyDescent="0.45">
      <c r="U1051" t="s">
        <v>112</v>
      </c>
      <c r="V1051" t="s">
        <v>1462</v>
      </c>
      <c r="W1051" t="s">
        <v>586</v>
      </c>
      <c r="X1051" t="s">
        <v>547</v>
      </c>
    </row>
    <row r="1052" spans="21:24" x14ac:dyDescent="0.45">
      <c r="U1052" t="s">
        <v>112</v>
      </c>
      <c r="V1052" t="s">
        <v>1463</v>
      </c>
      <c r="W1052" t="s">
        <v>618</v>
      </c>
      <c r="X1052" t="s">
        <v>666</v>
      </c>
    </row>
    <row r="1053" spans="21:24" x14ac:dyDescent="0.45">
      <c r="U1053" t="s">
        <v>112</v>
      </c>
      <c r="V1053" t="s">
        <v>1463</v>
      </c>
      <c r="W1053" t="s">
        <v>586</v>
      </c>
      <c r="X1053" t="s">
        <v>547</v>
      </c>
    </row>
    <row r="1054" spans="21:24" x14ac:dyDescent="0.45">
      <c r="U1054" t="s">
        <v>112</v>
      </c>
      <c r="V1054" t="s">
        <v>1464</v>
      </c>
      <c r="W1054" t="s">
        <v>587</v>
      </c>
      <c r="X1054" t="s">
        <v>666</v>
      </c>
    </row>
    <row r="1055" spans="21:24" x14ac:dyDescent="0.45">
      <c r="U1055" t="s">
        <v>112</v>
      </c>
      <c r="V1055" t="s">
        <v>1465</v>
      </c>
      <c r="W1055" t="s">
        <v>587</v>
      </c>
      <c r="X1055" t="s">
        <v>666</v>
      </c>
    </row>
    <row r="1056" spans="21:24" x14ac:dyDescent="0.45">
      <c r="U1056" t="s">
        <v>112</v>
      </c>
      <c r="V1056" t="s">
        <v>1466</v>
      </c>
      <c r="W1056" t="s">
        <v>587</v>
      </c>
      <c r="X1056" t="s">
        <v>666</v>
      </c>
    </row>
    <row r="1057" spans="21:24" x14ac:dyDescent="0.45">
      <c r="U1057" t="s">
        <v>112</v>
      </c>
      <c r="V1057" t="s">
        <v>1467</v>
      </c>
      <c r="W1057" t="s">
        <v>587</v>
      </c>
      <c r="X1057" t="s">
        <v>666</v>
      </c>
    </row>
    <row r="1058" spans="21:24" x14ac:dyDescent="0.45">
      <c r="U1058" t="s">
        <v>112</v>
      </c>
      <c r="V1058" t="s">
        <v>1468</v>
      </c>
      <c r="W1058" t="s">
        <v>587</v>
      </c>
      <c r="X1058" t="s">
        <v>666</v>
      </c>
    </row>
    <row r="1059" spans="21:24" x14ac:dyDescent="0.45">
      <c r="U1059" t="s">
        <v>112</v>
      </c>
      <c r="V1059" t="s">
        <v>1469</v>
      </c>
      <c r="W1059" t="s">
        <v>587</v>
      </c>
      <c r="X1059" t="s">
        <v>666</v>
      </c>
    </row>
    <row r="1060" spans="21:24" x14ac:dyDescent="0.45">
      <c r="U1060" t="s">
        <v>112</v>
      </c>
      <c r="V1060" t="s">
        <v>1470</v>
      </c>
      <c r="W1060" t="s">
        <v>587</v>
      </c>
      <c r="X1060" t="s">
        <v>666</v>
      </c>
    </row>
    <row r="1061" spans="21:24" x14ac:dyDescent="0.45">
      <c r="U1061" t="s">
        <v>112</v>
      </c>
      <c r="V1061" t="s">
        <v>1471</v>
      </c>
      <c r="W1061" t="s">
        <v>587</v>
      </c>
      <c r="X1061" t="s">
        <v>666</v>
      </c>
    </row>
    <row r="1062" spans="21:24" x14ac:dyDescent="0.45">
      <c r="U1062" t="s">
        <v>112</v>
      </c>
      <c r="V1062" t="s">
        <v>1472</v>
      </c>
      <c r="W1062" t="s">
        <v>587</v>
      </c>
      <c r="X1062" t="s">
        <v>666</v>
      </c>
    </row>
    <row r="1063" spans="21:24" x14ac:dyDescent="0.45">
      <c r="U1063" t="s">
        <v>112</v>
      </c>
      <c r="V1063" t="s">
        <v>1473</v>
      </c>
      <c r="W1063" t="s">
        <v>587</v>
      </c>
      <c r="X1063" t="s">
        <v>666</v>
      </c>
    </row>
    <row r="1064" spans="21:24" x14ac:dyDescent="0.45">
      <c r="U1064" t="s">
        <v>112</v>
      </c>
      <c r="V1064" t="s">
        <v>1474</v>
      </c>
      <c r="W1064" t="s">
        <v>587</v>
      </c>
      <c r="X1064" t="s">
        <v>666</v>
      </c>
    </row>
    <row r="1065" spans="21:24" x14ac:dyDescent="0.45">
      <c r="U1065" t="s">
        <v>112</v>
      </c>
      <c r="V1065" t="s">
        <v>1475</v>
      </c>
      <c r="W1065" t="s">
        <v>587</v>
      </c>
      <c r="X1065" t="s">
        <v>666</v>
      </c>
    </row>
    <row r="1066" spans="21:24" x14ac:dyDescent="0.45">
      <c r="U1066" t="s">
        <v>112</v>
      </c>
      <c r="V1066" t="s">
        <v>1475</v>
      </c>
      <c r="W1066" t="s">
        <v>647</v>
      </c>
      <c r="X1066" t="s">
        <v>666</v>
      </c>
    </row>
    <row r="1067" spans="21:24" x14ac:dyDescent="0.45">
      <c r="U1067" t="s">
        <v>112</v>
      </c>
      <c r="V1067" t="s">
        <v>1476</v>
      </c>
      <c r="W1067" t="s">
        <v>587</v>
      </c>
      <c r="X1067" t="s">
        <v>666</v>
      </c>
    </row>
    <row r="1068" spans="21:24" x14ac:dyDescent="0.45">
      <c r="U1068" t="s">
        <v>112</v>
      </c>
      <c r="V1068" t="s">
        <v>1476</v>
      </c>
      <c r="W1068" t="s">
        <v>647</v>
      </c>
      <c r="X1068" t="s">
        <v>666</v>
      </c>
    </row>
    <row r="1069" spans="21:24" x14ac:dyDescent="0.45">
      <c r="U1069" t="s">
        <v>112</v>
      </c>
      <c r="V1069" t="s">
        <v>1477</v>
      </c>
      <c r="W1069" t="s">
        <v>587</v>
      </c>
      <c r="X1069" t="s">
        <v>666</v>
      </c>
    </row>
    <row r="1070" spans="21:24" x14ac:dyDescent="0.45">
      <c r="U1070" t="s">
        <v>112</v>
      </c>
      <c r="V1070" t="s">
        <v>1477</v>
      </c>
      <c r="W1070" t="s">
        <v>647</v>
      </c>
      <c r="X1070" t="s">
        <v>666</v>
      </c>
    </row>
    <row r="1071" spans="21:24" x14ac:dyDescent="0.45">
      <c r="U1071" t="s">
        <v>112</v>
      </c>
      <c r="V1071" t="s">
        <v>1478</v>
      </c>
      <c r="W1071" t="s">
        <v>587</v>
      </c>
      <c r="X1071" t="s">
        <v>666</v>
      </c>
    </row>
    <row r="1072" spans="21:24" x14ac:dyDescent="0.45">
      <c r="U1072" t="s">
        <v>112</v>
      </c>
      <c r="V1072" t="s">
        <v>1478</v>
      </c>
      <c r="W1072" t="s">
        <v>647</v>
      </c>
      <c r="X1072" t="s">
        <v>666</v>
      </c>
    </row>
    <row r="1073" spans="21:24" x14ac:dyDescent="0.45">
      <c r="U1073" t="s">
        <v>112</v>
      </c>
      <c r="V1073" t="s">
        <v>1479</v>
      </c>
      <c r="W1073" t="s">
        <v>647</v>
      </c>
      <c r="X1073" t="s">
        <v>666</v>
      </c>
    </row>
    <row r="1074" spans="21:24" x14ac:dyDescent="0.45">
      <c r="U1074" t="s">
        <v>112</v>
      </c>
      <c r="V1074" t="s">
        <v>1480</v>
      </c>
      <c r="W1074" t="s">
        <v>647</v>
      </c>
      <c r="X1074" t="s">
        <v>666</v>
      </c>
    </row>
    <row r="1075" spans="21:24" x14ac:dyDescent="0.45">
      <c r="U1075" t="s">
        <v>112</v>
      </c>
      <c r="V1075" t="s">
        <v>1481</v>
      </c>
      <c r="W1075" t="s">
        <v>647</v>
      </c>
      <c r="X1075" t="s">
        <v>666</v>
      </c>
    </row>
    <row r="1076" spans="21:24" x14ac:dyDescent="0.45">
      <c r="U1076" t="s">
        <v>112</v>
      </c>
      <c r="V1076" t="s">
        <v>1481</v>
      </c>
      <c r="W1076" t="s">
        <v>587</v>
      </c>
      <c r="X1076" t="s">
        <v>547</v>
      </c>
    </row>
    <row r="1077" spans="21:24" x14ac:dyDescent="0.45">
      <c r="U1077" t="s">
        <v>112</v>
      </c>
      <c r="V1077" t="s">
        <v>1482</v>
      </c>
      <c r="W1077" t="s">
        <v>647</v>
      </c>
      <c r="X1077" t="s">
        <v>666</v>
      </c>
    </row>
    <row r="1078" spans="21:24" x14ac:dyDescent="0.45">
      <c r="U1078" t="s">
        <v>112</v>
      </c>
      <c r="V1078" t="s">
        <v>1482</v>
      </c>
      <c r="W1078" t="s">
        <v>587</v>
      </c>
      <c r="X1078" t="s">
        <v>547</v>
      </c>
    </row>
    <row r="1079" spans="21:24" x14ac:dyDescent="0.45">
      <c r="U1079" t="s">
        <v>112</v>
      </c>
      <c r="V1079" t="s">
        <v>1483</v>
      </c>
      <c r="W1079" t="s">
        <v>588</v>
      </c>
      <c r="X1079" t="s">
        <v>666</v>
      </c>
    </row>
    <row r="1080" spans="21:24" x14ac:dyDescent="0.45">
      <c r="U1080" t="s">
        <v>112</v>
      </c>
      <c r="V1080" t="s">
        <v>1484</v>
      </c>
      <c r="W1080" t="s">
        <v>588</v>
      </c>
      <c r="X1080" t="s">
        <v>666</v>
      </c>
    </row>
    <row r="1081" spans="21:24" x14ac:dyDescent="0.45">
      <c r="U1081" t="s">
        <v>112</v>
      </c>
      <c r="V1081" t="s">
        <v>1485</v>
      </c>
      <c r="W1081" t="s">
        <v>588</v>
      </c>
      <c r="X1081" t="s">
        <v>666</v>
      </c>
    </row>
    <row r="1082" spans="21:24" x14ac:dyDescent="0.45">
      <c r="U1082" t="s">
        <v>112</v>
      </c>
      <c r="V1082" t="s">
        <v>1486</v>
      </c>
      <c r="W1082" t="s">
        <v>588</v>
      </c>
      <c r="X1082" t="s">
        <v>666</v>
      </c>
    </row>
    <row r="1083" spans="21:24" x14ac:dyDescent="0.45">
      <c r="U1083" t="s">
        <v>112</v>
      </c>
      <c r="V1083" t="s">
        <v>1487</v>
      </c>
      <c r="W1083" t="s">
        <v>588</v>
      </c>
      <c r="X1083" t="s">
        <v>666</v>
      </c>
    </row>
    <row r="1084" spans="21:24" x14ac:dyDescent="0.45">
      <c r="U1084" t="s">
        <v>112</v>
      </c>
      <c r="V1084" t="s">
        <v>1488</v>
      </c>
      <c r="W1084" t="s">
        <v>588</v>
      </c>
      <c r="X1084" t="s">
        <v>666</v>
      </c>
    </row>
    <row r="1085" spans="21:24" x14ac:dyDescent="0.45">
      <c r="U1085" t="s">
        <v>112</v>
      </c>
      <c r="V1085" t="s">
        <v>1489</v>
      </c>
      <c r="W1085" t="s">
        <v>588</v>
      </c>
      <c r="X1085" t="s">
        <v>666</v>
      </c>
    </row>
    <row r="1086" spans="21:24" x14ac:dyDescent="0.45">
      <c r="U1086" t="s">
        <v>112</v>
      </c>
      <c r="V1086" t="s">
        <v>1490</v>
      </c>
      <c r="W1086" t="s">
        <v>588</v>
      </c>
      <c r="X1086" t="s">
        <v>666</v>
      </c>
    </row>
    <row r="1087" spans="21:24" x14ac:dyDescent="0.45">
      <c r="U1087" t="s">
        <v>112</v>
      </c>
      <c r="V1087" t="s">
        <v>1491</v>
      </c>
      <c r="W1087" t="s">
        <v>588</v>
      </c>
      <c r="X1087" t="s">
        <v>666</v>
      </c>
    </row>
    <row r="1088" spans="21:24" x14ac:dyDescent="0.45">
      <c r="U1088" t="s">
        <v>112</v>
      </c>
      <c r="V1088" t="s">
        <v>1492</v>
      </c>
      <c r="W1088" t="s">
        <v>588</v>
      </c>
      <c r="X1088" t="s">
        <v>666</v>
      </c>
    </row>
    <row r="1089" spans="21:24" x14ac:dyDescent="0.45">
      <c r="U1089" t="s">
        <v>112</v>
      </c>
      <c r="V1089" t="s">
        <v>1493</v>
      </c>
      <c r="W1089" t="s">
        <v>588</v>
      </c>
      <c r="X1089" t="s">
        <v>666</v>
      </c>
    </row>
    <row r="1090" spans="21:24" x14ac:dyDescent="0.45">
      <c r="U1090" t="s">
        <v>112</v>
      </c>
      <c r="V1090" t="s">
        <v>1494</v>
      </c>
      <c r="W1090" t="s">
        <v>588</v>
      </c>
      <c r="X1090" t="s">
        <v>666</v>
      </c>
    </row>
    <row r="1091" spans="21:24" x14ac:dyDescent="0.45">
      <c r="U1091" t="s">
        <v>112</v>
      </c>
      <c r="V1091" t="s">
        <v>1494</v>
      </c>
      <c r="W1091" t="s">
        <v>636</v>
      </c>
      <c r="X1091" t="s">
        <v>666</v>
      </c>
    </row>
    <row r="1092" spans="21:24" x14ac:dyDescent="0.45">
      <c r="U1092" t="s">
        <v>112</v>
      </c>
      <c r="V1092" t="s">
        <v>1495</v>
      </c>
      <c r="W1092" t="s">
        <v>588</v>
      </c>
      <c r="X1092" t="s">
        <v>666</v>
      </c>
    </row>
    <row r="1093" spans="21:24" x14ac:dyDescent="0.45">
      <c r="U1093" t="s">
        <v>112</v>
      </c>
      <c r="V1093" t="s">
        <v>1495</v>
      </c>
      <c r="W1093" t="s">
        <v>636</v>
      </c>
      <c r="X1093" t="s">
        <v>666</v>
      </c>
    </row>
    <row r="1094" spans="21:24" x14ac:dyDescent="0.45">
      <c r="U1094" t="s">
        <v>112</v>
      </c>
      <c r="V1094" t="s">
        <v>1496</v>
      </c>
      <c r="W1094" t="s">
        <v>588</v>
      </c>
      <c r="X1094" t="s">
        <v>666</v>
      </c>
    </row>
    <row r="1095" spans="21:24" x14ac:dyDescent="0.45">
      <c r="U1095" t="s">
        <v>112</v>
      </c>
      <c r="V1095" t="s">
        <v>1496</v>
      </c>
      <c r="W1095" t="s">
        <v>636</v>
      </c>
      <c r="X1095" t="s">
        <v>666</v>
      </c>
    </row>
    <row r="1096" spans="21:24" x14ac:dyDescent="0.45">
      <c r="U1096" t="s">
        <v>112</v>
      </c>
      <c r="V1096" t="s">
        <v>1497</v>
      </c>
      <c r="W1096" t="s">
        <v>588</v>
      </c>
      <c r="X1096" t="s">
        <v>666</v>
      </c>
    </row>
    <row r="1097" spans="21:24" x14ac:dyDescent="0.45">
      <c r="U1097" t="s">
        <v>112</v>
      </c>
      <c r="V1097" t="s">
        <v>1497</v>
      </c>
      <c r="W1097" t="s">
        <v>636</v>
      </c>
      <c r="X1097" t="s">
        <v>666</v>
      </c>
    </row>
    <row r="1098" spans="21:24" x14ac:dyDescent="0.45">
      <c r="U1098" t="s">
        <v>112</v>
      </c>
      <c r="V1098" t="s">
        <v>1498</v>
      </c>
      <c r="W1098" t="s">
        <v>636</v>
      </c>
      <c r="X1098" t="s">
        <v>666</v>
      </c>
    </row>
    <row r="1099" spans="21:24" x14ac:dyDescent="0.45">
      <c r="U1099" t="s">
        <v>112</v>
      </c>
      <c r="V1099" t="s">
        <v>1499</v>
      </c>
      <c r="W1099" t="s">
        <v>636</v>
      </c>
      <c r="X1099" t="s">
        <v>666</v>
      </c>
    </row>
    <row r="1100" spans="21:24" x14ac:dyDescent="0.45">
      <c r="U1100" t="s">
        <v>112</v>
      </c>
      <c r="V1100" t="s">
        <v>1500</v>
      </c>
      <c r="W1100" t="s">
        <v>636</v>
      </c>
      <c r="X1100" t="s">
        <v>666</v>
      </c>
    </row>
    <row r="1101" spans="21:24" x14ac:dyDescent="0.45">
      <c r="U1101" t="s">
        <v>112</v>
      </c>
      <c r="V1101" t="s">
        <v>1500</v>
      </c>
      <c r="W1101" t="s">
        <v>588</v>
      </c>
      <c r="X1101" t="s">
        <v>547</v>
      </c>
    </row>
    <row r="1102" spans="21:24" x14ac:dyDescent="0.45">
      <c r="U1102" t="s">
        <v>112</v>
      </c>
      <c r="V1102" t="s">
        <v>1501</v>
      </c>
      <c r="W1102" t="s">
        <v>636</v>
      </c>
      <c r="X1102" t="s">
        <v>666</v>
      </c>
    </row>
    <row r="1103" spans="21:24" x14ac:dyDescent="0.45">
      <c r="U1103" t="s">
        <v>112</v>
      </c>
      <c r="V1103" t="s">
        <v>1501</v>
      </c>
      <c r="W1103" t="s">
        <v>588</v>
      </c>
      <c r="X1103" t="s">
        <v>547</v>
      </c>
    </row>
    <row r="1104" spans="21:24" x14ac:dyDescent="0.45">
      <c r="U1104" t="s">
        <v>112</v>
      </c>
      <c r="V1104" t="s">
        <v>1502</v>
      </c>
      <c r="W1104" t="s">
        <v>589</v>
      </c>
      <c r="X1104" t="s">
        <v>666</v>
      </c>
    </row>
    <row r="1105" spans="21:24" x14ac:dyDescent="0.45">
      <c r="U1105" t="s">
        <v>112</v>
      </c>
      <c r="V1105" t="s">
        <v>1503</v>
      </c>
      <c r="W1105" t="s">
        <v>589</v>
      </c>
      <c r="X1105" t="s">
        <v>666</v>
      </c>
    </row>
    <row r="1106" spans="21:24" x14ac:dyDescent="0.45">
      <c r="U1106" t="s">
        <v>112</v>
      </c>
      <c r="V1106" t="s">
        <v>1504</v>
      </c>
      <c r="W1106" t="s">
        <v>589</v>
      </c>
      <c r="X1106" t="s">
        <v>666</v>
      </c>
    </row>
    <row r="1107" spans="21:24" x14ac:dyDescent="0.45">
      <c r="U1107" t="s">
        <v>112</v>
      </c>
      <c r="V1107" t="s">
        <v>1505</v>
      </c>
      <c r="W1107" t="s">
        <v>589</v>
      </c>
      <c r="X1107" t="s">
        <v>666</v>
      </c>
    </row>
    <row r="1108" spans="21:24" x14ac:dyDescent="0.45">
      <c r="U1108" t="s">
        <v>112</v>
      </c>
      <c r="V1108" t="s">
        <v>1506</v>
      </c>
      <c r="W1108" t="s">
        <v>589</v>
      </c>
      <c r="X1108" t="s">
        <v>666</v>
      </c>
    </row>
    <row r="1109" spans="21:24" x14ac:dyDescent="0.45">
      <c r="U1109" t="s">
        <v>112</v>
      </c>
      <c r="V1109" t="s">
        <v>1507</v>
      </c>
      <c r="W1109" t="s">
        <v>589</v>
      </c>
      <c r="X1109" t="s">
        <v>666</v>
      </c>
    </row>
    <row r="1110" spans="21:24" x14ac:dyDescent="0.45">
      <c r="U1110" t="s">
        <v>112</v>
      </c>
      <c r="V1110" t="s">
        <v>1508</v>
      </c>
      <c r="W1110" t="s">
        <v>589</v>
      </c>
      <c r="X1110" t="s">
        <v>666</v>
      </c>
    </row>
    <row r="1111" spans="21:24" x14ac:dyDescent="0.45">
      <c r="U1111" t="s">
        <v>112</v>
      </c>
      <c r="V1111" t="s">
        <v>1509</v>
      </c>
      <c r="W1111" t="s">
        <v>589</v>
      </c>
      <c r="X1111" t="s">
        <v>666</v>
      </c>
    </row>
    <row r="1112" spans="21:24" x14ac:dyDescent="0.45">
      <c r="U1112" t="s">
        <v>112</v>
      </c>
      <c r="V1112" t="s">
        <v>1510</v>
      </c>
      <c r="W1112" t="s">
        <v>589</v>
      </c>
      <c r="X1112" t="s">
        <v>666</v>
      </c>
    </row>
    <row r="1113" spans="21:24" x14ac:dyDescent="0.45">
      <c r="U1113" t="s">
        <v>112</v>
      </c>
      <c r="V1113" t="s">
        <v>1511</v>
      </c>
      <c r="W1113" t="s">
        <v>589</v>
      </c>
      <c r="X1113" t="s">
        <v>666</v>
      </c>
    </row>
    <row r="1114" spans="21:24" x14ac:dyDescent="0.45">
      <c r="U1114" t="s">
        <v>112</v>
      </c>
      <c r="V1114" t="s">
        <v>1512</v>
      </c>
      <c r="W1114" t="s">
        <v>589</v>
      </c>
      <c r="X1114" t="s">
        <v>666</v>
      </c>
    </row>
    <row r="1115" spans="21:24" x14ac:dyDescent="0.45">
      <c r="U1115" t="s">
        <v>112</v>
      </c>
      <c r="V1115" t="s">
        <v>1513</v>
      </c>
      <c r="W1115" t="s">
        <v>589</v>
      </c>
      <c r="X1115" t="s">
        <v>666</v>
      </c>
    </row>
    <row r="1116" spans="21:24" x14ac:dyDescent="0.45">
      <c r="U1116" t="s">
        <v>112</v>
      </c>
      <c r="V1116" t="s">
        <v>1513</v>
      </c>
      <c r="W1116" t="s">
        <v>661</v>
      </c>
      <c r="X1116" t="s">
        <v>666</v>
      </c>
    </row>
    <row r="1117" spans="21:24" x14ac:dyDescent="0.45">
      <c r="U1117" t="s">
        <v>112</v>
      </c>
      <c r="V1117" t="s">
        <v>1514</v>
      </c>
      <c r="W1117" t="s">
        <v>589</v>
      </c>
      <c r="X1117" t="s">
        <v>666</v>
      </c>
    </row>
    <row r="1118" spans="21:24" x14ac:dyDescent="0.45">
      <c r="U1118" t="s">
        <v>112</v>
      </c>
      <c r="V1118" t="s">
        <v>1514</v>
      </c>
      <c r="W1118" t="s">
        <v>661</v>
      </c>
      <c r="X1118" t="s">
        <v>666</v>
      </c>
    </row>
    <row r="1119" spans="21:24" x14ac:dyDescent="0.45">
      <c r="U1119" t="s">
        <v>112</v>
      </c>
      <c r="V1119" t="s">
        <v>1515</v>
      </c>
      <c r="W1119" t="s">
        <v>589</v>
      </c>
      <c r="X1119" t="s">
        <v>666</v>
      </c>
    </row>
    <row r="1120" spans="21:24" x14ac:dyDescent="0.45">
      <c r="U1120" t="s">
        <v>112</v>
      </c>
      <c r="V1120" t="s">
        <v>1515</v>
      </c>
      <c r="W1120" t="s">
        <v>661</v>
      </c>
      <c r="X1120" t="s">
        <v>666</v>
      </c>
    </row>
    <row r="1121" spans="21:24" x14ac:dyDescent="0.45">
      <c r="U1121" t="s">
        <v>112</v>
      </c>
      <c r="V1121" t="s">
        <v>1516</v>
      </c>
      <c r="W1121" t="s">
        <v>589</v>
      </c>
      <c r="X1121" t="s">
        <v>666</v>
      </c>
    </row>
    <row r="1122" spans="21:24" x14ac:dyDescent="0.45">
      <c r="U1122" t="s">
        <v>112</v>
      </c>
      <c r="V1122" t="s">
        <v>1516</v>
      </c>
      <c r="W1122" t="s">
        <v>661</v>
      </c>
      <c r="X1122" t="s">
        <v>666</v>
      </c>
    </row>
    <row r="1123" spans="21:24" x14ac:dyDescent="0.45">
      <c r="U1123" t="s">
        <v>112</v>
      </c>
      <c r="V1123" t="s">
        <v>1517</v>
      </c>
      <c r="W1123" t="s">
        <v>661</v>
      </c>
      <c r="X1123" t="s">
        <v>666</v>
      </c>
    </row>
    <row r="1124" spans="21:24" x14ac:dyDescent="0.45">
      <c r="U1124" t="s">
        <v>112</v>
      </c>
      <c r="V1124" t="s">
        <v>1518</v>
      </c>
      <c r="W1124" t="s">
        <v>661</v>
      </c>
      <c r="X1124" t="s">
        <v>666</v>
      </c>
    </row>
    <row r="1125" spans="21:24" x14ac:dyDescent="0.45">
      <c r="U1125" t="s">
        <v>112</v>
      </c>
      <c r="V1125" t="s">
        <v>1519</v>
      </c>
      <c r="W1125" t="s">
        <v>661</v>
      </c>
      <c r="X1125" t="s">
        <v>666</v>
      </c>
    </row>
    <row r="1126" spans="21:24" x14ac:dyDescent="0.45">
      <c r="U1126" t="s">
        <v>112</v>
      </c>
      <c r="V1126" t="s">
        <v>1519</v>
      </c>
      <c r="W1126" t="s">
        <v>589</v>
      </c>
      <c r="X1126" t="s">
        <v>547</v>
      </c>
    </row>
    <row r="1127" spans="21:24" x14ac:dyDescent="0.45">
      <c r="U1127" t="s">
        <v>112</v>
      </c>
      <c r="V1127" t="s">
        <v>1520</v>
      </c>
      <c r="W1127" t="s">
        <v>661</v>
      </c>
      <c r="X1127" t="s">
        <v>666</v>
      </c>
    </row>
    <row r="1128" spans="21:24" x14ac:dyDescent="0.45">
      <c r="U1128" t="s">
        <v>112</v>
      </c>
      <c r="V1128" t="s">
        <v>1520</v>
      </c>
      <c r="W1128" t="s">
        <v>589</v>
      </c>
      <c r="X1128" t="s">
        <v>547</v>
      </c>
    </row>
    <row r="1129" spans="21:24" x14ac:dyDescent="0.45">
      <c r="U1129" t="s">
        <v>112</v>
      </c>
      <c r="V1129" t="s">
        <v>1521</v>
      </c>
      <c r="W1129" t="s">
        <v>590</v>
      </c>
      <c r="X1129" t="s">
        <v>666</v>
      </c>
    </row>
    <row r="1130" spans="21:24" x14ac:dyDescent="0.45">
      <c r="U1130" t="s">
        <v>112</v>
      </c>
      <c r="V1130" t="s">
        <v>1522</v>
      </c>
      <c r="W1130" t="s">
        <v>590</v>
      </c>
      <c r="X1130" t="s">
        <v>666</v>
      </c>
    </row>
    <row r="1131" spans="21:24" x14ac:dyDescent="0.45">
      <c r="U1131" t="s">
        <v>112</v>
      </c>
      <c r="V1131" t="s">
        <v>1523</v>
      </c>
      <c r="W1131" t="s">
        <v>590</v>
      </c>
      <c r="X1131" t="s">
        <v>666</v>
      </c>
    </row>
    <row r="1132" spans="21:24" x14ac:dyDescent="0.45">
      <c r="U1132" t="s">
        <v>112</v>
      </c>
      <c r="V1132" t="s">
        <v>1524</v>
      </c>
      <c r="W1132" t="s">
        <v>590</v>
      </c>
      <c r="X1132" t="s">
        <v>666</v>
      </c>
    </row>
    <row r="1133" spans="21:24" x14ac:dyDescent="0.45">
      <c r="U1133" t="s">
        <v>112</v>
      </c>
      <c r="V1133" t="s">
        <v>1525</v>
      </c>
      <c r="W1133" t="s">
        <v>590</v>
      </c>
      <c r="X1133" t="s">
        <v>666</v>
      </c>
    </row>
    <row r="1134" spans="21:24" x14ac:dyDescent="0.45">
      <c r="U1134" t="s">
        <v>112</v>
      </c>
      <c r="V1134" t="s">
        <v>1526</v>
      </c>
      <c r="W1134" t="s">
        <v>590</v>
      </c>
      <c r="X1134" t="s">
        <v>666</v>
      </c>
    </row>
    <row r="1135" spans="21:24" x14ac:dyDescent="0.45">
      <c r="U1135" t="s">
        <v>112</v>
      </c>
      <c r="V1135" t="s">
        <v>1527</v>
      </c>
      <c r="W1135" t="s">
        <v>590</v>
      </c>
      <c r="X1135" t="s">
        <v>666</v>
      </c>
    </row>
    <row r="1136" spans="21:24" x14ac:dyDescent="0.45">
      <c r="U1136" t="s">
        <v>112</v>
      </c>
      <c r="V1136" t="s">
        <v>1528</v>
      </c>
      <c r="W1136" t="s">
        <v>590</v>
      </c>
      <c r="X1136" t="s">
        <v>666</v>
      </c>
    </row>
    <row r="1137" spans="21:24" x14ac:dyDescent="0.45">
      <c r="U1137" t="s">
        <v>112</v>
      </c>
      <c r="V1137" t="s">
        <v>1529</v>
      </c>
      <c r="W1137" t="s">
        <v>590</v>
      </c>
      <c r="X1137" t="s">
        <v>666</v>
      </c>
    </row>
    <row r="1138" spans="21:24" x14ac:dyDescent="0.45">
      <c r="U1138" t="s">
        <v>112</v>
      </c>
      <c r="V1138" t="s">
        <v>1530</v>
      </c>
      <c r="W1138" t="s">
        <v>590</v>
      </c>
      <c r="X1138" t="s">
        <v>666</v>
      </c>
    </row>
    <row r="1139" spans="21:24" x14ac:dyDescent="0.45">
      <c r="U1139" t="s">
        <v>112</v>
      </c>
      <c r="V1139" t="s">
        <v>1531</v>
      </c>
      <c r="W1139" t="s">
        <v>590</v>
      </c>
      <c r="X1139" t="s">
        <v>666</v>
      </c>
    </row>
    <row r="1140" spans="21:24" x14ac:dyDescent="0.45">
      <c r="U1140" t="s">
        <v>112</v>
      </c>
      <c r="V1140" t="s">
        <v>1532</v>
      </c>
      <c r="W1140" t="s">
        <v>590</v>
      </c>
      <c r="X1140" t="s">
        <v>666</v>
      </c>
    </row>
    <row r="1141" spans="21:24" x14ac:dyDescent="0.45">
      <c r="U1141" t="s">
        <v>112</v>
      </c>
      <c r="V1141" t="s">
        <v>1532</v>
      </c>
      <c r="W1141" t="s">
        <v>662</v>
      </c>
      <c r="X1141" t="s">
        <v>666</v>
      </c>
    </row>
    <row r="1142" spans="21:24" x14ac:dyDescent="0.45">
      <c r="U1142" t="s">
        <v>112</v>
      </c>
      <c r="V1142" t="s">
        <v>1533</v>
      </c>
      <c r="W1142" t="s">
        <v>590</v>
      </c>
      <c r="X1142" t="s">
        <v>666</v>
      </c>
    </row>
    <row r="1143" spans="21:24" x14ac:dyDescent="0.45">
      <c r="U1143" t="s">
        <v>112</v>
      </c>
      <c r="V1143" t="s">
        <v>1533</v>
      </c>
      <c r="W1143" t="s">
        <v>662</v>
      </c>
      <c r="X1143" t="s">
        <v>666</v>
      </c>
    </row>
    <row r="1144" spans="21:24" x14ac:dyDescent="0.45">
      <c r="U1144" t="s">
        <v>112</v>
      </c>
      <c r="V1144" t="s">
        <v>1534</v>
      </c>
      <c r="W1144" t="s">
        <v>590</v>
      </c>
      <c r="X1144" t="s">
        <v>666</v>
      </c>
    </row>
    <row r="1145" spans="21:24" x14ac:dyDescent="0.45">
      <c r="U1145" t="s">
        <v>112</v>
      </c>
      <c r="V1145" t="s">
        <v>1534</v>
      </c>
      <c r="W1145" t="s">
        <v>662</v>
      </c>
      <c r="X1145" t="s">
        <v>666</v>
      </c>
    </row>
    <row r="1146" spans="21:24" x14ac:dyDescent="0.45">
      <c r="U1146" t="s">
        <v>112</v>
      </c>
      <c r="V1146" t="s">
        <v>1535</v>
      </c>
      <c r="W1146" t="s">
        <v>590</v>
      </c>
      <c r="X1146" t="s">
        <v>666</v>
      </c>
    </row>
    <row r="1147" spans="21:24" x14ac:dyDescent="0.45">
      <c r="U1147" t="s">
        <v>112</v>
      </c>
      <c r="V1147" t="s">
        <v>1535</v>
      </c>
      <c r="W1147" t="s">
        <v>662</v>
      </c>
      <c r="X1147" t="s">
        <v>666</v>
      </c>
    </row>
    <row r="1148" spans="21:24" x14ac:dyDescent="0.45">
      <c r="U1148" t="s">
        <v>112</v>
      </c>
      <c r="V1148" t="s">
        <v>1536</v>
      </c>
      <c r="W1148" t="s">
        <v>662</v>
      </c>
      <c r="X1148" t="s">
        <v>666</v>
      </c>
    </row>
    <row r="1149" spans="21:24" x14ac:dyDescent="0.45">
      <c r="U1149" t="s">
        <v>112</v>
      </c>
      <c r="V1149" t="s">
        <v>1537</v>
      </c>
      <c r="W1149" t="s">
        <v>662</v>
      </c>
      <c r="X1149" t="s">
        <v>666</v>
      </c>
    </row>
    <row r="1150" spans="21:24" x14ac:dyDescent="0.45">
      <c r="U1150" t="s">
        <v>112</v>
      </c>
      <c r="V1150" t="s">
        <v>1538</v>
      </c>
      <c r="W1150" t="s">
        <v>662</v>
      </c>
      <c r="X1150" t="s">
        <v>666</v>
      </c>
    </row>
    <row r="1151" spans="21:24" x14ac:dyDescent="0.45">
      <c r="U1151" t="s">
        <v>112</v>
      </c>
      <c r="V1151" t="s">
        <v>1538</v>
      </c>
      <c r="W1151" t="s">
        <v>590</v>
      </c>
      <c r="X1151" t="s">
        <v>547</v>
      </c>
    </row>
    <row r="1152" spans="21:24" x14ac:dyDescent="0.45">
      <c r="U1152" t="s">
        <v>112</v>
      </c>
      <c r="V1152" t="s">
        <v>1539</v>
      </c>
      <c r="W1152" t="s">
        <v>662</v>
      </c>
      <c r="X1152" t="s">
        <v>666</v>
      </c>
    </row>
    <row r="1153" spans="21:24" x14ac:dyDescent="0.45">
      <c r="U1153" t="s">
        <v>112</v>
      </c>
      <c r="V1153" t="s">
        <v>1539</v>
      </c>
      <c r="W1153" t="s">
        <v>590</v>
      </c>
      <c r="X1153" t="s">
        <v>547</v>
      </c>
    </row>
    <row r="1154" spans="21:24" x14ac:dyDescent="0.45">
      <c r="U1154" t="s">
        <v>112</v>
      </c>
      <c r="V1154" t="s">
        <v>1540</v>
      </c>
      <c r="W1154" t="s">
        <v>591</v>
      </c>
      <c r="X1154" t="s">
        <v>666</v>
      </c>
    </row>
    <row r="1155" spans="21:24" x14ac:dyDescent="0.45">
      <c r="U1155" t="s">
        <v>112</v>
      </c>
      <c r="V1155" t="s">
        <v>1541</v>
      </c>
      <c r="W1155" t="s">
        <v>591</v>
      </c>
      <c r="X1155" t="s">
        <v>666</v>
      </c>
    </row>
    <row r="1156" spans="21:24" x14ac:dyDescent="0.45">
      <c r="U1156" t="s">
        <v>112</v>
      </c>
      <c r="V1156" t="s">
        <v>1542</v>
      </c>
      <c r="W1156" t="s">
        <v>591</v>
      </c>
      <c r="X1156" t="s">
        <v>666</v>
      </c>
    </row>
    <row r="1157" spans="21:24" x14ac:dyDescent="0.45">
      <c r="U1157" t="s">
        <v>112</v>
      </c>
      <c r="V1157" t="s">
        <v>1543</v>
      </c>
      <c r="W1157" t="s">
        <v>591</v>
      </c>
      <c r="X1157" t="s">
        <v>666</v>
      </c>
    </row>
    <row r="1158" spans="21:24" x14ac:dyDescent="0.45">
      <c r="U1158" t="s">
        <v>112</v>
      </c>
      <c r="V1158" t="s">
        <v>1544</v>
      </c>
      <c r="W1158" t="s">
        <v>591</v>
      </c>
      <c r="X1158" t="s">
        <v>666</v>
      </c>
    </row>
    <row r="1159" spans="21:24" x14ac:dyDescent="0.45">
      <c r="U1159" t="s">
        <v>112</v>
      </c>
      <c r="V1159" t="s">
        <v>1545</v>
      </c>
      <c r="W1159" t="s">
        <v>591</v>
      </c>
      <c r="X1159" t="s">
        <v>666</v>
      </c>
    </row>
    <row r="1160" spans="21:24" x14ac:dyDescent="0.45">
      <c r="U1160" t="s">
        <v>112</v>
      </c>
      <c r="V1160" t="s">
        <v>1546</v>
      </c>
      <c r="W1160" t="s">
        <v>591</v>
      </c>
      <c r="X1160" t="s">
        <v>666</v>
      </c>
    </row>
    <row r="1161" spans="21:24" x14ac:dyDescent="0.45">
      <c r="U1161" t="s">
        <v>112</v>
      </c>
      <c r="V1161" t="s">
        <v>1547</v>
      </c>
      <c r="W1161" t="s">
        <v>591</v>
      </c>
      <c r="X1161" t="s">
        <v>666</v>
      </c>
    </row>
    <row r="1162" spans="21:24" x14ac:dyDescent="0.45">
      <c r="U1162" t="s">
        <v>112</v>
      </c>
      <c r="V1162" t="s">
        <v>1548</v>
      </c>
      <c r="W1162" t="s">
        <v>591</v>
      </c>
      <c r="X1162" t="s">
        <v>666</v>
      </c>
    </row>
    <row r="1163" spans="21:24" x14ac:dyDescent="0.45">
      <c r="U1163" t="s">
        <v>112</v>
      </c>
      <c r="V1163" t="s">
        <v>1549</v>
      </c>
      <c r="W1163" t="s">
        <v>591</v>
      </c>
      <c r="X1163" t="s">
        <v>666</v>
      </c>
    </row>
    <row r="1164" spans="21:24" x14ac:dyDescent="0.45">
      <c r="U1164" t="s">
        <v>112</v>
      </c>
      <c r="V1164" t="s">
        <v>1550</v>
      </c>
      <c r="W1164" t="s">
        <v>591</v>
      </c>
      <c r="X1164" t="s">
        <v>666</v>
      </c>
    </row>
    <row r="1165" spans="21:24" x14ac:dyDescent="0.45">
      <c r="U1165" t="s">
        <v>112</v>
      </c>
      <c r="V1165" t="s">
        <v>1551</v>
      </c>
      <c r="W1165" t="s">
        <v>591</v>
      </c>
      <c r="X1165" t="s">
        <v>666</v>
      </c>
    </row>
    <row r="1166" spans="21:24" x14ac:dyDescent="0.45">
      <c r="U1166" t="s">
        <v>112</v>
      </c>
      <c r="V1166" t="s">
        <v>1551</v>
      </c>
      <c r="W1166" t="s">
        <v>624</v>
      </c>
      <c r="X1166" t="s">
        <v>666</v>
      </c>
    </row>
    <row r="1167" spans="21:24" x14ac:dyDescent="0.45">
      <c r="U1167" t="s">
        <v>112</v>
      </c>
      <c r="V1167" t="s">
        <v>1552</v>
      </c>
      <c r="W1167" t="s">
        <v>591</v>
      </c>
      <c r="X1167" t="s">
        <v>666</v>
      </c>
    </row>
    <row r="1168" spans="21:24" x14ac:dyDescent="0.45">
      <c r="U1168" t="s">
        <v>112</v>
      </c>
      <c r="V1168" t="s">
        <v>1552</v>
      </c>
      <c r="W1168" t="s">
        <v>624</v>
      </c>
      <c r="X1168" t="s">
        <v>666</v>
      </c>
    </row>
    <row r="1169" spans="21:24" x14ac:dyDescent="0.45">
      <c r="U1169" t="s">
        <v>112</v>
      </c>
      <c r="V1169" t="s">
        <v>1553</v>
      </c>
      <c r="W1169" t="s">
        <v>591</v>
      </c>
      <c r="X1169" t="s">
        <v>666</v>
      </c>
    </row>
    <row r="1170" spans="21:24" x14ac:dyDescent="0.45">
      <c r="U1170" t="s">
        <v>112</v>
      </c>
      <c r="V1170" t="s">
        <v>1553</v>
      </c>
      <c r="W1170" t="s">
        <v>624</v>
      </c>
      <c r="X1170" t="s">
        <v>666</v>
      </c>
    </row>
    <row r="1171" spans="21:24" x14ac:dyDescent="0.45">
      <c r="U1171" t="s">
        <v>112</v>
      </c>
      <c r="V1171" t="s">
        <v>1554</v>
      </c>
      <c r="W1171" t="s">
        <v>591</v>
      </c>
      <c r="X1171" t="s">
        <v>666</v>
      </c>
    </row>
    <row r="1172" spans="21:24" x14ac:dyDescent="0.45">
      <c r="U1172" t="s">
        <v>112</v>
      </c>
      <c r="V1172" t="s">
        <v>1554</v>
      </c>
      <c r="W1172" t="s">
        <v>624</v>
      </c>
      <c r="X1172" t="s">
        <v>666</v>
      </c>
    </row>
    <row r="1173" spans="21:24" x14ac:dyDescent="0.45">
      <c r="U1173" t="s">
        <v>112</v>
      </c>
      <c r="V1173" t="s">
        <v>1555</v>
      </c>
      <c r="W1173" t="s">
        <v>624</v>
      </c>
      <c r="X1173" t="s">
        <v>666</v>
      </c>
    </row>
    <row r="1174" spans="21:24" x14ac:dyDescent="0.45">
      <c r="U1174" t="s">
        <v>112</v>
      </c>
      <c r="V1174" t="s">
        <v>1556</v>
      </c>
      <c r="W1174" t="s">
        <v>624</v>
      </c>
      <c r="X1174" t="s">
        <v>666</v>
      </c>
    </row>
    <row r="1175" spans="21:24" x14ac:dyDescent="0.45">
      <c r="U1175" t="s">
        <v>112</v>
      </c>
      <c r="V1175" t="s">
        <v>1557</v>
      </c>
      <c r="W1175" t="s">
        <v>624</v>
      </c>
      <c r="X1175" t="s">
        <v>666</v>
      </c>
    </row>
    <row r="1176" spans="21:24" x14ac:dyDescent="0.45">
      <c r="U1176" t="s">
        <v>112</v>
      </c>
      <c r="V1176" t="s">
        <v>1557</v>
      </c>
      <c r="W1176" t="s">
        <v>591</v>
      </c>
      <c r="X1176" t="s">
        <v>547</v>
      </c>
    </row>
    <row r="1177" spans="21:24" x14ac:dyDescent="0.45">
      <c r="U1177" t="s">
        <v>112</v>
      </c>
      <c r="V1177" t="s">
        <v>1558</v>
      </c>
      <c r="W1177" t="s">
        <v>624</v>
      </c>
      <c r="X1177" t="s">
        <v>666</v>
      </c>
    </row>
    <row r="1178" spans="21:24" x14ac:dyDescent="0.45">
      <c r="U1178" t="s">
        <v>112</v>
      </c>
      <c r="V1178" t="s">
        <v>1558</v>
      </c>
      <c r="W1178" t="s">
        <v>591</v>
      </c>
      <c r="X1178" t="s">
        <v>547</v>
      </c>
    </row>
    <row r="1179" spans="21:24" x14ac:dyDescent="0.45">
      <c r="U1179" t="s">
        <v>112</v>
      </c>
      <c r="V1179" t="s">
        <v>1559</v>
      </c>
      <c r="W1179" t="s">
        <v>592</v>
      </c>
      <c r="X1179" t="s">
        <v>666</v>
      </c>
    </row>
    <row r="1180" spans="21:24" x14ac:dyDescent="0.45">
      <c r="U1180" t="s">
        <v>112</v>
      </c>
      <c r="V1180" t="s">
        <v>1560</v>
      </c>
      <c r="W1180" t="s">
        <v>592</v>
      </c>
      <c r="X1180" t="s">
        <v>666</v>
      </c>
    </row>
    <row r="1181" spans="21:24" x14ac:dyDescent="0.45">
      <c r="U1181" t="s">
        <v>112</v>
      </c>
      <c r="V1181" t="s">
        <v>1561</v>
      </c>
      <c r="W1181" t="s">
        <v>592</v>
      </c>
      <c r="X1181" t="s">
        <v>666</v>
      </c>
    </row>
    <row r="1182" spans="21:24" x14ac:dyDescent="0.45">
      <c r="U1182" t="s">
        <v>112</v>
      </c>
      <c r="V1182" t="s">
        <v>1562</v>
      </c>
      <c r="W1182" t="s">
        <v>592</v>
      </c>
      <c r="X1182" t="s">
        <v>666</v>
      </c>
    </row>
    <row r="1183" spans="21:24" x14ac:dyDescent="0.45">
      <c r="U1183" t="s">
        <v>112</v>
      </c>
      <c r="V1183" t="s">
        <v>1563</v>
      </c>
      <c r="W1183" t="s">
        <v>592</v>
      </c>
      <c r="X1183" t="s">
        <v>666</v>
      </c>
    </row>
    <row r="1184" spans="21:24" x14ac:dyDescent="0.45">
      <c r="U1184" t="s">
        <v>112</v>
      </c>
      <c r="V1184" t="s">
        <v>1564</v>
      </c>
      <c r="W1184" t="s">
        <v>592</v>
      </c>
      <c r="X1184" t="s">
        <v>666</v>
      </c>
    </row>
    <row r="1185" spans="21:24" x14ac:dyDescent="0.45">
      <c r="U1185" t="s">
        <v>112</v>
      </c>
      <c r="V1185" t="s">
        <v>1565</v>
      </c>
      <c r="W1185" t="s">
        <v>592</v>
      </c>
      <c r="X1185" t="s">
        <v>666</v>
      </c>
    </row>
    <row r="1186" spans="21:24" x14ac:dyDescent="0.45">
      <c r="U1186" t="s">
        <v>112</v>
      </c>
      <c r="V1186" t="s">
        <v>1566</v>
      </c>
      <c r="W1186" t="s">
        <v>592</v>
      </c>
      <c r="X1186" t="s">
        <v>666</v>
      </c>
    </row>
    <row r="1187" spans="21:24" x14ac:dyDescent="0.45">
      <c r="U1187" t="s">
        <v>112</v>
      </c>
      <c r="V1187" t="s">
        <v>1567</v>
      </c>
      <c r="W1187" t="s">
        <v>592</v>
      </c>
      <c r="X1187" t="s">
        <v>666</v>
      </c>
    </row>
    <row r="1188" spans="21:24" x14ac:dyDescent="0.45">
      <c r="U1188" t="s">
        <v>112</v>
      </c>
      <c r="V1188" t="s">
        <v>1568</v>
      </c>
      <c r="W1188" t="s">
        <v>592</v>
      </c>
      <c r="X1188" t="s">
        <v>666</v>
      </c>
    </row>
    <row r="1189" spans="21:24" x14ac:dyDescent="0.45">
      <c r="U1189" t="s">
        <v>112</v>
      </c>
      <c r="V1189" t="s">
        <v>1569</v>
      </c>
      <c r="W1189" t="s">
        <v>592</v>
      </c>
      <c r="X1189" t="s">
        <v>666</v>
      </c>
    </row>
    <row r="1190" spans="21:24" x14ac:dyDescent="0.45">
      <c r="U1190" t="s">
        <v>112</v>
      </c>
      <c r="V1190" t="s">
        <v>1570</v>
      </c>
      <c r="W1190" t="s">
        <v>592</v>
      </c>
      <c r="X1190" t="s">
        <v>666</v>
      </c>
    </row>
    <row r="1191" spans="21:24" x14ac:dyDescent="0.45">
      <c r="U1191" t="s">
        <v>112</v>
      </c>
      <c r="V1191" t="s">
        <v>1570</v>
      </c>
      <c r="W1191" t="s">
        <v>626</v>
      </c>
      <c r="X1191" t="s">
        <v>666</v>
      </c>
    </row>
    <row r="1192" spans="21:24" x14ac:dyDescent="0.45">
      <c r="U1192" t="s">
        <v>112</v>
      </c>
      <c r="V1192" t="s">
        <v>1571</v>
      </c>
      <c r="W1192" t="s">
        <v>592</v>
      </c>
      <c r="X1192" t="s">
        <v>666</v>
      </c>
    </row>
    <row r="1193" spans="21:24" x14ac:dyDescent="0.45">
      <c r="U1193" t="s">
        <v>112</v>
      </c>
      <c r="V1193" t="s">
        <v>1571</v>
      </c>
      <c r="W1193" t="s">
        <v>626</v>
      </c>
      <c r="X1193" t="s">
        <v>666</v>
      </c>
    </row>
    <row r="1194" spans="21:24" x14ac:dyDescent="0.45">
      <c r="U1194" t="s">
        <v>112</v>
      </c>
      <c r="V1194" t="s">
        <v>1572</v>
      </c>
      <c r="W1194" t="s">
        <v>592</v>
      </c>
      <c r="X1194" t="s">
        <v>666</v>
      </c>
    </row>
    <row r="1195" spans="21:24" x14ac:dyDescent="0.45">
      <c r="U1195" t="s">
        <v>112</v>
      </c>
      <c r="V1195" t="s">
        <v>1572</v>
      </c>
      <c r="W1195" t="s">
        <v>626</v>
      </c>
      <c r="X1195" t="s">
        <v>666</v>
      </c>
    </row>
    <row r="1196" spans="21:24" x14ac:dyDescent="0.45">
      <c r="U1196" t="s">
        <v>112</v>
      </c>
      <c r="V1196" t="s">
        <v>1573</v>
      </c>
      <c r="W1196" t="s">
        <v>592</v>
      </c>
      <c r="X1196" t="s">
        <v>666</v>
      </c>
    </row>
    <row r="1197" spans="21:24" x14ac:dyDescent="0.45">
      <c r="U1197" t="s">
        <v>112</v>
      </c>
      <c r="V1197" t="s">
        <v>1573</v>
      </c>
      <c r="W1197" t="s">
        <v>626</v>
      </c>
      <c r="X1197" t="s">
        <v>666</v>
      </c>
    </row>
    <row r="1198" spans="21:24" x14ac:dyDescent="0.45">
      <c r="U1198" t="s">
        <v>112</v>
      </c>
      <c r="V1198" t="s">
        <v>1574</v>
      </c>
      <c r="W1198" t="s">
        <v>626</v>
      </c>
      <c r="X1198" t="s">
        <v>666</v>
      </c>
    </row>
    <row r="1199" spans="21:24" x14ac:dyDescent="0.45">
      <c r="U1199" t="s">
        <v>112</v>
      </c>
      <c r="V1199" t="s">
        <v>1575</v>
      </c>
      <c r="W1199" t="s">
        <v>626</v>
      </c>
      <c r="X1199" t="s">
        <v>666</v>
      </c>
    </row>
    <row r="1200" spans="21:24" x14ac:dyDescent="0.45">
      <c r="U1200" t="s">
        <v>112</v>
      </c>
      <c r="V1200" t="s">
        <v>1576</v>
      </c>
      <c r="W1200" t="s">
        <v>626</v>
      </c>
      <c r="X1200" t="s">
        <v>666</v>
      </c>
    </row>
    <row r="1201" spans="21:24" x14ac:dyDescent="0.45">
      <c r="U1201" t="s">
        <v>112</v>
      </c>
      <c r="V1201" t="s">
        <v>1576</v>
      </c>
      <c r="W1201" t="s">
        <v>592</v>
      </c>
      <c r="X1201" t="s">
        <v>547</v>
      </c>
    </row>
    <row r="1202" spans="21:24" x14ac:dyDescent="0.45">
      <c r="U1202" t="s">
        <v>112</v>
      </c>
      <c r="V1202" t="s">
        <v>1577</v>
      </c>
      <c r="W1202" t="s">
        <v>626</v>
      </c>
      <c r="X1202" t="s">
        <v>666</v>
      </c>
    </row>
    <row r="1203" spans="21:24" x14ac:dyDescent="0.45">
      <c r="U1203" t="s">
        <v>112</v>
      </c>
      <c r="V1203" t="s">
        <v>1577</v>
      </c>
      <c r="W1203" t="s">
        <v>592</v>
      </c>
      <c r="X1203" t="s">
        <v>547</v>
      </c>
    </row>
    <row r="1204" spans="21:24" x14ac:dyDescent="0.45">
      <c r="U1204" t="s">
        <v>112</v>
      </c>
      <c r="V1204" t="s">
        <v>1578</v>
      </c>
      <c r="W1204" t="s">
        <v>593</v>
      </c>
      <c r="X1204" t="s">
        <v>666</v>
      </c>
    </row>
    <row r="1205" spans="21:24" x14ac:dyDescent="0.45">
      <c r="U1205" t="s">
        <v>112</v>
      </c>
      <c r="V1205" t="s">
        <v>1579</v>
      </c>
      <c r="W1205" t="s">
        <v>593</v>
      </c>
      <c r="X1205" t="s">
        <v>666</v>
      </c>
    </row>
    <row r="1206" spans="21:24" x14ac:dyDescent="0.45">
      <c r="U1206" t="s">
        <v>112</v>
      </c>
      <c r="V1206" t="s">
        <v>1580</v>
      </c>
      <c r="W1206" t="s">
        <v>593</v>
      </c>
      <c r="X1206" t="s">
        <v>666</v>
      </c>
    </row>
    <row r="1207" spans="21:24" x14ac:dyDescent="0.45">
      <c r="U1207" t="s">
        <v>112</v>
      </c>
      <c r="V1207" t="s">
        <v>1581</v>
      </c>
      <c r="W1207" t="s">
        <v>593</v>
      </c>
      <c r="X1207" t="s">
        <v>666</v>
      </c>
    </row>
    <row r="1208" spans="21:24" x14ac:dyDescent="0.45">
      <c r="U1208" t="s">
        <v>112</v>
      </c>
      <c r="V1208" t="s">
        <v>1582</v>
      </c>
      <c r="W1208" t="s">
        <v>593</v>
      </c>
      <c r="X1208" t="s">
        <v>666</v>
      </c>
    </row>
    <row r="1209" spans="21:24" x14ac:dyDescent="0.45">
      <c r="U1209" t="s">
        <v>112</v>
      </c>
      <c r="V1209" t="s">
        <v>1583</v>
      </c>
      <c r="W1209" t="s">
        <v>593</v>
      </c>
      <c r="X1209" t="s">
        <v>666</v>
      </c>
    </row>
    <row r="1210" spans="21:24" x14ac:dyDescent="0.45">
      <c r="U1210" t="s">
        <v>112</v>
      </c>
      <c r="V1210" t="s">
        <v>1584</v>
      </c>
      <c r="W1210" t="s">
        <v>593</v>
      </c>
      <c r="X1210" t="s">
        <v>666</v>
      </c>
    </row>
    <row r="1211" spans="21:24" x14ac:dyDescent="0.45">
      <c r="U1211" t="s">
        <v>112</v>
      </c>
      <c r="V1211" t="s">
        <v>1585</v>
      </c>
      <c r="W1211" t="s">
        <v>593</v>
      </c>
      <c r="X1211" t="s">
        <v>666</v>
      </c>
    </row>
    <row r="1212" spans="21:24" x14ac:dyDescent="0.45">
      <c r="U1212" t="s">
        <v>112</v>
      </c>
      <c r="V1212" t="s">
        <v>1586</v>
      </c>
      <c r="W1212" t="s">
        <v>593</v>
      </c>
      <c r="X1212" t="s">
        <v>666</v>
      </c>
    </row>
    <row r="1213" spans="21:24" x14ac:dyDescent="0.45">
      <c r="U1213" t="s">
        <v>112</v>
      </c>
      <c r="V1213" t="s">
        <v>1587</v>
      </c>
      <c r="W1213" t="s">
        <v>593</v>
      </c>
      <c r="X1213" t="s">
        <v>666</v>
      </c>
    </row>
    <row r="1214" spans="21:24" x14ac:dyDescent="0.45">
      <c r="U1214" t="s">
        <v>112</v>
      </c>
      <c r="V1214" t="s">
        <v>1588</v>
      </c>
      <c r="W1214" t="s">
        <v>593</v>
      </c>
      <c r="X1214" t="s">
        <v>666</v>
      </c>
    </row>
    <row r="1215" spans="21:24" x14ac:dyDescent="0.45">
      <c r="U1215" t="s">
        <v>112</v>
      </c>
      <c r="V1215" t="s">
        <v>1589</v>
      </c>
      <c r="W1215" t="s">
        <v>593</v>
      </c>
      <c r="X1215" t="s">
        <v>666</v>
      </c>
    </row>
    <row r="1216" spans="21:24" x14ac:dyDescent="0.45">
      <c r="U1216" t="s">
        <v>112</v>
      </c>
      <c r="V1216" t="s">
        <v>1589</v>
      </c>
      <c r="W1216" t="s">
        <v>622</v>
      </c>
      <c r="X1216" t="s">
        <v>666</v>
      </c>
    </row>
    <row r="1217" spans="21:24" x14ac:dyDescent="0.45">
      <c r="U1217" t="s">
        <v>112</v>
      </c>
      <c r="V1217" t="s">
        <v>1590</v>
      </c>
      <c r="W1217" t="s">
        <v>593</v>
      </c>
      <c r="X1217" t="s">
        <v>666</v>
      </c>
    </row>
    <row r="1218" spans="21:24" x14ac:dyDescent="0.45">
      <c r="U1218" t="s">
        <v>112</v>
      </c>
      <c r="V1218" t="s">
        <v>1590</v>
      </c>
      <c r="W1218" t="s">
        <v>622</v>
      </c>
      <c r="X1218" t="s">
        <v>666</v>
      </c>
    </row>
    <row r="1219" spans="21:24" x14ac:dyDescent="0.45">
      <c r="U1219" t="s">
        <v>112</v>
      </c>
      <c r="V1219" t="s">
        <v>1591</v>
      </c>
      <c r="W1219" t="s">
        <v>593</v>
      </c>
      <c r="X1219" t="s">
        <v>666</v>
      </c>
    </row>
    <row r="1220" spans="21:24" x14ac:dyDescent="0.45">
      <c r="U1220" t="s">
        <v>112</v>
      </c>
      <c r="V1220" t="s">
        <v>1591</v>
      </c>
      <c r="W1220" t="s">
        <v>622</v>
      </c>
      <c r="X1220" t="s">
        <v>666</v>
      </c>
    </row>
    <row r="1221" spans="21:24" x14ac:dyDescent="0.45">
      <c r="U1221" t="s">
        <v>112</v>
      </c>
      <c r="V1221" t="s">
        <v>1592</v>
      </c>
      <c r="W1221" t="s">
        <v>593</v>
      </c>
      <c r="X1221" t="s">
        <v>666</v>
      </c>
    </row>
    <row r="1222" spans="21:24" x14ac:dyDescent="0.45">
      <c r="U1222" t="s">
        <v>112</v>
      </c>
      <c r="V1222" t="s">
        <v>1592</v>
      </c>
      <c r="W1222" t="s">
        <v>622</v>
      </c>
      <c r="X1222" t="s">
        <v>666</v>
      </c>
    </row>
    <row r="1223" spans="21:24" x14ac:dyDescent="0.45">
      <c r="U1223" t="s">
        <v>112</v>
      </c>
      <c r="V1223" t="s">
        <v>1593</v>
      </c>
      <c r="W1223" t="s">
        <v>622</v>
      </c>
      <c r="X1223" t="s">
        <v>666</v>
      </c>
    </row>
    <row r="1224" spans="21:24" x14ac:dyDescent="0.45">
      <c r="U1224" t="s">
        <v>112</v>
      </c>
      <c r="V1224" t="s">
        <v>1594</v>
      </c>
      <c r="W1224" t="s">
        <v>622</v>
      </c>
      <c r="X1224" t="s">
        <v>666</v>
      </c>
    </row>
    <row r="1225" spans="21:24" x14ac:dyDescent="0.45">
      <c r="U1225" t="s">
        <v>112</v>
      </c>
      <c r="V1225" t="s">
        <v>1595</v>
      </c>
      <c r="W1225" t="s">
        <v>622</v>
      </c>
      <c r="X1225" t="s">
        <v>666</v>
      </c>
    </row>
    <row r="1226" spans="21:24" x14ac:dyDescent="0.45">
      <c r="U1226" t="s">
        <v>112</v>
      </c>
      <c r="V1226" t="s">
        <v>1595</v>
      </c>
      <c r="W1226" t="s">
        <v>593</v>
      </c>
      <c r="X1226" t="s">
        <v>547</v>
      </c>
    </row>
    <row r="1227" spans="21:24" x14ac:dyDescent="0.45">
      <c r="U1227" t="s">
        <v>112</v>
      </c>
      <c r="V1227" t="s">
        <v>1596</v>
      </c>
      <c r="W1227" t="s">
        <v>622</v>
      </c>
      <c r="X1227" t="s">
        <v>666</v>
      </c>
    </row>
    <row r="1228" spans="21:24" x14ac:dyDescent="0.45">
      <c r="U1228" t="s">
        <v>112</v>
      </c>
      <c r="V1228" t="s">
        <v>1596</v>
      </c>
      <c r="W1228" t="s">
        <v>593</v>
      </c>
      <c r="X1228" t="s">
        <v>547</v>
      </c>
    </row>
    <row r="1229" spans="21:24" x14ac:dyDescent="0.45">
      <c r="U1229" t="s">
        <v>112</v>
      </c>
      <c r="V1229" t="s">
        <v>1597</v>
      </c>
      <c r="W1229" t="s">
        <v>594</v>
      </c>
      <c r="X1229" t="s">
        <v>666</v>
      </c>
    </row>
    <row r="1230" spans="21:24" x14ac:dyDescent="0.45">
      <c r="U1230" t="s">
        <v>112</v>
      </c>
      <c r="V1230" t="s">
        <v>1598</v>
      </c>
      <c r="W1230" t="s">
        <v>594</v>
      </c>
      <c r="X1230" t="s">
        <v>666</v>
      </c>
    </row>
    <row r="1231" spans="21:24" x14ac:dyDescent="0.45">
      <c r="U1231" t="s">
        <v>112</v>
      </c>
      <c r="V1231" t="s">
        <v>1599</v>
      </c>
      <c r="W1231" t="s">
        <v>594</v>
      </c>
      <c r="X1231" t="s">
        <v>666</v>
      </c>
    </row>
    <row r="1232" spans="21:24" x14ac:dyDescent="0.45">
      <c r="U1232" t="s">
        <v>112</v>
      </c>
      <c r="V1232" t="s">
        <v>1600</v>
      </c>
      <c r="W1232" t="s">
        <v>594</v>
      </c>
      <c r="X1232" t="s">
        <v>666</v>
      </c>
    </row>
    <row r="1233" spans="21:24" x14ac:dyDescent="0.45">
      <c r="U1233" t="s">
        <v>112</v>
      </c>
      <c r="V1233" t="s">
        <v>1601</v>
      </c>
      <c r="W1233" t="s">
        <v>594</v>
      </c>
      <c r="X1233" t="s">
        <v>666</v>
      </c>
    </row>
    <row r="1234" spans="21:24" x14ac:dyDescent="0.45">
      <c r="U1234" t="s">
        <v>112</v>
      </c>
      <c r="V1234" t="s">
        <v>1602</v>
      </c>
      <c r="W1234" t="s">
        <v>594</v>
      </c>
      <c r="X1234" t="s">
        <v>666</v>
      </c>
    </row>
    <row r="1235" spans="21:24" x14ac:dyDescent="0.45">
      <c r="U1235" t="s">
        <v>112</v>
      </c>
      <c r="V1235" t="s">
        <v>1603</v>
      </c>
      <c r="W1235" t="s">
        <v>594</v>
      </c>
      <c r="X1235" t="s">
        <v>666</v>
      </c>
    </row>
    <row r="1236" spans="21:24" x14ac:dyDescent="0.45">
      <c r="U1236" t="s">
        <v>112</v>
      </c>
      <c r="V1236" t="s">
        <v>1604</v>
      </c>
      <c r="W1236" t="s">
        <v>594</v>
      </c>
      <c r="X1236" t="s">
        <v>666</v>
      </c>
    </row>
    <row r="1237" spans="21:24" x14ac:dyDescent="0.45">
      <c r="U1237" t="s">
        <v>112</v>
      </c>
      <c r="V1237" t="s">
        <v>1605</v>
      </c>
      <c r="W1237" t="s">
        <v>594</v>
      </c>
      <c r="X1237" t="s">
        <v>666</v>
      </c>
    </row>
    <row r="1238" spans="21:24" x14ac:dyDescent="0.45">
      <c r="U1238" t="s">
        <v>112</v>
      </c>
      <c r="V1238" t="s">
        <v>1606</v>
      </c>
      <c r="W1238" t="s">
        <v>594</v>
      </c>
      <c r="X1238" t="s">
        <v>666</v>
      </c>
    </row>
    <row r="1239" spans="21:24" x14ac:dyDescent="0.45">
      <c r="U1239" t="s">
        <v>112</v>
      </c>
      <c r="V1239" t="s">
        <v>1607</v>
      </c>
      <c r="W1239" t="s">
        <v>594</v>
      </c>
      <c r="X1239" t="s">
        <v>666</v>
      </c>
    </row>
    <row r="1240" spans="21:24" x14ac:dyDescent="0.45">
      <c r="U1240" t="s">
        <v>112</v>
      </c>
      <c r="V1240" t="s">
        <v>1608</v>
      </c>
      <c r="W1240" t="s">
        <v>594</v>
      </c>
      <c r="X1240" t="s">
        <v>666</v>
      </c>
    </row>
    <row r="1241" spans="21:24" x14ac:dyDescent="0.45">
      <c r="U1241" t="s">
        <v>112</v>
      </c>
      <c r="V1241" t="s">
        <v>1608</v>
      </c>
      <c r="W1241" t="s">
        <v>640</v>
      </c>
      <c r="X1241" t="s">
        <v>666</v>
      </c>
    </row>
    <row r="1242" spans="21:24" x14ac:dyDescent="0.45">
      <c r="U1242" t="s">
        <v>112</v>
      </c>
      <c r="V1242" t="s">
        <v>1609</v>
      </c>
      <c r="W1242" t="s">
        <v>594</v>
      </c>
      <c r="X1242" t="s">
        <v>666</v>
      </c>
    </row>
    <row r="1243" spans="21:24" x14ac:dyDescent="0.45">
      <c r="U1243" t="s">
        <v>112</v>
      </c>
      <c r="V1243" t="s">
        <v>1609</v>
      </c>
      <c r="W1243" t="s">
        <v>640</v>
      </c>
      <c r="X1243" t="s">
        <v>666</v>
      </c>
    </row>
    <row r="1244" spans="21:24" x14ac:dyDescent="0.45">
      <c r="U1244" t="s">
        <v>112</v>
      </c>
      <c r="V1244" t="s">
        <v>1610</v>
      </c>
      <c r="W1244" t="s">
        <v>594</v>
      </c>
      <c r="X1244" t="s">
        <v>666</v>
      </c>
    </row>
    <row r="1245" spans="21:24" x14ac:dyDescent="0.45">
      <c r="U1245" t="s">
        <v>112</v>
      </c>
      <c r="V1245" t="s">
        <v>1610</v>
      </c>
      <c r="W1245" t="s">
        <v>640</v>
      </c>
      <c r="X1245" t="s">
        <v>666</v>
      </c>
    </row>
    <row r="1246" spans="21:24" x14ac:dyDescent="0.45">
      <c r="U1246" t="s">
        <v>112</v>
      </c>
      <c r="V1246" t="s">
        <v>1611</v>
      </c>
      <c r="W1246" t="s">
        <v>594</v>
      </c>
      <c r="X1246" t="s">
        <v>666</v>
      </c>
    </row>
    <row r="1247" spans="21:24" x14ac:dyDescent="0.45">
      <c r="U1247" t="s">
        <v>112</v>
      </c>
      <c r="V1247" t="s">
        <v>1611</v>
      </c>
      <c r="W1247" t="s">
        <v>640</v>
      </c>
      <c r="X1247" t="s">
        <v>666</v>
      </c>
    </row>
    <row r="1248" spans="21:24" x14ac:dyDescent="0.45">
      <c r="U1248" t="s">
        <v>112</v>
      </c>
      <c r="V1248" t="s">
        <v>1612</v>
      </c>
      <c r="W1248" t="s">
        <v>640</v>
      </c>
      <c r="X1248" t="s">
        <v>666</v>
      </c>
    </row>
    <row r="1249" spans="21:24" x14ac:dyDescent="0.45">
      <c r="U1249" t="s">
        <v>112</v>
      </c>
      <c r="V1249" t="s">
        <v>1613</v>
      </c>
      <c r="W1249" t="s">
        <v>640</v>
      </c>
      <c r="X1249" t="s">
        <v>666</v>
      </c>
    </row>
    <row r="1250" spans="21:24" x14ac:dyDescent="0.45">
      <c r="U1250" t="s">
        <v>112</v>
      </c>
      <c r="V1250" t="s">
        <v>1614</v>
      </c>
      <c r="W1250" t="s">
        <v>640</v>
      </c>
      <c r="X1250" t="s">
        <v>666</v>
      </c>
    </row>
    <row r="1251" spans="21:24" x14ac:dyDescent="0.45">
      <c r="U1251" t="s">
        <v>112</v>
      </c>
      <c r="V1251" t="s">
        <v>1614</v>
      </c>
      <c r="W1251" t="s">
        <v>594</v>
      </c>
      <c r="X1251" t="s">
        <v>547</v>
      </c>
    </row>
    <row r="1252" spans="21:24" x14ac:dyDescent="0.45">
      <c r="U1252" t="s">
        <v>112</v>
      </c>
      <c r="V1252" t="s">
        <v>1615</v>
      </c>
      <c r="W1252" t="s">
        <v>640</v>
      </c>
      <c r="X1252" t="s">
        <v>666</v>
      </c>
    </row>
    <row r="1253" spans="21:24" x14ac:dyDescent="0.45">
      <c r="U1253" t="s">
        <v>112</v>
      </c>
      <c r="V1253" t="s">
        <v>1615</v>
      </c>
      <c r="W1253" t="s">
        <v>594</v>
      </c>
      <c r="X1253" t="s">
        <v>547</v>
      </c>
    </row>
    <row r="1254" spans="21:24" x14ac:dyDescent="0.45">
      <c r="U1254" t="s">
        <v>112</v>
      </c>
      <c r="V1254" t="s">
        <v>1616</v>
      </c>
      <c r="W1254" t="s">
        <v>595</v>
      </c>
      <c r="X1254" t="s">
        <v>666</v>
      </c>
    </row>
    <row r="1255" spans="21:24" x14ac:dyDescent="0.45">
      <c r="U1255" t="s">
        <v>112</v>
      </c>
      <c r="V1255" t="s">
        <v>1617</v>
      </c>
      <c r="W1255" t="s">
        <v>595</v>
      </c>
      <c r="X1255" t="s">
        <v>666</v>
      </c>
    </row>
    <row r="1256" spans="21:24" x14ac:dyDescent="0.45">
      <c r="U1256" t="s">
        <v>112</v>
      </c>
      <c r="V1256" t="s">
        <v>1618</v>
      </c>
      <c r="W1256" t="s">
        <v>595</v>
      </c>
      <c r="X1256" t="s">
        <v>666</v>
      </c>
    </row>
    <row r="1257" spans="21:24" x14ac:dyDescent="0.45">
      <c r="U1257" t="s">
        <v>112</v>
      </c>
      <c r="V1257" t="s">
        <v>1619</v>
      </c>
      <c r="W1257" t="s">
        <v>595</v>
      </c>
      <c r="X1257" t="s">
        <v>666</v>
      </c>
    </row>
    <row r="1258" spans="21:24" x14ac:dyDescent="0.45">
      <c r="U1258" t="s">
        <v>112</v>
      </c>
      <c r="V1258" t="s">
        <v>1620</v>
      </c>
      <c r="W1258" t="s">
        <v>595</v>
      </c>
      <c r="X1258" t="s">
        <v>666</v>
      </c>
    </row>
    <row r="1259" spans="21:24" x14ac:dyDescent="0.45">
      <c r="U1259" t="s">
        <v>112</v>
      </c>
      <c r="V1259" t="s">
        <v>1621</v>
      </c>
      <c r="W1259" t="s">
        <v>595</v>
      </c>
      <c r="X1259" t="s">
        <v>666</v>
      </c>
    </row>
    <row r="1260" spans="21:24" x14ac:dyDescent="0.45">
      <c r="U1260" t="s">
        <v>112</v>
      </c>
      <c r="V1260" t="s">
        <v>1622</v>
      </c>
      <c r="W1260" t="s">
        <v>595</v>
      </c>
      <c r="X1260" t="s">
        <v>666</v>
      </c>
    </row>
    <row r="1261" spans="21:24" x14ac:dyDescent="0.45">
      <c r="U1261" t="s">
        <v>112</v>
      </c>
      <c r="V1261" t="s">
        <v>1623</v>
      </c>
      <c r="W1261" t="s">
        <v>595</v>
      </c>
      <c r="X1261" t="s">
        <v>666</v>
      </c>
    </row>
    <row r="1262" spans="21:24" x14ac:dyDescent="0.45">
      <c r="U1262" t="s">
        <v>112</v>
      </c>
      <c r="V1262" t="s">
        <v>1624</v>
      </c>
      <c r="W1262" t="s">
        <v>595</v>
      </c>
      <c r="X1262" t="s">
        <v>666</v>
      </c>
    </row>
    <row r="1263" spans="21:24" x14ac:dyDescent="0.45">
      <c r="U1263" t="s">
        <v>112</v>
      </c>
      <c r="V1263" t="s">
        <v>1625</v>
      </c>
      <c r="W1263" t="s">
        <v>595</v>
      </c>
      <c r="X1263" t="s">
        <v>666</v>
      </c>
    </row>
    <row r="1264" spans="21:24" x14ac:dyDescent="0.45">
      <c r="U1264" t="s">
        <v>112</v>
      </c>
      <c r="V1264" t="s">
        <v>1626</v>
      </c>
      <c r="W1264" t="s">
        <v>595</v>
      </c>
      <c r="X1264" t="s">
        <v>666</v>
      </c>
    </row>
    <row r="1265" spans="21:24" x14ac:dyDescent="0.45">
      <c r="U1265" t="s">
        <v>112</v>
      </c>
      <c r="V1265" t="s">
        <v>1627</v>
      </c>
      <c r="W1265" t="s">
        <v>595</v>
      </c>
      <c r="X1265" t="s">
        <v>666</v>
      </c>
    </row>
    <row r="1266" spans="21:24" x14ac:dyDescent="0.45">
      <c r="U1266" t="s">
        <v>112</v>
      </c>
      <c r="V1266" t="s">
        <v>1627</v>
      </c>
      <c r="W1266" t="s">
        <v>617</v>
      </c>
      <c r="X1266" t="s">
        <v>666</v>
      </c>
    </row>
    <row r="1267" spans="21:24" x14ac:dyDescent="0.45">
      <c r="U1267" t="s">
        <v>112</v>
      </c>
      <c r="V1267" t="s">
        <v>1628</v>
      </c>
      <c r="W1267" t="s">
        <v>595</v>
      </c>
      <c r="X1267" t="s">
        <v>666</v>
      </c>
    </row>
    <row r="1268" spans="21:24" x14ac:dyDescent="0.45">
      <c r="U1268" t="s">
        <v>112</v>
      </c>
      <c r="V1268" t="s">
        <v>1628</v>
      </c>
      <c r="W1268" t="s">
        <v>617</v>
      </c>
      <c r="X1268" t="s">
        <v>666</v>
      </c>
    </row>
    <row r="1269" spans="21:24" x14ac:dyDescent="0.45">
      <c r="U1269" t="s">
        <v>112</v>
      </c>
      <c r="V1269" t="s">
        <v>1629</v>
      </c>
      <c r="W1269" t="s">
        <v>595</v>
      </c>
      <c r="X1269" t="s">
        <v>666</v>
      </c>
    </row>
    <row r="1270" spans="21:24" x14ac:dyDescent="0.45">
      <c r="U1270" t="s">
        <v>112</v>
      </c>
      <c r="V1270" t="s">
        <v>1629</v>
      </c>
      <c r="W1270" t="s">
        <v>617</v>
      </c>
      <c r="X1270" t="s">
        <v>666</v>
      </c>
    </row>
    <row r="1271" spans="21:24" x14ac:dyDescent="0.45">
      <c r="U1271" t="s">
        <v>112</v>
      </c>
      <c r="V1271" t="s">
        <v>1630</v>
      </c>
      <c r="W1271" t="s">
        <v>595</v>
      </c>
      <c r="X1271" t="s">
        <v>666</v>
      </c>
    </row>
    <row r="1272" spans="21:24" x14ac:dyDescent="0.45">
      <c r="U1272" t="s">
        <v>112</v>
      </c>
      <c r="V1272" t="s">
        <v>1630</v>
      </c>
      <c r="W1272" t="s">
        <v>617</v>
      </c>
      <c r="X1272" t="s">
        <v>666</v>
      </c>
    </row>
    <row r="1273" spans="21:24" x14ac:dyDescent="0.45">
      <c r="U1273" t="s">
        <v>112</v>
      </c>
      <c r="V1273" t="s">
        <v>1631</v>
      </c>
      <c r="W1273" t="s">
        <v>617</v>
      </c>
      <c r="X1273" t="s">
        <v>666</v>
      </c>
    </row>
    <row r="1274" spans="21:24" x14ac:dyDescent="0.45">
      <c r="U1274" t="s">
        <v>112</v>
      </c>
      <c r="V1274" t="s">
        <v>1632</v>
      </c>
      <c r="W1274" t="s">
        <v>617</v>
      </c>
      <c r="X1274" t="s">
        <v>666</v>
      </c>
    </row>
    <row r="1275" spans="21:24" x14ac:dyDescent="0.45">
      <c r="U1275" t="s">
        <v>112</v>
      </c>
      <c r="V1275" t="s">
        <v>1633</v>
      </c>
      <c r="W1275" t="s">
        <v>617</v>
      </c>
      <c r="X1275" t="s">
        <v>666</v>
      </c>
    </row>
    <row r="1276" spans="21:24" x14ac:dyDescent="0.45">
      <c r="U1276" t="s">
        <v>112</v>
      </c>
      <c r="V1276" t="s">
        <v>1633</v>
      </c>
      <c r="W1276" t="s">
        <v>595</v>
      </c>
      <c r="X1276" t="s">
        <v>547</v>
      </c>
    </row>
    <row r="1277" spans="21:24" x14ac:dyDescent="0.45">
      <c r="U1277" t="s">
        <v>112</v>
      </c>
      <c r="V1277" t="s">
        <v>1634</v>
      </c>
      <c r="W1277" t="s">
        <v>617</v>
      </c>
      <c r="X1277" t="s">
        <v>666</v>
      </c>
    </row>
    <row r="1278" spans="21:24" x14ac:dyDescent="0.45">
      <c r="U1278" t="s">
        <v>112</v>
      </c>
      <c r="V1278" t="s">
        <v>1634</v>
      </c>
      <c r="W1278" t="s">
        <v>595</v>
      </c>
      <c r="X1278" t="s">
        <v>547</v>
      </c>
    </row>
    <row r="1279" spans="21:24" x14ac:dyDescent="0.45">
      <c r="U1279" t="s">
        <v>112</v>
      </c>
      <c r="V1279" t="s">
        <v>1635</v>
      </c>
      <c r="W1279" t="s">
        <v>596</v>
      </c>
      <c r="X1279" t="s">
        <v>666</v>
      </c>
    </row>
    <row r="1280" spans="21:24" x14ac:dyDescent="0.45">
      <c r="U1280" t="s">
        <v>112</v>
      </c>
      <c r="V1280" t="s">
        <v>1636</v>
      </c>
      <c r="W1280" t="s">
        <v>596</v>
      </c>
      <c r="X1280" t="s">
        <v>666</v>
      </c>
    </row>
    <row r="1281" spans="21:24" x14ac:dyDescent="0.45">
      <c r="U1281" t="s">
        <v>112</v>
      </c>
      <c r="V1281" t="s">
        <v>1637</v>
      </c>
      <c r="W1281" t="s">
        <v>596</v>
      </c>
      <c r="X1281" t="s">
        <v>666</v>
      </c>
    </row>
    <row r="1282" spans="21:24" x14ac:dyDescent="0.45">
      <c r="U1282" t="s">
        <v>112</v>
      </c>
      <c r="V1282" t="s">
        <v>1638</v>
      </c>
      <c r="W1282" t="s">
        <v>596</v>
      </c>
      <c r="X1282" t="s">
        <v>666</v>
      </c>
    </row>
    <row r="1283" spans="21:24" x14ac:dyDescent="0.45">
      <c r="U1283" t="s">
        <v>112</v>
      </c>
      <c r="V1283" t="s">
        <v>1639</v>
      </c>
      <c r="W1283" t="s">
        <v>596</v>
      </c>
      <c r="X1283" t="s">
        <v>666</v>
      </c>
    </row>
    <row r="1284" spans="21:24" x14ac:dyDescent="0.45">
      <c r="U1284" t="s">
        <v>112</v>
      </c>
      <c r="V1284" t="s">
        <v>1640</v>
      </c>
      <c r="W1284" t="s">
        <v>596</v>
      </c>
      <c r="X1284" t="s">
        <v>666</v>
      </c>
    </row>
    <row r="1285" spans="21:24" x14ac:dyDescent="0.45">
      <c r="U1285" t="s">
        <v>112</v>
      </c>
      <c r="V1285" t="s">
        <v>1641</v>
      </c>
      <c r="W1285" t="s">
        <v>596</v>
      </c>
      <c r="X1285" t="s">
        <v>666</v>
      </c>
    </row>
    <row r="1286" spans="21:24" x14ac:dyDescent="0.45">
      <c r="U1286" t="s">
        <v>112</v>
      </c>
      <c r="V1286" t="s">
        <v>1642</v>
      </c>
      <c r="W1286" t="s">
        <v>596</v>
      </c>
      <c r="X1286" t="s">
        <v>666</v>
      </c>
    </row>
    <row r="1287" spans="21:24" x14ac:dyDescent="0.45">
      <c r="U1287" t="s">
        <v>112</v>
      </c>
      <c r="V1287" t="s">
        <v>1643</v>
      </c>
      <c r="W1287" t="s">
        <v>596</v>
      </c>
      <c r="X1287" t="s">
        <v>666</v>
      </c>
    </row>
    <row r="1288" spans="21:24" x14ac:dyDescent="0.45">
      <c r="U1288" t="s">
        <v>112</v>
      </c>
      <c r="V1288" t="s">
        <v>1644</v>
      </c>
      <c r="W1288" t="s">
        <v>596</v>
      </c>
      <c r="X1288" t="s">
        <v>666</v>
      </c>
    </row>
    <row r="1289" spans="21:24" x14ac:dyDescent="0.45">
      <c r="U1289" t="s">
        <v>112</v>
      </c>
      <c r="V1289" t="s">
        <v>1645</v>
      </c>
      <c r="W1289" t="s">
        <v>596</v>
      </c>
      <c r="X1289" t="s">
        <v>666</v>
      </c>
    </row>
    <row r="1290" spans="21:24" x14ac:dyDescent="0.45">
      <c r="U1290" t="s">
        <v>112</v>
      </c>
      <c r="V1290" t="s">
        <v>1646</v>
      </c>
      <c r="W1290" t="s">
        <v>596</v>
      </c>
      <c r="X1290" t="s">
        <v>666</v>
      </c>
    </row>
    <row r="1291" spans="21:24" x14ac:dyDescent="0.45">
      <c r="U1291" t="s">
        <v>112</v>
      </c>
      <c r="V1291" t="s">
        <v>1646</v>
      </c>
      <c r="W1291" t="s">
        <v>631</v>
      </c>
      <c r="X1291" t="s">
        <v>666</v>
      </c>
    </row>
    <row r="1292" spans="21:24" x14ac:dyDescent="0.45">
      <c r="U1292" t="s">
        <v>112</v>
      </c>
      <c r="V1292" t="s">
        <v>1647</v>
      </c>
      <c r="W1292" t="s">
        <v>596</v>
      </c>
      <c r="X1292" t="s">
        <v>666</v>
      </c>
    </row>
    <row r="1293" spans="21:24" x14ac:dyDescent="0.45">
      <c r="U1293" t="s">
        <v>112</v>
      </c>
      <c r="V1293" t="s">
        <v>1647</v>
      </c>
      <c r="W1293" t="s">
        <v>631</v>
      </c>
      <c r="X1293" t="s">
        <v>666</v>
      </c>
    </row>
    <row r="1294" spans="21:24" x14ac:dyDescent="0.45">
      <c r="U1294" t="s">
        <v>112</v>
      </c>
      <c r="V1294" t="s">
        <v>1648</v>
      </c>
      <c r="W1294" t="s">
        <v>596</v>
      </c>
      <c r="X1294" t="s">
        <v>666</v>
      </c>
    </row>
    <row r="1295" spans="21:24" x14ac:dyDescent="0.45">
      <c r="U1295" t="s">
        <v>112</v>
      </c>
      <c r="V1295" t="s">
        <v>1648</v>
      </c>
      <c r="W1295" t="s">
        <v>631</v>
      </c>
      <c r="X1295" t="s">
        <v>666</v>
      </c>
    </row>
    <row r="1296" spans="21:24" x14ac:dyDescent="0.45">
      <c r="U1296" t="s">
        <v>112</v>
      </c>
      <c r="V1296" t="s">
        <v>1649</v>
      </c>
      <c r="W1296" t="s">
        <v>596</v>
      </c>
      <c r="X1296" t="s">
        <v>666</v>
      </c>
    </row>
    <row r="1297" spans="21:24" x14ac:dyDescent="0.45">
      <c r="U1297" t="s">
        <v>112</v>
      </c>
      <c r="V1297" t="s">
        <v>1649</v>
      </c>
      <c r="W1297" t="s">
        <v>631</v>
      </c>
      <c r="X1297" t="s">
        <v>666</v>
      </c>
    </row>
    <row r="1298" spans="21:24" x14ac:dyDescent="0.45">
      <c r="U1298" t="s">
        <v>112</v>
      </c>
      <c r="V1298" t="s">
        <v>1650</v>
      </c>
      <c r="W1298" t="s">
        <v>631</v>
      </c>
      <c r="X1298" t="s">
        <v>666</v>
      </c>
    </row>
    <row r="1299" spans="21:24" x14ac:dyDescent="0.45">
      <c r="U1299" t="s">
        <v>112</v>
      </c>
      <c r="V1299" t="s">
        <v>1651</v>
      </c>
      <c r="W1299" t="s">
        <v>631</v>
      </c>
      <c r="X1299" t="s">
        <v>666</v>
      </c>
    </row>
    <row r="1300" spans="21:24" x14ac:dyDescent="0.45">
      <c r="U1300" t="s">
        <v>112</v>
      </c>
      <c r="V1300" t="s">
        <v>1652</v>
      </c>
      <c r="W1300" t="s">
        <v>631</v>
      </c>
      <c r="X1300" t="s">
        <v>666</v>
      </c>
    </row>
    <row r="1301" spans="21:24" x14ac:dyDescent="0.45">
      <c r="U1301" t="s">
        <v>112</v>
      </c>
      <c r="V1301" t="s">
        <v>1652</v>
      </c>
      <c r="W1301" t="s">
        <v>596</v>
      </c>
      <c r="X1301" t="s">
        <v>547</v>
      </c>
    </row>
    <row r="1302" spans="21:24" x14ac:dyDescent="0.45">
      <c r="U1302" t="s">
        <v>112</v>
      </c>
      <c r="V1302" t="s">
        <v>1653</v>
      </c>
      <c r="W1302" t="s">
        <v>631</v>
      </c>
      <c r="X1302" t="s">
        <v>666</v>
      </c>
    </row>
    <row r="1303" spans="21:24" x14ac:dyDescent="0.45">
      <c r="U1303" t="s">
        <v>112</v>
      </c>
      <c r="V1303" t="s">
        <v>1653</v>
      </c>
      <c r="W1303" t="s">
        <v>596</v>
      </c>
      <c r="X1303" t="s">
        <v>547</v>
      </c>
    </row>
    <row r="1304" spans="21:24" x14ac:dyDescent="0.45">
      <c r="U1304" t="s">
        <v>112</v>
      </c>
      <c r="V1304" t="s">
        <v>1654</v>
      </c>
      <c r="W1304" t="s">
        <v>597</v>
      </c>
      <c r="X1304" t="s">
        <v>666</v>
      </c>
    </row>
    <row r="1305" spans="21:24" x14ac:dyDescent="0.45">
      <c r="U1305" t="s">
        <v>112</v>
      </c>
      <c r="V1305" t="s">
        <v>1655</v>
      </c>
      <c r="W1305" t="s">
        <v>597</v>
      </c>
      <c r="X1305" t="s">
        <v>666</v>
      </c>
    </row>
    <row r="1306" spans="21:24" x14ac:dyDescent="0.45">
      <c r="U1306" t="s">
        <v>112</v>
      </c>
      <c r="V1306" t="s">
        <v>1656</v>
      </c>
      <c r="W1306" t="s">
        <v>597</v>
      </c>
      <c r="X1306" t="s">
        <v>666</v>
      </c>
    </row>
    <row r="1307" spans="21:24" x14ac:dyDescent="0.45">
      <c r="U1307" t="s">
        <v>112</v>
      </c>
      <c r="V1307" t="s">
        <v>1657</v>
      </c>
      <c r="W1307" t="s">
        <v>597</v>
      </c>
      <c r="X1307" t="s">
        <v>666</v>
      </c>
    </row>
    <row r="1308" spans="21:24" x14ac:dyDescent="0.45">
      <c r="U1308" t="s">
        <v>112</v>
      </c>
      <c r="V1308" t="s">
        <v>1658</v>
      </c>
      <c r="W1308" t="s">
        <v>597</v>
      </c>
      <c r="X1308" t="s">
        <v>666</v>
      </c>
    </row>
    <row r="1309" spans="21:24" x14ac:dyDescent="0.45">
      <c r="U1309" t="s">
        <v>112</v>
      </c>
      <c r="V1309" t="s">
        <v>1659</v>
      </c>
      <c r="W1309" t="s">
        <v>597</v>
      </c>
      <c r="X1309" t="s">
        <v>666</v>
      </c>
    </row>
    <row r="1310" spans="21:24" x14ac:dyDescent="0.45">
      <c r="U1310" t="s">
        <v>112</v>
      </c>
      <c r="V1310" t="s">
        <v>1660</v>
      </c>
      <c r="W1310" t="s">
        <v>597</v>
      </c>
      <c r="X1310" t="s">
        <v>666</v>
      </c>
    </row>
    <row r="1311" spans="21:24" x14ac:dyDescent="0.45">
      <c r="U1311" t="s">
        <v>112</v>
      </c>
      <c r="V1311" t="s">
        <v>1661</v>
      </c>
      <c r="W1311" t="s">
        <v>597</v>
      </c>
      <c r="X1311" t="s">
        <v>666</v>
      </c>
    </row>
    <row r="1312" spans="21:24" x14ac:dyDescent="0.45">
      <c r="U1312" t="s">
        <v>112</v>
      </c>
      <c r="V1312" t="s">
        <v>1662</v>
      </c>
      <c r="W1312" t="s">
        <v>597</v>
      </c>
      <c r="X1312" t="s">
        <v>666</v>
      </c>
    </row>
    <row r="1313" spans="21:24" x14ac:dyDescent="0.45">
      <c r="U1313" t="s">
        <v>112</v>
      </c>
      <c r="V1313" t="s">
        <v>1663</v>
      </c>
      <c r="W1313" t="s">
        <v>597</v>
      </c>
      <c r="X1313" t="s">
        <v>666</v>
      </c>
    </row>
    <row r="1314" spans="21:24" x14ac:dyDescent="0.45">
      <c r="U1314" t="s">
        <v>112</v>
      </c>
      <c r="V1314" t="s">
        <v>1664</v>
      </c>
      <c r="W1314" t="s">
        <v>597</v>
      </c>
      <c r="X1314" t="s">
        <v>666</v>
      </c>
    </row>
    <row r="1315" spans="21:24" x14ac:dyDescent="0.45">
      <c r="U1315" t="s">
        <v>112</v>
      </c>
      <c r="V1315" t="s">
        <v>1665</v>
      </c>
      <c r="W1315" t="s">
        <v>597</v>
      </c>
      <c r="X1315" t="s">
        <v>666</v>
      </c>
    </row>
    <row r="1316" spans="21:24" x14ac:dyDescent="0.45">
      <c r="U1316" t="s">
        <v>112</v>
      </c>
      <c r="V1316" t="s">
        <v>1665</v>
      </c>
      <c r="W1316" t="s">
        <v>615</v>
      </c>
      <c r="X1316" t="s">
        <v>666</v>
      </c>
    </row>
    <row r="1317" spans="21:24" x14ac:dyDescent="0.45">
      <c r="U1317" t="s">
        <v>112</v>
      </c>
      <c r="V1317" t="s">
        <v>1666</v>
      </c>
      <c r="W1317" t="s">
        <v>597</v>
      </c>
      <c r="X1317" t="s">
        <v>666</v>
      </c>
    </row>
    <row r="1318" spans="21:24" x14ac:dyDescent="0.45">
      <c r="U1318" t="s">
        <v>112</v>
      </c>
      <c r="V1318" t="s">
        <v>1666</v>
      </c>
      <c r="W1318" t="s">
        <v>615</v>
      </c>
      <c r="X1318" t="s">
        <v>666</v>
      </c>
    </row>
    <row r="1319" spans="21:24" x14ac:dyDescent="0.45">
      <c r="U1319" t="s">
        <v>112</v>
      </c>
      <c r="V1319" t="s">
        <v>1667</v>
      </c>
      <c r="W1319" t="s">
        <v>597</v>
      </c>
      <c r="X1319" t="s">
        <v>666</v>
      </c>
    </row>
    <row r="1320" spans="21:24" x14ac:dyDescent="0.45">
      <c r="U1320" t="s">
        <v>112</v>
      </c>
      <c r="V1320" t="s">
        <v>1667</v>
      </c>
      <c r="W1320" t="s">
        <v>615</v>
      </c>
      <c r="X1320" t="s">
        <v>666</v>
      </c>
    </row>
    <row r="1321" spans="21:24" x14ac:dyDescent="0.45">
      <c r="U1321" t="s">
        <v>112</v>
      </c>
      <c r="V1321" t="s">
        <v>1668</v>
      </c>
      <c r="W1321" t="s">
        <v>597</v>
      </c>
      <c r="X1321" t="s">
        <v>666</v>
      </c>
    </row>
    <row r="1322" spans="21:24" x14ac:dyDescent="0.45">
      <c r="U1322" t="s">
        <v>112</v>
      </c>
      <c r="V1322" t="s">
        <v>1668</v>
      </c>
      <c r="W1322" t="s">
        <v>615</v>
      </c>
      <c r="X1322" t="s">
        <v>666</v>
      </c>
    </row>
    <row r="1323" spans="21:24" x14ac:dyDescent="0.45">
      <c r="U1323" t="s">
        <v>112</v>
      </c>
      <c r="V1323" t="s">
        <v>1669</v>
      </c>
      <c r="W1323" t="s">
        <v>615</v>
      </c>
      <c r="X1323" t="s">
        <v>666</v>
      </c>
    </row>
    <row r="1324" spans="21:24" x14ac:dyDescent="0.45">
      <c r="U1324" t="s">
        <v>112</v>
      </c>
      <c r="V1324" t="s">
        <v>1670</v>
      </c>
      <c r="W1324" t="s">
        <v>615</v>
      </c>
      <c r="X1324" t="s">
        <v>666</v>
      </c>
    </row>
    <row r="1325" spans="21:24" x14ac:dyDescent="0.45">
      <c r="U1325" t="s">
        <v>112</v>
      </c>
      <c r="V1325" t="s">
        <v>1671</v>
      </c>
      <c r="W1325" t="s">
        <v>615</v>
      </c>
      <c r="X1325" t="s">
        <v>666</v>
      </c>
    </row>
    <row r="1326" spans="21:24" x14ac:dyDescent="0.45">
      <c r="U1326" t="s">
        <v>112</v>
      </c>
      <c r="V1326" t="s">
        <v>1671</v>
      </c>
      <c r="W1326" t="s">
        <v>597</v>
      </c>
      <c r="X1326" t="s">
        <v>547</v>
      </c>
    </row>
    <row r="1327" spans="21:24" x14ac:dyDescent="0.45">
      <c r="U1327" t="s">
        <v>112</v>
      </c>
      <c r="V1327" t="s">
        <v>1672</v>
      </c>
      <c r="W1327" t="s">
        <v>615</v>
      </c>
      <c r="X1327" t="s">
        <v>666</v>
      </c>
    </row>
    <row r="1328" spans="21:24" x14ac:dyDescent="0.45">
      <c r="U1328" t="s">
        <v>112</v>
      </c>
      <c r="V1328" t="s">
        <v>1672</v>
      </c>
      <c r="W1328" t="s">
        <v>597</v>
      </c>
      <c r="X1328" t="s">
        <v>547</v>
      </c>
    </row>
    <row r="1329" spans="21:24" x14ac:dyDescent="0.45">
      <c r="U1329" t="s">
        <v>112</v>
      </c>
      <c r="V1329" t="s">
        <v>1673</v>
      </c>
      <c r="W1329" t="s">
        <v>598</v>
      </c>
      <c r="X1329" t="s">
        <v>666</v>
      </c>
    </row>
    <row r="1330" spans="21:24" x14ac:dyDescent="0.45">
      <c r="U1330" t="s">
        <v>112</v>
      </c>
      <c r="V1330" t="s">
        <v>1674</v>
      </c>
      <c r="W1330" t="s">
        <v>598</v>
      </c>
      <c r="X1330" t="s">
        <v>666</v>
      </c>
    </row>
    <row r="1331" spans="21:24" x14ac:dyDescent="0.45">
      <c r="U1331" t="s">
        <v>112</v>
      </c>
      <c r="V1331" t="s">
        <v>1675</v>
      </c>
      <c r="W1331" t="s">
        <v>598</v>
      </c>
      <c r="X1331" t="s">
        <v>666</v>
      </c>
    </row>
    <row r="1332" spans="21:24" x14ac:dyDescent="0.45">
      <c r="U1332" t="s">
        <v>112</v>
      </c>
      <c r="V1332" t="s">
        <v>1676</v>
      </c>
      <c r="W1332" t="s">
        <v>598</v>
      </c>
      <c r="X1332" t="s">
        <v>666</v>
      </c>
    </row>
    <row r="1333" spans="21:24" x14ac:dyDescent="0.45">
      <c r="U1333" t="s">
        <v>112</v>
      </c>
      <c r="V1333" t="s">
        <v>1677</v>
      </c>
      <c r="W1333" t="s">
        <v>598</v>
      </c>
      <c r="X1333" t="s">
        <v>666</v>
      </c>
    </row>
    <row r="1334" spans="21:24" x14ac:dyDescent="0.45">
      <c r="U1334" t="s">
        <v>112</v>
      </c>
      <c r="V1334" t="s">
        <v>1678</v>
      </c>
      <c r="W1334" t="s">
        <v>598</v>
      </c>
      <c r="X1334" t="s">
        <v>666</v>
      </c>
    </row>
    <row r="1335" spans="21:24" x14ac:dyDescent="0.45">
      <c r="U1335" t="s">
        <v>112</v>
      </c>
      <c r="V1335" t="s">
        <v>1679</v>
      </c>
      <c r="W1335" t="s">
        <v>598</v>
      </c>
      <c r="X1335" t="s">
        <v>666</v>
      </c>
    </row>
    <row r="1336" spans="21:24" x14ac:dyDescent="0.45">
      <c r="U1336" t="s">
        <v>112</v>
      </c>
      <c r="V1336" t="s">
        <v>1680</v>
      </c>
      <c r="W1336" t="s">
        <v>598</v>
      </c>
      <c r="X1336" t="s">
        <v>666</v>
      </c>
    </row>
    <row r="1337" spans="21:24" x14ac:dyDescent="0.45">
      <c r="U1337" t="s">
        <v>112</v>
      </c>
      <c r="V1337" t="s">
        <v>1681</v>
      </c>
      <c r="W1337" t="s">
        <v>598</v>
      </c>
      <c r="X1337" t="s">
        <v>666</v>
      </c>
    </row>
    <row r="1338" spans="21:24" x14ac:dyDescent="0.45">
      <c r="U1338" t="s">
        <v>112</v>
      </c>
      <c r="V1338" t="s">
        <v>1682</v>
      </c>
      <c r="W1338" t="s">
        <v>598</v>
      </c>
      <c r="X1338" t="s">
        <v>666</v>
      </c>
    </row>
    <row r="1339" spans="21:24" x14ac:dyDescent="0.45">
      <c r="U1339" t="s">
        <v>112</v>
      </c>
      <c r="V1339" t="s">
        <v>1683</v>
      </c>
      <c r="W1339" t="s">
        <v>598</v>
      </c>
      <c r="X1339" t="s">
        <v>666</v>
      </c>
    </row>
    <row r="1340" spans="21:24" x14ac:dyDescent="0.45">
      <c r="U1340" t="s">
        <v>112</v>
      </c>
      <c r="V1340" t="s">
        <v>1684</v>
      </c>
      <c r="W1340" t="s">
        <v>598</v>
      </c>
      <c r="X1340" t="s">
        <v>666</v>
      </c>
    </row>
    <row r="1341" spans="21:24" x14ac:dyDescent="0.45">
      <c r="U1341" t="s">
        <v>112</v>
      </c>
      <c r="V1341" t="s">
        <v>1684</v>
      </c>
      <c r="W1341" t="s">
        <v>641</v>
      </c>
      <c r="X1341" t="s">
        <v>666</v>
      </c>
    </row>
    <row r="1342" spans="21:24" x14ac:dyDescent="0.45">
      <c r="U1342" t="s">
        <v>112</v>
      </c>
      <c r="V1342" t="s">
        <v>1685</v>
      </c>
      <c r="W1342" t="s">
        <v>598</v>
      </c>
      <c r="X1342" t="s">
        <v>666</v>
      </c>
    </row>
    <row r="1343" spans="21:24" x14ac:dyDescent="0.45">
      <c r="U1343" t="s">
        <v>112</v>
      </c>
      <c r="V1343" t="s">
        <v>1685</v>
      </c>
      <c r="W1343" t="s">
        <v>641</v>
      </c>
      <c r="X1343" t="s">
        <v>666</v>
      </c>
    </row>
    <row r="1344" spans="21:24" x14ac:dyDescent="0.45">
      <c r="U1344" t="s">
        <v>112</v>
      </c>
      <c r="V1344" t="s">
        <v>1686</v>
      </c>
      <c r="W1344" t="s">
        <v>598</v>
      </c>
      <c r="X1344" t="s">
        <v>666</v>
      </c>
    </row>
    <row r="1345" spans="21:24" x14ac:dyDescent="0.45">
      <c r="U1345" t="s">
        <v>112</v>
      </c>
      <c r="V1345" t="s">
        <v>1686</v>
      </c>
      <c r="W1345" t="s">
        <v>641</v>
      </c>
      <c r="X1345" t="s">
        <v>666</v>
      </c>
    </row>
    <row r="1346" spans="21:24" x14ac:dyDescent="0.45">
      <c r="U1346" t="s">
        <v>112</v>
      </c>
      <c r="V1346" t="s">
        <v>1687</v>
      </c>
      <c r="W1346" t="s">
        <v>598</v>
      </c>
      <c r="X1346" t="s">
        <v>666</v>
      </c>
    </row>
    <row r="1347" spans="21:24" x14ac:dyDescent="0.45">
      <c r="U1347" t="s">
        <v>112</v>
      </c>
      <c r="V1347" t="s">
        <v>1687</v>
      </c>
      <c r="W1347" t="s">
        <v>641</v>
      </c>
      <c r="X1347" t="s">
        <v>666</v>
      </c>
    </row>
    <row r="1348" spans="21:24" x14ac:dyDescent="0.45">
      <c r="U1348" t="s">
        <v>112</v>
      </c>
      <c r="V1348" t="s">
        <v>1688</v>
      </c>
      <c r="W1348" t="s">
        <v>641</v>
      </c>
      <c r="X1348" t="s">
        <v>666</v>
      </c>
    </row>
    <row r="1349" spans="21:24" x14ac:dyDescent="0.45">
      <c r="U1349" t="s">
        <v>112</v>
      </c>
      <c r="V1349" t="s">
        <v>1689</v>
      </c>
      <c r="W1349" t="s">
        <v>641</v>
      </c>
      <c r="X1349" t="s">
        <v>666</v>
      </c>
    </row>
    <row r="1350" spans="21:24" x14ac:dyDescent="0.45">
      <c r="U1350" t="s">
        <v>112</v>
      </c>
      <c r="V1350" t="s">
        <v>1690</v>
      </c>
      <c r="W1350" t="s">
        <v>641</v>
      </c>
      <c r="X1350" t="s">
        <v>666</v>
      </c>
    </row>
    <row r="1351" spans="21:24" x14ac:dyDescent="0.45">
      <c r="U1351" t="s">
        <v>112</v>
      </c>
      <c r="V1351" t="s">
        <v>1690</v>
      </c>
      <c r="W1351" t="s">
        <v>598</v>
      </c>
      <c r="X1351" t="s">
        <v>547</v>
      </c>
    </row>
    <row r="1352" spans="21:24" x14ac:dyDescent="0.45">
      <c r="U1352" t="s">
        <v>112</v>
      </c>
      <c r="V1352" t="s">
        <v>1691</v>
      </c>
      <c r="W1352" t="s">
        <v>641</v>
      </c>
      <c r="X1352" t="s">
        <v>666</v>
      </c>
    </row>
    <row r="1353" spans="21:24" x14ac:dyDescent="0.45">
      <c r="U1353" t="s">
        <v>112</v>
      </c>
      <c r="V1353" t="s">
        <v>1691</v>
      </c>
      <c r="W1353" t="s">
        <v>598</v>
      </c>
      <c r="X1353" t="s">
        <v>547</v>
      </c>
    </row>
    <row r="1354" spans="21:24" x14ac:dyDescent="0.45">
      <c r="U1354" t="s">
        <v>112</v>
      </c>
      <c r="V1354" t="s">
        <v>1692</v>
      </c>
      <c r="W1354" t="s">
        <v>605</v>
      </c>
      <c r="X1354" t="s">
        <v>666</v>
      </c>
    </row>
    <row r="1355" spans="21:24" x14ac:dyDescent="0.45">
      <c r="U1355" t="s">
        <v>112</v>
      </c>
      <c r="V1355" t="s">
        <v>1693</v>
      </c>
      <c r="W1355" t="s">
        <v>605</v>
      </c>
      <c r="X1355" t="s">
        <v>666</v>
      </c>
    </row>
    <row r="1356" spans="21:24" x14ac:dyDescent="0.45">
      <c r="U1356" t="s">
        <v>112</v>
      </c>
      <c r="V1356" t="s">
        <v>1694</v>
      </c>
      <c r="W1356" t="s">
        <v>605</v>
      </c>
      <c r="X1356" t="s">
        <v>666</v>
      </c>
    </row>
    <row r="1357" spans="21:24" x14ac:dyDescent="0.45">
      <c r="U1357" t="s">
        <v>112</v>
      </c>
      <c r="V1357" t="s">
        <v>1695</v>
      </c>
      <c r="W1357" t="s">
        <v>605</v>
      </c>
      <c r="X1357" t="s">
        <v>666</v>
      </c>
    </row>
    <row r="1358" spans="21:24" x14ac:dyDescent="0.45">
      <c r="U1358" t="s">
        <v>112</v>
      </c>
      <c r="V1358" t="s">
        <v>1696</v>
      </c>
      <c r="W1358" t="s">
        <v>605</v>
      </c>
      <c r="X1358" t="s">
        <v>666</v>
      </c>
    </row>
    <row r="1359" spans="21:24" x14ac:dyDescent="0.45">
      <c r="U1359" t="s">
        <v>112</v>
      </c>
      <c r="V1359" t="s">
        <v>1697</v>
      </c>
      <c r="W1359" t="s">
        <v>605</v>
      </c>
      <c r="X1359" t="s">
        <v>666</v>
      </c>
    </row>
    <row r="1360" spans="21:24" x14ac:dyDescent="0.45">
      <c r="U1360" t="s">
        <v>112</v>
      </c>
      <c r="V1360" t="s">
        <v>1698</v>
      </c>
      <c r="W1360" t="s">
        <v>605</v>
      </c>
      <c r="X1360" t="s">
        <v>666</v>
      </c>
    </row>
    <row r="1361" spans="21:24" x14ac:dyDescent="0.45">
      <c r="U1361" t="s">
        <v>112</v>
      </c>
      <c r="V1361" t="s">
        <v>1699</v>
      </c>
      <c r="W1361" t="s">
        <v>605</v>
      </c>
      <c r="X1361" t="s">
        <v>666</v>
      </c>
    </row>
    <row r="1362" spans="21:24" x14ac:dyDescent="0.45">
      <c r="U1362" t="s">
        <v>112</v>
      </c>
      <c r="V1362" t="s">
        <v>1700</v>
      </c>
      <c r="W1362" t="s">
        <v>605</v>
      </c>
      <c r="X1362" t="s">
        <v>666</v>
      </c>
    </row>
    <row r="1363" spans="21:24" x14ac:dyDescent="0.45">
      <c r="U1363" t="s">
        <v>112</v>
      </c>
      <c r="V1363" t="s">
        <v>1701</v>
      </c>
      <c r="W1363" t="s">
        <v>605</v>
      </c>
      <c r="X1363" t="s">
        <v>666</v>
      </c>
    </row>
    <row r="1364" spans="21:24" x14ac:dyDescent="0.45">
      <c r="U1364" t="s">
        <v>112</v>
      </c>
      <c r="V1364" t="s">
        <v>1702</v>
      </c>
      <c r="W1364" t="s">
        <v>605</v>
      </c>
      <c r="X1364" t="s">
        <v>666</v>
      </c>
    </row>
    <row r="1365" spans="21:24" x14ac:dyDescent="0.45">
      <c r="U1365" t="s">
        <v>112</v>
      </c>
      <c r="V1365" t="s">
        <v>1703</v>
      </c>
      <c r="W1365" t="s">
        <v>605</v>
      </c>
      <c r="X1365" t="s">
        <v>666</v>
      </c>
    </row>
    <row r="1366" spans="21:24" x14ac:dyDescent="0.45">
      <c r="U1366" t="s">
        <v>112</v>
      </c>
      <c r="V1366" t="s">
        <v>1703</v>
      </c>
      <c r="W1366" t="s">
        <v>663</v>
      </c>
      <c r="X1366" t="s">
        <v>666</v>
      </c>
    </row>
    <row r="1367" spans="21:24" x14ac:dyDescent="0.45">
      <c r="U1367" t="s">
        <v>112</v>
      </c>
      <c r="V1367" t="s">
        <v>1704</v>
      </c>
      <c r="W1367" t="s">
        <v>605</v>
      </c>
      <c r="X1367" t="s">
        <v>666</v>
      </c>
    </row>
    <row r="1368" spans="21:24" x14ac:dyDescent="0.45">
      <c r="U1368" t="s">
        <v>112</v>
      </c>
      <c r="V1368" t="s">
        <v>1704</v>
      </c>
      <c r="W1368" t="s">
        <v>663</v>
      </c>
      <c r="X1368" t="s">
        <v>666</v>
      </c>
    </row>
    <row r="1369" spans="21:24" x14ac:dyDescent="0.45">
      <c r="U1369" t="s">
        <v>112</v>
      </c>
      <c r="V1369" t="s">
        <v>1705</v>
      </c>
      <c r="W1369" t="s">
        <v>605</v>
      </c>
      <c r="X1369" t="s">
        <v>666</v>
      </c>
    </row>
    <row r="1370" spans="21:24" x14ac:dyDescent="0.45">
      <c r="U1370" t="s">
        <v>112</v>
      </c>
      <c r="V1370" t="s">
        <v>1705</v>
      </c>
      <c r="W1370" t="s">
        <v>663</v>
      </c>
      <c r="X1370" t="s">
        <v>666</v>
      </c>
    </row>
    <row r="1371" spans="21:24" x14ac:dyDescent="0.45">
      <c r="U1371" t="s">
        <v>112</v>
      </c>
      <c r="V1371" t="s">
        <v>1706</v>
      </c>
      <c r="W1371" t="s">
        <v>605</v>
      </c>
      <c r="X1371" t="s">
        <v>666</v>
      </c>
    </row>
    <row r="1372" spans="21:24" x14ac:dyDescent="0.45">
      <c r="U1372" t="s">
        <v>112</v>
      </c>
      <c r="V1372" t="s">
        <v>1706</v>
      </c>
      <c r="W1372" t="s">
        <v>663</v>
      </c>
      <c r="X1372" t="s">
        <v>666</v>
      </c>
    </row>
    <row r="1373" spans="21:24" x14ac:dyDescent="0.45">
      <c r="U1373" t="s">
        <v>112</v>
      </c>
      <c r="V1373" t="s">
        <v>1707</v>
      </c>
      <c r="W1373" t="s">
        <v>663</v>
      </c>
      <c r="X1373" t="s">
        <v>666</v>
      </c>
    </row>
    <row r="1374" spans="21:24" x14ac:dyDescent="0.45">
      <c r="U1374" t="s">
        <v>112</v>
      </c>
      <c r="V1374" t="s">
        <v>1708</v>
      </c>
      <c r="W1374" t="s">
        <v>663</v>
      </c>
      <c r="X1374" t="s">
        <v>666</v>
      </c>
    </row>
    <row r="1375" spans="21:24" x14ac:dyDescent="0.45">
      <c r="U1375" t="s">
        <v>112</v>
      </c>
      <c r="V1375" t="s">
        <v>1709</v>
      </c>
      <c r="W1375" t="s">
        <v>663</v>
      </c>
      <c r="X1375" t="s">
        <v>666</v>
      </c>
    </row>
    <row r="1376" spans="21:24" x14ac:dyDescent="0.45">
      <c r="U1376" t="s">
        <v>112</v>
      </c>
      <c r="V1376" t="s">
        <v>1709</v>
      </c>
      <c r="W1376" t="s">
        <v>605</v>
      </c>
      <c r="X1376" t="s">
        <v>547</v>
      </c>
    </row>
    <row r="1377" spans="21:24" x14ac:dyDescent="0.45">
      <c r="U1377" t="s">
        <v>112</v>
      </c>
      <c r="V1377" t="s">
        <v>1710</v>
      </c>
      <c r="W1377" t="s">
        <v>663</v>
      </c>
      <c r="X1377" t="s">
        <v>666</v>
      </c>
    </row>
    <row r="1378" spans="21:24" x14ac:dyDescent="0.45">
      <c r="U1378" t="s">
        <v>112</v>
      </c>
      <c r="V1378" t="s">
        <v>1710</v>
      </c>
      <c r="W1378" t="s">
        <v>605</v>
      </c>
      <c r="X1378" t="s">
        <v>547</v>
      </c>
    </row>
    <row r="1379" spans="21:24" x14ac:dyDescent="0.45">
      <c r="U1379" t="s">
        <v>112</v>
      </c>
      <c r="V1379" t="s">
        <v>1711</v>
      </c>
      <c r="W1379" t="s">
        <v>599</v>
      </c>
      <c r="X1379" t="s">
        <v>666</v>
      </c>
    </row>
    <row r="1380" spans="21:24" x14ac:dyDescent="0.45">
      <c r="U1380" t="s">
        <v>112</v>
      </c>
      <c r="V1380" t="s">
        <v>1712</v>
      </c>
      <c r="W1380" t="s">
        <v>599</v>
      </c>
      <c r="X1380" t="s">
        <v>666</v>
      </c>
    </row>
    <row r="1381" spans="21:24" x14ac:dyDescent="0.45">
      <c r="U1381" t="s">
        <v>112</v>
      </c>
      <c r="V1381" t="s">
        <v>1713</v>
      </c>
      <c r="W1381" t="s">
        <v>599</v>
      </c>
      <c r="X1381" t="s">
        <v>666</v>
      </c>
    </row>
    <row r="1382" spans="21:24" x14ac:dyDescent="0.45">
      <c r="U1382" t="s">
        <v>112</v>
      </c>
      <c r="V1382" t="s">
        <v>1714</v>
      </c>
      <c r="W1382" t="s">
        <v>599</v>
      </c>
      <c r="X1382" t="s">
        <v>666</v>
      </c>
    </row>
    <row r="1383" spans="21:24" x14ac:dyDescent="0.45">
      <c r="U1383" t="s">
        <v>112</v>
      </c>
      <c r="V1383" t="s">
        <v>1715</v>
      </c>
      <c r="W1383" t="s">
        <v>599</v>
      </c>
      <c r="X1383" t="s">
        <v>666</v>
      </c>
    </row>
    <row r="1384" spans="21:24" x14ac:dyDescent="0.45">
      <c r="U1384" t="s">
        <v>112</v>
      </c>
      <c r="V1384" t="s">
        <v>1716</v>
      </c>
      <c r="W1384" t="s">
        <v>599</v>
      </c>
      <c r="X1384" t="s">
        <v>666</v>
      </c>
    </row>
    <row r="1385" spans="21:24" x14ac:dyDescent="0.45">
      <c r="U1385" t="s">
        <v>112</v>
      </c>
      <c r="V1385" t="s">
        <v>1717</v>
      </c>
      <c r="W1385" t="s">
        <v>599</v>
      </c>
      <c r="X1385" t="s">
        <v>666</v>
      </c>
    </row>
    <row r="1386" spans="21:24" x14ac:dyDescent="0.45">
      <c r="U1386" t="s">
        <v>112</v>
      </c>
      <c r="V1386" t="s">
        <v>1718</v>
      </c>
      <c r="W1386" t="s">
        <v>599</v>
      </c>
      <c r="X1386" t="s">
        <v>666</v>
      </c>
    </row>
    <row r="1387" spans="21:24" x14ac:dyDescent="0.45">
      <c r="U1387" t="s">
        <v>112</v>
      </c>
      <c r="V1387" t="s">
        <v>1719</v>
      </c>
      <c r="W1387" t="s">
        <v>599</v>
      </c>
      <c r="X1387" t="s">
        <v>666</v>
      </c>
    </row>
    <row r="1388" spans="21:24" x14ac:dyDescent="0.45">
      <c r="U1388" t="s">
        <v>112</v>
      </c>
      <c r="V1388" t="s">
        <v>1720</v>
      </c>
      <c r="W1388" t="s">
        <v>599</v>
      </c>
      <c r="X1388" t="s">
        <v>666</v>
      </c>
    </row>
    <row r="1389" spans="21:24" x14ac:dyDescent="0.45">
      <c r="U1389" t="s">
        <v>112</v>
      </c>
      <c r="V1389" t="s">
        <v>1721</v>
      </c>
      <c r="W1389" t="s">
        <v>599</v>
      </c>
      <c r="X1389" t="s">
        <v>666</v>
      </c>
    </row>
    <row r="1390" spans="21:24" x14ac:dyDescent="0.45">
      <c r="U1390" t="s">
        <v>112</v>
      </c>
      <c r="V1390" t="s">
        <v>1722</v>
      </c>
      <c r="W1390" t="s">
        <v>599</v>
      </c>
      <c r="X1390" t="s">
        <v>666</v>
      </c>
    </row>
    <row r="1391" spans="21:24" x14ac:dyDescent="0.45">
      <c r="U1391" t="s">
        <v>112</v>
      </c>
      <c r="V1391" t="s">
        <v>1722</v>
      </c>
      <c r="W1391" t="s">
        <v>613</v>
      </c>
      <c r="X1391" t="s">
        <v>666</v>
      </c>
    </row>
    <row r="1392" spans="21:24" x14ac:dyDescent="0.45">
      <c r="U1392" t="s">
        <v>112</v>
      </c>
      <c r="V1392" t="s">
        <v>1723</v>
      </c>
      <c r="W1392" t="s">
        <v>599</v>
      </c>
      <c r="X1392" t="s">
        <v>666</v>
      </c>
    </row>
    <row r="1393" spans="21:24" x14ac:dyDescent="0.45">
      <c r="U1393" t="s">
        <v>112</v>
      </c>
      <c r="V1393" t="s">
        <v>1723</v>
      </c>
      <c r="W1393" t="s">
        <v>613</v>
      </c>
      <c r="X1393" t="s">
        <v>666</v>
      </c>
    </row>
    <row r="1394" spans="21:24" x14ac:dyDescent="0.45">
      <c r="U1394" t="s">
        <v>112</v>
      </c>
      <c r="V1394" t="s">
        <v>1724</v>
      </c>
      <c r="W1394" t="s">
        <v>599</v>
      </c>
      <c r="X1394" t="s">
        <v>666</v>
      </c>
    </row>
    <row r="1395" spans="21:24" x14ac:dyDescent="0.45">
      <c r="U1395" t="s">
        <v>112</v>
      </c>
      <c r="V1395" t="s">
        <v>1724</v>
      </c>
      <c r="W1395" t="s">
        <v>613</v>
      </c>
      <c r="X1395" t="s">
        <v>666</v>
      </c>
    </row>
    <row r="1396" spans="21:24" x14ac:dyDescent="0.45">
      <c r="U1396" t="s">
        <v>112</v>
      </c>
      <c r="V1396" t="s">
        <v>1725</v>
      </c>
      <c r="W1396" t="s">
        <v>599</v>
      </c>
      <c r="X1396" t="s">
        <v>666</v>
      </c>
    </row>
    <row r="1397" spans="21:24" x14ac:dyDescent="0.45">
      <c r="U1397" t="s">
        <v>112</v>
      </c>
      <c r="V1397" t="s">
        <v>1725</v>
      </c>
      <c r="W1397" t="s">
        <v>613</v>
      </c>
      <c r="X1397" t="s">
        <v>666</v>
      </c>
    </row>
    <row r="1398" spans="21:24" x14ac:dyDescent="0.45">
      <c r="U1398" t="s">
        <v>112</v>
      </c>
      <c r="V1398" t="s">
        <v>1726</v>
      </c>
      <c r="W1398" t="s">
        <v>613</v>
      </c>
      <c r="X1398" t="s">
        <v>666</v>
      </c>
    </row>
    <row r="1399" spans="21:24" x14ac:dyDescent="0.45">
      <c r="U1399" t="s">
        <v>112</v>
      </c>
      <c r="V1399" t="s">
        <v>1727</v>
      </c>
      <c r="W1399" t="s">
        <v>613</v>
      </c>
      <c r="X1399" t="s">
        <v>666</v>
      </c>
    </row>
    <row r="1400" spans="21:24" x14ac:dyDescent="0.45">
      <c r="U1400" t="s">
        <v>112</v>
      </c>
      <c r="V1400" t="s">
        <v>1728</v>
      </c>
      <c r="W1400" t="s">
        <v>613</v>
      </c>
      <c r="X1400" t="s">
        <v>666</v>
      </c>
    </row>
    <row r="1401" spans="21:24" x14ac:dyDescent="0.45">
      <c r="U1401" t="s">
        <v>112</v>
      </c>
      <c r="V1401" t="s">
        <v>1728</v>
      </c>
      <c r="W1401" t="s">
        <v>599</v>
      </c>
      <c r="X1401" t="s">
        <v>547</v>
      </c>
    </row>
    <row r="1402" spans="21:24" x14ac:dyDescent="0.45">
      <c r="U1402" t="s">
        <v>112</v>
      </c>
      <c r="V1402" t="s">
        <v>1729</v>
      </c>
      <c r="W1402" t="s">
        <v>613</v>
      </c>
      <c r="X1402" t="s">
        <v>666</v>
      </c>
    </row>
    <row r="1403" spans="21:24" x14ac:dyDescent="0.45">
      <c r="U1403" t="s">
        <v>112</v>
      </c>
      <c r="V1403" t="s">
        <v>1729</v>
      </c>
      <c r="W1403" t="s">
        <v>599</v>
      </c>
      <c r="X1403" t="s">
        <v>547</v>
      </c>
    </row>
    <row r="1404" spans="21:24" x14ac:dyDescent="0.45">
      <c r="U1404" t="s">
        <v>112</v>
      </c>
      <c r="V1404" t="s">
        <v>1730</v>
      </c>
      <c r="W1404" t="s">
        <v>600</v>
      </c>
      <c r="X1404" t="s">
        <v>666</v>
      </c>
    </row>
    <row r="1405" spans="21:24" x14ac:dyDescent="0.45">
      <c r="U1405" t="s">
        <v>112</v>
      </c>
      <c r="V1405" t="s">
        <v>1731</v>
      </c>
      <c r="W1405" t="s">
        <v>600</v>
      </c>
      <c r="X1405" t="s">
        <v>666</v>
      </c>
    </row>
    <row r="1406" spans="21:24" x14ac:dyDescent="0.45">
      <c r="U1406" t="s">
        <v>112</v>
      </c>
      <c r="V1406" t="s">
        <v>1732</v>
      </c>
      <c r="W1406" t="s">
        <v>600</v>
      </c>
      <c r="X1406" t="s">
        <v>666</v>
      </c>
    </row>
    <row r="1407" spans="21:24" x14ac:dyDescent="0.45">
      <c r="U1407" t="s">
        <v>112</v>
      </c>
      <c r="V1407" t="s">
        <v>1733</v>
      </c>
      <c r="W1407" t="s">
        <v>600</v>
      </c>
      <c r="X1407" t="s">
        <v>666</v>
      </c>
    </row>
    <row r="1408" spans="21:24" x14ac:dyDescent="0.45">
      <c r="U1408" t="s">
        <v>112</v>
      </c>
      <c r="V1408" t="s">
        <v>1734</v>
      </c>
      <c r="W1408" t="s">
        <v>600</v>
      </c>
      <c r="X1408" t="s">
        <v>666</v>
      </c>
    </row>
    <row r="1409" spans="21:24" x14ac:dyDescent="0.45">
      <c r="U1409" t="s">
        <v>112</v>
      </c>
      <c r="V1409" t="s">
        <v>1735</v>
      </c>
      <c r="W1409" t="s">
        <v>600</v>
      </c>
      <c r="X1409" t="s">
        <v>666</v>
      </c>
    </row>
    <row r="1410" spans="21:24" x14ac:dyDescent="0.45">
      <c r="U1410" t="s">
        <v>112</v>
      </c>
      <c r="V1410" t="s">
        <v>1736</v>
      </c>
      <c r="W1410" t="s">
        <v>600</v>
      </c>
      <c r="X1410" t="s">
        <v>666</v>
      </c>
    </row>
    <row r="1411" spans="21:24" x14ac:dyDescent="0.45">
      <c r="U1411" t="s">
        <v>112</v>
      </c>
      <c r="V1411" t="s">
        <v>1737</v>
      </c>
      <c r="W1411" t="s">
        <v>600</v>
      </c>
      <c r="X1411" t="s">
        <v>666</v>
      </c>
    </row>
    <row r="1412" spans="21:24" x14ac:dyDescent="0.45">
      <c r="U1412" t="s">
        <v>112</v>
      </c>
      <c r="V1412" t="s">
        <v>1738</v>
      </c>
      <c r="W1412" t="s">
        <v>600</v>
      </c>
      <c r="X1412" t="s">
        <v>666</v>
      </c>
    </row>
    <row r="1413" spans="21:24" x14ac:dyDescent="0.45">
      <c r="U1413" t="s">
        <v>112</v>
      </c>
      <c r="V1413" t="s">
        <v>1739</v>
      </c>
      <c r="W1413" t="s">
        <v>600</v>
      </c>
      <c r="X1413" t="s">
        <v>666</v>
      </c>
    </row>
    <row r="1414" spans="21:24" x14ac:dyDescent="0.45">
      <c r="U1414" t="s">
        <v>112</v>
      </c>
      <c r="V1414" t="s">
        <v>1740</v>
      </c>
      <c r="W1414" t="s">
        <v>600</v>
      </c>
      <c r="X1414" t="s">
        <v>666</v>
      </c>
    </row>
    <row r="1415" spans="21:24" x14ac:dyDescent="0.45">
      <c r="U1415" t="s">
        <v>112</v>
      </c>
      <c r="V1415" t="s">
        <v>1741</v>
      </c>
      <c r="W1415" t="s">
        <v>600</v>
      </c>
      <c r="X1415" t="s">
        <v>666</v>
      </c>
    </row>
    <row r="1416" spans="21:24" x14ac:dyDescent="0.45">
      <c r="U1416" t="s">
        <v>112</v>
      </c>
      <c r="V1416" t="s">
        <v>1741</v>
      </c>
      <c r="W1416" t="s">
        <v>607</v>
      </c>
      <c r="X1416" t="s">
        <v>666</v>
      </c>
    </row>
    <row r="1417" spans="21:24" x14ac:dyDescent="0.45">
      <c r="U1417" t="s">
        <v>112</v>
      </c>
      <c r="V1417" t="s">
        <v>1742</v>
      </c>
      <c r="W1417" t="s">
        <v>600</v>
      </c>
      <c r="X1417" t="s">
        <v>666</v>
      </c>
    </row>
    <row r="1418" spans="21:24" x14ac:dyDescent="0.45">
      <c r="U1418" t="s">
        <v>112</v>
      </c>
      <c r="V1418" t="s">
        <v>1742</v>
      </c>
      <c r="W1418" t="s">
        <v>607</v>
      </c>
      <c r="X1418" t="s">
        <v>666</v>
      </c>
    </row>
    <row r="1419" spans="21:24" x14ac:dyDescent="0.45">
      <c r="U1419" t="s">
        <v>112</v>
      </c>
      <c r="V1419" t="s">
        <v>1743</v>
      </c>
      <c r="W1419" t="s">
        <v>600</v>
      </c>
      <c r="X1419" t="s">
        <v>666</v>
      </c>
    </row>
    <row r="1420" spans="21:24" x14ac:dyDescent="0.45">
      <c r="U1420" t="s">
        <v>112</v>
      </c>
      <c r="V1420" t="s">
        <v>1743</v>
      </c>
      <c r="W1420" t="s">
        <v>607</v>
      </c>
      <c r="X1420" t="s">
        <v>666</v>
      </c>
    </row>
    <row r="1421" spans="21:24" x14ac:dyDescent="0.45">
      <c r="U1421" t="s">
        <v>112</v>
      </c>
      <c r="V1421" t="s">
        <v>1744</v>
      </c>
      <c r="W1421" t="s">
        <v>600</v>
      </c>
      <c r="X1421" t="s">
        <v>666</v>
      </c>
    </row>
    <row r="1422" spans="21:24" x14ac:dyDescent="0.45">
      <c r="U1422" t="s">
        <v>112</v>
      </c>
      <c r="V1422" t="s">
        <v>1744</v>
      </c>
      <c r="W1422" t="s">
        <v>607</v>
      </c>
      <c r="X1422" t="s">
        <v>666</v>
      </c>
    </row>
    <row r="1423" spans="21:24" x14ac:dyDescent="0.45">
      <c r="U1423" t="s">
        <v>112</v>
      </c>
      <c r="V1423" t="s">
        <v>1745</v>
      </c>
      <c r="W1423" t="s">
        <v>607</v>
      </c>
      <c r="X1423" t="s">
        <v>666</v>
      </c>
    </row>
    <row r="1424" spans="21:24" x14ac:dyDescent="0.45">
      <c r="U1424" t="s">
        <v>112</v>
      </c>
      <c r="V1424" t="s">
        <v>1746</v>
      </c>
      <c r="W1424" t="s">
        <v>607</v>
      </c>
      <c r="X1424" t="s">
        <v>666</v>
      </c>
    </row>
    <row r="1425" spans="21:24" x14ac:dyDescent="0.45">
      <c r="U1425" t="s">
        <v>112</v>
      </c>
      <c r="V1425" t="s">
        <v>1747</v>
      </c>
      <c r="W1425" t="s">
        <v>607</v>
      </c>
      <c r="X1425" t="s">
        <v>666</v>
      </c>
    </row>
    <row r="1426" spans="21:24" x14ac:dyDescent="0.45">
      <c r="U1426" t="s">
        <v>112</v>
      </c>
      <c r="V1426" t="s">
        <v>1747</v>
      </c>
      <c r="W1426" t="s">
        <v>600</v>
      </c>
      <c r="X1426" t="s">
        <v>547</v>
      </c>
    </row>
    <row r="1427" spans="21:24" x14ac:dyDescent="0.45">
      <c r="U1427" t="s">
        <v>112</v>
      </c>
      <c r="V1427" t="s">
        <v>1748</v>
      </c>
      <c r="W1427" t="s">
        <v>607</v>
      </c>
      <c r="X1427" t="s">
        <v>666</v>
      </c>
    </row>
    <row r="1428" spans="21:24" x14ac:dyDescent="0.45">
      <c r="U1428" t="s">
        <v>112</v>
      </c>
      <c r="V1428" t="s">
        <v>1748</v>
      </c>
      <c r="W1428" t="s">
        <v>600</v>
      </c>
      <c r="X1428" t="s">
        <v>547</v>
      </c>
    </row>
    <row r="1429" spans="21:24" x14ac:dyDescent="0.45">
      <c r="U1429" t="s">
        <v>112</v>
      </c>
      <c r="V1429" t="s">
        <v>1749</v>
      </c>
      <c r="W1429" t="s">
        <v>601</v>
      </c>
      <c r="X1429" t="s">
        <v>666</v>
      </c>
    </row>
    <row r="1430" spans="21:24" x14ac:dyDescent="0.45">
      <c r="U1430" t="s">
        <v>112</v>
      </c>
      <c r="V1430" t="s">
        <v>1750</v>
      </c>
      <c r="W1430" t="s">
        <v>601</v>
      </c>
      <c r="X1430" t="s">
        <v>666</v>
      </c>
    </row>
    <row r="1431" spans="21:24" x14ac:dyDescent="0.45">
      <c r="U1431" t="s">
        <v>112</v>
      </c>
      <c r="V1431" t="s">
        <v>1751</v>
      </c>
      <c r="W1431" t="s">
        <v>601</v>
      </c>
      <c r="X1431" t="s">
        <v>666</v>
      </c>
    </row>
    <row r="1432" spans="21:24" x14ac:dyDescent="0.45">
      <c r="U1432" t="s">
        <v>112</v>
      </c>
      <c r="V1432" t="s">
        <v>1752</v>
      </c>
      <c r="W1432" t="s">
        <v>601</v>
      </c>
      <c r="X1432" t="s">
        <v>666</v>
      </c>
    </row>
    <row r="1433" spans="21:24" x14ac:dyDescent="0.45">
      <c r="U1433" t="s">
        <v>112</v>
      </c>
      <c r="V1433" t="s">
        <v>1753</v>
      </c>
      <c r="W1433" t="s">
        <v>601</v>
      </c>
      <c r="X1433" t="s">
        <v>666</v>
      </c>
    </row>
    <row r="1434" spans="21:24" x14ac:dyDescent="0.45">
      <c r="U1434" t="s">
        <v>112</v>
      </c>
      <c r="V1434" t="s">
        <v>1754</v>
      </c>
      <c r="W1434" t="s">
        <v>601</v>
      </c>
      <c r="X1434" t="s">
        <v>666</v>
      </c>
    </row>
    <row r="1435" spans="21:24" x14ac:dyDescent="0.45">
      <c r="U1435" t="s">
        <v>112</v>
      </c>
      <c r="V1435" t="s">
        <v>1755</v>
      </c>
      <c r="W1435" t="s">
        <v>601</v>
      </c>
      <c r="X1435" t="s">
        <v>666</v>
      </c>
    </row>
    <row r="1436" spans="21:24" x14ac:dyDescent="0.45">
      <c r="U1436" t="s">
        <v>112</v>
      </c>
      <c r="V1436" t="s">
        <v>1756</v>
      </c>
      <c r="W1436" t="s">
        <v>601</v>
      </c>
      <c r="X1436" t="s">
        <v>666</v>
      </c>
    </row>
    <row r="1437" spans="21:24" x14ac:dyDescent="0.45">
      <c r="U1437" t="s">
        <v>112</v>
      </c>
      <c r="V1437" t="s">
        <v>1757</v>
      </c>
      <c r="W1437" t="s">
        <v>601</v>
      </c>
      <c r="X1437" t="s">
        <v>666</v>
      </c>
    </row>
    <row r="1438" spans="21:24" x14ac:dyDescent="0.45">
      <c r="U1438" t="s">
        <v>112</v>
      </c>
      <c r="V1438" t="s">
        <v>1758</v>
      </c>
      <c r="W1438" t="s">
        <v>601</v>
      </c>
      <c r="X1438" t="s">
        <v>666</v>
      </c>
    </row>
    <row r="1439" spans="21:24" x14ac:dyDescent="0.45">
      <c r="U1439" t="s">
        <v>112</v>
      </c>
      <c r="V1439" t="s">
        <v>1759</v>
      </c>
      <c r="W1439" t="s">
        <v>601</v>
      </c>
      <c r="X1439" t="s">
        <v>666</v>
      </c>
    </row>
    <row r="1440" spans="21:24" x14ac:dyDescent="0.45">
      <c r="U1440" t="s">
        <v>112</v>
      </c>
      <c r="V1440" t="s">
        <v>1760</v>
      </c>
      <c r="W1440" t="s">
        <v>601</v>
      </c>
      <c r="X1440" t="s">
        <v>666</v>
      </c>
    </row>
    <row r="1441" spans="21:24" x14ac:dyDescent="0.45">
      <c r="U1441" t="s">
        <v>112</v>
      </c>
      <c r="V1441" t="s">
        <v>1760</v>
      </c>
      <c r="W1441" t="s">
        <v>645</v>
      </c>
      <c r="X1441" t="s">
        <v>666</v>
      </c>
    </row>
    <row r="1442" spans="21:24" x14ac:dyDescent="0.45">
      <c r="U1442" t="s">
        <v>112</v>
      </c>
      <c r="V1442" t="s">
        <v>1761</v>
      </c>
      <c r="W1442" t="s">
        <v>601</v>
      </c>
      <c r="X1442" t="s">
        <v>666</v>
      </c>
    </row>
    <row r="1443" spans="21:24" x14ac:dyDescent="0.45">
      <c r="U1443" t="s">
        <v>112</v>
      </c>
      <c r="V1443" t="s">
        <v>1761</v>
      </c>
      <c r="W1443" t="s">
        <v>645</v>
      </c>
      <c r="X1443" t="s">
        <v>666</v>
      </c>
    </row>
    <row r="1444" spans="21:24" x14ac:dyDescent="0.45">
      <c r="U1444" t="s">
        <v>112</v>
      </c>
      <c r="V1444" t="s">
        <v>1762</v>
      </c>
      <c r="W1444" t="s">
        <v>601</v>
      </c>
      <c r="X1444" t="s">
        <v>666</v>
      </c>
    </row>
    <row r="1445" spans="21:24" x14ac:dyDescent="0.45">
      <c r="U1445" t="s">
        <v>112</v>
      </c>
      <c r="V1445" t="s">
        <v>1762</v>
      </c>
      <c r="W1445" t="s">
        <v>645</v>
      </c>
      <c r="X1445" t="s">
        <v>666</v>
      </c>
    </row>
    <row r="1446" spans="21:24" x14ac:dyDescent="0.45">
      <c r="U1446" t="s">
        <v>112</v>
      </c>
      <c r="V1446" t="s">
        <v>1763</v>
      </c>
      <c r="W1446" t="s">
        <v>601</v>
      </c>
      <c r="X1446" t="s">
        <v>666</v>
      </c>
    </row>
    <row r="1447" spans="21:24" x14ac:dyDescent="0.45">
      <c r="U1447" t="s">
        <v>112</v>
      </c>
      <c r="V1447" t="s">
        <v>1763</v>
      </c>
      <c r="W1447" t="s">
        <v>645</v>
      </c>
      <c r="X1447" t="s">
        <v>666</v>
      </c>
    </row>
    <row r="1448" spans="21:24" x14ac:dyDescent="0.45">
      <c r="U1448" t="s">
        <v>112</v>
      </c>
      <c r="V1448" t="s">
        <v>1764</v>
      </c>
      <c r="W1448" t="s">
        <v>645</v>
      </c>
      <c r="X1448" t="s">
        <v>666</v>
      </c>
    </row>
    <row r="1449" spans="21:24" x14ac:dyDescent="0.45">
      <c r="U1449" t="s">
        <v>112</v>
      </c>
      <c r="V1449" t="s">
        <v>1765</v>
      </c>
      <c r="W1449" t="s">
        <v>645</v>
      </c>
      <c r="X1449" t="s">
        <v>666</v>
      </c>
    </row>
    <row r="1450" spans="21:24" x14ac:dyDescent="0.45">
      <c r="U1450" t="s">
        <v>112</v>
      </c>
      <c r="V1450" t="s">
        <v>1766</v>
      </c>
      <c r="W1450" t="s">
        <v>645</v>
      </c>
      <c r="X1450" t="s">
        <v>666</v>
      </c>
    </row>
    <row r="1451" spans="21:24" x14ac:dyDescent="0.45">
      <c r="U1451" t="s">
        <v>112</v>
      </c>
      <c r="V1451" t="s">
        <v>1766</v>
      </c>
      <c r="W1451" t="s">
        <v>601</v>
      </c>
      <c r="X1451" t="s">
        <v>547</v>
      </c>
    </row>
    <row r="1452" spans="21:24" x14ac:dyDescent="0.45">
      <c r="U1452" t="s">
        <v>112</v>
      </c>
      <c r="V1452" t="s">
        <v>1767</v>
      </c>
      <c r="W1452" t="s">
        <v>645</v>
      </c>
      <c r="X1452" t="s">
        <v>666</v>
      </c>
    </row>
    <row r="1453" spans="21:24" x14ac:dyDescent="0.45">
      <c r="U1453" t="s">
        <v>112</v>
      </c>
      <c r="V1453" t="s">
        <v>1767</v>
      </c>
      <c r="W1453" t="s">
        <v>601</v>
      </c>
      <c r="X1453" t="s">
        <v>547</v>
      </c>
    </row>
    <row r="1454" spans="21:24" x14ac:dyDescent="0.45">
      <c r="U1454" t="s">
        <v>112</v>
      </c>
      <c r="V1454" t="s">
        <v>1768</v>
      </c>
      <c r="W1454" t="s">
        <v>602</v>
      </c>
      <c r="X1454" t="s">
        <v>666</v>
      </c>
    </row>
    <row r="1455" spans="21:24" x14ac:dyDescent="0.45">
      <c r="U1455" t="s">
        <v>112</v>
      </c>
      <c r="V1455" t="s">
        <v>1769</v>
      </c>
      <c r="W1455" t="s">
        <v>602</v>
      </c>
      <c r="X1455" t="s">
        <v>666</v>
      </c>
    </row>
    <row r="1456" spans="21:24" x14ac:dyDescent="0.45">
      <c r="U1456" t="s">
        <v>112</v>
      </c>
      <c r="V1456" t="s">
        <v>1770</v>
      </c>
      <c r="W1456" t="s">
        <v>602</v>
      </c>
      <c r="X1456" t="s">
        <v>666</v>
      </c>
    </row>
    <row r="1457" spans="21:24" x14ac:dyDescent="0.45">
      <c r="U1457" t="s">
        <v>112</v>
      </c>
      <c r="V1457" t="s">
        <v>1771</v>
      </c>
      <c r="W1457" t="s">
        <v>602</v>
      </c>
      <c r="X1457" t="s">
        <v>666</v>
      </c>
    </row>
    <row r="1458" spans="21:24" x14ac:dyDescent="0.45">
      <c r="U1458" t="s">
        <v>112</v>
      </c>
      <c r="V1458" t="s">
        <v>1772</v>
      </c>
      <c r="W1458" t="s">
        <v>602</v>
      </c>
      <c r="X1458" t="s">
        <v>666</v>
      </c>
    </row>
    <row r="1459" spans="21:24" x14ac:dyDescent="0.45">
      <c r="U1459" t="s">
        <v>112</v>
      </c>
      <c r="V1459" t="s">
        <v>1773</v>
      </c>
      <c r="W1459" t="s">
        <v>602</v>
      </c>
      <c r="X1459" t="s">
        <v>666</v>
      </c>
    </row>
    <row r="1460" spans="21:24" x14ac:dyDescent="0.45">
      <c r="U1460" t="s">
        <v>112</v>
      </c>
      <c r="V1460" t="s">
        <v>1774</v>
      </c>
      <c r="W1460" t="s">
        <v>602</v>
      </c>
      <c r="X1460" t="s">
        <v>666</v>
      </c>
    </row>
    <row r="1461" spans="21:24" x14ac:dyDescent="0.45">
      <c r="U1461" t="s">
        <v>112</v>
      </c>
      <c r="V1461" t="s">
        <v>1775</v>
      </c>
      <c r="W1461" t="s">
        <v>602</v>
      </c>
      <c r="X1461" t="s">
        <v>666</v>
      </c>
    </row>
    <row r="1462" spans="21:24" x14ac:dyDescent="0.45">
      <c r="U1462" t="s">
        <v>112</v>
      </c>
      <c r="V1462" t="s">
        <v>1776</v>
      </c>
      <c r="W1462" t="s">
        <v>602</v>
      </c>
      <c r="X1462" t="s">
        <v>666</v>
      </c>
    </row>
    <row r="1463" spans="21:24" x14ac:dyDescent="0.45">
      <c r="U1463" t="s">
        <v>112</v>
      </c>
      <c r="V1463" t="s">
        <v>1777</v>
      </c>
      <c r="W1463" t="s">
        <v>602</v>
      </c>
      <c r="X1463" t="s">
        <v>666</v>
      </c>
    </row>
    <row r="1464" spans="21:24" x14ac:dyDescent="0.45">
      <c r="U1464" t="s">
        <v>112</v>
      </c>
      <c r="V1464" t="s">
        <v>1778</v>
      </c>
      <c r="W1464" t="s">
        <v>602</v>
      </c>
      <c r="X1464" t="s">
        <v>666</v>
      </c>
    </row>
    <row r="1465" spans="21:24" x14ac:dyDescent="0.45">
      <c r="U1465" t="s">
        <v>112</v>
      </c>
      <c r="V1465" t="s">
        <v>1779</v>
      </c>
      <c r="W1465" t="s">
        <v>602</v>
      </c>
      <c r="X1465" t="s">
        <v>666</v>
      </c>
    </row>
    <row r="1466" spans="21:24" x14ac:dyDescent="0.45">
      <c r="U1466" t="s">
        <v>112</v>
      </c>
      <c r="V1466" t="s">
        <v>1779</v>
      </c>
      <c r="W1466" t="s">
        <v>614</v>
      </c>
      <c r="X1466" t="s">
        <v>666</v>
      </c>
    </row>
    <row r="1467" spans="21:24" x14ac:dyDescent="0.45">
      <c r="U1467" t="s">
        <v>112</v>
      </c>
      <c r="V1467" t="s">
        <v>1780</v>
      </c>
      <c r="W1467" t="s">
        <v>602</v>
      </c>
      <c r="X1467" t="s">
        <v>666</v>
      </c>
    </row>
    <row r="1468" spans="21:24" x14ac:dyDescent="0.45">
      <c r="U1468" t="s">
        <v>112</v>
      </c>
      <c r="V1468" t="s">
        <v>1780</v>
      </c>
      <c r="W1468" t="s">
        <v>614</v>
      </c>
      <c r="X1468" t="s">
        <v>666</v>
      </c>
    </row>
    <row r="1469" spans="21:24" x14ac:dyDescent="0.45">
      <c r="U1469" t="s">
        <v>112</v>
      </c>
      <c r="V1469" t="s">
        <v>1781</v>
      </c>
      <c r="W1469" t="s">
        <v>602</v>
      </c>
      <c r="X1469" t="s">
        <v>666</v>
      </c>
    </row>
    <row r="1470" spans="21:24" x14ac:dyDescent="0.45">
      <c r="U1470" t="s">
        <v>112</v>
      </c>
      <c r="V1470" t="s">
        <v>1781</v>
      </c>
      <c r="W1470" t="s">
        <v>614</v>
      </c>
      <c r="X1470" t="s">
        <v>666</v>
      </c>
    </row>
    <row r="1471" spans="21:24" x14ac:dyDescent="0.45">
      <c r="U1471" t="s">
        <v>112</v>
      </c>
      <c r="V1471" t="s">
        <v>1782</v>
      </c>
      <c r="W1471" t="s">
        <v>602</v>
      </c>
      <c r="X1471" t="s">
        <v>666</v>
      </c>
    </row>
    <row r="1472" spans="21:24" x14ac:dyDescent="0.45">
      <c r="U1472" t="s">
        <v>112</v>
      </c>
      <c r="V1472" t="s">
        <v>1782</v>
      </c>
      <c r="W1472" t="s">
        <v>614</v>
      </c>
      <c r="X1472" t="s">
        <v>666</v>
      </c>
    </row>
    <row r="1473" spans="21:24" x14ac:dyDescent="0.45">
      <c r="U1473" t="s">
        <v>112</v>
      </c>
      <c r="V1473" t="s">
        <v>1783</v>
      </c>
      <c r="W1473" t="s">
        <v>614</v>
      </c>
      <c r="X1473" t="s">
        <v>666</v>
      </c>
    </row>
    <row r="1474" spans="21:24" x14ac:dyDescent="0.45">
      <c r="U1474" t="s">
        <v>112</v>
      </c>
      <c r="V1474" t="s">
        <v>1784</v>
      </c>
      <c r="W1474" t="s">
        <v>614</v>
      </c>
      <c r="X1474" t="s">
        <v>666</v>
      </c>
    </row>
    <row r="1475" spans="21:24" x14ac:dyDescent="0.45">
      <c r="U1475" t="s">
        <v>112</v>
      </c>
      <c r="V1475" t="s">
        <v>1785</v>
      </c>
      <c r="W1475" t="s">
        <v>614</v>
      </c>
      <c r="X1475" t="s">
        <v>666</v>
      </c>
    </row>
    <row r="1476" spans="21:24" x14ac:dyDescent="0.45">
      <c r="U1476" t="s">
        <v>112</v>
      </c>
      <c r="V1476" t="s">
        <v>1785</v>
      </c>
      <c r="W1476" t="s">
        <v>602</v>
      </c>
      <c r="X1476" t="s">
        <v>547</v>
      </c>
    </row>
    <row r="1477" spans="21:24" x14ac:dyDescent="0.45">
      <c r="U1477" t="s">
        <v>112</v>
      </c>
      <c r="V1477" t="s">
        <v>1786</v>
      </c>
      <c r="W1477" t="s">
        <v>614</v>
      </c>
      <c r="X1477" t="s">
        <v>666</v>
      </c>
    </row>
    <row r="1478" spans="21:24" x14ac:dyDescent="0.45">
      <c r="U1478" t="s">
        <v>112</v>
      </c>
      <c r="V1478" t="s">
        <v>1786</v>
      </c>
      <c r="W1478" t="s">
        <v>602</v>
      </c>
      <c r="X1478" t="s">
        <v>547</v>
      </c>
    </row>
    <row r="1479" spans="21:24" x14ac:dyDescent="0.45">
      <c r="U1479" t="s">
        <v>112</v>
      </c>
      <c r="V1479" t="s">
        <v>1787</v>
      </c>
      <c r="W1479" t="s">
        <v>546</v>
      </c>
      <c r="X1479" t="s">
        <v>666</v>
      </c>
    </row>
    <row r="1480" spans="21:24" x14ac:dyDescent="0.45">
      <c r="U1480" t="s">
        <v>112</v>
      </c>
      <c r="V1480" t="s">
        <v>1787</v>
      </c>
      <c r="W1480" t="s">
        <v>546</v>
      </c>
      <c r="X1480" t="s">
        <v>547</v>
      </c>
    </row>
    <row r="1481" spans="21:24" x14ac:dyDescent="0.45">
      <c r="U1481" t="s">
        <v>112</v>
      </c>
      <c r="V1481" t="s">
        <v>1788</v>
      </c>
      <c r="W1481" t="s">
        <v>546</v>
      </c>
      <c r="X1481" t="s">
        <v>666</v>
      </c>
    </row>
    <row r="1482" spans="21:24" x14ac:dyDescent="0.45">
      <c r="U1482" t="s">
        <v>112</v>
      </c>
      <c r="V1482" t="s">
        <v>1788</v>
      </c>
      <c r="W1482" t="s">
        <v>546</v>
      </c>
      <c r="X1482" t="s">
        <v>547</v>
      </c>
    </row>
    <row r="1483" spans="21:24" x14ac:dyDescent="0.45">
      <c r="U1483" t="s">
        <v>112</v>
      </c>
      <c r="V1483" t="s">
        <v>1789</v>
      </c>
      <c r="W1483" t="s">
        <v>548</v>
      </c>
      <c r="X1483" t="s">
        <v>666</v>
      </c>
    </row>
    <row r="1484" spans="21:24" x14ac:dyDescent="0.45">
      <c r="U1484" t="s">
        <v>112</v>
      </c>
      <c r="V1484" t="s">
        <v>1789</v>
      </c>
      <c r="W1484" t="s">
        <v>548</v>
      </c>
      <c r="X1484" t="s">
        <v>547</v>
      </c>
    </row>
    <row r="1485" spans="21:24" x14ac:dyDescent="0.45">
      <c r="U1485" t="s">
        <v>112</v>
      </c>
      <c r="V1485" t="s">
        <v>1790</v>
      </c>
      <c r="W1485" t="s">
        <v>548</v>
      </c>
      <c r="X1485" t="s">
        <v>666</v>
      </c>
    </row>
    <row r="1486" spans="21:24" x14ac:dyDescent="0.45">
      <c r="U1486" t="s">
        <v>112</v>
      </c>
      <c r="V1486" t="s">
        <v>1790</v>
      </c>
      <c r="W1486" t="s">
        <v>548</v>
      </c>
      <c r="X1486" t="s">
        <v>547</v>
      </c>
    </row>
    <row r="1487" spans="21:24" x14ac:dyDescent="0.45">
      <c r="U1487" t="s">
        <v>112</v>
      </c>
      <c r="V1487" t="s">
        <v>1791</v>
      </c>
      <c r="W1487" t="s">
        <v>549</v>
      </c>
      <c r="X1487" t="s">
        <v>666</v>
      </c>
    </row>
    <row r="1488" spans="21:24" x14ac:dyDescent="0.45">
      <c r="U1488" t="s">
        <v>112</v>
      </c>
      <c r="V1488" t="s">
        <v>1791</v>
      </c>
      <c r="W1488" t="s">
        <v>549</v>
      </c>
      <c r="X1488" t="s">
        <v>547</v>
      </c>
    </row>
    <row r="1489" spans="21:24" x14ac:dyDescent="0.45">
      <c r="U1489" t="s">
        <v>112</v>
      </c>
      <c r="V1489" t="s">
        <v>1792</v>
      </c>
      <c r="W1489" t="s">
        <v>549</v>
      </c>
      <c r="X1489" t="s">
        <v>666</v>
      </c>
    </row>
    <row r="1490" spans="21:24" x14ac:dyDescent="0.45">
      <c r="U1490" t="s">
        <v>112</v>
      </c>
      <c r="V1490" t="s">
        <v>1792</v>
      </c>
      <c r="W1490" t="s">
        <v>549</v>
      </c>
      <c r="X1490" t="s">
        <v>547</v>
      </c>
    </row>
    <row r="1491" spans="21:24" x14ac:dyDescent="0.45">
      <c r="U1491" t="s">
        <v>112</v>
      </c>
      <c r="V1491" t="s">
        <v>1793</v>
      </c>
      <c r="W1491" t="s">
        <v>550</v>
      </c>
      <c r="X1491" t="s">
        <v>666</v>
      </c>
    </row>
    <row r="1492" spans="21:24" x14ac:dyDescent="0.45">
      <c r="U1492" t="s">
        <v>112</v>
      </c>
      <c r="V1492" t="s">
        <v>1793</v>
      </c>
      <c r="W1492" t="s">
        <v>550</v>
      </c>
      <c r="X1492" t="s">
        <v>547</v>
      </c>
    </row>
    <row r="1493" spans="21:24" x14ac:dyDescent="0.45">
      <c r="U1493" t="s">
        <v>112</v>
      </c>
      <c r="V1493" t="s">
        <v>1794</v>
      </c>
      <c r="W1493" t="s">
        <v>550</v>
      </c>
      <c r="X1493" t="s">
        <v>666</v>
      </c>
    </row>
    <row r="1494" spans="21:24" x14ac:dyDescent="0.45">
      <c r="U1494" t="s">
        <v>112</v>
      </c>
      <c r="V1494" t="s">
        <v>1794</v>
      </c>
      <c r="W1494" t="s">
        <v>550</v>
      </c>
      <c r="X1494" t="s">
        <v>547</v>
      </c>
    </row>
    <row r="1495" spans="21:24" x14ac:dyDescent="0.45">
      <c r="U1495" t="s">
        <v>112</v>
      </c>
      <c r="V1495" t="s">
        <v>1795</v>
      </c>
      <c r="W1495" t="s">
        <v>551</v>
      </c>
      <c r="X1495" t="s">
        <v>666</v>
      </c>
    </row>
    <row r="1496" spans="21:24" x14ac:dyDescent="0.45">
      <c r="U1496" t="s">
        <v>112</v>
      </c>
      <c r="V1496" t="s">
        <v>1795</v>
      </c>
      <c r="W1496" t="s">
        <v>551</v>
      </c>
      <c r="X1496" t="s">
        <v>547</v>
      </c>
    </row>
    <row r="1497" spans="21:24" x14ac:dyDescent="0.45">
      <c r="U1497" t="s">
        <v>112</v>
      </c>
      <c r="V1497" t="s">
        <v>1796</v>
      </c>
      <c r="W1497" t="s">
        <v>551</v>
      </c>
      <c r="X1497" t="s">
        <v>666</v>
      </c>
    </row>
    <row r="1498" spans="21:24" x14ac:dyDescent="0.45">
      <c r="U1498" t="s">
        <v>112</v>
      </c>
      <c r="V1498" t="s">
        <v>1796</v>
      </c>
      <c r="W1498" t="s">
        <v>551</v>
      </c>
      <c r="X1498" t="s">
        <v>547</v>
      </c>
    </row>
    <row r="1499" spans="21:24" x14ac:dyDescent="0.45">
      <c r="U1499" t="s">
        <v>112</v>
      </c>
      <c r="V1499" t="s">
        <v>1797</v>
      </c>
      <c r="W1499" t="s">
        <v>552</v>
      </c>
      <c r="X1499" t="s">
        <v>666</v>
      </c>
    </row>
    <row r="1500" spans="21:24" x14ac:dyDescent="0.45">
      <c r="U1500" t="s">
        <v>112</v>
      </c>
      <c r="V1500" t="s">
        <v>1797</v>
      </c>
      <c r="W1500" t="s">
        <v>552</v>
      </c>
      <c r="X1500" t="s">
        <v>547</v>
      </c>
    </row>
    <row r="1501" spans="21:24" x14ac:dyDescent="0.45">
      <c r="U1501" t="s">
        <v>112</v>
      </c>
      <c r="V1501" t="s">
        <v>1798</v>
      </c>
      <c r="W1501" t="s">
        <v>552</v>
      </c>
      <c r="X1501" t="s">
        <v>666</v>
      </c>
    </row>
    <row r="1502" spans="21:24" x14ac:dyDescent="0.45">
      <c r="U1502" t="s">
        <v>112</v>
      </c>
      <c r="V1502" t="s">
        <v>1798</v>
      </c>
      <c r="W1502" t="s">
        <v>552</v>
      </c>
      <c r="X1502" t="s">
        <v>547</v>
      </c>
    </row>
    <row r="1503" spans="21:24" x14ac:dyDescent="0.45">
      <c r="U1503" t="s">
        <v>112</v>
      </c>
      <c r="V1503" t="s">
        <v>1799</v>
      </c>
      <c r="W1503" t="s">
        <v>553</v>
      </c>
      <c r="X1503" t="s">
        <v>666</v>
      </c>
    </row>
    <row r="1504" spans="21:24" x14ac:dyDescent="0.45">
      <c r="U1504" t="s">
        <v>112</v>
      </c>
      <c r="V1504" t="s">
        <v>1799</v>
      </c>
      <c r="W1504" t="s">
        <v>553</v>
      </c>
      <c r="X1504" t="s">
        <v>547</v>
      </c>
    </row>
    <row r="1505" spans="21:24" x14ac:dyDescent="0.45">
      <c r="U1505" t="s">
        <v>112</v>
      </c>
      <c r="V1505" t="s">
        <v>1800</v>
      </c>
      <c r="W1505" t="s">
        <v>553</v>
      </c>
      <c r="X1505" t="s">
        <v>666</v>
      </c>
    </row>
    <row r="1506" spans="21:24" x14ac:dyDescent="0.45">
      <c r="U1506" t="s">
        <v>112</v>
      </c>
      <c r="V1506" t="s">
        <v>1800</v>
      </c>
      <c r="W1506" t="s">
        <v>553</v>
      </c>
      <c r="X1506" t="s">
        <v>547</v>
      </c>
    </row>
    <row r="1507" spans="21:24" x14ac:dyDescent="0.45">
      <c r="U1507" t="s">
        <v>112</v>
      </c>
      <c r="V1507" t="s">
        <v>1801</v>
      </c>
      <c r="W1507" t="s">
        <v>554</v>
      </c>
      <c r="X1507" t="s">
        <v>666</v>
      </c>
    </row>
    <row r="1508" spans="21:24" x14ac:dyDescent="0.45">
      <c r="U1508" t="s">
        <v>112</v>
      </c>
      <c r="V1508" t="s">
        <v>1801</v>
      </c>
      <c r="W1508" t="s">
        <v>554</v>
      </c>
      <c r="X1508" t="s">
        <v>547</v>
      </c>
    </row>
    <row r="1509" spans="21:24" x14ac:dyDescent="0.45">
      <c r="U1509" t="s">
        <v>112</v>
      </c>
      <c r="V1509" t="s">
        <v>1802</v>
      </c>
      <c r="W1509" t="s">
        <v>554</v>
      </c>
      <c r="X1509" t="s">
        <v>666</v>
      </c>
    </row>
    <row r="1510" spans="21:24" x14ac:dyDescent="0.45">
      <c r="U1510" t="s">
        <v>112</v>
      </c>
      <c r="V1510" t="s">
        <v>1802</v>
      </c>
      <c r="W1510" t="s">
        <v>554</v>
      </c>
      <c r="X1510" t="s">
        <v>547</v>
      </c>
    </row>
    <row r="1511" spans="21:24" x14ac:dyDescent="0.45">
      <c r="U1511" t="s">
        <v>112</v>
      </c>
      <c r="V1511" t="s">
        <v>1803</v>
      </c>
      <c r="W1511" t="s">
        <v>555</v>
      </c>
      <c r="X1511" t="s">
        <v>666</v>
      </c>
    </row>
    <row r="1512" spans="21:24" x14ac:dyDescent="0.45">
      <c r="U1512" t="s">
        <v>112</v>
      </c>
      <c r="V1512" t="s">
        <v>1803</v>
      </c>
      <c r="W1512" t="s">
        <v>555</v>
      </c>
      <c r="X1512" t="s">
        <v>547</v>
      </c>
    </row>
    <row r="1513" spans="21:24" x14ac:dyDescent="0.45">
      <c r="U1513" t="s">
        <v>112</v>
      </c>
      <c r="V1513" t="s">
        <v>1804</v>
      </c>
      <c r="W1513" t="s">
        <v>555</v>
      </c>
      <c r="X1513" t="s">
        <v>666</v>
      </c>
    </row>
    <row r="1514" spans="21:24" x14ac:dyDescent="0.45">
      <c r="U1514" t="s">
        <v>112</v>
      </c>
      <c r="V1514" t="s">
        <v>1804</v>
      </c>
      <c r="W1514" t="s">
        <v>555</v>
      </c>
      <c r="X1514" t="s">
        <v>547</v>
      </c>
    </row>
    <row r="1515" spans="21:24" x14ac:dyDescent="0.45">
      <c r="U1515" t="s">
        <v>112</v>
      </c>
      <c r="V1515" t="s">
        <v>1805</v>
      </c>
      <c r="W1515" t="s">
        <v>556</v>
      </c>
      <c r="X1515" t="s">
        <v>666</v>
      </c>
    </row>
    <row r="1516" spans="21:24" x14ac:dyDescent="0.45">
      <c r="U1516" t="s">
        <v>112</v>
      </c>
      <c r="V1516" t="s">
        <v>1805</v>
      </c>
      <c r="W1516" t="s">
        <v>556</v>
      </c>
      <c r="X1516" t="s">
        <v>547</v>
      </c>
    </row>
    <row r="1517" spans="21:24" x14ac:dyDescent="0.45">
      <c r="U1517" t="s">
        <v>112</v>
      </c>
      <c r="V1517" t="s">
        <v>1806</v>
      </c>
      <c r="W1517" t="s">
        <v>556</v>
      </c>
      <c r="X1517" t="s">
        <v>666</v>
      </c>
    </row>
    <row r="1518" spans="21:24" x14ac:dyDescent="0.45">
      <c r="U1518" t="s">
        <v>112</v>
      </c>
      <c r="V1518" t="s">
        <v>1806</v>
      </c>
      <c r="W1518" t="s">
        <v>556</v>
      </c>
      <c r="X1518" t="s">
        <v>547</v>
      </c>
    </row>
    <row r="1519" spans="21:24" x14ac:dyDescent="0.45">
      <c r="U1519" t="s">
        <v>112</v>
      </c>
      <c r="V1519" t="s">
        <v>1807</v>
      </c>
      <c r="W1519" t="s">
        <v>557</v>
      </c>
      <c r="X1519" t="s">
        <v>666</v>
      </c>
    </row>
    <row r="1520" spans="21:24" x14ac:dyDescent="0.45">
      <c r="U1520" t="s">
        <v>112</v>
      </c>
      <c r="V1520" t="s">
        <v>1807</v>
      </c>
      <c r="W1520" t="s">
        <v>557</v>
      </c>
      <c r="X1520" t="s">
        <v>547</v>
      </c>
    </row>
    <row r="1521" spans="21:24" x14ac:dyDescent="0.45">
      <c r="U1521" t="s">
        <v>112</v>
      </c>
      <c r="V1521" t="s">
        <v>1808</v>
      </c>
      <c r="W1521" t="s">
        <v>557</v>
      </c>
      <c r="X1521" t="s">
        <v>666</v>
      </c>
    </row>
    <row r="1522" spans="21:24" x14ac:dyDescent="0.45">
      <c r="U1522" t="s">
        <v>112</v>
      </c>
      <c r="V1522" t="s">
        <v>1808</v>
      </c>
      <c r="W1522" t="s">
        <v>557</v>
      </c>
      <c r="X1522" t="s">
        <v>547</v>
      </c>
    </row>
    <row r="1523" spans="21:24" x14ac:dyDescent="0.45">
      <c r="U1523" t="s">
        <v>112</v>
      </c>
      <c r="V1523" t="s">
        <v>1809</v>
      </c>
      <c r="W1523" t="s">
        <v>558</v>
      </c>
      <c r="X1523" t="s">
        <v>666</v>
      </c>
    </row>
    <row r="1524" spans="21:24" x14ac:dyDescent="0.45">
      <c r="U1524" t="s">
        <v>112</v>
      </c>
      <c r="V1524" t="s">
        <v>1809</v>
      </c>
      <c r="W1524" t="s">
        <v>558</v>
      </c>
      <c r="X1524" t="s">
        <v>547</v>
      </c>
    </row>
    <row r="1525" spans="21:24" x14ac:dyDescent="0.45">
      <c r="U1525" t="s">
        <v>112</v>
      </c>
      <c r="V1525" t="s">
        <v>1810</v>
      </c>
      <c r="W1525" t="s">
        <v>558</v>
      </c>
      <c r="X1525" t="s">
        <v>666</v>
      </c>
    </row>
    <row r="1526" spans="21:24" x14ac:dyDescent="0.45">
      <c r="U1526" t="s">
        <v>112</v>
      </c>
      <c r="V1526" t="s">
        <v>1810</v>
      </c>
      <c r="W1526" t="s">
        <v>558</v>
      </c>
      <c r="X1526" t="s">
        <v>547</v>
      </c>
    </row>
    <row r="1527" spans="21:24" x14ac:dyDescent="0.45">
      <c r="U1527" t="s">
        <v>112</v>
      </c>
      <c r="V1527" t="s">
        <v>1811</v>
      </c>
      <c r="W1527" t="s">
        <v>559</v>
      </c>
      <c r="X1527" t="s">
        <v>666</v>
      </c>
    </row>
    <row r="1528" spans="21:24" x14ac:dyDescent="0.45">
      <c r="U1528" t="s">
        <v>112</v>
      </c>
      <c r="V1528" t="s">
        <v>1811</v>
      </c>
      <c r="W1528" t="s">
        <v>559</v>
      </c>
      <c r="X1528" t="s">
        <v>547</v>
      </c>
    </row>
    <row r="1529" spans="21:24" x14ac:dyDescent="0.45">
      <c r="U1529" t="s">
        <v>112</v>
      </c>
      <c r="V1529" t="s">
        <v>1812</v>
      </c>
      <c r="W1529" t="s">
        <v>559</v>
      </c>
      <c r="X1529" t="s">
        <v>666</v>
      </c>
    </row>
    <row r="1530" spans="21:24" x14ac:dyDescent="0.45">
      <c r="U1530" t="s">
        <v>112</v>
      </c>
      <c r="V1530" t="s">
        <v>1812</v>
      </c>
      <c r="W1530" t="s">
        <v>559</v>
      </c>
      <c r="X1530" t="s">
        <v>547</v>
      </c>
    </row>
    <row r="1531" spans="21:24" x14ac:dyDescent="0.45">
      <c r="U1531" t="s">
        <v>112</v>
      </c>
      <c r="V1531" t="s">
        <v>1813</v>
      </c>
      <c r="W1531" t="s">
        <v>560</v>
      </c>
      <c r="X1531" t="s">
        <v>666</v>
      </c>
    </row>
    <row r="1532" spans="21:24" x14ac:dyDescent="0.45">
      <c r="U1532" t="s">
        <v>112</v>
      </c>
      <c r="V1532" t="s">
        <v>1813</v>
      </c>
      <c r="W1532" t="s">
        <v>560</v>
      </c>
      <c r="X1532" t="s">
        <v>547</v>
      </c>
    </row>
    <row r="1533" spans="21:24" x14ac:dyDescent="0.45">
      <c r="U1533" t="s">
        <v>112</v>
      </c>
      <c r="V1533" t="s">
        <v>1814</v>
      </c>
      <c r="W1533" t="s">
        <v>560</v>
      </c>
      <c r="X1533" t="s">
        <v>666</v>
      </c>
    </row>
    <row r="1534" spans="21:24" x14ac:dyDescent="0.45">
      <c r="U1534" t="s">
        <v>112</v>
      </c>
      <c r="V1534" t="s">
        <v>1814</v>
      </c>
      <c r="W1534" t="s">
        <v>560</v>
      </c>
      <c r="X1534" t="s">
        <v>547</v>
      </c>
    </row>
    <row r="1535" spans="21:24" x14ac:dyDescent="0.45">
      <c r="U1535" t="s">
        <v>112</v>
      </c>
      <c r="V1535" t="s">
        <v>1815</v>
      </c>
      <c r="W1535" t="s">
        <v>561</v>
      </c>
      <c r="X1535" t="s">
        <v>666</v>
      </c>
    </row>
    <row r="1536" spans="21:24" x14ac:dyDescent="0.45">
      <c r="U1536" t="s">
        <v>112</v>
      </c>
      <c r="V1536" t="s">
        <v>1815</v>
      </c>
      <c r="W1536" t="s">
        <v>561</v>
      </c>
      <c r="X1536" t="s">
        <v>547</v>
      </c>
    </row>
    <row r="1537" spans="21:24" x14ac:dyDescent="0.45">
      <c r="U1537" t="s">
        <v>112</v>
      </c>
      <c r="V1537" t="s">
        <v>1816</v>
      </c>
      <c r="W1537" t="s">
        <v>561</v>
      </c>
      <c r="X1537" t="s">
        <v>666</v>
      </c>
    </row>
    <row r="1538" spans="21:24" x14ac:dyDescent="0.45">
      <c r="U1538" t="s">
        <v>112</v>
      </c>
      <c r="V1538" t="s">
        <v>1816</v>
      </c>
      <c r="W1538" t="s">
        <v>561</v>
      </c>
      <c r="X1538" t="s">
        <v>547</v>
      </c>
    </row>
    <row r="1539" spans="21:24" x14ac:dyDescent="0.45">
      <c r="U1539" t="s">
        <v>112</v>
      </c>
      <c r="V1539" t="s">
        <v>1817</v>
      </c>
      <c r="W1539" t="s">
        <v>562</v>
      </c>
      <c r="X1539" t="s">
        <v>666</v>
      </c>
    </row>
    <row r="1540" spans="21:24" x14ac:dyDescent="0.45">
      <c r="U1540" t="s">
        <v>112</v>
      </c>
      <c r="V1540" t="s">
        <v>1817</v>
      </c>
      <c r="W1540" t="s">
        <v>562</v>
      </c>
      <c r="X1540" t="s">
        <v>547</v>
      </c>
    </row>
    <row r="1541" spans="21:24" x14ac:dyDescent="0.45">
      <c r="U1541" t="s">
        <v>112</v>
      </c>
      <c r="V1541" t="s">
        <v>1818</v>
      </c>
      <c r="W1541" t="s">
        <v>562</v>
      </c>
      <c r="X1541" t="s">
        <v>666</v>
      </c>
    </row>
    <row r="1542" spans="21:24" x14ac:dyDescent="0.45">
      <c r="U1542" t="s">
        <v>112</v>
      </c>
      <c r="V1542" t="s">
        <v>1818</v>
      </c>
      <c r="W1542" t="s">
        <v>562</v>
      </c>
      <c r="X1542" t="s">
        <v>547</v>
      </c>
    </row>
    <row r="1543" spans="21:24" x14ac:dyDescent="0.45">
      <c r="U1543" t="s">
        <v>112</v>
      </c>
      <c r="V1543" t="s">
        <v>1819</v>
      </c>
      <c r="W1543" t="s">
        <v>563</v>
      </c>
      <c r="X1543" t="s">
        <v>666</v>
      </c>
    </row>
    <row r="1544" spans="21:24" x14ac:dyDescent="0.45">
      <c r="U1544" t="s">
        <v>112</v>
      </c>
      <c r="V1544" t="s">
        <v>1819</v>
      </c>
      <c r="W1544" t="s">
        <v>563</v>
      </c>
      <c r="X1544" t="s">
        <v>547</v>
      </c>
    </row>
    <row r="1545" spans="21:24" x14ac:dyDescent="0.45">
      <c r="U1545" t="s">
        <v>112</v>
      </c>
      <c r="V1545" t="s">
        <v>1820</v>
      </c>
      <c r="W1545" t="s">
        <v>563</v>
      </c>
      <c r="X1545" t="s">
        <v>666</v>
      </c>
    </row>
    <row r="1546" spans="21:24" x14ac:dyDescent="0.45">
      <c r="U1546" t="s">
        <v>112</v>
      </c>
      <c r="V1546" t="s">
        <v>1820</v>
      </c>
      <c r="W1546" t="s">
        <v>563</v>
      </c>
      <c r="X1546" t="s">
        <v>547</v>
      </c>
    </row>
    <row r="1547" spans="21:24" x14ac:dyDescent="0.45">
      <c r="U1547" t="s">
        <v>112</v>
      </c>
      <c r="V1547" t="s">
        <v>1821</v>
      </c>
      <c r="W1547" t="s">
        <v>564</v>
      </c>
      <c r="X1547" t="s">
        <v>666</v>
      </c>
    </row>
    <row r="1548" spans="21:24" x14ac:dyDescent="0.45">
      <c r="U1548" t="s">
        <v>112</v>
      </c>
      <c r="V1548" t="s">
        <v>1821</v>
      </c>
      <c r="W1548" t="s">
        <v>564</v>
      </c>
      <c r="X1548" t="s">
        <v>547</v>
      </c>
    </row>
    <row r="1549" spans="21:24" x14ac:dyDescent="0.45">
      <c r="U1549" t="s">
        <v>112</v>
      </c>
      <c r="V1549" t="s">
        <v>1822</v>
      </c>
      <c r="W1549" t="s">
        <v>564</v>
      </c>
      <c r="X1549" t="s">
        <v>666</v>
      </c>
    </row>
    <row r="1550" spans="21:24" x14ac:dyDescent="0.45">
      <c r="U1550" t="s">
        <v>112</v>
      </c>
      <c r="V1550" t="s">
        <v>1822</v>
      </c>
      <c r="W1550" t="s">
        <v>564</v>
      </c>
      <c r="X1550" t="s">
        <v>547</v>
      </c>
    </row>
    <row r="1551" spans="21:24" x14ac:dyDescent="0.45">
      <c r="U1551" t="s">
        <v>112</v>
      </c>
      <c r="V1551" t="s">
        <v>1823</v>
      </c>
      <c r="W1551" t="s">
        <v>565</v>
      </c>
      <c r="X1551" t="s">
        <v>666</v>
      </c>
    </row>
    <row r="1552" spans="21:24" x14ac:dyDescent="0.45">
      <c r="U1552" t="s">
        <v>112</v>
      </c>
      <c r="V1552" t="s">
        <v>1823</v>
      </c>
      <c r="W1552" t="s">
        <v>565</v>
      </c>
      <c r="X1552" t="s">
        <v>547</v>
      </c>
    </row>
    <row r="1553" spans="21:24" x14ac:dyDescent="0.45">
      <c r="U1553" t="s">
        <v>112</v>
      </c>
      <c r="V1553" t="s">
        <v>1824</v>
      </c>
      <c r="W1553" t="s">
        <v>565</v>
      </c>
      <c r="X1553" t="s">
        <v>666</v>
      </c>
    </row>
    <row r="1554" spans="21:24" x14ac:dyDescent="0.45">
      <c r="U1554" t="s">
        <v>112</v>
      </c>
      <c r="V1554" t="s">
        <v>1824</v>
      </c>
      <c r="W1554" t="s">
        <v>565</v>
      </c>
      <c r="X1554" t="s">
        <v>547</v>
      </c>
    </row>
    <row r="1555" spans="21:24" x14ac:dyDescent="0.45">
      <c r="U1555" t="s">
        <v>112</v>
      </c>
      <c r="V1555" t="s">
        <v>1825</v>
      </c>
      <c r="W1555" t="s">
        <v>566</v>
      </c>
      <c r="X1555" t="s">
        <v>666</v>
      </c>
    </row>
    <row r="1556" spans="21:24" x14ac:dyDescent="0.45">
      <c r="U1556" t="s">
        <v>112</v>
      </c>
      <c r="V1556" t="s">
        <v>1825</v>
      </c>
      <c r="W1556" t="s">
        <v>566</v>
      </c>
      <c r="X1556" t="s">
        <v>547</v>
      </c>
    </row>
    <row r="1557" spans="21:24" x14ac:dyDescent="0.45">
      <c r="U1557" t="s">
        <v>112</v>
      </c>
      <c r="V1557" t="s">
        <v>1826</v>
      </c>
      <c r="W1557" t="s">
        <v>566</v>
      </c>
      <c r="X1557" t="s">
        <v>666</v>
      </c>
    </row>
    <row r="1558" spans="21:24" x14ac:dyDescent="0.45">
      <c r="U1558" t="s">
        <v>112</v>
      </c>
      <c r="V1558" t="s">
        <v>1826</v>
      </c>
      <c r="W1558" t="s">
        <v>566</v>
      </c>
      <c r="X1558" t="s">
        <v>547</v>
      </c>
    </row>
    <row r="1559" spans="21:24" x14ac:dyDescent="0.45">
      <c r="U1559" t="s">
        <v>112</v>
      </c>
      <c r="V1559" t="s">
        <v>1827</v>
      </c>
      <c r="W1559" t="s">
        <v>567</v>
      </c>
      <c r="X1559" t="s">
        <v>666</v>
      </c>
    </row>
    <row r="1560" spans="21:24" x14ac:dyDescent="0.45">
      <c r="U1560" t="s">
        <v>112</v>
      </c>
      <c r="V1560" t="s">
        <v>1827</v>
      </c>
      <c r="W1560" t="s">
        <v>567</v>
      </c>
      <c r="X1560" t="s">
        <v>547</v>
      </c>
    </row>
    <row r="1561" spans="21:24" x14ac:dyDescent="0.45">
      <c r="U1561" t="s">
        <v>112</v>
      </c>
      <c r="V1561" t="s">
        <v>1828</v>
      </c>
      <c r="W1561" t="s">
        <v>567</v>
      </c>
      <c r="X1561" t="s">
        <v>666</v>
      </c>
    </row>
    <row r="1562" spans="21:24" x14ac:dyDescent="0.45">
      <c r="U1562" t="s">
        <v>112</v>
      </c>
      <c r="V1562" t="s">
        <v>1828</v>
      </c>
      <c r="W1562" t="s">
        <v>567</v>
      </c>
      <c r="X1562" t="s">
        <v>547</v>
      </c>
    </row>
    <row r="1563" spans="21:24" x14ac:dyDescent="0.45">
      <c r="U1563" t="s">
        <v>112</v>
      </c>
      <c r="V1563" t="s">
        <v>1829</v>
      </c>
      <c r="W1563" t="s">
        <v>568</v>
      </c>
      <c r="X1563" t="s">
        <v>666</v>
      </c>
    </row>
    <row r="1564" spans="21:24" x14ac:dyDescent="0.45">
      <c r="U1564" t="s">
        <v>112</v>
      </c>
      <c r="V1564" t="s">
        <v>1829</v>
      </c>
      <c r="W1564" t="s">
        <v>568</v>
      </c>
      <c r="X1564" t="s">
        <v>547</v>
      </c>
    </row>
    <row r="1565" spans="21:24" x14ac:dyDescent="0.45">
      <c r="U1565" t="s">
        <v>112</v>
      </c>
      <c r="V1565" t="s">
        <v>1830</v>
      </c>
      <c r="W1565" t="s">
        <v>568</v>
      </c>
      <c r="X1565" t="s">
        <v>666</v>
      </c>
    </row>
    <row r="1566" spans="21:24" x14ac:dyDescent="0.45">
      <c r="U1566" t="s">
        <v>112</v>
      </c>
      <c r="V1566" t="s">
        <v>1830</v>
      </c>
      <c r="W1566" t="s">
        <v>568</v>
      </c>
      <c r="X1566" t="s">
        <v>547</v>
      </c>
    </row>
    <row r="1567" spans="21:24" x14ac:dyDescent="0.45">
      <c r="U1567" t="s">
        <v>112</v>
      </c>
      <c r="V1567" t="s">
        <v>1831</v>
      </c>
      <c r="W1567" t="s">
        <v>569</v>
      </c>
      <c r="X1567" t="s">
        <v>666</v>
      </c>
    </row>
    <row r="1568" spans="21:24" x14ac:dyDescent="0.45">
      <c r="U1568" t="s">
        <v>112</v>
      </c>
      <c r="V1568" t="s">
        <v>1831</v>
      </c>
      <c r="W1568" t="s">
        <v>569</v>
      </c>
      <c r="X1568" t="s">
        <v>547</v>
      </c>
    </row>
    <row r="1569" spans="21:24" x14ac:dyDescent="0.45">
      <c r="U1569" t="s">
        <v>112</v>
      </c>
      <c r="V1569" t="s">
        <v>1832</v>
      </c>
      <c r="W1569" t="s">
        <v>569</v>
      </c>
      <c r="X1569" t="s">
        <v>666</v>
      </c>
    </row>
    <row r="1570" spans="21:24" x14ac:dyDescent="0.45">
      <c r="U1570" t="s">
        <v>112</v>
      </c>
      <c r="V1570" t="s">
        <v>1832</v>
      </c>
      <c r="W1570" t="s">
        <v>569</v>
      </c>
      <c r="X1570" t="s">
        <v>547</v>
      </c>
    </row>
    <row r="1571" spans="21:24" x14ac:dyDescent="0.45">
      <c r="U1571" t="s">
        <v>112</v>
      </c>
      <c r="V1571" t="s">
        <v>1833</v>
      </c>
      <c r="W1571" t="s">
        <v>570</v>
      </c>
      <c r="X1571" t="s">
        <v>666</v>
      </c>
    </row>
    <row r="1572" spans="21:24" x14ac:dyDescent="0.45">
      <c r="U1572" t="s">
        <v>112</v>
      </c>
      <c r="V1572" t="s">
        <v>1833</v>
      </c>
      <c r="W1572" t="s">
        <v>570</v>
      </c>
      <c r="X1572" t="s">
        <v>547</v>
      </c>
    </row>
    <row r="1573" spans="21:24" x14ac:dyDescent="0.45">
      <c r="U1573" t="s">
        <v>112</v>
      </c>
      <c r="V1573" t="s">
        <v>1834</v>
      </c>
      <c r="W1573" t="s">
        <v>570</v>
      </c>
      <c r="X1573" t="s">
        <v>666</v>
      </c>
    </row>
    <row r="1574" spans="21:24" x14ac:dyDescent="0.45">
      <c r="U1574" t="s">
        <v>112</v>
      </c>
      <c r="V1574" t="s">
        <v>1834</v>
      </c>
      <c r="W1574" t="s">
        <v>570</v>
      </c>
      <c r="X1574" t="s">
        <v>547</v>
      </c>
    </row>
    <row r="1575" spans="21:24" x14ac:dyDescent="0.45">
      <c r="U1575" t="s">
        <v>112</v>
      </c>
      <c r="V1575" t="s">
        <v>1835</v>
      </c>
      <c r="W1575" t="s">
        <v>603</v>
      </c>
      <c r="X1575" t="s">
        <v>666</v>
      </c>
    </row>
    <row r="1576" spans="21:24" x14ac:dyDescent="0.45">
      <c r="U1576" t="s">
        <v>112</v>
      </c>
      <c r="V1576" t="s">
        <v>1835</v>
      </c>
      <c r="W1576" t="s">
        <v>603</v>
      </c>
      <c r="X1576" t="s">
        <v>547</v>
      </c>
    </row>
    <row r="1577" spans="21:24" x14ac:dyDescent="0.45">
      <c r="U1577" t="s">
        <v>112</v>
      </c>
      <c r="V1577" t="s">
        <v>1836</v>
      </c>
      <c r="W1577" t="s">
        <v>603</v>
      </c>
      <c r="X1577" t="s">
        <v>666</v>
      </c>
    </row>
    <row r="1578" spans="21:24" x14ac:dyDescent="0.45">
      <c r="U1578" t="s">
        <v>112</v>
      </c>
      <c r="V1578" t="s">
        <v>1836</v>
      </c>
      <c r="W1578" t="s">
        <v>603</v>
      </c>
      <c r="X1578" t="s">
        <v>547</v>
      </c>
    </row>
    <row r="1579" spans="21:24" x14ac:dyDescent="0.45">
      <c r="U1579" t="s">
        <v>112</v>
      </c>
      <c r="V1579" t="s">
        <v>1837</v>
      </c>
      <c r="W1579" t="s">
        <v>571</v>
      </c>
      <c r="X1579" t="s">
        <v>666</v>
      </c>
    </row>
    <row r="1580" spans="21:24" x14ac:dyDescent="0.45">
      <c r="U1580" t="s">
        <v>112</v>
      </c>
      <c r="V1580" t="s">
        <v>1837</v>
      </c>
      <c r="W1580" t="s">
        <v>571</v>
      </c>
      <c r="X1580" t="s">
        <v>547</v>
      </c>
    </row>
    <row r="1581" spans="21:24" x14ac:dyDescent="0.45">
      <c r="U1581" t="s">
        <v>112</v>
      </c>
      <c r="V1581" t="s">
        <v>1838</v>
      </c>
      <c r="W1581" t="s">
        <v>571</v>
      </c>
      <c r="X1581" t="s">
        <v>666</v>
      </c>
    </row>
    <row r="1582" spans="21:24" x14ac:dyDescent="0.45">
      <c r="U1582" t="s">
        <v>112</v>
      </c>
      <c r="V1582" t="s">
        <v>1838</v>
      </c>
      <c r="W1582" t="s">
        <v>571</v>
      </c>
      <c r="X1582" t="s">
        <v>547</v>
      </c>
    </row>
    <row r="1583" spans="21:24" x14ac:dyDescent="0.45">
      <c r="U1583" t="s">
        <v>112</v>
      </c>
      <c r="V1583" t="s">
        <v>1839</v>
      </c>
      <c r="W1583" t="s">
        <v>572</v>
      </c>
      <c r="X1583" t="s">
        <v>666</v>
      </c>
    </row>
    <row r="1584" spans="21:24" x14ac:dyDescent="0.45">
      <c r="U1584" t="s">
        <v>112</v>
      </c>
      <c r="V1584" t="s">
        <v>1839</v>
      </c>
      <c r="W1584" t="s">
        <v>572</v>
      </c>
      <c r="X1584" t="s">
        <v>547</v>
      </c>
    </row>
    <row r="1585" spans="21:24" x14ac:dyDescent="0.45">
      <c r="U1585" t="s">
        <v>112</v>
      </c>
      <c r="V1585" t="s">
        <v>1840</v>
      </c>
      <c r="W1585" t="s">
        <v>572</v>
      </c>
      <c r="X1585" t="s">
        <v>666</v>
      </c>
    </row>
    <row r="1586" spans="21:24" x14ac:dyDescent="0.45">
      <c r="U1586" t="s">
        <v>112</v>
      </c>
      <c r="V1586" t="s">
        <v>1840</v>
      </c>
      <c r="W1586" t="s">
        <v>572</v>
      </c>
      <c r="X1586" t="s">
        <v>547</v>
      </c>
    </row>
    <row r="1587" spans="21:24" x14ac:dyDescent="0.45">
      <c r="U1587" t="s">
        <v>112</v>
      </c>
      <c r="V1587" t="s">
        <v>1841</v>
      </c>
      <c r="W1587" t="s">
        <v>573</v>
      </c>
      <c r="X1587" t="s">
        <v>666</v>
      </c>
    </row>
    <row r="1588" spans="21:24" x14ac:dyDescent="0.45">
      <c r="U1588" t="s">
        <v>112</v>
      </c>
      <c r="V1588" t="s">
        <v>1841</v>
      </c>
      <c r="W1588" t="s">
        <v>573</v>
      </c>
      <c r="X1588" t="s">
        <v>547</v>
      </c>
    </row>
    <row r="1589" spans="21:24" x14ac:dyDescent="0.45">
      <c r="U1589" t="s">
        <v>112</v>
      </c>
      <c r="V1589" t="s">
        <v>1842</v>
      </c>
      <c r="W1589" t="s">
        <v>573</v>
      </c>
      <c r="X1589" t="s">
        <v>666</v>
      </c>
    </row>
    <row r="1590" spans="21:24" x14ac:dyDescent="0.45">
      <c r="U1590" t="s">
        <v>112</v>
      </c>
      <c r="V1590" t="s">
        <v>1842</v>
      </c>
      <c r="W1590" t="s">
        <v>573</v>
      </c>
      <c r="X1590" t="s">
        <v>547</v>
      </c>
    </row>
    <row r="1591" spans="21:24" x14ac:dyDescent="0.45">
      <c r="U1591" t="s">
        <v>112</v>
      </c>
      <c r="V1591" t="s">
        <v>1843</v>
      </c>
      <c r="W1591" t="s">
        <v>604</v>
      </c>
      <c r="X1591" t="s">
        <v>666</v>
      </c>
    </row>
    <row r="1592" spans="21:24" x14ac:dyDescent="0.45">
      <c r="U1592" t="s">
        <v>112</v>
      </c>
      <c r="V1592" t="s">
        <v>1843</v>
      </c>
      <c r="W1592" t="s">
        <v>604</v>
      </c>
      <c r="X1592" t="s">
        <v>547</v>
      </c>
    </row>
    <row r="1593" spans="21:24" x14ac:dyDescent="0.45">
      <c r="U1593" t="s">
        <v>112</v>
      </c>
      <c r="V1593" t="s">
        <v>1844</v>
      </c>
      <c r="W1593" t="s">
        <v>604</v>
      </c>
      <c r="X1593" t="s">
        <v>666</v>
      </c>
    </row>
    <row r="1594" spans="21:24" x14ac:dyDescent="0.45">
      <c r="U1594" t="s">
        <v>112</v>
      </c>
      <c r="V1594" t="s">
        <v>1844</v>
      </c>
      <c r="W1594" t="s">
        <v>604</v>
      </c>
      <c r="X1594" t="s">
        <v>547</v>
      </c>
    </row>
    <row r="1595" spans="21:24" x14ac:dyDescent="0.45">
      <c r="U1595" t="s">
        <v>112</v>
      </c>
      <c r="V1595" t="s">
        <v>1845</v>
      </c>
      <c r="W1595" t="s">
        <v>574</v>
      </c>
      <c r="X1595" t="s">
        <v>666</v>
      </c>
    </row>
    <row r="1596" spans="21:24" x14ac:dyDescent="0.45">
      <c r="U1596" t="s">
        <v>112</v>
      </c>
      <c r="V1596" t="s">
        <v>1845</v>
      </c>
      <c r="W1596" t="s">
        <v>574</v>
      </c>
      <c r="X1596" t="s">
        <v>547</v>
      </c>
    </row>
    <row r="1597" spans="21:24" x14ac:dyDescent="0.45">
      <c r="U1597" t="s">
        <v>112</v>
      </c>
      <c r="V1597" t="s">
        <v>1846</v>
      </c>
      <c r="W1597" t="s">
        <v>574</v>
      </c>
      <c r="X1597" t="s">
        <v>666</v>
      </c>
    </row>
    <row r="1598" spans="21:24" x14ac:dyDescent="0.45">
      <c r="U1598" t="s">
        <v>112</v>
      </c>
      <c r="V1598" t="s">
        <v>1846</v>
      </c>
      <c r="W1598" t="s">
        <v>574</v>
      </c>
      <c r="X1598" t="s">
        <v>547</v>
      </c>
    </row>
    <row r="1599" spans="21:24" x14ac:dyDescent="0.45">
      <c r="U1599" t="s">
        <v>112</v>
      </c>
      <c r="V1599" t="s">
        <v>1847</v>
      </c>
      <c r="W1599" t="s">
        <v>575</v>
      </c>
      <c r="X1599" t="s">
        <v>666</v>
      </c>
    </row>
    <row r="1600" spans="21:24" x14ac:dyDescent="0.45">
      <c r="U1600" t="s">
        <v>112</v>
      </c>
      <c r="V1600" t="s">
        <v>1847</v>
      </c>
      <c r="W1600" t="s">
        <v>575</v>
      </c>
      <c r="X1600" t="s">
        <v>547</v>
      </c>
    </row>
    <row r="1601" spans="21:24" x14ac:dyDescent="0.45">
      <c r="U1601" t="s">
        <v>112</v>
      </c>
      <c r="V1601" t="s">
        <v>1848</v>
      </c>
      <c r="W1601" t="s">
        <v>575</v>
      </c>
      <c r="X1601" t="s">
        <v>666</v>
      </c>
    </row>
    <row r="1602" spans="21:24" x14ac:dyDescent="0.45">
      <c r="U1602" t="s">
        <v>112</v>
      </c>
      <c r="V1602" t="s">
        <v>1848</v>
      </c>
      <c r="W1602" t="s">
        <v>575</v>
      </c>
      <c r="X1602" t="s">
        <v>547</v>
      </c>
    </row>
    <row r="1603" spans="21:24" x14ac:dyDescent="0.45">
      <c r="U1603" t="s">
        <v>112</v>
      </c>
      <c r="V1603" t="s">
        <v>1849</v>
      </c>
      <c r="W1603" t="s">
        <v>576</v>
      </c>
      <c r="X1603" t="s">
        <v>666</v>
      </c>
    </row>
    <row r="1604" spans="21:24" x14ac:dyDescent="0.45">
      <c r="U1604" t="s">
        <v>112</v>
      </c>
      <c r="V1604" t="s">
        <v>1849</v>
      </c>
      <c r="W1604" t="s">
        <v>576</v>
      </c>
      <c r="X1604" t="s">
        <v>547</v>
      </c>
    </row>
    <row r="1605" spans="21:24" x14ac:dyDescent="0.45">
      <c r="U1605" t="s">
        <v>112</v>
      </c>
      <c r="V1605" t="s">
        <v>1850</v>
      </c>
      <c r="W1605" t="s">
        <v>576</v>
      </c>
      <c r="X1605" t="s">
        <v>666</v>
      </c>
    </row>
    <row r="1606" spans="21:24" x14ac:dyDescent="0.45">
      <c r="U1606" t="s">
        <v>112</v>
      </c>
      <c r="V1606" t="s">
        <v>1850</v>
      </c>
      <c r="W1606" t="s">
        <v>576</v>
      </c>
      <c r="X1606" t="s">
        <v>547</v>
      </c>
    </row>
    <row r="1607" spans="21:24" x14ac:dyDescent="0.45">
      <c r="U1607" t="s">
        <v>112</v>
      </c>
      <c r="V1607" t="s">
        <v>1851</v>
      </c>
      <c r="W1607" t="s">
        <v>577</v>
      </c>
      <c r="X1607" t="s">
        <v>666</v>
      </c>
    </row>
    <row r="1608" spans="21:24" x14ac:dyDescent="0.45">
      <c r="U1608" t="s">
        <v>112</v>
      </c>
      <c r="V1608" t="s">
        <v>1851</v>
      </c>
      <c r="W1608" t="s">
        <v>577</v>
      </c>
      <c r="X1608" t="s">
        <v>547</v>
      </c>
    </row>
    <row r="1609" spans="21:24" x14ac:dyDescent="0.45">
      <c r="U1609" t="s">
        <v>112</v>
      </c>
      <c r="V1609" t="s">
        <v>1852</v>
      </c>
      <c r="W1609" t="s">
        <v>577</v>
      </c>
      <c r="X1609" t="s">
        <v>666</v>
      </c>
    </row>
    <row r="1610" spans="21:24" x14ac:dyDescent="0.45">
      <c r="U1610" t="s">
        <v>112</v>
      </c>
      <c r="V1610" t="s">
        <v>1852</v>
      </c>
      <c r="W1610" t="s">
        <v>577</v>
      </c>
      <c r="X1610" t="s">
        <v>547</v>
      </c>
    </row>
    <row r="1611" spans="21:24" x14ac:dyDescent="0.45">
      <c r="U1611" t="s">
        <v>112</v>
      </c>
      <c r="V1611" t="s">
        <v>1853</v>
      </c>
      <c r="W1611" t="s">
        <v>578</v>
      </c>
      <c r="X1611" t="s">
        <v>666</v>
      </c>
    </row>
    <row r="1612" spans="21:24" x14ac:dyDescent="0.45">
      <c r="U1612" t="s">
        <v>112</v>
      </c>
      <c r="V1612" t="s">
        <v>1853</v>
      </c>
      <c r="W1612" t="s">
        <v>578</v>
      </c>
      <c r="X1612" t="s">
        <v>547</v>
      </c>
    </row>
    <row r="1613" spans="21:24" x14ac:dyDescent="0.45">
      <c r="U1613" t="s">
        <v>112</v>
      </c>
      <c r="V1613" t="s">
        <v>1854</v>
      </c>
      <c r="W1613" t="s">
        <v>578</v>
      </c>
      <c r="X1613" t="s">
        <v>666</v>
      </c>
    </row>
    <row r="1614" spans="21:24" x14ac:dyDescent="0.45">
      <c r="U1614" t="s">
        <v>112</v>
      </c>
      <c r="V1614" t="s">
        <v>1854</v>
      </c>
      <c r="W1614" t="s">
        <v>578</v>
      </c>
      <c r="X1614" t="s">
        <v>547</v>
      </c>
    </row>
    <row r="1615" spans="21:24" x14ac:dyDescent="0.45">
      <c r="U1615" t="s">
        <v>112</v>
      </c>
      <c r="V1615" t="s">
        <v>1855</v>
      </c>
      <c r="W1615" t="s">
        <v>579</v>
      </c>
      <c r="X1615" t="s">
        <v>666</v>
      </c>
    </row>
    <row r="1616" spans="21:24" x14ac:dyDescent="0.45">
      <c r="U1616" t="s">
        <v>112</v>
      </c>
      <c r="V1616" t="s">
        <v>1855</v>
      </c>
      <c r="W1616" t="s">
        <v>579</v>
      </c>
      <c r="X1616" t="s">
        <v>547</v>
      </c>
    </row>
    <row r="1617" spans="21:24" x14ac:dyDescent="0.45">
      <c r="U1617" t="s">
        <v>112</v>
      </c>
      <c r="V1617" t="s">
        <v>1856</v>
      </c>
      <c r="W1617" t="s">
        <v>579</v>
      </c>
      <c r="X1617" t="s">
        <v>666</v>
      </c>
    </row>
    <row r="1618" spans="21:24" x14ac:dyDescent="0.45">
      <c r="U1618" t="s">
        <v>112</v>
      </c>
      <c r="V1618" t="s">
        <v>1856</v>
      </c>
      <c r="W1618" t="s">
        <v>579</v>
      </c>
      <c r="X1618" t="s">
        <v>547</v>
      </c>
    </row>
    <row r="1619" spans="21:24" x14ac:dyDescent="0.45">
      <c r="U1619" t="s">
        <v>112</v>
      </c>
      <c r="V1619" t="s">
        <v>1857</v>
      </c>
      <c r="W1619" t="s">
        <v>580</v>
      </c>
      <c r="X1619" t="s">
        <v>666</v>
      </c>
    </row>
    <row r="1620" spans="21:24" x14ac:dyDescent="0.45">
      <c r="U1620" t="s">
        <v>112</v>
      </c>
      <c r="V1620" t="s">
        <v>1857</v>
      </c>
      <c r="W1620" t="s">
        <v>580</v>
      </c>
      <c r="X1620" t="s">
        <v>547</v>
      </c>
    </row>
    <row r="1621" spans="21:24" x14ac:dyDescent="0.45">
      <c r="U1621" t="s">
        <v>112</v>
      </c>
      <c r="V1621" t="s">
        <v>1858</v>
      </c>
      <c r="W1621" t="s">
        <v>580</v>
      </c>
      <c r="X1621" t="s">
        <v>666</v>
      </c>
    </row>
    <row r="1622" spans="21:24" x14ac:dyDescent="0.45">
      <c r="U1622" t="s">
        <v>112</v>
      </c>
      <c r="V1622" t="s">
        <v>1858</v>
      </c>
      <c r="W1622" t="s">
        <v>580</v>
      </c>
      <c r="X1622" t="s">
        <v>547</v>
      </c>
    </row>
    <row r="1623" spans="21:24" x14ac:dyDescent="0.45">
      <c r="U1623" t="s">
        <v>112</v>
      </c>
      <c r="V1623" t="s">
        <v>1859</v>
      </c>
      <c r="W1623" t="s">
        <v>581</v>
      </c>
      <c r="X1623" t="s">
        <v>666</v>
      </c>
    </row>
    <row r="1624" spans="21:24" x14ac:dyDescent="0.45">
      <c r="U1624" t="s">
        <v>112</v>
      </c>
      <c r="V1624" t="s">
        <v>1859</v>
      </c>
      <c r="W1624" t="s">
        <v>581</v>
      </c>
      <c r="X1624" t="s">
        <v>547</v>
      </c>
    </row>
    <row r="1625" spans="21:24" x14ac:dyDescent="0.45">
      <c r="U1625" t="s">
        <v>112</v>
      </c>
      <c r="V1625" t="s">
        <v>1860</v>
      </c>
      <c r="W1625" t="s">
        <v>581</v>
      </c>
      <c r="X1625" t="s">
        <v>666</v>
      </c>
    </row>
    <row r="1626" spans="21:24" x14ac:dyDescent="0.45">
      <c r="U1626" t="s">
        <v>112</v>
      </c>
      <c r="V1626" t="s">
        <v>1860</v>
      </c>
      <c r="W1626" t="s">
        <v>581</v>
      </c>
      <c r="X1626" t="s">
        <v>547</v>
      </c>
    </row>
    <row r="1627" spans="21:24" x14ac:dyDescent="0.45">
      <c r="U1627" t="s">
        <v>112</v>
      </c>
      <c r="V1627" t="s">
        <v>1861</v>
      </c>
      <c r="W1627" t="s">
        <v>582</v>
      </c>
      <c r="X1627" t="s">
        <v>666</v>
      </c>
    </row>
    <row r="1628" spans="21:24" x14ac:dyDescent="0.45">
      <c r="U1628" t="s">
        <v>112</v>
      </c>
      <c r="V1628" t="s">
        <v>1861</v>
      </c>
      <c r="W1628" t="s">
        <v>582</v>
      </c>
      <c r="X1628" t="s">
        <v>547</v>
      </c>
    </row>
    <row r="1629" spans="21:24" x14ac:dyDescent="0.45">
      <c r="U1629" t="s">
        <v>112</v>
      </c>
      <c r="V1629" t="s">
        <v>1862</v>
      </c>
      <c r="W1629" t="s">
        <v>582</v>
      </c>
      <c r="X1629" t="s">
        <v>666</v>
      </c>
    </row>
    <row r="1630" spans="21:24" x14ac:dyDescent="0.45">
      <c r="U1630" t="s">
        <v>112</v>
      </c>
      <c r="V1630" t="s">
        <v>1862</v>
      </c>
      <c r="W1630" t="s">
        <v>582</v>
      </c>
      <c r="X1630" t="s">
        <v>547</v>
      </c>
    </row>
    <row r="1631" spans="21:24" x14ac:dyDescent="0.45">
      <c r="U1631" t="s">
        <v>112</v>
      </c>
      <c r="V1631" t="s">
        <v>1863</v>
      </c>
      <c r="W1631" t="s">
        <v>583</v>
      </c>
      <c r="X1631" t="s">
        <v>666</v>
      </c>
    </row>
    <row r="1632" spans="21:24" x14ac:dyDescent="0.45">
      <c r="U1632" t="s">
        <v>112</v>
      </c>
      <c r="V1632" t="s">
        <v>1863</v>
      </c>
      <c r="W1632" t="s">
        <v>583</v>
      </c>
      <c r="X1632" t="s">
        <v>547</v>
      </c>
    </row>
    <row r="1633" spans="21:24" x14ac:dyDescent="0.45">
      <c r="U1633" t="s">
        <v>112</v>
      </c>
      <c r="V1633" t="s">
        <v>1864</v>
      </c>
      <c r="W1633" t="s">
        <v>583</v>
      </c>
      <c r="X1633" t="s">
        <v>666</v>
      </c>
    </row>
    <row r="1634" spans="21:24" x14ac:dyDescent="0.45">
      <c r="U1634" t="s">
        <v>112</v>
      </c>
      <c r="V1634" t="s">
        <v>1864</v>
      </c>
      <c r="W1634" t="s">
        <v>583</v>
      </c>
      <c r="X1634" t="s">
        <v>547</v>
      </c>
    </row>
    <row r="1635" spans="21:24" x14ac:dyDescent="0.45">
      <c r="U1635" t="s">
        <v>112</v>
      </c>
      <c r="V1635" t="s">
        <v>1865</v>
      </c>
      <c r="W1635" t="s">
        <v>584</v>
      </c>
      <c r="X1635" t="s">
        <v>666</v>
      </c>
    </row>
    <row r="1636" spans="21:24" x14ac:dyDescent="0.45">
      <c r="U1636" t="s">
        <v>112</v>
      </c>
      <c r="V1636" t="s">
        <v>1865</v>
      </c>
      <c r="W1636" t="s">
        <v>584</v>
      </c>
      <c r="X1636" t="s">
        <v>547</v>
      </c>
    </row>
    <row r="1637" spans="21:24" x14ac:dyDescent="0.45">
      <c r="U1637" t="s">
        <v>112</v>
      </c>
      <c r="V1637" t="s">
        <v>1866</v>
      </c>
      <c r="W1637" t="s">
        <v>584</v>
      </c>
      <c r="X1637" t="s">
        <v>666</v>
      </c>
    </row>
    <row r="1638" spans="21:24" x14ac:dyDescent="0.45">
      <c r="U1638" t="s">
        <v>112</v>
      </c>
      <c r="V1638" t="s">
        <v>1866</v>
      </c>
      <c r="W1638" t="s">
        <v>584</v>
      </c>
      <c r="X1638" t="s">
        <v>547</v>
      </c>
    </row>
    <row r="1639" spans="21:24" x14ac:dyDescent="0.45">
      <c r="U1639" t="s">
        <v>112</v>
      </c>
      <c r="V1639" t="s">
        <v>1867</v>
      </c>
      <c r="W1639" t="s">
        <v>585</v>
      </c>
      <c r="X1639" t="s">
        <v>666</v>
      </c>
    </row>
    <row r="1640" spans="21:24" x14ac:dyDescent="0.45">
      <c r="U1640" t="s">
        <v>112</v>
      </c>
      <c r="V1640" t="s">
        <v>1867</v>
      </c>
      <c r="W1640" t="s">
        <v>585</v>
      </c>
      <c r="X1640" t="s">
        <v>547</v>
      </c>
    </row>
    <row r="1641" spans="21:24" x14ac:dyDescent="0.45">
      <c r="U1641" t="s">
        <v>112</v>
      </c>
      <c r="V1641" t="s">
        <v>1868</v>
      </c>
      <c r="W1641" t="s">
        <v>585</v>
      </c>
      <c r="X1641" t="s">
        <v>666</v>
      </c>
    </row>
    <row r="1642" spans="21:24" x14ac:dyDescent="0.45">
      <c r="U1642" t="s">
        <v>112</v>
      </c>
      <c r="V1642" t="s">
        <v>1868</v>
      </c>
      <c r="W1642" t="s">
        <v>585</v>
      </c>
      <c r="X1642" t="s">
        <v>547</v>
      </c>
    </row>
    <row r="1643" spans="21:24" x14ac:dyDescent="0.45">
      <c r="U1643" t="s">
        <v>112</v>
      </c>
      <c r="V1643" t="s">
        <v>1869</v>
      </c>
      <c r="W1643" t="s">
        <v>586</v>
      </c>
      <c r="X1643" t="s">
        <v>666</v>
      </c>
    </row>
    <row r="1644" spans="21:24" x14ac:dyDescent="0.45">
      <c r="U1644" t="s">
        <v>112</v>
      </c>
      <c r="V1644" t="s">
        <v>1869</v>
      </c>
      <c r="W1644" t="s">
        <v>586</v>
      </c>
      <c r="X1644" t="s">
        <v>547</v>
      </c>
    </row>
    <row r="1645" spans="21:24" x14ac:dyDescent="0.45">
      <c r="U1645" t="s">
        <v>112</v>
      </c>
      <c r="V1645" t="s">
        <v>1870</v>
      </c>
      <c r="W1645" t="s">
        <v>586</v>
      </c>
      <c r="X1645" t="s">
        <v>666</v>
      </c>
    </row>
    <row r="1646" spans="21:24" x14ac:dyDescent="0.45">
      <c r="U1646" t="s">
        <v>112</v>
      </c>
      <c r="V1646" t="s">
        <v>1870</v>
      </c>
      <c r="W1646" t="s">
        <v>586</v>
      </c>
      <c r="X1646" t="s">
        <v>547</v>
      </c>
    </row>
    <row r="1647" spans="21:24" x14ac:dyDescent="0.45">
      <c r="U1647" t="s">
        <v>112</v>
      </c>
      <c r="V1647" t="s">
        <v>1871</v>
      </c>
      <c r="W1647" t="s">
        <v>587</v>
      </c>
      <c r="X1647" t="s">
        <v>666</v>
      </c>
    </row>
    <row r="1648" spans="21:24" x14ac:dyDescent="0.45">
      <c r="U1648" t="s">
        <v>112</v>
      </c>
      <c r="V1648" t="s">
        <v>1871</v>
      </c>
      <c r="W1648" t="s">
        <v>587</v>
      </c>
      <c r="X1648" t="s">
        <v>547</v>
      </c>
    </row>
    <row r="1649" spans="21:24" x14ac:dyDescent="0.45">
      <c r="U1649" t="s">
        <v>112</v>
      </c>
      <c r="V1649" t="s">
        <v>1872</v>
      </c>
      <c r="W1649" t="s">
        <v>587</v>
      </c>
      <c r="X1649" t="s">
        <v>666</v>
      </c>
    </row>
    <row r="1650" spans="21:24" x14ac:dyDescent="0.45">
      <c r="U1650" t="s">
        <v>112</v>
      </c>
      <c r="V1650" t="s">
        <v>1872</v>
      </c>
      <c r="W1650" t="s">
        <v>587</v>
      </c>
      <c r="X1650" t="s">
        <v>547</v>
      </c>
    </row>
    <row r="1651" spans="21:24" x14ac:dyDescent="0.45">
      <c r="U1651" t="s">
        <v>112</v>
      </c>
      <c r="V1651" t="s">
        <v>1873</v>
      </c>
      <c r="W1651" t="s">
        <v>588</v>
      </c>
      <c r="X1651" t="s">
        <v>666</v>
      </c>
    </row>
    <row r="1652" spans="21:24" x14ac:dyDescent="0.45">
      <c r="U1652" t="s">
        <v>112</v>
      </c>
      <c r="V1652" t="s">
        <v>1873</v>
      </c>
      <c r="W1652" t="s">
        <v>588</v>
      </c>
      <c r="X1652" t="s">
        <v>547</v>
      </c>
    </row>
    <row r="1653" spans="21:24" x14ac:dyDescent="0.45">
      <c r="U1653" t="s">
        <v>112</v>
      </c>
      <c r="V1653" t="s">
        <v>1874</v>
      </c>
      <c r="W1653" t="s">
        <v>588</v>
      </c>
      <c r="X1653" t="s">
        <v>666</v>
      </c>
    </row>
    <row r="1654" spans="21:24" x14ac:dyDescent="0.45">
      <c r="U1654" t="s">
        <v>112</v>
      </c>
      <c r="V1654" t="s">
        <v>1874</v>
      </c>
      <c r="W1654" t="s">
        <v>588</v>
      </c>
      <c r="X1654" t="s">
        <v>547</v>
      </c>
    </row>
    <row r="1655" spans="21:24" x14ac:dyDescent="0.45">
      <c r="U1655" t="s">
        <v>112</v>
      </c>
      <c r="V1655" t="s">
        <v>1875</v>
      </c>
      <c r="W1655" t="s">
        <v>589</v>
      </c>
      <c r="X1655" t="s">
        <v>666</v>
      </c>
    </row>
    <row r="1656" spans="21:24" x14ac:dyDescent="0.45">
      <c r="U1656" t="s">
        <v>112</v>
      </c>
      <c r="V1656" t="s">
        <v>1875</v>
      </c>
      <c r="W1656" t="s">
        <v>589</v>
      </c>
      <c r="X1656" t="s">
        <v>547</v>
      </c>
    </row>
    <row r="1657" spans="21:24" x14ac:dyDescent="0.45">
      <c r="U1657" t="s">
        <v>112</v>
      </c>
      <c r="V1657" t="s">
        <v>1876</v>
      </c>
      <c r="W1657" t="s">
        <v>589</v>
      </c>
      <c r="X1657" t="s">
        <v>666</v>
      </c>
    </row>
    <row r="1658" spans="21:24" x14ac:dyDescent="0.45">
      <c r="U1658" t="s">
        <v>112</v>
      </c>
      <c r="V1658" t="s">
        <v>1876</v>
      </c>
      <c r="W1658" t="s">
        <v>589</v>
      </c>
      <c r="X1658" t="s">
        <v>547</v>
      </c>
    </row>
    <row r="1659" spans="21:24" x14ac:dyDescent="0.45">
      <c r="U1659" t="s">
        <v>112</v>
      </c>
      <c r="V1659" t="s">
        <v>1877</v>
      </c>
      <c r="W1659" t="s">
        <v>590</v>
      </c>
      <c r="X1659" t="s">
        <v>666</v>
      </c>
    </row>
    <row r="1660" spans="21:24" x14ac:dyDescent="0.45">
      <c r="U1660" t="s">
        <v>112</v>
      </c>
      <c r="V1660" t="s">
        <v>1877</v>
      </c>
      <c r="W1660" t="s">
        <v>590</v>
      </c>
      <c r="X1660" t="s">
        <v>547</v>
      </c>
    </row>
    <row r="1661" spans="21:24" x14ac:dyDescent="0.45">
      <c r="U1661" t="s">
        <v>112</v>
      </c>
      <c r="V1661" t="s">
        <v>1878</v>
      </c>
      <c r="W1661" t="s">
        <v>590</v>
      </c>
      <c r="X1661" t="s">
        <v>666</v>
      </c>
    </row>
    <row r="1662" spans="21:24" x14ac:dyDescent="0.45">
      <c r="U1662" t="s">
        <v>112</v>
      </c>
      <c r="V1662" t="s">
        <v>1878</v>
      </c>
      <c r="W1662" t="s">
        <v>590</v>
      </c>
      <c r="X1662" t="s">
        <v>547</v>
      </c>
    </row>
    <row r="1663" spans="21:24" x14ac:dyDescent="0.45">
      <c r="U1663" t="s">
        <v>112</v>
      </c>
      <c r="V1663" t="s">
        <v>1879</v>
      </c>
      <c r="W1663" t="s">
        <v>591</v>
      </c>
      <c r="X1663" t="s">
        <v>666</v>
      </c>
    </row>
    <row r="1664" spans="21:24" x14ac:dyDescent="0.45">
      <c r="U1664" t="s">
        <v>112</v>
      </c>
      <c r="V1664" t="s">
        <v>1879</v>
      </c>
      <c r="W1664" t="s">
        <v>591</v>
      </c>
      <c r="X1664" t="s">
        <v>547</v>
      </c>
    </row>
    <row r="1665" spans="21:24" x14ac:dyDescent="0.45">
      <c r="U1665" t="s">
        <v>112</v>
      </c>
      <c r="V1665" t="s">
        <v>1880</v>
      </c>
      <c r="W1665" t="s">
        <v>591</v>
      </c>
      <c r="X1665" t="s">
        <v>666</v>
      </c>
    </row>
    <row r="1666" spans="21:24" x14ac:dyDescent="0.45">
      <c r="U1666" t="s">
        <v>112</v>
      </c>
      <c r="V1666" t="s">
        <v>1880</v>
      </c>
      <c r="W1666" t="s">
        <v>591</v>
      </c>
      <c r="X1666" t="s">
        <v>547</v>
      </c>
    </row>
    <row r="1667" spans="21:24" x14ac:dyDescent="0.45">
      <c r="U1667" t="s">
        <v>112</v>
      </c>
      <c r="V1667" t="s">
        <v>1881</v>
      </c>
      <c r="W1667" t="s">
        <v>592</v>
      </c>
      <c r="X1667" t="s">
        <v>666</v>
      </c>
    </row>
    <row r="1668" spans="21:24" x14ac:dyDescent="0.45">
      <c r="U1668" t="s">
        <v>112</v>
      </c>
      <c r="V1668" t="s">
        <v>1881</v>
      </c>
      <c r="W1668" t="s">
        <v>592</v>
      </c>
      <c r="X1668" t="s">
        <v>547</v>
      </c>
    </row>
    <row r="1669" spans="21:24" x14ac:dyDescent="0.45">
      <c r="U1669" t="s">
        <v>112</v>
      </c>
      <c r="V1669" t="s">
        <v>1882</v>
      </c>
      <c r="W1669" t="s">
        <v>592</v>
      </c>
      <c r="X1669" t="s">
        <v>666</v>
      </c>
    </row>
    <row r="1670" spans="21:24" x14ac:dyDescent="0.45">
      <c r="U1670" t="s">
        <v>112</v>
      </c>
      <c r="V1670" t="s">
        <v>1882</v>
      </c>
      <c r="W1670" t="s">
        <v>592</v>
      </c>
      <c r="X1670" t="s">
        <v>547</v>
      </c>
    </row>
    <row r="1671" spans="21:24" x14ac:dyDescent="0.45">
      <c r="U1671" t="s">
        <v>112</v>
      </c>
      <c r="V1671" t="s">
        <v>1883</v>
      </c>
      <c r="W1671" t="s">
        <v>593</v>
      </c>
      <c r="X1671" t="s">
        <v>666</v>
      </c>
    </row>
    <row r="1672" spans="21:24" x14ac:dyDescent="0.45">
      <c r="U1672" t="s">
        <v>112</v>
      </c>
      <c r="V1672" t="s">
        <v>1883</v>
      </c>
      <c r="W1672" t="s">
        <v>593</v>
      </c>
      <c r="X1672" t="s">
        <v>547</v>
      </c>
    </row>
    <row r="1673" spans="21:24" x14ac:dyDescent="0.45">
      <c r="U1673" t="s">
        <v>112</v>
      </c>
      <c r="V1673" t="s">
        <v>1884</v>
      </c>
      <c r="W1673" t="s">
        <v>593</v>
      </c>
      <c r="X1673" t="s">
        <v>666</v>
      </c>
    </row>
    <row r="1674" spans="21:24" x14ac:dyDescent="0.45">
      <c r="U1674" t="s">
        <v>112</v>
      </c>
      <c r="V1674" t="s">
        <v>1884</v>
      </c>
      <c r="W1674" t="s">
        <v>593</v>
      </c>
      <c r="X1674" t="s">
        <v>547</v>
      </c>
    </row>
    <row r="1675" spans="21:24" x14ac:dyDescent="0.45">
      <c r="U1675" t="s">
        <v>112</v>
      </c>
      <c r="V1675" t="s">
        <v>1885</v>
      </c>
      <c r="W1675" t="s">
        <v>594</v>
      </c>
      <c r="X1675" t="s">
        <v>666</v>
      </c>
    </row>
    <row r="1676" spans="21:24" x14ac:dyDescent="0.45">
      <c r="U1676" t="s">
        <v>112</v>
      </c>
      <c r="V1676" t="s">
        <v>1885</v>
      </c>
      <c r="W1676" t="s">
        <v>594</v>
      </c>
      <c r="X1676" t="s">
        <v>547</v>
      </c>
    </row>
    <row r="1677" spans="21:24" x14ac:dyDescent="0.45">
      <c r="U1677" t="s">
        <v>112</v>
      </c>
      <c r="V1677" t="s">
        <v>1886</v>
      </c>
      <c r="W1677" t="s">
        <v>594</v>
      </c>
      <c r="X1677" t="s">
        <v>666</v>
      </c>
    </row>
    <row r="1678" spans="21:24" x14ac:dyDescent="0.45">
      <c r="U1678" t="s">
        <v>112</v>
      </c>
      <c r="V1678" t="s">
        <v>1886</v>
      </c>
      <c r="W1678" t="s">
        <v>594</v>
      </c>
      <c r="X1678" t="s">
        <v>547</v>
      </c>
    </row>
    <row r="1679" spans="21:24" x14ac:dyDescent="0.45">
      <c r="U1679" t="s">
        <v>112</v>
      </c>
      <c r="V1679" t="s">
        <v>1887</v>
      </c>
      <c r="W1679" t="s">
        <v>595</v>
      </c>
      <c r="X1679" t="s">
        <v>666</v>
      </c>
    </row>
    <row r="1680" spans="21:24" x14ac:dyDescent="0.45">
      <c r="U1680" t="s">
        <v>112</v>
      </c>
      <c r="V1680" t="s">
        <v>1887</v>
      </c>
      <c r="W1680" t="s">
        <v>595</v>
      </c>
      <c r="X1680" t="s">
        <v>547</v>
      </c>
    </row>
    <row r="1681" spans="21:24" x14ac:dyDescent="0.45">
      <c r="U1681" t="s">
        <v>112</v>
      </c>
      <c r="V1681" t="s">
        <v>1888</v>
      </c>
      <c r="W1681" t="s">
        <v>595</v>
      </c>
      <c r="X1681" t="s">
        <v>666</v>
      </c>
    </row>
    <row r="1682" spans="21:24" x14ac:dyDescent="0.45">
      <c r="U1682" t="s">
        <v>112</v>
      </c>
      <c r="V1682" t="s">
        <v>1888</v>
      </c>
      <c r="W1682" t="s">
        <v>595</v>
      </c>
      <c r="X1682" t="s">
        <v>547</v>
      </c>
    </row>
    <row r="1683" spans="21:24" x14ac:dyDescent="0.45">
      <c r="U1683" t="s">
        <v>112</v>
      </c>
      <c r="V1683" t="s">
        <v>1889</v>
      </c>
      <c r="W1683" t="s">
        <v>596</v>
      </c>
      <c r="X1683" t="s">
        <v>666</v>
      </c>
    </row>
    <row r="1684" spans="21:24" x14ac:dyDescent="0.45">
      <c r="U1684" t="s">
        <v>112</v>
      </c>
      <c r="V1684" t="s">
        <v>1889</v>
      </c>
      <c r="W1684" t="s">
        <v>596</v>
      </c>
      <c r="X1684" t="s">
        <v>547</v>
      </c>
    </row>
    <row r="1685" spans="21:24" x14ac:dyDescent="0.45">
      <c r="U1685" t="s">
        <v>112</v>
      </c>
      <c r="V1685" t="s">
        <v>1890</v>
      </c>
      <c r="W1685" t="s">
        <v>596</v>
      </c>
      <c r="X1685" t="s">
        <v>666</v>
      </c>
    </row>
    <row r="1686" spans="21:24" x14ac:dyDescent="0.45">
      <c r="U1686" t="s">
        <v>112</v>
      </c>
      <c r="V1686" t="s">
        <v>1890</v>
      </c>
      <c r="W1686" t="s">
        <v>596</v>
      </c>
      <c r="X1686" t="s">
        <v>547</v>
      </c>
    </row>
    <row r="1687" spans="21:24" x14ac:dyDescent="0.45">
      <c r="U1687" t="s">
        <v>112</v>
      </c>
      <c r="V1687" t="s">
        <v>1891</v>
      </c>
      <c r="W1687" t="s">
        <v>597</v>
      </c>
      <c r="X1687" t="s">
        <v>666</v>
      </c>
    </row>
    <row r="1688" spans="21:24" x14ac:dyDescent="0.45">
      <c r="U1688" t="s">
        <v>112</v>
      </c>
      <c r="V1688" t="s">
        <v>1891</v>
      </c>
      <c r="W1688" t="s">
        <v>597</v>
      </c>
      <c r="X1688" t="s">
        <v>547</v>
      </c>
    </row>
    <row r="1689" spans="21:24" x14ac:dyDescent="0.45">
      <c r="U1689" t="s">
        <v>112</v>
      </c>
      <c r="V1689" t="s">
        <v>1892</v>
      </c>
      <c r="W1689" t="s">
        <v>597</v>
      </c>
      <c r="X1689" t="s">
        <v>666</v>
      </c>
    </row>
    <row r="1690" spans="21:24" x14ac:dyDescent="0.45">
      <c r="U1690" t="s">
        <v>112</v>
      </c>
      <c r="V1690" t="s">
        <v>1892</v>
      </c>
      <c r="W1690" t="s">
        <v>597</v>
      </c>
      <c r="X1690" t="s">
        <v>547</v>
      </c>
    </row>
    <row r="1691" spans="21:24" x14ac:dyDescent="0.45">
      <c r="U1691" t="s">
        <v>112</v>
      </c>
      <c r="V1691" t="s">
        <v>1893</v>
      </c>
      <c r="W1691" t="s">
        <v>598</v>
      </c>
      <c r="X1691" t="s">
        <v>666</v>
      </c>
    </row>
    <row r="1692" spans="21:24" x14ac:dyDescent="0.45">
      <c r="U1692" t="s">
        <v>112</v>
      </c>
      <c r="V1692" t="s">
        <v>1893</v>
      </c>
      <c r="W1692" t="s">
        <v>598</v>
      </c>
      <c r="X1692" t="s">
        <v>547</v>
      </c>
    </row>
    <row r="1693" spans="21:24" x14ac:dyDescent="0.45">
      <c r="U1693" t="s">
        <v>112</v>
      </c>
      <c r="V1693" t="s">
        <v>1894</v>
      </c>
      <c r="W1693" t="s">
        <v>598</v>
      </c>
      <c r="X1693" t="s">
        <v>666</v>
      </c>
    </row>
    <row r="1694" spans="21:24" x14ac:dyDescent="0.45">
      <c r="U1694" t="s">
        <v>112</v>
      </c>
      <c r="V1694" t="s">
        <v>1894</v>
      </c>
      <c r="W1694" t="s">
        <v>598</v>
      </c>
      <c r="X1694" t="s">
        <v>547</v>
      </c>
    </row>
    <row r="1695" spans="21:24" x14ac:dyDescent="0.45">
      <c r="U1695" t="s">
        <v>112</v>
      </c>
      <c r="V1695" t="s">
        <v>1895</v>
      </c>
      <c r="W1695" t="s">
        <v>605</v>
      </c>
      <c r="X1695" t="s">
        <v>666</v>
      </c>
    </row>
    <row r="1696" spans="21:24" x14ac:dyDescent="0.45">
      <c r="U1696" t="s">
        <v>112</v>
      </c>
      <c r="V1696" t="s">
        <v>1895</v>
      </c>
      <c r="W1696" t="s">
        <v>605</v>
      </c>
      <c r="X1696" t="s">
        <v>547</v>
      </c>
    </row>
    <row r="1697" spans="21:24" x14ac:dyDescent="0.45">
      <c r="U1697" t="s">
        <v>112</v>
      </c>
      <c r="V1697" t="s">
        <v>1896</v>
      </c>
      <c r="W1697" t="s">
        <v>605</v>
      </c>
      <c r="X1697" t="s">
        <v>666</v>
      </c>
    </row>
    <row r="1698" spans="21:24" x14ac:dyDescent="0.45">
      <c r="U1698" t="s">
        <v>112</v>
      </c>
      <c r="V1698" t="s">
        <v>1896</v>
      </c>
      <c r="W1698" t="s">
        <v>605</v>
      </c>
      <c r="X1698" t="s">
        <v>547</v>
      </c>
    </row>
    <row r="1699" spans="21:24" x14ac:dyDescent="0.45">
      <c r="U1699" t="s">
        <v>112</v>
      </c>
      <c r="V1699" t="s">
        <v>1897</v>
      </c>
      <c r="W1699" t="s">
        <v>599</v>
      </c>
      <c r="X1699" t="s">
        <v>666</v>
      </c>
    </row>
    <row r="1700" spans="21:24" x14ac:dyDescent="0.45">
      <c r="U1700" t="s">
        <v>112</v>
      </c>
      <c r="V1700" t="s">
        <v>1897</v>
      </c>
      <c r="W1700" t="s">
        <v>599</v>
      </c>
      <c r="X1700" t="s">
        <v>547</v>
      </c>
    </row>
    <row r="1701" spans="21:24" x14ac:dyDescent="0.45">
      <c r="U1701" t="s">
        <v>112</v>
      </c>
      <c r="V1701" t="s">
        <v>1898</v>
      </c>
      <c r="W1701" t="s">
        <v>599</v>
      </c>
      <c r="X1701" t="s">
        <v>666</v>
      </c>
    </row>
    <row r="1702" spans="21:24" x14ac:dyDescent="0.45">
      <c r="U1702" t="s">
        <v>112</v>
      </c>
      <c r="V1702" t="s">
        <v>1898</v>
      </c>
      <c r="W1702" t="s">
        <v>599</v>
      </c>
      <c r="X1702" t="s">
        <v>547</v>
      </c>
    </row>
    <row r="1703" spans="21:24" x14ac:dyDescent="0.45">
      <c r="U1703" t="s">
        <v>112</v>
      </c>
      <c r="V1703" t="s">
        <v>1899</v>
      </c>
      <c r="W1703" t="s">
        <v>600</v>
      </c>
      <c r="X1703" t="s">
        <v>666</v>
      </c>
    </row>
    <row r="1704" spans="21:24" x14ac:dyDescent="0.45">
      <c r="U1704" t="s">
        <v>112</v>
      </c>
      <c r="V1704" t="s">
        <v>1899</v>
      </c>
      <c r="W1704" t="s">
        <v>600</v>
      </c>
      <c r="X1704" t="s">
        <v>547</v>
      </c>
    </row>
    <row r="1705" spans="21:24" x14ac:dyDescent="0.45">
      <c r="U1705" t="s">
        <v>112</v>
      </c>
      <c r="V1705" t="s">
        <v>1900</v>
      </c>
      <c r="W1705" t="s">
        <v>600</v>
      </c>
      <c r="X1705" t="s">
        <v>666</v>
      </c>
    </row>
    <row r="1706" spans="21:24" x14ac:dyDescent="0.45">
      <c r="U1706" t="s">
        <v>112</v>
      </c>
      <c r="V1706" t="s">
        <v>1900</v>
      </c>
      <c r="W1706" t="s">
        <v>600</v>
      </c>
      <c r="X1706" t="s">
        <v>547</v>
      </c>
    </row>
    <row r="1707" spans="21:24" x14ac:dyDescent="0.45">
      <c r="U1707" t="s">
        <v>112</v>
      </c>
      <c r="V1707" t="s">
        <v>1901</v>
      </c>
      <c r="W1707" t="s">
        <v>601</v>
      </c>
      <c r="X1707" t="s">
        <v>666</v>
      </c>
    </row>
    <row r="1708" spans="21:24" x14ac:dyDescent="0.45">
      <c r="U1708" t="s">
        <v>112</v>
      </c>
      <c r="V1708" t="s">
        <v>1901</v>
      </c>
      <c r="W1708" t="s">
        <v>601</v>
      </c>
      <c r="X1708" t="s">
        <v>547</v>
      </c>
    </row>
    <row r="1709" spans="21:24" x14ac:dyDescent="0.45">
      <c r="U1709" t="s">
        <v>112</v>
      </c>
      <c r="V1709" t="s">
        <v>1902</v>
      </c>
      <c r="W1709" t="s">
        <v>601</v>
      </c>
      <c r="X1709" t="s">
        <v>666</v>
      </c>
    </row>
    <row r="1710" spans="21:24" x14ac:dyDescent="0.45">
      <c r="U1710" t="s">
        <v>112</v>
      </c>
      <c r="V1710" t="s">
        <v>1902</v>
      </c>
      <c r="W1710" t="s">
        <v>601</v>
      </c>
      <c r="X1710" t="s">
        <v>547</v>
      </c>
    </row>
    <row r="1711" spans="21:24" x14ac:dyDescent="0.45">
      <c r="U1711" t="s">
        <v>112</v>
      </c>
      <c r="V1711" t="s">
        <v>1903</v>
      </c>
      <c r="W1711" t="s">
        <v>602</v>
      </c>
      <c r="X1711" t="s">
        <v>666</v>
      </c>
    </row>
    <row r="1712" spans="21:24" x14ac:dyDescent="0.45">
      <c r="U1712" t="s">
        <v>112</v>
      </c>
      <c r="V1712" t="s">
        <v>1903</v>
      </c>
      <c r="W1712" t="s">
        <v>602</v>
      </c>
      <c r="X1712" t="s">
        <v>547</v>
      </c>
    </row>
    <row r="1713" spans="21:24" x14ac:dyDescent="0.45">
      <c r="U1713" t="s">
        <v>112</v>
      </c>
      <c r="V1713" t="s">
        <v>1904</v>
      </c>
      <c r="W1713" t="s">
        <v>602</v>
      </c>
      <c r="X1713" t="s">
        <v>666</v>
      </c>
    </row>
    <row r="1714" spans="21:24" x14ac:dyDescent="0.45">
      <c r="U1714" t="s">
        <v>112</v>
      </c>
      <c r="V1714" t="s">
        <v>1904</v>
      </c>
      <c r="W1714" t="s">
        <v>602</v>
      </c>
      <c r="X1714" t="s">
        <v>547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32B47-B050-499F-A1C9-7EC7BDD0CBC6}">
  <dimension ref="B9:L24"/>
  <sheetViews>
    <sheetView workbookViewId="0"/>
  </sheetViews>
  <sheetFormatPr defaultRowHeight="14.25" x14ac:dyDescent="0.45"/>
  <sheetData>
    <row r="9" spans="2:12" x14ac:dyDescent="0.45">
      <c r="B9" t="s">
        <v>75</v>
      </c>
    </row>
    <row r="10" spans="2:12" x14ac:dyDescent="0.45">
      <c r="B10" t="s">
        <v>76</v>
      </c>
      <c r="C10" t="s">
        <v>77</v>
      </c>
      <c r="D10" t="s">
        <v>78</v>
      </c>
      <c r="E10" t="s">
        <v>79</v>
      </c>
      <c r="F10" t="s">
        <v>80</v>
      </c>
      <c r="G10" t="s">
        <v>81</v>
      </c>
      <c r="H10" t="s">
        <v>82</v>
      </c>
      <c r="I10" t="s">
        <v>83</v>
      </c>
      <c r="J10" t="s">
        <v>84</v>
      </c>
      <c r="K10" t="s">
        <v>85</v>
      </c>
      <c r="L10" t="s">
        <v>86</v>
      </c>
    </row>
    <row r="11" spans="2:12" x14ac:dyDescent="0.45">
      <c r="B11">
        <v>2030</v>
      </c>
      <c r="C11" t="s">
        <v>87</v>
      </c>
      <c r="D11" t="s">
        <v>88</v>
      </c>
      <c r="E11">
        <v>82</v>
      </c>
      <c r="F11" t="s">
        <v>89</v>
      </c>
      <c r="G11" t="s">
        <v>90</v>
      </c>
      <c r="H11" t="s">
        <v>91</v>
      </c>
      <c r="I11" s="10">
        <v>45924</v>
      </c>
      <c r="J11" t="s">
        <v>92</v>
      </c>
      <c r="K11" t="s">
        <v>93</v>
      </c>
    </row>
    <row r="12" spans="2:12" x14ac:dyDescent="0.45">
      <c r="B12">
        <v>2030</v>
      </c>
      <c r="C12" t="s">
        <v>94</v>
      </c>
      <c r="D12" t="s">
        <v>88</v>
      </c>
      <c r="E12">
        <v>554</v>
      </c>
      <c r="F12" t="s">
        <v>89</v>
      </c>
      <c r="G12" t="s">
        <v>90</v>
      </c>
      <c r="H12" t="s">
        <v>91</v>
      </c>
      <c r="I12" s="10">
        <v>45924</v>
      </c>
      <c r="J12" t="s">
        <v>92</v>
      </c>
      <c r="K12" t="s">
        <v>93</v>
      </c>
    </row>
    <row r="13" spans="2:12" x14ac:dyDescent="0.45">
      <c r="B13">
        <v>2030</v>
      </c>
      <c r="C13" t="s">
        <v>95</v>
      </c>
      <c r="D13" t="s">
        <v>88</v>
      </c>
      <c r="F13" t="s">
        <v>89</v>
      </c>
      <c r="G13" t="s">
        <v>90</v>
      </c>
      <c r="H13" t="s">
        <v>91</v>
      </c>
      <c r="I13" s="10">
        <v>45924</v>
      </c>
      <c r="J13" t="s">
        <v>92</v>
      </c>
      <c r="K13" t="s">
        <v>93</v>
      </c>
    </row>
    <row r="14" spans="2:12" x14ac:dyDescent="0.45">
      <c r="B14">
        <v>2030</v>
      </c>
      <c r="C14" t="s">
        <v>96</v>
      </c>
      <c r="D14" t="s">
        <v>88</v>
      </c>
      <c r="F14" t="s">
        <v>89</v>
      </c>
      <c r="G14" t="s">
        <v>90</v>
      </c>
      <c r="H14" t="s">
        <v>91</v>
      </c>
      <c r="I14" s="10">
        <v>45924</v>
      </c>
      <c r="J14" t="s">
        <v>92</v>
      </c>
      <c r="K14" t="s">
        <v>93</v>
      </c>
    </row>
    <row r="15" spans="2:12" x14ac:dyDescent="0.45">
      <c r="B15">
        <v>2030</v>
      </c>
      <c r="C15" t="s">
        <v>97</v>
      </c>
      <c r="D15" t="s">
        <v>88</v>
      </c>
      <c r="E15">
        <v>2604</v>
      </c>
      <c r="F15" t="s">
        <v>89</v>
      </c>
      <c r="G15" t="s">
        <v>90</v>
      </c>
      <c r="H15" t="s">
        <v>91</v>
      </c>
      <c r="I15" s="10">
        <v>45924</v>
      </c>
      <c r="J15" t="s">
        <v>92</v>
      </c>
      <c r="K15" t="s">
        <v>93</v>
      </c>
    </row>
    <row r="16" spans="2:12" ht="409.5" x14ac:dyDescent="0.45">
      <c r="B16">
        <v>2030</v>
      </c>
      <c r="C16" t="s">
        <v>87</v>
      </c>
      <c r="D16" t="s">
        <v>88</v>
      </c>
      <c r="E16">
        <v>82</v>
      </c>
      <c r="F16" t="s">
        <v>98</v>
      </c>
      <c r="G16" t="s">
        <v>99</v>
      </c>
      <c r="H16" t="s">
        <v>100</v>
      </c>
      <c r="I16" s="10">
        <v>44256</v>
      </c>
      <c r="J16" t="s">
        <v>101</v>
      </c>
      <c r="K16" t="s">
        <v>102</v>
      </c>
      <c r="L16" s="11" t="s">
        <v>103</v>
      </c>
    </row>
    <row r="17" spans="2:12" ht="409.5" x14ac:dyDescent="0.45">
      <c r="B17">
        <v>2030</v>
      </c>
      <c r="C17" t="s">
        <v>104</v>
      </c>
      <c r="D17" t="s">
        <v>88</v>
      </c>
      <c r="E17">
        <v>1050</v>
      </c>
      <c r="F17" t="s">
        <v>98</v>
      </c>
      <c r="G17" t="s">
        <v>99</v>
      </c>
      <c r="H17" t="s">
        <v>100</v>
      </c>
      <c r="I17" s="10">
        <v>44256</v>
      </c>
      <c r="J17" t="s">
        <v>101</v>
      </c>
      <c r="K17" t="s">
        <v>102</v>
      </c>
      <c r="L17" s="11" t="s">
        <v>103</v>
      </c>
    </row>
    <row r="18" spans="2:12" ht="409.5" x14ac:dyDescent="0.45">
      <c r="B18">
        <v>2030</v>
      </c>
      <c r="C18" t="s">
        <v>105</v>
      </c>
      <c r="D18" t="s">
        <v>88</v>
      </c>
      <c r="E18">
        <v>185</v>
      </c>
      <c r="F18" t="s">
        <v>98</v>
      </c>
      <c r="G18" t="s">
        <v>99</v>
      </c>
      <c r="H18" t="s">
        <v>100</v>
      </c>
      <c r="I18" s="10">
        <v>44256</v>
      </c>
      <c r="J18" t="s">
        <v>101</v>
      </c>
      <c r="K18" t="s">
        <v>102</v>
      </c>
      <c r="L18" s="11" t="s">
        <v>103</v>
      </c>
    </row>
    <row r="19" spans="2:12" ht="409.5" x14ac:dyDescent="0.45">
      <c r="B19">
        <v>2030</v>
      </c>
      <c r="C19" t="s">
        <v>94</v>
      </c>
      <c r="D19" t="s">
        <v>88</v>
      </c>
      <c r="E19">
        <v>554</v>
      </c>
      <c r="F19" t="s">
        <v>98</v>
      </c>
      <c r="G19" t="s">
        <v>99</v>
      </c>
      <c r="H19" t="s">
        <v>100</v>
      </c>
      <c r="I19" s="10">
        <v>44256</v>
      </c>
      <c r="J19" t="s">
        <v>101</v>
      </c>
      <c r="K19" t="s">
        <v>102</v>
      </c>
      <c r="L19" s="11" t="s">
        <v>103</v>
      </c>
    </row>
    <row r="20" spans="2:12" ht="409.5" x14ac:dyDescent="0.45">
      <c r="B20">
        <v>2030</v>
      </c>
      <c r="C20" t="s">
        <v>106</v>
      </c>
      <c r="D20" t="s">
        <v>88</v>
      </c>
      <c r="E20">
        <v>108</v>
      </c>
      <c r="F20" t="s">
        <v>98</v>
      </c>
      <c r="G20" t="s">
        <v>99</v>
      </c>
      <c r="H20" t="s">
        <v>100</v>
      </c>
      <c r="I20" s="10">
        <v>44256</v>
      </c>
      <c r="J20" t="s">
        <v>101</v>
      </c>
      <c r="K20" t="s">
        <v>102</v>
      </c>
      <c r="L20" s="11" t="s">
        <v>103</v>
      </c>
    </row>
    <row r="21" spans="2:12" ht="409.5" x14ac:dyDescent="0.45">
      <c r="B21">
        <v>2030</v>
      </c>
      <c r="C21" t="s">
        <v>95</v>
      </c>
      <c r="D21" t="s">
        <v>88</v>
      </c>
      <c r="E21">
        <v>1025</v>
      </c>
      <c r="F21" t="s">
        <v>98</v>
      </c>
      <c r="G21" t="s">
        <v>99</v>
      </c>
      <c r="H21" t="s">
        <v>100</v>
      </c>
      <c r="I21" s="10">
        <v>44256</v>
      </c>
      <c r="J21" t="s">
        <v>101</v>
      </c>
      <c r="K21" t="s">
        <v>102</v>
      </c>
      <c r="L21" s="11" t="s">
        <v>103</v>
      </c>
    </row>
    <row r="22" spans="2:12" ht="409.5" x14ac:dyDescent="0.45">
      <c r="B22">
        <v>2030</v>
      </c>
      <c r="C22" t="s">
        <v>107</v>
      </c>
      <c r="D22" t="s">
        <v>88</v>
      </c>
      <c r="E22">
        <v>130</v>
      </c>
      <c r="F22" t="s">
        <v>98</v>
      </c>
      <c r="G22" t="s">
        <v>99</v>
      </c>
      <c r="H22" t="s">
        <v>100</v>
      </c>
      <c r="I22" s="10">
        <v>44256</v>
      </c>
      <c r="J22" t="s">
        <v>101</v>
      </c>
      <c r="K22" t="s">
        <v>102</v>
      </c>
      <c r="L22" s="11" t="s">
        <v>103</v>
      </c>
    </row>
    <row r="23" spans="2:12" ht="409.5" x14ac:dyDescent="0.45">
      <c r="B23">
        <v>2030</v>
      </c>
      <c r="C23" t="s">
        <v>96</v>
      </c>
      <c r="D23" t="s">
        <v>88</v>
      </c>
      <c r="E23">
        <v>800</v>
      </c>
      <c r="F23" t="s">
        <v>98</v>
      </c>
      <c r="G23" t="s">
        <v>99</v>
      </c>
      <c r="H23" t="s">
        <v>100</v>
      </c>
      <c r="I23" s="10">
        <v>44256</v>
      </c>
      <c r="J23" t="s">
        <v>101</v>
      </c>
      <c r="K23" t="s">
        <v>102</v>
      </c>
      <c r="L23" s="11" t="s">
        <v>103</v>
      </c>
    </row>
    <row r="24" spans="2:12" ht="409.5" x14ac:dyDescent="0.45">
      <c r="B24">
        <v>2030</v>
      </c>
      <c r="C24" t="s">
        <v>108</v>
      </c>
      <c r="D24" t="s">
        <v>109</v>
      </c>
      <c r="E24">
        <v>52.5</v>
      </c>
      <c r="F24" t="s">
        <v>98</v>
      </c>
      <c r="G24" t="s">
        <v>99</v>
      </c>
      <c r="H24" t="s">
        <v>100</v>
      </c>
      <c r="I24" s="10">
        <v>44256</v>
      </c>
      <c r="J24" t="s">
        <v>101</v>
      </c>
      <c r="K24" t="s">
        <v>102</v>
      </c>
      <c r="L24" s="11" t="s">
        <v>103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0.15200672915164623</v>
      </c>
      <c r="H3" s="3">
        <v>1.278955930307023</v>
      </c>
      <c r="I3" s="3">
        <v>0.14503725066089884</v>
      </c>
      <c r="J3" s="3">
        <v>0.6356188753732932</v>
      </c>
      <c r="O3" t="s">
        <v>0</v>
      </c>
    </row>
    <row r="4" spans="6:31" x14ac:dyDescent="0.45">
      <c r="F4" t="s">
        <v>3</v>
      </c>
      <c r="G4" s="3">
        <v>0.51512265827310522</v>
      </c>
      <c r="H4" s="3">
        <v>0.71836355146407838</v>
      </c>
      <c r="I4" s="3">
        <v>0.47600815752987458</v>
      </c>
      <c r="J4" s="3">
        <v>0.65184623636217554</v>
      </c>
    </row>
    <row r="5" spans="6:31" x14ac:dyDescent="0.45">
      <c r="F5" t="s">
        <v>5</v>
      </c>
      <c r="G5" s="3">
        <v>0.11606739940188003</v>
      </c>
      <c r="H5" s="3">
        <v>0.40911540315947698</v>
      </c>
      <c r="I5" s="3">
        <v>0.20606231736886824</v>
      </c>
      <c r="J5" s="3">
        <v>0.36369227889314532</v>
      </c>
    </row>
    <row r="6" spans="6:31" x14ac:dyDescent="0.45">
      <c r="F6" t="s">
        <v>72</v>
      </c>
      <c r="G6" s="3"/>
      <c r="H6" s="3"/>
      <c r="I6" s="3">
        <v>0.43125317097919835</v>
      </c>
      <c r="J6" s="3">
        <v>0.66214792242189502</v>
      </c>
      <c r="N6" t="s">
        <v>68</v>
      </c>
      <c r="Y6" t="s">
        <v>7</v>
      </c>
    </row>
    <row r="7" spans="6:31" x14ac:dyDescent="0.45">
      <c r="F7" t="s">
        <v>4</v>
      </c>
      <c r="G7" s="3">
        <v>0.34148311239263884</v>
      </c>
      <c r="H7" s="3">
        <v>0.44773601457588236</v>
      </c>
      <c r="I7" s="3">
        <v>0.31995752352042411</v>
      </c>
      <c r="J7" s="3">
        <v>0.41793910173855464</v>
      </c>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15</v>
      </c>
      <c r="G8" s="3">
        <v>0.58426099005849585</v>
      </c>
      <c r="H8" s="3">
        <v>0.91596431241878462</v>
      </c>
      <c r="I8" s="3">
        <v>0.58449907522151878</v>
      </c>
      <c r="J8" s="3">
        <v>0.91654717230578353</v>
      </c>
      <c r="N8" t="s">
        <v>16</v>
      </c>
      <c r="O8" t="s">
        <v>3</v>
      </c>
      <c r="P8" s="1" t="s">
        <v>71</v>
      </c>
      <c r="Q8" s="2">
        <f>-1/8.76</f>
        <v>-0.11415525114155252</v>
      </c>
      <c r="S8" s="2">
        <f>VLOOKUP(O8,$F$3:$J$11,3,FALSE)</f>
        <v>0.71836355146407838</v>
      </c>
      <c r="T8" s="2">
        <f>MIN(S8*$U$1,0.95)</f>
        <v>0.95</v>
      </c>
      <c r="U8">
        <v>0</v>
      </c>
      <c r="V8">
        <v>3</v>
      </c>
      <c r="Y8" t="s">
        <v>17</v>
      </c>
      <c r="Z8" t="s">
        <v>3</v>
      </c>
      <c r="AA8">
        <f>-1/8.76</f>
        <v>-0.11415525114155252</v>
      </c>
      <c r="AB8" s="2">
        <f>VLOOKUP(Z8,$F$3:$J$11,2,FALSE)</f>
        <v>0.51512265827310522</v>
      </c>
      <c r="AC8">
        <f>AB8*$W$1</f>
        <v>0.10302453165462105</v>
      </c>
      <c r="AD8">
        <v>0</v>
      </c>
      <c r="AE8">
        <v>3</v>
      </c>
    </row>
    <row r="9" spans="6:31" x14ac:dyDescent="0.45">
      <c r="F9" t="s">
        <v>18</v>
      </c>
      <c r="G9" s="3">
        <v>0.16811198588525106</v>
      </c>
      <c r="H9" s="3">
        <v>1.8025526764592619</v>
      </c>
      <c r="I9" s="3">
        <v>0.15240254384481106</v>
      </c>
      <c r="J9" s="3">
        <v>2.4627609371631523</v>
      </c>
      <c r="N9" t="s">
        <v>19</v>
      </c>
      <c r="O9" t="s">
        <v>5</v>
      </c>
      <c r="P9" s="1" t="str">
        <f>P8</f>
        <v>-CO2Captured,-co2[_]*</v>
      </c>
      <c r="Q9" s="2">
        <f>-1/8.76</f>
        <v>-0.11415525114155252</v>
      </c>
      <c r="S9" s="2">
        <f>VLOOKUP(O9,$F$3:$J$11,3,FALSE)</f>
        <v>0.40911540315947698</v>
      </c>
      <c r="T9" s="2">
        <f>MIN(S9*$U$1,0.95)</f>
        <v>0.61367310473921544</v>
      </c>
      <c r="U9">
        <v>0</v>
      </c>
      <c r="V9">
        <v>3</v>
      </c>
      <c r="Y9" t="s">
        <v>20</v>
      </c>
      <c r="Z9" t="s">
        <v>5</v>
      </c>
      <c r="AA9">
        <f>-1/8.76</f>
        <v>-0.11415525114155252</v>
      </c>
      <c r="AB9" s="2">
        <f>VLOOKUP(Z9,$F$3:$J$11,2,FALSE)</f>
        <v>0.11606739940188003</v>
      </c>
      <c r="AC9">
        <f>AB9*$W$1</f>
        <v>2.3213479880376007E-2</v>
      </c>
      <c r="AD9">
        <v>0</v>
      </c>
      <c r="AE9">
        <v>3</v>
      </c>
    </row>
    <row r="10" spans="6:31" ht="14.65" customHeight="1" x14ac:dyDescent="0.45">
      <c r="F10" t="s">
        <v>6</v>
      </c>
      <c r="G10" s="3">
        <v>5.3799518696778958E-2</v>
      </c>
      <c r="H10" s="3">
        <v>0.12475375057670762</v>
      </c>
      <c r="I10" s="3">
        <v>5.6557997665933037E-2</v>
      </c>
      <c r="J10" s="3">
        <v>0.13950188967178132</v>
      </c>
      <c r="N10" t="s">
        <v>19</v>
      </c>
      <c r="O10" t="s">
        <v>15</v>
      </c>
      <c r="P10" s="1" t="str">
        <f>P9</f>
        <v>-CO2Captured,-co2[_]*</v>
      </c>
      <c r="Q10" s="2">
        <f>-1/8.76</f>
        <v>-0.11415525114155252</v>
      </c>
      <c r="S10" s="2">
        <f>VLOOKUP(O10,$F$3:$J$11,3,FALSE)</f>
        <v>0.91596431241878462</v>
      </c>
      <c r="T10" s="2">
        <f>MIN(S10*$U$1,0.95)</f>
        <v>0.95</v>
      </c>
      <c r="U10">
        <v>0</v>
      </c>
      <c r="V10">
        <v>3</v>
      </c>
      <c r="Y10" t="s">
        <v>66</v>
      </c>
      <c r="Z10" t="s">
        <v>18</v>
      </c>
      <c r="AA10">
        <f>-1/8.76</f>
        <v>-0.11415525114155252</v>
      </c>
      <c r="AB10" s="2">
        <f>VLOOKUP(Z10,$F$3:$J$11,2,FALSE)</f>
        <v>0.16811198588525106</v>
      </c>
      <c r="AC10" s="9">
        <f>AB10*$W$1</f>
        <v>3.3622397177050213E-2</v>
      </c>
      <c r="AD10">
        <v>0</v>
      </c>
      <c r="AE10">
        <v>3</v>
      </c>
    </row>
    <row r="11" spans="6:31" ht="14.65" customHeight="1" x14ac:dyDescent="0.45">
      <c r="F11" t="s">
        <v>73</v>
      </c>
      <c r="G11" s="3"/>
      <c r="H11" s="3"/>
      <c r="I11" s="3">
        <v>0.15494672754946728</v>
      </c>
      <c r="J11" s="3">
        <v>0.23825035528292213</v>
      </c>
    </row>
    <row r="12" spans="6:31" x14ac:dyDescent="0.45">
      <c r="F12" t="s">
        <v>74</v>
      </c>
      <c r="G12" s="3">
        <v>0.14894542291802565</v>
      </c>
      <c r="H12" s="3">
        <v>0.23790246307828139</v>
      </c>
      <c r="I12" s="3">
        <v>0.15441290009485364</v>
      </c>
      <c r="J12" s="3">
        <v>0.23809685019903898</v>
      </c>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138.82499999999999</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110</v>
      </c>
    </row>
    <row r="10" spans="2:10" x14ac:dyDescent="0.45">
      <c r="B10" t="s">
        <v>111</v>
      </c>
      <c r="C10" t="s">
        <v>52</v>
      </c>
      <c r="D10" t="s">
        <v>53</v>
      </c>
      <c r="E10" t="s">
        <v>54</v>
      </c>
      <c r="F10" t="s">
        <v>55</v>
      </c>
      <c r="G10" t="s">
        <v>56</v>
      </c>
      <c r="H10" t="s">
        <v>57</v>
      </c>
      <c r="I10" t="s">
        <v>58</v>
      </c>
      <c r="J10" t="s">
        <v>59</v>
      </c>
    </row>
    <row r="11" spans="2:10" x14ac:dyDescent="0.45">
      <c r="B11" t="s">
        <v>112</v>
      </c>
      <c r="C11">
        <v>120</v>
      </c>
      <c r="D11">
        <v>250</v>
      </c>
      <c r="E11">
        <v>60</v>
      </c>
      <c r="F11">
        <v>100</v>
      </c>
      <c r="G11">
        <v>8</v>
      </c>
      <c r="H11">
        <v>15</v>
      </c>
      <c r="I11">
        <v>10</v>
      </c>
      <c r="J11">
        <v>20</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120</v>
      </c>
      <c r="G20">
        <f>D11</f>
        <v>250</v>
      </c>
      <c r="H20">
        <v>4</v>
      </c>
    </row>
    <row r="21" spans="1:8" x14ac:dyDescent="0.45">
      <c r="A21" t="s">
        <v>8</v>
      </c>
      <c r="B21" t="str">
        <f t="shared" ref="B21:B23" si="0">"uce_buildrate_"&amp;A21</f>
        <v>uce_buildrate_wind</v>
      </c>
      <c r="C21" t="str">
        <f>A21&amp;"*"</f>
        <v>wind*</v>
      </c>
      <c r="D21" t="s">
        <v>63</v>
      </c>
      <c r="E21">
        <v>1</v>
      </c>
      <c r="F21">
        <f>E11</f>
        <v>60</v>
      </c>
      <c r="G21">
        <f>F11</f>
        <v>100</v>
      </c>
      <c r="H21">
        <v>4</v>
      </c>
    </row>
    <row r="22" spans="1:8" x14ac:dyDescent="0.45">
      <c r="A22" t="s">
        <v>4</v>
      </c>
      <c r="B22" t="str">
        <f t="shared" si="0"/>
        <v>uce_buildrate_hydro</v>
      </c>
      <c r="C22" t="str">
        <f t="shared" ref="C22:C23" si="1">A22</f>
        <v>hydro</v>
      </c>
      <c r="D22" t="s">
        <v>63</v>
      </c>
      <c r="E22">
        <v>1</v>
      </c>
      <c r="F22">
        <f>G11</f>
        <v>8</v>
      </c>
      <c r="G22">
        <f>H11</f>
        <v>15</v>
      </c>
      <c r="H22">
        <v>4</v>
      </c>
    </row>
    <row r="23" spans="1:8" x14ac:dyDescent="0.45">
      <c r="A23" t="s">
        <v>15</v>
      </c>
      <c r="B23" t="str">
        <f t="shared" si="0"/>
        <v>uce_buildrate_nuclear</v>
      </c>
      <c r="C23" t="str">
        <f t="shared" si="1"/>
        <v>nuclear</v>
      </c>
      <c r="D23" t="s">
        <v>63</v>
      </c>
      <c r="E23">
        <v>1</v>
      </c>
      <c r="F23">
        <f>I11</f>
        <v>10</v>
      </c>
      <c r="G23">
        <f>J11</f>
        <v>20</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33"/>
  <sheetViews>
    <sheetView workbookViewId="0">
      <selection sqref="A1:D833"/>
    </sheetView>
  </sheetViews>
  <sheetFormatPr defaultRowHeight="14.25" x14ac:dyDescent="0.45"/>
  <sheetData>
    <row r="1" spans="1:4" x14ac:dyDescent="0.45">
      <c r="A1" t="s">
        <v>35</v>
      </c>
      <c r="B1" t="s">
        <v>41</v>
      </c>
      <c r="C1" t="s">
        <v>42</v>
      </c>
      <c r="D1" t="s">
        <v>43</v>
      </c>
    </row>
    <row r="2" spans="1:4" x14ac:dyDescent="0.45">
      <c r="A2" t="s">
        <v>3</v>
      </c>
      <c r="B2">
        <v>2000</v>
      </c>
      <c r="C2" t="s">
        <v>44</v>
      </c>
      <c r="D2">
        <v>1060.26</v>
      </c>
    </row>
    <row r="3" spans="1:4" x14ac:dyDescent="0.45">
      <c r="A3" t="s">
        <v>5</v>
      </c>
      <c r="B3">
        <v>2000</v>
      </c>
      <c r="C3" t="s">
        <v>44</v>
      </c>
      <c r="D3">
        <v>5.77</v>
      </c>
    </row>
    <row r="4" spans="1:4" x14ac:dyDescent="0.45">
      <c r="A4" t="s">
        <v>4</v>
      </c>
      <c r="B4">
        <v>2000</v>
      </c>
      <c r="C4" t="s">
        <v>44</v>
      </c>
      <c r="D4">
        <v>222.41</v>
      </c>
    </row>
    <row r="5" spans="1:4" x14ac:dyDescent="0.45">
      <c r="A5" t="s">
        <v>15</v>
      </c>
      <c r="B5">
        <v>2000</v>
      </c>
      <c r="C5" t="s">
        <v>44</v>
      </c>
      <c r="D5">
        <v>16.739999999999998</v>
      </c>
    </row>
    <row r="6" spans="1:4" x14ac:dyDescent="0.45">
      <c r="A6" t="s">
        <v>18</v>
      </c>
      <c r="B6">
        <v>2000</v>
      </c>
      <c r="C6" t="s">
        <v>44</v>
      </c>
      <c r="D6">
        <v>47.27</v>
      </c>
    </row>
    <row r="7" spans="1:4" x14ac:dyDescent="0.45">
      <c r="A7" t="s">
        <v>3</v>
      </c>
      <c r="B7">
        <v>2001</v>
      </c>
      <c r="C7" t="s">
        <v>44</v>
      </c>
      <c r="D7">
        <v>1129.1400000000001</v>
      </c>
    </row>
    <row r="8" spans="1:4" x14ac:dyDescent="0.45">
      <c r="A8" t="s">
        <v>5</v>
      </c>
      <c r="B8">
        <v>2001</v>
      </c>
      <c r="C8" t="s">
        <v>44</v>
      </c>
      <c r="D8">
        <v>4.93</v>
      </c>
    </row>
    <row r="9" spans="1:4" x14ac:dyDescent="0.45">
      <c r="A9" t="s">
        <v>4</v>
      </c>
      <c r="B9">
        <v>2001</v>
      </c>
      <c r="C9" t="s">
        <v>44</v>
      </c>
      <c r="D9">
        <v>277.43</v>
      </c>
    </row>
    <row r="10" spans="1:4" x14ac:dyDescent="0.45">
      <c r="A10" t="s">
        <v>15</v>
      </c>
      <c r="B10">
        <v>2001</v>
      </c>
      <c r="C10" t="s">
        <v>44</v>
      </c>
      <c r="D10">
        <v>17.47</v>
      </c>
    </row>
    <row r="11" spans="1:4" x14ac:dyDescent="0.45">
      <c r="A11" t="s">
        <v>18</v>
      </c>
      <c r="B11">
        <v>2001</v>
      </c>
      <c r="C11" t="s">
        <v>44</v>
      </c>
      <c r="D11">
        <v>48.52</v>
      </c>
    </row>
    <row r="12" spans="1:4" x14ac:dyDescent="0.45">
      <c r="A12" t="s">
        <v>3</v>
      </c>
      <c r="B12">
        <v>2002</v>
      </c>
      <c r="C12" t="s">
        <v>44</v>
      </c>
      <c r="D12">
        <v>1282.57</v>
      </c>
    </row>
    <row r="13" spans="1:4" x14ac:dyDescent="0.45">
      <c r="A13" t="s">
        <v>5</v>
      </c>
      <c r="B13">
        <v>2002</v>
      </c>
      <c r="C13" t="s">
        <v>44</v>
      </c>
      <c r="D13">
        <v>4.1900000000000004</v>
      </c>
    </row>
    <row r="14" spans="1:4" x14ac:dyDescent="0.45">
      <c r="A14" t="s">
        <v>4</v>
      </c>
      <c r="B14">
        <v>2002</v>
      </c>
      <c r="C14" t="s">
        <v>44</v>
      </c>
      <c r="D14">
        <v>287.97000000000003</v>
      </c>
    </row>
    <row r="15" spans="1:4" x14ac:dyDescent="0.45">
      <c r="A15" t="s">
        <v>15</v>
      </c>
      <c r="B15">
        <v>2002</v>
      </c>
      <c r="C15" t="s">
        <v>44</v>
      </c>
      <c r="D15">
        <v>25.13</v>
      </c>
    </row>
    <row r="16" spans="1:4" x14ac:dyDescent="0.45">
      <c r="A16" t="s">
        <v>18</v>
      </c>
      <c r="B16">
        <v>2002</v>
      </c>
      <c r="C16" t="s">
        <v>44</v>
      </c>
      <c r="D16">
        <v>50.71</v>
      </c>
    </row>
    <row r="17" spans="1:4" x14ac:dyDescent="0.45">
      <c r="A17" t="s">
        <v>3</v>
      </c>
      <c r="B17">
        <v>2003</v>
      </c>
      <c r="C17" t="s">
        <v>44</v>
      </c>
      <c r="D17">
        <v>1519.97</v>
      </c>
    </row>
    <row r="18" spans="1:4" x14ac:dyDescent="0.45">
      <c r="A18" t="s">
        <v>5</v>
      </c>
      <c r="B18">
        <v>2003</v>
      </c>
      <c r="C18" t="s">
        <v>44</v>
      </c>
      <c r="D18">
        <v>5.16</v>
      </c>
    </row>
    <row r="19" spans="1:4" x14ac:dyDescent="0.45">
      <c r="A19" t="s">
        <v>4</v>
      </c>
      <c r="B19">
        <v>2003</v>
      </c>
      <c r="C19" t="s">
        <v>44</v>
      </c>
      <c r="D19">
        <v>283.68</v>
      </c>
    </row>
    <row r="20" spans="1:4" x14ac:dyDescent="0.45">
      <c r="A20" t="s">
        <v>15</v>
      </c>
      <c r="B20">
        <v>2003</v>
      </c>
      <c r="C20" t="s">
        <v>44</v>
      </c>
      <c r="D20">
        <v>43.34</v>
      </c>
    </row>
    <row r="21" spans="1:4" x14ac:dyDescent="0.45">
      <c r="A21" t="s">
        <v>18</v>
      </c>
      <c r="B21">
        <v>2003</v>
      </c>
      <c r="C21" t="s">
        <v>44</v>
      </c>
      <c r="D21">
        <v>54.83</v>
      </c>
    </row>
    <row r="22" spans="1:4" x14ac:dyDescent="0.45">
      <c r="A22" t="s">
        <v>3</v>
      </c>
      <c r="B22">
        <v>2004</v>
      </c>
      <c r="C22" t="s">
        <v>44</v>
      </c>
      <c r="D22">
        <v>1722.42</v>
      </c>
    </row>
    <row r="23" spans="1:4" x14ac:dyDescent="0.45">
      <c r="A23" t="s">
        <v>5</v>
      </c>
      <c r="B23">
        <v>2004</v>
      </c>
      <c r="C23" t="s">
        <v>44</v>
      </c>
      <c r="D23">
        <v>7.46</v>
      </c>
    </row>
    <row r="24" spans="1:4" x14ac:dyDescent="0.45">
      <c r="A24" t="s">
        <v>4</v>
      </c>
      <c r="B24">
        <v>2004</v>
      </c>
      <c r="C24" t="s">
        <v>44</v>
      </c>
      <c r="D24">
        <v>353.54</v>
      </c>
    </row>
    <row r="25" spans="1:4" x14ac:dyDescent="0.45">
      <c r="A25" t="s">
        <v>15</v>
      </c>
      <c r="B25">
        <v>2004</v>
      </c>
      <c r="C25" t="s">
        <v>44</v>
      </c>
      <c r="D25">
        <v>50.47</v>
      </c>
    </row>
    <row r="26" spans="1:4" x14ac:dyDescent="0.45">
      <c r="A26" t="s">
        <v>18</v>
      </c>
      <c r="B26">
        <v>2004</v>
      </c>
      <c r="C26" t="s">
        <v>44</v>
      </c>
      <c r="D26">
        <v>65.53</v>
      </c>
    </row>
    <row r="27" spans="1:4" x14ac:dyDescent="0.45">
      <c r="A27" t="s">
        <v>3</v>
      </c>
      <c r="B27">
        <v>2005</v>
      </c>
      <c r="C27" t="s">
        <v>44</v>
      </c>
      <c r="D27">
        <v>1980.15</v>
      </c>
    </row>
    <row r="28" spans="1:4" x14ac:dyDescent="0.45">
      <c r="A28" t="s">
        <v>5</v>
      </c>
      <c r="B28">
        <v>2005</v>
      </c>
      <c r="C28" t="s">
        <v>44</v>
      </c>
      <c r="D28">
        <v>12.14</v>
      </c>
    </row>
    <row r="29" spans="1:4" x14ac:dyDescent="0.45">
      <c r="A29" t="s">
        <v>4</v>
      </c>
      <c r="B29">
        <v>2005</v>
      </c>
      <c r="C29" t="s">
        <v>44</v>
      </c>
      <c r="D29">
        <v>397.02</v>
      </c>
    </row>
    <row r="30" spans="1:4" x14ac:dyDescent="0.45">
      <c r="A30" t="s">
        <v>15</v>
      </c>
      <c r="B30">
        <v>2005</v>
      </c>
      <c r="C30" t="s">
        <v>44</v>
      </c>
      <c r="D30">
        <v>53.09</v>
      </c>
    </row>
    <row r="31" spans="1:4" x14ac:dyDescent="0.45">
      <c r="A31" t="s">
        <v>18</v>
      </c>
      <c r="B31">
        <v>2005</v>
      </c>
      <c r="C31" t="s">
        <v>44</v>
      </c>
      <c r="D31">
        <v>50.51</v>
      </c>
    </row>
    <row r="32" spans="1:4" x14ac:dyDescent="0.45">
      <c r="A32" t="s">
        <v>3</v>
      </c>
      <c r="B32">
        <v>2006</v>
      </c>
      <c r="C32" t="s">
        <v>44</v>
      </c>
      <c r="D32">
        <v>2302.42</v>
      </c>
    </row>
    <row r="33" spans="1:4" x14ac:dyDescent="0.45">
      <c r="A33" t="s">
        <v>5</v>
      </c>
      <c r="B33">
        <v>2006</v>
      </c>
      <c r="C33" t="s">
        <v>44</v>
      </c>
      <c r="D33">
        <v>23.82</v>
      </c>
    </row>
    <row r="34" spans="1:4" x14ac:dyDescent="0.45">
      <c r="A34" t="s">
        <v>4</v>
      </c>
      <c r="B34">
        <v>2006</v>
      </c>
      <c r="C34" t="s">
        <v>44</v>
      </c>
      <c r="D34">
        <v>435.79</v>
      </c>
    </row>
    <row r="35" spans="1:4" x14ac:dyDescent="0.45">
      <c r="A35" t="s">
        <v>15</v>
      </c>
      <c r="B35">
        <v>2006</v>
      </c>
      <c r="C35" t="s">
        <v>44</v>
      </c>
      <c r="D35">
        <v>54.84</v>
      </c>
    </row>
    <row r="36" spans="1:4" x14ac:dyDescent="0.45">
      <c r="A36" t="s">
        <v>18</v>
      </c>
      <c r="B36">
        <v>2006</v>
      </c>
      <c r="C36" t="s">
        <v>44</v>
      </c>
      <c r="D36">
        <v>37.92</v>
      </c>
    </row>
    <row r="37" spans="1:4" x14ac:dyDescent="0.45">
      <c r="A37" t="s">
        <v>3</v>
      </c>
      <c r="B37">
        <v>2007</v>
      </c>
      <c r="C37" t="s">
        <v>44</v>
      </c>
      <c r="D37">
        <v>2656.7</v>
      </c>
    </row>
    <row r="38" spans="1:4" x14ac:dyDescent="0.45">
      <c r="A38" t="s">
        <v>5</v>
      </c>
      <c r="B38">
        <v>2007</v>
      </c>
      <c r="C38" t="s">
        <v>44</v>
      </c>
      <c r="D38">
        <v>33.909999999999997</v>
      </c>
    </row>
    <row r="39" spans="1:4" x14ac:dyDescent="0.45">
      <c r="A39" t="s">
        <v>4</v>
      </c>
      <c r="B39">
        <v>2007</v>
      </c>
      <c r="C39" t="s">
        <v>44</v>
      </c>
      <c r="D39">
        <v>485.26</v>
      </c>
    </row>
    <row r="40" spans="1:4" x14ac:dyDescent="0.45">
      <c r="A40" t="s">
        <v>15</v>
      </c>
      <c r="B40">
        <v>2007</v>
      </c>
      <c r="C40" t="s">
        <v>44</v>
      </c>
      <c r="D40">
        <v>62.13</v>
      </c>
    </row>
    <row r="41" spans="1:4" x14ac:dyDescent="0.45">
      <c r="A41" t="s">
        <v>18</v>
      </c>
      <c r="B41">
        <v>2007</v>
      </c>
      <c r="C41" t="s">
        <v>44</v>
      </c>
      <c r="D41">
        <v>28.09</v>
      </c>
    </row>
    <row r="42" spans="1:4" x14ac:dyDescent="0.45">
      <c r="A42" t="s">
        <v>3</v>
      </c>
      <c r="B42">
        <v>2008</v>
      </c>
      <c r="C42" t="s">
        <v>44</v>
      </c>
      <c r="D42">
        <v>2708.91</v>
      </c>
    </row>
    <row r="43" spans="1:4" x14ac:dyDescent="0.45">
      <c r="A43" t="s">
        <v>5</v>
      </c>
      <c r="B43">
        <v>2008</v>
      </c>
      <c r="C43" t="s">
        <v>44</v>
      </c>
      <c r="D43">
        <v>34.57</v>
      </c>
    </row>
    <row r="44" spans="1:4" x14ac:dyDescent="0.45">
      <c r="A44" t="s">
        <v>4</v>
      </c>
      <c r="B44">
        <v>2008</v>
      </c>
      <c r="C44" t="s">
        <v>44</v>
      </c>
      <c r="D44">
        <v>636.96</v>
      </c>
    </row>
    <row r="45" spans="1:4" x14ac:dyDescent="0.45">
      <c r="A45" t="s">
        <v>15</v>
      </c>
      <c r="B45">
        <v>2008</v>
      </c>
      <c r="C45" t="s">
        <v>44</v>
      </c>
      <c r="D45">
        <v>68.39</v>
      </c>
    </row>
    <row r="46" spans="1:4" x14ac:dyDescent="0.45">
      <c r="A46" t="s">
        <v>18</v>
      </c>
      <c r="B46">
        <v>2008</v>
      </c>
      <c r="C46" t="s">
        <v>44</v>
      </c>
      <c r="D46">
        <v>18.809999999999999</v>
      </c>
    </row>
    <row r="47" spans="1:4" x14ac:dyDescent="0.45">
      <c r="A47" t="s">
        <v>3</v>
      </c>
      <c r="B47">
        <v>2009</v>
      </c>
      <c r="C47" t="s">
        <v>44</v>
      </c>
      <c r="D47">
        <v>2911.52</v>
      </c>
    </row>
    <row r="48" spans="1:4" x14ac:dyDescent="0.45">
      <c r="A48" t="s">
        <v>5</v>
      </c>
      <c r="B48">
        <v>2009</v>
      </c>
      <c r="C48" t="s">
        <v>44</v>
      </c>
      <c r="D48">
        <v>56.56</v>
      </c>
    </row>
    <row r="49" spans="1:4" x14ac:dyDescent="0.45">
      <c r="A49" t="s">
        <v>4</v>
      </c>
      <c r="B49">
        <v>2009</v>
      </c>
      <c r="C49" t="s">
        <v>44</v>
      </c>
      <c r="D49">
        <v>615.64</v>
      </c>
    </row>
    <row r="50" spans="1:4" x14ac:dyDescent="0.45">
      <c r="A50" t="s">
        <v>15</v>
      </c>
      <c r="B50">
        <v>2009</v>
      </c>
      <c r="C50" t="s">
        <v>44</v>
      </c>
      <c r="D50">
        <v>70.05</v>
      </c>
    </row>
    <row r="51" spans="1:4" x14ac:dyDescent="0.45">
      <c r="A51" t="s">
        <v>18</v>
      </c>
      <c r="B51">
        <v>2009</v>
      </c>
      <c r="C51" t="s">
        <v>44</v>
      </c>
      <c r="D51">
        <v>12.12</v>
      </c>
    </row>
    <row r="52" spans="1:4" x14ac:dyDescent="0.45">
      <c r="A52" t="s">
        <v>3</v>
      </c>
      <c r="B52">
        <v>2010</v>
      </c>
      <c r="C52" t="s">
        <v>44</v>
      </c>
      <c r="D52">
        <v>3233.6</v>
      </c>
    </row>
    <row r="53" spans="1:4" x14ac:dyDescent="0.45">
      <c r="A53" t="s">
        <v>5</v>
      </c>
      <c r="B53">
        <v>2010</v>
      </c>
      <c r="C53" t="s">
        <v>44</v>
      </c>
      <c r="D53">
        <v>77.73</v>
      </c>
    </row>
    <row r="54" spans="1:4" x14ac:dyDescent="0.45">
      <c r="A54" t="s">
        <v>4</v>
      </c>
      <c r="B54">
        <v>2010</v>
      </c>
      <c r="C54" t="s">
        <v>44</v>
      </c>
      <c r="D54">
        <v>711.38</v>
      </c>
    </row>
    <row r="55" spans="1:4" x14ac:dyDescent="0.45">
      <c r="A55" t="s">
        <v>15</v>
      </c>
      <c r="B55">
        <v>2010</v>
      </c>
      <c r="C55" t="s">
        <v>44</v>
      </c>
      <c r="D55">
        <v>74.739999999999995</v>
      </c>
    </row>
    <row r="56" spans="1:4" x14ac:dyDescent="0.45">
      <c r="A56" t="s">
        <v>18</v>
      </c>
      <c r="B56">
        <v>2010</v>
      </c>
      <c r="C56" t="s">
        <v>44</v>
      </c>
      <c r="D56">
        <v>34.71</v>
      </c>
    </row>
    <row r="57" spans="1:4" x14ac:dyDescent="0.45">
      <c r="A57" t="s">
        <v>3</v>
      </c>
      <c r="B57">
        <v>2011</v>
      </c>
      <c r="C57" t="s">
        <v>44</v>
      </c>
      <c r="D57">
        <v>3690.87</v>
      </c>
    </row>
    <row r="58" spans="1:4" x14ac:dyDescent="0.45">
      <c r="A58" t="s">
        <v>5</v>
      </c>
      <c r="B58">
        <v>2011</v>
      </c>
      <c r="C58" t="s">
        <v>44</v>
      </c>
      <c r="D58">
        <v>108.77</v>
      </c>
    </row>
    <row r="59" spans="1:4" x14ac:dyDescent="0.45">
      <c r="A59" t="s">
        <v>4</v>
      </c>
      <c r="B59">
        <v>2011</v>
      </c>
      <c r="C59" t="s">
        <v>44</v>
      </c>
      <c r="D59">
        <v>688.04</v>
      </c>
    </row>
    <row r="60" spans="1:4" x14ac:dyDescent="0.45">
      <c r="A60" t="s">
        <v>15</v>
      </c>
      <c r="B60">
        <v>2011</v>
      </c>
      <c r="C60" t="s">
        <v>44</v>
      </c>
      <c r="D60">
        <v>87.2</v>
      </c>
    </row>
    <row r="61" spans="1:4" x14ac:dyDescent="0.45">
      <c r="A61" t="s">
        <v>18</v>
      </c>
      <c r="B61">
        <v>2011</v>
      </c>
      <c r="C61" t="s">
        <v>44</v>
      </c>
      <c r="D61">
        <v>33.799999999999997</v>
      </c>
    </row>
    <row r="62" spans="1:4" x14ac:dyDescent="0.45">
      <c r="A62" t="s">
        <v>3</v>
      </c>
      <c r="B62">
        <v>2012</v>
      </c>
      <c r="C62" t="s">
        <v>44</v>
      </c>
      <c r="D62">
        <v>3748.19</v>
      </c>
    </row>
    <row r="63" spans="1:4" x14ac:dyDescent="0.45">
      <c r="A63" t="s">
        <v>5</v>
      </c>
      <c r="B63">
        <v>2012</v>
      </c>
      <c r="C63" t="s">
        <v>44</v>
      </c>
      <c r="D63">
        <v>110.25</v>
      </c>
    </row>
    <row r="64" spans="1:4" x14ac:dyDescent="0.45">
      <c r="A64" t="s">
        <v>4</v>
      </c>
      <c r="B64">
        <v>2012</v>
      </c>
      <c r="C64" t="s">
        <v>44</v>
      </c>
      <c r="D64">
        <v>862.79</v>
      </c>
    </row>
    <row r="65" spans="1:4" x14ac:dyDescent="0.45">
      <c r="A65" t="s">
        <v>15</v>
      </c>
      <c r="B65">
        <v>2012</v>
      </c>
      <c r="C65" t="s">
        <v>44</v>
      </c>
      <c r="D65">
        <v>98.32</v>
      </c>
    </row>
    <row r="66" spans="1:4" x14ac:dyDescent="0.45">
      <c r="A66" t="s">
        <v>18</v>
      </c>
      <c r="B66">
        <v>2012</v>
      </c>
      <c r="C66" t="s">
        <v>44</v>
      </c>
      <c r="D66">
        <v>31.22</v>
      </c>
    </row>
    <row r="67" spans="1:4" x14ac:dyDescent="0.45">
      <c r="A67" t="s">
        <v>3</v>
      </c>
      <c r="B67">
        <v>2013</v>
      </c>
      <c r="C67" t="s">
        <v>44</v>
      </c>
      <c r="D67">
        <v>4077.37</v>
      </c>
    </row>
    <row r="68" spans="1:4" x14ac:dyDescent="0.45">
      <c r="A68" t="s">
        <v>5</v>
      </c>
      <c r="B68">
        <v>2013</v>
      </c>
      <c r="C68" t="s">
        <v>44</v>
      </c>
      <c r="D68">
        <v>116.39</v>
      </c>
    </row>
    <row r="69" spans="1:4" x14ac:dyDescent="0.45">
      <c r="A69" t="s">
        <v>4</v>
      </c>
      <c r="B69">
        <v>2013</v>
      </c>
      <c r="C69" t="s">
        <v>44</v>
      </c>
      <c r="D69">
        <v>909.61</v>
      </c>
    </row>
    <row r="70" spans="1:4" x14ac:dyDescent="0.45">
      <c r="A70" t="s">
        <v>15</v>
      </c>
      <c r="B70">
        <v>2013</v>
      </c>
      <c r="C70" t="s">
        <v>44</v>
      </c>
      <c r="D70">
        <v>111.5</v>
      </c>
    </row>
    <row r="71" spans="1:4" x14ac:dyDescent="0.45">
      <c r="A71" t="s">
        <v>18</v>
      </c>
      <c r="B71">
        <v>2013</v>
      </c>
      <c r="C71" t="s">
        <v>44</v>
      </c>
      <c r="D71">
        <v>33</v>
      </c>
    </row>
    <row r="72" spans="1:4" x14ac:dyDescent="0.45">
      <c r="A72" t="s">
        <v>3</v>
      </c>
      <c r="B72">
        <v>2014</v>
      </c>
      <c r="C72" t="s">
        <v>44</v>
      </c>
      <c r="D72">
        <v>4203.0600000000004</v>
      </c>
    </row>
    <row r="73" spans="1:4" x14ac:dyDescent="0.45">
      <c r="A73" t="s">
        <v>5</v>
      </c>
      <c r="B73">
        <v>2014</v>
      </c>
      <c r="C73" t="s">
        <v>44</v>
      </c>
      <c r="D73">
        <v>133.28</v>
      </c>
    </row>
    <row r="74" spans="1:4" x14ac:dyDescent="0.45">
      <c r="A74" t="s">
        <v>4</v>
      </c>
      <c r="B74">
        <v>2014</v>
      </c>
      <c r="C74" t="s">
        <v>44</v>
      </c>
      <c r="D74">
        <v>1059.69</v>
      </c>
    </row>
    <row r="75" spans="1:4" x14ac:dyDescent="0.45">
      <c r="A75" t="s">
        <v>15</v>
      </c>
      <c r="B75">
        <v>2014</v>
      </c>
      <c r="C75" t="s">
        <v>44</v>
      </c>
      <c r="D75">
        <v>133.22</v>
      </c>
    </row>
    <row r="76" spans="1:4" x14ac:dyDescent="0.45">
      <c r="A76" t="s">
        <v>18</v>
      </c>
      <c r="B76">
        <v>2014</v>
      </c>
      <c r="C76" t="s">
        <v>44</v>
      </c>
      <c r="D76">
        <v>35.659999999999997</v>
      </c>
    </row>
    <row r="77" spans="1:4" x14ac:dyDescent="0.45">
      <c r="A77" t="s">
        <v>3</v>
      </c>
      <c r="B77">
        <v>2015</v>
      </c>
      <c r="C77" t="s">
        <v>44</v>
      </c>
      <c r="D77">
        <v>4046.17</v>
      </c>
    </row>
    <row r="78" spans="1:4" x14ac:dyDescent="0.45">
      <c r="A78" t="s">
        <v>5</v>
      </c>
      <c r="B78">
        <v>2015</v>
      </c>
      <c r="C78" t="s">
        <v>44</v>
      </c>
      <c r="D78">
        <v>166.91</v>
      </c>
    </row>
    <row r="79" spans="1:4" x14ac:dyDescent="0.45">
      <c r="A79" t="s">
        <v>4</v>
      </c>
      <c r="B79">
        <v>2015</v>
      </c>
      <c r="C79" t="s">
        <v>44</v>
      </c>
      <c r="D79">
        <v>1114.52</v>
      </c>
    </row>
    <row r="80" spans="1:4" x14ac:dyDescent="0.45">
      <c r="A80" t="s">
        <v>15</v>
      </c>
      <c r="B80">
        <v>2015</v>
      </c>
      <c r="C80" t="s">
        <v>44</v>
      </c>
      <c r="D80">
        <v>171.38</v>
      </c>
    </row>
    <row r="81" spans="1:4" x14ac:dyDescent="0.45">
      <c r="A81" t="s">
        <v>18</v>
      </c>
      <c r="B81">
        <v>2015</v>
      </c>
      <c r="C81" t="s">
        <v>44</v>
      </c>
      <c r="D81">
        <v>36.46</v>
      </c>
    </row>
    <row r="82" spans="1:4" x14ac:dyDescent="0.45">
      <c r="A82" t="s">
        <v>3</v>
      </c>
      <c r="B82">
        <v>2016</v>
      </c>
      <c r="C82" t="s">
        <v>44</v>
      </c>
      <c r="D82">
        <v>4156.3500000000004</v>
      </c>
    </row>
    <row r="83" spans="1:4" x14ac:dyDescent="0.45">
      <c r="A83" t="s">
        <v>5</v>
      </c>
      <c r="B83">
        <v>2016</v>
      </c>
      <c r="C83" t="s">
        <v>44</v>
      </c>
      <c r="D83">
        <v>188.28</v>
      </c>
    </row>
    <row r="84" spans="1:4" x14ac:dyDescent="0.45">
      <c r="A84" t="s">
        <v>4</v>
      </c>
      <c r="B84">
        <v>2016</v>
      </c>
      <c r="C84" t="s">
        <v>44</v>
      </c>
      <c r="D84">
        <v>1153.27</v>
      </c>
    </row>
    <row r="85" spans="1:4" x14ac:dyDescent="0.45">
      <c r="A85" t="s">
        <v>15</v>
      </c>
      <c r="B85">
        <v>2016</v>
      </c>
      <c r="C85" t="s">
        <v>44</v>
      </c>
      <c r="D85">
        <v>213.18</v>
      </c>
    </row>
    <row r="86" spans="1:4" x14ac:dyDescent="0.45">
      <c r="A86" t="s">
        <v>18</v>
      </c>
      <c r="B86">
        <v>2016</v>
      </c>
      <c r="C86" t="s">
        <v>44</v>
      </c>
      <c r="D86">
        <v>52.56</v>
      </c>
    </row>
    <row r="87" spans="1:4" x14ac:dyDescent="0.45">
      <c r="A87" t="s">
        <v>3</v>
      </c>
      <c r="B87">
        <v>2017</v>
      </c>
      <c r="C87" t="s">
        <v>44</v>
      </c>
      <c r="D87">
        <v>4430.03</v>
      </c>
    </row>
    <row r="88" spans="1:4" x14ac:dyDescent="0.45">
      <c r="A88" t="s">
        <v>5</v>
      </c>
      <c r="B88">
        <v>2017</v>
      </c>
      <c r="C88" t="s">
        <v>44</v>
      </c>
      <c r="D88">
        <v>203.2</v>
      </c>
    </row>
    <row r="89" spans="1:4" x14ac:dyDescent="0.45">
      <c r="A89" t="s">
        <v>4</v>
      </c>
      <c r="B89">
        <v>2017</v>
      </c>
      <c r="C89" t="s">
        <v>44</v>
      </c>
      <c r="D89">
        <v>1165.06</v>
      </c>
    </row>
    <row r="90" spans="1:4" x14ac:dyDescent="0.45">
      <c r="A90" t="s">
        <v>15</v>
      </c>
      <c r="B90">
        <v>2017</v>
      </c>
      <c r="C90" t="s">
        <v>44</v>
      </c>
      <c r="D90">
        <v>248.1</v>
      </c>
    </row>
    <row r="91" spans="1:4" x14ac:dyDescent="0.45">
      <c r="A91" t="s">
        <v>18</v>
      </c>
      <c r="B91">
        <v>2017</v>
      </c>
      <c r="C91" t="s">
        <v>44</v>
      </c>
      <c r="D91">
        <v>56.05</v>
      </c>
    </row>
    <row r="92" spans="1:4" x14ac:dyDescent="0.45">
      <c r="A92" t="s">
        <v>3</v>
      </c>
      <c r="B92">
        <v>2018</v>
      </c>
      <c r="C92" t="s">
        <v>44</v>
      </c>
      <c r="D92">
        <v>4763.8500000000004</v>
      </c>
    </row>
    <row r="93" spans="1:4" x14ac:dyDescent="0.45">
      <c r="A93" t="s">
        <v>5</v>
      </c>
      <c r="B93">
        <v>2018</v>
      </c>
      <c r="C93" t="s">
        <v>44</v>
      </c>
      <c r="D93">
        <v>215.5</v>
      </c>
    </row>
    <row r="94" spans="1:4" x14ac:dyDescent="0.45">
      <c r="A94" t="s">
        <v>4</v>
      </c>
      <c r="B94">
        <v>2018</v>
      </c>
      <c r="C94" t="s">
        <v>44</v>
      </c>
      <c r="D94">
        <v>1198.8900000000001</v>
      </c>
    </row>
    <row r="95" spans="1:4" x14ac:dyDescent="0.45">
      <c r="A95" t="s">
        <v>15</v>
      </c>
      <c r="B95">
        <v>2018</v>
      </c>
      <c r="C95" t="s">
        <v>44</v>
      </c>
      <c r="D95">
        <v>295</v>
      </c>
    </row>
    <row r="96" spans="1:4" x14ac:dyDescent="0.45">
      <c r="A96" t="s">
        <v>18</v>
      </c>
      <c r="B96">
        <v>2018</v>
      </c>
      <c r="C96" t="s">
        <v>44</v>
      </c>
      <c r="D96">
        <v>56.4</v>
      </c>
    </row>
    <row r="97" spans="1:4" x14ac:dyDescent="0.45">
      <c r="A97" t="s">
        <v>3</v>
      </c>
      <c r="B97">
        <v>2019</v>
      </c>
      <c r="C97" t="s">
        <v>44</v>
      </c>
      <c r="D97">
        <v>4855.12</v>
      </c>
    </row>
    <row r="98" spans="1:4" x14ac:dyDescent="0.45">
      <c r="A98" t="s">
        <v>5</v>
      </c>
      <c r="B98">
        <v>2019</v>
      </c>
      <c r="C98" t="s">
        <v>44</v>
      </c>
      <c r="D98">
        <v>232.5</v>
      </c>
    </row>
    <row r="99" spans="1:4" x14ac:dyDescent="0.45">
      <c r="A99" t="s">
        <v>4</v>
      </c>
      <c r="B99">
        <v>2019</v>
      </c>
      <c r="C99" t="s">
        <v>44</v>
      </c>
      <c r="D99">
        <v>1272.54</v>
      </c>
    </row>
    <row r="100" spans="1:4" x14ac:dyDescent="0.45">
      <c r="A100" t="s">
        <v>15</v>
      </c>
      <c r="B100">
        <v>2019</v>
      </c>
      <c r="C100" t="s">
        <v>44</v>
      </c>
      <c r="D100">
        <v>348.7</v>
      </c>
    </row>
    <row r="101" spans="1:4" x14ac:dyDescent="0.45">
      <c r="A101" t="s">
        <v>18</v>
      </c>
      <c r="B101">
        <v>2019</v>
      </c>
      <c r="C101" t="s">
        <v>44</v>
      </c>
      <c r="D101">
        <v>52.47</v>
      </c>
    </row>
    <row r="102" spans="1:4" x14ac:dyDescent="0.45">
      <c r="A102" t="s">
        <v>3</v>
      </c>
      <c r="B102">
        <v>2020</v>
      </c>
      <c r="C102" t="s">
        <v>44</v>
      </c>
      <c r="D102">
        <v>4921.8900000000003</v>
      </c>
    </row>
    <row r="103" spans="1:4" x14ac:dyDescent="0.45">
      <c r="A103" t="s">
        <v>5</v>
      </c>
      <c r="B103">
        <v>2020</v>
      </c>
      <c r="C103" t="s">
        <v>44</v>
      </c>
      <c r="D103">
        <v>252.5</v>
      </c>
    </row>
    <row r="104" spans="1:4" x14ac:dyDescent="0.45">
      <c r="A104" t="s">
        <v>4</v>
      </c>
      <c r="B104">
        <v>2020</v>
      </c>
      <c r="C104" t="s">
        <v>44</v>
      </c>
      <c r="D104">
        <v>1321.71</v>
      </c>
    </row>
    <row r="105" spans="1:4" x14ac:dyDescent="0.45">
      <c r="A105" t="s">
        <v>15</v>
      </c>
      <c r="B105">
        <v>2020</v>
      </c>
      <c r="C105" t="s">
        <v>44</v>
      </c>
      <c r="D105">
        <v>366.2</v>
      </c>
    </row>
    <row r="106" spans="1:4" x14ac:dyDescent="0.45">
      <c r="A106" t="s">
        <v>18</v>
      </c>
      <c r="B106">
        <v>2020</v>
      </c>
      <c r="C106" t="s">
        <v>44</v>
      </c>
      <c r="D106">
        <v>53.47</v>
      </c>
    </row>
    <row r="107" spans="1:4" x14ac:dyDescent="0.45">
      <c r="A107" t="s">
        <v>3</v>
      </c>
      <c r="B107">
        <v>2021</v>
      </c>
      <c r="C107" t="s">
        <v>44</v>
      </c>
      <c r="D107">
        <v>5333.8</v>
      </c>
    </row>
    <row r="108" spans="1:4" x14ac:dyDescent="0.45">
      <c r="A108" t="s">
        <v>5</v>
      </c>
      <c r="B108">
        <v>2021</v>
      </c>
      <c r="C108" t="s">
        <v>44</v>
      </c>
      <c r="D108">
        <v>287.10000000000002</v>
      </c>
    </row>
    <row r="109" spans="1:4" x14ac:dyDescent="0.45">
      <c r="A109" t="s">
        <v>4</v>
      </c>
      <c r="B109">
        <v>2021</v>
      </c>
      <c r="C109" t="s">
        <v>44</v>
      </c>
      <c r="D109">
        <v>1300</v>
      </c>
    </row>
    <row r="110" spans="1:4" x14ac:dyDescent="0.45">
      <c r="A110" t="s">
        <v>15</v>
      </c>
      <c r="B110">
        <v>2021</v>
      </c>
      <c r="C110" t="s">
        <v>44</v>
      </c>
      <c r="D110">
        <v>407.5</v>
      </c>
    </row>
    <row r="111" spans="1:4" x14ac:dyDescent="0.45">
      <c r="A111" t="s">
        <v>18</v>
      </c>
      <c r="B111">
        <v>2021</v>
      </c>
      <c r="C111" t="s">
        <v>44</v>
      </c>
      <c r="D111">
        <v>57.06</v>
      </c>
    </row>
    <row r="112" spans="1:4" x14ac:dyDescent="0.45">
      <c r="A112" t="s">
        <v>3</v>
      </c>
      <c r="B112">
        <v>2022</v>
      </c>
      <c r="C112" t="s">
        <v>44</v>
      </c>
      <c r="D112">
        <v>5414.72</v>
      </c>
    </row>
    <row r="113" spans="1:4" x14ac:dyDescent="0.45">
      <c r="A113" t="s">
        <v>5</v>
      </c>
      <c r="B113">
        <v>2022</v>
      </c>
      <c r="C113" t="s">
        <v>44</v>
      </c>
      <c r="D113">
        <v>275.62</v>
      </c>
    </row>
    <row r="114" spans="1:4" x14ac:dyDescent="0.45">
      <c r="A114" t="s">
        <v>4</v>
      </c>
      <c r="B114">
        <v>2022</v>
      </c>
      <c r="C114" t="s">
        <v>44</v>
      </c>
      <c r="D114">
        <v>1298.1199999999999</v>
      </c>
    </row>
    <row r="115" spans="1:4" x14ac:dyDescent="0.45">
      <c r="A115" t="s">
        <v>15</v>
      </c>
      <c r="B115">
        <v>2022</v>
      </c>
      <c r="C115" t="s">
        <v>44</v>
      </c>
      <c r="D115">
        <v>417.78</v>
      </c>
    </row>
    <row r="116" spans="1:4" x14ac:dyDescent="0.45">
      <c r="A116" t="s">
        <v>18</v>
      </c>
      <c r="B116">
        <v>2022</v>
      </c>
      <c r="C116" t="s">
        <v>44</v>
      </c>
      <c r="D116">
        <v>69.930000000000007</v>
      </c>
    </row>
    <row r="117" spans="1:4" x14ac:dyDescent="0.45">
      <c r="A117" t="s">
        <v>3</v>
      </c>
      <c r="B117">
        <v>2023</v>
      </c>
      <c r="C117" t="s">
        <v>44</v>
      </c>
      <c r="D117">
        <v>5752.74</v>
      </c>
    </row>
    <row r="118" spans="1:4" x14ac:dyDescent="0.45">
      <c r="A118" t="s">
        <v>5</v>
      </c>
      <c r="B118">
        <v>2023</v>
      </c>
      <c r="C118" t="s">
        <v>44</v>
      </c>
      <c r="D118">
        <v>297.8</v>
      </c>
    </row>
    <row r="119" spans="1:4" x14ac:dyDescent="0.45">
      <c r="A119" t="s">
        <v>4</v>
      </c>
      <c r="B119">
        <v>2023</v>
      </c>
      <c r="C119" t="s">
        <v>44</v>
      </c>
      <c r="D119">
        <v>1226</v>
      </c>
    </row>
    <row r="120" spans="1:4" x14ac:dyDescent="0.45">
      <c r="A120" t="s">
        <v>15</v>
      </c>
      <c r="B120">
        <v>2023</v>
      </c>
      <c r="C120" t="s">
        <v>44</v>
      </c>
      <c r="D120">
        <v>434.72</v>
      </c>
    </row>
    <row r="121" spans="1:4" x14ac:dyDescent="0.45">
      <c r="A121" t="s">
        <v>18</v>
      </c>
      <c r="B121">
        <v>2023</v>
      </c>
      <c r="C121" t="s">
        <v>44</v>
      </c>
      <c r="D121">
        <v>76.97</v>
      </c>
    </row>
    <row r="122" spans="1:4" x14ac:dyDescent="0.45">
      <c r="A122" t="s">
        <v>3</v>
      </c>
      <c r="B122">
        <v>2024</v>
      </c>
      <c r="C122" t="s">
        <v>44</v>
      </c>
      <c r="D122">
        <v>5827.6</v>
      </c>
    </row>
    <row r="123" spans="1:4" x14ac:dyDescent="0.45">
      <c r="A123" t="s">
        <v>5</v>
      </c>
      <c r="B123">
        <v>2024</v>
      </c>
      <c r="C123" t="s">
        <v>44</v>
      </c>
      <c r="D123">
        <v>320.72000000000003</v>
      </c>
    </row>
    <row r="124" spans="1:4" x14ac:dyDescent="0.45">
      <c r="A124" t="s">
        <v>4</v>
      </c>
      <c r="B124">
        <v>2024</v>
      </c>
      <c r="C124" t="s">
        <v>44</v>
      </c>
      <c r="D124">
        <v>1354.25</v>
      </c>
    </row>
    <row r="125" spans="1:4" x14ac:dyDescent="0.45">
      <c r="A125" t="s">
        <v>15</v>
      </c>
      <c r="B125">
        <v>2024</v>
      </c>
      <c r="C125" t="s">
        <v>44</v>
      </c>
      <c r="D125">
        <v>450.85</v>
      </c>
    </row>
    <row r="126" spans="1:4" x14ac:dyDescent="0.45">
      <c r="A126" t="s">
        <v>18</v>
      </c>
      <c r="B126">
        <v>2024</v>
      </c>
      <c r="C126" t="s">
        <v>44</v>
      </c>
      <c r="D126">
        <v>88.88</v>
      </c>
    </row>
    <row r="127" spans="1:4" x14ac:dyDescent="0.45">
      <c r="A127" t="s">
        <v>3</v>
      </c>
      <c r="B127">
        <v>2025</v>
      </c>
      <c r="C127" t="s">
        <v>44</v>
      </c>
      <c r="D127">
        <v>5772.31</v>
      </c>
    </row>
    <row r="128" spans="1:4" x14ac:dyDescent="0.45">
      <c r="A128" t="s">
        <v>5</v>
      </c>
      <c r="B128">
        <v>2025</v>
      </c>
      <c r="C128" t="s">
        <v>44</v>
      </c>
      <c r="D128">
        <v>317.89</v>
      </c>
    </row>
    <row r="129" spans="1:4" x14ac:dyDescent="0.45">
      <c r="A129" t="s">
        <v>4</v>
      </c>
      <c r="B129">
        <v>2025</v>
      </c>
      <c r="C129" t="s">
        <v>44</v>
      </c>
      <c r="D129">
        <v>1394.79</v>
      </c>
    </row>
    <row r="130" spans="1:4" x14ac:dyDescent="0.45">
      <c r="A130" t="s">
        <v>15</v>
      </c>
      <c r="B130">
        <v>2025</v>
      </c>
      <c r="C130" t="s">
        <v>44</v>
      </c>
      <c r="D130">
        <v>487.06</v>
      </c>
    </row>
    <row r="131" spans="1:4" x14ac:dyDescent="0.45">
      <c r="A131" t="s">
        <v>18</v>
      </c>
      <c r="B131">
        <v>2025</v>
      </c>
      <c r="C131" t="s">
        <v>44</v>
      </c>
      <c r="D131">
        <v>88.71</v>
      </c>
    </row>
    <row r="132" spans="1:4" x14ac:dyDescent="0.45">
      <c r="A132" t="s">
        <v>3</v>
      </c>
      <c r="B132">
        <v>2000</v>
      </c>
      <c r="C132" t="s">
        <v>45</v>
      </c>
      <c r="D132">
        <v>196.06</v>
      </c>
    </row>
    <row r="133" spans="1:4" x14ac:dyDescent="0.45">
      <c r="A133" t="s">
        <v>5</v>
      </c>
      <c r="B133">
        <v>2000</v>
      </c>
      <c r="C133" t="s">
        <v>45</v>
      </c>
      <c r="D133">
        <v>1.61</v>
      </c>
    </row>
    <row r="134" spans="1:4" x14ac:dyDescent="0.45">
      <c r="A134" t="s">
        <v>4</v>
      </c>
      <c r="B134">
        <v>2000</v>
      </c>
      <c r="C134" t="s">
        <v>45</v>
      </c>
      <c r="D134">
        <v>74.349999999999994</v>
      </c>
    </row>
    <row r="135" spans="1:4" x14ac:dyDescent="0.45">
      <c r="A135" t="s">
        <v>15</v>
      </c>
      <c r="B135">
        <v>2000</v>
      </c>
      <c r="C135" t="s">
        <v>45</v>
      </c>
      <c r="D135">
        <v>2.2799999999999998</v>
      </c>
    </row>
    <row r="136" spans="1:4" x14ac:dyDescent="0.45">
      <c r="A136" t="s">
        <v>18</v>
      </c>
      <c r="B136">
        <v>2000</v>
      </c>
      <c r="C136" t="s">
        <v>45</v>
      </c>
      <c r="D136">
        <v>3</v>
      </c>
    </row>
    <row r="137" spans="1:4" x14ac:dyDescent="0.45">
      <c r="A137" t="s">
        <v>3</v>
      </c>
      <c r="B137">
        <v>2001</v>
      </c>
      <c r="C137" t="s">
        <v>45</v>
      </c>
      <c r="D137">
        <v>209.65</v>
      </c>
    </row>
    <row r="138" spans="1:4" x14ac:dyDescent="0.45">
      <c r="A138" t="s">
        <v>5</v>
      </c>
      <c r="B138">
        <v>2001</v>
      </c>
      <c r="C138" t="s">
        <v>45</v>
      </c>
      <c r="D138">
        <v>1.61</v>
      </c>
    </row>
    <row r="139" spans="1:4" x14ac:dyDescent="0.45">
      <c r="A139" t="s">
        <v>4</v>
      </c>
      <c r="B139">
        <v>2001</v>
      </c>
      <c r="C139" t="s">
        <v>45</v>
      </c>
      <c r="D139">
        <v>77.7</v>
      </c>
    </row>
    <row r="140" spans="1:4" x14ac:dyDescent="0.45">
      <c r="A140" t="s">
        <v>15</v>
      </c>
      <c r="B140">
        <v>2001</v>
      </c>
      <c r="C140" t="s">
        <v>45</v>
      </c>
      <c r="D140">
        <v>2.2799999999999998</v>
      </c>
    </row>
    <row r="141" spans="1:4" x14ac:dyDescent="0.45">
      <c r="A141" t="s">
        <v>18</v>
      </c>
      <c r="B141">
        <v>2001</v>
      </c>
      <c r="C141" t="s">
        <v>45</v>
      </c>
      <c r="D141">
        <v>3.19</v>
      </c>
    </row>
    <row r="142" spans="1:4" x14ac:dyDescent="0.45">
      <c r="A142" t="s">
        <v>3</v>
      </c>
      <c r="B142">
        <v>2002</v>
      </c>
      <c r="C142" t="s">
        <v>45</v>
      </c>
      <c r="D142">
        <v>220.68</v>
      </c>
    </row>
    <row r="143" spans="1:4" x14ac:dyDescent="0.45">
      <c r="A143" t="s">
        <v>5</v>
      </c>
      <c r="B143">
        <v>2002</v>
      </c>
      <c r="C143" t="s">
        <v>45</v>
      </c>
      <c r="D143">
        <v>1.61</v>
      </c>
    </row>
    <row r="144" spans="1:4" x14ac:dyDescent="0.45">
      <c r="A144" t="s">
        <v>4</v>
      </c>
      <c r="B144">
        <v>2002</v>
      </c>
      <c r="C144" t="s">
        <v>45</v>
      </c>
      <c r="D144">
        <v>81.069999999999993</v>
      </c>
    </row>
    <row r="145" spans="1:4" x14ac:dyDescent="0.45">
      <c r="A145" t="s">
        <v>15</v>
      </c>
      <c r="B145">
        <v>2002</v>
      </c>
      <c r="C145" t="s">
        <v>45</v>
      </c>
      <c r="D145">
        <v>4.91</v>
      </c>
    </row>
    <row r="146" spans="1:4" x14ac:dyDescent="0.45">
      <c r="A146" t="s">
        <v>18</v>
      </c>
      <c r="B146">
        <v>2002</v>
      </c>
      <c r="C146" t="s">
        <v>45</v>
      </c>
      <c r="D146">
        <v>3.36</v>
      </c>
    </row>
    <row r="147" spans="1:4" x14ac:dyDescent="0.45">
      <c r="A147" t="s">
        <v>3</v>
      </c>
      <c r="B147">
        <v>2003</v>
      </c>
      <c r="C147" t="s">
        <v>45</v>
      </c>
      <c r="D147">
        <v>243.37</v>
      </c>
    </row>
    <row r="148" spans="1:4" x14ac:dyDescent="0.45">
      <c r="A148" t="s">
        <v>5</v>
      </c>
      <c r="B148">
        <v>2003</v>
      </c>
      <c r="C148" t="s">
        <v>45</v>
      </c>
      <c r="D148">
        <v>2.93</v>
      </c>
    </row>
    <row r="149" spans="1:4" x14ac:dyDescent="0.45">
      <c r="A149" t="s">
        <v>4</v>
      </c>
      <c r="B149">
        <v>2003</v>
      </c>
      <c r="C149" t="s">
        <v>45</v>
      </c>
      <c r="D149">
        <v>89.9</v>
      </c>
    </row>
    <row r="150" spans="1:4" x14ac:dyDescent="0.45">
      <c r="A150" t="s">
        <v>15</v>
      </c>
      <c r="B150">
        <v>2003</v>
      </c>
      <c r="C150" t="s">
        <v>45</v>
      </c>
      <c r="D150">
        <v>5.64</v>
      </c>
    </row>
    <row r="151" spans="1:4" x14ac:dyDescent="0.45">
      <c r="A151" t="s">
        <v>18</v>
      </c>
      <c r="B151">
        <v>2003</v>
      </c>
      <c r="C151" t="s">
        <v>45</v>
      </c>
      <c r="D151">
        <v>3.66</v>
      </c>
    </row>
    <row r="152" spans="1:4" x14ac:dyDescent="0.45">
      <c r="A152" t="s">
        <v>3</v>
      </c>
      <c r="B152">
        <v>2004</v>
      </c>
      <c r="C152" t="s">
        <v>45</v>
      </c>
      <c r="D152">
        <v>273.70999999999998</v>
      </c>
    </row>
    <row r="153" spans="1:4" x14ac:dyDescent="0.45">
      <c r="A153" t="s">
        <v>5</v>
      </c>
      <c r="B153">
        <v>2004</v>
      </c>
      <c r="C153" t="s">
        <v>45</v>
      </c>
      <c r="D153">
        <v>5.1100000000000003</v>
      </c>
    </row>
    <row r="154" spans="1:4" x14ac:dyDescent="0.45">
      <c r="A154" t="s">
        <v>4</v>
      </c>
      <c r="B154">
        <v>2004</v>
      </c>
      <c r="C154" t="s">
        <v>45</v>
      </c>
      <c r="D154">
        <v>100.24</v>
      </c>
    </row>
    <row r="155" spans="1:4" x14ac:dyDescent="0.45">
      <c r="A155" t="s">
        <v>15</v>
      </c>
      <c r="B155">
        <v>2004</v>
      </c>
      <c r="C155" t="s">
        <v>45</v>
      </c>
      <c r="D155">
        <v>6.29</v>
      </c>
    </row>
    <row r="156" spans="1:4" x14ac:dyDescent="0.45">
      <c r="A156" t="s">
        <v>18</v>
      </c>
      <c r="B156">
        <v>2004</v>
      </c>
      <c r="C156" t="s">
        <v>45</v>
      </c>
      <c r="D156">
        <v>4.1500000000000004</v>
      </c>
    </row>
    <row r="157" spans="1:4" x14ac:dyDescent="0.45">
      <c r="A157" t="s">
        <v>3</v>
      </c>
      <c r="B157">
        <v>2005</v>
      </c>
      <c r="C157" t="s">
        <v>45</v>
      </c>
      <c r="D157">
        <v>320.83999999999997</v>
      </c>
    </row>
    <row r="158" spans="1:4" x14ac:dyDescent="0.45">
      <c r="A158" t="s">
        <v>5</v>
      </c>
      <c r="B158">
        <v>2005</v>
      </c>
      <c r="C158" t="s">
        <v>45</v>
      </c>
      <c r="D158">
        <v>11.94</v>
      </c>
    </row>
    <row r="159" spans="1:4" x14ac:dyDescent="0.45">
      <c r="A159" t="s">
        <v>4</v>
      </c>
      <c r="B159">
        <v>2005</v>
      </c>
      <c r="C159" t="s">
        <v>45</v>
      </c>
      <c r="D159">
        <v>111.79</v>
      </c>
    </row>
    <row r="160" spans="1:4" x14ac:dyDescent="0.45">
      <c r="A160" t="s">
        <v>15</v>
      </c>
      <c r="B160">
        <v>2005</v>
      </c>
      <c r="C160" t="s">
        <v>45</v>
      </c>
      <c r="D160">
        <v>6.96</v>
      </c>
    </row>
    <row r="161" spans="1:4" x14ac:dyDescent="0.45">
      <c r="A161" t="s">
        <v>18</v>
      </c>
      <c r="B161">
        <v>2005</v>
      </c>
      <c r="C161" t="s">
        <v>45</v>
      </c>
      <c r="D161">
        <v>4.93</v>
      </c>
    </row>
    <row r="162" spans="1:4" x14ac:dyDescent="0.45">
      <c r="A162" t="s">
        <v>3</v>
      </c>
      <c r="B162">
        <v>2006</v>
      </c>
      <c r="C162" t="s">
        <v>45</v>
      </c>
      <c r="D162">
        <v>402.6</v>
      </c>
    </row>
    <row r="163" spans="1:4" x14ac:dyDescent="0.45">
      <c r="A163" t="s">
        <v>5</v>
      </c>
      <c r="B163">
        <v>2006</v>
      </c>
      <c r="C163" t="s">
        <v>45</v>
      </c>
      <c r="D163">
        <v>16.850000000000001</v>
      </c>
    </row>
    <row r="164" spans="1:4" x14ac:dyDescent="0.45">
      <c r="A164" t="s">
        <v>4</v>
      </c>
      <c r="B164">
        <v>2006</v>
      </c>
      <c r="C164" t="s">
        <v>45</v>
      </c>
      <c r="D164">
        <v>124.09</v>
      </c>
    </row>
    <row r="165" spans="1:4" x14ac:dyDescent="0.45">
      <c r="A165" t="s">
        <v>15</v>
      </c>
      <c r="B165">
        <v>2006</v>
      </c>
      <c r="C165" t="s">
        <v>45</v>
      </c>
      <c r="D165">
        <v>6.96</v>
      </c>
    </row>
    <row r="166" spans="1:4" x14ac:dyDescent="0.45">
      <c r="A166" t="s">
        <v>18</v>
      </c>
      <c r="B166">
        <v>2006</v>
      </c>
      <c r="C166" t="s">
        <v>45</v>
      </c>
      <c r="D166">
        <v>6.11</v>
      </c>
    </row>
    <row r="167" spans="1:4" x14ac:dyDescent="0.45">
      <c r="A167" t="s">
        <v>3</v>
      </c>
      <c r="B167">
        <v>2007</v>
      </c>
      <c r="C167" t="s">
        <v>45</v>
      </c>
      <c r="D167">
        <v>475.14</v>
      </c>
    </row>
    <row r="168" spans="1:4" x14ac:dyDescent="0.45">
      <c r="A168" t="s">
        <v>5</v>
      </c>
      <c r="B168">
        <v>2007</v>
      </c>
      <c r="C168" t="s">
        <v>45</v>
      </c>
      <c r="D168">
        <v>23.94</v>
      </c>
    </row>
    <row r="169" spans="1:4" x14ac:dyDescent="0.45">
      <c r="A169" t="s">
        <v>4</v>
      </c>
      <c r="B169">
        <v>2007</v>
      </c>
      <c r="C169" t="s">
        <v>45</v>
      </c>
      <c r="D169">
        <v>139.29</v>
      </c>
    </row>
    <row r="170" spans="1:4" x14ac:dyDescent="0.45">
      <c r="A170" t="s">
        <v>15</v>
      </c>
      <c r="B170">
        <v>2007</v>
      </c>
      <c r="C170" t="s">
        <v>45</v>
      </c>
      <c r="D170">
        <v>9.08</v>
      </c>
    </row>
    <row r="171" spans="1:4" x14ac:dyDescent="0.45">
      <c r="A171" t="s">
        <v>18</v>
      </c>
      <c r="B171">
        <v>2007</v>
      </c>
      <c r="C171" t="s">
        <v>45</v>
      </c>
      <c r="D171">
        <v>7.01</v>
      </c>
    </row>
    <row r="172" spans="1:4" x14ac:dyDescent="0.45">
      <c r="A172" t="s">
        <v>3</v>
      </c>
      <c r="B172">
        <v>2008</v>
      </c>
      <c r="C172" t="s">
        <v>45</v>
      </c>
      <c r="D172">
        <v>528.89</v>
      </c>
    </row>
    <row r="173" spans="1:4" x14ac:dyDescent="0.45">
      <c r="A173" t="s">
        <v>5</v>
      </c>
      <c r="B173">
        <v>2008</v>
      </c>
      <c r="C173" t="s">
        <v>45</v>
      </c>
      <c r="D173">
        <v>26.42</v>
      </c>
    </row>
    <row r="174" spans="1:4" x14ac:dyDescent="0.45">
      <c r="A174" t="s">
        <v>4</v>
      </c>
      <c r="B174">
        <v>2008</v>
      </c>
      <c r="C174" t="s">
        <v>45</v>
      </c>
      <c r="D174">
        <v>162.4</v>
      </c>
    </row>
    <row r="175" spans="1:4" x14ac:dyDescent="0.45">
      <c r="A175" t="s">
        <v>15</v>
      </c>
      <c r="B175">
        <v>2008</v>
      </c>
      <c r="C175" t="s">
        <v>45</v>
      </c>
      <c r="D175">
        <v>9.08</v>
      </c>
    </row>
    <row r="176" spans="1:4" x14ac:dyDescent="0.45">
      <c r="A176" t="s">
        <v>18</v>
      </c>
      <c r="B176">
        <v>2008</v>
      </c>
      <c r="C176" t="s">
        <v>45</v>
      </c>
      <c r="D176">
        <v>7.59</v>
      </c>
    </row>
    <row r="177" spans="1:4" x14ac:dyDescent="0.45">
      <c r="A177" t="s">
        <v>3</v>
      </c>
      <c r="B177">
        <v>2009</v>
      </c>
      <c r="C177" t="s">
        <v>45</v>
      </c>
      <c r="D177">
        <v>579.9</v>
      </c>
    </row>
    <row r="178" spans="1:4" x14ac:dyDescent="0.45">
      <c r="A178" t="s">
        <v>5</v>
      </c>
      <c r="B178">
        <v>2009</v>
      </c>
      <c r="C178" t="s">
        <v>45</v>
      </c>
      <c r="D178">
        <v>29.12</v>
      </c>
    </row>
    <row r="179" spans="1:4" x14ac:dyDescent="0.45">
      <c r="A179" t="s">
        <v>4</v>
      </c>
      <c r="B179">
        <v>2009</v>
      </c>
      <c r="C179" t="s">
        <v>45</v>
      </c>
      <c r="D179">
        <v>182.59</v>
      </c>
    </row>
    <row r="180" spans="1:4" x14ac:dyDescent="0.45">
      <c r="A180" t="s">
        <v>15</v>
      </c>
      <c r="B180">
        <v>2009</v>
      </c>
      <c r="C180" t="s">
        <v>45</v>
      </c>
      <c r="D180">
        <v>9.08</v>
      </c>
    </row>
    <row r="181" spans="1:4" x14ac:dyDescent="0.45">
      <c r="A181" t="s">
        <v>18</v>
      </c>
      <c r="B181">
        <v>2009</v>
      </c>
      <c r="C181" t="s">
        <v>45</v>
      </c>
      <c r="D181">
        <v>8.23</v>
      </c>
    </row>
    <row r="182" spans="1:4" x14ac:dyDescent="0.45">
      <c r="A182" t="s">
        <v>3</v>
      </c>
      <c r="B182">
        <v>2010</v>
      </c>
      <c r="C182" t="s">
        <v>45</v>
      </c>
      <c r="D182">
        <v>633.91</v>
      </c>
    </row>
    <row r="183" spans="1:4" x14ac:dyDescent="0.45">
      <c r="A183" t="s">
        <v>5</v>
      </c>
      <c r="B183">
        <v>2010</v>
      </c>
      <c r="C183" t="s">
        <v>45</v>
      </c>
      <c r="D183">
        <v>32.04</v>
      </c>
    </row>
    <row r="184" spans="1:4" x14ac:dyDescent="0.45">
      <c r="A184" t="s">
        <v>4</v>
      </c>
      <c r="B184">
        <v>2010</v>
      </c>
      <c r="C184" t="s">
        <v>45</v>
      </c>
      <c r="D184">
        <v>199.13</v>
      </c>
    </row>
    <row r="185" spans="1:4" x14ac:dyDescent="0.45">
      <c r="A185" t="s">
        <v>15</v>
      </c>
      <c r="B185">
        <v>2010</v>
      </c>
      <c r="C185" t="s">
        <v>45</v>
      </c>
      <c r="D185">
        <v>10.82</v>
      </c>
    </row>
    <row r="186" spans="1:4" x14ac:dyDescent="0.45">
      <c r="A186" t="s">
        <v>18</v>
      </c>
      <c r="B186">
        <v>2010</v>
      </c>
      <c r="C186" t="s">
        <v>45</v>
      </c>
      <c r="D186">
        <v>9.9</v>
      </c>
    </row>
    <row r="187" spans="1:4" x14ac:dyDescent="0.45">
      <c r="A187" t="s">
        <v>3</v>
      </c>
      <c r="B187">
        <v>2011</v>
      </c>
      <c r="C187" t="s">
        <v>45</v>
      </c>
      <c r="D187">
        <v>692</v>
      </c>
    </row>
    <row r="188" spans="1:4" x14ac:dyDescent="0.45">
      <c r="A188" t="s">
        <v>5</v>
      </c>
      <c r="B188">
        <v>2011</v>
      </c>
      <c r="C188" t="s">
        <v>45</v>
      </c>
      <c r="D188">
        <v>34.78</v>
      </c>
    </row>
    <row r="189" spans="1:4" x14ac:dyDescent="0.45">
      <c r="A189" t="s">
        <v>4</v>
      </c>
      <c r="B189">
        <v>2011</v>
      </c>
      <c r="C189" t="s">
        <v>45</v>
      </c>
      <c r="D189">
        <v>214.6</v>
      </c>
    </row>
    <row r="190" spans="1:4" x14ac:dyDescent="0.45">
      <c r="A190" t="s">
        <v>15</v>
      </c>
      <c r="B190">
        <v>2011</v>
      </c>
      <c r="C190" t="s">
        <v>45</v>
      </c>
      <c r="D190">
        <v>12.57</v>
      </c>
    </row>
    <row r="191" spans="1:4" x14ac:dyDescent="0.45">
      <c r="A191" t="s">
        <v>18</v>
      </c>
      <c r="B191">
        <v>2011</v>
      </c>
      <c r="C191" t="s">
        <v>45</v>
      </c>
      <c r="D191">
        <v>4.41</v>
      </c>
    </row>
    <row r="192" spans="1:4" x14ac:dyDescent="0.45">
      <c r="A192" t="s">
        <v>3</v>
      </c>
      <c r="B192">
        <v>2012</v>
      </c>
      <c r="C192" t="s">
        <v>45</v>
      </c>
      <c r="D192">
        <v>740.28</v>
      </c>
    </row>
    <row r="193" spans="1:4" x14ac:dyDescent="0.45">
      <c r="A193" t="s">
        <v>5</v>
      </c>
      <c r="B193">
        <v>2012</v>
      </c>
      <c r="C193" t="s">
        <v>45</v>
      </c>
      <c r="D193">
        <v>36.200000000000003</v>
      </c>
    </row>
    <row r="194" spans="1:4" x14ac:dyDescent="0.45">
      <c r="A194" t="s">
        <v>4</v>
      </c>
      <c r="B194">
        <v>2012</v>
      </c>
      <c r="C194" t="s">
        <v>45</v>
      </c>
      <c r="D194">
        <v>229.14</v>
      </c>
    </row>
    <row r="195" spans="1:4" x14ac:dyDescent="0.45">
      <c r="A195" t="s">
        <v>15</v>
      </c>
      <c r="B195">
        <v>2012</v>
      </c>
      <c r="C195" t="s">
        <v>45</v>
      </c>
      <c r="D195">
        <v>12.57</v>
      </c>
    </row>
    <row r="196" spans="1:4" x14ac:dyDescent="0.45">
      <c r="A196" t="s">
        <v>18</v>
      </c>
      <c r="B196">
        <v>2012</v>
      </c>
      <c r="C196" t="s">
        <v>45</v>
      </c>
      <c r="D196">
        <v>7.25</v>
      </c>
    </row>
    <row r="197" spans="1:4" x14ac:dyDescent="0.45">
      <c r="A197" t="s">
        <v>3</v>
      </c>
      <c r="B197">
        <v>2013</v>
      </c>
      <c r="C197" t="s">
        <v>45</v>
      </c>
      <c r="D197">
        <v>787.13</v>
      </c>
    </row>
    <row r="198" spans="1:4" x14ac:dyDescent="0.45">
      <c r="A198" t="s">
        <v>5</v>
      </c>
      <c r="B198">
        <v>2013</v>
      </c>
      <c r="C198" t="s">
        <v>45</v>
      </c>
      <c r="D198">
        <v>41.86</v>
      </c>
    </row>
    <row r="199" spans="1:4" x14ac:dyDescent="0.45">
      <c r="A199" t="s">
        <v>4</v>
      </c>
      <c r="B199">
        <v>2013</v>
      </c>
      <c r="C199" t="s">
        <v>45</v>
      </c>
      <c r="D199">
        <v>258.91000000000003</v>
      </c>
    </row>
    <row r="200" spans="1:4" x14ac:dyDescent="0.45">
      <c r="A200" t="s">
        <v>15</v>
      </c>
      <c r="B200">
        <v>2013</v>
      </c>
      <c r="C200" t="s">
        <v>45</v>
      </c>
      <c r="D200">
        <v>14.66</v>
      </c>
    </row>
    <row r="201" spans="1:4" x14ac:dyDescent="0.45">
      <c r="A201" t="s">
        <v>18</v>
      </c>
      <c r="B201">
        <v>2013</v>
      </c>
      <c r="C201" t="s">
        <v>45</v>
      </c>
      <c r="D201">
        <v>7.6</v>
      </c>
    </row>
    <row r="202" spans="1:4" x14ac:dyDescent="0.45">
      <c r="A202" t="s">
        <v>3</v>
      </c>
      <c r="B202">
        <v>2014</v>
      </c>
      <c r="C202" t="s">
        <v>45</v>
      </c>
      <c r="D202">
        <v>818.93</v>
      </c>
    </row>
    <row r="203" spans="1:4" x14ac:dyDescent="0.45">
      <c r="A203" t="s">
        <v>5</v>
      </c>
      <c r="B203">
        <v>2014</v>
      </c>
      <c r="C203" t="s">
        <v>45</v>
      </c>
      <c r="D203">
        <v>54.95</v>
      </c>
    </row>
    <row r="204" spans="1:4" x14ac:dyDescent="0.45">
      <c r="A204" t="s">
        <v>4</v>
      </c>
      <c r="B204">
        <v>2014</v>
      </c>
      <c r="C204" t="s">
        <v>45</v>
      </c>
      <c r="D204">
        <v>282.75</v>
      </c>
    </row>
    <row r="205" spans="1:4" x14ac:dyDescent="0.45">
      <c r="A205" t="s">
        <v>15</v>
      </c>
      <c r="B205">
        <v>2014</v>
      </c>
      <c r="C205" t="s">
        <v>45</v>
      </c>
      <c r="D205">
        <v>20.079999999999998</v>
      </c>
    </row>
    <row r="206" spans="1:4" x14ac:dyDescent="0.45">
      <c r="A206" t="s">
        <v>18</v>
      </c>
      <c r="B206">
        <v>2014</v>
      </c>
      <c r="C206" t="s">
        <v>45</v>
      </c>
      <c r="D206">
        <v>7.01</v>
      </c>
    </row>
    <row r="207" spans="1:4" x14ac:dyDescent="0.45">
      <c r="A207" t="s">
        <v>3</v>
      </c>
      <c r="B207">
        <v>2015</v>
      </c>
      <c r="C207" t="s">
        <v>45</v>
      </c>
      <c r="D207">
        <v>879.65</v>
      </c>
    </row>
    <row r="208" spans="1:4" x14ac:dyDescent="0.45">
      <c r="A208" t="s">
        <v>5</v>
      </c>
      <c r="B208">
        <v>2015</v>
      </c>
      <c r="C208" t="s">
        <v>45</v>
      </c>
      <c r="D208">
        <v>63.86</v>
      </c>
    </row>
    <row r="209" spans="1:4" x14ac:dyDescent="0.45">
      <c r="A209" t="s">
        <v>4</v>
      </c>
      <c r="B209">
        <v>2015</v>
      </c>
      <c r="C209" t="s">
        <v>45</v>
      </c>
      <c r="D209">
        <v>296.5</v>
      </c>
    </row>
    <row r="210" spans="1:4" x14ac:dyDescent="0.45">
      <c r="A210" t="s">
        <v>15</v>
      </c>
      <c r="B210">
        <v>2015</v>
      </c>
      <c r="C210" t="s">
        <v>45</v>
      </c>
      <c r="D210">
        <v>27.17</v>
      </c>
    </row>
    <row r="211" spans="1:4" x14ac:dyDescent="0.45">
      <c r="A211" t="s">
        <v>18</v>
      </c>
      <c r="B211">
        <v>2015</v>
      </c>
      <c r="C211" t="s">
        <v>45</v>
      </c>
      <c r="D211">
        <v>6.68</v>
      </c>
    </row>
    <row r="212" spans="1:4" x14ac:dyDescent="0.45">
      <c r="A212" t="s">
        <v>3</v>
      </c>
      <c r="B212">
        <v>2016</v>
      </c>
      <c r="C212" t="s">
        <v>45</v>
      </c>
      <c r="D212">
        <v>921.08</v>
      </c>
    </row>
    <row r="213" spans="1:4" x14ac:dyDescent="0.45">
      <c r="A213" t="s">
        <v>5</v>
      </c>
      <c r="B213">
        <v>2016</v>
      </c>
      <c r="C213" t="s">
        <v>45</v>
      </c>
      <c r="D213">
        <v>67.489999999999995</v>
      </c>
    </row>
    <row r="214" spans="1:4" x14ac:dyDescent="0.45">
      <c r="A214" t="s">
        <v>4</v>
      </c>
      <c r="B214">
        <v>2016</v>
      </c>
      <c r="C214" t="s">
        <v>45</v>
      </c>
      <c r="D214">
        <v>305.38</v>
      </c>
    </row>
    <row r="215" spans="1:4" x14ac:dyDescent="0.45">
      <c r="A215" t="s">
        <v>15</v>
      </c>
      <c r="B215">
        <v>2016</v>
      </c>
      <c r="C215" t="s">
        <v>45</v>
      </c>
      <c r="D215">
        <v>33.64</v>
      </c>
    </row>
    <row r="216" spans="1:4" x14ac:dyDescent="0.45">
      <c r="A216" t="s">
        <v>18</v>
      </c>
      <c r="B216">
        <v>2016</v>
      </c>
      <c r="C216" t="s">
        <v>45</v>
      </c>
      <c r="D216">
        <v>4.96</v>
      </c>
    </row>
    <row r="217" spans="1:4" x14ac:dyDescent="0.45">
      <c r="A217" t="s">
        <v>3</v>
      </c>
      <c r="B217">
        <v>2017</v>
      </c>
      <c r="C217" t="s">
        <v>45</v>
      </c>
      <c r="D217">
        <v>954.21</v>
      </c>
    </row>
    <row r="218" spans="1:4" x14ac:dyDescent="0.45">
      <c r="A218" t="s">
        <v>5</v>
      </c>
      <c r="B218">
        <v>2017</v>
      </c>
      <c r="C218" t="s">
        <v>45</v>
      </c>
      <c r="D218">
        <v>73.09</v>
      </c>
    </row>
    <row r="219" spans="1:4" x14ac:dyDescent="0.45">
      <c r="A219" t="s">
        <v>4</v>
      </c>
      <c r="B219">
        <v>2017</v>
      </c>
      <c r="C219" t="s">
        <v>45</v>
      </c>
      <c r="D219">
        <v>314.38</v>
      </c>
    </row>
    <row r="220" spans="1:4" x14ac:dyDescent="0.45">
      <c r="A220" t="s">
        <v>15</v>
      </c>
      <c r="B220">
        <v>2017</v>
      </c>
      <c r="C220" t="s">
        <v>45</v>
      </c>
      <c r="D220">
        <v>35.82</v>
      </c>
    </row>
    <row r="221" spans="1:4" x14ac:dyDescent="0.45">
      <c r="A221" t="s">
        <v>18</v>
      </c>
      <c r="B221">
        <v>2017</v>
      </c>
      <c r="C221" t="s">
        <v>45</v>
      </c>
      <c r="D221">
        <v>5.61</v>
      </c>
    </row>
    <row r="222" spans="1:4" x14ac:dyDescent="0.45">
      <c r="A222" t="s">
        <v>3</v>
      </c>
      <c r="B222">
        <v>2018</v>
      </c>
      <c r="C222" t="s">
        <v>45</v>
      </c>
      <c r="D222">
        <v>976.69</v>
      </c>
    </row>
    <row r="223" spans="1:4" x14ac:dyDescent="0.45">
      <c r="A223" t="s">
        <v>5</v>
      </c>
      <c r="B223">
        <v>2018</v>
      </c>
      <c r="C223" t="s">
        <v>45</v>
      </c>
      <c r="D223">
        <v>81.91</v>
      </c>
    </row>
    <row r="224" spans="1:4" x14ac:dyDescent="0.45">
      <c r="A224" t="s">
        <v>4</v>
      </c>
      <c r="B224">
        <v>2018</v>
      </c>
      <c r="C224" t="s">
        <v>45</v>
      </c>
      <c r="D224">
        <v>322.27</v>
      </c>
    </row>
    <row r="225" spans="1:4" x14ac:dyDescent="0.45">
      <c r="A225" t="s">
        <v>15</v>
      </c>
      <c r="B225">
        <v>2018</v>
      </c>
      <c r="C225" t="s">
        <v>45</v>
      </c>
      <c r="D225">
        <v>44.66</v>
      </c>
    </row>
    <row r="226" spans="1:4" x14ac:dyDescent="0.45">
      <c r="A226" t="s">
        <v>18</v>
      </c>
      <c r="B226">
        <v>2018</v>
      </c>
      <c r="C226" t="s">
        <v>45</v>
      </c>
      <c r="D226">
        <v>6.3</v>
      </c>
    </row>
    <row r="227" spans="1:4" x14ac:dyDescent="0.45">
      <c r="A227" t="s">
        <v>3</v>
      </c>
      <c r="B227">
        <v>2019</v>
      </c>
      <c r="C227" t="s">
        <v>45</v>
      </c>
      <c r="D227">
        <v>1019.28</v>
      </c>
    </row>
    <row r="228" spans="1:4" x14ac:dyDescent="0.45">
      <c r="A228" t="s">
        <v>5</v>
      </c>
      <c r="B228">
        <v>2019</v>
      </c>
      <c r="C228" t="s">
        <v>45</v>
      </c>
      <c r="D228">
        <v>90.82</v>
      </c>
    </row>
    <row r="229" spans="1:4" x14ac:dyDescent="0.45">
      <c r="A229" t="s">
        <v>4</v>
      </c>
      <c r="B229">
        <v>2019</v>
      </c>
      <c r="C229" t="s">
        <v>45</v>
      </c>
      <c r="D229">
        <v>327.75</v>
      </c>
    </row>
    <row r="230" spans="1:4" x14ac:dyDescent="0.45">
      <c r="A230" t="s">
        <v>15</v>
      </c>
      <c r="B230">
        <v>2019</v>
      </c>
      <c r="C230" t="s">
        <v>45</v>
      </c>
      <c r="D230">
        <v>48.74</v>
      </c>
    </row>
    <row r="231" spans="1:4" x14ac:dyDescent="0.45">
      <c r="A231" t="s">
        <v>18</v>
      </c>
      <c r="B231">
        <v>2019</v>
      </c>
      <c r="C231" t="s">
        <v>45</v>
      </c>
      <c r="D231">
        <v>7.76</v>
      </c>
    </row>
    <row r="232" spans="1:4" x14ac:dyDescent="0.45">
      <c r="A232" t="s">
        <v>3</v>
      </c>
      <c r="B232">
        <v>2020</v>
      </c>
      <c r="C232" t="s">
        <v>45</v>
      </c>
      <c r="D232">
        <v>1048.8599999999999</v>
      </c>
    </row>
    <row r="233" spans="1:4" x14ac:dyDescent="0.45">
      <c r="A233" t="s">
        <v>5</v>
      </c>
      <c r="B233">
        <v>2020</v>
      </c>
      <c r="C233" t="s">
        <v>45</v>
      </c>
      <c r="D233">
        <v>97.95</v>
      </c>
    </row>
    <row r="234" spans="1:4" x14ac:dyDescent="0.45">
      <c r="A234" t="s">
        <v>4</v>
      </c>
      <c r="B234">
        <v>2020</v>
      </c>
      <c r="C234" t="s">
        <v>45</v>
      </c>
      <c r="D234">
        <v>338.67</v>
      </c>
    </row>
    <row r="235" spans="1:4" x14ac:dyDescent="0.45">
      <c r="A235" t="s">
        <v>15</v>
      </c>
      <c r="B235">
        <v>2020</v>
      </c>
      <c r="C235" t="s">
        <v>45</v>
      </c>
      <c r="D235">
        <v>49.89</v>
      </c>
    </row>
    <row r="236" spans="1:4" x14ac:dyDescent="0.45">
      <c r="A236" t="s">
        <v>18</v>
      </c>
      <c r="B236">
        <v>2020</v>
      </c>
      <c r="C236" t="s">
        <v>45</v>
      </c>
      <c r="D236">
        <v>9.49</v>
      </c>
    </row>
    <row r="237" spans="1:4" x14ac:dyDescent="0.45">
      <c r="A237" t="s">
        <v>3</v>
      </c>
      <c r="B237">
        <v>2021</v>
      </c>
      <c r="C237" t="s">
        <v>45</v>
      </c>
      <c r="D237">
        <v>1074.01</v>
      </c>
    </row>
    <row r="238" spans="1:4" x14ac:dyDescent="0.45">
      <c r="A238" t="s">
        <v>5</v>
      </c>
      <c r="B238">
        <v>2021</v>
      </c>
      <c r="C238" t="s">
        <v>45</v>
      </c>
      <c r="D238">
        <v>105.06</v>
      </c>
    </row>
    <row r="239" spans="1:4" x14ac:dyDescent="0.45">
      <c r="A239" t="s">
        <v>4</v>
      </c>
      <c r="B239">
        <v>2021</v>
      </c>
      <c r="C239" t="s">
        <v>45</v>
      </c>
      <c r="D239">
        <v>354.53</v>
      </c>
    </row>
    <row r="240" spans="1:4" x14ac:dyDescent="0.45">
      <c r="A240" t="s">
        <v>15</v>
      </c>
      <c r="B240">
        <v>2021</v>
      </c>
      <c r="C240" t="s">
        <v>45</v>
      </c>
      <c r="D240">
        <v>53.26</v>
      </c>
    </row>
    <row r="241" spans="1:4" x14ac:dyDescent="0.45">
      <c r="A241" t="s">
        <v>18</v>
      </c>
      <c r="B241">
        <v>2021</v>
      </c>
      <c r="C241" t="s">
        <v>45</v>
      </c>
      <c r="D241">
        <v>12.53</v>
      </c>
    </row>
    <row r="242" spans="1:4" x14ac:dyDescent="0.45">
      <c r="A242" t="s">
        <v>3</v>
      </c>
      <c r="B242">
        <v>2022</v>
      </c>
      <c r="C242" t="s">
        <v>45</v>
      </c>
      <c r="D242">
        <v>1101.21</v>
      </c>
    </row>
    <row r="243" spans="1:4" x14ac:dyDescent="0.45">
      <c r="A243" t="s">
        <v>5</v>
      </c>
      <c r="B243">
        <v>2022</v>
      </c>
      <c r="C243" t="s">
        <v>45</v>
      </c>
      <c r="D243">
        <v>113.06</v>
      </c>
    </row>
    <row r="244" spans="1:4" x14ac:dyDescent="0.45">
      <c r="A244" t="s">
        <v>4</v>
      </c>
      <c r="B244">
        <v>2022</v>
      </c>
      <c r="C244" t="s">
        <v>45</v>
      </c>
      <c r="D244">
        <v>367.71</v>
      </c>
    </row>
    <row r="245" spans="1:4" x14ac:dyDescent="0.45">
      <c r="A245" t="s">
        <v>15</v>
      </c>
      <c r="B245">
        <v>2022</v>
      </c>
      <c r="C245" t="s">
        <v>45</v>
      </c>
      <c r="D245">
        <v>55.53</v>
      </c>
    </row>
    <row r="246" spans="1:4" x14ac:dyDescent="0.45">
      <c r="A246" t="s">
        <v>18</v>
      </c>
      <c r="B246">
        <v>2022</v>
      </c>
      <c r="C246" t="s">
        <v>45</v>
      </c>
      <c r="D246">
        <v>13.87</v>
      </c>
    </row>
    <row r="247" spans="1:4" x14ac:dyDescent="0.45">
      <c r="A247" t="s">
        <v>3</v>
      </c>
      <c r="B247">
        <v>2023</v>
      </c>
      <c r="C247" t="s">
        <v>45</v>
      </c>
      <c r="D247">
        <v>1146.51</v>
      </c>
    </row>
    <row r="248" spans="1:4" x14ac:dyDescent="0.45">
      <c r="A248" t="s">
        <v>5</v>
      </c>
      <c r="B248">
        <v>2023</v>
      </c>
      <c r="C248" t="s">
        <v>45</v>
      </c>
      <c r="D248">
        <v>122.12</v>
      </c>
    </row>
    <row r="249" spans="1:4" x14ac:dyDescent="0.45">
      <c r="A249" t="s">
        <v>4</v>
      </c>
      <c r="B249">
        <v>2023</v>
      </c>
      <c r="C249" t="s">
        <v>45</v>
      </c>
      <c r="D249">
        <v>370.6</v>
      </c>
    </row>
    <row r="250" spans="1:4" x14ac:dyDescent="0.45">
      <c r="A250" t="s">
        <v>15</v>
      </c>
      <c r="B250">
        <v>2023</v>
      </c>
      <c r="C250" t="s">
        <v>45</v>
      </c>
      <c r="D250">
        <v>56.91</v>
      </c>
    </row>
    <row r="251" spans="1:4" x14ac:dyDescent="0.45">
      <c r="A251" t="s">
        <v>18</v>
      </c>
      <c r="B251">
        <v>2023</v>
      </c>
      <c r="C251" t="s">
        <v>45</v>
      </c>
      <c r="D251">
        <v>14.9</v>
      </c>
    </row>
    <row r="252" spans="1:4" x14ac:dyDescent="0.45">
      <c r="A252" t="s">
        <v>3</v>
      </c>
      <c r="B252">
        <v>2024</v>
      </c>
      <c r="C252" t="s">
        <v>45</v>
      </c>
      <c r="D252">
        <v>1173.3800000000001</v>
      </c>
    </row>
    <row r="253" spans="1:4" x14ac:dyDescent="0.45">
      <c r="A253" t="s">
        <v>5</v>
      </c>
      <c r="B253">
        <v>2024</v>
      </c>
      <c r="C253" t="s">
        <v>45</v>
      </c>
      <c r="D253">
        <v>138.94</v>
      </c>
    </row>
    <row r="254" spans="1:4" x14ac:dyDescent="0.45">
      <c r="A254" t="s">
        <v>4</v>
      </c>
      <c r="B254">
        <v>2024</v>
      </c>
      <c r="C254" t="s">
        <v>45</v>
      </c>
      <c r="D254">
        <v>377.26</v>
      </c>
    </row>
    <row r="255" spans="1:4" x14ac:dyDescent="0.45">
      <c r="A255" t="s">
        <v>15</v>
      </c>
      <c r="B255">
        <v>2024</v>
      </c>
      <c r="C255" t="s">
        <v>45</v>
      </c>
      <c r="D255">
        <v>60.83</v>
      </c>
    </row>
    <row r="256" spans="1:4" x14ac:dyDescent="0.45">
      <c r="A256" t="s">
        <v>18</v>
      </c>
      <c r="B256">
        <v>2024</v>
      </c>
      <c r="C256" t="s">
        <v>45</v>
      </c>
      <c r="D256">
        <v>15.79</v>
      </c>
    </row>
    <row r="257" spans="1:4" x14ac:dyDescent="0.45">
      <c r="A257" t="s">
        <v>3</v>
      </c>
      <c r="B257">
        <v>2025</v>
      </c>
      <c r="C257" t="s">
        <v>45</v>
      </c>
      <c r="D257">
        <v>1243.29</v>
      </c>
    </row>
    <row r="258" spans="1:4" x14ac:dyDescent="0.45">
      <c r="A258" t="s">
        <v>5</v>
      </c>
      <c r="B258">
        <v>2025</v>
      </c>
      <c r="C258" t="s">
        <v>45</v>
      </c>
      <c r="D258">
        <v>160.51</v>
      </c>
    </row>
    <row r="259" spans="1:4" x14ac:dyDescent="0.45">
      <c r="A259" t="s">
        <v>4</v>
      </c>
      <c r="B259">
        <v>2025</v>
      </c>
      <c r="C259" t="s">
        <v>45</v>
      </c>
      <c r="D259">
        <v>382.08</v>
      </c>
    </row>
    <row r="260" spans="1:4" x14ac:dyDescent="0.45">
      <c r="A260" t="s">
        <v>15</v>
      </c>
      <c r="B260">
        <v>2025</v>
      </c>
      <c r="C260" t="s">
        <v>45</v>
      </c>
      <c r="D260">
        <v>62.48</v>
      </c>
    </row>
    <row r="261" spans="1:4" x14ac:dyDescent="0.45">
      <c r="A261" t="s">
        <v>18</v>
      </c>
      <c r="B261">
        <v>2025</v>
      </c>
      <c r="C261" t="s">
        <v>45</v>
      </c>
      <c r="D261">
        <v>16.57</v>
      </c>
    </row>
    <row r="262" spans="1:4" x14ac:dyDescent="0.45">
      <c r="A262" t="s">
        <v>40</v>
      </c>
      <c r="B262">
        <v>2000</v>
      </c>
      <c r="C262" t="s">
        <v>46</v>
      </c>
      <c r="D262">
        <v>0.55000000000000004</v>
      </c>
    </row>
    <row r="263" spans="1:4" x14ac:dyDescent="0.45">
      <c r="A263" t="s">
        <v>3</v>
      </c>
      <c r="B263">
        <v>2000</v>
      </c>
      <c r="C263" t="s">
        <v>46</v>
      </c>
      <c r="D263">
        <v>1022.52</v>
      </c>
    </row>
    <row r="264" spans="1:4" x14ac:dyDescent="0.45">
      <c r="A264" t="s">
        <v>5</v>
      </c>
      <c r="B264">
        <v>2000</v>
      </c>
      <c r="C264" t="s">
        <v>46</v>
      </c>
      <c r="D264">
        <v>2.56</v>
      </c>
    </row>
    <row r="265" spans="1:4" x14ac:dyDescent="0.45">
      <c r="A265" t="s">
        <v>4</v>
      </c>
      <c r="B265">
        <v>2000</v>
      </c>
      <c r="C265" t="s">
        <v>46</v>
      </c>
      <c r="D265">
        <v>5.28</v>
      </c>
    </row>
    <row r="266" spans="1:4" x14ac:dyDescent="0.45">
      <c r="A266" t="s">
        <v>15</v>
      </c>
      <c r="B266">
        <v>2000</v>
      </c>
      <c r="C266" t="s">
        <v>46</v>
      </c>
      <c r="D266">
        <v>0.09</v>
      </c>
    </row>
    <row r="267" spans="1:4" x14ac:dyDescent="0.45">
      <c r="A267" t="s">
        <v>18</v>
      </c>
      <c r="B267">
        <v>2000</v>
      </c>
      <c r="C267" t="s">
        <v>46</v>
      </c>
      <c r="D267">
        <v>31.1</v>
      </c>
    </row>
    <row r="268" spans="1:4" x14ac:dyDescent="0.45">
      <c r="A268" t="s">
        <v>6</v>
      </c>
      <c r="B268">
        <v>2000</v>
      </c>
      <c r="C268" t="s">
        <v>46</v>
      </c>
      <c r="D268">
        <v>0</v>
      </c>
    </row>
    <row r="269" spans="1:4" x14ac:dyDescent="0.45">
      <c r="A269" t="s">
        <v>74</v>
      </c>
      <c r="B269">
        <v>2000</v>
      </c>
      <c r="C269" t="s">
        <v>46</v>
      </c>
      <c r="D269">
        <v>0.01</v>
      </c>
    </row>
    <row r="270" spans="1:4" x14ac:dyDescent="0.45">
      <c r="A270" t="s">
        <v>40</v>
      </c>
      <c r="B270">
        <v>2001</v>
      </c>
      <c r="C270" t="s">
        <v>46</v>
      </c>
      <c r="D270">
        <v>0.55000000000000004</v>
      </c>
    </row>
    <row r="271" spans="1:4" x14ac:dyDescent="0.45">
      <c r="A271" t="s">
        <v>3</v>
      </c>
      <c r="B271">
        <v>2001</v>
      </c>
      <c r="C271" t="s">
        <v>46</v>
      </c>
      <c r="D271">
        <v>1088.3</v>
      </c>
    </row>
    <row r="272" spans="1:4" x14ac:dyDescent="0.45">
      <c r="A272" t="s">
        <v>5</v>
      </c>
      <c r="B272">
        <v>2001</v>
      </c>
      <c r="C272" t="s">
        <v>46</v>
      </c>
      <c r="D272">
        <v>2.19</v>
      </c>
    </row>
    <row r="273" spans="1:4" x14ac:dyDescent="0.45">
      <c r="A273" t="s">
        <v>4</v>
      </c>
      <c r="B273">
        <v>2001</v>
      </c>
      <c r="C273" t="s">
        <v>46</v>
      </c>
      <c r="D273">
        <v>6.59</v>
      </c>
    </row>
    <row r="274" spans="1:4" x14ac:dyDescent="0.45">
      <c r="A274" t="s">
        <v>15</v>
      </c>
      <c r="B274">
        <v>2001</v>
      </c>
      <c r="C274" t="s">
        <v>46</v>
      </c>
      <c r="D274">
        <v>0.1</v>
      </c>
    </row>
    <row r="275" spans="1:4" x14ac:dyDescent="0.45">
      <c r="A275" t="s">
        <v>18</v>
      </c>
      <c r="B275">
        <v>2001</v>
      </c>
      <c r="C275" t="s">
        <v>46</v>
      </c>
      <c r="D275">
        <v>31.93</v>
      </c>
    </row>
    <row r="276" spans="1:4" x14ac:dyDescent="0.45">
      <c r="A276" t="s">
        <v>6</v>
      </c>
      <c r="B276">
        <v>2001</v>
      </c>
      <c r="C276" t="s">
        <v>46</v>
      </c>
      <c r="D276">
        <v>0</v>
      </c>
    </row>
    <row r="277" spans="1:4" x14ac:dyDescent="0.45">
      <c r="A277" t="s">
        <v>74</v>
      </c>
      <c r="B277">
        <v>2001</v>
      </c>
      <c r="C277" t="s">
        <v>46</v>
      </c>
      <c r="D277">
        <v>0.01</v>
      </c>
    </row>
    <row r="278" spans="1:4" x14ac:dyDescent="0.45">
      <c r="A278" t="s">
        <v>40</v>
      </c>
      <c r="B278">
        <v>2002</v>
      </c>
      <c r="C278" t="s">
        <v>46</v>
      </c>
      <c r="D278">
        <v>0.55000000000000004</v>
      </c>
    </row>
    <row r="279" spans="1:4" x14ac:dyDescent="0.45">
      <c r="A279" t="s">
        <v>3</v>
      </c>
      <c r="B279">
        <v>2002</v>
      </c>
      <c r="C279" t="s">
        <v>46</v>
      </c>
      <c r="D279">
        <v>1236.27</v>
      </c>
    </row>
    <row r="280" spans="1:4" x14ac:dyDescent="0.45">
      <c r="A280" t="s">
        <v>5</v>
      </c>
      <c r="B280">
        <v>2002</v>
      </c>
      <c r="C280" t="s">
        <v>46</v>
      </c>
      <c r="D280">
        <v>1.86</v>
      </c>
    </row>
    <row r="281" spans="1:4" x14ac:dyDescent="0.45">
      <c r="A281" t="s">
        <v>4</v>
      </c>
      <c r="B281">
        <v>2002</v>
      </c>
      <c r="C281" t="s">
        <v>46</v>
      </c>
      <c r="D281">
        <v>6.84</v>
      </c>
    </row>
    <row r="282" spans="1:4" x14ac:dyDescent="0.45">
      <c r="A282" t="s">
        <v>15</v>
      </c>
      <c r="B282">
        <v>2002</v>
      </c>
      <c r="C282" t="s">
        <v>46</v>
      </c>
      <c r="D282">
        <v>0.14000000000000001</v>
      </c>
    </row>
    <row r="283" spans="1:4" x14ac:dyDescent="0.45">
      <c r="A283" t="s">
        <v>18</v>
      </c>
      <c r="B283">
        <v>2002</v>
      </c>
      <c r="C283" t="s">
        <v>46</v>
      </c>
      <c r="D283">
        <v>33.369999999999997</v>
      </c>
    </row>
    <row r="284" spans="1:4" x14ac:dyDescent="0.45">
      <c r="A284" t="s">
        <v>6</v>
      </c>
      <c r="B284">
        <v>2002</v>
      </c>
      <c r="C284" t="s">
        <v>46</v>
      </c>
      <c r="D284">
        <v>0</v>
      </c>
    </row>
    <row r="285" spans="1:4" x14ac:dyDescent="0.45">
      <c r="A285" t="s">
        <v>74</v>
      </c>
      <c r="B285">
        <v>2002</v>
      </c>
      <c r="C285" t="s">
        <v>46</v>
      </c>
      <c r="D285">
        <v>0.01</v>
      </c>
    </row>
    <row r="286" spans="1:4" x14ac:dyDescent="0.45">
      <c r="A286" t="s">
        <v>40</v>
      </c>
      <c r="B286">
        <v>2003</v>
      </c>
      <c r="C286" t="s">
        <v>46</v>
      </c>
      <c r="D286">
        <v>0.55000000000000004</v>
      </c>
    </row>
    <row r="287" spans="1:4" x14ac:dyDescent="0.45">
      <c r="A287" t="s">
        <v>3</v>
      </c>
      <c r="B287">
        <v>2003</v>
      </c>
      <c r="C287" t="s">
        <v>46</v>
      </c>
      <c r="D287">
        <v>1465.2</v>
      </c>
    </row>
    <row r="288" spans="1:4" x14ac:dyDescent="0.45">
      <c r="A288" t="s">
        <v>5</v>
      </c>
      <c r="B288">
        <v>2003</v>
      </c>
      <c r="C288" t="s">
        <v>46</v>
      </c>
      <c r="D288">
        <v>2.29</v>
      </c>
    </row>
    <row r="289" spans="1:4" x14ac:dyDescent="0.45">
      <c r="A289" t="s">
        <v>4</v>
      </c>
      <c r="B289">
        <v>2003</v>
      </c>
      <c r="C289" t="s">
        <v>46</v>
      </c>
      <c r="D289">
        <v>6.74</v>
      </c>
    </row>
    <row r="290" spans="1:4" x14ac:dyDescent="0.45">
      <c r="A290" t="s">
        <v>15</v>
      </c>
      <c r="B290">
        <v>2003</v>
      </c>
      <c r="C290" t="s">
        <v>46</v>
      </c>
      <c r="D290">
        <v>0.24</v>
      </c>
    </row>
    <row r="291" spans="1:4" x14ac:dyDescent="0.45">
      <c r="A291" t="s">
        <v>18</v>
      </c>
      <c r="B291">
        <v>2003</v>
      </c>
      <c r="C291" t="s">
        <v>46</v>
      </c>
      <c r="D291">
        <v>36.08</v>
      </c>
    </row>
    <row r="292" spans="1:4" x14ac:dyDescent="0.45">
      <c r="A292" t="s">
        <v>6</v>
      </c>
      <c r="B292">
        <v>2003</v>
      </c>
      <c r="C292" t="s">
        <v>46</v>
      </c>
      <c r="D292">
        <v>0</v>
      </c>
    </row>
    <row r="293" spans="1:4" x14ac:dyDescent="0.45">
      <c r="A293" t="s">
        <v>74</v>
      </c>
      <c r="B293">
        <v>2003</v>
      </c>
      <c r="C293" t="s">
        <v>46</v>
      </c>
      <c r="D293">
        <v>0.01</v>
      </c>
    </row>
    <row r="294" spans="1:4" x14ac:dyDescent="0.45">
      <c r="A294" t="s">
        <v>40</v>
      </c>
      <c r="B294">
        <v>2004</v>
      </c>
      <c r="C294" t="s">
        <v>46</v>
      </c>
      <c r="D294">
        <v>0.55000000000000004</v>
      </c>
    </row>
    <row r="295" spans="1:4" x14ac:dyDescent="0.45">
      <c r="A295" t="s">
        <v>3</v>
      </c>
      <c r="B295">
        <v>2004</v>
      </c>
      <c r="C295" t="s">
        <v>46</v>
      </c>
      <c r="D295">
        <v>1659.63</v>
      </c>
    </row>
    <row r="296" spans="1:4" x14ac:dyDescent="0.45">
      <c r="A296" t="s">
        <v>5</v>
      </c>
      <c r="B296">
        <v>2004</v>
      </c>
      <c r="C296" t="s">
        <v>46</v>
      </c>
      <c r="D296">
        <v>3.31</v>
      </c>
    </row>
    <row r="297" spans="1:4" x14ac:dyDescent="0.45">
      <c r="A297" t="s">
        <v>4</v>
      </c>
      <c r="B297">
        <v>2004</v>
      </c>
      <c r="C297" t="s">
        <v>46</v>
      </c>
      <c r="D297">
        <v>8.4</v>
      </c>
    </row>
    <row r="298" spans="1:4" x14ac:dyDescent="0.45">
      <c r="A298" t="s">
        <v>15</v>
      </c>
      <c r="B298">
        <v>2004</v>
      </c>
      <c r="C298" t="s">
        <v>46</v>
      </c>
      <c r="D298">
        <v>0.28000000000000003</v>
      </c>
    </row>
    <row r="299" spans="1:4" x14ac:dyDescent="0.45">
      <c r="A299" t="s">
        <v>18</v>
      </c>
      <c r="B299">
        <v>2004</v>
      </c>
      <c r="C299" t="s">
        <v>46</v>
      </c>
      <c r="D299">
        <v>43.12</v>
      </c>
    </row>
    <row r="300" spans="1:4" x14ac:dyDescent="0.45">
      <c r="A300" t="s">
        <v>6</v>
      </c>
      <c r="B300">
        <v>2004</v>
      </c>
      <c r="C300" t="s">
        <v>46</v>
      </c>
      <c r="D300">
        <v>0</v>
      </c>
    </row>
    <row r="301" spans="1:4" x14ac:dyDescent="0.45">
      <c r="A301" t="s">
        <v>74</v>
      </c>
      <c r="B301">
        <v>2004</v>
      </c>
      <c r="C301" t="s">
        <v>46</v>
      </c>
      <c r="D301">
        <v>0.02</v>
      </c>
    </row>
    <row r="302" spans="1:4" x14ac:dyDescent="0.45">
      <c r="A302" t="s">
        <v>40</v>
      </c>
      <c r="B302">
        <v>2005</v>
      </c>
      <c r="C302" t="s">
        <v>46</v>
      </c>
      <c r="D302">
        <v>1.1499999999999999</v>
      </c>
    </row>
    <row r="303" spans="1:4" x14ac:dyDescent="0.45">
      <c r="A303" t="s">
        <v>3</v>
      </c>
      <c r="B303">
        <v>2005</v>
      </c>
      <c r="C303" t="s">
        <v>46</v>
      </c>
      <c r="D303">
        <v>1905.97</v>
      </c>
    </row>
    <row r="304" spans="1:4" x14ac:dyDescent="0.45">
      <c r="A304" t="s">
        <v>5</v>
      </c>
      <c r="B304">
        <v>2005</v>
      </c>
      <c r="C304" t="s">
        <v>46</v>
      </c>
      <c r="D304">
        <v>5.39</v>
      </c>
    </row>
    <row r="305" spans="1:4" x14ac:dyDescent="0.45">
      <c r="A305" t="s">
        <v>4</v>
      </c>
      <c r="B305">
        <v>2005</v>
      </c>
      <c r="C305" t="s">
        <v>46</v>
      </c>
      <c r="D305">
        <v>9.43</v>
      </c>
    </row>
    <row r="306" spans="1:4" x14ac:dyDescent="0.45">
      <c r="A306" t="s">
        <v>15</v>
      </c>
      <c r="B306">
        <v>2005</v>
      </c>
      <c r="C306" t="s">
        <v>46</v>
      </c>
      <c r="D306">
        <v>0.28999999999999998</v>
      </c>
    </row>
    <row r="307" spans="1:4" x14ac:dyDescent="0.45">
      <c r="A307" t="s">
        <v>18</v>
      </c>
      <c r="B307">
        <v>2005</v>
      </c>
      <c r="C307" t="s">
        <v>46</v>
      </c>
      <c r="D307">
        <v>33.24</v>
      </c>
    </row>
    <row r="308" spans="1:4" x14ac:dyDescent="0.45">
      <c r="A308" t="s">
        <v>6</v>
      </c>
      <c r="B308">
        <v>2005</v>
      </c>
      <c r="C308" t="s">
        <v>46</v>
      </c>
      <c r="D308">
        <v>0</v>
      </c>
    </row>
    <row r="309" spans="1:4" x14ac:dyDescent="0.45">
      <c r="A309" t="s">
        <v>74</v>
      </c>
      <c r="B309">
        <v>2005</v>
      </c>
      <c r="C309" t="s">
        <v>46</v>
      </c>
      <c r="D309">
        <v>0.02</v>
      </c>
    </row>
    <row r="310" spans="1:4" x14ac:dyDescent="0.45">
      <c r="A310" t="s">
        <v>40</v>
      </c>
      <c r="B310">
        <v>2006</v>
      </c>
      <c r="C310" t="s">
        <v>46</v>
      </c>
      <c r="D310">
        <v>1.54</v>
      </c>
    </row>
    <row r="311" spans="1:4" x14ac:dyDescent="0.45">
      <c r="A311" t="s">
        <v>3</v>
      </c>
      <c r="B311">
        <v>2006</v>
      </c>
      <c r="C311" t="s">
        <v>46</v>
      </c>
      <c r="D311">
        <v>2206.64</v>
      </c>
    </row>
    <row r="312" spans="1:4" x14ac:dyDescent="0.45">
      <c r="A312" t="s">
        <v>5</v>
      </c>
      <c r="B312">
        <v>2006</v>
      </c>
      <c r="C312" t="s">
        <v>46</v>
      </c>
      <c r="D312">
        <v>10.58</v>
      </c>
    </row>
    <row r="313" spans="1:4" x14ac:dyDescent="0.45">
      <c r="A313" t="s">
        <v>4</v>
      </c>
      <c r="B313">
        <v>2006</v>
      </c>
      <c r="C313" t="s">
        <v>46</v>
      </c>
      <c r="D313">
        <v>10.35</v>
      </c>
    </row>
    <row r="314" spans="1:4" x14ac:dyDescent="0.45">
      <c r="A314" t="s">
        <v>15</v>
      </c>
      <c r="B314">
        <v>2006</v>
      </c>
      <c r="C314" t="s">
        <v>46</v>
      </c>
      <c r="D314">
        <v>0.3</v>
      </c>
    </row>
    <row r="315" spans="1:4" x14ac:dyDescent="0.45">
      <c r="A315" t="s">
        <v>18</v>
      </c>
      <c r="B315">
        <v>2006</v>
      </c>
      <c r="C315" t="s">
        <v>46</v>
      </c>
      <c r="D315">
        <v>24.95</v>
      </c>
    </row>
    <row r="316" spans="1:4" x14ac:dyDescent="0.45">
      <c r="A316" t="s">
        <v>6</v>
      </c>
      <c r="B316">
        <v>2006</v>
      </c>
      <c r="C316" t="s">
        <v>46</v>
      </c>
      <c r="D316">
        <v>0</v>
      </c>
    </row>
    <row r="317" spans="1:4" x14ac:dyDescent="0.45">
      <c r="A317" t="s">
        <v>74</v>
      </c>
      <c r="B317">
        <v>2006</v>
      </c>
      <c r="C317" t="s">
        <v>46</v>
      </c>
      <c r="D317">
        <v>0.05</v>
      </c>
    </row>
    <row r="318" spans="1:4" x14ac:dyDescent="0.45">
      <c r="A318" t="s">
        <v>40</v>
      </c>
      <c r="B318">
        <v>2007</v>
      </c>
      <c r="C318" t="s">
        <v>46</v>
      </c>
      <c r="D318">
        <v>2.13</v>
      </c>
    </row>
    <row r="319" spans="1:4" x14ac:dyDescent="0.45">
      <c r="A319" t="s">
        <v>3</v>
      </c>
      <c r="B319">
        <v>2007</v>
      </c>
      <c r="C319" t="s">
        <v>46</v>
      </c>
      <c r="D319">
        <v>2529.31</v>
      </c>
    </row>
    <row r="320" spans="1:4" x14ac:dyDescent="0.45">
      <c r="A320" t="s">
        <v>5</v>
      </c>
      <c r="B320">
        <v>2007</v>
      </c>
      <c r="C320" t="s">
        <v>46</v>
      </c>
      <c r="D320">
        <v>15.07</v>
      </c>
    </row>
    <row r="321" spans="1:4" x14ac:dyDescent="0.45">
      <c r="A321" t="s">
        <v>4</v>
      </c>
      <c r="B321">
        <v>2007</v>
      </c>
      <c r="C321" t="s">
        <v>46</v>
      </c>
      <c r="D321">
        <v>11.53</v>
      </c>
    </row>
    <row r="322" spans="1:4" x14ac:dyDescent="0.45">
      <c r="A322" t="s">
        <v>15</v>
      </c>
      <c r="B322">
        <v>2007</v>
      </c>
      <c r="C322" t="s">
        <v>46</v>
      </c>
      <c r="D322">
        <v>0.34</v>
      </c>
    </row>
    <row r="323" spans="1:4" x14ac:dyDescent="0.45">
      <c r="A323" t="s">
        <v>18</v>
      </c>
      <c r="B323">
        <v>2007</v>
      </c>
      <c r="C323" t="s">
        <v>46</v>
      </c>
      <c r="D323">
        <v>18.48</v>
      </c>
    </row>
    <row r="324" spans="1:4" x14ac:dyDescent="0.45">
      <c r="A324" t="s">
        <v>6</v>
      </c>
      <c r="B324">
        <v>2007</v>
      </c>
      <c r="C324" t="s">
        <v>46</v>
      </c>
      <c r="D324">
        <v>0.01</v>
      </c>
    </row>
    <row r="325" spans="1:4" x14ac:dyDescent="0.45">
      <c r="A325" t="s">
        <v>74</v>
      </c>
      <c r="B325">
        <v>2007</v>
      </c>
      <c r="C325" t="s">
        <v>46</v>
      </c>
      <c r="D325">
        <v>7.0000000000000007E-2</v>
      </c>
    </row>
    <row r="326" spans="1:4" x14ac:dyDescent="0.45">
      <c r="A326" t="s">
        <v>40</v>
      </c>
      <c r="B326">
        <v>2008</v>
      </c>
      <c r="C326" t="s">
        <v>46</v>
      </c>
      <c r="D326">
        <v>3.21</v>
      </c>
    </row>
    <row r="327" spans="1:4" x14ac:dyDescent="0.45">
      <c r="A327" t="s">
        <v>3</v>
      </c>
      <c r="B327">
        <v>2008</v>
      </c>
      <c r="C327" t="s">
        <v>46</v>
      </c>
      <c r="D327">
        <v>2565.1</v>
      </c>
    </row>
    <row r="328" spans="1:4" x14ac:dyDescent="0.45">
      <c r="A328" t="s">
        <v>5</v>
      </c>
      <c r="B328">
        <v>2008</v>
      </c>
      <c r="C328" t="s">
        <v>46</v>
      </c>
      <c r="D328">
        <v>15.36</v>
      </c>
    </row>
    <row r="329" spans="1:4" x14ac:dyDescent="0.45">
      <c r="A329" t="s">
        <v>4</v>
      </c>
      <c r="B329">
        <v>2008</v>
      </c>
      <c r="C329" t="s">
        <v>46</v>
      </c>
      <c r="D329">
        <v>15.13</v>
      </c>
    </row>
    <row r="330" spans="1:4" x14ac:dyDescent="0.45">
      <c r="A330" t="s">
        <v>15</v>
      </c>
      <c r="B330">
        <v>2008</v>
      </c>
      <c r="C330" t="s">
        <v>46</v>
      </c>
      <c r="D330">
        <v>0.38</v>
      </c>
    </row>
    <row r="331" spans="1:4" x14ac:dyDescent="0.45">
      <c r="A331" t="s">
        <v>18</v>
      </c>
      <c r="B331">
        <v>2008</v>
      </c>
      <c r="C331" t="s">
        <v>46</v>
      </c>
      <c r="D331">
        <v>12.38</v>
      </c>
    </row>
    <row r="332" spans="1:4" x14ac:dyDescent="0.45">
      <c r="A332" t="s">
        <v>6</v>
      </c>
      <c r="B332">
        <v>2008</v>
      </c>
      <c r="C332" t="s">
        <v>46</v>
      </c>
      <c r="D332">
        <v>0.01</v>
      </c>
    </row>
    <row r="333" spans="1:4" x14ac:dyDescent="0.45">
      <c r="A333" t="s">
        <v>74</v>
      </c>
      <c r="B333">
        <v>2008</v>
      </c>
      <c r="C333" t="s">
        <v>46</v>
      </c>
      <c r="D333">
        <v>0.16</v>
      </c>
    </row>
    <row r="334" spans="1:4" x14ac:dyDescent="0.45">
      <c r="A334" t="s">
        <v>40</v>
      </c>
      <c r="B334">
        <v>2009</v>
      </c>
      <c r="C334" t="s">
        <v>46</v>
      </c>
      <c r="D334">
        <v>4.51</v>
      </c>
    </row>
    <row r="335" spans="1:4" x14ac:dyDescent="0.45">
      <c r="A335" t="s">
        <v>3</v>
      </c>
      <c r="B335">
        <v>2009</v>
      </c>
      <c r="C335" t="s">
        <v>46</v>
      </c>
      <c r="D335">
        <v>2744.9</v>
      </c>
    </row>
    <row r="336" spans="1:4" x14ac:dyDescent="0.45">
      <c r="A336" t="s">
        <v>5</v>
      </c>
      <c r="B336">
        <v>2009</v>
      </c>
      <c r="C336" t="s">
        <v>46</v>
      </c>
      <c r="D336">
        <v>25.13</v>
      </c>
    </row>
    <row r="337" spans="1:4" x14ac:dyDescent="0.45">
      <c r="A337" t="s">
        <v>4</v>
      </c>
      <c r="B337">
        <v>2009</v>
      </c>
      <c r="C337" t="s">
        <v>46</v>
      </c>
      <c r="D337">
        <v>14.63</v>
      </c>
    </row>
    <row r="338" spans="1:4" x14ac:dyDescent="0.45">
      <c r="A338" t="s">
        <v>15</v>
      </c>
      <c r="B338">
        <v>2009</v>
      </c>
      <c r="C338" t="s">
        <v>46</v>
      </c>
      <c r="D338">
        <v>0.39</v>
      </c>
    </row>
    <row r="339" spans="1:4" x14ac:dyDescent="0.45">
      <c r="A339" t="s">
        <v>18</v>
      </c>
      <c r="B339">
        <v>2009</v>
      </c>
      <c r="C339" t="s">
        <v>46</v>
      </c>
      <c r="D339">
        <v>7.97</v>
      </c>
    </row>
    <row r="340" spans="1:4" x14ac:dyDescent="0.45">
      <c r="A340" t="s">
        <v>6</v>
      </c>
      <c r="B340">
        <v>2009</v>
      </c>
      <c r="C340" t="s">
        <v>46</v>
      </c>
      <c r="D340">
        <v>0.01</v>
      </c>
    </row>
    <row r="341" spans="1:4" x14ac:dyDescent="0.45">
      <c r="A341" t="s">
        <v>74</v>
      </c>
      <c r="B341">
        <v>2009</v>
      </c>
      <c r="C341" t="s">
        <v>46</v>
      </c>
      <c r="D341">
        <v>0.35</v>
      </c>
    </row>
    <row r="342" spans="1:4" x14ac:dyDescent="0.45">
      <c r="A342" t="s">
        <v>40</v>
      </c>
      <c r="B342">
        <v>2010</v>
      </c>
      <c r="C342" t="s">
        <v>46</v>
      </c>
      <c r="D342">
        <v>5.38</v>
      </c>
    </row>
    <row r="343" spans="1:4" x14ac:dyDescent="0.45">
      <c r="A343" t="s">
        <v>3</v>
      </c>
      <c r="B343">
        <v>2010</v>
      </c>
      <c r="C343" t="s">
        <v>46</v>
      </c>
      <c r="D343">
        <v>3036.02</v>
      </c>
    </row>
    <row r="344" spans="1:4" x14ac:dyDescent="0.45">
      <c r="A344" t="s">
        <v>5</v>
      </c>
      <c r="B344">
        <v>2010</v>
      </c>
      <c r="C344" t="s">
        <v>46</v>
      </c>
      <c r="D344">
        <v>34.53</v>
      </c>
    </row>
    <row r="345" spans="1:4" x14ac:dyDescent="0.45">
      <c r="A345" t="s">
        <v>4</v>
      </c>
      <c r="B345">
        <v>2010</v>
      </c>
      <c r="C345" t="s">
        <v>46</v>
      </c>
      <c r="D345">
        <v>16.899999999999999</v>
      </c>
    </row>
    <row r="346" spans="1:4" x14ac:dyDescent="0.45">
      <c r="A346" t="s">
        <v>15</v>
      </c>
      <c r="B346">
        <v>2010</v>
      </c>
      <c r="C346" t="s">
        <v>46</v>
      </c>
      <c r="D346">
        <v>0.41</v>
      </c>
    </row>
    <row r="347" spans="1:4" x14ac:dyDescent="0.45">
      <c r="A347" t="s">
        <v>18</v>
      </c>
      <c r="B347">
        <v>2010</v>
      </c>
      <c r="C347" t="s">
        <v>46</v>
      </c>
      <c r="D347">
        <v>22.84</v>
      </c>
    </row>
    <row r="348" spans="1:4" x14ac:dyDescent="0.45">
      <c r="A348" t="s">
        <v>6</v>
      </c>
      <c r="B348">
        <v>2010</v>
      </c>
      <c r="C348" t="s">
        <v>46</v>
      </c>
      <c r="D348">
        <v>0.03</v>
      </c>
    </row>
    <row r="349" spans="1:4" x14ac:dyDescent="0.45">
      <c r="A349" t="s">
        <v>74</v>
      </c>
      <c r="B349">
        <v>2010</v>
      </c>
      <c r="C349" t="s">
        <v>46</v>
      </c>
      <c r="D349">
        <v>0.62</v>
      </c>
    </row>
    <row r="350" spans="1:4" x14ac:dyDescent="0.45">
      <c r="A350" t="s">
        <v>40</v>
      </c>
      <c r="B350">
        <v>2011</v>
      </c>
      <c r="C350" t="s">
        <v>46</v>
      </c>
      <c r="D350">
        <v>5.97</v>
      </c>
    </row>
    <row r="351" spans="1:4" x14ac:dyDescent="0.45">
      <c r="A351" t="s">
        <v>3</v>
      </c>
      <c r="B351">
        <v>2011</v>
      </c>
      <c r="C351" t="s">
        <v>46</v>
      </c>
      <c r="D351">
        <v>3451.77</v>
      </c>
    </row>
    <row r="352" spans="1:4" x14ac:dyDescent="0.45">
      <c r="A352" t="s">
        <v>5</v>
      </c>
      <c r="B352">
        <v>2011</v>
      </c>
      <c r="C352" t="s">
        <v>46</v>
      </c>
      <c r="D352">
        <v>48.32</v>
      </c>
    </row>
    <row r="353" spans="1:4" x14ac:dyDescent="0.45">
      <c r="A353" t="s">
        <v>4</v>
      </c>
      <c r="B353">
        <v>2011</v>
      </c>
      <c r="C353" t="s">
        <v>46</v>
      </c>
      <c r="D353">
        <v>16.350000000000001</v>
      </c>
    </row>
    <row r="354" spans="1:4" x14ac:dyDescent="0.45">
      <c r="A354" t="s">
        <v>15</v>
      </c>
      <c r="B354">
        <v>2011</v>
      </c>
      <c r="C354" t="s">
        <v>46</v>
      </c>
      <c r="D354">
        <v>0.48</v>
      </c>
    </row>
    <row r="355" spans="1:4" x14ac:dyDescent="0.45">
      <c r="A355" t="s">
        <v>18</v>
      </c>
      <c r="B355">
        <v>2011</v>
      </c>
      <c r="C355" t="s">
        <v>46</v>
      </c>
      <c r="D355">
        <v>22.24</v>
      </c>
    </row>
    <row r="356" spans="1:4" x14ac:dyDescent="0.45">
      <c r="A356" t="s">
        <v>6</v>
      </c>
      <c r="B356">
        <v>2011</v>
      </c>
      <c r="C356" t="s">
        <v>46</v>
      </c>
      <c r="D356">
        <v>0.12</v>
      </c>
    </row>
    <row r="357" spans="1:4" x14ac:dyDescent="0.45">
      <c r="A357" t="s">
        <v>74</v>
      </c>
      <c r="B357">
        <v>2011</v>
      </c>
      <c r="C357" t="s">
        <v>46</v>
      </c>
      <c r="D357">
        <v>0.93</v>
      </c>
    </row>
    <row r="358" spans="1:4" x14ac:dyDescent="0.45">
      <c r="A358" t="s">
        <v>40</v>
      </c>
      <c r="B358">
        <v>2012</v>
      </c>
      <c r="C358" t="s">
        <v>46</v>
      </c>
      <c r="D358">
        <v>6.51</v>
      </c>
    </row>
    <row r="359" spans="1:4" x14ac:dyDescent="0.45">
      <c r="A359" t="s">
        <v>3</v>
      </c>
      <c r="B359">
        <v>2012</v>
      </c>
      <c r="C359" t="s">
        <v>46</v>
      </c>
      <c r="D359">
        <v>3494.17</v>
      </c>
    </row>
    <row r="360" spans="1:4" x14ac:dyDescent="0.45">
      <c r="A360" t="s">
        <v>5</v>
      </c>
      <c r="B360">
        <v>2012</v>
      </c>
      <c r="C360" t="s">
        <v>46</v>
      </c>
      <c r="D360">
        <v>48.98</v>
      </c>
    </row>
    <row r="361" spans="1:4" x14ac:dyDescent="0.45">
      <c r="A361" t="s">
        <v>4</v>
      </c>
      <c r="B361">
        <v>2012</v>
      </c>
      <c r="C361" t="s">
        <v>46</v>
      </c>
      <c r="D361">
        <v>20.5</v>
      </c>
    </row>
    <row r="362" spans="1:4" x14ac:dyDescent="0.45">
      <c r="A362" t="s">
        <v>15</v>
      </c>
      <c r="B362">
        <v>2012</v>
      </c>
      <c r="C362" t="s">
        <v>46</v>
      </c>
      <c r="D362">
        <v>0.54</v>
      </c>
    </row>
    <row r="363" spans="1:4" x14ac:dyDescent="0.45">
      <c r="A363" t="s">
        <v>18</v>
      </c>
      <c r="B363">
        <v>2012</v>
      </c>
      <c r="C363" t="s">
        <v>46</v>
      </c>
      <c r="D363">
        <v>20.54</v>
      </c>
    </row>
    <row r="364" spans="1:4" x14ac:dyDescent="0.45">
      <c r="A364" t="s">
        <v>6</v>
      </c>
      <c r="B364">
        <v>2012</v>
      </c>
      <c r="C364" t="s">
        <v>46</v>
      </c>
      <c r="D364">
        <v>0.17</v>
      </c>
    </row>
    <row r="365" spans="1:4" x14ac:dyDescent="0.45">
      <c r="A365" t="s">
        <v>74</v>
      </c>
      <c r="B365">
        <v>2012</v>
      </c>
      <c r="C365" t="s">
        <v>46</v>
      </c>
      <c r="D365">
        <v>1.3</v>
      </c>
    </row>
    <row r="366" spans="1:4" x14ac:dyDescent="0.45">
      <c r="A366" t="s">
        <v>40</v>
      </c>
      <c r="B366">
        <v>2013</v>
      </c>
      <c r="C366" t="s">
        <v>46</v>
      </c>
      <c r="D366">
        <v>8.0299999999999994</v>
      </c>
    </row>
    <row r="367" spans="1:4" x14ac:dyDescent="0.45">
      <c r="A367" t="s">
        <v>3</v>
      </c>
      <c r="B367">
        <v>2013</v>
      </c>
      <c r="C367" t="s">
        <v>46</v>
      </c>
      <c r="D367">
        <v>3791.93</v>
      </c>
    </row>
    <row r="368" spans="1:4" x14ac:dyDescent="0.45">
      <c r="A368" t="s">
        <v>5</v>
      </c>
      <c r="B368">
        <v>2013</v>
      </c>
      <c r="C368" t="s">
        <v>46</v>
      </c>
      <c r="D368">
        <v>51.71</v>
      </c>
    </row>
    <row r="369" spans="1:4" x14ac:dyDescent="0.45">
      <c r="A369" t="s">
        <v>4</v>
      </c>
      <c r="B369">
        <v>2013</v>
      </c>
      <c r="C369" t="s">
        <v>46</v>
      </c>
      <c r="D369">
        <v>21.61</v>
      </c>
    </row>
    <row r="370" spans="1:4" x14ac:dyDescent="0.45">
      <c r="A370" t="s">
        <v>15</v>
      </c>
      <c r="B370">
        <v>2013</v>
      </c>
      <c r="C370" t="s">
        <v>46</v>
      </c>
      <c r="D370">
        <v>0.62</v>
      </c>
    </row>
    <row r="371" spans="1:4" x14ac:dyDescent="0.45">
      <c r="A371" t="s">
        <v>18</v>
      </c>
      <c r="B371">
        <v>2013</v>
      </c>
      <c r="C371" t="s">
        <v>46</v>
      </c>
      <c r="D371">
        <v>21.71</v>
      </c>
    </row>
    <row r="372" spans="1:4" x14ac:dyDescent="0.45">
      <c r="A372" t="s">
        <v>6</v>
      </c>
      <c r="B372">
        <v>2013</v>
      </c>
      <c r="C372" t="s">
        <v>46</v>
      </c>
      <c r="D372">
        <v>0.4</v>
      </c>
    </row>
    <row r="373" spans="1:4" x14ac:dyDescent="0.45">
      <c r="A373" t="s">
        <v>74</v>
      </c>
      <c r="B373">
        <v>2013</v>
      </c>
      <c r="C373" t="s">
        <v>46</v>
      </c>
      <c r="D373">
        <v>1.74</v>
      </c>
    </row>
    <row r="374" spans="1:4" x14ac:dyDescent="0.45">
      <c r="A374" t="s">
        <v>40</v>
      </c>
      <c r="B374">
        <v>2014</v>
      </c>
      <c r="C374" t="s">
        <v>46</v>
      </c>
      <c r="D374">
        <v>10</v>
      </c>
    </row>
    <row r="375" spans="1:4" x14ac:dyDescent="0.45">
      <c r="A375" t="s">
        <v>3</v>
      </c>
      <c r="B375">
        <v>2014</v>
      </c>
      <c r="C375" t="s">
        <v>46</v>
      </c>
      <c r="D375">
        <v>3899.44</v>
      </c>
    </row>
    <row r="376" spans="1:4" x14ac:dyDescent="0.45">
      <c r="A376" t="s">
        <v>5</v>
      </c>
      <c r="B376">
        <v>2014</v>
      </c>
      <c r="C376" t="s">
        <v>46</v>
      </c>
      <c r="D376">
        <v>59.21</v>
      </c>
    </row>
    <row r="377" spans="1:4" x14ac:dyDescent="0.45">
      <c r="A377" t="s">
        <v>4</v>
      </c>
      <c r="B377">
        <v>2014</v>
      </c>
      <c r="C377" t="s">
        <v>46</v>
      </c>
      <c r="D377">
        <v>25.18</v>
      </c>
    </row>
    <row r="378" spans="1:4" x14ac:dyDescent="0.45">
      <c r="A378" t="s">
        <v>15</v>
      </c>
      <c r="B378">
        <v>2014</v>
      </c>
      <c r="C378" t="s">
        <v>46</v>
      </c>
      <c r="D378">
        <v>0.74</v>
      </c>
    </row>
    <row r="379" spans="1:4" x14ac:dyDescent="0.45">
      <c r="A379" t="s">
        <v>18</v>
      </c>
      <c r="B379">
        <v>2014</v>
      </c>
      <c r="C379" t="s">
        <v>46</v>
      </c>
      <c r="D379">
        <v>23.46</v>
      </c>
    </row>
    <row r="380" spans="1:4" x14ac:dyDescent="0.45">
      <c r="A380" t="s">
        <v>6</v>
      </c>
      <c r="B380">
        <v>2014</v>
      </c>
      <c r="C380" t="s">
        <v>46</v>
      </c>
      <c r="D380">
        <v>1.1200000000000001</v>
      </c>
    </row>
    <row r="381" spans="1:4" x14ac:dyDescent="0.45">
      <c r="A381" t="s">
        <v>74</v>
      </c>
      <c r="B381">
        <v>2014</v>
      </c>
      <c r="C381" t="s">
        <v>46</v>
      </c>
      <c r="D381">
        <v>2.0099999999999998</v>
      </c>
    </row>
    <row r="382" spans="1:4" x14ac:dyDescent="0.45">
      <c r="A382" t="s">
        <v>40</v>
      </c>
      <c r="B382">
        <v>2015</v>
      </c>
      <c r="C382" t="s">
        <v>46</v>
      </c>
      <c r="D382">
        <v>11.69</v>
      </c>
    </row>
    <row r="383" spans="1:4" x14ac:dyDescent="0.45">
      <c r="A383" t="s">
        <v>3</v>
      </c>
      <c r="B383">
        <v>2015</v>
      </c>
      <c r="C383" t="s">
        <v>46</v>
      </c>
      <c r="D383">
        <v>3742.33</v>
      </c>
    </row>
    <row r="384" spans="1:4" x14ac:dyDescent="0.45">
      <c r="A384" t="s">
        <v>5</v>
      </c>
      <c r="B384">
        <v>2015</v>
      </c>
      <c r="C384" t="s">
        <v>46</v>
      </c>
      <c r="D384">
        <v>74.16</v>
      </c>
    </row>
    <row r="385" spans="1:4" x14ac:dyDescent="0.45">
      <c r="A385" t="s">
        <v>4</v>
      </c>
      <c r="B385">
        <v>2015</v>
      </c>
      <c r="C385" t="s">
        <v>46</v>
      </c>
      <c r="D385">
        <v>26.48</v>
      </c>
    </row>
    <row r="386" spans="1:4" x14ac:dyDescent="0.45">
      <c r="A386" t="s">
        <v>15</v>
      </c>
      <c r="B386">
        <v>2015</v>
      </c>
      <c r="C386" t="s">
        <v>46</v>
      </c>
      <c r="D386">
        <v>0.95</v>
      </c>
    </row>
    <row r="387" spans="1:4" x14ac:dyDescent="0.45">
      <c r="A387" t="s">
        <v>18</v>
      </c>
      <c r="B387">
        <v>2015</v>
      </c>
      <c r="C387" t="s">
        <v>46</v>
      </c>
      <c r="D387">
        <v>23.99</v>
      </c>
    </row>
    <row r="388" spans="1:4" x14ac:dyDescent="0.45">
      <c r="A388" t="s">
        <v>6</v>
      </c>
      <c r="B388">
        <v>2015</v>
      </c>
      <c r="C388" t="s">
        <v>46</v>
      </c>
      <c r="D388">
        <v>1.88</v>
      </c>
    </row>
    <row r="389" spans="1:4" x14ac:dyDescent="0.45">
      <c r="A389" t="s">
        <v>74</v>
      </c>
      <c r="B389">
        <v>2015</v>
      </c>
      <c r="C389" t="s">
        <v>46</v>
      </c>
      <c r="D389">
        <v>2.34</v>
      </c>
    </row>
    <row r="390" spans="1:4" x14ac:dyDescent="0.45">
      <c r="A390" t="s">
        <v>40</v>
      </c>
      <c r="B390">
        <v>2016</v>
      </c>
      <c r="C390" t="s">
        <v>46</v>
      </c>
      <c r="D390">
        <v>13.43</v>
      </c>
    </row>
    <row r="391" spans="1:4" x14ac:dyDescent="0.45">
      <c r="A391" t="s">
        <v>3</v>
      </c>
      <c r="B391">
        <v>2016</v>
      </c>
      <c r="C391" t="s">
        <v>46</v>
      </c>
      <c r="D391">
        <v>3831.48</v>
      </c>
    </row>
    <row r="392" spans="1:4" x14ac:dyDescent="0.45">
      <c r="A392" t="s">
        <v>5</v>
      </c>
      <c r="B392">
        <v>2016</v>
      </c>
      <c r="C392" t="s">
        <v>46</v>
      </c>
      <c r="D392">
        <v>83.65</v>
      </c>
    </row>
    <row r="393" spans="1:4" x14ac:dyDescent="0.45">
      <c r="A393" t="s">
        <v>4</v>
      </c>
      <c r="B393">
        <v>2016</v>
      </c>
      <c r="C393" t="s">
        <v>46</v>
      </c>
      <c r="D393">
        <v>27.4</v>
      </c>
    </row>
    <row r="394" spans="1:4" x14ac:dyDescent="0.45">
      <c r="A394" t="s">
        <v>15</v>
      </c>
      <c r="B394">
        <v>2016</v>
      </c>
      <c r="C394" t="s">
        <v>46</v>
      </c>
      <c r="D394">
        <v>1.18</v>
      </c>
    </row>
    <row r="395" spans="1:4" x14ac:dyDescent="0.45">
      <c r="A395" t="s">
        <v>18</v>
      </c>
      <c r="B395">
        <v>2016</v>
      </c>
      <c r="C395" t="s">
        <v>46</v>
      </c>
      <c r="D395">
        <v>34.58</v>
      </c>
    </row>
    <row r="396" spans="1:4" x14ac:dyDescent="0.45">
      <c r="A396" t="s">
        <v>6</v>
      </c>
      <c r="B396">
        <v>2016</v>
      </c>
      <c r="C396" t="s">
        <v>46</v>
      </c>
      <c r="D396">
        <v>3.16</v>
      </c>
    </row>
    <row r="397" spans="1:4" x14ac:dyDescent="0.45">
      <c r="A397" t="s">
        <v>74</v>
      </c>
      <c r="B397">
        <v>2016</v>
      </c>
      <c r="C397" t="s">
        <v>46</v>
      </c>
      <c r="D397">
        <v>3.05</v>
      </c>
    </row>
    <row r="398" spans="1:4" x14ac:dyDescent="0.45">
      <c r="A398" t="s">
        <v>40</v>
      </c>
      <c r="B398">
        <v>2017</v>
      </c>
      <c r="C398" t="s">
        <v>46</v>
      </c>
      <c r="D398">
        <v>17.21</v>
      </c>
    </row>
    <row r="399" spans="1:4" x14ac:dyDescent="0.45">
      <c r="A399" t="s">
        <v>3</v>
      </c>
      <c r="B399">
        <v>2017</v>
      </c>
      <c r="C399" t="s">
        <v>46</v>
      </c>
      <c r="D399">
        <v>4072.39</v>
      </c>
    </row>
    <row r="400" spans="1:4" x14ac:dyDescent="0.45">
      <c r="A400" t="s">
        <v>5</v>
      </c>
      <c r="B400">
        <v>2017</v>
      </c>
      <c r="C400" t="s">
        <v>46</v>
      </c>
      <c r="D400">
        <v>90.28</v>
      </c>
    </row>
    <row r="401" spans="1:4" x14ac:dyDescent="0.45">
      <c r="A401" t="s">
        <v>4</v>
      </c>
      <c r="B401">
        <v>2017</v>
      </c>
      <c r="C401" t="s">
        <v>46</v>
      </c>
      <c r="D401">
        <v>27.68</v>
      </c>
    </row>
    <row r="402" spans="1:4" x14ac:dyDescent="0.45">
      <c r="A402" t="s">
        <v>15</v>
      </c>
      <c r="B402">
        <v>2017</v>
      </c>
      <c r="C402" t="s">
        <v>46</v>
      </c>
      <c r="D402">
        <v>1.37</v>
      </c>
    </row>
    <row r="403" spans="1:4" x14ac:dyDescent="0.45">
      <c r="A403" t="s">
        <v>18</v>
      </c>
      <c r="B403">
        <v>2017</v>
      </c>
      <c r="C403" t="s">
        <v>46</v>
      </c>
      <c r="D403">
        <v>36.880000000000003</v>
      </c>
    </row>
    <row r="404" spans="1:4" x14ac:dyDescent="0.45">
      <c r="A404" t="s">
        <v>6</v>
      </c>
      <c r="B404">
        <v>2017</v>
      </c>
      <c r="C404" t="s">
        <v>46</v>
      </c>
      <c r="D404">
        <v>5.6</v>
      </c>
    </row>
    <row r="405" spans="1:4" x14ac:dyDescent="0.45">
      <c r="A405" t="s">
        <v>74</v>
      </c>
      <c r="B405">
        <v>2017</v>
      </c>
      <c r="C405" t="s">
        <v>46</v>
      </c>
      <c r="D405">
        <v>3.87</v>
      </c>
    </row>
    <row r="406" spans="1:4" x14ac:dyDescent="0.45">
      <c r="A406" t="s">
        <v>40</v>
      </c>
      <c r="B406">
        <v>2018</v>
      </c>
      <c r="C406" t="s">
        <v>46</v>
      </c>
      <c r="D406">
        <v>20.28</v>
      </c>
    </row>
    <row r="407" spans="1:4" x14ac:dyDescent="0.45">
      <c r="A407" t="s">
        <v>3</v>
      </c>
      <c r="B407">
        <v>2018</v>
      </c>
      <c r="C407" t="s">
        <v>46</v>
      </c>
      <c r="D407">
        <v>4368.3999999999996</v>
      </c>
    </row>
    <row r="408" spans="1:4" x14ac:dyDescent="0.45">
      <c r="A408" t="s">
        <v>5</v>
      </c>
      <c r="B408">
        <v>2018</v>
      </c>
      <c r="C408" t="s">
        <v>46</v>
      </c>
      <c r="D408">
        <v>95.74</v>
      </c>
    </row>
    <row r="409" spans="1:4" x14ac:dyDescent="0.45">
      <c r="A409" t="s">
        <v>4</v>
      </c>
      <c r="B409">
        <v>2018</v>
      </c>
      <c r="C409" t="s">
        <v>46</v>
      </c>
      <c r="D409">
        <v>28.49</v>
      </c>
    </row>
    <row r="410" spans="1:4" x14ac:dyDescent="0.45">
      <c r="A410" t="s">
        <v>15</v>
      </c>
      <c r="B410">
        <v>2018</v>
      </c>
      <c r="C410" t="s">
        <v>46</v>
      </c>
      <c r="D410">
        <v>1.63</v>
      </c>
    </row>
    <row r="411" spans="1:4" x14ac:dyDescent="0.45">
      <c r="A411" t="s">
        <v>18</v>
      </c>
      <c r="B411">
        <v>2018</v>
      </c>
      <c r="C411" t="s">
        <v>46</v>
      </c>
      <c r="D411">
        <v>37.11</v>
      </c>
    </row>
    <row r="412" spans="1:4" x14ac:dyDescent="0.45">
      <c r="A412" t="s">
        <v>6</v>
      </c>
      <c r="B412">
        <v>2018</v>
      </c>
      <c r="C412" t="s">
        <v>46</v>
      </c>
      <c r="D412">
        <v>8.41</v>
      </c>
    </row>
    <row r="413" spans="1:4" x14ac:dyDescent="0.45">
      <c r="A413" t="s">
        <v>74</v>
      </c>
      <c r="B413">
        <v>2018</v>
      </c>
      <c r="C413" t="s">
        <v>46</v>
      </c>
      <c r="D413">
        <v>4.67</v>
      </c>
    </row>
    <row r="414" spans="1:4" x14ac:dyDescent="0.45">
      <c r="A414" t="s">
        <v>40</v>
      </c>
      <c r="B414">
        <v>2019</v>
      </c>
      <c r="C414" t="s">
        <v>46</v>
      </c>
      <c r="D414">
        <v>24.39</v>
      </c>
    </row>
    <row r="415" spans="1:4" x14ac:dyDescent="0.45">
      <c r="A415" t="s">
        <v>3</v>
      </c>
      <c r="B415">
        <v>2019</v>
      </c>
      <c r="C415" t="s">
        <v>46</v>
      </c>
      <c r="D415">
        <v>4439.88</v>
      </c>
    </row>
    <row r="416" spans="1:4" x14ac:dyDescent="0.45">
      <c r="A416" t="s">
        <v>5</v>
      </c>
      <c r="B416">
        <v>2019</v>
      </c>
      <c r="C416" t="s">
        <v>46</v>
      </c>
      <c r="D416">
        <v>103.3</v>
      </c>
    </row>
    <row r="417" spans="1:4" x14ac:dyDescent="0.45">
      <c r="A417" t="s">
        <v>4</v>
      </c>
      <c r="B417">
        <v>2019</v>
      </c>
      <c r="C417" t="s">
        <v>46</v>
      </c>
      <c r="D417">
        <v>30.24</v>
      </c>
    </row>
    <row r="418" spans="1:4" x14ac:dyDescent="0.45">
      <c r="A418" t="s">
        <v>15</v>
      </c>
      <c r="B418">
        <v>2019</v>
      </c>
      <c r="C418" t="s">
        <v>46</v>
      </c>
      <c r="D418">
        <v>1.93</v>
      </c>
    </row>
    <row r="419" spans="1:4" x14ac:dyDescent="0.45">
      <c r="A419" t="s">
        <v>18</v>
      </c>
      <c r="B419">
        <v>2019</v>
      </c>
      <c r="C419" t="s">
        <v>46</v>
      </c>
      <c r="D419">
        <v>34.53</v>
      </c>
    </row>
    <row r="420" spans="1:4" x14ac:dyDescent="0.45">
      <c r="A420" t="s">
        <v>6</v>
      </c>
      <c r="B420">
        <v>2019</v>
      </c>
      <c r="C420" t="s">
        <v>46</v>
      </c>
      <c r="D420">
        <v>10.64</v>
      </c>
    </row>
    <row r="421" spans="1:4" x14ac:dyDescent="0.45">
      <c r="A421" t="s">
        <v>74</v>
      </c>
      <c r="B421">
        <v>2019</v>
      </c>
      <c r="C421" t="s">
        <v>46</v>
      </c>
      <c r="D421">
        <v>5.19</v>
      </c>
    </row>
    <row r="422" spans="1:4" x14ac:dyDescent="0.45">
      <c r="A422" t="s">
        <v>40</v>
      </c>
      <c r="B422">
        <v>2020</v>
      </c>
      <c r="C422" t="s">
        <v>46</v>
      </c>
      <c r="D422">
        <v>29.34</v>
      </c>
    </row>
    <row r="423" spans="1:4" x14ac:dyDescent="0.45">
      <c r="A423" t="s">
        <v>3</v>
      </c>
      <c r="B423">
        <v>2020</v>
      </c>
      <c r="C423" t="s">
        <v>46</v>
      </c>
      <c r="D423">
        <v>4488.67</v>
      </c>
    </row>
    <row r="424" spans="1:4" x14ac:dyDescent="0.45">
      <c r="A424" t="s">
        <v>5</v>
      </c>
      <c r="B424">
        <v>2020</v>
      </c>
      <c r="C424" t="s">
        <v>46</v>
      </c>
      <c r="D424">
        <v>112.18</v>
      </c>
    </row>
    <row r="425" spans="1:4" x14ac:dyDescent="0.45">
      <c r="A425" t="s">
        <v>4</v>
      </c>
      <c r="B425">
        <v>2020</v>
      </c>
      <c r="C425" t="s">
        <v>46</v>
      </c>
      <c r="D425">
        <v>31.4</v>
      </c>
    </row>
    <row r="426" spans="1:4" x14ac:dyDescent="0.45">
      <c r="A426" t="s">
        <v>15</v>
      </c>
      <c r="B426">
        <v>2020</v>
      </c>
      <c r="C426" t="s">
        <v>46</v>
      </c>
      <c r="D426">
        <v>2.0299999999999998</v>
      </c>
    </row>
    <row r="427" spans="1:4" x14ac:dyDescent="0.45">
      <c r="A427" t="s">
        <v>18</v>
      </c>
      <c r="B427">
        <v>2020</v>
      </c>
      <c r="C427" t="s">
        <v>46</v>
      </c>
      <c r="D427">
        <v>35.18</v>
      </c>
    </row>
    <row r="428" spans="1:4" x14ac:dyDescent="0.45">
      <c r="A428" t="s">
        <v>6</v>
      </c>
      <c r="B428">
        <v>2020</v>
      </c>
      <c r="C428" t="s">
        <v>46</v>
      </c>
      <c r="D428">
        <v>12.41</v>
      </c>
    </row>
    <row r="429" spans="1:4" x14ac:dyDescent="0.45">
      <c r="A429" t="s">
        <v>74</v>
      </c>
      <c r="B429">
        <v>2020</v>
      </c>
      <c r="C429" t="s">
        <v>46</v>
      </c>
      <c r="D429">
        <v>5.99</v>
      </c>
    </row>
    <row r="430" spans="1:4" x14ac:dyDescent="0.45">
      <c r="A430" t="s">
        <v>40</v>
      </c>
      <c r="B430">
        <v>2021</v>
      </c>
      <c r="C430" t="s">
        <v>46</v>
      </c>
      <c r="D430">
        <v>35.89</v>
      </c>
    </row>
    <row r="431" spans="1:4" x14ac:dyDescent="0.45">
      <c r="A431" t="s">
        <v>3</v>
      </c>
      <c r="B431">
        <v>2021</v>
      </c>
      <c r="C431" t="s">
        <v>46</v>
      </c>
      <c r="D431">
        <v>4854.97</v>
      </c>
    </row>
    <row r="432" spans="1:4" x14ac:dyDescent="0.45">
      <c r="A432" t="s">
        <v>5</v>
      </c>
      <c r="B432">
        <v>2021</v>
      </c>
      <c r="C432" t="s">
        <v>46</v>
      </c>
      <c r="D432">
        <v>127.55</v>
      </c>
    </row>
    <row r="433" spans="1:4" x14ac:dyDescent="0.45">
      <c r="A433" t="s">
        <v>4</v>
      </c>
      <c r="B433">
        <v>2021</v>
      </c>
      <c r="C433" t="s">
        <v>46</v>
      </c>
      <c r="D433">
        <v>30.89</v>
      </c>
    </row>
    <row r="434" spans="1:4" x14ac:dyDescent="0.45">
      <c r="A434" t="s">
        <v>15</v>
      </c>
      <c r="B434">
        <v>2021</v>
      </c>
      <c r="C434" t="s">
        <v>46</v>
      </c>
      <c r="D434">
        <v>2.2599999999999998</v>
      </c>
    </row>
    <row r="435" spans="1:4" x14ac:dyDescent="0.45">
      <c r="A435" t="s">
        <v>18</v>
      </c>
      <c r="B435">
        <v>2021</v>
      </c>
      <c r="C435" t="s">
        <v>46</v>
      </c>
      <c r="D435">
        <v>37.549999999999997</v>
      </c>
    </row>
    <row r="436" spans="1:4" x14ac:dyDescent="0.45">
      <c r="A436" t="s">
        <v>6</v>
      </c>
      <c r="B436">
        <v>2021</v>
      </c>
      <c r="C436" t="s">
        <v>46</v>
      </c>
      <c r="D436">
        <v>15.54</v>
      </c>
    </row>
    <row r="437" spans="1:4" x14ac:dyDescent="0.45">
      <c r="A437" t="s">
        <v>74</v>
      </c>
      <c r="B437">
        <v>2021</v>
      </c>
      <c r="C437" t="s">
        <v>46</v>
      </c>
      <c r="D437">
        <v>8.68</v>
      </c>
    </row>
    <row r="438" spans="1:4" x14ac:dyDescent="0.45">
      <c r="A438" t="s">
        <v>40</v>
      </c>
      <c r="B438">
        <v>2022</v>
      </c>
      <c r="C438" t="s">
        <v>46</v>
      </c>
      <c r="D438">
        <v>39.479999999999997</v>
      </c>
    </row>
    <row r="439" spans="1:4" x14ac:dyDescent="0.45">
      <c r="A439" t="s">
        <v>3</v>
      </c>
      <c r="B439">
        <v>2022</v>
      </c>
      <c r="C439" t="s">
        <v>46</v>
      </c>
      <c r="D439">
        <v>4921.47</v>
      </c>
    </row>
    <row r="440" spans="1:4" x14ac:dyDescent="0.45">
      <c r="A440" t="s">
        <v>5</v>
      </c>
      <c r="B440">
        <v>2022</v>
      </c>
      <c r="C440" t="s">
        <v>46</v>
      </c>
      <c r="D440">
        <v>122.45</v>
      </c>
    </row>
    <row r="441" spans="1:4" x14ac:dyDescent="0.45">
      <c r="A441" t="s">
        <v>4</v>
      </c>
      <c r="B441">
        <v>2022</v>
      </c>
      <c r="C441" t="s">
        <v>46</v>
      </c>
      <c r="D441">
        <v>30.84</v>
      </c>
    </row>
    <row r="442" spans="1:4" x14ac:dyDescent="0.45">
      <c r="A442" t="s">
        <v>15</v>
      </c>
      <c r="B442">
        <v>2022</v>
      </c>
      <c r="C442" t="s">
        <v>46</v>
      </c>
      <c r="D442">
        <v>2.31</v>
      </c>
    </row>
    <row r="443" spans="1:4" x14ac:dyDescent="0.45">
      <c r="A443" t="s">
        <v>18</v>
      </c>
      <c r="B443">
        <v>2022</v>
      </c>
      <c r="C443" t="s">
        <v>46</v>
      </c>
      <c r="D443">
        <v>46.01</v>
      </c>
    </row>
    <row r="444" spans="1:4" x14ac:dyDescent="0.45">
      <c r="A444" t="s">
        <v>6</v>
      </c>
      <c r="B444">
        <v>2022</v>
      </c>
      <c r="C444" t="s">
        <v>46</v>
      </c>
      <c r="D444">
        <v>20.3</v>
      </c>
    </row>
    <row r="445" spans="1:4" x14ac:dyDescent="0.45">
      <c r="A445" t="s">
        <v>74</v>
      </c>
      <c r="B445">
        <v>2022</v>
      </c>
      <c r="C445" t="s">
        <v>46</v>
      </c>
      <c r="D445">
        <v>10.119999999999999</v>
      </c>
    </row>
    <row r="446" spans="1:4" x14ac:dyDescent="0.45">
      <c r="A446" t="s">
        <v>40</v>
      </c>
      <c r="B446">
        <v>2023</v>
      </c>
      <c r="C446" t="s">
        <v>46</v>
      </c>
      <c r="D446">
        <v>42.85</v>
      </c>
    </row>
    <row r="447" spans="1:4" x14ac:dyDescent="0.45">
      <c r="A447" t="s">
        <v>3</v>
      </c>
      <c r="B447">
        <v>2023</v>
      </c>
      <c r="C447" t="s">
        <v>46</v>
      </c>
      <c r="D447">
        <v>5218.58</v>
      </c>
    </row>
    <row r="448" spans="1:4" x14ac:dyDescent="0.45">
      <c r="A448" t="s">
        <v>5</v>
      </c>
      <c r="B448">
        <v>2023</v>
      </c>
      <c r="C448" t="s">
        <v>46</v>
      </c>
      <c r="D448">
        <v>132.31</v>
      </c>
    </row>
    <row r="449" spans="1:4" x14ac:dyDescent="0.45">
      <c r="A449" t="s">
        <v>4</v>
      </c>
      <c r="B449">
        <v>2023</v>
      </c>
      <c r="C449" t="s">
        <v>46</v>
      </c>
      <c r="D449">
        <v>29.13</v>
      </c>
    </row>
    <row r="450" spans="1:4" x14ac:dyDescent="0.45">
      <c r="A450" t="s">
        <v>15</v>
      </c>
      <c r="B450">
        <v>2023</v>
      </c>
      <c r="C450" t="s">
        <v>46</v>
      </c>
      <c r="D450">
        <v>2.41</v>
      </c>
    </row>
    <row r="451" spans="1:4" x14ac:dyDescent="0.45">
      <c r="A451" t="s">
        <v>18</v>
      </c>
      <c r="B451">
        <v>2023</v>
      </c>
      <c r="C451" t="s">
        <v>46</v>
      </c>
      <c r="D451">
        <v>50.65</v>
      </c>
    </row>
    <row r="452" spans="1:4" x14ac:dyDescent="0.45">
      <c r="A452" t="s">
        <v>6</v>
      </c>
      <c r="B452">
        <v>2023</v>
      </c>
      <c r="C452" t="s">
        <v>46</v>
      </c>
      <c r="D452">
        <v>27.76</v>
      </c>
    </row>
    <row r="453" spans="1:4" x14ac:dyDescent="0.45">
      <c r="A453" t="s">
        <v>74</v>
      </c>
      <c r="B453">
        <v>2023</v>
      </c>
      <c r="C453" t="s">
        <v>46</v>
      </c>
      <c r="D453">
        <v>11.76</v>
      </c>
    </row>
    <row r="454" spans="1:4" x14ac:dyDescent="0.45">
      <c r="A454" t="s">
        <v>40</v>
      </c>
      <c r="B454">
        <v>2024</v>
      </c>
      <c r="C454" t="s">
        <v>46</v>
      </c>
      <c r="D454">
        <v>45.08</v>
      </c>
    </row>
    <row r="455" spans="1:4" x14ac:dyDescent="0.45">
      <c r="A455" t="s">
        <v>3</v>
      </c>
      <c r="B455">
        <v>2024</v>
      </c>
      <c r="C455" t="s">
        <v>46</v>
      </c>
      <c r="D455">
        <v>5277.23</v>
      </c>
    </row>
    <row r="456" spans="1:4" x14ac:dyDescent="0.45">
      <c r="A456" t="s">
        <v>5</v>
      </c>
      <c r="B456">
        <v>2024</v>
      </c>
      <c r="C456" t="s">
        <v>46</v>
      </c>
      <c r="D456">
        <v>142.49</v>
      </c>
    </row>
    <row r="457" spans="1:4" x14ac:dyDescent="0.45">
      <c r="A457" t="s">
        <v>4</v>
      </c>
      <c r="B457">
        <v>2024</v>
      </c>
      <c r="C457" t="s">
        <v>46</v>
      </c>
      <c r="D457">
        <v>32.18</v>
      </c>
    </row>
    <row r="458" spans="1:4" x14ac:dyDescent="0.45">
      <c r="A458" t="s">
        <v>15</v>
      </c>
      <c r="B458">
        <v>2024</v>
      </c>
      <c r="C458" t="s">
        <v>46</v>
      </c>
      <c r="D458">
        <v>2.5</v>
      </c>
    </row>
    <row r="459" spans="1:4" x14ac:dyDescent="0.45">
      <c r="A459" t="s">
        <v>18</v>
      </c>
      <c r="B459">
        <v>2024</v>
      </c>
      <c r="C459" t="s">
        <v>46</v>
      </c>
      <c r="D459">
        <v>58.48</v>
      </c>
    </row>
    <row r="460" spans="1:4" x14ac:dyDescent="0.45">
      <c r="A460" t="s">
        <v>6</v>
      </c>
      <c r="B460">
        <v>2024</v>
      </c>
      <c r="C460" t="s">
        <v>46</v>
      </c>
      <c r="D460">
        <v>39.869999999999997</v>
      </c>
    </row>
    <row r="461" spans="1:4" x14ac:dyDescent="0.45">
      <c r="A461" t="s">
        <v>74</v>
      </c>
      <c r="B461">
        <v>2024</v>
      </c>
      <c r="C461" t="s">
        <v>46</v>
      </c>
      <c r="D461">
        <v>13.16</v>
      </c>
    </row>
    <row r="462" spans="1:4" x14ac:dyDescent="0.45">
      <c r="A462" t="s">
        <v>40</v>
      </c>
      <c r="B462">
        <v>2025</v>
      </c>
      <c r="C462" t="s">
        <v>46</v>
      </c>
      <c r="D462">
        <v>44.66</v>
      </c>
    </row>
    <row r="463" spans="1:4" x14ac:dyDescent="0.45">
      <c r="A463" t="s">
        <v>3</v>
      </c>
      <c r="B463">
        <v>2025</v>
      </c>
      <c r="C463" t="s">
        <v>46</v>
      </c>
      <c r="D463">
        <v>5214.97</v>
      </c>
    </row>
    <row r="464" spans="1:4" x14ac:dyDescent="0.45">
      <c r="A464" t="s">
        <v>5</v>
      </c>
      <c r="B464">
        <v>2025</v>
      </c>
      <c r="C464" t="s">
        <v>46</v>
      </c>
      <c r="D464">
        <v>141.22999999999999</v>
      </c>
    </row>
    <row r="465" spans="1:4" x14ac:dyDescent="0.45">
      <c r="A465" t="s">
        <v>4</v>
      </c>
      <c r="B465">
        <v>2025</v>
      </c>
      <c r="C465" t="s">
        <v>46</v>
      </c>
      <c r="D465">
        <v>33.14</v>
      </c>
    </row>
    <row r="466" spans="1:4" x14ac:dyDescent="0.45">
      <c r="A466" t="s">
        <v>15</v>
      </c>
      <c r="B466">
        <v>2025</v>
      </c>
      <c r="C466" t="s">
        <v>46</v>
      </c>
      <c r="D466">
        <v>2.7</v>
      </c>
    </row>
    <row r="467" spans="1:4" x14ac:dyDescent="0.45">
      <c r="A467" t="s">
        <v>18</v>
      </c>
      <c r="B467">
        <v>2025</v>
      </c>
      <c r="C467" t="s">
        <v>46</v>
      </c>
      <c r="D467">
        <v>58.37</v>
      </c>
    </row>
    <row r="468" spans="1:4" x14ac:dyDescent="0.45">
      <c r="A468" t="s">
        <v>6</v>
      </c>
      <c r="B468">
        <v>2025</v>
      </c>
      <c r="C468" t="s">
        <v>46</v>
      </c>
      <c r="D468">
        <v>55.83</v>
      </c>
    </row>
    <row r="469" spans="1:4" x14ac:dyDescent="0.45">
      <c r="A469" t="s">
        <v>74</v>
      </c>
      <c r="B469">
        <v>2025</v>
      </c>
      <c r="C469" t="s">
        <v>46</v>
      </c>
      <c r="D469">
        <v>14.98</v>
      </c>
    </row>
    <row r="470" spans="1:4" x14ac:dyDescent="0.45">
      <c r="A470" t="s">
        <v>6</v>
      </c>
      <c r="B470">
        <v>2000</v>
      </c>
      <c r="C470" t="s">
        <v>45</v>
      </c>
      <c r="D470">
        <v>3.3515000000000003E-2</v>
      </c>
    </row>
    <row r="471" spans="1:4" x14ac:dyDescent="0.45">
      <c r="A471" t="s">
        <v>6</v>
      </c>
      <c r="B471">
        <v>2001</v>
      </c>
      <c r="C471" t="s">
        <v>45</v>
      </c>
      <c r="D471">
        <v>3.8019999999999998E-2</v>
      </c>
    </row>
    <row r="472" spans="1:4" x14ac:dyDescent="0.45">
      <c r="A472" t="s">
        <v>6</v>
      </c>
      <c r="B472">
        <v>2002</v>
      </c>
      <c r="C472" t="s">
        <v>45</v>
      </c>
      <c r="D472">
        <v>5.6530000000000004E-2</v>
      </c>
    </row>
    <row r="473" spans="1:4" x14ac:dyDescent="0.45">
      <c r="A473" t="s">
        <v>6</v>
      </c>
      <c r="B473">
        <v>2003</v>
      </c>
      <c r="C473" t="s">
        <v>45</v>
      </c>
      <c r="D473">
        <v>6.6599999999999993E-2</v>
      </c>
    </row>
    <row r="474" spans="1:4" x14ac:dyDescent="0.45">
      <c r="A474" t="s">
        <v>6</v>
      </c>
      <c r="B474">
        <v>2004</v>
      </c>
      <c r="C474" t="s">
        <v>45</v>
      </c>
      <c r="D474">
        <v>7.6599999999999988E-2</v>
      </c>
    </row>
    <row r="475" spans="1:4" x14ac:dyDescent="0.45">
      <c r="A475" t="s">
        <v>6</v>
      </c>
      <c r="B475">
        <v>2005</v>
      </c>
      <c r="C475" t="s">
        <v>45</v>
      </c>
      <c r="D475">
        <v>0.14119999999999999</v>
      </c>
    </row>
    <row r="476" spans="1:4" x14ac:dyDescent="0.45">
      <c r="A476" t="s">
        <v>6</v>
      </c>
      <c r="B476">
        <v>2006</v>
      </c>
      <c r="C476" t="s">
        <v>45</v>
      </c>
      <c r="D476">
        <v>0.16019999999999998</v>
      </c>
    </row>
    <row r="477" spans="1:4" x14ac:dyDescent="0.45">
      <c r="A477" t="s">
        <v>6</v>
      </c>
      <c r="B477">
        <v>2007</v>
      </c>
      <c r="C477" t="s">
        <v>45</v>
      </c>
      <c r="D477">
        <v>0.19900000000000001</v>
      </c>
    </row>
    <row r="478" spans="1:4" x14ac:dyDescent="0.45">
      <c r="A478" t="s">
        <v>6</v>
      </c>
      <c r="B478">
        <v>2008</v>
      </c>
      <c r="C478" t="s">
        <v>45</v>
      </c>
      <c r="D478">
        <v>0.253</v>
      </c>
    </row>
    <row r="479" spans="1:4" x14ac:dyDescent="0.45">
      <c r="A479" t="s">
        <v>6</v>
      </c>
      <c r="B479">
        <v>2009</v>
      </c>
      <c r="C479" t="s">
        <v>45</v>
      </c>
      <c r="D479">
        <v>0.4148</v>
      </c>
    </row>
    <row r="480" spans="1:4" x14ac:dyDescent="0.45">
      <c r="A480" t="s">
        <v>6</v>
      </c>
      <c r="B480">
        <v>2010</v>
      </c>
      <c r="C480" t="s">
        <v>45</v>
      </c>
      <c r="D480">
        <v>1.0218</v>
      </c>
    </row>
    <row r="481" spans="1:4" x14ac:dyDescent="0.45">
      <c r="A481" t="s">
        <v>6</v>
      </c>
      <c r="B481">
        <v>2011</v>
      </c>
      <c r="C481" t="s">
        <v>45</v>
      </c>
      <c r="D481">
        <v>3.1078000000000001</v>
      </c>
    </row>
    <row r="482" spans="1:4" x14ac:dyDescent="0.45">
      <c r="A482" t="s">
        <v>6</v>
      </c>
      <c r="B482">
        <v>2012</v>
      </c>
      <c r="C482" t="s">
        <v>45</v>
      </c>
      <c r="D482">
        <v>6.7178000000000004</v>
      </c>
    </row>
    <row r="483" spans="1:4" x14ac:dyDescent="0.45">
      <c r="A483" t="s">
        <v>6</v>
      </c>
      <c r="B483">
        <v>2013</v>
      </c>
      <c r="C483" t="s">
        <v>45</v>
      </c>
      <c r="D483">
        <v>17.747799999999998</v>
      </c>
    </row>
    <row r="484" spans="1:4" x14ac:dyDescent="0.45">
      <c r="A484" t="s">
        <v>6</v>
      </c>
      <c r="B484">
        <v>2014</v>
      </c>
      <c r="C484" t="s">
        <v>45</v>
      </c>
      <c r="D484">
        <v>28.387799999999999</v>
      </c>
    </row>
    <row r="485" spans="1:4" x14ac:dyDescent="0.45">
      <c r="A485" t="s">
        <v>6</v>
      </c>
      <c r="B485">
        <v>2015</v>
      </c>
      <c r="C485" t="s">
        <v>45</v>
      </c>
      <c r="D485">
        <v>43.537800000000004</v>
      </c>
    </row>
    <row r="486" spans="1:4" x14ac:dyDescent="0.45">
      <c r="A486" t="s">
        <v>6</v>
      </c>
      <c r="B486">
        <v>2016</v>
      </c>
      <c r="C486" t="s">
        <v>45</v>
      </c>
      <c r="D486">
        <v>77.787800000000004</v>
      </c>
    </row>
    <row r="487" spans="1:4" x14ac:dyDescent="0.45">
      <c r="A487" t="s">
        <v>6</v>
      </c>
      <c r="B487">
        <v>2017</v>
      </c>
      <c r="C487" t="s">
        <v>45</v>
      </c>
      <c r="D487">
        <v>130.80128999999999</v>
      </c>
    </row>
    <row r="488" spans="1:4" x14ac:dyDescent="0.45">
      <c r="A488" t="s">
        <v>6</v>
      </c>
      <c r="B488">
        <v>2018</v>
      </c>
      <c r="C488" t="s">
        <v>45</v>
      </c>
      <c r="D488">
        <v>175.01586399999999</v>
      </c>
    </row>
    <row r="489" spans="1:4" x14ac:dyDescent="0.45">
      <c r="A489" t="s">
        <v>6</v>
      </c>
      <c r="B489">
        <v>2019</v>
      </c>
      <c r="C489" t="s">
        <v>45</v>
      </c>
      <c r="D489">
        <v>204.57479999999998</v>
      </c>
    </row>
    <row r="490" spans="1:4" x14ac:dyDescent="0.45">
      <c r="A490" t="s">
        <v>6</v>
      </c>
      <c r="B490">
        <v>2020</v>
      </c>
      <c r="C490" t="s">
        <v>45</v>
      </c>
      <c r="D490">
        <v>253.41379999999998</v>
      </c>
    </row>
    <row r="491" spans="1:4" x14ac:dyDescent="0.45">
      <c r="A491" t="s">
        <v>6</v>
      </c>
      <c r="B491">
        <v>2021</v>
      </c>
      <c r="C491" t="s">
        <v>45</v>
      </c>
      <c r="D491">
        <v>306.40280000000001</v>
      </c>
    </row>
    <row r="492" spans="1:4" x14ac:dyDescent="0.45">
      <c r="A492" t="s">
        <v>6</v>
      </c>
      <c r="B492">
        <v>2022</v>
      </c>
      <c r="C492" t="s">
        <v>45</v>
      </c>
      <c r="D492">
        <v>392.46179999999998</v>
      </c>
    </row>
    <row r="493" spans="1:4" x14ac:dyDescent="0.45">
      <c r="A493" t="s">
        <v>6</v>
      </c>
      <c r="B493">
        <v>2023</v>
      </c>
      <c r="C493" t="s">
        <v>45</v>
      </c>
      <c r="D493">
        <v>609.35080000000005</v>
      </c>
    </row>
    <row r="494" spans="1:4" x14ac:dyDescent="0.45">
      <c r="A494" t="s">
        <v>6</v>
      </c>
      <c r="B494">
        <v>2024</v>
      </c>
      <c r="C494" t="s">
        <v>45</v>
      </c>
      <c r="D494">
        <v>886.11980000000005</v>
      </c>
    </row>
    <row r="495" spans="1:4" x14ac:dyDescent="0.45">
      <c r="A495" t="s">
        <v>6</v>
      </c>
      <c r="B495">
        <v>2012</v>
      </c>
      <c r="C495" t="s">
        <v>45</v>
      </c>
      <c r="D495">
        <v>1E-3</v>
      </c>
    </row>
    <row r="496" spans="1:4" x14ac:dyDescent="0.45">
      <c r="A496" t="s">
        <v>6</v>
      </c>
      <c r="B496">
        <v>2013</v>
      </c>
      <c r="C496" t="s">
        <v>45</v>
      </c>
      <c r="D496">
        <v>1.0999999999999999E-2</v>
      </c>
    </row>
    <row r="497" spans="1:4" x14ac:dyDescent="0.45">
      <c r="A497" t="s">
        <v>6</v>
      </c>
      <c r="B497">
        <v>2014</v>
      </c>
      <c r="C497" t="s">
        <v>45</v>
      </c>
      <c r="D497">
        <v>1.0999999999999999E-2</v>
      </c>
    </row>
    <row r="498" spans="1:4" x14ac:dyDescent="0.45">
      <c r="A498" t="s">
        <v>6</v>
      </c>
      <c r="B498">
        <v>2015</v>
      </c>
      <c r="C498" t="s">
        <v>45</v>
      </c>
      <c r="D498">
        <v>1.0999999999999999E-2</v>
      </c>
    </row>
    <row r="499" spans="1:4" x14ac:dyDescent="0.45">
      <c r="A499" t="s">
        <v>6</v>
      </c>
      <c r="B499">
        <v>2016</v>
      </c>
      <c r="C499" t="s">
        <v>45</v>
      </c>
      <c r="D499">
        <v>3.1E-2</v>
      </c>
    </row>
    <row r="500" spans="1:4" x14ac:dyDescent="0.45">
      <c r="A500" t="s">
        <v>6</v>
      </c>
      <c r="B500">
        <v>2017</v>
      </c>
      <c r="C500" t="s">
        <v>45</v>
      </c>
      <c r="D500">
        <v>3.1E-2</v>
      </c>
    </row>
    <row r="501" spans="1:4" x14ac:dyDescent="0.45">
      <c r="A501" t="s">
        <v>6</v>
      </c>
      <c r="B501">
        <v>2018</v>
      </c>
      <c r="C501" t="s">
        <v>45</v>
      </c>
      <c r="D501">
        <v>0.246</v>
      </c>
    </row>
    <row r="502" spans="1:4" x14ac:dyDescent="0.45">
      <c r="A502" t="s">
        <v>6</v>
      </c>
      <c r="B502">
        <v>2019</v>
      </c>
      <c r="C502" t="s">
        <v>45</v>
      </c>
      <c r="D502">
        <v>0.39600000000000002</v>
      </c>
    </row>
    <row r="503" spans="1:4" x14ac:dyDescent="0.45">
      <c r="A503" t="s">
        <v>6</v>
      </c>
      <c r="B503">
        <v>2020</v>
      </c>
      <c r="C503" t="s">
        <v>45</v>
      </c>
      <c r="D503">
        <v>0.45</v>
      </c>
    </row>
    <row r="504" spans="1:4" x14ac:dyDescent="0.45">
      <c r="A504" t="s">
        <v>6</v>
      </c>
      <c r="B504">
        <v>2021</v>
      </c>
      <c r="C504" t="s">
        <v>45</v>
      </c>
      <c r="D504">
        <v>0.56999999999999995</v>
      </c>
    </row>
    <row r="505" spans="1:4" x14ac:dyDescent="0.45">
      <c r="A505" t="s">
        <v>6</v>
      </c>
      <c r="B505">
        <v>2022</v>
      </c>
      <c r="C505" t="s">
        <v>45</v>
      </c>
      <c r="D505">
        <v>0.56999999999999995</v>
      </c>
    </row>
    <row r="506" spans="1:4" x14ac:dyDescent="0.45">
      <c r="A506" t="s">
        <v>6</v>
      </c>
      <c r="B506">
        <v>2023</v>
      </c>
      <c r="C506" t="s">
        <v>45</v>
      </c>
      <c r="D506">
        <v>0.56999999999999995</v>
      </c>
    </row>
    <row r="507" spans="1:4" x14ac:dyDescent="0.45">
      <c r="A507" t="s">
        <v>6</v>
      </c>
      <c r="B507">
        <v>2024</v>
      </c>
      <c r="C507" t="s">
        <v>45</v>
      </c>
      <c r="D507">
        <v>0.98</v>
      </c>
    </row>
    <row r="508" spans="1:4" x14ac:dyDescent="0.45">
      <c r="A508" t="s">
        <v>6</v>
      </c>
      <c r="B508">
        <v>2000</v>
      </c>
      <c r="C508" t="s">
        <v>44</v>
      </c>
      <c r="D508">
        <v>3.7104999999999999E-2</v>
      </c>
    </row>
    <row r="509" spans="1:4" x14ac:dyDescent="0.45">
      <c r="A509" t="s">
        <v>6</v>
      </c>
      <c r="B509">
        <v>2001</v>
      </c>
      <c r="C509" t="s">
        <v>44</v>
      </c>
      <c r="D509">
        <v>4.3112000000000004E-2</v>
      </c>
    </row>
    <row r="510" spans="1:4" x14ac:dyDescent="0.45">
      <c r="A510" t="s">
        <v>6</v>
      </c>
      <c r="B510">
        <v>2002</v>
      </c>
      <c r="C510" t="s">
        <v>44</v>
      </c>
      <c r="D510">
        <v>6.7810000000000009E-2</v>
      </c>
    </row>
    <row r="511" spans="1:4" x14ac:dyDescent="0.45">
      <c r="A511" t="s">
        <v>6</v>
      </c>
      <c r="B511">
        <v>2003</v>
      </c>
      <c r="C511" t="s">
        <v>44</v>
      </c>
      <c r="D511">
        <v>8.116000000000001E-2</v>
      </c>
    </row>
    <row r="512" spans="1:4" x14ac:dyDescent="0.45">
      <c r="A512" t="s">
        <v>6</v>
      </c>
      <c r="B512">
        <v>2004</v>
      </c>
      <c r="C512" t="s">
        <v>44</v>
      </c>
      <c r="D512">
        <v>9.3607999999999997E-2</v>
      </c>
    </row>
    <row r="513" spans="1:4" x14ac:dyDescent="0.45">
      <c r="A513" t="s">
        <v>6</v>
      </c>
      <c r="B513">
        <v>2005</v>
      </c>
      <c r="C513" t="s">
        <v>44</v>
      </c>
      <c r="D513">
        <v>0.13705200000000001</v>
      </c>
    </row>
    <row r="514" spans="1:4" x14ac:dyDescent="0.45">
      <c r="A514" t="s">
        <v>6</v>
      </c>
      <c r="B514">
        <v>2006</v>
      </c>
      <c r="C514" t="s">
        <v>44</v>
      </c>
      <c r="D514">
        <v>0.15506700000000001</v>
      </c>
    </row>
    <row r="515" spans="1:4" x14ac:dyDescent="0.45">
      <c r="A515" t="s">
        <v>6</v>
      </c>
      <c r="B515">
        <v>2007</v>
      </c>
      <c r="C515" t="s">
        <v>44</v>
      </c>
      <c r="D515">
        <v>0.19143000000000002</v>
      </c>
    </row>
    <row r="516" spans="1:4" x14ac:dyDescent="0.45">
      <c r="A516" t="s">
        <v>6</v>
      </c>
      <c r="B516">
        <v>2008</v>
      </c>
      <c r="C516" t="s">
        <v>44</v>
      </c>
      <c r="D516">
        <v>0.23485499999999998</v>
      </c>
    </row>
    <row r="517" spans="1:4" x14ac:dyDescent="0.45">
      <c r="A517" t="s">
        <v>6</v>
      </c>
      <c r="B517">
        <v>2009</v>
      </c>
      <c r="C517" t="s">
        <v>44</v>
      </c>
      <c r="D517">
        <v>0.34501800000000005</v>
      </c>
    </row>
    <row r="518" spans="1:4" x14ac:dyDescent="0.45">
      <c r="A518" t="s">
        <v>6</v>
      </c>
      <c r="B518">
        <v>2010</v>
      </c>
      <c r="C518" t="s">
        <v>44</v>
      </c>
      <c r="D518">
        <v>0.72906300000000002</v>
      </c>
    </row>
    <row r="519" spans="1:4" x14ac:dyDescent="0.45">
      <c r="A519" t="s">
        <v>6</v>
      </c>
      <c r="B519">
        <v>2011</v>
      </c>
      <c r="C519" t="s">
        <v>44</v>
      </c>
      <c r="D519">
        <v>1.9977630000000002</v>
      </c>
    </row>
    <row r="520" spans="1:4" x14ac:dyDescent="0.45">
      <c r="A520" t="s">
        <v>6</v>
      </c>
      <c r="B520">
        <v>2012</v>
      </c>
      <c r="C520" t="s">
        <v>44</v>
      </c>
      <c r="D520">
        <v>4.3907629999999997</v>
      </c>
    </row>
    <row r="521" spans="1:4" x14ac:dyDescent="0.45">
      <c r="A521" t="s">
        <v>6</v>
      </c>
      <c r="B521">
        <v>2013</v>
      </c>
      <c r="C521" t="s">
        <v>44</v>
      </c>
      <c r="D521">
        <v>8.7975630000000002</v>
      </c>
    </row>
    <row r="522" spans="1:4" x14ac:dyDescent="0.45">
      <c r="A522" t="s">
        <v>6</v>
      </c>
      <c r="B522">
        <v>2014</v>
      </c>
      <c r="C522" t="s">
        <v>44</v>
      </c>
      <c r="D522">
        <v>23.750962999999999</v>
      </c>
    </row>
    <row r="523" spans="1:4" x14ac:dyDescent="0.45">
      <c r="A523" t="s">
        <v>6</v>
      </c>
      <c r="B523">
        <v>2015</v>
      </c>
      <c r="C523" t="s">
        <v>44</v>
      </c>
      <c r="D523">
        <v>39.977663</v>
      </c>
    </row>
    <row r="524" spans="1:4" x14ac:dyDescent="0.45">
      <c r="A524" t="s">
        <v>6</v>
      </c>
      <c r="B524">
        <v>2016</v>
      </c>
      <c r="C524" t="s">
        <v>44</v>
      </c>
      <c r="D524">
        <v>67.865158000000008</v>
      </c>
    </row>
    <row r="525" spans="1:4" x14ac:dyDescent="0.45">
      <c r="A525" t="s">
        <v>6</v>
      </c>
      <c r="B525">
        <v>2017</v>
      </c>
      <c r="C525" t="s">
        <v>44</v>
      </c>
      <c r="D525">
        <v>118.25761800000001</v>
      </c>
    </row>
    <row r="526" spans="1:4" x14ac:dyDescent="0.45">
      <c r="A526" t="s">
        <v>6</v>
      </c>
      <c r="B526">
        <v>2018</v>
      </c>
      <c r="C526" t="s">
        <v>44</v>
      </c>
      <c r="D526">
        <v>178.06177100000002</v>
      </c>
    </row>
    <row r="527" spans="1:4" x14ac:dyDescent="0.45">
      <c r="A527" t="s">
        <v>6</v>
      </c>
      <c r="B527">
        <v>2019</v>
      </c>
      <c r="C527" t="s">
        <v>44</v>
      </c>
      <c r="D527">
        <v>224.52705799999998</v>
      </c>
    </row>
    <row r="528" spans="1:4" x14ac:dyDescent="0.45">
      <c r="A528" t="s">
        <v>6</v>
      </c>
      <c r="B528">
        <v>2020</v>
      </c>
      <c r="C528" t="s">
        <v>44</v>
      </c>
      <c r="D528">
        <v>261.62264099999999</v>
      </c>
    </row>
    <row r="529" spans="1:4" x14ac:dyDescent="0.45">
      <c r="A529" t="s">
        <v>6</v>
      </c>
      <c r="B529">
        <v>2021</v>
      </c>
      <c r="C529" t="s">
        <v>44</v>
      </c>
      <c r="D529">
        <v>327.53027399999996</v>
      </c>
    </row>
    <row r="530" spans="1:4" x14ac:dyDescent="0.45">
      <c r="A530" t="s">
        <v>6</v>
      </c>
      <c r="B530">
        <v>2022</v>
      </c>
      <c r="C530" t="s">
        <v>44</v>
      </c>
      <c r="D530">
        <v>428.14228900000001</v>
      </c>
    </row>
    <row r="531" spans="1:4" x14ac:dyDescent="0.45">
      <c r="A531" t="s">
        <v>6</v>
      </c>
      <c r="B531">
        <v>2023</v>
      </c>
      <c r="C531" t="s">
        <v>44</v>
      </c>
      <c r="D531">
        <v>583.85430399999996</v>
      </c>
    </row>
    <row r="532" spans="1:4" x14ac:dyDescent="0.45">
      <c r="A532" t="s">
        <v>6</v>
      </c>
      <c r="B532">
        <v>2010</v>
      </c>
      <c r="C532" t="s">
        <v>44</v>
      </c>
      <c r="D532">
        <v>5.0000000000000001E-4</v>
      </c>
    </row>
    <row r="533" spans="1:4" x14ac:dyDescent="0.45">
      <c r="A533" t="s">
        <v>6</v>
      </c>
      <c r="B533">
        <v>2011</v>
      </c>
      <c r="C533" t="s">
        <v>44</v>
      </c>
      <c r="D533">
        <v>1E-3</v>
      </c>
    </row>
    <row r="534" spans="1:4" x14ac:dyDescent="0.45">
      <c r="A534" t="s">
        <v>6</v>
      </c>
      <c r="B534">
        <v>2012</v>
      </c>
      <c r="C534" t="s">
        <v>44</v>
      </c>
      <c r="D534">
        <v>1E-3</v>
      </c>
    </row>
    <row r="535" spans="1:4" x14ac:dyDescent="0.45">
      <c r="A535" t="s">
        <v>6</v>
      </c>
      <c r="B535">
        <v>2013</v>
      </c>
      <c r="C535" t="s">
        <v>44</v>
      </c>
      <c r="D535">
        <v>1E-3</v>
      </c>
    </row>
    <row r="536" spans="1:4" x14ac:dyDescent="0.45">
      <c r="A536" t="s">
        <v>6</v>
      </c>
      <c r="B536">
        <v>2014</v>
      </c>
      <c r="C536" t="s">
        <v>44</v>
      </c>
      <c r="D536">
        <v>7.3689999999999997E-3</v>
      </c>
    </row>
    <row r="537" spans="1:4" x14ac:dyDescent="0.45">
      <c r="A537" t="s">
        <v>6</v>
      </c>
      <c r="B537">
        <v>2015</v>
      </c>
      <c r="C537" t="s">
        <v>44</v>
      </c>
      <c r="D537">
        <v>8.9830000000000014E-3</v>
      </c>
    </row>
    <row r="538" spans="1:4" x14ac:dyDescent="0.45">
      <c r="A538" t="s">
        <v>6</v>
      </c>
      <c r="B538">
        <v>2016</v>
      </c>
      <c r="C538" t="s">
        <v>44</v>
      </c>
      <c r="D538">
        <v>8.9830000000000014E-3</v>
      </c>
    </row>
    <row r="539" spans="1:4" x14ac:dyDescent="0.45">
      <c r="A539" t="s">
        <v>6</v>
      </c>
      <c r="B539">
        <v>2017</v>
      </c>
      <c r="C539" t="s">
        <v>44</v>
      </c>
      <c r="D539">
        <v>8.9830000000000014E-3</v>
      </c>
    </row>
    <row r="540" spans="1:4" x14ac:dyDescent="0.45">
      <c r="A540" t="s">
        <v>6</v>
      </c>
      <c r="B540">
        <v>2018</v>
      </c>
      <c r="C540" t="s">
        <v>44</v>
      </c>
      <c r="D540">
        <v>8.9830000000000014E-3</v>
      </c>
    </row>
    <row r="541" spans="1:4" x14ac:dyDescent="0.45">
      <c r="A541" t="s">
        <v>6</v>
      </c>
      <c r="B541">
        <v>2019</v>
      </c>
      <c r="C541" t="s">
        <v>44</v>
      </c>
      <c r="D541">
        <v>1.4460000000000001E-2</v>
      </c>
    </row>
    <row r="542" spans="1:4" x14ac:dyDescent="0.45">
      <c r="A542" t="s">
        <v>6</v>
      </c>
      <c r="B542">
        <v>2020</v>
      </c>
      <c r="C542" t="s">
        <v>44</v>
      </c>
      <c r="D542">
        <v>1.6431999999999999E-2</v>
      </c>
    </row>
    <row r="543" spans="1:4" x14ac:dyDescent="0.45">
      <c r="A543" t="s">
        <v>6</v>
      </c>
      <c r="B543">
        <v>2021</v>
      </c>
      <c r="C543" t="s">
        <v>44</v>
      </c>
      <c r="D543">
        <v>2.0813999999999999E-2</v>
      </c>
    </row>
    <row r="544" spans="1:4" x14ac:dyDescent="0.45">
      <c r="A544" t="s">
        <v>6</v>
      </c>
      <c r="B544">
        <v>2022</v>
      </c>
      <c r="C544" t="s">
        <v>44</v>
      </c>
      <c r="D544">
        <v>2.0813999999999999E-2</v>
      </c>
    </row>
    <row r="545" spans="1:4" x14ac:dyDescent="0.45">
      <c r="A545" t="s">
        <v>6</v>
      </c>
      <c r="B545">
        <v>2023</v>
      </c>
      <c r="C545" t="s">
        <v>44</v>
      </c>
      <c r="D545">
        <v>2.0813999999999999E-2</v>
      </c>
    </row>
    <row r="546" spans="1:4" x14ac:dyDescent="0.45">
      <c r="A546" t="s">
        <v>74</v>
      </c>
      <c r="B546">
        <v>2000</v>
      </c>
      <c r="C546" t="s">
        <v>45</v>
      </c>
      <c r="D546">
        <v>0.34100000000000003</v>
      </c>
    </row>
    <row r="547" spans="1:4" x14ac:dyDescent="0.45">
      <c r="A547" t="s">
        <v>74</v>
      </c>
      <c r="B547">
        <v>2001</v>
      </c>
      <c r="C547" t="s">
        <v>45</v>
      </c>
      <c r="D547">
        <v>0.38300000000000001</v>
      </c>
    </row>
    <row r="548" spans="1:4" x14ac:dyDescent="0.45">
      <c r="A548" t="s">
        <v>74</v>
      </c>
      <c r="B548">
        <v>2002</v>
      </c>
      <c r="C548" t="s">
        <v>45</v>
      </c>
      <c r="D548">
        <v>0.44900000000000001</v>
      </c>
    </row>
    <row r="549" spans="1:4" x14ac:dyDescent="0.45">
      <c r="A549" t="s">
        <v>74</v>
      </c>
      <c r="B549">
        <v>2003</v>
      </c>
      <c r="C549" t="s">
        <v>45</v>
      </c>
      <c r="D549">
        <v>0.54700000000000004</v>
      </c>
    </row>
    <row r="550" spans="1:4" x14ac:dyDescent="0.45">
      <c r="A550" t="s">
        <v>74</v>
      </c>
      <c r="B550">
        <v>2004</v>
      </c>
      <c r="C550" t="s">
        <v>45</v>
      </c>
      <c r="D550">
        <v>0.76300000000000001</v>
      </c>
    </row>
    <row r="551" spans="1:4" x14ac:dyDescent="0.45">
      <c r="A551" t="s">
        <v>74</v>
      </c>
      <c r="B551">
        <v>2005</v>
      </c>
      <c r="C551" t="s">
        <v>45</v>
      </c>
      <c r="D551">
        <v>1.06</v>
      </c>
    </row>
    <row r="552" spans="1:4" x14ac:dyDescent="0.45">
      <c r="A552" t="s">
        <v>74</v>
      </c>
      <c r="B552">
        <v>2006</v>
      </c>
      <c r="C552" t="s">
        <v>45</v>
      </c>
      <c r="D552">
        <v>2.0699999999999998</v>
      </c>
    </row>
    <row r="553" spans="1:4" x14ac:dyDescent="0.45">
      <c r="A553" t="s">
        <v>74</v>
      </c>
      <c r="B553">
        <v>2007</v>
      </c>
      <c r="C553" t="s">
        <v>45</v>
      </c>
      <c r="D553">
        <v>4.1985000000000001</v>
      </c>
    </row>
    <row r="554" spans="1:4" x14ac:dyDescent="0.45">
      <c r="A554" t="s">
        <v>74</v>
      </c>
      <c r="B554">
        <v>2008</v>
      </c>
      <c r="C554" t="s">
        <v>45</v>
      </c>
      <c r="D554">
        <v>8.3862279999999991</v>
      </c>
    </row>
    <row r="555" spans="1:4" x14ac:dyDescent="0.45">
      <c r="A555" t="s">
        <v>74</v>
      </c>
      <c r="B555">
        <v>2009</v>
      </c>
      <c r="C555" t="s">
        <v>45</v>
      </c>
      <c r="D555">
        <v>17.597908</v>
      </c>
    </row>
    <row r="556" spans="1:4" x14ac:dyDescent="0.45">
      <c r="A556" t="s">
        <v>74</v>
      </c>
      <c r="B556">
        <v>2010</v>
      </c>
      <c r="C556" t="s">
        <v>45</v>
      </c>
      <c r="D556">
        <v>29.533477999999999</v>
      </c>
    </row>
    <row r="557" spans="1:4" x14ac:dyDescent="0.45">
      <c r="A557" t="s">
        <v>74</v>
      </c>
      <c r="B557">
        <v>2011</v>
      </c>
      <c r="C557" t="s">
        <v>45</v>
      </c>
      <c r="D557">
        <v>46.144599999999997</v>
      </c>
    </row>
    <row r="558" spans="1:4" x14ac:dyDescent="0.45">
      <c r="A558" t="s">
        <v>74</v>
      </c>
      <c r="B558">
        <v>2012</v>
      </c>
      <c r="C558" t="s">
        <v>45</v>
      </c>
      <c r="D558">
        <v>61.305872999999998</v>
      </c>
    </row>
    <row r="559" spans="1:4" x14ac:dyDescent="0.45">
      <c r="A559" t="s">
        <v>74</v>
      </c>
      <c r="B559">
        <v>2013</v>
      </c>
      <c r="C559" t="s">
        <v>45</v>
      </c>
      <c r="D559">
        <v>76.31353</v>
      </c>
    </row>
    <row r="560" spans="1:4" x14ac:dyDescent="0.45">
      <c r="A560" t="s">
        <v>74</v>
      </c>
      <c r="B560">
        <v>2014</v>
      </c>
      <c r="C560" t="s">
        <v>45</v>
      </c>
      <c r="D560">
        <v>96.379130000000004</v>
      </c>
    </row>
    <row r="561" spans="1:4" x14ac:dyDescent="0.45">
      <c r="A561" t="s">
        <v>74</v>
      </c>
      <c r="B561">
        <v>2015</v>
      </c>
      <c r="C561" t="s">
        <v>45</v>
      </c>
      <c r="D561">
        <v>130.48873</v>
      </c>
    </row>
    <row r="562" spans="1:4" x14ac:dyDescent="0.45">
      <c r="A562" t="s">
        <v>74</v>
      </c>
      <c r="B562">
        <v>2016</v>
      </c>
      <c r="C562" t="s">
        <v>45</v>
      </c>
      <c r="D562">
        <v>147.03689000000003</v>
      </c>
    </row>
    <row r="563" spans="1:4" x14ac:dyDescent="0.45">
      <c r="A563" t="s">
        <v>74</v>
      </c>
      <c r="B563">
        <v>2017</v>
      </c>
      <c r="C563" t="s">
        <v>45</v>
      </c>
      <c r="D563">
        <v>161.586477</v>
      </c>
    </row>
    <row r="564" spans="1:4" x14ac:dyDescent="0.45">
      <c r="A564" t="s">
        <v>74</v>
      </c>
      <c r="B564">
        <v>2018</v>
      </c>
      <c r="C564" t="s">
        <v>45</v>
      </c>
      <c r="D564">
        <v>180.076877</v>
      </c>
    </row>
    <row r="565" spans="1:4" x14ac:dyDescent="0.45">
      <c r="A565" t="s">
        <v>74</v>
      </c>
      <c r="B565">
        <v>2019</v>
      </c>
      <c r="C565" t="s">
        <v>45</v>
      </c>
      <c r="D565">
        <v>203.65191000000002</v>
      </c>
    </row>
    <row r="566" spans="1:4" x14ac:dyDescent="0.45">
      <c r="A566" t="s">
        <v>74</v>
      </c>
      <c r="B566">
        <v>2020</v>
      </c>
      <c r="C566" t="s">
        <v>45</v>
      </c>
      <c r="D566">
        <v>273.00266999999997</v>
      </c>
    </row>
    <row r="567" spans="1:4" x14ac:dyDescent="0.45">
      <c r="A567" t="s">
        <v>74</v>
      </c>
      <c r="B567">
        <v>2021</v>
      </c>
      <c r="C567" t="s">
        <v>45</v>
      </c>
      <c r="D567">
        <v>302.58343000000002</v>
      </c>
    </row>
    <row r="568" spans="1:4" x14ac:dyDescent="0.45">
      <c r="A568" t="s">
        <v>74</v>
      </c>
      <c r="B568">
        <v>2022</v>
      </c>
      <c r="C568" t="s">
        <v>45</v>
      </c>
      <c r="D568">
        <v>335.50418999999999</v>
      </c>
    </row>
    <row r="569" spans="1:4" x14ac:dyDescent="0.45">
      <c r="A569" t="s">
        <v>74</v>
      </c>
      <c r="B569">
        <v>2023</v>
      </c>
      <c r="C569" t="s">
        <v>45</v>
      </c>
      <c r="D569">
        <v>404.60495000000003</v>
      </c>
    </row>
    <row r="570" spans="1:4" x14ac:dyDescent="0.45">
      <c r="A570" t="s">
        <v>74</v>
      </c>
      <c r="B570">
        <v>2024</v>
      </c>
      <c r="C570" t="s">
        <v>45</v>
      </c>
      <c r="D570">
        <v>479.99571000000003</v>
      </c>
    </row>
    <row r="571" spans="1:4" x14ac:dyDescent="0.45">
      <c r="A571" t="s">
        <v>74</v>
      </c>
      <c r="B571">
        <v>2000</v>
      </c>
      <c r="C571" t="s">
        <v>44</v>
      </c>
      <c r="D571">
        <v>0.61499999999999999</v>
      </c>
    </row>
    <row r="572" spans="1:4" x14ac:dyDescent="0.45">
      <c r="A572" t="s">
        <v>74</v>
      </c>
      <c r="B572">
        <v>2001</v>
      </c>
      <c r="C572" t="s">
        <v>44</v>
      </c>
      <c r="D572">
        <v>0.749</v>
      </c>
    </row>
    <row r="573" spans="1:4" x14ac:dyDescent="0.45">
      <c r="A573" t="s">
        <v>74</v>
      </c>
      <c r="B573">
        <v>2002</v>
      </c>
      <c r="C573" t="s">
        <v>44</v>
      </c>
      <c r="D573">
        <v>0.873</v>
      </c>
    </row>
    <row r="574" spans="1:4" x14ac:dyDescent="0.45">
      <c r="A574" t="s">
        <v>74</v>
      </c>
      <c r="B574">
        <v>2003</v>
      </c>
      <c r="C574" t="s">
        <v>44</v>
      </c>
      <c r="D574">
        <v>1.0389999999999999</v>
      </c>
    </row>
    <row r="575" spans="1:4" x14ac:dyDescent="0.45">
      <c r="A575" t="s">
        <v>74</v>
      </c>
      <c r="B575">
        <v>2004</v>
      </c>
      <c r="C575" t="s">
        <v>44</v>
      </c>
      <c r="D575">
        <v>1.3320000000000001</v>
      </c>
    </row>
    <row r="576" spans="1:4" x14ac:dyDescent="0.45">
      <c r="A576" t="s">
        <v>74</v>
      </c>
      <c r="B576">
        <v>2005</v>
      </c>
      <c r="C576" t="s">
        <v>44</v>
      </c>
      <c r="D576">
        <v>1.6</v>
      </c>
    </row>
    <row r="577" spans="1:4" x14ac:dyDescent="0.45">
      <c r="A577" t="s">
        <v>74</v>
      </c>
      <c r="B577">
        <v>2006</v>
      </c>
      <c r="C577" t="s">
        <v>44</v>
      </c>
      <c r="D577">
        <v>2.8</v>
      </c>
    </row>
    <row r="578" spans="1:4" x14ac:dyDescent="0.45">
      <c r="A578" t="s">
        <v>74</v>
      </c>
      <c r="B578">
        <v>2007</v>
      </c>
      <c r="C578" t="s">
        <v>44</v>
      </c>
      <c r="D578">
        <v>5.6979639999999998</v>
      </c>
    </row>
    <row r="579" spans="1:4" x14ac:dyDescent="0.45">
      <c r="A579" t="s">
        <v>74</v>
      </c>
      <c r="B579">
        <v>2008</v>
      </c>
      <c r="C579" t="s">
        <v>44</v>
      </c>
      <c r="D579">
        <v>11.397960999999999</v>
      </c>
    </row>
    <row r="580" spans="1:4" x14ac:dyDescent="0.45">
      <c r="A580" t="s">
        <v>74</v>
      </c>
      <c r="B580">
        <v>2009</v>
      </c>
      <c r="C580" t="s">
        <v>44</v>
      </c>
      <c r="D580">
        <v>24.897878000000002</v>
      </c>
    </row>
    <row r="581" spans="1:4" x14ac:dyDescent="0.45">
      <c r="A581" t="s">
        <v>74</v>
      </c>
      <c r="B581">
        <v>2010</v>
      </c>
      <c r="C581" t="s">
        <v>44</v>
      </c>
      <c r="D581">
        <v>48.905453000000001</v>
      </c>
    </row>
    <row r="582" spans="1:4" x14ac:dyDescent="0.45">
      <c r="A582" t="s">
        <v>74</v>
      </c>
      <c r="B582">
        <v>2011</v>
      </c>
      <c r="C582" t="s">
        <v>44</v>
      </c>
      <c r="D582">
        <v>71.328019999999995</v>
      </c>
    </row>
    <row r="583" spans="1:4" x14ac:dyDescent="0.45">
      <c r="A583" t="s">
        <v>74</v>
      </c>
      <c r="B583">
        <v>2012</v>
      </c>
      <c r="C583" t="s">
        <v>44</v>
      </c>
      <c r="D583">
        <v>102.52579</v>
      </c>
    </row>
    <row r="584" spans="1:4" x14ac:dyDescent="0.45">
      <c r="A584" t="s">
        <v>74</v>
      </c>
      <c r="B584">
        <v>2013</v>
      </c>
      <c r="C584" t="s">
        <v>44</v>
      </c>
      <c r="D584">
        <v>137.80452</v>
      </c>
    </row>
    <row r="585" spans="1:4" x14ac:dyDescent="0.45">
      <c r="A585" t="s">
        <v>74</v>
      </c>
      <c r="B585">
        <v>2014</v>
      </c>
      <c r="C585" t="s">
        <v>44</v>
      </c>
      <c r="D585">
        <v>159.47698399999999</v>
      </c>
    </row>
    <row r="586" spans="1:4" x14ac:dyDescent="0.45">
      <c r="A586" t="s">
        <v>74</v>
      </c>
      <c r="B586">
        <v>2015</v>
      </c>
      <c r="C586" t="s">
        <v>44</v>
      </c>
      <c r="D586">
        <v>185.17163399999998</v>
      </c>
    </row>
    <row r="587" spans="1:4" x14ac:dyDescent="0.45">
      <c r="A587" t="s">
        <v>74</v>
      </c>
      <c r="B587">
        <v>2016</v>
      </c>
      <c r="C587" t="s">
        <v>44</v>
      </c>
      <c r="D587">
        <v>239.97086899999999</v>
      </c>
    </row>
    <row r="588" spans="1:4" x14ac:dyDescent="0.45">
      <c r="A588" t="s">
        <v>74</v>
      </c>
      <c r="B588">
        <v>2017</v>
      </c>
      <c r="C588" t="s">
        <v>44</v>
      </c>
      <c r="D588">
        <v>299.83806400000003</v>
      </c>
    </row>
    <row r="589" spans="1:4" x14ac:dyDescent="0.45">
      <c r="A589" t="s">
        <v>74</v>
      </c>
      <c r="B589">
        <v>2018</v>
      </c>
      <c r="C589" t="s">
        <v>44</v>
      </c>
      <c r="D589">
        <v>357.340125</v>
      </c>
    </row>
    <row r="590" spans="1:4" x14ac:dyDescent="0.45">
      <c r="A590" t="s">
        <v>74</v>
      </c>
      <c r="B590">
        <v>2019</v>
      </c>
      <c r="C590" t="s">
        <v>44</v>
      </c>
      <c r="D590">
        <v>395.04758400000003</v>
      </c>
    </row>
    <row r="591" spans="1:4" x14ac:dyDescent="0.45">
      <c r="A591" t="s">
        <v>74</v>
      </c>
      <c r="B591">
        <v>2020</v>
      </c>
      <c r="C591" t="s">
        <v>44</v>
      </c>
      <c r="D591">
        <v>452.14179300000001</v>
      </c>
    </row>
    <row r="592" spans="1:4" x14ac:dyDescent="0.45">
      <c r="A592" t="s">
        <v>74</v>
      </c>
      <c r="B592">
        <v>2021</v>
      </c>
      <c r="C592" t="s">
        <v>44</v>
      </c>
      <c r="D592">
        <v>603.994235</v>
      </c>
    </row>
    <row r="593" spans="1:4" x14ac:dyDescent="0.45">
      <c r="A593" t="s">
        <v>74</v>
      </c>
      <c r="B593">
        <v>2022</v>
      </c>
      <c r="C593" t="s">
        <v>44</v>
      </c>
      <c r="D593">
        <v>699.77062000000001</v>
      </c>
    </row>
    <row r="594" spans="1:4" x14ac:dyDescent="0.45">
      <c r="A594" t="s">
        <v>74</v>
      </c>
      <c r="B594">
        <v>2023</v>
      </c>
      <c r="C594" t="s">
        <v>44</v>
      </c>
      <c r="D594">
        <v>811.70105899999999</v>
      </c>
    </row>
    <row r="595" spans="1:4" x14ac:dyDescent="0.45">
      <c r="A595" t="s">
        <v>73</v>
      </c>
      <c r="B595">
        <v>2007</v>
      </c>
      <c r="C595" t="s">
        <v>45</v>
      </c>
      <c r="D595">
        <v>1.5E-3</v>
      </c>
    </row>
    <row r="596" spans="1:4" x14ac:dyDescent="0.45">
      <c r="A596" t="s">
        <v>73</v>
      </c>
      <c r="B596">
        <v>2008</v>
      </c>
      <c r="C596" t="s">
        <v>45</v>
      </c>
      <c r="D596">
        <v>1.5E-3</v>
      </c>
    </row>
    <row r="597" spans="1:4" x14ac:dyDescent="0.45">
      <c r="A597" t="s">
        <v>73</v>
      </c>
      <c r="B597">
        <v>2009</v>
      </c>
      <c r="C597" t="s">
        <v>45</v>
      </c>
      <c r="D597">
        <v>1.5E-3</v>
      </c>
    </row>
    <row r="598" spans="1:4" x14ac:dyDescent="0.45">
      <c r="A598" t="s">
        <v>73</v>
      </c>
      <c r="B598">
        <v>2010</v>
      </c>
      <c r="C598" t="s">
        <v>45</v>
      </c>
      <c r="D598">
        <v>0.1</v>
      </c>
    </row>
    <row r="599" spans="1:4" x14ac:dyDescent="0.45">
      <c r="A599" t="s">
        <v>73</v>
      </c>
      <c r="B599">
        <v>2011</v>
      </c>
      <c r="C599" t="s">
        <v>45</v>
      </c>
      <c r="D599">
        <v>0.21</v>
      </c>
    </row>
    <row r="600" spans="1:4" x14ac:dyDescent="0.45">
      <c r="A600" t="s">
        <v>73</v>
      </c>
      <c r="B600">
        <v>2012</v>
      </c>
      <c r="C600" t="s">
        <v>45</v>
      </c>
      <c r="D600">
        <v>0.29099999999999998</v>
      </c>
    </row>
    <row r="601" spans="1:4" x14ac:dyDescent="0.45">
      <c r="A601" t="s">
        <v>73</v>
      </c>
      <c r="B601">
        <v>2013</v>
      </c>
      <c r="C601" t="s">
        <v>45</v>
      </c>
      <c r="D601">
        <v>0.41699999999999998</v>
      </c>
    </row>
    <row r="602" spans="1:4" x14ac:dyDescent="0.45">
      <c r="A602" t="s">
        <v>73</v>
      </c>
      <c r="B602">
        <v>2014</v>
      </c>
      <c r="C602" t="s">
        <v>45</v>
      </c>
      <c r="D602">
        <v>0.44</v>
      </c>
    </row>
    <row r="603" spans="1:4" x14ac:dyDescent="0.45">
      <c r="A603" t="s">
        <v>73</v>
      </c>
      <c r="B603">
        <v>2015</v>
      </c>
      <c r="C603" t="s">
        <v>45</v>
      </c>
      <c r="D603">
        <v>0.55900000000000005</v>
      </c>
    </row>
    <row r="604" spans="1:4" x14ac:dyDescent="0.45">
      <c r="A604" t="s">
        <v>73</v>
      </c>
      <c r="B604">
        <v>2016</v>
      </c>
      <c r="C604" t="s">
        <v>45</v>
      </c>
      <c r="D604">
        <v>1.48</v>
      </c>
    </row>
    <row r="605" spans="1:4" x14ac:dyDescent="0.45">
      <c r="A605" t="s">
        <v>73</v>
      </c>
      <c r="B605">
        <v>2017</v>
      </c>
      <c r="C605" t="s">
        <v>45</v>
      </c>
      <c r="D605">
        <v>2.7879999999999998</v>
      </c>
    </row>
    <row r="606" spans="1:4" x14ac:dyDescent="0.45">
      <c r="A606" t="s">
        <v>73</v>
      </c>
      <c r="B606">
        <v>2018</v>
      </c>
      <c r="C606" t="s">
        <v>45</v>
      </c>
      <c r="D606">
        <v>4.5880000000000001</v>
      </c>
    </row>
    <row r="607" spans="1:4" x14ac:dyDescent="0.45">
      <c r="A607" t="s">
        <v>73</v>
      </c>
      <c r="B607">
        <v>2019</v>
      </c>
      <c r="C607" t="s">
        <v>45</v>
      </c>
      <c r="D607">
        <v>5.93</v>
      </c>
    </row>
    <row r="608" spans="1:4" x14ac:dyDescent="0.45">
      <c r="A608" t="s">
        <v>73</v>
      </c>
      <c r="B608">
        <v>2020</v>
      </c>
      <c r="C608" t="s">
        <v>45</v>
      </c>
      <c r="D608">
        <v>8.99</v>
      </c>
    </row>
    <row r="609" spans="1:4" x14ac:dyDescent="0.45">
      <c r="A609" t="s">
        <v>73</v>
      </c>
      <c r="B609">
        <v>2021</v>
      </c>
      <c r="C609" t="s">
        <v>45</v>
      </c>
      <c r="D609">
        <v>26.39</v>
      </c>
    </row>
    <row r="610" spans="1:4" x14ac:dyDescent="0.45">
      <c r="A610" t="s">
        <v>73</v>
      </c>
      <c r="B610">
        <v>2022</v>
      </c>
      <c r="C610" t="s">
        <v>45</v>
      </c>
      <c r="D610">
        <v>30.46</v>
      </c>
    </row>
    <row r="611" spans="1:4" x14ac:dyDescent="0.45">
      <c r="A611" t="s">
        <v>73</v>
      </c>
      <c r="B611">
        <v>2023</v>
      </c>
      <c r="C611" t="s">
        <v>45</v>
      </c>
      <c r="D611">
        <v>37.29</v>
      </c>
    </row>
    <row r="612" spans="1:4" x14ac:dyDescent="0.45">
      <c r="A612" t="s">
        <v>73</v>
      </c>
      <c r="B612">
        <v>2024</v>
      </c>
      <c r="C612" t="s">
        <v>45</v>
      </c>
      <c r="D612">
        <v>41.27</v>
      </c>
    </row>
    <row r="613" spans="1:4" x14ac:dyDescent="0.45">
      <c r="A613" t="s">
        <v>73</v>
      </c>
      <c r="B613">
        <v>2007</v>
      </c>
      <c r="C613" t="s">
        <v>44</v>
      </c>
      <c r="D613">
        <v>2.036E-3</v>
      </c>
    </row>
    <row r="614" spans="1:4" x14ac:dyDescent="0.45">
      <c r="A614" t="s">
        <v>73</v>
      </c>
      <c r="B614">
        <v>2008</v>
      </c>
      <c r="C614" t="s">
        <v>44</v>
      </c>
      <c r="D614">
        <v>2.039E-3</v>
      </c>
    </row>
    <row r="615" spans="1:4" x14ac:dyDescent="0.45">
      <c r="A615" t="s">
        <v>73</v>
      </c>
      <c r="B615">
        <v>2009</v>
      </c>
      <c r="C615" t="s">
        <v>44</v>
      </c>
      <c r="D615">
        <v>2.1219999999999998E-3</v>
      </c>
    </row>
    <row r="616" spans="1:4" x14ac:dyDescent="0.45">
      <c r="A616" t="s">
        <v>73</v>
      </c>
      <c r="B616">
        <v>2010</v>
      </c>
      <c r="C616" t="s">
        <v>44</v>
      </c>
      <c r="D616">
        <v>0.16567799999999999</v>
      </c>
    </row>
    <row r="617" spans="1:4" x14ac:dyDescent="0.45">
      <c r="A617" t="s">
        <v>73</v>
      </c>
      <c r="B617">
        <v>2011</v>
      </c>
      <c r="C617" t="s">
        <v>44</v>
      </c>
      <c r="D617">
        <v>0.32478899999999999</v>
      </c>
    </row>
    <row r="618" spans="1:4" x14ac:dyDescent="0.45">
      <c r="A618" t="s">
        <v>73</v>
      </c>
      <c r="B618">
        <v>2012</v>
      </c>
      <c r="C618" t="s">
        <v>44</v>
      </c>
      <c r="D618">
        <v>0.48702699999999999</v>
      </c>
    </row>
    <row r="619" spans="1:4" x14ac:dyDescent="0.45">
      <c r="A619" t="s">
        <v>73</v>
      </c>
      <c r="B619">
        <v>2013</v>
      </c>
      <c r="C619" t="s">
        <v>44</v>
      </c>
      <c r="D619">
        <v>0.75367399999999996</v>
      </c>
    </row>
    <row r="620" spans="1:4" x14ac:dyDescent="0.45">
      <c r="A620" t="s">
        <v>73</v>
      </c>
      <c r="B620">
        <v>2014</v>
      </c>
      <c r="C620" t="s">
        <v>44</v>
      </c>
      <c r="D620">
        <v>0.728549</v>
      </c>
    </row>
    <row r="621" spans="1:4" x14ac:dyDescent="0.45">
      <c r="A621" t="s">
        <v>73</v>
      </c>
      <c r="B621">
        <v>2015</v>
      </c>
      <c r="C621" t="s">
        <v>44</v>
      </c>
      <c r="D621">
        <v>0.79350199999999993</v>
      </c>
    </row>
    <row r="622" spans="1:4" x14ac:dyDescent="0.45">
      <c r="A622" t="s">
        <v>73</v>
      </c>
      <c r="B622">
        <v>2016</v>
      </c>
      <c r="C622" t="s">
        <v>44</v>
      </c>
      <c r="D622">
        <v>2.41683</v>
      </c>
    </row>
    <row r="623" spans="1:4" x14ac:dyDescent="0.45">
      <c r="A623" t="s">
        <v>73</v>
      </c>
      <c r="B623">
        <v>2017</v>
      </c>
      <c r="C623" t="s">
        <v>44</v>
      </c>
      <c r="D623">
        <v>5.1774120000000003</v>
      </c>
    </row>
    <row r="624" spans="1:4" x14ac:dyDescent="0.45">
      <c r="A624" t="s">
        <v>73</v>
      </c>
      <c r="B624">
        <v>2018</v>
      </c>
      <c r="C624" t="s">
        <v>44</v>
      </c>
      <c r="D624">
        <v>9.1120789999999996</v>
      </c>
    </row>
    <row r="625" spans="1:4" x14ac:dyDescent="0.45">
      <c r="A625" t="s">
        <v>73</v>
      </c>
      <c r="B625">
        <v>2019</v>
      </c>
      <c r="C625" t="s">
        <v>44</v>
      </c>
      <c r="D625">
        <v>11.51211</v>
      </c>
    </row>
    <row r="626" spans="1:4" x14ac:dyDescent="0.45">
      <c r="A626" t="s">
        <v>73</v>
      </c>
      <c r="B626">
        <v>2020</v>
      </c>
      <c r="C626" t="s">
        <v>44</v>
      </c>
      <c r="D626">
        <v>14.895625000000001</v>
      </c>
    </row>
    <row r="627" spans="1:4" x14ac:dyDescent="0.45">
      <c r="A627" t="s">
        <v>73</v>
      </c>
      <c r="B627">
        <v>2021</v>
      </c>
      <c r="C627" t="s">
        <v>44</v>
      </c>
      <c r="D627">
        <v>52.710908000000003</v>
      </c>
    </row>
    <row r="628" spans="1:4" x14ac:dyDescent="0.45">
      <c r="A628" t="s">
        <v>73</v>
      </c>
      <c r="B628">
        <v>2022</v>
      </c>
      <c r="C628" t="s">
        <v>44</v>
      </c>
      <c r="D628">
        <v>63.572247000000004</v>
      </c>
    </row>
    <row r="629" spans="1:4" x14ac:dyDescent="0.45">
      <c r="A629" t="s">
        <v>73</v>
      </c>
      <c r="B629">
        <v>2023</v>
      </c>
      <c r="C629" t="s">
        <v>44</v>
      </c>
      <c r="D629">
        <v>74.849532000000011</v>
      </c>
    </row>
    <row r="630" spans="1:4" x14ac:dyDescent="0.45">
      <c r="A630" t="s">
        <v>40</v>
      </c>
      <c r="B630">
        <v>2010</v>
      </c>
      <c r="C630" t="s">
        <v>45</v>
      </c>
      <c r="D630">
        <v>7.1162000000000003E-2</v>
      </c>
    </row>
    <row r="631" spans="1:4" x14ac:dyDescent="0.45">
      <c r="A631" t="s">
        <v>40</v>
      </c>
      <c r="B631">
        <v>2011</v>
      </c>
      <c r="C631" t="s">
        <v>45</v>
      </c>
      <c r="D631">
        <v>8.1000000000000003E-2</v>
      </c>
    </row>
    <row r="632" spans="1:4" x14ac:dyDescent="0.45">
      <c r="A632" t="s">
        <v>40</v>
      </c>
      <c r="B632">
        <v>2012</v>
      </c>
      <c r="C632" t="s">
        <v>45</v>
      </c>
      <c r="D632">
        <v>0.13806000000000002</v>
      </c>
    </row>
    <row r="633" spans="1:4" x14ac:dyDescent="0.45">
      <c r="A633" t="s">
        <v>40</v>
      </c>
      <c r="B633">
        <v>2013</v>
      </c>
      <c r="C633" t="s">
        <v>45</v>
      </c>
      <c r="D633">
        <v>0.19259000000000001</v>
      </c>
    </row>
    <row r="634" spans="1:4" x14ac:dyDescent="0.45">
      <c r="A634" t="s">
        <v>40</v>
      </c>
      <c r="B634">
        <v>2014</v>
      </c>
      <c r="C634" t="s">
        <v>45</v>
      </c>
      <c r="D634">
        <v>0.309589</v>
      </c>
    </row>
    <row r="635" spans="1:4" x14ac:dyDescent="0.45">
      <c r="A635" t="s">
        <v>40</v>
      </c>
      <c r="B635">
        <v>2015</v>
      </c>
      <c r="C635" t="s">
        <v>45</v>
      </c>
      <c r="D635">
        <v>0.331015</v>
      </c>
    </row>
    <row r="636" spans="1:4" x14ac:dyDescent="0.45">
      <c r="A636" t="s">
        <v>40</v>
      </c>
      <c r="B636">
        <v>2016</v>
      </c>
      <c r="C636" t="s">
        <v>45</v>
      </c>
      <c r="D636">
        <v>0.349574</v>
      </c>
    </row>
    <row r="637" spans="1:4" x14ac:dyDescent="0.45">
      <c r="A637" t="s">
        <v>40</v>
      </c>
      <c r="B637">
        <v>2017</v>
      </c>
      <c r="C637" t="s">
        <v>45</v>
      </c>
      <c r="D637">
        <v>0.45400000000000001</v>
      </c>
    </row>
    <row r="638" spans="1:4" x14ac:dyDescent="0.45">
      <c r="A638" t="s">
        <v>40</v>
      </c>
      <c r="B638">
        <v>2018</v>
      </c>
      <c r="C638" t="s">
        <v>45</v>
      </c>
      <c r="D638">
        <v>0.63</v>
      </c>
    </row>
    <row r="639" spans="1:4" x14ac:dyDescent="0.45">
      <c r="A639" t="s">
        <v>40</v>
      </c>
      <c r="B639">
        <v>2019</v>
      </c>
      <c r="C639" t="s">
        <v>45</v>
      </c>
      <c r="D639">
        <v>0.79939099999999996</v>
      </c>
    </row>
    <row r="640" spans="1:4" x14ac:dyDescent="0.45">
      <c r="A640" t="s">
        <v>40</v>
      </c>
      <c r="B640">
        <v>2020</v>
      </c>
      <c r="C640" t="s">
        <v>45</v>
      </c>
      <c r="D640">
        <v>0.89</v>
      </c>
    </row>
    <row r="641" spans="1:4" x14ac:dyDescent="0.45">
      <c r="A641" t="s">
        <v>40</v>
      </c>
      <c r="B641">
        <v>2021</v>
      </c>
      <c r="C641" t="s">
        <v>45</v>
      </c>
      <c r="D641">
        <v>1.1100000000000001</v>
      </c>
    </row>
    <row r="642" spans="1:4" x14ac:dyDescent="0.45">
      <c r="A642" t="s">
        <v>40</v>
      </c>
      <c r="B642">
        <v>2022</v>
      </c>
      <c r="C642" t="s">
        <v>45</v>
      </c>
      <c r="D642">
        <v>1.23</v>
      </c>
    </row>
    <row r="643" spans="1:4" x14ac:dyDescent="0.45">
      <c r="A643" t="s">
        <v>40</v>
      </c>
      <c r="B643">
        <v>2023</v>
      </c>
      <c r="C643" t="s">
        <v>45</v>
      </c>
      <c r="D643">
        <v>1.49</v>
      </c>
    </row>
    <row r="644" spans="1:4" x14ac:dyDescent="0.45">
      <c r="A644" t="s">
        <v>40</v>
      </c>
      <c r="B644">
        <v>2024</v>
      </c>
      <c r="C644" t="s">
        <v>45</v>
      </c>
      <c r="D644">
        <v>1.52</v>
      </c>
    </row>
    <row r="645" spans="1:4" x14ac:dyDescent="0.45">
      <c r="A645" t="s">
        <v>40</v>
      </c>
      <c r="B645">
        <v>2010</v>
      </c>
      <c r="C645" t="s">
        <v>45</v>
      </c>
      <c r="D645">
        <v>1.1172390000000001</v>
      </c>
    </row>
    <row r="646" spans="1:4" x14ac:dyDescent="0.45">
      <c r="A646" t="s">
        <v>40</v>
      </c>
      <c r="B646">
        <v>2011</v>
      </c>
      <c r="C646" t="s">
        <v>45</v>
      </c>
      <c r="D646">
        <v>1.1312090000000001</v>
      </c>
    </row>
    <row r="647" spans="1:4" x14ac:dyDescent="0.45">
      <c r="A647" t="s">
        <v>40</v>
      </c>
      <c r="B647">
        <v>2012</v>
      </c>
      <c r="C647" t="s">
        <v>45</v>
      </c>
      <c r="D647">
        <v>1.1436249999999999</v>
      </c>
    </row>
    <row r="648" spans="1:4" x14ac:dyDescent="0.45">
      <c r="A648" t="s">
        <v>40</v>
      </c>
      <c r="B648">
        <v>2013</v>
      </c>
      <c r="C648" t="s">
        <v>45</v>
      </c>
      <c r="D648">
        <v>1.7000950000000001</v>
      </c>
    </row>
    <row r="649" spans="1:4" x14ac:dyDescent="0.45">
      <c r="A649" t="s">
        <v>40</v>
      </c>
      <c r="B649">
        <v>2014</v>
      </c>
      <c r="C649" t="s">
        <v>45</v>
      </c>
      <c r="D649">
        <v>1.8934200000000001</v>
      </c>
    </row>
    <row r="650" spans="1:4" x14ac:dyDescent="0.45">
      <c r="A650" t="s">
        <v>40</v>
      </c>
      <c r="B650">
        <v>2015</v>
      </c>
      <c r="C650" t="s">
        <v>45</v>
      </c>
      <c r="D650">
        <v>2.3415100000000004</v>
      </c>
    </row>
    <row r="651" spans="1:4" x14ac:dyDescent="0.45">
      <c r="A651" t="s">
        <v>40</v>
      </c>
      <c r="B651">
        <v>2016</v>
      </c>
      <c r="C651" t="s">
        <v>45</v>
      </c>
      <c r="D651">
        <v>2.8699870000000001</v>
      </c>
    </row>
    <row r="652" spans="1:4" x14ac:dyDescent="0.45">
      <c r="A652" t="s">
        <v>40</v>
      </c>
      <c r="B652">
        <v>2017</v>
      </c>
      <c r="C652" t="s">
        <v>45</v>
      </c>
      <c r="D652">
        <v>3.64</v>
      </c>
    </row>
    <row r="653" spans="1:4" x14ac:dyDescent="0.45">
      <c r="A653" t="s">
        <v>40</v>
      </c>
      <c r="B653">
        <v>2018</v>
      </c>
      <c r="C653" t="s">
        <v>45</v>
      </c>
      <c r="D653">
        <v>4.5750000000000002</v>
      </c>
    </row>
    <row r="654" spans="1:4" x14ac:dyDescent="0.45">
      <c r="A654" t="s">
        <v>40</v>
      </c>
      <c r="B654">
        <v>2019</v>
      </c>
      <c r="C654" t="s">
        <v>45</v>
      </c>
      <c r="D654">
        <v>6.0087809999999999</v>
      </c>
    </row>
    <row r="655" spans="1:4" x14ac:dyDescent="0.45">
      <c r="A655" t="s">
        <v>40</v>
      </c>
      <c r="B655">
        <v>2020</v>
      </c>
      <c r="C655" t="s">
        <v>45</v>
      </c>
      <c r="D655">
        <v>7.665</v>
      </c>
    </row>
    <row r="656" spans="1:4" x14ac:dyDescent="0.45">
      <c r="A656" t="s">
        <v>40</v>
      </c>
      <c r="B656">
        <v>2021</v>
      </c>
      <c r="C656" t="s">
        <v>45</v>
      </c>
      <c r="D656">
        <v>10.645</v>
      </c>
    </row>
    <row r="657" spans="1:4" x14ac:dyDescent="0.45">
      <c r="A657" t="s">
        <v>40</v>
      </c>
      <c r="B657">
        <v>2022</v>
      </c>
      <c r="C657" t="s">
        <v>45</v>
      </c>
      <c r="D657">
        <v>11.93</v>
      </c>
    </row>
    <row r="658" spans="1:4" x14ac:dyDescent="0.45">
      <c r="A658" t="s">
        <v>40</v>
      </c>
      <c r="B658">
        <v>2023</v>
      </c>
      <c r="C658" t="s">
        <v>45</v>
      </c>
      <c r="D658">
        <v>12.885</v>
      </c>
    </row>
    <row r="659" spans="1:4" x14ac:dyDescent="0.45">
      <c r="A659" t="s">
        <v>40</v>
      </c>
      <c r="B659">
        <v>2024</v>
      </c>
      <c r="C659" t="s">
        <v>45</v>
      </c>
      <c r="D659">
        <v>13.69</v>
      </c>
    </row>
    <row r="660" spans="1:4" x14ac:dyDescent="0.45">
      <c r="A660" t="s">
        <v>40</v>
      </c>
      <c r="B660">
        <v>2000</v>
      </c>
      <c r="C660" t="s">
        <v>45</v>
      </c>
      <c r="D660">
        <v>1.1000000000000001</v>
      </c>
    </row>
    <row r="661" spans="1:4" x14ac:dyDescent="0.45">
      <c r="A661" t="s">
        <v>40</v>
      </c>
      <c r="B661">
        <v>2001</v>
      </c>
      <c r="C661" t="s">
        <v>45</v>
      </c>
      <c r="D661">
        <v>1.1200000000000001</v>
      </c>
    </row>
    <row r="662" spans="1:4" x14ac:dyDescent="0.45">
      <c r="A662" t="s">
        <v>40</v>
      </c>
      <c r="B662">
        <v>2002</v>
      </c>
      <c r="C662" t="s">
        <v>45</v>
      </c>
      <c r="D662">
        <v>1.6519999999999999</v>
      </c>
    </row>
    <row r="663" spans="1:4" x14ac:dyDescent="0.45">
      <c r="A663" t="s">
        <v>40</v>
      </c>
      <c r="B663">
        <v>2003</v>
      </c>
      <c r="C663" t="s">
        <v>45</v>
      </c>
      <c r="D663">
        <v>1.85</v>
      </c>
    </row>
    <row r="664" spans="1:4" x14ac:dyDescent="0.45">
      <c r="A664" t="s">
        <v>40</v>
      </c>
      <c r="B664">
        <v>2004</v>
      </c>
      <c r="C664" t="s">
        <v>45</v>
      </c>
      <c r="D664">
        <v>1.9</v>
      </c>
    </row>
    <row r="665" spans="1:4" x14ac:dyDescent="0.45">
      <c r="A665" t="s">
        <v>40</v>
      </c>
      <c r="B665">
        <v>2005</v>
      </c>
      <c r="C665" t="s">
        <v>45</v>
      </c>
      <c r="D665">
        <v>2</v>
      </c>
    </row>
    <row r="666" spans="1:4" x14ac:dyDescent="0.45">
      <c r="A666" t="s">
        <v>40</v>
      </c>
      <c r="B666">
        <v>2006</v>
      </c>
      <c r="C666" t="s">
        <v>45</v>
      </c>
      <c r="D666">
        <v>2.5</v>
      </c>
    </row>
    <row r="667" spans="1:4" x14ac:dyDescent="0.45">
      <c r="A667" t="s">
        <v>40</v>
      </c>
      <c r="B667">
        <v>2007</v>
      </c>
      <c r="C667" t="s">
        <v>45</v>
      </c>
      <c r="D667">
        <v>3</v>
      </c>
    </row>
    <row r="668" spans="1:4" x14ac:dyDescent="0.45">
      <c r="A668" t="s">
        <v>40</v>
      </c>
      <c r="B668">
        <v>2008</v>
      </c>
      <c r="C668" t="s">
        <v>45</v>
      </c>
      <c r="D668">
        <v>3.27</v>
      </c>
    </row>
    <row r="669" spans="1:4" x14ac:dyDescent="0.45">
      <c r="A669" t="s">
        <v>40</v>
      </c>
      <c r="B669">
        <v>2009</v>
      </c>
      <c r="C669" t="s">
        <v>45</v>
      </c>
      <c r="D669">
        <v>4.5999999999999996</v>
      </c>
    </row>
    <row r="670" spans="1:4" x14ac:dyDescent="0.45">
      <c r="A670" t="s">
        <v>40</v>
      </c>
      <c r="B670">
        <v>2010</v>
      </c>
      <c r="C670" t="s">
        <v>45</v>
      </c>
      <c r="D670">
        <v>2.258</v>
      </c>
    </row>
    <row r="671" spans="1:4" x14ac:dyDescent="0.45">
      <c r="A671" t="s">
        <v>40</v>
      </c>
      <c r="B671">
        <v>2011</v>
      </c>
      <c r="C671" t="s">
        <v>45</v>
      </c>
      <c r="D671">
        <v>2.5954999999999999</v>
      </c>
    </row>
    <row r="672" spans="1:4" x14ac:dyDescent="0.45">
      <c r="A672" t="s">
        <v>40</v>
      </c>
      <c r="B672">
        <v>2012</v>
      </c>
      <c r="C672" t="s">
        <v>45</v>
      </c>
      <c r="D672">
        <v>3.3355000000000001</v>
      </c>
    </row>
    <row r="673" spans="1:4" x14ac:dyDescent="0.45">
      <c r="A673" t="s">
        <v>40</v>
      </c>
      <c r="B673">
        <v>2013</v>
      </c>
      <c r="C673" t="s">
        <v>45</v>
      </c>
      <c r="D673">
        <v>4.1962999999999999</v>
      </c>
    </row>
    <row r="674" spans="1:4" x14ac:dyDescent="0.45">
      <c r="A674" t="s">
        <v>40</v>
      </c>
      <c r="B674">
        <v>2014</v>
      </c>
      <c r="C674" t="s">
        <v>45</v>
      </c>
      <c r="D674">
        <v>4.4495640000000005</v>
      </c>
    </row>
    <row r="675" spans="1:4" x14ac:dyDescent="0.45">
      <c r="A675" t="s">
        <v>40</v>
      </c>
      <c r="B675">
        <v>2015</v>
      </c>
      <c r="C675" t="s">
        <v>45</v>
      </c>
      <c r="D675">
        <v>5.3043519999999997</v>
      </c>
    </row>
    <row r="676" spans="1:4" x14ac:dyDescent="0.45">
      <c r="A676" t="s">
        <v>40</v>
      </c>
      <c r="B676">
        <v>2016</v>
      </c>
      <c r="C676" t="s">
        <v>45</v>
      </c>
      <c r="D676">
        <v>6.049938</v>
      </c>
    </row>
    <row r="677" spans="1:4" x14ac:dyDescent="0.45">
      <c r="A677" t="s">
        <v>40</v>
      </c>
      <c r="B677">
        <v>2017</v>
      </c>
      <c r="C677" t="s">
        <v>45</v>
      </c>
      <c r="D677">
        <v>7.14</v>
      </c>
    </row>
    <row r="678" spans="1:4" x14ac:dyDescent="0.45">
      <c r="A678" t="s">
        <v>40</v>
      </c>
      <c r="B678">
        <v>2018</v>
      </c>
      <c r="C678" t="s">
        <v>45</v>
      </c>
      <c r="D678">
        <v>8.0299999999999994</v>
      </c>
    </row>
    <row r="679" spans="1:4" x14ac:dyDescent="0.45">
      <c r="A679" t="s">
        <v>40</v>
      </c>
      <c r="B679">
        <v>2019</v>
      </c>
      <c r="C679" t="s">
        <v>45</v>
      </c>
      <c r="D679">
        <v>9.7288999999999994</v>
      </c>
    </row>
    <row r="680" spans="1:4" x14ac:dyDescent="0.45">
      <c r="A680" t="s">
        <v>40</v>
      </c>
      <c r="B680">
        <v>2020</v>
      </c>
      <c r="C680" t="s">
        <v>45</v>
      </c>
      <c r="D680">
        <v>13.3</v>
      </c>
    </row>
    <row r="681" spans="1:4" x14ac:dyDescent="0.45">
      <c r="A681" t="s">
        <v>40</v>
      </c>
      <c r="B681">
        <v>2021</v>
      </c>
      <c r="C681" t="s">
        <v>45</v>
      </c>
      <c r="D681">
        <v>15.59</v>
      </c>
    </row>
    <row r="682" spans="1:4" x14ac:dyDescent="0.45">
      <c r="A682" t="s">
        <v>40</v>
      </c>
      <c r="B682">
        <v>2022</v>
      </c>
      <c r="C682" t="s">
        <v>45</v>
      </c>
      <c r="D682">
        <v>16.23</v>
      </c>
    </row>
    <row r="683" spans="1:4" x14ac:dyDescent="0.45">
      <c r="A683" t="s">
        <v>40</v>
      </c>
      <c r="B683">
        <v>2023</v>
      </c>
      <c r="C683" t="s">
        <v>45</v>
      </c>
      <c r="D683">
        <v>16.88</v>
      </c>
    </row>
    <row r="684" spans="1:4" x14ac:dyDescent="0.45">
      <c r="A684" t="s">
        <v>40</v>
      </c>
      <c r="B684">
        <v>2024</v>
      </c>
      <c r="C684" t="s">
        <v>45</v>
      </c>
      <c r="D684">
        <v>17.09</v>
      </c>
    </row>
    <row r="685" spans="1:4" x14ac:dyDescent="0.45">
      <c r="A685" t="s">
        <v>40</v>
      </c>
      <c r="B685">
        <v>2010</v>
      </c>
      <c r="C685" t="s">
        <v>44</v>
      </c>
      <c r="D685">
        <v>0.38593299999999997</v>
      </c>
    </row>
    <row r="686" spans="1:4" x14ac:dyDescent="0.45">
      <c r="A686" t="s">
        <v>40</v>
      </c>
      <c r="B686">
        <v>2011</v>
      </c>
      <c r="C686" t="s">
        <v>44</v>
      </c>
      <c r="D686">
        <v>0.45100999999999997</v>
      </c>
    </row>
    <row r="687" spans="1:4" x14ac:dyDescent="0.45">
      <c r="A687" t="s">
        <v>40</v>
      </c>
      <c r="B687">
        <v>2012</v>
      </c>
      <c r="C687" t="s">
        <v>44</v>
      </c>
      <c r="D687">
        <v>0.71896099999999996</v>
      </c>
    </row>
    <row r="688" spans="1:4" x14ac:dyDescent="0.45">
      <c r="A688" t="s">
        <v>40</v>
      </c>
      <c r="B688">
        <v>2013</v>
      </c>
      <c r="C688" t="s">
        <v>44</v>
      </c>
      <c r="D688">
        <v>0.91484900000000002</v>
      </c>
    </row>
    <row r="689" spans="1:4" x14ac:dyDescent="0.45">
      <c r="A689" t="s">
        <v>40</v>
      </c>
      <c r="B689">
        <v>2014</v>
      </c>
      <c r="C689" t="s">
        <v>44</v>
      </c>
      <c r="D689">
        <v>1.6097980000000001</v>
      </c>
    </row>
    <row r="690" spans="1:4" x14ac:dyDescent="0.45">
      <c r="A690" t="s">
        <v>40</v>
      </c>
      <c r="B690">
        <v>2015</v>
      </c>
      <c r="C690" t="s">
        <v>44</v>
      </c>
      <c r="D690">
        <v>1.6905139999999999</v>
      </c>
    </row>
    <row r="691" spans="1:4" x14ac:dyDescent="0.45">
      <c r="A691" t="s">
        <v>40</v>
      </c>
      <c r="B691">
        <v>2016</v>
      </c>
      <c r="C691" t="s">
        <v>44</v>
      </c>
      <c r="D691">
        <v>1.8631300000000002</v>
      </c>
    </row>
    <row r="692" spans="1:4" x14ac:dyDescent="0.45">
      <c r="A692" t="s">
        <v>40</v>
      </c>
      <c r="B692">
        <v>2017</v>
      </c>
      <c r="C692" t="s">
        <v>44</v>
      </c>
      <c r="D692">
        <v>2.4244470000000002</v>
      </c>
    </row>
    <row r="693" spans="1:4" x14ac:dyDescent="0.45">
      <c r="A693" t="s">
        <v>40</v>
      </c>
      <c r="B693">
        <v>2018</v>
      </c>
      <c r="C693" t="s">
        <v>44</v>
      </c>
      <c r="D693">
        <v>3.2035800000000001</v>
      </c>
    </row>
    <row r="694" spans="1:4" x14ac:dyDescent="0.45">
      <c r="A694" t="s">
        <v>40</v>
      </c>
      <c r="B694">
        <v>2019</v>
      </c>
      <c r="C694" t="s">
        <v>44</v>
      </c>
      <c r="D694">
        <v>3.8</v>
      </c>
    </row>
    <row r="695" spans="1:4" x14ac:dyDescent="0.45">
      <c r="A695" t="s">
        <v>40</v>
      </c>
      <c r="B695">
        <v>2020</v>
      </c>
      <c r="C695" t="s">
        <v>44</v>
      </c>
      <c r="D695">
        <v>4.0999999999999996</v>
      </c>
    </row>
    <row r="696" spans="1:4" x14ac:dyDescent="0.45">
      <c r="A696" t="s">
        <v>40</v>
      </c>
      <c r="B696">
        <v>2021</v>
      </c>
      <c r="C696" t="s">
        <v>44</v>
      </c>
      <c r="D696">
        <v>4.7</v>
      </c>
    </row>
    <row r="697" spans="1:4" x14ac:dyDescent="0.45">
      <c r="A697" t="s">
        <v>40</v>
      </c>
      <c r="B697">
        <v>2022</v>
      </c>
      <c r="C697" t="s">
        <v>44</v>
      </c>
      <c r="D697">
        <v>5.4</v>
      </c>
    </row>
    <row r="698" spans="1:4" x14ac:dyDescent="0.45">
      <c r="A698" t="s">
        <v>40</v>
      </c>
      <c r="B698">
        <v>2023</v>
      </c>
      <c r="C698" t="s">
        <v>44</v>
      </c>
      <c r="D698">
        <v>6.6</v>
      </c>
    </row>
    <row r="699" spans="1:4" x14ac:dyDescent="0.45">
      <c r="A699" t="s">
        <v>40</v>
      </c>
      <c r="B699">
        <v>2010</v>
      </c>
      <c r="C699" t="s">
        <v>44</v>
      </c>
      <c r="D699">
        <v>6.0591249999999999</v>
      </c>
    </row>
    <row r="700" spans="1:4" x14ac:dyDescent="0.45">
      <c r="A700" t="s">
        <v>40</v>
      </c>
      <c r="B700">
        <v>2011</v>
      </c>
      <c r="C700" t="s">
        <v>44</v>
      </c>
      <c r="D700">
        <v>6.2985959999999999</v>
      </c>
    </row>
    <row r="701" spans="1:4" x14ac:dyDescent="0.45">
      <c r="A701" t="s">
        <v>40</v>
      </c>
      <c r="B701">
        <v>2012</v>
      </c>
      <c r="C701" t="s">
        <v>44</v>
      </c>
      <c r="D701">
        <v>5.9555429999999996</v>
      </c>
    </row>
    <row r="702" spans="1:4" x14ac:dyDescent="0.45">
      <c r="A702" t="s">
        <v>40</v>
      </c>
      <c r="B702">
        <v>2013</v>
      </c>
      <c r="C702" t="s">
        <v>44</v>
      </c>
      <c r="D702">
        <v>8.0758590000000012</v>
      </c>
    </row>
    <row r="703" spans="1:4" x14ac:dyDescent="0.45">
      <c r="A703" t="s">
        <v>40</v>
      </c>
      <c r="B703">
        <v>2014</v>
      </c>
      <c r="C703" t="s">
        <v>44</v>
      </c>
      <c r="D703">
        <v>9.8453889999999991</v>
      </c>
    </row>
    <row r="704" spans="1:4" x14ac:dyDescent="0.45">
      <c r="A704" t="s">
        <v>40</v>
      </c>
      <c r="B704">
        <v>2015</v>
      </c>
      <c r="C704" t="s">
        <v>44</v>
      </c>
      <c r="D704">
        <v>11.958238</v>
      </c>
    </row>
    <row r="705" spans="1:4" x14ac:dyDescent="0.45">
      <c r="A705" t="s">
        <v>40</v>
      </c>
      <c r="B705">
        <v>2016</v>
      </c>
      <c r="C705" t="s">
        <v>44</v>
      </c>
      <c r="D705">
        <v>15.296213</v>
      </c>
    </row>
    <row r="706" spans="1:4" x14ac:dyDescent="0.45">
      <c r="A706" t="s">
        <v>40</v>
      </c>
      <c r="B706">
        <v>2017</v>
      </c>
      <c r="C706" t="s">
        <v>44</v>
      </c>
      <c r="D706">
        <v>19.438294999999997</v>
      </c>
    </row>
    <row r="707" spans="1:4" x14ac:dyDescent="0.45">
      <c r="A707" t="s">
        <v>40</v>
      </c>
      <c r="B707">
        <v>2018</v>
      </c>
      <c r="C707" t="s">
        <v>44</v>
      </c>
      <c r="D707">
        <v>23.264092000000002</v>
      </c>
    </row>
    <row r="708" spans="1:4" x14ac:dyDescent="0.45">
      <c r="A708" t="s">
        <v>40</v>
      </c>
      <c r="B708">
        <v>2019</v>
      </c>
      <c r="C708" t="s">
        <v>44</v>
      </c>
      <c r="D708">
        <v>30.35</v>
      </c>
    </row>
    <row r="709" spans="1:4" x14ac:dyDescent="0.45">
      <c r="A709" t="s">
        <v>40</v>
      </c>
      <c r="B709">
        <v>2020</v>
      </c>
      <c r="C709" t="s">
        <v>44</v>
      </c>
      <c r="D709">
        <v>34.4</v>
      </c>
    </row>
    <row r="710" spans="1:4" x14ac:dyDescent="0.45">
      <c r="A710" t="s">
        <v>40</v>
      </c>
      <c r="B710">
        <v>2021</v>
      </c>
      <c r="C710" t="s">
        <v>44</v>
      </c>
      <c r="D710">
        <v>45.9</v>
      </c>
    </row>
    <row r="711" spans="1:4" x14ac:dyDescent="0.45">
      <c r="A711" t="s">
        <v>40</v>
      </c>
      <c r="B711">
        <v>2022</v>
      </c>
      <c r="C711" t="s">
        <v>44</v>
      </c>
      <c r="D711">
        <v>52.7</v>
      </c>
    </row>
    <row r="712" spans="1:4" x14ac:dyDescent="0.45">
      <c r="A712" t="s">
        <v>40</v>
      </c>
      <c r="B712">
        <v>2023</v>
      </c>
      <c r="C712" t="s">
        <v>44</v>
      </c>
      <c r="D712">
        <v>57.8</v>
      </c>
    </row>
    <row r="713" spans="1:4" x14ac:dyDescent="0.45">
      <c r="A713" t="s">
        <v>40</v>
      </c>
      <c r="B713">
        <v>2000</v>
      </c>
      <c r="C713" t="s">
        <v>44</v>
      </c>
      <c r="D713">
        <v>2.4209999999999998</v>
      </c>
    </row>
    <row r="714" spans="1:4" x14ac:dyDescent="0.45">
      <c r="A714" t="s">
        <v>40</v>
      </c>
      <c r="B714">
        <v>2001</v>
      </c>
      <c r="C714" t="s">
        <v>44</v>
      </c>
      <c r="D714">
        <v>2.4380000000000002</v>
      </c>
    </row>
    <row r="715" spans="1:4" x14ac:dyDescent="0.45">
      <c r="A715" t="s">
        <v>40</v>
      </c>
      <c r="B715">
        <v>2002</v>
      </c>
      <c r="C715" t="s">
        <v>44</v>
      </c>
      <c r="D715">
        <v>2.4300000000000002</v>
      </c>
    </row>
    <row r="716" spans="1:4" x14ac:dyDescent="0.45">
      <c r="A716" t="s">
        <v>40</v>
      </c>
      <c r="B716">
        <v>2003</v>
      </c>
      <c r="C716" t="s">
        <v>44</v>
      </c>
      <c r="D716">
        <v>2.4220000000000002</v>
      </c>
    </row>
    <row r="717" spans="1:4" x14ac:dyDescent="0.45">
      <c r="A717" t="s">
        <v>40</v>
      </c>
      <c r="B717">
        <v>2004</v>
      </c>
      <c r="C717" t="s">
        <v>44</v>
      </c>
      <c r="D717">
        <v>2.4140000000000001</v>
      </c>
    </row>
    <row r="718" spans="1:4" x14ac:dyDescent="0.45">
      <c r="A718" t="s">
        <v>40</v>
      </c>
      <c r="B718">
        <v>2005</v>
      </c>
      <c r="C718" t="s">
        <v>44</v>
      </c>
      <c r="D718">
        <v>5.2</v>
      </c>
    </row>
    <row r="719" spans="1:4" x14ac:dyDescent="0.45">
      <c r="A719" t="s">
        <v>40</v>
      </c>
      <c r="B719">
        <v>2006</v>
      </c>
      <c r="C719" t="s">
        <v>44</v>
      </c>
      <c r="D719">
        <v>7</v>
      </c>
    </row>
    <row r="720" spans="1:4" x14ac:dyDescent="0.45">
      <c r="A720" t="s">
        <v>40</v>
      </c>
      <c r="B720">
        <v>2007</v>
      </c>
      <c r="C720" t="s">
        <v>44</v>
      </c>
      <c r="D720">
        <v>9.74</v>
      </c>
    </row>
    <row r="721" spans="1:4" x14ac:dyDescent="0.45">
      <c r="A721" t="s">
        <v>40</v>
      </c>
      <c r="B721">
        <v>2008</v>
      </c>
      <c r="C721" t="s">
        <v>44</v>
      </c>
      <c r="D721">
        <v>14.715</v>
      </c>
    </row>
    <row r="722" spans="1:4" x14ac:dyDescent="0.45">
      <c r="A722" t="s">
        <v>40</v>
      </c>
      <c r="B722">
        <v>2009</v>
      </c>
      <c r="C722" t="s">
        <v>44</v>
      </c>
      <c r="D722">
        <v>20.7</v>
      </c>
    </row>
    <row r="723" spans="1:4" x14ac:dyDescent="0.45">
      <c r="A723" t="s">
        <v>40</v>
      </c>
      <c r="B723">
        <v>2010</v>
      </c>
      <c r="C723" t="s">
        <v>44</v>
      </c>
      <c r="D723">
        <v>12.245816999999999</v>
      </c>
    </row>
    <row r="724" spans="1:4" x14ac:dyDescent="0.45">
      <c r="A724" t="s">
        <v>40</v>
      </c>
      <c r="B724">
        <v>2011</v>
      </c>
      <c r="C724" t="s">
        <v>44</v>
      </c>
      <c r="D724">
        <v>14.451799000000001</v>
      </c>
    </row>
    <row r="725" spans="1:4" x14ac:dyDescent="0.45">
      <c r="A725" t="s">
        <v>40</v>
      </c>
      <c r="B725">
        <v>2012</v>
      </c>
      <c r="C725" t="s">
        <v>44</v>
      </c>
      <c r="D725">
        <v>17.369953000000002</v>
      </c>
    </row>
    <row r="726" spans="1:4" x14ac:dyDescent="0.45">
      <c r="A726" t="s">
        <v>40</v>
      </c>
      <c r="B726">
        <v>2013</v>
      </c>
      <c r="C726" t="s">
        <v>44</v>
      </c>
      <c r="D726">
        <v>19.933432</v>
      </c>
    </row>
    <row r="727" spans="1:4" x14ac:dyDescent="0.45">
      <c r="A727" t="s">
        <v>40</v>
      </c>
      <c r="B727">
        <v>2014</v>
      </c>
      <c r="C727" t="s">
        <v>44</v>
      </c>
      <c r="D727">
        <v>23.136806</v>
      </c>
    </row>
    <row r="728" spans="1:4" x14ac:dyDescent="0.45">
      <c r="A728" t="s">
        <v>40</v>
      </c>
      <c r="B728">
        <v>2015</v>
      </c>
      <c r="C728" t="s">
        <v>44</v>
      </c>
      <c r="D728">
        <v>27.089655999999998</v>
      </c>
    </row>
    <row r="729" spans="1:4" x14ac:dyDescent="0.45">
      <c r="A729" t="s">
        <v>40</v>
      </c>
      <c r="B729">
        <v>2016</v>
      </c>
      <c r="C729" t="s">
        <v>44</v>
      </c>
      <c r="D729">
        <v>32.244444999999999</v>
      </c>
    </row>
    <row r="730" spans="1:4" x14ac:dyDescent="0.45">
      <c r="A730" t="s">
        <v>40</v>
      </c>
      <c r="B730">
        <v>2017</v>
      </c>
      <c r="C730" t="s">
        <v>44</v>
      </c>
      <c r="D730">
        <v>38.128963000000006</v>
      </c>
    </row>
    <row r="731" spans="1:4" x14ac:dyDescent="0.45">
      <c r="A731" t="s">
        <v>40</v>
      </c>
      <c r="B731">
        <v>2018</v>
      </c>
      <c r="C731" t="s">
        <v>44</v>
      </c>
      <c r="D731">
        <v>40.832930999999995</v>
      </c>
    </row>
    <row r="732" spans="1:4" x14ac:dyDescent="0.45">
      <c r="A732" t="s">
        <v>40</v>
      </c>
      <c r="B732">
        <v>2019</v>
      </c>
      <c r="C732" t="s">
        <v>44</v>
      </c>
      <c r="D732">
        <v>48.1</v>
      </c>
    </row>
    <row r="733" spans="1:4" x14ac:dyDescent="0.45">
      <c r="A733" t="s">
        <v>40</v>
      </c>
      <c r="B733">
        <v>2020</v>
      </c>
      <c r="C733" t="s">
        <v>44</v>
      </c>
      <c r="D733">
        <v>59.7</v>
      </c>
    </row>
    <row r="734" spans="1:4" x14ac:dyDescent="0.45">
      <c r="A734" t="s">
        <v>40</v>
      </c>
      <c r="B734">
        <v>2021</v>
      </c>
      <c r="C734" t="s">
        <v>44</v>
      </c>
      <c r="D734">
        <v>67.2</v>
      </c>
    </row>
    <row r="735" spans="1:4" x14ac:dyDescent="0.45">
      <c r="A735" t="s">
        <v>40</v>
      </c>
      <c r="B735">
        <v>2022</v>
      </c>
      <c r="C735" t="s">
        <v>44</v>
      </c>
      <c r="D735">
        <v>71.599999999999994</v>
      </c>
    </row>
    <row r="736" spans="1:4" x14ac:dyDescent="0.45">
      <c r="A736" t="s">
        <v>40</v>
      </c>
      <c r="B736">
        <v>2023</v>
      </c>
      <c r="C736" t="s">
        <v>44</v>
      </c>
      <c r="D736">
        <v>75.7</v>
      </c>
    </row>
    <row r="737" spans="1:4" x14ac:dyDescent="0.45">
      <c r="A737" t="s">
        <v>72</v>
      </c>
      <c r="B737">
        <v>2000</v>
      </c>
      <c r="C737" t="s">
        <v>45</v>
      </c>
      <c r="D737">
        <v>2.1649999999999999E-2</v>
      </c>
    </row>
    <row r="738" spans="1:4" x14ac:dyDescent="0.45">
      <c r="A738" t="s">
        <v>72</v>
      </c>
      <c r="B738">
        <v>2001</v>
      </c>
      <c r="C738" t="s">
        <v>45</v>
      </c>
      <c r="D738">
        <v>2.1649999999999999E-2</v>
      </c>
    </row>
    <row r="739" spans="1:4" x14ac:dyDescent="0.45">
      <c r="A739" t="s">
        <v>72</v>
      </c>
      <c r="B739">
        <v>2002</v>
      </c>
      <c r="C739" t="s">
        <v>45</v>
      </c>
      <c r="D739">
        <v>2.1649999999999999E-2</v>
      </c>
    </row>
    <row r="740" spans="1:4" x14ac:dyDescent="0.45">
      <c r="A740" t="s">
        <v>72</v>
      </c>
      <c r="B740">
        <v>2003</v>
      </c>
      <c r="C740" t="s">
        <v>45</v>
      </c>
      <c r="D740">
        <v>2.1649999999999999E-2</v>
      </c>
    </row>
    <row r="741" spans="1:4" x14ac:dyDescent="0.45">
      <c r="A741" t="s">
        <v>72</v>
      </c>
      <c r="B741">
        <v>2004</v>
      </c>
      <c r="C741" t="s">
        <v>45</v>
      </c>
      <c r="D741">
        <v>2.1649999999999999E-2</v>
      </c>
    </row>
    <row r="742" spans="1:4" x14ac:dyDescent="0.45">
      <c r="A742" t="s">
        <v>72</v>
      </c>
      <c r="B742">
        <v>2005</v>
      </c>
      <c r="C742" t="s">
        <v>45</v>
      </c>
      <c r="D742">
        <v>2.1649999999999999E-2</v>
      </c>
    </row>
    <row r="743" spans="1:4" x14ac:dyDescent="0.45">
      <c r="A743" t="s">
        <v>72</v>
      </c>
      <c r="B743">
        <v>2006</v>
      </c>
      <c r="C743" t="s">
        <v>45</v>
      </c>
      <c r="D743">
        <v>2.1649999999999999E-2</v>
      </c>
    </row>
    <row r="744" spans="1:4" x14ac:dyDescent="0.45">
      <c r="A744" t="s">
        <v>72</v>
      </c>
      <c r="B744">
        <v>2007</v>
      </c>
      <c r="C744" t="s">
        <v>45</v>
      </c>
      <c r="D744">
        <v>2.1649999999999999E-2</v>
      </c>
    </row>
    <row r="745" spans="1:4" x14ac:dyDescent="0.45">
      <c r="A745" t="s">
        <v>72</v>
      </c>
      <c r="B745">
        <v>2008</v>
      </c>
      <c r="C745" t="s">
        <v>45</v>
      </c>
      <c r="D745">
        <v>2.4750000000000001E-2</v>
      </c>
    </row>
    <row r="746" spans="1:4" x14ac:dyDescent="0.45">
      <c r="A746" t="s">
        <v>72</v>
      </c>
      <c r="B746">
        <v>2009</v>
      </c>
      <c r="C746" t="s">
        <v>45</v>
      </c>
      <c r="D746">
        <v>2.4750000000000001E-2</v>
      </c>
    </row>
    <row r="747" spans="1:4" x14ac:dyDescent="0.45">
      <c r="A747" t="s">
        <v>72</v>
      </c>
      <c r="B747">
        <v>2010</v>
      </c>
      <c r="C747" t="s">
        <v>45</v>
      </c>
      <c r="D747">
        <v>2.4050000000000002E-2</v>
      </c>
    </row>
    <row r="748" spans="1:4" x14ac:dyDescent="0.45">
      <c r="A748" t="s">
        <v>72</v>
      </c>
      <c r="B748">
        <v>2011</v>
      </c>
      <c r="C748" t="s">
        <v>45</v>
      </c>
      <c r="D748">
        <v>2.615E-2</v>
      </c>
    </row>
    <row r="749" spans="1:4" x14ac:dyDescent="0.45">
      <c r="A749" t="s">
        <v>72</v>
      </c>
      <c r="B749">
        <v>2012</v>
      </c>
      <c r="C749" t="s">
        <v>45</v>
      </c>
      <c r="D749">
        <v>2.615E-2</v>
      </c>
    </row>
    <row r="750" spans="1:4" x14ac:dyDescent="0.45">
      <c r="A750" t="s">
        <v>72</v>
      </c>
      <c r="B750">
        <v>2013</v>
      </c>
      <c r="C750" t="s">
        <v>45</v>
      </c>
      <c r="D750">
        <v>2.5950000000000001E-2</v>
      </c>
    </row>
    <row r="751" spans="1:4" x14ac:dyDescent="0.45">
      <c r="A751" t="s">
        <v>72</v>
      </c>
      <c r="B751">
        <v>2014</v>
      </c>
      <c r="C751" t="s">
        <v>45</v>
      </c>
      <c r="D751">
        <v>2.5950000000000001E-2</v>
      </c>
    </row>
    <row r="752" spans="1:4" x14ac:dyDescent="0.45">
      <c r="A752" t="s">
        <v>72</v>
      </c>
      <c r="B752">
        <v>2015</v>
      </c>
      <c r="C752" t="s">
        <v>45</v>
      </c>
      <c r="D752">
        <v>2.5749999999999999E-2</v>
      </c>
    </row>
    <row r="753" spans="1:4" x14ac:dyDescent="0.45">
      <c r="A753" t="s">
        <v>72</v>
      </c>
      <c r="B753">
        <v>2016</v>
      </c>
      <c r="C753" t="s">
        <v>45</v>
      </c>
      <c r="D753">
        <v>2.5749999999999999E-2</v>
      </c>
    </row>
    <row r="754" spans="1:4" x14ac:dyDescent="0.45">
      <c r="A754" t="s">
        <v>72</v>
      </c>
      <c r="B754">
        <v>2017</v>
      </c>
      <c r="C754" t="s">
        <v>45</v>
      </c>
      <c r="D754">
        <v>2.5749999999999999E-2</v>
      </c>
    </row>
    <row r="755" spans="1:4" x14ac:dyDescent="0.45">
      <c r="A755" t="s">
        <v>72</v>
      </c>
      <c r="B755">
        <v>2018</v>
      </c>
      <c r="C755" t="s">
        <v>45</v>
      </c>
      <c r="D755">
        <v>2.5749999999999999E-2</v>
      </c>
    </row>
    <row r="756" spans="1:4" x14ac:dyDescent="0.45">
      <c r="A756" t="s">
        <v>72</v>
      </c>
      <c r="B756">
        <v>2019</v>
      </c>
      <c r="C756" t="s">
        <v>45</v>
      </c>
      <c r="D756">
        <v>2.5749999999999999E-2</v>
      </c>
    </row>
    <row r="757" spans="1:4" x14ac:dyDescent="0.45">
      <c r="A757" t="s">
        <v>72</v>
      </c>
      <c r="B757">
        <v>2020</v>
      </c>
      <c r="C757" t="s">
        <v>45</v>
      </c>
      <c r="D757">
        <v>2.5749999999999999E-2</v>
      </c>
    </row>
    <row r="758" spans="1:4" x14ac:dyDescent="0.45">
      <c r="A758" t="s">
        <v>72</v>
      </c>
      <c r="B758">
        <v>2021</v>
      </c>
      <c r="C758" t="s">
        <v>45</v>
      </c>
      <c r="D758">
        <v>2.5749999999999999E-2</v>
      </c>
    </row>
    <row r="759" spans="1:4" x14ac:dyDescent="0.45">
      <c r="A759" t="s">
        <v>72</v>
      </c>
      <c r="B759">
        <v>2022</v>
      </c>
      <c r="C759" t="s">
        <v>45</v>
      </c>
      <c r="D759">
        <v>2.5749999999999999E-2</v>
      </c>
    </row>
    <row r="760" spans="1:4" x14ac:dyDescent="0.45">
      <c r="A760" t="s">
        <v>72</v>
      </c>
      <c r="B760">
        <v>2023</v>
      </c>
      <c r="C760" t="s">
        <v>45</v>
      </c>
      <c r="D760">
        <v>2.5749999999999999E-2</v>
      </c>
    </row>
    <row r="761" spans="1:4" x14ac:dyDescent="0.45">
      <c r="A761" t="s">
        <v>72</v>
      </c>
      <c r="B761">
        <v>2024</v>
      </c>
      <c r="C761" t="s">
        <v>45</v>
      </c>
      <c r="D761">
        <v>2.5749999999999999E-2</v>
      </c>
    </row>
    <row r="762" spans="1:4" x14ac:dyDescent="0.45">
      <c r="A762" t="s">
        <v>72</v>
      </c>
      <c r="B762">
        <v>2000</v>
      </c>
      <c r="C762" t="s">
        <v>44</v>
      </c>
      <c r="D762">
        <v>9.35E-2</v>
      </c>
    </row>
    <row r="763" spans="1:4" x14ac:dyDescent="0.45">
      <c r="A763" t="s">
        <v>72</v>
      </c>
      <c r="B763">
        <v>2001</v>
      </c>
      <c r="C763" t="s">
        <v>44</v>
      </c>
      <c r="D763">
        <v>9.35E-2</v>
      </c>
    </row>
    <row r="764" spans="1:4" x14ac:dyDescent="0.45">
      <c r="A764" t="s">
        <v>72</v>
      </c>
      <c r="B764">
        <v>2002</v>
      </c>
      <c r="C764" t="s">
        <v>44</v>
      </c>
      <c r="D764">
        <v>9.35E-2</v>
      </c>
    </row>
    <row r="765" spans="1:4" x14ac:dyDescent="0.45">
      <c r="A765" t="s">
        <v>72</v>
      </c>
      <c r="B765">
        <v>2003</v>
      </c>
      <c r="C765" t="s">
        <v>44</v>
      </c>
      <c r="D765">
        <v>9.35E-2</v>
      </c>
    </row>
    <row r="766" spans="1:4" x14ac:dyDescent="0.45">
      <c r="A766" t="s">
        <v>72</v>
      </c>
      <c r="B766">
        <v>2004</v>
      </c>
      <c r="C766" t="s">
        <v>44</v>
      </c>
      <c r="D766">
        <v>9.35E-2</v>
      </c>
    </row>
    <row r="767" spans="1:4" x14ac:dyDescent="0.45">
      <c r="A767" t="s">
        <v>72</v>
      </c>
      <c r="B767">
        <v>2005</v>
      </c>
      <c r="C767" t="s">
        <v>44</v>
      </c>
      <c r="D767">
        <v>9.35E-2</v>
      </c>
    </row>
    <row r="768" spans="1:4" x14ac:dyDescent="0.45">
      <c r="A768" t="s">
        <v>72</v>
      </c>
      <c r="B768">
        <v>2006</v>
      </c>
      <c r="C768" t="s">
        <v>44</v>
      </c>
      <c r="D768">
        <v>9.35E-2</v>
      </c>
    </row>
    <row r="769" spans="1:4" x14ac:dyDescent="0.45">
      <c r="A769" t="s">
        <v>72</v>
      </c>
      <c r="B769">
        <v>2007</v>
      </c>
      <c r="C769" t="s">
        <v>44</v>
      </c>
      <c r="D769">
        <v>9.35E-2</v>
      </c>
    </row>
    <row r="770" spans="1:4" x14ac:dyDescent="0.45">
      <c r="A770" t="s">
        <v>72</v>
      </c>
      <c r="B770">
        <v>2008</v>
      </c>
      <c r="C770" t="s">
        <v>44</v>
      </c>
      <c r="D770">
        <v>9.35E-2</v>
      </c>
    </row>
    <row r="771" spans="1:4" x14ac:dyDescent="0.45">
      <c r="A771" t="s">
        <v>72</v>
      </c>
      <c r="B771">
        <v>2009</v>
      </c>
      <c r="C771" t="s">
        <v>44</v>
      </c>
      <c r="D771">
        <v>9.35E-2</v>
      </c>
    </row>
    <row r="772" spans="1:4" x14ac:dyDescent="0.45">
      <c r="A772" t="s">
        <v>72</v>
      </c>
      <c r="B772">
        <v>2010</v>
      </c>
      <c r="C772" t="s">
        <v>44</v>
      </c>
      <c r="D772">
        <v>0.13950000000000001</v>
      </c>
    </row>
    <row r="773" spans="1:4" x14ac:dyDescent="0.45">
      <c r="A773" t="s">
        <v>72</v>
      </c>
      <c r="B773">
        <v>2011</v>
      </c>
      <c r="C773" t="s">
        <v>44</v>
      </c>
      <c r="D773">
        <v>0.13950000000000001</v>
      </c>
    </row>
    <row r="774" spans="1:4" x14ac:dyDescent="0.45">
      <c r="A774" t="s">
        <v>72</v>
      </c>
      <c r="B774">
        <v>2012</v>
      </c>
      <c r="C774" t="s">
        <v>44</v>
      </c>
      <c r="D774">
        <v>0.13950000000000001</v>
      </c>
    </row>
    <row r="775" spans="1:4" x14ac:dyDescent="0.45">
      <c r="A775" t="s">
        <v>72</v>
      </c>
      <c r="B775">
        <v>2013</v>
      </c>
      <c r="C775" t="s">
        <v>44</v>
      </c>
      <c r="D775">
        <v>0.14349999999999999</v>
      </c>
    </row>
    <row r="776" spans="1:4" x14ac:dyDescent="0.45">
      <c r="A776" t="s">
        <v>72</v>
      </c>
      <c r="B776">
        <v>2014</v>
      </c>
      <c r="C776" t="s">
        <v>44</v>
      </c>
      <c r="D776">
        <v>0.14349999999999999</v>
      </c>
    </row>
    <row r="777" spans="1:4" x14ac:dyDescent="0.45">
      <c r="A777" t="s">
        <v>72</v>
      </c>
      <c r="B777">
        <v>2015</v>
      </c>
      <c r="C777" t="s">
        <v>44</v>
      </c>
      <c r="D777">
        <v>0.14349999999999999</v>
      </c>
    </row>
    <row r="778" spans="1:4" x14ac:dyDescent="0.45">
      <c r="A778" t="s">
        <v>72</v>
      </c>
      <c r="B778">
        <v>2016</v>
      </c>
      <c r="C778" t="s">
        <v>44</v>
      </c>
      <c r="D778">
        <v>0.14349999999999999</v>
      </c>
    </row>
    <row r="779" spans="1:4" x14ac:dyDescent="0.45">
      <c r="A779" t="s">
        <v>72</v>
      </c>
      <c r="B779">
        <v>2017</v>
      </c>
      <c r="C779" t="s">
        <v>44</v>
      </c>
      <c r="D779">
        <v>0.14349999999999999</v>
      </c>
    </row>
    <row r="780" spans="1:4" x14ac:dyDescent="0.45">
      <c r="A780" t="s">
        <v>72</v>
      </c>
      <c r="B780">
        <v>2018</v>
      </c>
      <c r="C780" t="s">
        <v>44</v>
      </c>
      <c r="D780">
        <v>0.14349999999999999</v>
      </c>
    </row>
    <row r="781" spans="1:4" x14ac:dyDescent="0.45">
      <c r="A781" t="s">
        <v>72</v>
      </c>
      <c r="B781">
        <v>2019</v>
      </c>
      <c r="C781" t="s">
        <v>44</v>
      </c>
      <c r="D781">
        <v>0.14349999999999999</v>
      </c>
    </row>
    <row r="782" spans="1:4" x14ac:dyDescent="0.45">
      <c r="A782" t="s">
        <v>72</v>
      </c>
      <c r="B782">
        <v>2020</v>
      </c>
      <c r="C782" t="s">
        <v>44</v>
      </c>
      <c r="D782">
        <v>0.14349999999999999</v>
      </c>
    </row>
    <row r="783" spans="1:4" x14ac:dyDescent="0.45">
      <c r="A783" t="s">
        <v>72</v>
      </c>
      <c r="B783">
        <v>2021</v>
      </c>
      <c r="C783" t="s">
        <v>44</v>
      </c>
      <c r="D783">
        <v>0.14349999999999999</v>
      </c>
    </row>
    <row r="784" spans="1:4" x14ac:dyDescent="0.45">
      <c r="A784" t="s">
        <v>72</v>
      </c>
      <c r="B784">
        <v>2022</v>
      </c>
      <c r="C784" t="s">
        <v>44</v>
      </c>
      <c r="D784">
        <v>0.14349999999999999</v>
      </c>
    </row>
    <row r="785" spans="1:4" x14ac:dyDescent="0.45">
      <c r="A785" t="s">
        <v>72</v>
      </c>
      <c r="B785">
        <v>2023</v>
      </c>
      <c r="C785" t="s">
        <v>44</v>
      </c>
      <c r="D785">
        <v>0.14349999999999999</v>
      </c>
    </row>
    <row r="786" spans="1:4" x14ac:dyDescent="0.45">
      <c r="A786" t="s">
        <v>47</v>
      </c>
      <c r="B786">
        <v>2000</v>
      </c>
      <c r="C786" t="s">
        <v>44</v>
      </c>
      <c r="D786">
        <v>9.9</v>
      </c>
    </row>
    <row r="787" spans="1:4" x14ac:dyDescent="0.45">
      <c r="A787" t="s">
        <v>48</v>
      </c>
      <c r="B787">
        <v>2000</v>
      </c>
      <c r="C787" t="s">
        <v>44</v>
      </c>
      <c r="D787">
        <v>1.5</v>
      </c>
    </row>
    <row r="788" spans="1:4" x14ac:dyDescent="0.45">
      <c r="A788" t="s">
        <v>47</v>
      </c>
      <c r="B788">
        <v>2001</v>
      </c>
      <c r="C788" t="s">
        <v>44</v>
      </c>
      <c r="D788">
        <v>10.199999999999999</v>
      </c>
    </row>
    <row r="789" spans="1:4" x14ac:dyDescent="0.45">
      <c r="A789" t="s">
        <v>48</v>
      </c>
      <c r="B789">
        <v>2001</v>
      </c>
      <c r="C789" t="s">
        <v>44</v>
      </c>
      <c r="D789">
        <v>1.8</v>
      </c>
    </row>
    <row r="790" spans="1:4" x14ac:dyDescent="0.45">
      <c r="A790" t="s">
        <v>47</v>
      </c>
      <c r="B790">
        <v>2002</v>
      </c>
      <c r="C790" t="s">
        <v>44</v>
      </c>
      <c r="D790">
        <v>9.6999999999999993</v>
      </c>
    </row>
    <row r="791" spans="1:4" x14ac:dyDescent="0.45">
      <c r="A791" t="s">
        <v>48</v>
      </c>
      <c r="B791">
        <v>2002</v>
      </c>
      <c r="C791" t="s">
        <v>44</v>
      </c>
      <c r="D791">
        <v>2.2999999999999998</v>
      </c>
    </row>
    <row r="792" spans="1:4" x14ac:dyDescent="0.45">
      <c r="A792" t="s">
        <v>47</v>
      </c>
      <c r="B792">
        <v>2003</v>
      </c>
      <c r="C792" t="s">
        <v>44</v>
      </c>
      <c r="D792">
        <v>10.3</v>
      </c>
    </row>
    <row r="793" spans="1:4" x14ac:dyDescent="0.45">
      <c r="A793" t="s">
        <v>48</v>
      </c>
      <c r="B793">
        <v>2003</v>
      </c>
      <c r="C793" t="s">
        <v>44</v>
      </c>
      <c r="D793">
        <v>3</v>
      </c>
    </row>
    <row r="794" spans="1:4" x14ac:dyDescent="0.45">
      <c r="A794" t="s">
        <v>47</v>
      </c>
      <c r="B794">
        <v>2004</v>
      </c>
      <c r="C794" t="s">
        <v>44</v>
      </c>
      <c r="D794">
        <v>9.5</v>
      </c>
    </row>
    <row r="795" spans="1:4" x14ac:dyDescent="0.45">
      <c r="A795" t="s">
        <v>48</v>
      </c>
      <c r="B795">
        <v>2004</v>
      </c>
      <c r="C795" t="s">
        <v>44</v>
      </c>
      <c r="D795">
        <v>3.4</v>
      </c>
    </row>
    <row r="796" spans="1:4" x14ac:dyDescent="0.45">
      <c r="A796" t="s">
        <v>47</v>
      </c>
      <c r="B796">
        <v>2005</v>
      </c>
      <c r="C796" t="s">
        <v>44</v>
      </c>
      <c r="D796">
        <v>11.2</v>
      </c>
    </row>
    <row r="797" spans="1:4" x14ac:dyDescent="0.45">
      <c r="A797" t="s">
        <v>48</v>
      </c>
      <c r="B797">
        <v>2005</v>
      </c>
      <c r="C797" t="s">
        <v>44</v>
      </c>
      <c r="D797">
        <v>5</v>
      </c>
    </row>
    <row r="798" spans="1:4" x14ac:dyDescent="0.45">
      <c r="A798" t="s">
        <v>47</v>
      </c>
      <c r="B798">
        <v>2006</v>
      </c>
      <c r="C798" t="s">
        <v>44</v>
      </c>
      <c r="D798">
        <v>12.3</v>
      </c>
    </row>
    <row r="799" spans="1:4" x14ac:dyDescent="0.45">
      <c r="A799" t="s">
        <v>48</v>
      </c>
      <c r="B799">
        <v>2006</v>
      </c>
      <c r="C799" t="s">
        <v>44</v>
      </c>
      <c r="D799">
        <v>5.4</v>
      </c>
    </row>
    <row r="800" spans="1:4" x14ac:dyDescent="0.45">
      <c r="A800" t="s">
        <v>47</v>
      </c>
      <c r="B800">
        <v>2007</v>
      </c>
      <c r="C800" t="s">
        <v>44</v>
      </c>
      <c r="D800">
        <v>14.6</v>
      </c>
    </row>
    <row r="801" spans="1:4" x14ac:dyDescent="0.45">
      <c r="A801" t="s">
        <v>48</v>
      </c>
      <c r="B801">
        <v>2007</v>
      </c>
      <c r="C801" t="s">
        <v>44</v>
      </c>
      <c r="D801">
        <v>4.3</v>
      </c>
    </row>
    <row r="802" spans="1:4" x14ac:dyDescent="0.45">
      <c r="A802" t="s">
        <v>47</v>
      </c>
      <c r="B802">
        <v>2008</v>
      </c>
      <c r="C802" t="s">
        <v>44</v>
      </c>
      <c r="D802">
        <v>16.600000000000001</v>
      </c>
    </row>
    <row r="803" spans="1:4" x14ac:dyDescent="0.45">
      <c r="A803" t="s">
        <v>48</v>
      </c>
      <c r="B803">
        <v>2008</v>
      </c>
      <c r="C803" t="s">
        <v>44</v>
      </c>
      <c r="D803">
        <v>3.8</v>
      </c>
    </row>
    <row r="804" spans="1:4" x14ac:dyDescent="0.45">
      <c r="A804" t="s">
        <v>47</v>
      </c>
      <c r="B804">
        <v>2009</v>
      </c>
      <c r="C804" t="s">
        <v>44</v>
      </c>
      <c r="D804">
        <v>17.399999999999999</v>
      </c>
    </row>
    <row r="805" spans="1:4" x14ac:dyDescent="0.45">
      <c r="A805" t="s">
        <v>48</v>
      </c>
      <c r="B805">
        <v>2009</v>
      </c>
      <c r="C805" t="s">
        <v>44</v>
      </c>
      <c r="D805">
        <v>6</v>
      </c>
    </row>
    <row r="806" spans="1:4" x14ac:dyDescent="0.45">
      <c r="A806" t="s">
        <v>47</v>
      </c>
      <c r="B806">
        <v>2010</v>
      </c>
      <c r="C806" t="s">
        <v>44</v>
      </c>
      <c r="D806">
        <v>19.100000000000001</v>
      </c>
    </row>
    <row r="807" spans="1:4" x14ac:dyDescent="0.45">
      <c r="A807" t="s">
        <v>48</v>
      </c>
      <c r="B807">
        <v>2010</v>
      </c>
      <c r="C807" t="s">
        <v>44</v>
      </c>
      <c r="D807">
        <v>5.5</v>
      </c>
    </row>
    <row r="808" spans="1:4" x14ac:dyDescent="0.45">
      <c r="A808" t="s">
        <v>47</v>
      </c>
      <c r="B808">
        <v>2011</v>
      </c>
      <c r="C808" t="s">
        <v>44</v>
      </c>
      <c r="D808">
        <v>19.3</v>
      </c>
    </row>
    <row r="809" spans="1:4" x14ac:dyDescent="0.45">
      <c r="A809" t="s">
        <v>48</v>
      </c>
      <c r="B809">
        <v>2011</v>
      </c>
      <c r="C809" t="s">
        <v>44</v>
      </c>
      <c r="D809">
        <v>6.6</v>
      </c>
    </row>
    <row r="810" spans="1:4" x14ac:dyDescent="0.45">
      <c r="A810" t="s">
        <v>47</v>
      </c>
      <c r="B810">
        <v>2012</v>
      </c>
      <c r="C810" t="s">
        <v>44</v>
      </c>
      <c r="D810">
        <v>17.7</v>
      </c>
    </row>
    <row r="811" spans="1:4" x14ac:dyDescent="0.45">
      <c r="A811" t="s">
        <v>48</v>
      </c>
      <c r="B811">
        <v>2012</v>
      </c>
      <c r="C811" t="s">
        <v>44</v>
      </c>
      <c r="D811">
        <v>6.9</v>
      </c>
    </row>
    <row r="812" spans="1:4" x14ac:dyDescent="0.45">
      <c r="A812" t="s">
        <v>47</v>
      </c>
      <c r="B812">
        <v>2013</v>
      </c>
      <c r="C812" t="s">
        <v>44</v>
      </c>
      <c r="D812">
        <v>18.7</v>
      </c>
    </row>
    <row r="813" spans="1:4" x14ac:dyDescent="0.45">
      <c r="A813" t="s">
        <v>48</v>
      </c>
      <c r="B813">
        <v>2013</v>
      </c>
      <c r="C813" t="s">
        <v>44</v>
      </c>
      <c r="D813">
        <v>7.4</v>
      </c>
    </row>
    <row r="814" spans="1:4" x14ac:dyDescent="0.45">
      <c r="A814" t="s">
        <v>47</v>
      </c>
      <c r="B814">
        <v>2014</v>
      </c>
      <c r="C814" t="s">
        <v>44</v>
      </c>
      <c r="D814">
        <v>18.2</v>
      </c>
    </row>
    <row r="815" spans="1:4" x14ac:dyDescent="0.45">
      <c r="A815" t="s">
        <v>48</v>
      </c>
      <c r="B815">
        <v>2014</v>
      </c>
      <c r="C815" t="s">
        <v>44</v>
      </c>
      <c r="D815">
        <v>6.8</v>
      </c>
    </row>
    <row r="816" spans="1:4" x14ac:dyDescent="0.45">
      <c r="A816" t="s">
        <v>47</v>
      </c>
      <c r="B816">
        <v>2015</v>
      </c>
      <c r="C816" t="s">
        <v>44</v>
      </c>
      <c r="D816">
        <v>18.7</v>
      </c>
    </row>
    <row r="817" spans="1:4" x14ac:dyDescent="0.45">
      <c r="A817" t="s">
        <v>48</v>
      </c>
      <c r="B817">
        <v>2015</v>
      </c>
      <c r="C817" t="s">
        <v>44</v>
      </c>
      <c r="D817">
        <v>6.2</v>
      </c>
    </row>
    <row r="818" spans="1:4" x14ac:dyDescent="0.45">
      <c r="A818" t="s">
        <v>47</v>
      </c>
      <c r="B818">
        <v>2016</v>
      </c>
      <c r="C818" t="s">
        <v>44</v>
      </c>
      <c r="D818">
        <v>18.899999999999999</v>
      </c>
    </row>
    <row r="819" spans="1:4" x14ac:dyDescent="0.45">
      <c r="A819" t="s">
        <v>48</v>
      </c>
      <c r="B819">
        <v>2016</v>
      </c>
      <c r="C819" t="s">
        <v>44</v>
      </c>
      <c r="D819">
        <v>6.2</v>
      </c>
    </row>
    <row r="820" spans="1:4" x14ac:dyDescent="0.45">
      <c r="A820" t="s">
        <v>47</v>
      </c>
      <c r="B820">
        <v>2017</v>
      </c>
      <c r="C820" t="s">
        <v>44</v>
      </c>
      <c r="D820">
        <v>19.5</v>
      </c>
    </row>
    <row r="821" spans="1:4" x14ac:dyDescent="0.45">
      <c r="A821" t="s">
        <v>48</v>
      </c>
      <c r="B821">
        <v>2017</v>
      </c>
      <c r="C821" t="s">
        <v>44</v>
      </c>
      <c r="D821">
        <v>6.4</v>
      </c>
    </row>
    <row r="822" spans="1:4" x14ac:dyDescent="0.45">
      <c r="A822" t="s">
        <v>47</v>
      </c>
      <c r="B822">
        <v>2018</v>
      </c>
      <c r="C822" t="s">
        <v>44</v>
      </c>
      <c r="D822">
        <v>20.9</v>
      </c>
    </row>
    <row r="823" spans="1:4" x14ac:dyDescent="0.45">
      <c r="A823" t="s">
        <v>48</v>
      </c>
      <c r="B823">
        <v>2018</v>
      </c>
      <c r="C823" t="s">
        <v>44</v>
      </c>
      <c r="D823">
        <v>5.7</v>
      </c>
    </row>
    <row r="824" spans="1:4" x14ac:dyDescent="0.45">
      <c r="A824" t="s">
        <v>47</v>
      </c>
      <c r="B824">
        <v>2019</v>
      </c>
      <c r="C824" t="s">
        <v>44</v>
      </c>
      <c r="D824">
        <v>21.7</v>
      </c>
    </row>
    <row r="825" spans="1:4" x14ac:dyDescent="0.45">
      <c r="A825" t="s">
        <v>48</v>
      </c>
      <c r="B825">
        <v>2019</v>
      </c>
      <c r="C825" t="s">
        <v>44</v>
      </c>
      <c r="D825">
        <v>4.9000000000000004</v>
      </c>
    </row>
    <row r="826" spans="1:4" x14ac:dyDescent="0.45">
      <c r="A826" t="s">
        <v>47</v>
      </c>
      <c r="B826">
        <v>2020</v>
      </c>
      <c r="C826" t="s">
        <v>44</v>
      </c>
      <c r="D826">
        <v>21.8</v>
      </c>
    </row>
    <row r="827" spans="1:4" x14ac:dyDescent="0.45">
      <c r="A827" t="s">
        <v>48</v>
      </c>
      <c r="B827">
        <v>2020</v>
      </c>
      <c r="C827" t="s">
        <v>44</v>
      </c>
      <c r="D827">
        <v>4.8</v>
      </c>
    </row>
    <row r="828" spans="1:4" x14ac:dyDescent="0.45">
      <c r="A828" t="s">
        <v>47</v>
      </c>
      <c r="B828">
        <v>2021</v>
      </c>
      <c r="C828" t="s">
        <v>44</v>
      </c>
      <c r="D828">
        <v>20.2</v>
      </c>
    </row>
    <row r="829" spans="1:4" x14ac:dyDescent="0.45">
      <c r="A829" t="s">
        <v>48</v>
      </c>
      <c r="B829">
        <v>2021</v>
      </c>
      <c r="C829" t="s">
        <v>44</v>
      </c>
      <c r="D829">
        <v>5.9</v>
      </c>
    </row>
    <row r="830" spans="1:4" x14ac:dyDescent="0.45">
      <c r="A830" t="s">
        <v>47</v>
      </c>
      <c r="B830">
        <v>2022</v>
      </c>
      <c r="C830" t="s">
        <v>44</v>
      </c>
      <c r="D830">
        <v>20.100000000000001</v>
      </c>
    </row>
    <row r="831" spans="1:4" x14ac:dyDescent="0.45">
      <c r="A831" t="s">
        <v>48</v>
      </c>
      <c r="B831">
        <v>2022</v>
      </c>
      <c r="C831" t="s">
        <v>44</v>
      </c>
      <c r="D831">
        <v>7.1</v>
      </c>
    </row>
    <row r="832" spans="1:4" x14ac:dyDescent="0.45">
      <c r="A832" t="s">
        <v>47</v>
      </c>
      <c r="B832">
        <v>2023</v>
      </c>
      <c r="C832" t="s">
        <v>44</v>
      </c>
    </row>
    <row r="833" spans="1:3" x14ac:dyDescent="0.45">
      <c r="A833" t="s">
        <v>48</v>
      </c>
      <c r="B833">
        <v>2023</v>
      </c>
      <c r="C833" t="s">
        <v>44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BFA86-1FC5-4F93-88DA-B3F7F6288049}">
  <dimension ref="B2:Q3027"/>
  <sheetViews>
    <sheetView workbookViewId="0"/>
  </sheetViews>
  <sheetFormatPr defaultRowHeight="14.25" x14ac:dyDescent="0.45"/>
  <sheetData>
    <row r="2" spans="2:17" x14ac:dyDescent="0.45">
      <c r="B2" t="s">
        <v>1917</v>
      </c>
      <c r="H2" t="s">
        <v>113</v>
      </c>
      <c r="N2" t="s">
        <v>113</v>
      </c>
    </row>
    <row r="3" spans="2:17" x14ac:dyDescent="0.45">
      <c r="B3" t="s">
        <v>22</v>
      </c>
      <c r="C3" t="s">
        <v>2</v>
      </c>
      <c r="D3" t="s">
        <v>1907</v>
      </c>
      <c r="E3" t="s">
        <v>23</v>
      </c>
      <c r="H3" t="s">
        <v>2</v>
      </c>
      <c r="I3" t="s">
        <v>1968</v>
      </c>
      <c r="N3" t="s">
        <v>25</v>
      </c>
      <c r="O3" t="s">
        <v>2</v>
      </c>
      <c r="P3" t="s">
        <v>238</v>
      </c>
      <c r="Q3" t="s">
        <v>2050</v>
      </c>
    </row>
    <row r="4" spans="2:17" x14ac:dyDescent="0.45">
      <c r="B4" t="s">
        <v>1918</v>
      </c>
      <c r="C4" t="s">
        <v>1919</v>
      </c>
      <c r="D4" t="s">
        <v>1908</v>
      </c>
      <c r="E4">
        <v>18000</v>
      </c>
      <c r="H4" t="s">
        <v>1969</v>
      </c>
      <c r="I4">
        <v>7.8234333433953274E-4</v>
      </c>
      <c r="N4" t="s">
        <v>27</v>
      </c>
      <c r="O4" t="s">
        <v>668</v>
      </c>
      <c r="P4" t="s">
        <v>2051</v>
      </c>
      <c r="Q4">
        <v>0.95</v>
      </c>
    </row>
    <row r="5" spans="2:17" x14ac:dyDescent="0.45">
      <c r="B5" t="s">
        <v>1918</v>
      </c>
      <c r="C5" t="s">
        <v>1920</v>
      </c>
      <c r="D5" t="s">
        <v>1908</v>
      </c>
      <c r="E5">
        <v>46000</v>
      </c>
      <c r="H5" t="s">
        <v>1970</v>
      </c>
      <c r="I5">
        <v>9.0273629420914241E-4</v>
      </c>
      <c r="N5" t="s">
        <v>27</v>
      </c>
      <c r="O5" t="s">
        <v>676</v>
      </c>
      <c r="P5" t="s">
        <v>2051</v>
      </c>
      <c r="Q5">
        <v>0.95</v>
      </c>
    </row>
    <row r="6" spans="2:17" x14ac:dyDescent="0.45">
      <c r="B6" t="s">
        <v>1918</v>
      </c>
      <c r="C6" t="s">
        <v>1921</v>
      </c>
      <c r="D6" t="s">
        <v>1908</v>
      </c>
      <c r="E6">
        <v>130000</v>
      </c>
      <c r="H6" t="s">
        <v>1971</v>
      </c>
      <c r="I6">
        <v>1.3318534219115946E-4</v>
      </c>
      <c r="N6" t="s">
        <v>27</v>
      </c>
      <c r="O6" t="s">
        <v>680</v>
      </c>
      <c r="P6" t="s">
        <v>2051</v>
      </c>
      <c r="Q6">
        <v>0.95</v>
      </c>
    </row>
    <row r="7" spans="2:17" x14ac:dyDescent="0.45">
      <c r="B7" t="s">
        <v>1918</v>
      </c>
      <c r="C7" t="s">
        <v>1922</v>
      </c>
      <c r="D7" t="s">
        <v>1908</v>
      </c>
      <c r="E7">
        <v>160000</v>
      </c>
      <c r="H7" t="s">
        <v>1972</v>
      </c>
      <c r="I7">
        <v>5.0966479344630622E-4</v>
      </c>
      <c r="N7" t="s">
        <v>27</v>
      </c>
      <c r="O7" t="s">
        <v>679</v>
      </c>
      <c r="P7" t="s">
        <v>2051</v>
      </c>
      <c r="Q7">
        <v>0.95</v>
      </c>
    </row>
    <row r="8" spans="2:17" x14ac:dyDescent="0.45">
      <c r="B8" t="s">
        <v>1918</v>
      </c>
      <c r="C8" t="s">
        <v>1923</v>
      </c>
      <c r="D8" t="s">
        <v>1908</v>
      </c>
      <c r="E8">
        <v>1900000</v>
      </c>
      <c r="H8" t="s">
        <v>1973</v>
      </c>
      <c r="I8">
        <v>5.0086677979467413E-4</v>
      </c>
      <c r="N8" t="s">
        <v>27</v>
      </c>
      <c r="O8" t="s">
        <v>687</v>
      </c>
      <c r="P8" t="s">
        <v>2052</v>
      </c>
      <c r="Q8">
        <v>0.95</v>
      </c>
    </row>
    <row r="9" spans="2:17" x14ac:dyDescent="0.45">
      <c r="B9" t="s">
        <v>1918</v>
      </c>
      <c r="C9" t="s">
        <v>1924</v>
      </c>
      <c r="D9" t="s">
        <v>1908</v>
      </c>
      <c r="E9">
        <v>12000</v>
      </c>
      <c r="H9" t="s">
        <v>1974</v>
      </c>
      <c r="I9">
        <v>1.247512470070217E-4</v>
      </c>
      <c r="N9" t="s">
        <v>27</v>
      </c>
      <c r="O9" t="s">
        <v>695</v>
      </c>
      <c r="P9" t="s">
        <v>2052</v>
      </c>
      <c r="Q9">
        <v>0.95</v>
      </c>
    </row>
    <row r="10" spans="2:17" x14ac:dyDescent="0.45">
      <c r="B10" t="s">
        <v>1918</v>
      </c>
      <c r="C10" t="s">
        <v>1925</v>
      </c>
      <c r="D10" t="s">
        <v>1908</v>
      </c>
      <c r="E10">
        <v>41000</v>
      </c>
      <c r="H10" t="s">
        <v>1975</v>
      </c>
      <c r="I10">
        <v>7.9236848070372162E-4</v>
      </c>
      <c r="N10" t="s">
        <v>27</v>
      </c>
      <c r="O10" t="s">
        <v>699</v>
      </c>
      <c r="P10" t="s">
        <v>2052</v>
      </c>
      <c r="Q10">
        <v>0.95</v>
      </c>
    </row>
    <row r="11" spans="2:17" x14ac:dyDescent="0.45">
      <c r="B11" t="s">
        <v>1918</v>
      </c>
      <c r="C11" t="s">
        <v>1926</v>
      </c>
      <c r="D11" t="s">
        <v>1908</v>
      </c>
      <c r="E11">
        <v>680000</v>
      </c>
      <c r="H11" t="s">
        <v>1976</v>
      </c>
      <c r="I11">
        <v>7.0003291512032032E-3</v>
      </c>
      <c r="N11" t="s">
        <v>27</v>
      </c>
      <c r="O11" t="s">
        <v>698</v>
      </c>
      <c r="P11" t="s">
        <v>2052</v>
      </c>
      <c r="Q11">
        <v>0.95</v>
      </c>
    </row>
    <row r="12" spans="2:17" x14ac:dyDescent="0.45">
      <c r="B12" t="s">
        <v>1918</v>
      </c>
      <c r="C12" t="s">
        <v>1927</v>
      </c>
      <c r="D12" t="s">
        <v>1908</v>
      </c>
      <c r="E12">
        <v>200000</v>
      </c>
      <c r="H12" t="s">
        <v>1977</v>
      </c>
      <c r="I12">
        <v>1.6675399973857443E-3</v>
      </c>
      <c r="N12" t="s">
        <v>27</v>
      </c>
      <c r="O12" t="s">
        <v>706</v>
      </c>
      <c r="P12" t="s">
        <v>2053</v>
      </c>
      <c r="Q12">
        <v>0.95</v>
      </c>
    </row>
    <row r="13" spans="2:17" x14ac:dyDescent="0.45">
      <c r="B13" t="s">
        <v>1918</v>
      </c>
      <c r="C13" t="s">
        <v>1928</v>
      </c>
      <c r="D13" t="s">
        <v>1908</v>
      </c>
      <c r="E13">
        <v>1490000</v>
      </c>
      <c r="H13" t="s">
        <v>1978</v>
      </c>
      <c r="I13">
        <v>4.2355634405189874E-4</v>
      </c>
      <c r="N13" t="s">
        <v>27</v>
      </c>
      <c r="O13" t="s">
        <v>714</v>
      </c>
      <c r="P13" t="s">
        <v>2053</v>
      </c>
      <c r="Q13">
        <v>0.95</v>
      </c>
    </row>
    <row r="14" spans="2:17" x14ac:dyDescent="0.45">
      <c r="B14" t="s">
        <v>1918</v>
      </c>
      <c r="C14" t="s">
        <v>1929</v>
      </c>
      <c r="D14" t="s">
        <v>1908</v>
      </c>
      <c r="E14">
        <v>31000</v>
      </c>
      <c r="H14" t="s">
        <v>1979</v>
      </c>
      <c r="I14">
        <v>8.9553801347458818E-3</v>
      </c>
      <c r="N14" t="s">
        <v>27</v>
      </c>
      <c r="O14" t="s">
        <v>718</v>
      </c>
      <c r="P14" t="s">
        <v>2053</v>
      </c>
      <c r="Q14">
        <v>0.95</v>
      </c>
    </row>
    <row r="15" spans="2:17" x14ac:dyDescent="0.45">
      <c r="B15" t="s">
        <v>1918</v>
      </c>
      <c r="C15" t="s">
        <v>1930</v>
      </c>
      <c r="D15" t="s">
        <v>1908</v>
      </c>
      <c r="E15">
        <v>24000</v>
      </c>
      <c r="H15" t="s">
        <v>1980</v>
      </c>
      <c r="I15">
        <v>1.7835634226662255E-3</v>
      </c>
      <c r="N15" t="s">
        <v>27</v>
      </c>
      <c r="O15" t="s">
        <v>717</v>
      </c>
      <c r="P15" t="s">
        <v>2053</v>
      </c>
      <c r="Q15">
        <v>0.95</v>
      </c>
    </row>
    <row r="16" spans="2:17" x14ac:dyDescent="0.45">
      <c r="B16" t="s">
        <v>1918</v>
      </c>
      <c r="C16" t="s">
        <v>1931</v>
      </c>
      <c r="D16" t="s">
        <v>1908</v>
      </c>
      <c r="E16">
        <v>15000</v>
      </c>
      <c r="H16" t="s">
        <v>1981</v>
      </c>
      <c r="I16">
        <v>7.0362342220767953E-4</v>
      </c>
      <c r="N16" t="s">
        <v>27</v>
      </c>
      <c r="O16" t="s">
        <v>725</v>
      </c>
      <c r="P16" t="s">
        <v>2054</v>
      </c>
      <c r="Q16">
        <v>0.95</v>
      </c>
    </row>
    <row r="17" spans="2:17" x14ac:dyDescent="0.45">
      <c r="B17" t="s">
        <v>1918</v>
      </c>
      <c r="C17" t="s">
        <v>1932</v>
      </c>
      <c r="D17" t="s">
        <v>1908</v>
      </c>
      <c r="E17">
        <v>120000</v>
      </c>
      <c r="H17" t="s">
        <v>1982</v>
      </c>
      <c r="I17">
        <v>4.8597766800323305E-3</v>
      </c>
      <c r="N17" t="s">
        <v>27</v>
      </c>
      <c r="O17" t="s">
        <v>733</v>
      </c>
      <c r="P17" t="s">
        <v>2054</v>
      </c>
      <c r="Q17">
        <v>0.95</v>
      </c>
    </row>
    <row r="18" spans="2:17" x14ac:dyDescent="0.45">
      <c r="B18" t="s">
        <v>1918</v>
      </c>
      <c r="C18" t="s">
        <v>1933</v>
      </c>
      <c r="D18" t="s">
        <v>1908</v>
      </c>
      <c r="E18">
        <v>100000</v>
      </c>
      <c r="H18" t="s">
        <v>1983</v>
      </c>
      <c r="I18">
        <v>1.9892991494702388E-4</v>
      </c>
      <c r="N18" t="s">
        <v>27</v>
      </c>
      <c r="O18" t="s">
        <v>737</v>
      </c>
      <c r="P18" t="s">
        <v>2054</v>
      </c>
      <c r="Q18">
        <v>0.95</v>
      </c>
    </row>
    <row r="19" spans="2:17" x14ac:dyDescent="0.45">
      <c r="B19" t="s">
        <v>1918</v>
      </c>
      <c r="C19" t="s">
        <v>1934</v>
      </c>
      <c r="D19" t="s">
        <v>1908</v>
      </c>
      <c r="E19">
        <v>200000</v>
      </c>
      <c r="H19" t="s">
        <v>1984</v>
      </c>
      <c r="I19">
        <v>7.9749588880472268E-3</v>
      </c>
      <c r="N19" t="s">
        <v>27</v>
      </c>
      <c r="O19" t="s">
        <v>736</v>
      </c>
      <c r="P19" t="s">
        <v>2054</v>
      </c>
      <c r="Q19">
        <v>0.95</v>
      </c>
    </row>
    <row r="20" spans="2:17" x14ac:dyDescent="0.45">
      <c r="B20" t="s">
        <v>1918</v>
      </c>
      <c r="C20" t="s">
        <v>1935</v>
      </c>
      <c r="D20" t="s">
        <v>1908</v>
      </c>
      <c r="E20">
        <v>440000</v>
      </c>
      <c r="H20" t="s">
        <v>1985</v>
      </c>
      <c r="I20">
        <v>7.2591161101627966E-4</v>
      </c>
      <c r="N20" t="s">
        <v>27</v>
      </c>
      <c r="O20" t="s">
        <v>744</v>
      </c>
      <c r="P20" t="s">
        <v>2055</v>
      </c>
      <c r="Q20">
        <v>0.95</v>
      </c>
    </row>
    <row r="21" spans="2:17" x14ac:dyDescent="0.45">
      <c r="B21" t="s">
        <v>1918</v>
      </c>
      <c r="C21" t="s">
        <v>1936</v>
      </c>
      <c r="D21" t="s">
        <v>1908</v>
      </c>
      <c r="E21">
        <v>80000</v>
      </c>
      <c r="H21" t="s">
        <v>1986</v>
      </c>
      <c r="I21">
        <v>1.4427352170154639E-3</v>
      </c>
      <c r="N21" t="s">
        <v>27</v>
      </c>
      <c r="O21" t="s">
        <v>752</v>
      </c>
      <c r="P21" t="s">
        <v>2055</v>
      </c>
      <c r="Q21">
        <v>0.95</v>
      </c>
    </row>
    <row r="22" spans="2:17" x14ac:dyDescent="0.45">
      <c r="B22" t="s">
        <v>1918</v>
      </c>
      <c r="C22" t="s">
        <v>1937</v>
      </c>
      <c r="D22" t="s">
        <v>1908</v>
      </c>
      <c r="E22">
        <v>7500000</v>
      </c>
      <c r="H22" t="s">
        <v>1987</v>
      </c>
      <c r="I22">
        <v>1.4686951751995746E-3</v>
      </c>
      <c r="N22" t="s">
        <v>27</v>
      </c>
      <c r="O22" t="s">
        <v>756</v>
      </c>
      <c r="P22" t="s">
        <v>2055</v>
      </c>
      <c r="Q22">
        <v>0.95</v>
      </c>
    </row>
    <row r="23" spans="2:17" x14ac:dyDescent="0.45">
      <c r="B23" t="s">
        <v>1918</v>
      </c>
      <c r="C23" t="s">
        <v>1938</v>
      </c>
      <c r="D23" t="s">
        <v>1908</v>
      </c>
      <c r="E23">
        <v>65000</v>
      </c>
      <c r="H23" t="s">
        <v>1988</v>
      </c>
      <c r="I23">
        <v>1.6354664115105864E-3</v>
      </c>
      <c r="N23" t="s">
        <v>27</v>
      </c>
      <c r="O23" t="s">
        <v>755</v>
      </c>
      <c r="P23" t="s">
        <v>2055</v>
      </c>
      <c r="Q23">
        <v>0.95</v>
      </c>
    </row>
    <row r="24" spans="2:17" x14ac:dyDescent="0.45">
      <c r="B24" t="s">
        <v>1918</v>
      </c>
      <c r="C24" t="s">
        <v>1939</v>
      </c>
      <c r="D24" t="s">
        <v>1908</v>
      </c>
      <c r="E24">
        <v>1110000</v>
      </c>
      <c r="H24" t="s">
        <v>1989</v>
      </c>
      <c r="I24">
        <v>8.9970265127634324E-4</v>
      </c>
      <c r="N24" t="s">
        <v>27</v>
      </c>
      <c r="O24" t="s">
        <v>763</v>
      </c>
      <c r="P24" t="s">
        <v>2056</v>
      </c>
      <c r="Q24">
        <v>0.95</v>
      </c>
    </row>
    <row r="25" spans="2:17" x14ac:dyDescent="0.45">
      <c r="B25" t="s">
        <v>1918</v>
      </c>
      <c r="C25" t="s">
        <v>1940</v>
      </c>
      <c r="D25" t="s">
        <v>1908</v>
      </c>
      <c r="E25">
        <v>360000</v>
      </c>
      <c r="H25" t="s">
        <v>1990</v>
      </c>
      <c r="I25">
        <v>3.9327539513700207E-3</v>
      </c>
      <c r="N25" t="s">
        <v>27</v>
      </c>
      <c r="O25" t="s">
        <v>771</v>
      </c>
      <c r="P25" t="s">
        <v>2056</v>
      </c>
      <c r="Q25">
        <v>0.95</v>
      </c>
    </row>
    <row r="26" spans="2:17" x14ac:dyDescent="0.45">
      <c r="B26" t="s">
        <v>1918</v>
      </c>
      <c r="C26" t="s">
        <v>1941</v>
      </c>
      <c r="D26" t="s">
        <v>1908</v>
      </c>
      <c r="E26">
        <v>350000</v>
      </c>
      <c r="H26" t="s">
        <v>1991</v>
      </c>
      <c r="I26">
        <v>2.011910849828046E-3</v>
      </c>
      <c r="N26" t="s">
        <v>27</v>
      </c>
      <c r="O26" t="s">
        <v>775</v>
      </c>
      <c r="P26" t="s">
        <v>2056</v>
      </c>
      <c r="Q26">
        <v>0.95</v>
      </c>
    </row>
    <row r="27" spans="2:17" x14ac:dyDescent="0.45">
      <c r="B27" t="s">
        <v>1918</v>
      </c>
      <c r="C27" t="s">
        <v>1942</v>
      </c>
      <c r="D27" t="s">
        <v>1908</v>
      </c>
      <c r="E27">
        <v>81000</v>
      </c>
      <c r="H27" t="s">
        <v>1992</v>
      </c>
      <c r="I27">
        <v>2.52886981143086E-3</v>
      </c>
      <c r="N27" t="s">
        <v>27</v>
      </c>
      <c r="O27" t="s">
        <v>774</v>
      </c>
      <c r="P27" t="s">
        <v>2056</v>
      </c>
      <c r="Q27">
        <v>0.95</v>
      </c>
    </row>
    <row r="28" spans="2:17" x14ac:dyDescent="0.45">
      <c r="B28" t="s">
        <v>1918</v>
      </c>
      <c r="C28" t="s">
        <v>1943</v>
      </c>
      <c r="D28" t="s">
        <v>1908</v>
      </c>
      <c r="E28">
        <v>1050000</v>
      </c>
      <c r="H28" t="s">
        <v>1993</v>
      </c>
      <c r="I28">
        <v>5.4495231890381961E-4</v>
      </c>
      <c r="N28" t="s">
        <v>27</v>
      </c>
      <c r="O28" t="s">
        <v>782</v>
      </c>
      <c r="P28" t="s">
        <v>2057</v>
      </c>
      <c r="Q28">
        <v>0.95</v>
      </c>
    </row>
    <row r="29" spans="2:17" x14ac:dyDescent="0.45">
      <c r="B29" t="s">
        <v>1918</v>
      </c>
      <c r="C29" t="s">
        <v>1944</v>
      </c>
      <c r="D29" t="s">
        <v>1908</v>
      </c>
      <c r="E29">
        <v>20000</v>
      </c>
      <c r="H29" t="s">
        <v>1994</v>
      </c>
      <c r="I29">
        <v>1.5770715542360017E-3</v>
      </c>
      <c r="N29" t="s">
        <v>27</v>
      </c>
      <c r="O29" t="s">
        <v>790</v>
      </c>
      <c r="P29" t="s">
        <v>2057</v>
      </c>
      <c r="Q29">
        <v>0.95</v>
      </c>
    </row>
    <row r="30" spans="2:17" x14ac:dyDescent="0.45">
      <c r="B30" t="s">
        <v>1918</v>
      </c>
      <c r="C30" t="s">
        <v>1945</v>
      </c>
      <c r="D30" t="s">
        <v>1908</v>
      </c>
      <c r="E30">
        <v>590000</v>
      </c>
      <c r="H30" t="s">
        <v>1995</v>
      </c>
      <c r="I30">
        <v>4.0850835988958501E-4</v>
      </c>
      <c r="N30" t="s">
        <v>27</v>
      </c>
      <c r="O30" t="s">
        <v>794</v>
      </c>
      <c r="P30" t="s">
        <v>2057</v>
      </c>
      <c r="Q30">
        <v>0.95</v>
      </c>
    </row>
    <row r="31" spans="2:17" x14ac:dyDescent="0.45">
      <c r="B31" t="s">
        <v>1918</v>
      </c>
      <c r="C31" t="s">
        <v>1946</v>
      </c>
      <c r="D31" t="s">
        <v>1908</v>
      </c>
      <c r="E31">
        <v>1570000</v>
      </c>
      <c r="H31" t="s">
        <v>1996</v>
      </c>
      <c r="I31">
        <v>5.8599805671992564E-4</v>
      </c>
      <c r="N31" t="s">
        <v>27</v>
      </c>
      <c r="O31" t="s">
        <v>793</v>
      </c>
      <c r="P31" t="s">
        <v>2057</v>
      </c>
      <c r="Q31">
        <v>0.95</v>
      </c>
    </row>
    <row r="32" spans="2:17" x14ac:dyDescent="0.45">
      <c r="B32" t="s">
        <v>1918</v>
      </c>
      <c r="C32" t="s">
        <v>1947</v>
      </c>
      <c r="D32" t="s">
        <v>1908</v>
      </c>
      <c r="E32">
        <v>8000</v>
      </c>
      <c r="H32" t="s">
        <v>1997</v>
      </c>
      <c r="I32">
        <v>1.7100609465292992E-3</v>
      </c>
      <c r="N32" t="s">
        <v>27</v>
      </c>
      <c r="O32" t="s">
        <v>801</v>
      </c>
      <c r="P32" t="s">
        <v>2058</v>
      </c>
      <c r="Q32">
        <v>0.95</v>
      </c>
    </row>
    <row r="33" spans="2:17" x14ac:dyDescent="0.45">
      <c r="B33" t="s">
        <v>1918</v>
      </c>
      <c r="C33" t="s">
        <v>1948</v>
      </c>
      <c r="D33" t="s">
        <v>1908</v>
      </c>
      <c r="E33">
        <v>100000</v>
      </c>
      <c r="H33" t="s">
        <v>1998</v>
      </c>
      <c r="I33">
        <v>8.5223452651974837E-4</v>
      </c>
      <c r="N33" t="s">
        <v>27</v>
      </c>
      <c r="O33" t="s">
        <v>809</v>
      </c>
      <c r="P33" t="s">
        <v>2058</v>
      </c>
      <c r="Q33">
        <v>0.95</v>
      </c>
    </row>
    <row r="34" spans="2:17" x14ac:dyDescent="0.45">
      <c r="B34" t="s">
        <v>1918</v>
      </c>
      <c r="C34" t="s">
        <v>1949</v>
      </c>
      <c r="D34" t="s">
        <v>1908</v>
      </c>
      <c r="E34">
        <v>620000</v>
      </c>
      <c r="H34" t="s">
        <v>1999</v>
      </c>
      <c r="I34">
        <v>6.7319511987625012E-4</v>
      </c>
      <c r="N34" t="s">
        <v>27</v>
      </c>
      <c r="O34" t="s">
        <v>813</v>
      </c>
      <c r="P34" t="s">
        <v>2058</v>
      </c>
      <c r="Q34">
        <v>0.95</v>
      </c>
    </row>
    <row r="35" spans="2:17" x14ac:dyDescent="0.45">
      <c r="B35" t="s">
        <v>1918</v>
      </c>
      <c r="C35" t="s">
        <v>1950</v>
      </c>
      <c r="D35" t="s">
        <v>1908</v>
      </c>
      <c r="E35">
        <v>69000</v>
      </c>
      <c r="H35" t="s">
        <v>2000</v>
      </c>
      <c r="I35">
        <v>1.1634755325440121E-3</v>
      </c>
      <c r="N35" t="s">
        <v>27</v>
      </c>
      <c r="O35" t="s">
        <v>812</v>
      </c>
      <c r="P35" t="s">
        <v>2058</v>
      </c>
      <c r="Q35">
        <v>0.95</v>
      </c>
    </row>
    <row r="36" spans="2:17" x14ac:dyDescent="0.45">
      <c r="B36" t="s">
        <v>1918</v>
      </c>
      <c r="C36" t="s">
        <v>1951</v>
      </c>
      <c r="D36" t="s">
        <v>1908</v>
      </c>
      <c r="E36">
        <v>36000</v>
      </c>
      <c r="H36" t="s">
        <v>2001</v>
      </c>
      <c r="I36">
        <v>1.1199521722844521E-3</v>
      </c>
      <c r="N36" t="s">
        <v>27</v>
      </c>
      <c r="O36" t="s">
        <v>820</v>
      </c>
      <c r="P36" t="s">
        <v>2059</v>
      </c>
      <c r="Q36">
        <v>0.95</v>
      </c>
    </row>
    <row r="37" spans="2:17" x14ac:dyDescent="0.45">
      <c r="B37" t="s">
        <v>1918</v>
      </c>
      <c r="C37" t="s">
        <v>1952</v>
      </c>
      <c r="D37" t="s">
        <v>1908</v>
      </c>
      <c r="E37">
        <v>120000</v>
      </c>
      <c r="H37" t="s">
        <v>2002</v>
      </c>
      <c r="I37">
        <v>8.2257058599145231E-4</v>
      </c>
      <c r="N37" t="s">
        <v>27</v>
      </c>
      <c r="O37" t="s">
        <v>828</v>
      </c>
      <c r="P37" t="s">
        <v>2059</v>
      </c>
      <c r="Q37">
        <v>0.95</v>
      </c>
    </row>
    <row r="38" spans="2:17" x14ac:dyDescent="0.45">
      <c r="B38" t="s">
        <v>1918</v>
      </c>
      <c r="C38" t="s">
        <v>1953</v>
      </c>
      <c r="D38" t="s">
        <v>1908</v>
      </c>
      <c r="E38">
        <v>15000</v>
      </c>
      <c r="H38" t="s">
        <v>2003</v>
      </c>
      <c r="I38">
        <v>2.0152292878343071E-2</v>
      </c>
      <c r="N38" t="s">
        <v>27</v>
      </c>
      <c r="O38" t="s">
        <v>832</v>
      </c>
      <c r="P38" t="s">
        <v>2059</v>
      </c>
      <c r="Q38">
        <v>0.95</v>
      </c>
    </row>
    <row r="39" spans="2:17" x14ac:dyDescent="0.45">
      <c r="B39" t="s">
        <v>1918</v>
      </c>
      <c r="C39" t="s">
        <v>1954</v>
      </c>
      <c r="D39" t="s">
        <v>1908</v>
      </c>
      <c r="E39">
        <v>7000</v>
      </c>
      <c r="H39" t="s">
        <v>2004</v>
      </c>
      <c r="I39">
        <v>5.6867297458175546E-4</v>
      </c>
      <c r="N39" t="s">
        <v>27</v>
      </c>
      <c r="O39" t="s">
        <v>831</v>
      </c>
      <c r="P39" t="s">
        <v>2059</v>
      </c>
      <c r="Q39">
        <v>0.95</v>
      </c>
    </row>
    <row r="40" spans="2:17" x14ac:dyDescent="0.45">
      <c r="B40" t="s">
        <v>1918</v>
      </c>
      <c r="C40" t="s">
        <v>1955</v>
      </c>
      <c r="D40" t="s">
        <v>1908</v>
      </c>
      <c r="E40">
        <v>5000</v>
      </c>
      <c r="H40" t="s">
        <v>2005</v>
      </c>
      <c r="I40">
        <v>2.1650057187148483E-3</v>
      </c>
      <c r="N40" t="s">
        <v>27</v>
      </c>
      <c r="O40" t="s">
        <v>839</v>
      </c>
      <c r="P40" t="s">
        <v>2060</v>
      </c>
      <c r="Q40">
        <v>0.95</v>
      </c>
    </row>
    <row r="41" spans="2:17" x14ac:dyDescent="0.45">
      <c r="B41" t="s">
        <v>1918</v>
      </c>
      <c r="C41" t="s">
        <v>1956</v>
      </c>
      <c r="D41" t="s">
        <v>1908</v>
      </c>
      <c r="E41">
        <v>14000</v>
      </c>
      <c r="H41" t="s">
        <v>2006</v>
      </c>
      <c r="I41">
        <v>3.4640481934557206E-3</v>
      </c>
      <c r="N41" t="s">
        <v>27</v>
      </c>
      <c r="O41" t="s">
        <v>847</v>
      </c>
      <c r="P41" t="s">
        <v>2060</v>
      </c>
      <c r="Q41">
        <v>0.95</v>
      </c>
    </row>
    <row r="42" spans="2:17" x14ac:dyDescent="0.45">
      <c r="B42" t="s">
        <v>1918</v>
      </c>
      <c r="C42" t="s">
        <v>1957</v>
      </c>
      <c r="D42" t="s">
        <v>1908</v>
      </c>
      <c r="E42">
        <v>600</v>
      </c>
      <c r="H42" t="s">
        <v>2007</v>
      </c>
      <c r="I42">
        <v>8.4847949632305619E-4</v>
      </c>
      <c r="N42" t="s">
        <v>27</v>
      </c>
      <c r="O42" t="s">
        <v>851</v>
      </c>
      <c r="P42" t="s">
        <v>2060</v>
      </c>
      <c r="Q42">
        <v>0.95</v>
      </c>
    </row>
    <row r="43" spans="2:17" x14ac:dyDescent="0.45">
      <c r="B43" t="s">
        <v>1918</v>
      </c>
      <c r="C43" t="s">
        <v>1958</v>
      </c>
      <c r="D43" t="s">
        <v>1908</v>
      </c>
      <c r="E43">
        <v>448000</v>
      </c>
      <c r="H43" t="s">
        <v>2008</v>
      </c>
      <c r="I43">
        <v>6.4738178217820831E-4</v>
      </c>
      <c r="N43" t="s">
        <v>27</v>
      </c>
      <c r="O43" t="s">
        <v>850</v>
      </c>
      <c r="P43" t="s">
        <v>2060</v>
      </c>
      <c r="Q43">
        <v>0.95</v>
      </c>
    </row>
    <row r="44" spans="2:17" x14ac:dyDescent="0.45">
      <c r="B44" t="s">
        <v>1918</v>
      </c>
      <c r="C44" t="s">
        <v>1959</v>
      </c>
      <c r="D44" t="s">
        <v>1908</v>
      </c>
      <c r="E44">
        <v>27510</v>
      </c>
      <c r="H44" t="s">
        <v>2009</v>
      </c>
      <c r="I44">
        <v>8.8593259810282072E-4</v>
      </c>
      <c r="N44" t="s">
        <v>27</v>
      </c>
      <c r="O44" t="s">
        <v>858</v>
      </c>
      <c r="P44" t="s">
        <v>2061</v>
      </c>
      <c r="Q44">
        <v>0.95</v>
      </c>
    </row>
    <row r="45" spans="2:17" x14ac:dyDescent="0.45">
      <c r="B45" t="s">
        <v>1918</v>
      </c>
      <c r="C45" t="s">
        <v>1960</v>
      </c>
      <c r="D45" t="s">
        <v>1908</v>
      </c>
      <c r="E45">
        <v>23500</v>
      </c>
      <c r="H45" t="s">
        <v>2010</v>
      </c>
      <c r="I45">
        <v>1.6327651297538205E-3</v>
      </c>
      <c r="N45" t="s">
        <v>27</v>
      </c>
      <c r="O45" t="s">
        <v>866</v>
      </c>
      <c r="P45" t="s">
        <v>2061</v>
      </c>
      <c r="Q45">
        <v>0.95</v>
      </c>
    </row>
    <row r="46" spans="2:17" x14ac:dyDescent="0.45">
      <c r="B46" t="s">
        <v>1918</v>
      </c>
      <c r="C46" t="s">
        <v>1961</v>
      </c>
      <c r="D46" t="s">
        <v>1908</v>
      </c>
      <c r="E46">
        <v>310</v>
      </c>
      <c r="H46" t="s">
        <v>2011</v>
      </c>
      <c r="I46">
        <v>2.8051200070222083E-3</v>
      </c>
      <c r="N46" t="s">
        <v>27</v>
      </c>
      <c r="O46" t="s">
        <v>870</v>
      </c>
      <c r="P46" t="s">
        <v>2061</v>
      </c>
      <c r="Q46">
        <v>0.95</v>
      </c>
    </row>
    <row r="47" spans="2:17" x14ac:dyDescent="0.45">
      <c r="B47" t="s">
        <v>1918</v>
      </c>
      <c r="C47" t="s">
        <v>1962</v>
      </c>
      <c r="D47" t="s">
        <v>1908</v>
      </c>
      <c r="E47">
        <v>4220</v>
      </c>
      <c r="H47" t="s">
        <v>2012</v>
      </c>
      <c r="I47">
        <v>6.3472423850392248E-4</v>
      </c>
      <c r="N47" t="s">
        <v>27</v>
      </c>
      <c r="O47" t="s">
        <v>869</v>
      </c>
      <c r="P47" t="s">
        <v>2061</v>
      </c>
      <c r="Q47">
        <v>0.95</v>
      </c>
    </row>
    <row r="48" spans="2:17" x14ac:dyDescent="0.45">
      <c r="B48" t="s">
        <v>1918</v>
      </c>
      <c r="C48" t="s">
        <v>1963</v>
      </c>
      <c r="D48" t="s">
        <v>1908</v>
      </c>
      <c r="E48">
        <v>1420</v>
      </c>
      <c r="H48" t="s">
        <v>2013</v>
      </c>
      <c r="I48">
        <v>3.1903424275621703E-4</v>
      </c>
      <c r="N48" t="s">
        <v>27</v>
      </c>
      <c r="O48" t="s">
        <v>877</v>
      </c>
      <c r="P48" t="s">
        <v>2062</v>
      </c>
      <c r="Q48">
        <v>0.95</v>
      </c>
    </row>
    <row r="49" spans="2:17" x14ac:dyDescent="0.45">
      <c r="B49" t="s">
        <v>1918</v>
      </c>
      <c r="C49" t="s">
        <v>1964</v>
      </c>
      <c r="D49" t="s">
        <v>1908</v>
      </c>
      <c r="E49">
        <v>820</v>
      </c>
      <c r="H49" t="s">
        <v>2014</v>
      </c>
      <c r="I49">
        <v>1.1195272812910728E-3</v>
      </c>
      <c r="N49" t="s">
        <v>27</v>
      </c>
      <c r="O49" t="s">
        <v>885</v>
      </c>
      <c r="P49" t="s">
        <v>2062</v>
      </c>
      <c r="Q49">
        <v>0.95</v>
      </c>
    </row>
    <row r="50" spans="2:17" x14ac:dyDescent="0.45">
      <c r="B50" t="s">
        <v>1918</v>
      </c>
      <c r="C50" t="s">
        <v>1965</v>
      </c>
      <c r="D50" t="s">
        <v>1908</v>
      </c>
      <c r="E50">
        <v>140</v>
      </c>
      <c r="H50" t="s">
        <v>2015</v>
      </c>
      <c r="I50">
        <v>8.1470953539651873E-4</v>
      </c>
      <c r="N50" t="s">
        <v>27</v>
      </c>
      <c r="O50" t="s">
        <v>889</v>
      </c>
      <c r="P50" t="s">
        <v>2062</v>
      </c>
      <c r="Q50">
        <v>0.95</v>
      </c>
    </row>
    <row r="51" spans="2:17" x14ac:dyDescent="0.45">
      <c r="B51" t="s">
        <v>1918</v>
      </c>
      <c r="C51" t="s">
        <v>1966</v>
      </c>
      <c r="D51" t="s">
        <v>1908</v>
      </c>
      <c r="E51">
        <v>19200</v>
      </c>
      <c r="H51" t="s">
        <v>2016</v>
      </c>
      <c r="I51">
        <v>2.9301699710314099E-4</v>
      </c>
      <c r="N51" t="s">
        <v>27</v>
      </c>
      <c r="O51" t="s">
        <v>888</v>
      </c>
      <c r="P51" t="s">
        <v>2062</v>
      </c>
      <c r="Q51">
        <v>0.95</v>
      </c>
    </row>
    <row r="52" spans="2:17" x14ac:dyDescent="0.45">
      <c r="B52" t="s">
        <v>1918</v>
      </c>
      <c r="C52" t="s">
        <v>1967</v>
      </c>
      <c r="D52" t="s">
        <v>1908</v>
      </c>
      <c r="E52">
        <v>31400</v>
      </c>
      <c r="H52" t="s">
        <v>2017</v>
      </c>
      <c r="I52">
        <v>1.2623288515985711E-4</v>
      </c>
      <c r="N52" t="s">
        <v>27</v>
      </c>
      <c r="O52" t="s">
        <v>896</v>
      </c>
      <c r="P52" t="s">
        <v>2063</v>
      </c>
      <c r="Q52">
        <v>0.95</v>
      </c>
    </row>
    <row r="53" spans="2:17" x14ac:dyDescent="0.45">
      <c r="H53" t="s">
        <v>2018</v>
      </c>
      <c r="I53">
        <v>1.944452767551708E-4</v>
      </c>
      <c r="N53" t="s">
        <v>27</v>
      </c>
      <c r="O53" t="s">
        <v>904</v>
      </c>
      <c r="P53" t="s">
        <v>2063</v>
      </c>
      <c r="Q53">
        <v>0.95</v>
      </c>
    </row>
    <row r="54" spans="2:17" x14ac:dyDescent="0.45">
      <c r="H54" t="s">
        <v>2019</v>
      </c>
      <c r="I54">
        <v>7.029842522792444E-4</v>
      </c>
      <c r="N54" t="s">
        <v>27</v>
      </c>
      <c r="O54" t="s">
        <v>908</v>
      </c>
      <c r="P54" t="s">
        <v>2063</v>
      </c>
      <c r="Q54">
        <v>0.95</v>
      </c>
    </row>
    <row r="55" spans="2:17" x14ac:dyDescent="0.45">
      <c r="H55" t="s">
        <v>2020</v>
      </c>
      <c r="I55">
        <v>1.6680606073466199E-3</v>
      </c>
      <c r="N55" t="s">
        <v>27</v>
      </c>
      <c r="O55" t="s">
        <v>907</v>
      </c>
      <c r="P55" t="s">
        <v>2063</v>
      </c>
      <c r="Q55">
        <v>0.95</v>
      </c>
    </row>
    <row r="56" spans="2:17" x14ac:dyDescent="0.45">
      <c r="H56" t="s">
        <v>2021</v>
      </c>
      <c r="I56">
        <v>1.2134958477927999E-3</v>
      </c>
      <c r="N56" t="s">
        <v>27</v>
      </c>
      <c r="O56" t="s">
        <v>915</v>
      </c>
      <c r="P56" t="s">
        <v>2064</v>
      </c>
      <c r="Q56">
        <v>0.95</v>
      </c>
    </row>
    <row r="57" spans="2:17" x14ac:dyDescent="0.45">
      <c r="H57" t="s">
        <v>2022</v>
      </c>
      <c r="I57">
        <v>3.7613825287490226E-4</v>
      </c>
      <c r="N57" t="s">
        <v>27</v>
      </c>
      <c r="O57" t="s">
        <v>923</v>
      </c>
      <c r="P57" t="s">
        <v>2064</v>
      </c>
      <c r="Q57">
        <v>0.95</v>
      </c>
    </row>
    <row r="58" spans="2:17" x14ac:dyDescent="0.45">
      <c r="H58" t="s">
        <v>2023</v>
      </c>
      <c r="I58">
        <v>7.7361490620477032E-3</v>
      </c>
      <c r="N58" t="s">
        <v>27</v>
      </c>
      <c r="O58" t="s">
        <v>927</v>
      </c>
      <c r="P58" t="s">
        <v>2064</v>
      </c>
      <c r="Q58">
        <v>0.95</v>
      </c>
    </row>
    <row r="59" spans="2:17" x14ac:dyDescent="0.45">
      <c r="H59" t="s">
        <v>2024</v>
      </c>
      <c r="I59">
        <v>6.9922858487402495E-4</v>
      </c>
      <c r="N59" t="s">
        <v>27</v>
      </c>
      <c r="O59" t="s">
        <v>926</v>
      </c>
      <c r="P59" t="s">
        <v>2064</v>
      </c>
      <c r="Q59">
        <v>0.95</v>
      </c>
    </row>
    <row r="60" spans="2:17" x14ac:dyDescent="0.45">
      <c r="H60" t="s">
        <v>2025</v>
      </c>
      <c r="I60">
        <v>4.3708196712011758E-4</v>
      </c>
      <c r="N60" t="s">
        <v>27</v>
      </c>
      <c r="O60" t="s">
        <v>934</v>
      </c>
      <c r="P60" t="s">
        <v>2065</v>
      </c>
      <c r="Q60">
        <v>0.95</v>
      </c>
    </row>
    <row r="61" spans="2:17" x14ac:dyDescent="0.45">
      <c r="H61" t="s">
        <v>2026</v>
      </c>
      <c r="I61">
        <v>7.9446782148502712E-4</v>
      </c>
      <c r="N61" t="s">
        <v>27</v>
      </c>
      <c r="O61" t="s">
        <v>942</v>
      </c>
      <c r="P61" t="s">
        <v>2065</v>
      </c>
      <c r="Q61">
        <v>0.95</v>
      </c>
    </row>
    <row r="62" spans="2:17" x14ac:dyDescent="0.45">
      <c r="H62" t="s">
        <v>2027</v>
      </c>
      <c r="I62">
        <v>1.4692812314949831E-3</v>
      </c>
      <c r="N62" t="s">
        <v>27</v>
      </c>
      <c r="O62" t="s">
        <v>946</v>
      </c>
      <c r="P62" t="s">
        <v>2065</v>
      </c>
      <c r="Q62">
        <v>0.95</v>
      </c>
    </row>
    <row r="63" spans="2:17" x14ac:dyDescent="0.45">
      <c r="H63" t="s">
        <v>2028</v>
      </c>
      <c r="I63">
        <v>2.7488793049662948E-4</v>
      </c>
      <c r="N63" t="s">
        <v>27</v>
      </c>
      <c r="O63" t="s">
        <v>945</v>
      </c>
      <c r="P63" t="s">
        <v>2065</v>
      </c>
      <c r="Q63">
        <v>0.95</v>
      </c>
    </row>
    <row r="64" spans="2:17" x14ac:dyDescent="0.45">
      <c r="H64" t="s">
        <v>2029</v>
      </c>
      <c r="I64">
        <v>1.5912995726184737E-3</v>
      </c>
      <c r="N64" t="s">
        <v>27</v>
      </c>
      <c r="O64" t="s">
        <v>953</v>
      </c>
      <c r="P64" t="s">
        <v>2066</v>
      </c>
      <c r="Q64">
        <v>0.95</v>
      </c>
    </row>
    <row r="65" spans="8:17" x14ac:dyDescent="0.45">
      <c r="H65" t="s">
        <v>2030</v>
      </c>
      <c r="I65">
        <v>1.260039114977147E-4</v>
      </c>
      <c r="N65" t="s">
        <v>27</v>
      </c>
      <c r="O65" t="s">
        <v>961</v>
      </c>
      <c r="P65" t="s">
        <v>2066</v>
      </c>
      <c r="Q65">
        <v>0.95</v>
      </c>
    </row>
    <row r="66" spans="8:17" x14ac:dyDescent="0.45">
      <c r="H66" t="s">
        <v>2031</v>
      </c>
      <c r="I66">
        <v>9.6821140805282511E-4</v>
      </c>
      <c r="N66" t="s">
        <v>27</v>
      </c>
      <c r="O66" t="s">
        <v>965</v>
      </c>
      <c r="P66" t="s">
        <v>2066</v>
      </c>
      <c r="Q66">
        <v>0.95</v>
      </c>
    </row>
    <row r="67" spans="8:17" x14ac:dyDescent="0.45">
      <c r="H67" t="s">
        <v>2032</v>
      </c>
      <c r="I67">
        <v>2.4839270125913424E-3</v>
      </c>
      <c r="N67" t="s">
        <v>27</v>
      </c>
      <c r="O67" t="s">
        <v>964</v>
      </c>
      <c r="P67" t="s">
        <v>2066</v>
      </c>
      <c r="Q67">
        <v>0.95</v>
      </c>
    </row>
    <row r="68" spans="8:17" x14ac:dyDescent="0.45">
      <c r="H68" t="s">
        <v>2033</v>
      </c>
      <c r="I68">
        <v>1.2659852021365753E-4</v>
      </c>
      <c r="N68" t="s">
        <v>27</v>
      </c>
      <c r="O68" t="s">
        <v>972</v>
      </c>
      <c r="P68" t="s">
        <v>2067</v>
      </c>
      <c r="Q68">
        <v>0.95</v>
      </c>
    </row>
    <row r="69" spans="8:17" x14ac:dyDescent="0.45">
      <c r="H69" t="s">
        <v>2034</v>
      </c>
      <c r="I69">
        <v>1.2134958477927999E-3</v>
      </c>
      <c r="N69" t="s">
        <v>27</v>
      </c>
      <c r="O69" t="s">
        <v>980</v>
      </c>
      <c r="P69" t="s">
        <v>2067</v>
      </c>
      <c r="Q69">
        <v>0.95</v>
      </c>
    </row>
    <row r="70" spans="8:17" x14ac:dyDescent="0.45">
      <c r="H70" t="s">
        <v>2035</v>
      </c>
      <c r="I70">
        <v>4.0737227165938321E-3</v>
      </c>
      <c r="N70" t="s">
        <v>27</v>
      </c>
      <c r="O70" t="s">
        <v>984</v>
      </c>
      <c r="P70" t="s">
        <v>2067</v>
      </c>
      <c r="Q70">
        <v>0.95</v>
      </c>
    </row>
    <row r="71" spans="8:17" x14ac:dyDescent="0.45">
      <c r="H71" t="s">
        <v>2036</v>
      </c>
      <c r="I71">
        <v>1.9923938240834935E-4</v>
      </c>
      <c r="N71" t="s">
        <v>27</v>
      </c>
      <c r="O71" t="s">
        <v>983</v>
      </c>
      <c r="P71" t="s">
        <v>2067</v>
      </c>
      <c r="Q71">
        <v>0.95</v>
      </c>
    </row>
    <row r="72" spans="8:17" x14ac:dyDescent="0.45">
      <c r="H72" t="s">
        <v>2037</v>
      </c>
      <c r="I72">
        <v>1.6695748287424022E-3</v>
      </c>
      <c r="N72" t="s">
        <v>27</v>
      </c>
      <c r="O72" t="s">
        <v>991</v>
      </c>
      <c r="P72" t="s">
        <v>2068</v>
      </c>
      <c r="Q72">
        <v>0.95</v>
      </c>
    </row>
    <row r="73" spans="8:17" x14ac:dyDescent="0.45">
      <c r="H73" t="s">
        <v>2038</v>
      </c>
      <c r="I73">
        <v>2.9301699710314099E-4</v>
      </c>
      <c r="N73" t="s">
        <v>27</v>
      </c>
      <c r="O73" t="s">
        <v>999</v>
      </c>
      <c r="P73" t="s">
        <v>2068</v>
      </c>
      <c r="Q73">
        <v>0.95</v>
      </c>
    </row>
    <row r="74" spans="8:17" x14ac:dyDescent="0.45">
      <c r="H74" t="s">
        <v>2039</v>
      </c>
      <c r="I74">
        <v>2.867429890071679E-3</v>
      </c>
      <c r="N74" t="s">
        <v>27</v>
      </c>
      <c r="O74" t="s">
        <v>1003</v>
      </c>
      <c r="P74" t="s">
        <v>2068</v>
      </c>
      <c r="Q74">
        <v>0.95</v>
      </c>
    </row>
    <row r="75" spans="8:17" x14ac:dyDescent="0.45">
      <c r="H75" t="s">
        <v>2040</v>
      </c>
      <c r="I75">
        <v>3.0291950918973787E-3</v>
      </c>
      <c r="N75" t="s">
        <v>27</v>
      </c>
      <c r="O75" t="s">
        <v>1002</v>
      </c>
      <c r="P75" t="s">
        <v>2068</v>
      </c>
      <c r="Q75">
        <v>0.95</v>
      </c>
    </row>
    <row r="76" spans="8:17" x14ac:dyDescent="0.45">
      <c r="H76" t="s">
        <v>2041</v>
      </c>
      <c r="I76">
        <v>1.0871431056277004E-3</v>
      </c>
      <c r="N76" t="s">
        <v>27</v>
      </c>
      <c r="O76" t="s">
        <v>1010</v>
      </c>
      <c r="P76" t="s">
        <v>2069</v>
      </c>
      <c r="Q76">
        <v>0.95</v>
      </c>
    </row>
    <row r="77" spans="8:17" x14ac:dyDescent="0.45">
      <c r="H77" t="s">
        <v>2042</v>
      </c>
      <c r="I77">
        <v>1.0871431056277004E-3</v>
      </c>
      <c r="N77" t="s">
        <v>27</v>
      </c>
      <c r="O77" t="s">
        <v>1018</v>
      </c>
      <c r="P77" t="s">
        <v>2069</v>
      </c>
      <c r="Q77">
        <v>0.95</v>
      </c>
    </row>
    <row r="78" spans="8:17" x14ac:dyDescent="0.45">
      <c r="H78" t="s">
        <v>2043</v>
      </c>
      <c r="I78">
        <v>1.443620796728607E-3</v>
      </c>
      <c r="N78" t="s">
        <v>27</v>
      </c>
      <c r="O78" t="s">
        <v>1022</v>
      </c>
      <c r="P78" t="s">
        <v>2069</v>
      </c>
      <c r="Q78">
        <v>0.95</v>
      </c>
    </row>
    <row r="79" spans="8:17" x14ac:dyDescent="0.45">
      <c r="H79" t="s">
        <v>2044</v>
      </c>
      <c r="I79">
        <v>1.3365780552286783E-4</v>
      </c>
      <c r="N79" t="s">
        <v>27</v>
      </c>
      <c r="O79" t="s">
        <v>1021</v>
      </c>
      <c r="P79" t="s">
        <v>2069</v>
      </c>
      <c r="Q79">
        <v>0.95</v>
      </c>
    </row>
    <row r="80" spans="8:17" x14ac:dyDescent="0.45">
      <c r="H80" t="s">
        <v>2045</v>
      </c>
      <c r="I80">
        <v>1.3355932926447568E-4</v>
      </c>
      <c r="N80" t="s">
        <v>27</v>
      </c>
      <c r="O80" t="s">
        <v>1029</v>
      </c>
      <c r="P80" t="s">
        <v>2070</v>
      </c>
      <c r="Q80">
        <v>0.95</v>
      </c>
    </row>
    <row r="81" spans="8:17" x14ac:dyDescent="0.45">
      <c r="H81" t="s">
        <v>2046</v>
      </c>
      <c r="I81">
        <v>1.3338599210150067E-4</v>
      </c>
      <c r="N81" t="s">
        <v>27</v>
      </c>
      <c r="O81" t="s">
        <v>1037</v>
      </c>
      <c r="P81" t="s">
        <v>2070</v>
      </c>
      <c r="Q81">
        <v>0.95</v>
      </c>
    </row>
    <row r="82" spans="8:17" x14ac:dyDescent="0.45">
      <c r="H82" t="s">
        <v>2047</v>
      </c>
      <c r="I82">
        <v>1.3331117632675747E-4</v>
      </c>
      <c r="N82" t="s">
        <v>27</v>
      </c>
      <c r="O82" t="s">
        <v>1041</v>
      </c>
      <c r="P82" t="s">
        <v>2070</v>
      </c>
      <c r="Q82">
        <v>0.95</v>
      </c>
    </row>
    <row r="83" spans="8:17" x14ac:dyDescent="0.45">
      <c r="H83" t="s">
        <v>2048</v>
      </c>
      <c r="I83">
        <v>1.3324428699505763E-4</v>
      </c>
      <c r="N83" t="s">
        <v>27</v>
      </c>
      <c r="O83" t="s">
        <v>1040</v>
      </c>
      <c r="P83" t="s">
        <v>2070</v>
      </c>
      <c r="Q83">
        <v>0.95</v>
      </c>
    </row>
    <row r="84" spans="8:17" x14ac:dyDescent="0.45">
      <c r="H84" t="s">
        <v>2049</v>
      </c>
      <c r="I84">
        <v>1.3346871635107303E-4</v>
      </c>
      <c r="N84" t="s">
        <v>27</v>
      </c>
      <c r="O84" t="s">
        <v>1048</v>
      </c>
      <c r="P84" t="s">
        <v>2071</v>
      </c>
      <c r="Q84">
        <v>0.95</v>
      </c>
    </row>
    <row r="85" spans="8:17" x14ac:dyDescent="0.45">
      <c r="N85" t="s">
        <v>27</v>
      </c>
      <c r="O85" t="s">
        <v>1056</v>
      </c>
      <c r="P85" t="s">
        <v>2071</v>
      </c>
      <c r="Q85">
        <v>0.95</v>
      </c>
    </row>
    <row r="86" spans="8:17" x14ac:dyDescent="0.45">
      <c r="N86" t="s">
        <v>27</v>
      </c>
      <c r="O86" t="s">
        <v>1060</v>
      </c>
      <c r="P86" t="s">
        <v>2071</v>
      </c>
      <c r="Q86">
        <v>0.95</v>
      </c>
    </row>
    <row r="87" spans="8:17" x14ac:dyDescent="0.45">
      <c r="N87" t="s">
        <v>27</v>
      </c>
      <c r="O87" t="s">
        <v>1059</v>
      </c>
      <c r="P87" t="s">
        <v>2071</v>
      </c>
      <c r="Q87">
        <v>0.95</v>
      </c>
    </row>
    <row r="88" spans="8:17" x14ac:dyDescent="0.45">
      <c r="N88" t="s">
        <v>27</v>
      </c>
      <c r="O88" t="s">
        <v>1067</v>
      </c>
      <c r="P88" t="s">
        <v>2072</v>
      </c>
      <c r="Q88">
        <v>0.95</v>
      </c>
    </row>
    <row r="89" spans="8:17" x14ac:dyDescent="0.45">
      <c r="N89" t="s">
        <v>27</v>
      </c>
      <c r="O89" t="s">
        <v>1075</v>
      </c>
      <c r="P89" t="s">
        <v>2072</v>
      </c>
      <c r="Q89">
        <v>0.95</v>
      </c>
    </row>
    <row r="90" spans="8:17" x14ac:dyDescent="0.45">
      <c r="N90" t="s">
        <v>27</v>
      </c>
      <c r="O90" t="s">
        <v>1079</v>
      </c>
      <c r="P90" t="s">
        <v>2072</v>
      </c>
      <c r="Q90">
        <v>0.95</v>
      </c>
    </row>
    <row r="91" spans="8:17" x14ac:dyDescent="0.45">
      <c r="N91" t="s">
        <v>27</v>
      </c>
      <c r="O91" t="s">
        <v>1078</v>
      </c>
      <c r="P91" t="s">
        <v>2072</v>
      </c>
      <c r="Q91">
        <v>0.95</v>
      </c>
    </row>
    <row r="92" spans="8:17" x14ac:dyDescent="0.45">
      <c r="N92" t="s">
        <v>27</v>
      </c>
      <c r="O92" t="s">
        <v>1086</v>
      </c>
      <c r="P92" t="s">
        <v>2073</v>
      </c>
      <c r="Q92">
        <v>0.95</v>
      </c>
    </row>
    <row r="93" spans="8:17" x14ac:dyDescent="0.45">
      <c r="N93" t="s">
        <v>27</v>
      </c>
      <c r="O93" t="s">
        <v>1094</v>
      </c>
      <c r="P93" t="s">
        <v>2073</v>
      </c>
      <c r="Q93">
        <v>0.95</v>
      </c>
    </row>
    <row r="94" spans="8:17" x14ac:dyDescent="0.45">
      <c r="N94" t="s">
        <v>27</v>
      </c>
      <c r="O94" t="s">
        <v>1098</v>
      </c>
      <c r="P94" t="s">
        <v>2073</v>
      </c>
      <c r="Q94">
        <v>0.95</v>
      </c>
    </row>
    <row r="95" spans="8:17" x14ac:dyDescent="0.45">
      <c r="N95" t="s">
        <v>27</v>
      </c>
      <c r="O95" t="s">
        <v>1097</v>
      </c>
      <c r="P95" t="s">
        <v>2073</v>
      </c>
      <c r="Q95">
        <v>0.95</v>
      </c>
    </row>
    <row r="96" spans="8:17" x14ac:dyDescent="0.45">
      <c r="N96" t="s">
        <v>27</v>
      </c>
      <c r="O96" t="s">
        <v>1105</v>
      </c>
      <c r="P96" t="s">
        <v>2074</v>
      </c>
      <c r="Q96">
        <v>0.95</v>
      </c>
    </row>
    <row r="97" spans="14:17" x14ac:dyDescent="0.45">
      <c r="N97" t="s">
        <v>27</v>
      </c>
      <c r="O97" t="s">
        <v>1113</v>
      </c>
      <c r="P97" t="s">
        <v>2074</v>
      </c>
      <c r="Q97">
        <v>0.95</v>
      </c>
    </row>
    <row r="98" spans="14:17" x14ac:dyDescent="0.45">
      <c r="N98" t="s">
        <v>27</v>
      </c>
      <c r="O98" t="s">
        <v>1117</v>
      </c>
      <c r="P98" t="s">
        <v>2074</v>
      </c>
      <c r="Q98">
        <v>0.95</v>
      </c>
    </row>
    <row r="99" spans="14:17" x14ac:dyDescent="0.45">
      <c r="N99" t="s">
        <v>27</v>
      </c>
      <c r="O99" t="s">
        <v>1116</v>
      </c>
      <c r="P99" t="s">
        <v>2074</v>
      </c>
      <c r="Q99">
        <v>0.95</v>
      </c>
    </row>
    <row r="100" spans="14:17" x14ac:dyDescent="0.45">
      <c r="N100" t="s">
        <v>27</v>
      </c>
      <c r="O100" t="s">
        <v>1124</v>
      </c>
      <c r="P100" t="s">
        <v>2075</v>
      </c>
      <c r="Q100">
        <v>0.95</v>
      </c>
    </row>
    <row r="101" spans="14:17" x14ac:dyDescent="0.45">
      <c r="N101" t="s">
        <v>27</v>
      </c>
      <c r="O101" t="s">
        <v>1132</v>
      </c>
      <c r="P101" t="s">
        <v>2075</v>
      </c>
      <c r="Q101">
        <v>0.95</v>
      </c>
    </row>
    <row r="102" spans="14:17" x14ac:dyDescent="0.45">
      <c r="N102" t="s">
        <v>27</v>
      </c>
      <c r="O102" t="s">
        <v>1136</v>
      </c>
      <c r="P102" t="s">
        <v>2075</v>
      </c>
      <c r="Q102">
        <v>0.95</v>
      </c>
    </row>
    <row r="103" spans="14:17" x14ac:dyDescent="0.45">
      <c r="N103" t="s">
        <v>27</v>
      </c>
      <c r="O103" t="s">
        <v>1135</v>
      </c>
      <c r="P103" t="s">
        <v>2075</v>
      </c>
      <c r="Q103">
        <v>0.95</v>
      </c>
    </row>
    <row r="104" spans="14:17" x14ac:dyDescent="0.45">
      <c r="N104" t="s">
        <v>27</v>
      </c>
      <c r="O104" t="s">
        <v>1143</v>
      </c>
      <c r="P104" t="s">
        <v>2076</v>
      </c>
      <c r="Q104">
        <v>0.95</v>
      </c>
    </row>
    <row r="105" spans="14:17" x14ac:dyDescent="0.45">
      <c r="N105" t="s">
        <v>27</v>
      </c>
      <c r="O105" t="s">
        <v>1151</v>
      </c>
      <c r="P105" t="s">
        <v>2076</v>
      </c>
      <c r="Q105">
        <v>0.95</v>
      </c>
    </row>
    <row r="106" spans="14:17" x14ac:dyDescent="0.45">
      <c r="N106" t="s">
        <v>27</v>
      </c>
      <c r="O106" t="s">
        <v>1155</v>
      </c>
      <c r="P106" t="s">
        <v>2076</v>
      </c>
      <c r="Q106">
        <v>0.95</v>
      </c>
    </row>
    <row r="107" spans="14:17" x14ac:dyDescent="0.45">
      <c r="N107" t="s">
        <v>27</v>
      </c>
      <c r="O107" t="s">
        <v>1154</v>
      </c>
      <c r="P107" t="s">
        <v>2076</v>
      </c>
      <c r="Q107">
        <v>0.95</v>
      </c>
    </row>
    <row r="108" spans="14:17" x14ac:dyDescent="0.45">
      <c r="N108" t="s">
        <v>27</v>
      </c>
      <c r="O108" t="s">
        <v>1162</v>
      </c>
      <c r="P108" t="s">
        <v>2077</v>
      </c>
      <c r="Q108">
        <v>0.95</v>
      </c>
    </row>
    <row r="109" spans="14:17" x14ac:dyDescent="0.45">
      <c r="N109" t="s">
        <v>27</v>
      </c>
      <c r="O109" t="s">
        <v>1170</v>
      </c>
      <c r="P109" t="s">
        <v>2077</v>
      </c>
      <c r="Q109">
        <v>0.95</v>
      </c>
    </row>
    <row r="110" spans="14:17" x14ac:dyDescent="0.45">
      <c r="N110" t="s">
        <v>27</v>
      </c>
      <c r="O110" t="s">
        <v>1174</v>
      </c>
      <c r="P110" t="s">
        <v>2077</v>
      </c>
      <c r="Q110">
        <v>0.95</v>
      </c>
    </row>
    <row r="111" spans="14:17" x14ac:dyDescent="0.45">
      <c r="N111" t="s">
        <v>27</v>
      </c>
      <c r="O111" t="s">
        <v>1173</v>
      </c>
      <c r="P111" t="s">
        <v>2077</v>
      </c>
      <c r="Q111">
        <v>0.95</v>
      </c>
    </row>
    <row r="112" spans="14:17" x14ac:dyDescent="0.45">
      <c r="N112" t="s">
        <v>27</v>
      </c>
      <c r="O112" t="s">
        <v>1181</v>
      </c>
      <c r="P112" t="s">
        <v>2078</v>
      </c>
      <c r="Q112">
        <v>0.95</v>
      </c>
    </row>
    <row r="113" spans="14:17" x14ac:dyDescent="0.45">
      <c r="N113" t="s">
        <v>27</v>
      </c>
      <c r="O113" t="s">
        <v>1189</v>
      </c>
      <c r="P113" t="s">
        <v>2078</v>
      </c>
      <c r="Q113">
        <v>0.95</v>
      </c>
    </row>
    <row r="114" spans="14:17" x14ac:dyDescent="0.45">
      <c r="N114" t="s">
        <v>27</v>
      </c>
      <c r="O114" t="s">
        <v>1193</v>
      </c>
      <c r="P114" t="s">
        <v>2078</v>
      </c>
      <c r="Q114">
        <v>0.95</v>
      </c>
    </row>
    <row r="115" spans="14:17" x14ac:dyDescent="0.45">
      <c r="N115" t="s">
        <v>27</v>
      </c>
      <c r="O115" t="s">
        <v>1192</v>
      </c>
      <c r="P115" t="s">
        <v>2078</v>
      </c>
      <c r="Q115">
        <v>0.95</v>
      </c>
    </row>
    <row r="116" spans="14:17" x14ac:dyDescent="0.45">
      <c r="N116" t="s">
        <v>27</v>
      </c>
      <c r="O116" t="s">
        <v>1200</v>
      </c>
      <c r="P116" t="s">
        <v>2079</v>
      </c>
      <c r="Q116">
        <v>0.95</v>
      </c>
    </row>
    <row r="117" spans="14:17" x14ac:dyDescent="0.45">
      <c r="N117" t="s">
        <v>27</v>
      </c>
      <c r="O117" t="s">
        <v>1208</v>
      </c>
      <c r="P117" t="s">
        <v>2079</v>
      </c>
      <c r="Q117">
        <v>0.95</v>
      </c>
    </row>
    <row r="118" spans="14:17" x14ac:dyDescent="0.45">
      <c r="N118" t="s">
        <v>27</v>
      </c>
      <c r="O118" t="s">
        <v>1212</v>
      </c>
      <c r="P118" t="s">
        <v>2079</v>
      </c>
      <c r="Q118">
        <v>0.95</v>
      </c>
    </row>
    <row r="119" spans="14:17" x14ac:dyDescent="0.45">
      <c r="N119" t="s">
        <v>27</v>
      </c>
      <c r="O119" t="s">
        <v>1211</v>
      </c>
      <c r="P119" t="s">
        <v>2079</v>
      </c>
      <c r="Q119">
        <v>0.95</v>
      </c>
    </row>
    <row r="120" spans="14:17" x14ac:dyDescent="0.45">
      <c r="N120" t="s">
        <v>27</v>
      </c>
      <c r="O120" t="s">
        <v>1219</v>
      </c>
      <c r="P120" t="s">
        <v>2080</v>
      </c>
      <c r="Q120">
        <v>0.95</v>
      </c>
    </row>
    <row r="121" spans="14:17" x14ac:dyDescent="0.45">
      <c r="N121" t="s">
        <v>27</v>
      </c>
      <c r="O121" t="s">
        <v>1227</v>
      </c>
      <c r="P121" t="s">
        <v>2080</v>
      </c>
      <c r="Q121">
        <v>0.95</v>
      </c>
    </row>
    <row r="122" spans="14:17" x14ac:dyDescent="0.45">
      <c r="N122" t="s">
        <v>27</v>
      </c>
      <c r="O122" t="s">
        <v>1231</v>
      </c>
      <c r="P122" t="s">
        <v>2080</v>
      </c>
      <c r="Q122">
        <v>0.95</v>
      </c>
    </row>
    <row r="123" spans="14:17" x14ac:dyDescent="0.45">
      <c r="N123" t="s">
        <v>27</v>
      </c>
      <c r="O123" t="s">
        <v>1230</v>
      </c>
      <c r="P123" t="s">
        <v>2080</v>
      </c>
      <c r="Q123">
        <v>0.95</v>
      </c>
    </row>
    <row r="124" spans="14:17" x14ac:dyDescent="0.45">
      <c r="N124" t="s">
        <v>27</v>
      </c>
      <c r="O124" t="s">
        <v>1238</v>
      </c>
      <c r="P124" t="s">
        <v>2081</v>
      </c>
      <c r="Q124">
        <v>0.95</v>
      </c>
    </row>
    <row r="125" spans="14:17" x14ac:dyDescent="0.45">
      <c r="N125" t="s">
        <v>27</v>
      </c>
      <c r="O125" t="s">
        <v>1246</v>
      </c>
      <c r="P125" t="s">
        <v>2081</v>
      </c>
      <c r="Q125">
        <v>0.95</v>
      </c>
    </row>
    <row r="126" spans="14:17" x14ac:dyDescent="0.45">
      <c r="N126" t="s">
        <v>27</v>
      </c>
      <c r="O126" t="s">
        <v>1250</v>
      </c>
      <c r="P126" t="s">
        <v>2081</v>
      </c>
      <c r="Q126">
        <v>0.95</v>
      </c>
    </row>
    <row r="127" spans="14:17" x14ac:dyDescent="0.45">
      <c r="N127" t="s">
        <v>27</v>
      </c>
      <c r="O127" t="s">
        <v>1249</v>
      </c>
      <c r="P127" t="s">
        <v>2081</v>
      </c>
      <c r="Q127">
        <v>0.95</v>
      </c>
    </row>
    <row r="128" spans="14:17" x14ac:dyDescent="0.45">
      <c r="N128" t="s">
        <v>27</v>
      </c>
      <c r="O128" t="s">
        <v>1257</v>
      </c>
      <c r="P128" t="s">
        <v>2082</v>
      </c>
      <c r="Q128">
        <v>0.95</v>
      </c>
    </row>
    <row r="129" spans="14:17" x14ac:dyDescent="0.45">
      <c r="N129" t="s">
        <v>27</v>
      </c>
      <c r="O129" t="s">
        <v>1265</v>
      </c>
      <c r="P129" t="s">
        <v>2082</v>
      </c>
      <c r="Q129">
        <v>0.95</v>
      </c>
    </row>
    <row r="130" spans="14:17" x14ac:dyDescent="0.45">
      <c r="N130" t="s">
        <v>27</v>
      </c>
      <c r="O130" t="s">
        <v>1269</v>
      </c>
      <c r="P130" t="s">
        <v>2082</v>
      </c>
      <c r="Q130">
        <v>0.95</v>
      </c>
    </row>
    <row r="131" spans="14:17" x14ac:dyDescent="0.45">
      <c r="N131" t="s">
        <v>27</v>
      </c>
      <c r="O131" t="s">
        <v>1268</v>
      </c>
      <c r="P131" t="s">
        <v>2082</v>
      </c>
      <c r="Q131">
        <v>0.95</v>
      </c>
    </row>
    <row r="132" spans="14:17" x14ac:dyDescent="0.45">
      <c r="N132" t="s">
        <v>27</v>
      </c>
      <c r="O132" t="s">
        <v>1276</v>
      </c>
      <c r="P132" t="s">
        <v>2083</v>
      </c>
      <c r="Q132">
        <v>0.95</v>
      </c>
    </row>
    <row r="133" spans="14:17" x14ac:dyDescent="0.45">
      <c r="N133" t="s">
        <v>27</v>
      </c>
      <c r="O133" t="s">
        <v>1284</v>
      </c>
      <c r="P133" t="s">
        <v>2083</v>
      </c>
      <c r="Q133">
        <v>0.95</v>
      </c>
    </row>
    <row r="134" spans="14:17" x14ac:dyDescent="0.45">
      <c r="N134" t="s">
        <v>27</v>
      </c>
      <c r="O134" t="s">
        <v>1288</v>
      </c>
      <c r="P134" t="s">
        <v>2083</v>
      </c>
      <c r="Q134">
        <v>0.95</v>
      </c>
    </row>
    <row r="135" spans="14:17" x14ac:dyDescent="0.45">
      <c r="N135" t="s">
        <v>27</v>
      </c>
      <c r="O135" t="s">
        <v>1287</v>
      </c>
      <c r="P135" t="s">
        <v>2083</v>
      </c>
      <c r="Q135">
        <v>0.95</v>
      </c>
    </row>
    <row r="136" spans="14:17" x14ac:dyDescent="0.45">
      <c r="N136" t="s">
        <v>27</v>
      </c>
      <c r="O136" t="s">
        <v>1295</v>
      </c>
      <c r="P136" t="s">
        <v>2084</v>
      </c>
      <c r="Q136">
        <v>0.95</v>
      </c>
    </row>
    <row r="137" spans="14:17" x14ac:dyDescent="0.45">
      <c r="N137" t="s">
        <v>27</v>
      </c>
      <c r="O137" t="s">
        <v>1303</v>
      </c>
      <c r="P137" t="s">
        <v>2084</v>
      </c>
      <c r="Q137">
        <v>0.95</v>
      </c>
    </row>
    <row r="138" spans="14:17" x14ac:dyDescent="0.45">
      <c r="N138" t="s">
        <v>27</v>
      </c>
      <c r="O138" t="s">
        <v>1307</v>
      </c>
      <c r="P138" t="s">
        <v>2084</v>
      </c>
      <c r="Q138">
        <v>0.95</v>
      </c>
    </row>
    <row r="139" spans="14:17" x14ac:dyDescent="0.45">
      <c r="N139" t="s">
        <v>27</v>
      </c>
      <c r="O139" t="s">
        <v>1306</v>
      </c>
      <c r="P139" t="s">
        <v>2084</v>
      </c>
      <c r="Q139">
        <v>0.95</v>
      </c>
    </row>
    <row r="140" spans="14:17" x14ac:dyDescent="0.45">
      <c r="N140" t="s">
        <v>27</v>
      </c>
      <c r="O140" t="s">
        <v>1314</v>
      </c>
      <c r="P140" t="s">
        <v>2085</v>
      </c>
      <c r="Q140">
        <v>0.95</v>
      </c>
    </row>
    <row r="141" spans="14:17" x14ac:dyDescent="0.45">
      <c r="N141" t="s">
        <v>27</v>
      </c>
      <c r="O141" t="s">
        <v>1322</v>
      </c>
      <c r="P141" t="s">
        <v>2085</v>
      </c>
      <c r="Q141">
        <v>0.95</v>
      </c>
    </row>
    <row r="142" spans="14:17" x14ac:dyDescent="0.45">
      <c r="N142" t="s">
        <v>27</v>
      </c>
      <c r="O142" t="s">
        <v>1326</v>
      </c>
      <c r="P142" t="s">
        <v>2085</v>
      </c>
      <c r="Q142">
        <v>0.95</v>
      </c>
    </row>
    <row r="143" spans="14:17" x14ac:dyDescent="0.45">
      <c r="N143" t="s">
        <v>27</v>
      </c>
      <c r="O143" t="s">
        <v>1325</v>
      </c>
      <c r="P143" t="s">
        <v>2085</v>
      </c>
      <c r="Q143">
        <v>0.95</v>
      </c>
    </row>
    <row r="144" spans="14:17" x14ac:dyDescent="0.45">
      <c r="N144" t="s">
        <v>27</v>
      </c>
      <c r="O144" t="s">
        <v>1333</v>
      </c>
      <c r="P144" t="s">
        <v>2086</v>
      </c>
      <c r="Q144">
        <v>0.95</v>
      </c>
    </row>
    <row r="145" spans="14:17" x14ac:dyDescent="0.45">
      <c r="N145" t="s">
        <v>27</v>
      </c>
      <c r="O145" t="s">
        <v>1341</v>
      </c>
      <c r="P145" t="s">
        <v>2086</v>
      </c>
      <c r="Q145">
        <v>0.95</v>
      </c>
    </row>
    <row r="146" spans="14:17" x14ac:dyDescent="0.45">
      <c r="N146" t="s">
        <v>27</v>
      </c>
      <c r="O146" t="s">
        <v>1345</v>
      </c>
      <c r="P146" t="s">
        <v>2086</v>
      </c>
      <c r="Q146">
        <v>0.95</v>
      </c>
    </row>
    <row r="147" spans="14:17" x14ac:dyDescent="0.45">
      <c r="N147" t="s">
        <v>27</v>
      </c>
      <c r="O147" t="s">
        <v>1344</v>
      </c>
      <c r="P147" t="s">
        <v>2086</v>
      </c>
      <c r="Q147">
        <v>0.95</v>
      </c>
    </row>
    <row r="148" spans="14:17" x14ac:dyDescent="0.45">
      <c r="N148" t="s">
        <v>27</v>
      </c>
      <c r="O148" t="s">
        <v>1352</v>
      </c>
      <c r="P148" t="s">
        <v>2087</v>
      </c>
      <c r="Q148">
        <v>0.95</v>
      </c>
    </row>
    <row r="149" spans="14:17" x14ac:dyDescent="0.45">
      <c r="N149" t="s">
        <v>27</v>
      </c>
      <c r="O149" t="s">
        <v>1360</v>
      </c>
      <c r="P149" t="s">
        <v>2087</v>
      </c>
      <c r="Q149">
        <v>0.95</v>
      </c>
    </row>
    <row r="150" spans="14:17" x14ac:dyDescent="0.45">
      <c r="N150" t="s">
        <v>27</v>
      </c>
      <c r="O150" t="s">
        <v>1364</v>
      </c>
      <c r="P150" t="s">
        <v>2087</v>
      </c>
      <c r="Q150">
        <v>0.95</v>
      </c>
    </row>
    <row r="151" spans="14:17" x14ac:dyDescent="0.45">
      <c r="N151" t="s">
        <v>27</v>
      </c>
      <c r="O151" t="s">
        <v>1363</v>
      </c>
      <c r="P151" t="s">
        <v>2087</v>
      </c>
      <c r="Q151">
        <v>0.95</v>
      </c>
    </row>
    <row r="152" spans="14:17" x14ac:dyDescent="0.45">
      <c r="N152" t="s">
        <v>27</v>
      </c>
      <c r="O152" t="s">
        <v>1371</v>
      </c>
      <c r="P152" t="s">
        <v>2088</v>
      </c>
      <c r="Q152">
        <v>0.95</v>
      </c>
    </row>
    <row r="153" spans="14:17" x14ac:dyDescent="0.45">
      <c r="N153" t="s">
        <v>27</v>
      </c>
      <c r="O153" t="s">
        <v>1379</v>
      </c>
      <c r="P153" t="s">
        <v>2088</v>
      </c>
      <c r="Q153">
        <v>0.95</v>
      </c>
    </row>
    <row r="154" spans="14:17" x14ac:dyDescent="0.45">
      <c r="N154" t="s">
        <v>27</v>
      </c>
      <c r="O154" t="s">
        <v>1383</v>
      </c>
      <c r="P154" t="s">
        <v>2088</v>
      </c>
      <c r="Q154">
        <v>0.95</v>
      </c>
    </row>
    <row r="155" spans="14:17" x14ac:dyDescent="0.45">
      <c r="N155" t="s">
        <v>27</v>
      </c>
      <c r="O155" t="s">
        <v>1382</v>
      </c>
      <c r="P155" t="s">
        <v>2088</v>
      </c>
      <c r="Q155">
        <v>0.95</v>
      </c>
    </row>
    <row r="156" spans="14:17" x14ac:dyDescent="0.45">
      <c r="N156" t="s">
        <v>27</v>
      </c>
      <c r="O156" t="s">
        <v>1390</v>
      </c>
      <c r="P156" t="s">
        <v>2089</v>
      </c>
      <c r="Q156">
        <v>0.95</v>
      </c>
    </row>
    <row r="157" spans="14:17" x14ac:dyDescent="0.45">
      <c r="N157" t="s">
        <v>27</v>
      </c>
      <c r="O157" t="s">
        <v>1398</v>
      </c>
      <c r="P157" t="s">
        <v>2089</v>
      </c>
      <c r="Q157">
        <v>0.95</v>
      </c>
    </row>
    <row r="158" spans="14:17" x14ac:dyDescent="0.45">
      <c r="N158" t="s">
        <v>27</v>
      </c>
      <c r="O158" t="s">
        <v>1402</v>
      </c>
      <c r="P158" t="s">
        <v>2089</v>
      </c>
      <c r="Q158">
        <v>0.95</v>
      </c>
    </row>
    <row r="159" spans="14:17" x14ac:dyDescent="0.45">
      <c r="N159" t="s">
        <v>27</v>
      </c>
      <c r="O159" t="s">
        <v>1401</v>
      </c>
      <c r="P159" t="s">
        <v>2089</v>
      </c>
      <c r="Q159">
        <v>0.95</v>
      </c>
    </row>
    <row r="160" spans="14:17" x14ac:dyDescent="0.45">
      <c r="N160" t="s">
        <v>27</v>
      </c>
      <c r="O160" t="s">
        <v>1409</v>
      </c>
      <c r="P160" t="s">
        <v>2090</v>
      </c>
      <c r="Q160">
        <v>0.95</v>
      </c>
    </row>
    <row r="161" spans="14:17" x14ac:dyDescent="0.45">
      <c r="N161" t="s">
        <v>27</v>
      </c>
      <c r="O161" t="s">
        <v>1417</v>
      </c>
      <c r="P161" t="s">
        <v>2090</v>
      </c>
      <c r="Q161">
        <v>0.95</v>
      </c>
    </row>
    <row r="162" spans="14:17" x14ac:dyDescent="0.45">
      <c r="N162" t="s">
        <v>27</v>
      </c>
      <c r="O162" t="s">
        <v>1421</v>
      </c>
      <c r="P162" t="s">
        <v>2090</v>
      </c>
      <c r="Q162">
        <v>0.95</v>
      </c>
    </row>
    <row r="163" spans="14:17" x14ac:dyDescent="0.45">
      <c r="N163" t="s">
        <v>27</v>
      </c>
      <c r="O163" t="s">
        <v>1420</v>
      </c>
      <c r="P163" t="s">
        <v>2090</v>
      </c>
      <c r="Q163">
        <v>0.95</v>
      </c>
    </row>
    <row r="164" spans="14:17" x14ac:dyDescent="0.45">
      <c r="N164" t="s">
        <v>27</v>
      </c>
      <c r="O164" t="s">
        <v>1428</v>
      </c>
      <c r="P164" t="s">
        <v>2091</v>
      </c>
      <c r="Q164">
        <v>0.95</v>
      </c>
    </row>
    <row r="165" spans="14:17" x14ac:dyDescent="0.45">
      <c r="N165" t="s">
        <v>27</v>
      </c>
      <c r="O165" t="s">
        <v>1436</v>
      </c>
      <c r="P165" t="s">
        <v>2091</v>
      </c>
      <c r="Q165">
        <v>0.95</v>
      </c>
    </row>
    <row r="166" spans="14:17" x14ac:dyDescent="0.45">
      <c r="N166" t="s">
        <v>27</v>
      </c>
      <c r="O166" t="s">
        <v>1440</v>
      </c>
      <c r="P166" t="s">
        <v>2091</v>
      </c>
      <c r="Q166">
        <v>0.95</v>
      </c>
    </row>
    <row r="167" spans="14:17" x14ac:dyDescent="0.45">
      <c r="N167" t="s">
        <v>27</v>
      </c>
      <c r="O167" t="s">
        <v>1439</v>
      </c>
      <c r="P167" t="s">
        <v>2091</v>
      </c>
      <c r="Q167">
        <v>0.95</v>
      </c>
    </row>
    <row r="168" spans="14:17" x14ac:dyDescent="0.45">
      <c r="N168" t="s">
        <v>27</v>
      </c>
      <c r="O168" t="s">
        <v>1447</v>
      </c>
      <c r="P168" t="s">
        <v>2092</v>
      </c>
      <c r="Q168">
        <v>0.95</v>
      </c>
    </row>
    <row r="169" spans="14:17" x14ac:dyDescent="0.45">
      <c r="N169" t="s">
        <v>27</v>
      </c>
      <c r="O169" t="s">
        <v>1455</v>
      </c>
      <c r="P169" t="s">
        <v>2092</v>
      </c>
      <c r="Q169">
        <v>0.95</v>
      </c>
    </row>
    <row r="170" spans="14:17" x14ac:dyDescent="0.45">
      <c r="N170" t="s">
        <v>27</v>
      </c>
      <c r="O170" t="s">
        <v>1459</v>
      </c>
      <c r="P170" t="s">
        <v>2092</v>
      </c>
      <c r="Q170">
        <v>0.95</v>
      </c>
    </row>
    <row r="171" spans="14:17" x14ac:dyDescent="0.45">
      <c r="N171" t="s">
        <v>27</v>
      </c>
      <c r="O171" t="s">
        <v>1458</v>
      </c>
      <c r="P171" t="s">
        <v>2092</v>
      </c>
      <c r="Q171">
        <v>0.95</v>
      </c>
    </row>
    <row r="172" spans="14:17" x14ac:dyDescent="0.45">
      <c r="N172" t="s">
        <v>27</v>
      </c>
      <c r="O172" t="s">
        <v>1466</v>
      </c>
      <c r="P172" t="s">
        <v>2093</v>
      </c>
      <c r="Q172">
        <v>0.95</v>
      </c>
    </row>
    <row r="173" spans="14:17" x14ac:dyDescent="0.45">
      <c r="N173" t="s">
        <v>27</v>
      </c>
      <c r="O173" t="s">
        <v>1474</v>
      </c>
      <c r="P173" t="s">
        <v>2093</v>
      </c>
      <c r="Q173">
        <v>0.95</v>
      </c>
    </row>
    <row r="174" spans="14:17" x14ac:dyDescent="0.45">
      <c r="N174" t="s">
        <v>27</v>
      </c>
      <c r="O174" t="s">
        <v>1478</v>
      </c>
      <c r="P174" t="s">
        <v>2093</v>
      </c>
      <c r="Q174">
        <v>0.95</v>
      </c>
    </row>
    <row r="175" spans="14:17" x14ac:dyDescent="0.45">
      <c r="N175" t="s">
        <v>27</v>
      </c>
      <c r="O175" t="s">
        <v>1477</v>
      </c>
      <c r="P175" t="s">
        <v>2093</v>
      </c>
      <c r="Q175">
        <v>0.95</v>
      </c>
    </row>
    <row r="176" spans="14:17" x14ac:dyDescent="0.45">
      <c r="N176" t="s">
        <v>27</v>
      </c>
      <c r="O176" t="s">
        <v>1485</v>
      </c>
      <c r="P176" t="s">
        <v>2094</v>
      </c>
      <c r="Q176">
        <v>0.95</v>
      </c>
    </row>
    <row r="177" spans="14:17" x14ac:dyDescent="0.45">
      <c r="N177" t="s">
        <v>27</v>
      </c>
      <c r="O177" t="s">
        <v>1493</v>
      </c>
      <c r="P177" t="s">
        <v>2094</v>
      </c>
      <c r="Q177">
        <v>0.95</v>
      </c>
    </row>
    <row r="178" spans="14:17" x14ac:dyDescent="0.45">
      <c r="N178" t="s">
        <v>27</v>
      </c>
      <c r="O178" t="s">
        <v>1497</v>
      </c>
      <c r="P178" t="s">
        <v>2094</v>
      </c>
      <c r="Q178">
        <v>0.95</v>
      </c>
    </row>
    <row r="179" spans="14:17" x14ac:dyDescent="0.45">
      <c r="N179" t="s">
        <v>27</v>
      </c>
      <c r="O179" t="s">
        <v>1496</v>
      </c>
      <c r="P179" t="s">
        <v>2094</v>
      </c>
      <c r="Q179">
        <v>0.95</v>
      </c>
    </row>
    <row r="180" spans="14:17" x14ac:dyDescent="0.45">
      <c r="N180" t="s">
        <v>27</v>
      </c>
      <c r="O180" t="s">
        <v>1504</v>
      </c>
      <c r="P180" t="s">
        <v>2095</v>
      </c>
      <c r="Q180">
        <v>0.95</v>
      </c>
    </row>
    <row r="181" spans="14:17" x14ac:dyDescent="0.45">
      <c r="N181" t="s">
        <v>27</v>
      </c>
      <c r="O181" t="s">
        <v>1512</v>
      </c>
      <c r="P181" t="s">
        <v>2095</v>
      </c>
      <c r="Q181">
        <v>0.95</v>
      </c>
    </row>
    <row r="182" spans="14:17" x14ac:dyDescent="0.45">
      <c r="N182" t="s">
        <v>27</v>
      </c>
      <c r="O182" t="s">
        <v>1516</v>
      </c>
      <c r="P182" t="s">
        <v>2095</v>
      </c>
      <c r="Q182">
        <v>0.95</v>
      </c>
    </row>
    <row r="183" spans="14:17" x14ac:dyDescent="0.45">
      <c r="N183" t="s">
        <v>27</v>
      </c>
      <c r="O183" t="s">
        <v>1515</v>
      </c>
      <c r="P183" t="s">
        <v>2095</v>
      </c>
      <c r="Q183">
        <v>0.95</v>
      </c>
    </row>
    <row r="184" spans="14:17" x14ac:dyDescent="0.45">
      <c r="N184" t="s">
        <v>27</v>
      </c>
      <c r="O184" t="s">
        <v>1523</v>
      </c>
      <c r="P184" t="s">
        <v>2096</v>
      </c>
      <c r="Q184">
        <v>0.95</v>
      </c>
    </row>
    <row r="185" spans="14:17" x14ac:dyDescent="0.45">
      <c r="N185" t="s">
        <v>27</v>
      </c>
      <c r="O185" t="s">
        <v>1531</v>
      </c>
      <c r="P185" t="s">
        <v>2096</v>
      </c>
      <c r="Q185">
        <v>0.95</v>
      </c>
    </row>
    <row r="186" spans="14:17" x14ac:dyDescent="0.45">
      <c r="N186" t="s">
        <v>27</v>
      </c>
      <c r="O186" t="s">
        <v>1535</v>
      </c>
      <c r="P186" t="s">
        <v>2096</v>
      </c>
      <c r="Q186">
        <v>0.95</v>
      </c>
    </row>
    <row r="187" spans="14:17" x14ac:dyDescent="0.45">
      <c r="N187" t="s">
        <v>27</v>
      </c>
      <c r="O187" t="s">
        <v>1534</v>
      </c>
      <c r="P187" t="s">
        <v>2096</v>
      </c>
      <c r="Q187">
        <v>0.95</v>
      </c>
    </row>
    <row r="188" spans="14:17" x14ac:dyDescent="0.45">
      <c r="N188" t="s">
        <v>27</v>
      </c>
      <c r="O188" t="s">
        <v>1542</v>
      </c>
      <c r="P188" t="s">
        <v>2097</v>
      </c>
      <c r="Q188">
        <v>0.95</v>
      </c>
    </row>
    <row r="189" spans="14:17" x14ac:dyDescent="0.45">
      <c r="N189" t="s">
        <v>27</v>
      </c>
      <c r="O189" t="s">
        <v>1550</v>
      </c>
      <c r="P189" t="s">
        <v>2097</v>
      </c>
      <c r="Q189">
        <v>0.95</v>
      </c>
    </row>
    <row r="190" spans="14:17" x14ac:dyDescent="0.45">
      <c r="N190" t="s">
        <v>27</v>
      </c>
      <c r="O190" t="s">
        <v>1554</v>
      </c>
      <c r="P190" t="s">
        <v>2097</v>
      </c>
      <c r="Q190">
        <v>0.95</v>
      </c>
    </row>
    <row r="191" spans="14:17" x14ac:dyDescent="0.45">
      <c r="N191" t="s">
        <v>27</v>
      </c>
      <c r="O191" t="s">
        <v>1553</v>
      </c>
      <c r="P191" t="s">
        <v>2097</v>
      </c>
      <c r="Q191">
        <v>0.95</v>
      </c>
    </row>
    <row r="192" spans="14:17" x14ac:dyDescent="0.45">
      <c r="N192" t="s">
        <v>27</v>
      </c>
      <c r="O192" t="s">
        <v>1561</v>
      </c>
      <c r="P192" t="s">
        <v>2098</v>
      </c>
      <c r="Q192">
        <v>0.95</v>
      </c>
    </row>
    <row r="193" spans="14:17" x14ac:dyDescent="0.45">
      <c r="N193" t="s">
        <v>27</v>
      </c>
      <c r="O193" t="s">
        <v>1569</v>
      </c>
      <c r="P193" t="s">
        <v>2098</v>
      </c>
      <c r="Q193">
        <v>0.95</v>
      </c>
    </row>
    <row r="194" spans="14:17" x14ac:dyDescent="0.45">
      <c r="N194" t="s">
        <v>27</v>
      </c>
      <c r="O194" t="s">
        <v>1573</v>
      </c>
      <c r="P194" t="s">
        <v>2098</v>
      </c>
      <c r="Q194">
        <v>0.95</v>
      </c>
    </row>
    <row r="195" spans="14:17" x14ac:dyDescent="0.45">
      <c r="N195" t="s">
        <v>27</v>
      </c>
      <c r="O195" t="s">
        <v>1572</v>
      </c>
      <c r="P195" t="s">
        <v>2098</v>
      </c>
      <c r="Q195">
        <v>0.95</v>
      </c>
    </row>
    <row r="196" spans="14:17" x14ac:dyDescent="0.45">
      <c r="N196" t="s">
        <v>27</v>
      </c>
      <c r="O196" t="s">
        <v>1580</v>
      </c>
      <c r="P196" t="s">
        <v>2099</v>
      </c>
      <c r="Q196">
        <v>0.95</v>
      </c>
    </row>
    <row r="197" spans="14:17" x14ac:dyDescent="0.45">
      <c r="N197" t="s">
        <v>27</v>
      </c>
      <c r="O197" t="s">
        <v>1588</v>
      </c>
      <c r="P197" t="s">
        <v>2099</v>
      </c>
      <c r="Q197">
        <v>0.95</v>
      </c>
    </row>
    <row r="198" spans="14:17" x14ac:dyDescent="0.45">
      <c r="N198" t="s">
        <v>27</v>
      </c>
      <c r="O198" t="s">
        <v>1592</v>
      </c>
      <c r="P198" t="s">
        <v>2099</v>
      </c>
      <c r="Q198">
        <v>0.95</v>
      </c>
    </row>
    <row r="199" spans="14:17" x14ac:dyDescent="0.45">
      <c r="N199" t="s">
        <v>27</v>
      </c>
      <c r="O199" t="s">
        <v>1591</v>
      </c>
      <c r="P199" t="s">
        <v>2099</v>
      </c>
      <c r="Q199">
        <v>0.95</v>
      </c>
    </row>
    <row r="200" spans="14:17" x14ac:dyDescent="0.45">
      <c r="N200" t="s">
        <v>27</v>
      </c>
      <c r="O200" t="s">
        <v>1599</v>
      </c>
      <c r="P200" t="s">
        <v>2100</v>
      </c>
      <c r="Q200">
        <v>0.95</v>
      </c>
    </row>
    <row r="201" spans="14:17" x14ac:dyDescent="0.45">
      <c r="N201" t="s">
        <v>27</v>
      </c>
      <c r="O201" t="s">
        <v>1607</v>
      </c>
      <c r="P201" t="s">
        <v>2100</v>
      </c>
      <c r="Q201">
        <v>0.95</v>
      </c>
    </row>
    <row r="202" spans="14:17" x14ac:dyDescent="0.45">
      <c r="N202" t="s">
        <v>27</v>
      </c>
      <c r="O202" t="s">
        <v>1611</v>
      </c>
      <c r="P202" t="s">
        <v>2100</v>
      </c>
      <c r="Q202">
        <v>0.95</v>
      </c>
    </row>
    <row r="203" spans="14:17" x14ac:dyDescent="0.45">
      <c r="N203" t="s">
        <v>27</v>
      </c>
      <c r="O203" t="s">
        <v>1610</v>
      </c>
      <c r="P203" t="s">
        <v>2100</v>
      </c>
      <c r="Q203">
        <v>0.95</v>
      </c>
    </row>
    <row r="204" spans="14:17" x14ac:dyDescent="0.45">
      <c r="N204" t="s">
        <v>27</v>
      </c>
      <c r="O204" t="s">
        <v>1618</v>
      </c>
      <c r="P204" t="s">
        <v>2101</v>
      </c>
      <c r="Q204">
        <v>0.95</v>
      </c>
    </row>
    <row r="205" spans="14:17" x14ac:dyDescent="0.45">
      <c r="N205" t="s">
        <v>27</v>
      </c>
      <c r="O205" t="s">
        <v>1626</v>
      </c>
      <c r="P205" t="s">
        <v>2101</v>
      </c>
      <c r="Q205">
        <v>0.95</v>
      </c>
    </row>
    <row r="206" spans="14:17" x14ac:dyDescent="0.45">
      <c r="N206" t="s">
        <v>27</v>
      </c>
      <c r="O206" t="s">
        <v>1630</v>
      </c>
      <c r="P206" t="s">
        <v>2101</v>
      </c>
      <c r="Q206">
        <v>0.95</v>
      </c>
    </row>
    <row r="207" spans="14:17" x14ac:dyDescent="0.45">
      <c r="N207" t="s">
        <v>27</v>
      </c>
      <c r="O207" t="s">
        <v>1629</v>
      </c>
      <c r="P207" t="s">
        <v>2101</v>
      </c>
      <c r="Q207">
        <v>0.95</v>
      </c>
    </row>
    <row r="208" spans="14:17" x14ac:dyDescent="0.45">
      <c r="N208" t="s">
        <v>27</v>
      </c>
      <c r="O208" t="s">
        <v>1637</v>
      </c>
      <c r="P208" t="s">
        <v>2102</v>
      </c>
      <c r="Q208">
        <v>0.95</v>
      </c>
    </row>
    <row r="209" spans="14:17" x14ac:dyDescent="0.45">
      <c r="N209" t="s">
        <v>27</v>
      </c>
      <c r="O209" t="s">
        <v>1645</v>
      </c>
      <c r="P209" t="s">
        <v>2102</v>
      </c>
      <c r="Q209">
        <v>0.95</v>
      </c>
    </row>
    <row r="210" spans="14:17" x14ac:dyDescent="0.45">
      <c r="N210" t="s">
        <v>27</v>
      </c>
      <c r="O210" t="s">
        <v>1649</v>
      </c>
      <c r="P210" t="s">
        <v>2102</v>
      </c>
      <c r="Q210">
        <v>0.95</v>
      </c>
    </row>
    <row r="211" spans="14:17" x14ac:dyDescent="0.45">
      <c r="N211" t="s">
        <v>27</v>
      </c>
      <c r="O211" t="s">
        <v>1648</v>
      </c>
      <c r="P211" t="s">
        <v>2102</v>
      </c>
      <c r="Q211">
        <v>0.95</v>
      </c>
    </row>
    <row r="212" spans="14:17" x14ac:dyDescent="0.45">
      <c r="N212" t="s">
        <v>27</v>
      </c>
      <c r="O212" t="s">
        <v>1656</v>
      </c>
      <c r="P212" t="s">
        <v>2103</v>
      </c>
      <c r="Q212">
        <v>0.95</v>
      </c>
    </row>
    <row r="213" spans="14:17" x14ac:dyDescent="0.45">
      <c r="N213" t="s">
        <v>27</v>
      </c>
      <c r="O213" t="s">
        <v>1664</v>
      </c>
      <c r="P213" t="s">
        <v>2103</v>
      </c>
      <c r="Q213">
        <v>0.95</v>
      </c>
    </row>
    <row r="214" spans="14:17" x14ac:dyDescent="0.45">
      <c r="N214" t="s">
        <v>27</v>
      </c>
      <c r="O214" t="s">
        <v>1668</v>
      </c>
      <c r="P214" t="s">
        <v>2103</v>
      </c>
      <c r="Q214">
        <v>0.95</v>
      </c>
    </row>
    <row r="215" spans="14:17" x14ac:dyDescent="0.45">
      <c r="N215" t="s">
        <v>27</v>
      </c>
      <c r="O215" t="s">
        <v>1667</v>
      </c>
      <c r="P215" t="s">
        <v>2103</v>
      </c>
      <c r="Q215">
        <v>0.95</v>
      </c>
    </row>
    <row r="216" spans="14:17" x14ac:dyDescent="0.45">
      <c r="N216" t="s">
        <v>27</v>
      </c>
      <c r="O216" t="s">
        <v>1675</v>
      </c>
      <c r="P216" t="s">
        <v>2104</v>
      </c>
      <c r="Q216">
        <v>0.95</v>
      </c>
    </row>
    <row r="217" spans="14:17" x14ac:dyDescent="0.45">
      <c r="N217" t="s">
        <v>27</v>
      </c>
      <c r="O217" t="s">
        <v>1683</v>
      </c>
      <c r="P217" t="s">
        <v>2104</v>
      </c>
      <c r="Q217">
        <v>0.95</v>
      </c>
    </row>
    <row r="218" spans="14:17" x14ac:dyDescent="0.45">
      <c r="N218" t="s">
        <v>27</v>
      </c>
      <c r="O218" t="s">
        <v>1687</v>
      </c>
      <c r="P218" t="s">
        <v>2104</v>
      </c>
      <c r="Q218">
        <v>0.95</v>
      </c>
    </row>
    <row r="219" spans="14:17" x14ac:dyDescent="0.45">
      <c r="N219" t="s">
        <v>27</v>
      </c>
      <c r="O219" t="s">
        <v>1686</v>
      </c>
      <c r="P219" t="s">
        <v>2104</v>
      </c>
      <c r="Q219">
        <v>0.95</v>
      </c>
    </row>
    <row r="220" spans="14:17" x14ac:dyDescent="0.45">
      <c r="N220" t="s">
        <v>27</v>
      </c>
      <c r="O220" t="s">
        <v>1694</v>
      </c>
      <c r="P220" t="s">
        <v>2105</v>
      </c>
      <c r="Q220">
        <v>0.95</v>
      </c>
    </row>
    <row r="221" spans="14:17" x14ac:dyDescent="0.45">
      <c r="N221" t="s">
        <v>27</v>
      </c>
      <c r="O221" t="s">
        <v>1702</v>
      </c>
      <c r="P221" t="s">
        <v>2105</v>
      </c>
      <c r="Q221">
        <v>0.95</v>
      </c>
    </row>
    <row r="222" spans="14:17" x14ac:dyDescent="0.45">
      <c r="N222" t="s">
        <v>27</v>
      </c>
      <c r="O222" t="s">
        <v>1706</v>
      </c>
      <c r="P222" t="s">
        <v>2105</v>
      </c>
      <c r="Q222">
        <v>0.95</v>
      </c>
    </row>
    <row r="223" spans="14:17" x14ac:dyDescent="0.45">
      <c r="N223" t="s">
        <v>27</v>
      </c>
      <c r="O223" t="s">
        <v>1705</v>
      </c>
      <c r="P223" t="s">
        <v>2105</v>
      </c>
      <c r="Q223">
        <v>0.95</v>
      </c>
    </row>
    <row r="224" spans="14:17" x14ac:dyDescent="0.45">
      <c r="N224" t="s">
        <v>27</v>
      </c>
      <c r="O224" t="s">
        <v>1713</v>
      </c>
      <c r="P224" t="s">
        <v>2106</v>
      </c>
      <c r="Q224">
        <v>0.95</v>
      </c>
    </row>
    <row r="225" spans="14:17" x14ac:dyDescent="0.45">
      <c r="N225" t="s">
        <v>27</v>
      </c>
      <c r="O225" t="s">
        <v>1721</v>
      </c>
      <c r="P225" t="s">
        <v>2106</v>
      </c>
      <c r="Q225">
        <v>0.95</v>
      </c>
    </row>
    <row r="226" spans="14:17" x14ac:dyDescent="0.45">
      <c r="N226" t="s">
        <v>27</v>
      </c>
      <c r="O226" t="s">
        <v>1725</v>
      </c>
      <c r="P226" t="s">
        <v>2106</v>
      </c>
      <c r="Q226">
        <v>0.95</v>
      </c>
    </row>
    <row r="227" spans="14:17" x14ac:dyDescent="0.45">
      <c r="N227" t="s">
        <v>27</v>
      </c>
      <c r="O227" t="s">
        <v>1724</v>
      </c>
      <c r="P227" t="s">
        <v>2106</v>
      </c>
      <c r="Q227">
        <v>0.95</v>
      </c>
    </row>
    <row r="228" spans="14:17" x14ac:dyDescent="0.45">
      <c r="N228" t="s">
        <v>27</v>
      </c>
      <c r="O228" t="s">
        <v>1732</v>
      </c>
      <c r="P228" t="s">
        <v>2107</v>
      </c>
      <c r="Q228">
        <v>0.95</v>
      </c>
    </row>
    <row r="229" spans="14:17" x14ac:dyDescent="0.45">
      <c r="N229" t="s">
        <v>27</v>
      </c>
      <c r="O229" t="s">
        <v>1740</v>
      </c>
      <c r="P229" t="s">
        <v>2107</v>
      </c>
      <c r="Q229">
        <v>0.95</v>
      </c>
    </row>
    <row r="230" spans="14:17" x14ac:dyDescent="0.45">
      <c r="N230" t="s">
        <v>27</v>
      </c>
      <c r="O230" t="s">
        <v>1744</v>
      </c>
      <c r="P230" t="s">
        <v>2107</v>
      </c>
      <c r="Q230">
        <v>0.95</v>
      </c>
    </row>
    <row r="231" spans="14:17" x14ac:dyDescent="0.45">
      <c r="N231" t="s">
        <v>27</v>
      </c>
      <c r="O231" t="s">
        <v>1743</v>
      </c>
      <c r="P231" t="s">
        <v>2107</v>
      </c>
      <c r="Q231">
        <v>0.95</v>
      </c>
    </row>
    <row r="232" spans="14:17" x14ac:dyDescent="0.45">
      <c r="N232" t="s">
        <v>27</v>
      </c>
      <c r="O232" t="s">
        <v>1751</v>
      </c>
      <c r="P232" t="s">
        <v>2108</v>
      </c>
      <c r="Q232">
        <v>0.95</v>
      </c>
    </row>
    <row r="233" spans="14:17" x14ac:dyDescent="0.45">
      <c r="N233" t="s">
        <v>27</v>
      </c>
      <c r="O233" t="s">
        <v>1759</v>
      </c>
      <c r="P233" t="s">
        <v>2108</v>
      </c>
      <c r="Q233">
        <v>0.95</v>
      </c>
    </row>
    <row r="234" spans="14:17" x14ac:dyDescent="0.45">
      <c r="N234" t="s">
        <v>27</v>
      </c>
      <c r="O234" t="s">
        <v>1763</v>
      </c>
      <c r="P234" t="s">
        <v>2108</v>
      </c>
      <c r="Q234">
        <v>0.95</v>
      </c>
    </row>
    <row r="235" spans="14:17" x14ac:dyDescent="0.45">
      <c r="N235" t="s">
        <v>27</v>
      </c>
      <c r="O235" t="s">
        <v>1762</v>
      </c>
      <c r="P235" t="s">
        <v>2108</v>
      </c>
      <c r="Q235">
        <v>0.95</v>
      </c>
    </row>
    <row r="236" spans="14:17" x14ac:dyDescent="0.45">
      <c r="N236" t="s">
        <v>27</v>
      </c>
      <c r="O236" t="s">
        <v>1770</v>
      </c>
      <c r="P236" t="s">
        <v>2109</v>
      </c>
      <c r="Q236">
        <v>0.95</v>
      </c>
    </row>
    <row r="237" spans="14:17" x14ac:dyDescent="0.45">
      <c r="N237" t="s">
        <v>27</v>
      </c>
      <c r="O237" t="s">
        <v>1778</v>
      </c>
      <c r="P237" t="s">
        <v>2109</v>
      </c>
      <c r="Q237">
        <v>0.95</v>
      </c>
    </row>
    <row r="238" spans="14:17" x14ac:dyDescent="0.45">
      <c r="N238" t="s">
        <v>27</v>
      </c>
      <c r="O238" t="s">
        <v>1782</v>
      </c>
      <c r="P238" t="s">
        <v>2109</v>
      </c>
      <c r="Q238">
        <v>0.95</v>
      </c>
    </row>
    <row r="239" spans="14:17" x14ac:dyDescent="0.45">
      <c r="N239" t="s">
        <v>27</v>
      </c>
      <c r="O239" t="s">
        <v>1781</v>
      </c>
      <c r="P239" t="s">
        <v>2109</v>
      </c>
      <c r="Q239">
        <v>0.95</v>
      </c>
    </row>
    <row r="240" spans="14:17" x14ac:dyDescent="0.45">
      <c r="N240" t="s">
        <v>27</v>
      </c>
      <c r="O240" t="s">
        <v>2110</v>
      </c>
      <c r="P240" t="s">
        <v>2051</v>
      </c>
      <c r="Q240">
        <v>0.85</v>
      </c>
    </row>
    <row r="241" spans="14:17" x14ac:dyDescent="0.45">
      <c r="N241" t="s">
        <v>27</v>
      </c>
      <c r="O241" t="s">
        <v>2111</v>
      </c>
      <c r="P241" t="s">
        <v>2076</v>
      </c>
      <c r="Q241">
        <v>0.85</v>
      </c>
    </row>
    <row r="242" spans="14:17" x14ac:dyDescent="0.45">
      <c r="N242" t="s">
        <v>27</v>
      </c>
      <c r="O242" t="s">
        <v>2112</v>
      </c>
      <c r="P242" t="s">
        <v>2081</v>
      </c>
      <c r="Q242">
        <v>0.85</v>
      </c>
    </row>
    <row r="243" spans="14:17" x14ac:dyDescent="0.45">
      <c r="N243" t="s">
        <v>27</v>
      </c>
      <c r="O243" t="s">
        <v>2113</v>
      </c>
      <c r="P243" t="s">
        <v>2069</v>
      </c>
      <c r="Q243">
        <v>0.85</v>
      </c>
    </row>
    <row r="244" spans="14:17" x14ac:dyDescent="0.45">
      <c r="N244" t="s">
        <v>27</v>
      </c>
      <c r="O244" t="s">
        <v>2114</v>
      </c>
      <c r="P244" t="s">
        <v>2055</v>
      </c>
      <c r="Q244">
        <v>0.85</v>
      </c>
    </row>
    <row r="245" spans="14:17" x14ac:dyDescent="0.45">
      <c r="N245" t="s">
        <v>27</v>
      </c>
      <c r="O245" t="s">
        <v>2115</v>
      </c>
      <c r="P245" t="s">
        <v>2086</v>
      </c>
      <c r="Q245">
        <v>0.85</v>
      </c>
    </row>
    <row r="246" spans="14:17" x14ac:dyDescent="0.45">
      <c r="N246" t="s">
        <v>27</v>
      </c>
      <c r="O246" t="s">
        <v>2116</v>
      </c>
      <c r="P246" t="s">
        <v>2101</v>
      </c>
      <c r="Q246">
        <v>0.85</v>
      </c>
    </row>
    <row r="247" spans="14:17" x14ac:dyDescent="0.45">
      <c r="N247" t="s">
        <v>27</v>
      </c>
      <c r="O247" t="s">
        <v>2117</v>
      </c>
      <c r="P247" t="s">
        <v>2052</v>
      </c>
      <c r="Q247">
        <v>0.85</v>
      </c>
    </row>
    <row r="248" spans="14:17" x14ac:dyDescent="0.45">
      <c r="N248" t="s">
        <v>27</v>
      </c>
      <c r="O248" t="s">
        <v>2118</v>
      </c>
      <c r="P248" t="s">
        <v>2086</v>
      </c>
      <c r="Q248">
        <v>0.85</v>
      </c>
    </row>
    <row r="249" spans="14:17" x14ac:dyDescent="0.45">
      <c r="N249" t="s">
        <v>27</v>
      </c>
      <c r="O249" t="s">
        <v>2119</v>
      </c>
      <c r="P249" t="s">
        <v>2089</v>
      </c>
      <c r="Q249">
        <v>0.85</v>
      </c>
    </row>
    <row r="250" spans="14:17" x14ac:dyDescent="0.45">
      <c r="N250" t="s">
        <v>27</v>
      </c>
      <c r="O250" t="s">
        <v>2120</v>
      </c>
      <c r="P250" t="s">
        <v>2102</v>
      </c>
      <c r="Q250">
        <v>0.85</v>
      </c>
    </row>
    <row r="251" spans="14:17" x14ac:dyDescent="0.45">
      <c r="N251" t="s">
        <v>27</v>
      </c>
      <c r="O251" t="s">
        <v>2121</v>
      </c>
      <c r="P251" t="s">
        <v>2081</v>
      </c>
      <c r="Q251">
        <v>0.85</v>
      </c>
    </row>
    <row r="252" spans="14:17" x14ac:dyDescent="0.45">
      <c r="N252" t="s">
        <v>27</v>
      </c>
      <c r="O252" t="s">
        <v>2122</v>
      </c>
      <c r="P252" t="s">
        <v>2060</v>
      </c>
      <c r="Q252">
        <v>0.85</v>
      </c>
    </row>
    <row r="253" spans="14:17" x14ac:dyDescent="0.45">
      <c r="N253" t="s">
        <v>27</v>
      </c>
      <c r="O253" t="s">
        <v>2123</v>
      </c>
      <c r="P253" t="s">
        <v>2075</v>
      </c>
      <c r="Q253">
        <v>0.85</v>
      </c>
    </row>
    <row r="254" spans="14:17" x14ac:dyDescent="0.45">
      <c r="N254" t="s">
        <v>27</v>
      </c>
      <c r="O254" t="s">
        <v>2124</v>
      </c>
      <c r="P254" t="s">
        <v>2109</v>
      </c>
      <c r="Q254">
        <v>0.85</v>
      </c>
    </row>
    <row r="255" spans="14:17" x14ac:dyDescent="0.45">
      <c r="N255" t="s">
        <v>27</v>
      </c>
      <c r="O255" t="s">
        <v>2125</v>
      </c>
      <c r="P255" t="s">
        <v>2053</v>
      </c>
      <c r="Q255">
        <v>0.85</v>
      </c>
    </row>
    <row r="256" spans="14:17" x14ac:dyDescent="0.45">
      <c r="N256" t="s">
        <v>27</v>
      </c>
      <c r="O256" t="s">
        <v>2126</v>
      </c>
      <c r="P256" t="s">
        <v>2101</v>
      </c>
      <c r="Q256">
        <v>0.85</v>
      </c>
    </row>
    <row r="257" spans="14:17" x14ac:dyDescent="0.45">
      <c r="N257" t="s">
        <v>27</v>
      </c>
      <c r="O257" t="s">
        <v>2127</v>
      </c>
      <c r="P257" t="s">
        <v>2094</v>
      </c>
      <c r="Q257">
        <v>0.85</v>
      </c>
    </row>
    <row r="258" spans="14:17" x14ac:dyDescent="0.45">
      <c r="N258" t="s">
        <v>27</v>
      </c>
      <c r="O258" t="s">
        <v>2128</v>
      </c>
      <c r="P258" t="s">
        <v>2089</v>
      </c>
      <c r="Q258">
        <v>0.85</v>
      </c>
    </row>
    <row r="259" spans="14:17" x14ac:dyDescent="0.45">
      <c r="N259" t="s">
        <v>27</v>
      </c>
      <c r="O259" t="s">
        <v>2129</v>
      </c>
      <c r="P259" t="s">
        <v>2094</v>
      </c>
      <c r="Q259">
        <v>0.85</v>
      </c>
    </row>
    <row r="260" spans="14:17" x14ac:dyDescent="0.45">
      <c r="N260" t="s">
        <v>27</v>
      </c>
      <c r="O260" t="s">
        <v>2130</v>
      </c>
      <c r="P260" t="s">
        <v>2062</v>
      </c>
      <c r="Q260">
        <v>0.85</v>
      </c>
    </row>
    <row r="261" spans="14:17" x14ac:dyDescent="0.45">
      <c r="N261" t="s">
        <v>27</v>
      </c>
      <c r="O261" t="s">
        <v>2131</v>
      </c>
      <c r="P261" t="s">
        <v>2094</v>
      </c>
      <c r="Q261">
        <v>0.85</v>
      </c>
    </row>
    <row r="262" spans="14:17" x14ac:dyDescent="0.45">
      <c r="N262" t="s">
        <v>27</v>
      </c>
      <c r="O262" t="s">
        <v>2132</v>
      </c>
      <c r="P262" t="s">
        <v>2078</v>
      </c>
      <c r="Q262">
        <v>0.85</v>
      </c>
    </row>
    <row r="263" spans="14:17" x14ac:dyDescent="0.45">
      <c r="N263" t="s">
        <v>27</v>
      </c>
      <c r="O263" t="s">
        <v>2133</v>
      </c>
      <c r="P263" t="s">
        <v>2078</v>
      </c>
      <c r="Q263">
        <v>0.85</v>
      </c>
    </row>
    <row r="264" spans="14:17" x14ac:dyDescent="0.45">
      <c r="N264" t="s">
        <v>27</v>
      </c>
      <c r="O264" t="s">
        <v>2134</v>
      </c>
      <c r="P264" t="s">
        <v>2094</v>
      </c>
      <c r="Q264">
        <v>0.85</v>
      </c>
    </row>
    <row r="265" spans="14:17" x14ac:dyDescent="0.45">
      <c r="N265" t="s">
        <v>27</v>
      </c>
      <c r="O265" t="s">
        <v>2135</v>
      </c>
      <c r="P265" t="s">
        <v>2075</v>
      </c>
      <c r="Q265">
        <v>0.85</v>
      </c>
    </row>
    <row r="266" spans="14:17" x14ac:dyDescent="0.45">
      <c r="N266" t="s">
        <v>27</v>
      </c>
      <c r="O266" t="s">
        <v>2136</v>
      </c>
      <c r="P266" t="s">
        <v>2075</v>
      </c>
      <c r="Q266">
        <v>0.85</v>
      </c>
    </row>
    <row r="267" spans="14:17" x14ac:dyDescent="0.45">
      <c r="N267" t="s">
        <v>27</v>
      </c>
      <c r="O267" t="s">
        <v>2137</v>
      </c>
      <c r="P267" t="s">
        <v>2087</v>
      </c>
      <c r="Q267">
        <v>0.85</v>
      </c>
    </row>
    <row r="268" spans="14:17" x14ac:dyDescent="0.45">
      <c r="N268" t="s">
        <v>27</v>
      </c>
      <c r="O268" t="s">
        <v>2138</v>
      </c>
      <c r="P268" t="s">
        <v>2062</v>
      </c>
      <c r="Q268">
        <v>0.85</v>
      </c>
    </row>
    <row r="269" spans="14:17" x14ac:dyDescent="0.45">
      <c r="N269" t="s">
        <v>27</v>
      </c>
      <c r="O269" t="s">
        <v>2139</v>
      </c>
      <c r="P269" t="s">
        <v>2068</v>
      </c>
      <c r="Q269">
        <v>0.85</v>
      </c>
    </row>
    <row r="270" spans="14:17" x14ac:dyDescent="0.45">
      <c r="N270" t="s">
        <v>27</v>
      </c>
      <c r="O270" t="s">
        <v>2140</v>
      </c>
      <c r="P270" t="s">
        <v>2060</v>
      </c>
      <c r="Q270">
        <v>0.85</v>
      </c>
    </row>
    <row r="271" spans="14:17" x14ac:dyDescent="0.45">
      <c r="N271" t="s">
        <v>27</v>
      </c>
      <c r="O271" t="s">
        <v>2141</v>
      </c>
      <c r="P271" t="s">
        <v>2060</v>
      </c>
      <c r="Q271">
        <v>0.85</v>
      </c>
    </row>
    <row r="272" spans="14:17" x14ac:dyDescent="0.45">
      <c r="N272" t="s">
        <v>27</v>
      </c>
      <c r="O272" t="s">
        <v>2142</v>
      </c>
      <c r="P272" t="s">
        <v>2105</v>
      </c>
      <c r="Q272">
        <v>0.85</v>
      </c>
    </row>
    <row r="273" spans="14:17" x14ac:dyDescent="0.45">
      <c r="N273" t="s">
        <v>27</v>
      </c>
      <c r="O273" t="s">
        <v>2143</v>
      </c>
      <c r="P273" t="s">
        <v>2106</v>
      </c>
      <c r="Q273">
        <v>0.85</v>
      </c>
    </row>
    <row r="274" spans="14:17" x14ac:dyDescent="0.45">
      <c r="N274" t="s">
        <v>27</v>
      </c>
      <c r="O274" t="s">
        <v>2144</v>
      </c>
      <c r="P274" t="s">
        <v>2101</v>
      </c>
      <c r="Q274">
        <v>0.85</v>
      </c>
    </row>
    <row r="275" spans="14:17" x14ac:dyDescent="0.45">
      <c r="N275" t="s">
        <v>27</v>
      </c>
      <c r="O275" t="s">
        <v>2145</v>
      </c>
      <c r="P275" t="s">
        <v>2092</v>
      </c>
      <c r="Q275">
        <v>0.85</v>
      </c>
    </row>
    <row r="276" spans="14:17" x14ac:dyDescent="0.45">
      <c r="N276" t="s">
        <v>27</v>
      </c>
      <c r="O276" t="s">
        <v>2146</v>
      </c>
      <c r="P276" t="s">
        <v>2101</v>
      </c>
      <c r="Q276">
        <v>0.85</v>
      </c>
    </row>
    <row r="277" spans="14:17" x14ac:dyDescent="0.45">
      <c r="N277" t="s">
        <v>27</v>
      </c>
      <c r="O277" t="s">
        <v>2147</v>
      </c>
      <c r="P277" t="s">
        <v>2105</v>
      </c>
      <c r="Q277">
        <v>0.85</v>
      </c>
    </row>
    <row r="278" spans="14:17" x14ac:dyDescent="0.45">
      <c r="N278" t="s">
        <v>27</v>
      </c>
      <c r="O278" t="s">
        <v>2148</v>
      </c>
      <c r="P278" t="s">
        <v>2051</v>
      </c>
      <c r="Q278">
        <v>0.85</v>
      </c>
    </row>
    <row r="279" spans="14:17" x14ac:dyDescent="0.45">
      <c r="N279" t="s">
        <v>27</v>
      </c>
      <c r="O279" t="s">
        <v>2149</v>
      </c>
      <c r="P279" t="s">
        <v>2059</v>
      </c>
      <c r="Q279">
        <v>0.85</v>
      </c>
    </row>
    <row r="280" spans="14:17" x14ac:dyDescent="0.45">
      <c r="N280" t="s">
        <v>27</v>
      </c>
      <c r="O280" t="s">
        <v>2150</v>
      </c>
      <c r="P280" t="s">
        <v>2077</v>
      </c>
      <c r="Q280">
        <v>0.85</v>
      </c>
    </row>
    <row r="281" spans="14:17" x14ac:dyDescent="0.45">
      <c r="N281" t="s">
        <v>27</v>
      </c>
      <c r="O281" t="s">
        <v>2151</v>
      </c>
      <c r="P281" t="s">
        <v>2086</v>
      </c>
      <c r="Q281">
        <v>0.85</v>
      </c>
    </row>
    <row r="282" spans="14:17" x14ac:dyDescent="0.45">
      <c r="N282" t="s">
        <v>27</v>
      </c>
      <c r="O282" t="s">
        <v>2152</v>
      </c>
      <c r="P282" t="s">
        <v>2052</v>
      </c>
      <c r="Q282">
        <v>0.85</v>
      </c>
    </row>
    <row r="283" spans="14:17" x14ac:dyDescent="0.45">
      <c r="N283" t="s">
        <v>27</v>
      </c>
      <c r="O283" t="s">
        <v>2153</v>
      </c>
      <c r="P283" t="s">
        <v>2075</v>
      </c>
      <c r="Q283">
        <v>0.85</v>
      </c>
    </row>
    <row r="284" spans="14:17" x14ac:dyDescent="0.45">
      <c r="N284" t="s">
        <v>27</v>
      </c>
      <c r="O284" t="s">
        <v>2154</v>
      </c>
      <c r="P284" t="s">
        <v>2069</v>
      </c>
      <c r="Q284">
        <v>0.85</v>
      </c>
    </row>
    <row r="285" spans="14:17" x14ac:dyDescent="0.45">
      <c r="N285" t="s">
        <v>27</v>
      </c>
      <c r="O285" t="s">
        <v>2155</v>
      </c>
      <c r="P285" t="s">
        <v>2071</v>
      </c>
      <c r="Q285">
        <v>0.85</v>
      </c>
    </row>
    <row r="286" spans="14:17" x14ac:dyDescent="0.45">
      <c r="N286" t="s">
        <v>27</v>
      </c>
      <c r="O286" t="s">
        <v>2156</v>
      </c>
      <c r="P286" t="s">
        <v>2106</v>
      </c>
      <c r="Q286">
        <v>0.85</v>
      </c>
    </row>
    <row r="287" spans="14:17" x14ac:dyDescent="0.45">
      <c r="N287" t="s">
        <v>27</v>
      </c>
      <c r="O287" t="s">
        <v>2157</v>
      </c>
      <c r="P287" t="s">
        <v>2084</v>
      </c>
      <c r="Q287">
        <v>0.85</v>
      </c>
    </row>
    <row r="288" spans="14:17" x14ac:dyDescent="0.45">
      <c r="N288" t="s">
        <v>27</v>
      </c>
      <c r="O288" t="s">
        <v>2158</v>
      </c>
      <c r="P288" t="s">
        <v>2056</v>
      </c>
      <c r="Q288">
        <v>0.85</v>
      </c>
    </row>
    <row r="289" spans="14:17" x14ac:dyDescent="0.45">
      <c r="N289" t="s">
        <v>27</v>
      </c>
      <c r="O289" t="s">
        <v>2159</v>
      </c>
      <c r="P289" t="s">
        <v>2086</v>
      </c>
      <c r="Q289">
        <v>0.85</v>
      </c>
    </row>
    <row r="290" spans="14:17" x14ac:dyDescent="0.45">
      <c r="N290" t="s">
        <v>27</v>
      </c>
      <c r="O290" t="s">
        <v>2160</v>
      </c>
      <c r="P290" t="s">
        <v>2052</v>
      </c>
      <c r="Q290">
        <v>0.85</v>
      </c>
    </row>
    <row r="291" spans="14:17" x14ac:dyDescent="0.45">
      <c r="N291" t="s">
        <v>27</v>
      </c>
      <c r="O291" t="s">
        <v>2161</v>
      </c>
      <c r="P291" t="s">
        <v>2068</v>
      </c>
      <c r="Q291">
        <v>0.85</v>
      </c>
    </row>
    <row r="292" spans="14:17" x14ac:dyDescent="0.45">
      <c r="N292" t="s">
        <v>27</v>
      </c>
      <c r="O292" t="s">
        <v>2162</v>
      </c>
      <c r="P292" t="s">
        <v>2052</v>
      </c>
      <c r="Q292">
        <v>0.85</v>
      </c>
    </row>
    <row r="293" spans="14:17" x14ac:dyDescent="0.45">
      <c r="N293" t="s">
        <v>27</v>
      </c>
      <c r="O293" t="s">
        <v>2163</v>
      </c>
      <c r="P293" t="s">
        <v>2097</v>
      </c>
      <c r="Q293">
        <v>0.85</v>
      </c>
    </row>
    <row r="294" spans="14:17" x14ac:dyDescent="0.45">
      <c r="N294" t="s">
        <v>27</v>
      </c>
      <c r="O294" t="s">
        <v>2164</v>
      </c>
      <c r="P294" t="s">
        <v>2101</v>
      </c>
      <c r="Q294">
        <v>0.85</v>
      </c>
    </row>
    <row r="295" spans="14:17" x14ac:dyDescent="0.45">
      <c r="N295" t="s">
        <v>27</v>
      </c>
      <c r="O295" t="s">
        <v>2165</v>
      </c>
      <c r="P295" t="s">
        <v>2089</v>
      </c>
      <c r="Q295">
        <v>0.85</v>
      </c>
    </row>
    <row r="296" spans="14:17" x14ac:dyDescent="0.45">
      <c r="N296" t="s">
        <v>27</v>
      </c>
      <c r="O296" t="s">
        <v>2166</v>
      </c>
      <c r="P296" t="s">
        <v>2075</v>
      </c>
      <c r="Q296">
        <v>0.85</v>
      </c>
    </row>
    <row r="297" spans="14:17" x14ac:dyDescent="0.45">
      <c r="N297" t="s">
        <v>27</v>
      </c>
      <c r="O297" t="s">
        <v>2167</v>
      </c>
      <c r="P297" t="s">
        <v>2067</v>
      </c>
      <c r="Q297">
        <v>0.85</v>
      </c>
    </row>
    <row r="298" spans="14:17" x14ac:dyDescent="0.45">
      <c r="N298" t="s">
        <v>27</v>
      </c>
      <c r="O298" t="s">
        <v>2168</v>
      </c>
      <c r="P298" t="s">
        <v>2059</v>
      </c>
      <c r="Q298">
        <v>0.85</v>
      </c>
    </row>
    <row r="299" spans="14:17" x14ac:dyDescent="0.45">
      <c r="N299" t="s">
        <v>27</v>
      </c>
      <c r="O299" t="s">
        <v>2169</v>
      </c>
      <c r="P299" t="s">
        <v>2067</v>
      </c>
      <c r="Q299">
        <v>0.85</v>
      </c>
    </row>
    <row r="300" spans="14:17" x14ac:dyDescent="0.45">
      <c r="N300" t="s">
        <v>27</v>
      </c>
      <c r="O300" t="s">
        <v>2170</v>
      </c>
      <c r="P300" t="s">
        <v>2095</v>
      </c>
      <c r="Q300">
        <v>0.85</v>
      </c>
    </row>
    <row r="301" spans="14:17" x14ac:dyDescent="0.45">
      <c r="N301" t="s">
        <v>27</v>
      </c>
      <c r="O301" t="s">
        <v>2171</v>
      </c>
      <c r="P301" t="s">
        <v>2084</v>
      </c>
      <c r="Q301">
        <v>0.85</v>
      </c>
    </row>
    <row r="302" spans="14:17" x14ac:dyDescent="0.45">
      <c r="N302" t="s">
        <v>27</v>
      </c>
      <c r="O302" t="s">
        <v>2172</v>
      </c>
      <c r="P302" t="s">
        <v>2076</v>
      </c>
      <c r="Q302">
        <v>0.85</v>
      </c>
    </row>
    <row r="303" spans="14:17" x14ac:dyDescent="0.45">
      <c r="N303" t="s">
        <v>27</v>
      </c>
      <c r="O303" t="s">
        <v>2173</v>
      </c>
      <c r="P303" t="s">
        <v>2096</v>
      </c>
      <c r="Q303">
        <v>0.85</v>
      </c>
    </row>
    <row r="304" spans="14:17" x14ac:dyDescent="0.45">
      <c r="N304" t="s">
        <v>27</v>
      </c>
      <c r="O304" t="s">
        <v>2174</v>
      </c>
      <c r="P304" t="s">
        <v>2056</v>
      </c>
      <c r="Q304">
        <v>0.85</v>
      </c>
    </row>
    <row r="305" spans="14:17" x14ac:dyDescent="0.45">
      <c r="N305" t="s">
        <v>27</v>
      </c>
      <c r="O305" t="s">
        <v>2175</v>
      </c>
      <c r="P305" t="s">
        <v>2054</v>
      </c>
      <c r="Q305">
        <v>0.85</v>
      </c>
    </row>
    <row r="306" spans="14:17" x14ac:dyDescent="0.45">
      <c r="N306" t="s">
        <v>27</v>
      </c>
      <c r="O306" t="s">
        <v>2176</v>
      </c>
      <c r="P306" t="s">
        <v>2060</v>
      </c>
      <c r="Q306">
        <v>0.85</v>
      </c>
    </row>
    <row r="307" spans="14:17" x14ac:dyDescent="0.45">
      <c r="N307" t="s">
        <v>27</v>
      </c>
      <c r="O307" t="s">
        <v>2177</v>
      </c>
      <c r="P307" t="s">
        <v>2093</v>
      </c>
      <c r="Q307">
        <v>0.85</v>
      </c>
    </row>
    <row r="308" spans="14:17" x14ac:dyDescent="0.45">
      <c r="N308" t="s">
        <v>27</v>
      </c>
      <c r="O308" t="s">
        <v>2178</v>
      </c>
      <c r="P308" t="s">
        <v>2051</v>
      </c>
      <c r="Q308">
        <v>0.85</v>
      </c>
    </row>
    <row r="309" spans="14:17" x14ac:dyDescent="0.45">
      <c r="N309" t="s">
        <v>27</v>
      </c>
      <c r="O309" t="s">
        <v>2179</v>
      </c>
      <c r="P309" t="s">
        <v>2103</v>
      </c>
      <c r="Q309">
        <v>0.85</v>
      </c>
    </row>
    <row r="310" spans="14:17" x14ac:dyDescent="0.45">
      <c r="N310" t="s">
        <v>27</v>
      </c>
      <c r="O310" t="s">
        <v>2180</v>
      </c>
      <c r="P310" t="s">
        <v>2060</v>
      </c>
      <c r="Q310">
        <v>0.85</v>
      </c>
    </row>
    <row r="311" spans="14:17" x14ac:dyDescent="0.45">
      <c r="N311" t="s">
        <v>27</v>
      </c>
      <c r="O311" t="s">
        <v>2181</v>
      </c>
      <c r="P311" t="s">
        <v>2078</v>
      </c>
      <c r="Q311">
        <v>0.85</v>
      </c>
    </row>
    <row r="312" spans="14:17" x14ac:dyDescent="0.45">
      <c r="N312" t="s">
        <v>27</v>
      </c>
      <c r="O312" t="s">
        <v>2182</v>
      </c>
      <c r="P312" t="s">
        <v>2106</v>
      </c>
      <c r="Q312">
        <v>0.85</v>
      </c>
    </row>
    <row r="313" spans="14:17" x14ac:dyDescent="0.45">
      <c r="N313" t="s">
        <v>27</v>
      </c>
      <c r="O313" t="s">
        <v>2183</v>
      </c>
      <c r="P313" t="s">
        <v>2108</v>
      </c>
      <c r="Q313">
        <v>0.85</v>
      </c>
    </row>
    <row r="314" spans="14:17" x14ac:dyDescent="0.45">
      <c r="N314" t="s">
        <v>27</v>
      </c>
      <c r="O314" t="s">
        <v>2184</v>
      </c>
      <c r="P314" t="s">
        <v>2071</v>
      </c>
      <c r="Q314">
        <v>0.85</v>
      </c>
    </row>
    <row r="315" spans="14:17" x14ac:dyDescent="0.45">
      <c r="N315" t="s">
        <v>27</v>
      </c>
      <c r="O315" t="s">
        <v>2185</v>
      </c>
      <c r="P315" t="s">
        <v>2079</v>
      </c>
      <c r="Q315">
        <v>0.85</v>
      </c>
    </row>
    <row r="316" spans="14:17" x14ac:dyDescent="0.45">
      <c r="N316" t="s">
        <v>27</v>
      </c>
      <c r="O316" t="s">
        <v>2186</v>
      </c>
      <c r="P316" t="s">
        <v>2086</v>
      </c>
      <c r="Q316">
        <v>0.85</v>
      </c>
    </row>
    <row r="317" spans="14:17" x14ac:dyDescent="0.45">
      <c r="N317" t="s">
        <v>27</v>
      </c>
      <c r="O317" t="s">
        <v>2187</v>
      </c>
      <c r="P317" t="s">
        <v>2083</v>
      </c>
      <c r="Q317">
        <v>0.85</v>
      </c>
    </row>
    <row r="318" spans="14:17" x14ac:dyDescent="0.45">
      <c r="N318" t="s">
        <v>27</v>
      </c>
      <c r="O318" t="s">
        <v>2188</v>
      </c>
      <c r="P318" t="s">
        <v>2101</v>
      </c>
      <c r="Q318">
        <v>0.85</v>
      </c>
    </row>
    <row r="319" spans="14:17" x14ac:dyDescent="0.45">
      <c r="N319" t="s">
        <v>27</v>
      </c>
      <c r="O319" t="s">
        <v>2189</v>
      </c>
      <c r="P319" t="s">
        <v>2052</v>
      </c>
      <c r="Q319">
        <v>0.85</v>
      </c>
    </row>
    <row r="320" spans="14:17" x14ac:dyDescent="0.45">
      <c r="N320" t="s">
        <v>27</v>
      </c>
      <c r="O320" t="s">
        <v>2190</v>
      </c>
      <c r="P320" t="s">
        <v>2086</v>
      </c>
      <c r="Q320">
        <v>0.85</v>
      </c>
    </row>
    <row r="321" spans="14:17" x14ac:dyDescent="0.45">
      <c r="N321" t="s">
        <v>27</v>
      </c>
      <c r="O321" t="s">
        <v>2191</v>
      </c>
      <c r="P321" t="s">
        <v>2107</v>
      </c>
      <c r="Q321">
        <v>0.85</v>
      </c>
    </row>
    <row r="322" spans="14:17" x14ac:dyDescent="0.45">
      <c r="N322" t="s">
        <v>27</v>
      </c>
      <c r="O322" t="s">
        <v>2192</v>
      </c>
      <c r="P322" t="s">
        <v>2082</v>
      </c>
      <c r="Q322">
        <v>0.85</v>
      </c>
    </row>
    <row r="323" spans="14:17" x14ac:dyDescent="0.45">
      <c r="N323" t="s">
        <v>27</v>
      </c>
      <c r="O323" t="s">
        <v>2193</v>
      </c>
      <c r="P323" t="s">
        <v>2072</v>
      </c>
      <c r="Q323">
        <v>0.85</v>
      </c>
    </row>
    <row r="324" spans="14:17" x14ac:dyDescent="0.45">
      <c r="N324" t="s">
        <v>27</v>
      </c>
      <c r="O324" t="s">
        <v>2194</v>
      </c>
      <c r="P324" t="s">
        <v>2059</v>
      </c>
      <c r="Q324">
        <v>0.85</v>
      </c>
    </row>
    <row r="325" spans="14:17" x14ac:dyDescent="0.45">
      <c r="N325" t="s">
        <v>27</v>
      </c>
      <c r="O325" t="s">
        <v>2195</v>
      </c>
      <c r="P325" t="s">
        <v>2053</v>
      </c>
      <c r="Q325">
        <v>0.85</v>
      </c>
    </row>
    <row r="326" spans="14:17" x14ac:dyDescent="0.45">
      <c r="N326" t="s">
        <v>27</v>
      </c>
      <c r="O326" t="s">
        <v>2196</v>
      </c>
      <c r="P326" t="s">
        <v>2103</v>
      </c>
      <c r="Q326">
        <v>0.85</v>
      </c>
    </row>
    <row r="327" spans="14:17" x14ac:dyDescent="0.45">
      <c r="N327" t="s">
        <v>27</v>
      </c>
      <c r="O327" t="s">
        <v>2197</v>
      </c>
      <c r="P327" t="s">
        <v>2075</v>
      </c>
      <c r="Q327">
        <v>0.85</v>
      </c>
    </row>
    <row r="328" spans="14:17" x14ac:dyDescent="0.45">
      <c r="N328" t="s">
        <v>27</v>
      </c>
      <c r="O328" t="s">
        <v>2198</v>
      </c>
      <c r="P328" t="s">
        <v>2084</v>
      </c>
      <c r="Q328">
        <v>0.85</v>
      </c>
    </row>
    <row r="329" spans="14:17" x14ac:dyDescent="0.45">
      <c r="N329" t="s">
        <v>27</v>
      </c>
      <c r="O329" t="s">
        <v>2199</v>
      </c>
      <c r="P329" t="s">
        <v>2060</v>
      </c>
      <c r="Q329">
        <v>0.85</v>
      </c>
    </row>
    <row r="330" spans="14:17" x14ac:dyDescent="0.45">
      <c r="N330" t="s">
        <v>27</v>
      </c>
      <c r="O330" t="s">
        <v>2200</v>
      </c>
      <c r="P330" t="s">
        <v>2060</v>
      </c>
      <c r="Q330">
        <v>0.85</v>
      </c>
    </row>
    <row r="331" spans="14:17" x14ac:dyDescent="0.45">
      <c r="N331" t="s">
        <v>27</v>
      </c>
      <c r="O331" t="s">
        <v>2201</v>
      </c>
      <c r="P331" t="s">
        <v>2062</v>
      </c>
      <c r="Q331">
        <v>0.85</v>
      </c>
    </row>
    <row r="332" spans="14:17" x14ac:dyDescent="0.45">
      <c r="N332" t="s">
        <v>27</v>
      </c>
      <c r="O332" t="s">
        <v>2202</v>
      </c>
      <c r="P332" t="s">
        <v>2060</v>
      </c>
      <c r="Q332">
        <v>0.85</v>
      </c>
    </row>
    <row r="333" spans="14:17" x14ac:dyDescent="0.45">
      <c r="N333" t="s">
        <v>27</v>
      </c>
      <c r="O333" t="s">
        <v>2203</v>
      </c>
      <c r="P333" t="s">
        <v>2051</v>
      </c>
      <c r="Q333">
        <v>0.85</v>
      </c>
    </row>
    <row r="334" spans="14:17" x14ac:dyDescent="0.45">
      <c r="N334" t="s">
        <v>27</v>
      </c>
      <c r="O334" t="s">
        <v>2204</v>
      </c>
      <c r="P334" t="s">
        <v>2106</v>
      </c>
      <c r="Q334">
        <v>0.85</v>
      </c>
    </row>
    <row r="335" spans="14:17" x14ac:dyDescent="0.45">
      <c r="N335" t="s">
        <v>27</v>
      </c>
      <c r="O335" t="s">
        <v>2205</v>
      </c>
      <c r="P335" t="s">
        <v>2089</v>
      </c>
      <c r="Q335">
        <v>0.85</v>
      </c>
    </row>
    <row r="336" spans="14:17" x14ac:dyDescent="0.45">
      <c r="N336" t="s">
        <v>27</v>
      </c>
      <c r="O336" t="s">
        <v>2206</v>
      </c>
      <c r="P336" t="s">
        <v>2082</v>
      </c>
      <c r="Q336">
        <v>0.85</v>
      </c>
    </row>
    <row r="337" spans="14:17" x14ac:dyDescent="0.45">
      <c r="N337" t="s">
        <v>27</v>
      </c>
      <c r="O337" t="s">
        <v>2207</v>
      </c>
      <c r="P337" t="s">
        <v>2065</v>
      </c>
      <c r="Q337">
        <v>0.85</v>
      </c>
    </row>
    <row r="338" spans="14:17" x14ac:dyDescent="0.45">
      <c r="N338" t="s">
        <v>27</v>
      </c>
      <c r="O338" t="s">
        <v>2208</v>
      </c>
      <c r="P338" t="s">
        <v>2107</v>
      </c>
      <c r="Q338">
        <v>0.85</v>
      </c>
    </row>
    <row r="339" spans="14:17" x14ac:dyDescent="0.45">
      <c r="N339" t="s">
        <v>27</v>
      </c>
      <c r="O339" t="s">
        <v>2209</v>
      </c>
      <c r="P339" t="s">
        <v>2108</v>
      </c>
      <c r="Q339">
        <v>0.85</v>
      </c>
    </row>
    <row r="340" spans="14:17" x14ac:dyDescent="0.45">
      <c r="N340" t="s">
        <v>27</v>
      </c>
      <c r="O340" t="s">
        <v>2210</v>
      </c>
      <c r="P340" t="s">
        <v>2075</v>
      </c>
      <c r="Q340">
        <v>0.85</v>
      </c>
    </row>
    <row r="341" spans="14:17" x14ac:dyDescent="0.45">
      <c r="N341" t="s">
        <v>27</v>
      </c>
      <c r="O341" t="s">
        <v>2211</v>
      </c>
      <c r="P341" t="s">
        <v>2095</v>
      </c>
      <c r="Q341">
        <v>0.85</v>
      </c>
    </row>
    <row r="342" spans="14:17" x14ac:dyDescent="0.45">
      <c r="N342" t="s">
        <v>27</v>
      </c>
      <c r="O342" t="s">
        <v>2212</v>
      </c>
      <c r="P342" t="s">
        <v>2057</v>
      </c>
      <c r="Q342">
        <v>0.85</v>
      </c>
    </row>
    <row r="343" spans="14:17" x14ac:dyDescent="0.45">
      <c r="N343" t="s">
        <v>27</v>
      </c>
      <c r="O343" t="s">
        <v>2213</v>
      </c>
      <c r="P343" t="s">
        <v>2090</v>
      </c>
      <c r="Q343">
        <v>0.85</v>
      </c>
    </row>
    <row r="344" spans="14:17" x14ac:dyDescent="0.45">
      <c r="N344" t="s">
        <v>27</v>
      </c>
      <c r="O344" t="s">
        <v>2214</v>
      </c>
      <c r="P344" t="s">
        <v>2069</v>
      </c>
      <c r="Q344">
        <v>0.85</v>
      </c>
    </row>
    <row r="345" spans="14:17" x14ac:dyDescent="0.45">
      <c r="N345" t="s">
        <v>27</v>
      </c>
      <c r="O345" t="s">
        <v>2215</v>
      </c>
      <c r="P345" t="s">
        <v>2107</v>
      </c>
      <c r="Q345">
        <v>0.85</v>
      </c>
    </row>
    <row r="346" spans="14:17" x14ac:dyDescent="0.45">
      <c r="N346" t="s">
        <v>27</v>
      </c>
      <c r="O346" t="s">
        <v>2216</v>
      </c>
      <c r="P346" t="s">
        <v>2106</v>
      </c>
      <c r="Q346">
        <v>0.85</v>
      </c>
    </row>
    <row r="347" spans="14:17" x14ac:dyDescent="0.45">
      <c r="N347" t="s">
        <v>27</v>
      </c>
      <c r="O347" t="s">
        <v>2217</v>
      </c>
      <c r="P347" t="s">
        <v>2104</v>
      </c>
      <c r="Q347">
        <v>0.85</v>
      </c>
    </row>
    <row r="348" spans="14:17" x14ac:dyDescent="0.45">
      <c r="N348" t="s">
        <v>27</v>
      </c>
      <c r="O348" t="s">
        <v>2218</v>
      </c>
      <c r="P348" t="s">
        <v>2062</v>
      </c>
      <c r="Q348">
        <v>0.85</v>
      </c>
    </row>
    <row r="349" spans="14:17" x14ac:dyDescent="0.45">
      <c r="N349" t="s">
        <v>27</v>
      </c>
      <c r="O349" t="s">
        <v>2219</v>
      </c>
      <c r="P349" t="s">
        <v>2059</v>
      </c>
      <c r="Q349">
        <v>0.85</v>
      </c>
    </row>
    <row r="350" spans="14:17" x14ac:dyDescent="0.45">
      <c r="N350" t="s">
        <v>27</v>
      </c>
      <c r="O350" t="s">
        <v>2220</v>
      </c>
      <c r="P350" t="s">
        <v>2094</v>
      </c>
      <c r="Q350">
        <v>0.85</v>
      </c>
    </row>
    <row r="351" spans="14:17" x14ac:dyDescent="0.45">
      <c r="N351" t="s">
        <v>27</v>
      </c>
      <c r="O351" t="s">
        <v>2221</v>
      </c>
      <c r="P351" t="s">
        <v>2051</v>
      </c>
      <c r="Q351">
        <v>0.85</v>
      </c>
    </row>
    <row r="352" spans="14:17" x14ac:dyDescent="0.45">
      <c r="N352" t="s">
        <v>27</v>
      </c>
      <c r="O352" t="s">
        <v>2222</v>
      </c>
      <c r="P352" t="s">
        <v>2108</v>
      </c>
      <c r="Q352">
        <v>0.85</v>
      </c>
    </row>
    <row r="353" spans="14:17" x14ac:dyDescent="0.45">
      <c r="N353" t="s">
        <v>27</v>
      </c>
      <c r="O353" t="s">
        <v>2223</v>
      </c>
      <c r="P353" t="s">
        <v>2078</v>
      </c>
      <c r="Q353">
        <v>0.85</v>
      </c>
    </row>
    <row r="354" spans="14:17" x14ac:dyDescent="0.45">
      <c r="N354" t="s">
        <v>27</v>
      </c>
      <c r="O354" t="s">
        <v>2224</v>
      </c>
      <c r="P354" t="s">
        <v>2065</v>
      </c>
      <c r="Q354">
        <v>0.85</v>
      </c>
    </row>
    <row r="355" spans="14:17" x14ac:dyDescent="0.45">
      <c r="N355" t="s">
        <v>27</v>
      </c>
      <c r="O355" t="s">
        <v>2225</v>
      </c>
      <c r="P355" t="s">
        <v>2065</v>
      </c>
      <c r="Q355">
        <v>0.85</v>
      </c>
    </row>
    <row r="356" spans="14:17" x14ac:dyDescent="0.45">
      <c r="N356" t="s">
        <v>27</v>
      </c>
      <c r="O356" t="s">
        <v>2226</v>
      </c>
      <c r="P356" t="s">
        <v>2069</v>
      </c>
      <c r="Q356">
        <v>0.85</v>
      </c>
    </row>
    <row r="357" spans="14:17" x14ac:dyDescent="0.45">
      <c r="N357" t="s">
        <v>27</v>
      </c>
      <c r="O357" t="s">
        <v>2227</v>
      </c>
      <c r="P357" t="s">
        <v>2075</v>
      </c>
      <c r="Q357">
        <v>0.85</v>
      </c>
    </row>
    <row r="358" spans="14:17" x14ac:dyDescent="0.45">
      <c r="N358" t="s">
        <v>27</v>
      </c>
      <c r="O358" t="s">
        <v>2228</v>
      </c>
      <c r="P358" t="s">
        <v>2101</v>
      </c>
      <c r="Q358">
        <v>0.85</v>
      </c>
    </row>
    <row r="359" spans="14:17" x14ac:dyDescent="0.45">
      <c r="N359" t="s">
        <v>27</v>
      </c>
      <c r="O359" t="s">
        <v>2229</v>
      </c>
      <c r="P359" t="s">
        <v>2065</v>
      </c>
      <c r="Q359">
        <v>0.85</v>
      </c>
    </row>
    <row r="360" spans="14:17" x14ac:dyDescent="0.45">
      <c r="N360" t="s">
        <v>27</v>
      </c>
      <c r="O360" t="s">
        <v>2230</v>
      </c>
      <c r="P360" t="s">
        <v>2076</v>
      </c>
      <c r="Q360">
        <v>0.85</v>
      </c>
    </row>
    <row r="361" spans="14:17" x14ac:dyDescent="0.45">
      <c r="N361" t="s">
        <v>27</v>
      </c>
      <c r="O361" t="s">
        <v>2231</v>
      </c>
      <c r="P361" t="s">
        <v>2101</v>
      </c>
      <c r="Q361">
        <v>0.85</v>
      </c>
    </row>
    <row r="362" spans="14:17" x14ac:dyDescent="0.45">
      <c r="N362" t="s">
        <v>27</v>
      </c>
      <c r="O362" t="s">
        <v>2232</v>
      </c>
      <c r="P362" t="s">
        <v>2065</v>
      </c>
      <c r="Q362">
        <v>0.85</v>
      </c>
    </row>
    <row r="363" spans="14:17" x14ac:dyDescent="0.45">
      <c r="N363" t="s">
        <v>27</v>
      </c>
      <c r="O363" t="s">
        <v>2233</v>
      </c>
      <c r="P363" t="s">
        <v>2076</v>
      </c>
      <c r="Q363">
        <v>0.85</v>
      </c>
    </row>
    <row r="364" spans="14:17" x14ac:dyDescent="0.45">
      <c r="N364" t="s">
        <v>27</v>
      </c>
      <c r="O364" t="s">
        <v>2234</v>
      </c>
      <c r="P364" t="s">
        <v>2071</v>
      </c>
      <c r="Q364">
        <v>0.85</v>
      </c>
    </row>
    <row r="365" spans="14:17" x14ac:dyDescent="0.45">
      <c r="N365" t="s">
        <v>27</v>
      </c>
      <c r="O365" t="s">
        <v>2235</v>
      </c>
      <c r="P365" t="s">
        <v>2078</v>
      </c>
      <c r="Q365">
        <v>0.85</v>
      </c>
    </row>
    <row r="366" spans="14:17" x14ac:dyDescent="0.45">
      <c r="N366" t="s">
        <v>27</v>
      </c>
      <c r="O366" t="s">
        <v>2236</v>
      </c>
      <c r="P366" t="s">
        <v>2088</v>
      </c>
      <c r="Q366">
        <v>0.85</v>
      </c>
    </row>
    <row r="367" spans="14:17" x14ac:dyDescent="0.45">
      <c r="N367" t="s">
        <v>27</v>
      </c>
      <c r="O367" t="s">
        <v>2237</v>
      </c>
      <c r="P367" t="s">
        <v>2080</v>
      </c>
      <c r="Q367">
        <v>0.85</v>
      </c>
    </row>
    <row r="368" spans="14:17" x14ac:dyDescent="0.45">
      <c r="N368" t="s">
        <v>27</v>
      </c>
      <c r="O368" t="s">
        <v>2238</v>
      </c>
      <c r="P368" t="s">
        <v>2103</v>
      </c>
      <c r="Q368">
        <v>0.85</v>
      </c>
    </row>
    <row r="369" spans="14:17" x14ac:dyDescent="0.45">
      <c r="N369" t="s">
        <v>27</v>
      </c>
      <c r="O369" t="s">
        <v>2239</v>
      </c>
      <c r="P369" t="s">
        <v>2075</v>
      </c>
      <c r="Q369">
        <v>0.85</v>
      </c>
    </row>
    <row r="370" spans="14:17" x14ac:dyDescent="0.45">
      <c r="N370" t="s">
        <v>27</v>
      </c>
      <c r="O370" t="s">
        <v>2240</v>
      </c>
      <c r="P370" t="s">
        <v>2081</v>
      </c>
      <c r="Q370">
        <v>0.85</v>
      </c>
    </row>
    <row r="371" spans="14:17" x14ac:dyDescent="0.45">
      <c r="N371" t="s">
        <v>27</v>
      </c>
      <c r="O371" t="s">
        <v>2241</v>
      </c>
      <c r="P371" t="s">
        <v>2053</v>
      </c>
      <c r="Q371">
        <v>0.85</v>
      </c>
    </row>
    <row r="372" spans="14:17" x14ac:dyDescent="0.45">
      <c r="N372" t="s">
        <v>27</v>
      </c>
      <c r="O372" t="s">
        <v>2242</v>
      </c>
      <c r="P372" t="s">
        <v>2099</v>
      </c>
      <c r="Q372">
        <v>0.85</v>
      </c>
    </row>
    <row r="373" spans="14:17" x14ac:dyDescent="0.45">
      <c r="N373" t="s">
        <v>27</v>
      </c>
      <c r="O373" t="s">
        <v>2243</v>
      </c>
      <c r="P373" t="s">
        <v>2100</v>
      </c>
      <c r="Q373">
        <v>0.85</v>
      </c>
    </row>
    <row r="374" spans="14:17" x14ac:dyDescent="0.45">
      <c r="N374" t="s">
        <v>27</v>
      </c>
      <c r="O374" t="s">
        <v>2244</v>
      </c>
      <c r="P374" t="s">
        <v>2071</v>
      </c>
      <c r="Q374">
        <v>0.85</v>
      </c>
    </row>
    <row r="375" spans="14:17" x14ac:dyDescent="0.45">
      <c r="N375" t="s">
        <v>27</v>
      </c>
      <c r="O375" t="s">
        <v>2245</v>
      </c>
      <c r="P375" t="s">
        <v>2077</v>
      </c>
      <c r="Q375">
        <v>0.85</v>
      </c>
    </row>
    <row r="376" spans="14:17" x14ac:dyDescent="0.45">
      <c r="N376" t="s">
        <v>27</v>
      </c>
      <c r="O376" t="s">
        <v>2246</v>
      </c>
      <c r="P376" t="s">
        <v>2081</v>
      </c>
      <c r="Q376">
        <v>0.85</v>
      </c>
    </row>
    <row r="377" spans="14:17" x14ac:dyDescent="0.45">
      <c r="N377" t="s">
        <v>27</v>
      </c>
      <c r="O377" t="s">
        <v>2247</v>
      </c>
      <c r="P377" t="s">
        <v>2068</v>
      </c>
      <c r="Q377">
        <v>0.85</v>
      </c>
    </row>
    <row r="378" spans="14:17" x14ac:dyDescent="0.45">
      <c r="N378" t="s">
        <v>27</v>
      </c>
      <c r="O378" t="s">
        <v>2248</v>
      </c>
      <c r="P378" t="s">
        <v>2081</v>
      </c>
      <c r="Q378">
        <v>0.85</v>
      </c>
    </row>
    <row r="379" spans="14:17" x14ac:dyDescent="0.45">
      <c r="N379" t="s">
        <v>27</v>
      </c>
      <c r="O379" t="s">
        <v>2249</v>
      </c>
      <c r="P379" t="s">
        <v>2057</v>
      </c>
      <c r="Q379">
        <v>0.85</v>
      </c>
    </row>
    <row r="380" spans="14:17" x14ac:dyDescent="0.45">
      <c r="N380" t="s">
        <v>27</v>
      </c>
      <c r="O380" t="s">
        <v>2250</v>
      </c>
      <c r="P380" t="s">
        <v>2051</v>
      </c>
      <c r="Q380">
        <v>0.85</v>
      </c>
    </row>
    <row r="381" spans="14:17" x14ac:dyDescent="0.45">
      <c r="N381" t="s">
        <v>27</v>
      </c>
      <c r="O381" t="s">
        <v>2251</v>
      </c>
      <c r="P381" t="s">
        <v>2103</v>
      </c>
      <c r="Q381">
        <v>0.85</v>
      </c>
    </row>
    <row r="382" spans="14:17" x14ac:dyDescent="0.45">
      <c r="N382" t="s">
        <v>27</v>
      </c>
      <c r="O382" t="s">
        <v>2252</v>
      </c>
      <c r="P382" t="s">
        <v>2075</v>
      </c>
      <c r="Q382">
        <v>0.85</v>
      </c>
    </row>
    <row r="383" spans="14:17" x14ac:dyDescent="0.45">
      <c r="N383" t="s">
        <v>27</v>
      </c>
      <c r="O383" t="s">
        <v>2253</v>
      </c>
      <c r="P383" t="s">
        <v>2065</v>
      </c>
      <c r="Q383">
        <v>0.85</v>
      </c>
    </row>
    <row r="384" spans="14:17" x14ac:dyDescent="0.45">
      <c r="N384" t="s">
        <v>27</v>
      </c>
      <c r="O384" t="s">
        <v>2254</v>
      </c>
      <c r="P384" t="s">
        <v>2099</v>
      </c>
      <c r="Q384">
        <v>0.85</v>
      </c>
    </row>
    <row r="385" spans="14:17" x14ac:dyDescent="0.45">
      <c r="N385" t="s">
        <v>27</v>
      </c>
      <c r="O385" t="s">
        <v>2255</v>
      </c>
      <c r="P385" t="s">
        <v>2076</v>
      </c>
      <c r="Q385">
        <v>0.85</v>
      </c>
    </row>
    <row r="386" spans="14:17" x14ac:dyDescent="0.45">
      <c r="N386" t="s">
        <v>27</v>
      </c>
      <c r="O386" t="s">
        <v>2256</v>
      </c>
      <c r="P386" t="s">
        <v>2103</v>
      </c>
      <c r="Q386">
        <v>0.85</v>
      </c>
    </row>
    <row r="387" spans="14:17" x14ac:dyDescent="0.45">
      <c r="N387" t="s">
        <v>27</v>
      </c>
      <c r="O387" t="s">
        <v>2257</v>
      </c>
      <c r="P387" t="s">
        <v>2099</v>
      </c>
      <c r="Q387">
        <v>0.85</v>
      </c>
    </row>
    <row r="388" spans="14:17" x14ac:dyDescent="0.45">
      <c r="N388" t="s">
        <v>27</v>
      </c>
      <c r="O388" t="s">
        <v>2258</v>
      </c>
      <c r="P388" t="s">
        <v>2063</v>
      </c>
      <c r="Q388">
        <v>0.85</v>
      </c>
    </row>
    <row r="389" spans="14:17" x14ac:dyDescent="0.45">
      <c r="N389" t="s">
        <v>27</v>
      </c>
      <c r="O389" t="s">
        <v>2259</v>
      </c>
      <c r="P389" t="s">
        <v>2093</v>
      </c>
      <c r="Q389">
        <v>0.85</v>
      </c>
    </row>
    <row r="390" spans="14:17" x14ac:dyDescent="0.45">
      <c r="N390" t="s">
        <v>27</v>
      </c>
      <c r="O390" t="s">
        <v>2260</v>
      </c>
      <c r="P390" t="s">
        <v>2106</v>
      </c>
      <c r="Q390">
        <v>0.85</v>
      </c>
    </row>
    <row r="391" spans="14:17" x14ac:dyDescent="0.45">
      <c r="N391" t="s">
        <v>27</v>
      </c>
      <c r="O391" t="s">
        <v>2261</v>
      </c>
      <c r="P391" t="s">
        <v>2079</v>
      </c>
      <c r="Q391">
        <v>0.85</v>
      </c>
    </row>
    <row r="392" spans="14:17" x14ac:dyDescent="0.45">
      <c r="N392" t="s">
        <v>27</v>
      </c>
      <c r="O392" t="s">
        <v>2262</v>
      </c>
      <c r="P392" t="s">
        <v>2099</v>
      </c>
      <c r="Q392">
        <v>0.85</v>
      </c>
    </row>
    <row r="393" spans="14:17" x14ac:dyDescent="0.45">
      <c r="N393" t="s">
        <v>27</v>
      </c>
      <c r="O393" t="s">
        <v>2263</v>
      </c>
      <c r="P393" t="s">
        <v>2065</v>
      </c>
      <c r="Q393">
        <v>0.85</v>
      </c>
    </row>
    <row r="394" spans="14:17" x14ac:dyDescent="0.45">
      <c r="N394" t="s">
        <v>27</v>
      </c>
      <c r="O394" t="s">
        <v>2264</v>
      </c>
      <c r="P394" t="s">
        <v>2086</v>
      </c>
      <c r="Q394">
        <v>0.85</v>
      </c>
    </row>
    <row r="395" spans="14:17" x14ac:dyDescent="0.45">
      <c r="N395" t="s">
        <v>27</v>
      </c>
      <c r="O395" t="s">
        <v>2265</v>
      </c>
      <c r="P395" t="s">
        <v>2101</v>
      </c>
      <c r="Q395">
        <v>0.85</v>
      </c>
    </row>
    <row r="396" spans="14:17" x14ac:dyDescent="0.45">
      <c r="N396" t="s">
        <v>27</v>
      </c>
      <c r="O396" t="s">
        <v>2266</v>
      </c>
      <c r="P396" t="s">
        <v>2096</v>
      </c>
      <c r="Q396">
        <v>0.85</v>
      </c>
    </row>
    <row r="397" spans="14:17" x14ac:dyDescent="0.45">
      <c r="N397" t="s">
        <v>27</v>
      </c>
      <c r="O397" t="s">
        <v>2267</v>
      </c>
      <c r="P397" t="s">
        <v>2062</v>
      </c>
      <c r="Q397">
        <v>0.85</v>
      </c>
    </row>
    <row r="398" spans="14:17" x14ac:dyDescent="0.45">
      <c r="N398" t="s">
        <v>27</v>
      </c>
      <c r="O398" t="s">
        <v>2268</v>
      </c>
      <c r="P398" t="s">
        <v>2069</v>
      </c>
      <c r="Q398">
        <v>0.85</v>
      </c>
    </row>
    <row r="399" spans="14:17" x14ac:dyDescent="0.45">
      <c r="N399" t="s">
        <v>27</v>
      </c>
      <c r="O399" t="s">
        <v>2269</v>
      </c>
      <c r="P399" t="s">
        <v>2096</v>
      </c>
      <c r="Q399">
        <v>0.85</v>
      </c>
    </row>
    <row r="400" spans="14:17" x14ac:dyDescent="0.45">
      <c r="N400" t="s">
        <v>27</v>
      </c>
      <c r="O400" t="s">
        <v>2270</v>
      </c>
      <c r="P400" t="s">
        <v>2056</v>
      </c>
      <c r="Q400">
        <v>0.95</v>
      </c>
    </row>
    <row r="401" spans="14:17" x14ac:dyDescent="0.45">
      <c r="N401" t="s">
        <v>27</v>
      </c>
      <c r="O401" t="s">
        <v>2271</v>
      </c>
      <c r="P401" t="s">
        <v>2052</v>
      </c>
      <c r="Q401">
        <v>0.95</v>
      </c>
    </row>
    <row r="402" spans="14:17" x14ac:dyDescent="0.45">
      <c r="N402" t="s">
        <v>27</v>
      </c>
      <c r="O402" t="s">
        <v>2272</v>
      </c>
      <c r="P402" t="s">
        <v>2098</v>
      </c>
      <c r="Q402">
        <v>0.95</v>
      </c>
    </row>
    <row r="403" spans="14:17" x14ac:dyDescent="0.45">
      <c r="N403" t="s">
        <v>27</v>
      </c>
      <c r="O403" t="s">
        <v>2273</v>
      </c>
      <c r="P403" t="s">
        <v>2089</v>
      </c>
      <c r="Q403">
        <v>0.95</v>
      </c>
    </row>
    <row r="404" spans="14:17" x14ac:dyDescent="0.45">
      <c r="N404" t="s">
        <v>27</v>
      </c>
      <c r="O404" t="s">
        <v>2274</v>
      </c>
      <c r="P404" t="s">
        <v>2071</v>
      </c>
      <c r="Q404">
        <v>0.95</v>
      </c>
    </row>
    <row r="405" spans="14:17" x14ac:dyDescent="0.45">
      <c r="N405" t="s">
        <v>27</v>
      </c>
      <c r="O405" t="s">
        <v>2275</v>
      </c>
      <c r="P405" t="s">
        <v>2051</v>
      </c>
      <c r="Q405">
        <v>0.95</v>
      </c>
    </row>
    <row r="406" spans="14:17" x14ac:dyDescent="0.45">
      <c r="N406" t="s">
        <v>27</v>
      </c>
      <c r="O406" t="s">
        <v>2276</v>
      </c>
      <c r="P406" t="s">
        <v>2071</v>
      </c>
      <c r="Q406">
        <v>0.95</v>
      </c>
    </row>
    <row r="407" spans="14:17" x14ac:dyDescent="0.45">
      <c r="N407" t="s">
        <v>27</v>
      </c>
      <c r="O407" t="s">
        <v>2277</v>
      </c>
      <c r="P407" t="s">
        <v>2089</v>
      </c>
      <c r="Q407">
        <v>0.95</v>
      </c>
    </row>
    <row r="408" spans="14:17" x14ac:dyDescent="0.45">
      <c r="N408" t="s">
        <v>27</v>
      </c>
      <c r="O408" t="s">
        <v>2278</v>
      </c>
      <c r="P408" t="s">
        <v>2051</v>
      </c>
      <c r="Q408">
        <v>0.95</v>
      </c>
    </row>
    <row r="409" spans="14:17" x14ac:dyDescent="0.45">
      <c r="N409" t="s">
        <v>27</v>
      </c>
      <c r="O409" t="s">
        <v>2279</v>
      </c>
      <c r="P409" t="s">
        <v>2089</v>
      </c>
      <c r="Q409">
        <v>0.95</v>
      </c>
    </row>
    <row r="410" spans="14:17" x14ac:dyDescent="0.45">
      <c r="N410" t="s">
        <v>27</v>
      </c>
      <c r="O410" t="s">
        <v>2280</v>
      </c>
      <c r="P410" t="s">
        <v>2051</v>
      </c>
      <c r="Q410">
        <v>0.95</v>
      </c>
    </row>
    <row r="411" spans="14:17" x14ac:dyDescent="0.45">
      <c r="N411" t="s">
        <v>27</v>
      </c>
      <c r="O411" t="s">
        <v>2281</v>
      </c>
      <c r="P411" t="s">
        <v>2084</v>
      </c>
      <c r="Q411">
        <v>0.95</v>
      </c>
    </row>
    <row r="412" spans="14:17" x14ac:dyDescent="0.45">
      <c r="N412" t="s">
        <v>27</v>
      </c>
      <c r="O412" t="s">
        <v>2282</v>
      </c>
      <c r="P412" t="s">
        <v>2104</v>
      </c>
      <c r="Q412">
        <v>0.95</v>
      </c>
    </row>
    <row r="413" spans="14:17" x14ac:dyDescent="0.45">
      <c r="N413" t="s">
        <v>27</v>
      </c>
      <c r="O413" t="s">
        <v>2283</v>
      </c>
      <c r="P413" t="s">
        <v>2051</v>
      </c>
      <c r="Q413">
        <v>0.95</v>
      </c>
    </row>
    <row r="414" spans="14:17" x14ac:dyDescent="0.45">
      <c r="N414" t="s">
        <v>27</v>
      </c>
      <c r="O414" t="s">
        <v>2284</v>
      </c>
      <c r="P414" t="s">
        <v>2060</v>
      </c>
      <c r="Q414">
        <v>0.95</v>
      </c>
    </row>
    <row r="415" spans="14:17" x14ac:dyDescent="0.45">
      <c r="N415" t="s">
        <v>27</v>
      </c>
      <c r="O415" t="s">
        <v>2285</v>
      </c>
      <c r="P415" t="s">
        <v>2063</v>
      </c>
      <c r="Q415">
        <v>0.95</v>
      </c>
    </row>
    <row r="416" spans="14:17" x14ac:dyDescent="0.45">
      <c r="N416" t="s">
        <v>27</v>
      </c>
      <c r="O416" t="s">
        <v>2286</v>
      </c>
      <c r="P416" t="s">
        <v>2065</v>
      </c>
      <c r="Q416">
        <v>0.95</v>
      </c>
    </row>
    <row r="417" spans="14:17" x14ac:dyDescent="0.45">
      <c r="N417" t="s">
        <v>27</v>
      </c>
      <c r="O417" t="s">
        <v>2287</v>
      </c>
      <c r="P417" t="s">
        <v>2103</v>
      </c>
      <c r="Q417">
        <v>0.85</v>
      </c>
    </row>
    <row r="418" spans="14:17" x14ac:dyDescent="0.45">
      <c r="N418" t="s">
        <v>27</v>
      </c>
      <c r="O418" t="s">
        <v>2288</v>
      </c>
      <c r="P418" t="s">
        <v>2093</v>
      </c>
      <c r="Q418">
        <v>0.85</v>
      </c>
    </row>
    <row r="419" spans="14:17" x14ac:dyDescent="0.45">
      <c r="N419" t="s">
        <v>27</v>
      </c>
      <c r="O419" t="s">
        <v>2289</v>
      </c>
      <c r="P419" t="s">
        <v>2051</v>
      </c>
      <c r="Q419">
        <v>0.85</v>
      </c>
    </row>
    <row r="420" spans="14:17" x14ac:dyDescent="0.45">
      <c r="N420" t="s">
        <v>27</v>
      </c>
      <c r="O420" t="s">
        <v>2290</v>
      </c>
      <c r="P420" t="s">
        <v>2088</v>
      </c>
      <c r="Q420">
        <v>0.85</v>
      </c>
    </row>
    <row r="421" spans="14:17" x14ac:dyDescent="0.45">
      <c r="N421" t="s">
        <v>27</v>
      </c>
      <c r="O421" t="s">
        <v>2291</v>
      </c>
      <c r="P421" t="s">
        <v>2078</v>
      </c>
      <c r="Q421">
        <v>0.85</v>
      </c>
    </row>
    <row r="422" spans="14:17" x14ac:dyDescent="0.45">
      <c r="N422" t="s">
        <v>27</v>
      </c>
      <c r="O422" t="s">
        <v>2292</v>
      </c>
      <c r="P422" t="s">
        <v>2076</v>
      </c>
      <c r="Q422">
        <v>0.85</v>
      </c>
    </row>
    <row r="423" spans="14:17" x14ac:dyDescent="0.45">
      <c r="N423" t="s">
        <v>27</v>
      </c>
      <c r="O423" t="s">
        <v>2293</v>
      </c>
      <c r="P423" t="s">
        <v>2074</v>
      </c>
      <c r="Q423">
        <v>0.85</v>
      </c>
    </row>
    <row r="424" spans="14:17" x14ac:dyDescent="0.45">
      <c r="N424" t="s">
        <v>27</v>
      </c>
      <c r="O424" t="s">
        <v>2294</v>
      </c>
      <c r="P424" t="s">
        <v>2081</v>
      </c>
      <c r="Q424">
        <v>0.85</v>
      </c>
    </row>
    <row r="425" spans="14:17" x14ac:dyDescent="0.45">
      <c r="N425" t="s">
        <v>27</v>
      </c>
      <c r="O425" t="s">
        <v>2295</v>
      </c>
      <c r="P425" t="s">
        <v>2086</v>
      </c>
      <c r="Q425">
        <v>0.85</v>
      </c>
    </row>
    <row r="426" spans="14:17" x14ac:dyDescent="0.45">
      <c r="N426" t="s">
        <v>27</v>
      </c>
      <c r="O426" t="s">
        <v>2296</v>
      </c>
      <c r="P426" t="s">
        <v>2082</v>
      </c>
      <c r="Q426">
        <v>0.85</v>
      </c>
    </row>
    <row r="427" spans="14:17" x14ac:dyDescent="0.45">
      <c r="N427" t="s">
        <v>27</v>
      </c>
      <c r="O427" t="s">
        <v>2297</v>
      </c>
      <c r="P427" t="s">
        <v>2093</v>
      </c>
      <c r="Q427">
        <v>0.85</v>
      </c>
    </row>
    <row r="428" spans="14:17" x14ac:dyDescent="0.45">
      <c r="N428" t="s">
        <v>27</v>
      </c>
      <c r="O428" t="s">
        <v>2298</v>
      </c>
      <c r="P428" t="s">
        <v>2086</v>
      </c>
      <c r="Q428">
        <v>0.85</v>
      </c>
    </row>
    <row r="429" spans="14:17" x14ac:dyDescent="0.45">
      <c r="N429" t="s">
        <v>27</v>
      </c>
      <c r="O429" t="s">
        <v>2299</v>
      </c>
      <c r="P429" t="s">
        <v>2062</v>
      </c>
      <c r="Q429">
        <v>0.85</v>
      </c>
    </row>
    <row r="430" spans="14:17" x14ac:dyDescent="0.45">
      <c r="N430" t="s">
        <v>27</v>
      </c>
      <c r="O430" t="s">
        <v>2300</v>
      </c>
      <c r="P430" t="s">
        <v>2054</v>
      </c>
      <c r="Q430">
        <v>0.85</v>
      </c>
    </row>
    <row r="431" spans="14:17" x14ac:dyDescent="0.45">
      <c r="N431" t="s">
        <v>27</v>
      </c>
      <c r="O431" t="s">
        <v>2301</v>
      </c>
      <c r="P431" t="s">
        <v>2059</v>
      </c>
      <c r="Q431">
        <v>0.85</v>
      </c>
    </row>
    <row r="432" spans="14:17" x14ac:dyDescent="0.45">
      <c r="N432" t="s">
        <v>27</v>
      </c>
      <c r="O432" t="s">
        <v>2302</v>
      </c>
      <c r="P432" t="s">
        <v>2052</v>
      </c>
      <c r="Q432">
        <v>0.85</v>
      </c>
    </row>
    <row r="433" spans="14:17" x14ac:dyDescent="0.45">
      <c r="N433" t="s">
        <v>27</v>
      </c>
      <c r="O433" t="s">
        <v>2303</v>
      </c>
      <c r="P433" t="s">
        <v>2053</v>
      </c>
      <c r="Q433">
        <v>0.85</v>
      </c>
    </row>
    <row r="434" spans="14:17" x14ac:dyDescent="0.45">
      <c r="N434" t="s">
        <v>27</v>
      </c>
      <c r="O434" t="s">
        <v>2304</v>
      </c>
      <c r="P434" t="s">
        <v>2078</v>
      </c>
      <c r="Q434">
        <v>0.85</v>
      </c>
    </row>
    <row r="435" spans="14:17" x14ac:dyDescent="0.45">
      <c r="N435" t="s">
        <v>27</v>
      </c>
      <c r="O435" t="s">
        <v>2305</v>
      </c>
      <c r="P435" t="s">
        <v>2067</v>
      </c>
      <c r="Q435">
        <v>0.85</v>
      </c>
    </row>
    <row r="436" spans="14:17" x14ac:dyDescent="0.45">
      <c r="N436" t="s">
        <v>27</v>
      </c>
      <c r="O436" t="s">
        <v>2306</v>
      </c>
      <c r="P436" t="s">
        <v>2103</v>
      </c>
      <c r="Q436">
        <v>0.85</v>
      </c>
    </row>
    <row r="437" spans="14:17" x14ac:dyDescent="0.45">
      <c r="N437" t="s">
        <v>27</v>
      </c>
      <c r="O437" t="s">
        <v>2307</v>
      </c>
      <c r="P437" t="s">
        <v>2100</v>
      </c>
      <c r="Q437">
        <v>0.85</v>
      </c>
    </row>
    <row r="438" spans="14:17" x14ac:dyDescent="0.45">
      <c r="N438" t="s">
        <v>27</v>
      </c>
      <c r="O438" t="s">
        <v>2308</v>
      </c>
      <c r="P438" t="s">
        <v>2075</v>
      </c>
      <c r="Q438">
        <v>0.85</v>
      </c>
    </row>
    <row r="439" spans="14:17" x14ac:dyDescent="0.45">
      <c r="N439" t="s">
        <v>27</v>
      </c>
      <c r="O439" t="s">
        <v>2309</v>
      </c>
      <c r="P439" t="s">
        <v>2051</v>
      </c>
      <c r="Q439">
        <v>0.85</v>
      </c>
    </row>
    <row r="440" spans="14:17" x14ac:dyDescent="0.45">
      <c r="N440" t="s">
        <v>27</v>
      </c>
      <c r="O440" t="s">
        <v>2310</v>
      </c>
      <c r="P440" t="s">
        <v>2095</v>
      </c>
      <c r="Q440">
        <v>0.85</v>
      </c>
    </row>
    <row r="441" spans="14:17" x14ac:dyDescent="0.45">
      <c r="N441" t="s">
        <v>27</v>
      </c>
      <c r="O441" t="s">
        <v>2311</v>
      </c>
      <c r="P441" t="s">
        <v>2092</v>
      </c>
      <c r="Q441">
        <v>0.85</v>
      </c>
    </row>
    <row r="442" spans="14:17" x14ac:dyDescent="0.45">
      <c r="N442" t="s">
        <v>27</v>
      </c>
      <c r="O442" t="s">
        <v>2312</v>
      </c>
      <c r="P442" t="s">
        <v>2108</v>
      </c>
      <c r="Q442">
        <v>0.85</v>
      </c>
    </row>
    <row r="443" spans="14:17" x14ac:dyDescent="0.45">
      <c r="N443" t="s">
        <v>27</v>
      </c>
      <c r="O443" t="s">
        <v>2313</v>
      </c>
      <c r="P443" t="s">
        <v>2058</v>
      </c>
      <c r="Q443">
        <v>0.85</v>
      </c>
    </row>
    <row r="444" spans="14:17" x14ac:dyDescent="0.45">
      <c r="N444" t="s">
        <v>27</v>
      </c>
      <c r="O444" t="s">
        <v>2314</v>
      </c>
      <c r="P444" t="s">
        <v>2075</v>
      </c>
      <c r="Q444">
        <v>0.85</v>
      </c>
    </row>
    <row r="445" spans="14:17" x14ac:dyDescent="0.45">
      <c r="N445" t="s">
        <v>27</v>
      </c>
      <c r="O445" t="s">
        <v>2315</v>
      </c>
      <c r="P445" t="s">
        <v>2077</v>
      </c>
      <c r="Q445">
        <v>0.85</v>
      </c>
    </row>
    <row r="446" spans="14:17" x14ac:dyDescent="0.45">
      <c r="N446" t="s">
        <v>27</v>
      </c>
      <c r="O446" t="s">
        <v>2316</v>
      </c>
      <c r="P446" t="s">
        <v>2097</v>
      </c>
      <c r="Q446">
        <v>0.85</v>
      </c>
    </row>
    <row r="447" spans="14:17" x14ac:dyDescent="0.45">
      <c r="N447" t="s">
        <v>27</v>
      </c>
      <c r="O447" t="s">
        <v>2317</v>
      </c>
      <c r="P447" t="s">
        <v>2098</v>
      </c>
      <c r="Q447">
        <v>0.85</v>
      </c>
    </row>
    <row r="448" spans="14:17" x14ac:dyDescent="0.45">
      <c r="N448" t="s">
        <v>27</v>
      </c>
      <c r="O448" t="s">
        <v>2318</v>
      </c>
      <c r="P448" t="s">
        <v>2099</v>
      </c>
      <c r="Q448">
        <v>0.85</v>
      </c>
    </row>
    <row r="449" spans="14:17" x14ac:dyDescent="0.45">
      <c r="N449" t="s">
        <v>27</v>
      </c>
      <c r="O449" t="s">
        <v>2319</v>
      </c>
      <c r="P449" t="s">
        <v>2086</v>
      </c>
      <c r="Q449">
        <v>0.85</v>
      </c>
    </row>
    <row r="450" spans="14:17" x14ac:dyDescent="0.45">
      <c r="N450" t="s">
        <v>27</v>
      </c>
      <c r="O450" t="s">
        <v>2320</v>
      </c>
      <c r="P450" t="s">
        <v>2089</v>
      </c>
      <c r="Q450">
        <v>0.85</v>
      </c>
    </row>
    <row r="451" spans="14:17" x14ac:dyDescent="0.45">
      <c r="N451" t="s">
        <v>27</v>
      </c>
      <c r="O451" t="s">
        <v>2321</v>
      </c>
      <c r="P451" t="s">
        <v>2086</v>
      </c>
      <c r="Q451">
        <v>0.85</v>
      </c>
    </row>
    <row r="452" spans="14:17" x14ac:dyDescent="0.45">
      <c r="N452" t="s">
        <v>27</v>
      </c>
      <c r="O452" t="s">
        <v>2322</v>
      </c>
      <c r="P452" t="s">
        <v>2106</v>
      </c>
      <c r="Q452">
        <v>0.85</v>
      </c>
    </row>
    <row r="453" spans="14:17" x14ac:dyDescent="0.45">
      <c r="N453" t="s">
        <v>27</v>
      </c>
      <c r="O453" t="s">
        <v>2323</v>
      </c>
      <c r="P453" t="s">
        <v>2099</v>
      </c>
      <c r="Q453">
        <v>0.85</v>
      </c>
    </row>
    <row r="454" spans="14:17" x14ac:dyDescent="0.45">
      <c r="N454" t="s">
        <v>27</v>
      </c>
      <c r="O454" t="s">
        <v>2324</v>
      </c>
      <c r="P454" t="s">
        <v>2059</v>
      </c>
      <c r="Q454">
        <v>0.85</v>
      </c>
    </row>
    <row r="455" spans="14:17" x14ac:dyDescent="0.45">
      <c r="N455" t="s">
        <v>27</v>
      </c>
      <c r="O455" t="s">
        <v>2325</v>
      </c>
      <c r="P455" t="s">
        <v>2081</v>
      </c>
      <c r="Q455">
        <v>0.85</v>
      </c>
    </row>
    <row r="456" spans="14:17" x14ac:dyDescent="0.45">
      <c r="N456" t="s">
        <v>27</v>
      </c>
      <c r="O456" t="s">
        <v>2326</v>
      </c>
      <c r="P456" t="s">
        <v>2086</v>
      </c>
      <c r="Q456">
        <v>0.85</v>
      </c>
    </row>
    <row r="457" spans="14:17" x14ac:dyDescent="0.45">
      <c r="N457" t="s">
        <v>27</v>
      </c>
      <c r="O457" t="s">
        <v>2327</v>
      </c>
      <c r="P457" t="s">
        <v>2097</v>
      </c>
      <c r="Q457">
        <v>0.85</v>
      </c>
    </row>
    <row r="458" spans="14:17" x14ac:dyDescent="0.45">
      <c r="N458" t="s">
        <v>27</v>
      </c>
      <c r="O458" t="s">
        <v>2328</v>
      </c>
      <c r="P458" t="s">
        <v>2093</v>
      </c>
      <c r="Q458">
        <v>0.85</v>
      </c>
    </row>
    <row r="459" spans="14:17" x14ac:dyDescent="0.45">
      <c r="N459" t="s">
        <v>27</v>
      </c>
      <c r="O459" t="s">
        <v>2329</v>
      </c>
      <c r="P459" t="s">
        <v>2078</v>
      </c>
      <c r="Q459">
        <v>0.85</v>
      </c>
    </row>
    <row r="460" spans="14:17" x14ac:dyDescent="0.45">
      <c r="N460" t="s">
        <v>27</v>
      </c>
      <c r="O460" t="s">
        <v>2330</v>
      </c>
      <c r="P460" t="s">
        <v>2071</v>
      </c>
      <c r="Q460">
        <v>0.85</v>
      </c>
    </row>
    <row r="461" spans="14:17" x14ac:dyDescent="0.45">
      <c r="N461" t="s">
        <v>27</v>
      </c>
      <c r="O461" t="s">
        <v>2331</v>
      </c>
      <c r="P461" t="s">
        <v>2084</v>
      </c>
      <c r="Q461">
        <v>0.85</v>
      </c>
    </row>
    <row r="462" spans="14:17" x14ac:dyDescent="0.45">
      <c r="N462" t="s">
        <v>27</v>
      </c>
      <c r="O462" t="s">
        <v>2332</v>
      </c>
      <c r="P462" t="s">
        <v>2083</v>
      </c>
      <c r="Q462">
        <v>0.85</v>
      </c>
    </row>
    <row r="463" spans="14:17" x14ac:dyDescent="0.45">
      <c r="N463" t="s">
        <v>27</v>
      </c>
      <c r="O463" t="s">
        <v>2333</v>
      </c>
      <c r="P463" t="s">
        <v>2089</v>
      </c>
      <c r="Q463">
        <v>0.85</v>
      </c>
    </row>
    <row r="464" spans="14:17" x14ac:dyDescent="0.45">
      <c r="N464" t="s">
        <v>27</v>
      </c>
      <c r="O464" t="s">
        <v>2334</v>
      </c>
      <c r="P464" t="s">
        <v>2090</v>
      </c>
      <c r="Q464">
        <v>0.85</v>
      </c>
    </row>
    <row r="465" spans="14:17" x14ac:dyDescent="0.45">
      <c r="N465" t="s">
        <v>27</v>
      </c>
      <c r="O465" t="s">
        <v>2335</v>
      </c>
      <c r="P465" t="s">
        <v>2108</v>
      </c>
      <c r="Q465">
        <v>0.85</v>
      </c>
    </row>
    <row r="466" spans="14:17" x14ac:dyDescent="0.45">
      <c r="N466" t="s">
        <v>27</v>
      </c>
      <c r="O466" t="s">
        <v>2336</v>
      </c>
      <c r="P466" t="s">
        <v>2090</v>
      </c>
      <c r="Q466">
        <v>0.85</v>
      </c>
    </row>
    <row r="467" spans="14:17" x14ac:dyDescent="0.45">
      <c r="N467" t="s">
        <v>27</v>
      </c>
      <c r="O467" t="s">
        <v>2337</v>
      </c>
      <c r="P467" t="s">
        <v>2051</v>
      </c>
      <c r="Q467">
        <v>0.85</v>
      </c>
    </row>
    <row r="468" spans="14:17" x14ac:dyDescent="0.45">
      <c r="N468" t="s">
        <v>27</v>
      </c>
      <c r="O468" t="s">
        <v>2338</v>
      </c>
      <c r="P468" t="s">
        <v>2075</v>
      </c>
      <c r="Q468">
        <v>0.85</v>
      </c>
    </row>
    <row r="469" spans="14:17" x14ac:dyDescent="0.45">
      <c r="N469" t="s">
        <v>27</v>
      </c>
      <c r="O469" t="s">
        <v>2339</v>
      </c>
      <c r="P469" t="s">
        <v>2109</v>
      </c>
      <c r="Q469">
        <v>0.85</v>
      </c>
    </row>
    <row r="470" spans="14:17" x14ac:dyDescent="0.45">
      <c r="N470" t="s">
        <v>27</v>
      </c>
      <c r="O470" t="s">
        <v>2340</v>
      </c>
      <c r="P470" t="s">
        <v>2096</v>
      </c>
      <c r="Q470">
        <v>0.85</v>
      </c>
    </row>
    <row r="471" spans="14:17" x14ac:dyDescent="0.45">
      <c r="N471" t="s">
        <v>27</v>
      </c>
      <c r="O471" t="s">
        <v>2341</v>
      </c>
      <c r="P471" t="s">
        <v>2078</v>
      </c>
      <c r="Q471">
        <v>0.85</v>
      </c>
    </row>
    <row r="472" spans="14:17" x14ac:dyDescent="0.45">
      <c r="N472" t="s">
        <v>27</v>
      </c>
      <c r="O472" t="s">
        <v>2342</v>
      </c>
      <c r="P472" t="s">
        <v>2080</v>
      </c>
      <c r="Q472">
        <v>0.85</v>
      </c>
    </row>
    <row r="473" spans="14:17" x14ac:dyDescent="0.45">
      <c r="N473" t="s">
        <v>27</v>
      </c>
      <c r="O473" t="s">
        <v>2343</v>
      </c>
      <c r="P473" t="s">
        <v>2092</v>
      </c>
      <c r="Q473">
        <v>0.85</v>
      </c>
    </row>
    <row r="474" spans="14:17" x14ac:dyDescent="0.45">
      <c r="N474" t="s">
        <v>27</v>
      </c>
      <c r="O474" t="s">
        <v>2344</v>
      </c>
      <c r="P474" t="s">
        <v>2059</v>
      </c>
      <c r="Q474">
        <v>0.85</v>
      </c>
    </row>
    <row r="475" spans="14:17" x14ac:dyDescent="0.45">
      <c r="N475" t="s">
        <v>27</v>
      </c>
      <c r="O475" t="s">
        <v>2345</v>
      </c>
      <c r="P475" t="s">
        <v>2071</v>
      </c>
      <c r="Q475">
        <v>0.85</v>
      </c>
    </row>
    <row r="476" spans="14:17" x14ac:dyDescent="0.45">
      <c r="N476" t="s">
        <v>27</v>
      </c>
      <c r="O476" t="s">
        <v>2346</v>
      </c>
      <c r="P476" t="s">
        <v>2069</v>
      </c>
      <c r="Q476">
        <v>0.85</v>
      </c>
    </row>
    <row r="477" spans="14:17" x14ac:dyDescent="0.45">
      <c r="N477" t="s">
        <v>27</v>
      </c>
      <c r="O477" t="s">
        <v>2347</v>
      </c>
      <c r="P477" t="s">
        <v>2075</v>
      </c>
      <c r="Q477">
        <v>0.85</v>
      </c>
    </row>
    <row r="478" spans="14:17" x14ac:dyDescent="0.45">
      <c r="N478" t="s">
        <v>27</v>
      </c>
      <c r="O478" t="s">
        <v>2348</v>
      </c>
      <c r="P478" t="s">
        <v>2076</v>
      </c>
      <c r="Q478">
        <v>0.85</v>
      </c>
    </row>
    <row r="479" spans="14:17" x14ac:dyDescent="0.45">
      <c r="N479" t="s">
        <v>27</v>
      </c>
      <c r="O479" t="s">
        <v>2349</v>
      </c>
      <c r="P479" t="s">
        <v>2103</v>
      </c>
      <c r="Q479">
        <v>0.85</v>
      </c>
    </row>
    <row r="480" spans="14:17" x14ac:dyDescent="0.45">
      <c r="N480" t="s">
        <v>27</v>
      </c>
      <c r="O480" t="s">
        <v>2350</v>
      </c>
      <c r="P480" t="s">
        <v>2071</v>
      </c>
      <c r="Q480">
        <v>0.85</v>
      </c>
    </row>
    <row r="481" spans="14:17" x14ac:dyDescent="0.45">
      <c r="N481" t="s">
        <v>27</v>
      </c>
      <c r="O481" t="s">
        <v>2351</v>
      </c>
      <c r="P481" t="s">
        <v>2089</v>
      </c>
      <c r="Q481">
        <v>0.85</v>
      </c>
    </row>
    <row r="482" spans="14:17" x14ac:dyDescent="0.45">
      <c r="N482" t="s">
        <v>27</v>
      </c>
      <c r="O482" t="s">
        <v>2352</v>
      </c>
      <c r="P482" t="s">
        <v>2076</v>
      </c>
      <c r="Q482">
        <v>0.85</v>
      </c>
    </row>
    <row r="483" spans="14:17" x14ac:dyDescent="0.45">
      <c r="N483" t="s">
        <v>27</v>
      </c>
      <c r="O483" t="s">
        <v>2353</v>
      </c>
      <c r="P483" t="s">
        <v>2068</v>
      </c>
      <c r="Q483">
        <v>0.85</v>
      </c>
    </row>
    <row r="484" spans="14:17" x14ac:dyDescent="0.45">
      <c r="N484" t="s">
        <v>27</v>
      </c>
      <c r="O484" t="s">
        <v>2354</v>
      </c>
      <c r="P484" t="s">
        <v>2068</v>
      </c>
      <c r="Q484">
        <v>0.85</v>
      </c>
    </row>
    <row r="485" spans="14:17" x14ac:dyDescent="0.45">
      <c r="N485" t="s">
        <v>27</v>
      </c>
      <c r="O485" t="s">
        <v>2355</v>
      </c>
      <c r="P485" t="s">
        <v>2057</v>
      </c>
      <c r="Q485">
        <v>0.85</v>
      </c>
    </row>
    <row r="486" spans="14:17" x14ac:dyDescent="0.45">
      <c r="N486" t="s">
        <v>27</v>
      </c>
      <c r="O486" t="s">
        <v>2356</v>
      </c>
      <c r="P486" t="s">
        <v>2057</v>
      </c>
      <c r="Q486">
        <v>0.85</v>
      </c>
    </row>
    <row r="487" spans="14:17" x14ac:dyDescent="0.45">
      <c r="N487" t="s">
        <v>27</v>
      </c>
      <c r="O487" t="s">
        <v>2357</v>
      </c>
      <c r="P487" t="s">
        <v>2084</v>
      </c>
      <c r="Q487">
        <v>0.85</v>
      </c>
    </row>
    <row r="488" spans="14:17" x14ac:dyDescent="0.45">
      <c r="N488" t="s">
        <v>27</v>
      </c>
      <c r="O488" t="s">
        <v>2358</v>
      </c>
      <c r="P488" t="s">
        <v>2104</v>
      </c>
      <c r="Q488">
        <v>0.85</v>
      </c>
    </row>
    <row r="489" spans="14:17" x14ac:dyDescent="0.45">
      <c r="N489" t="s">
        <v>27</v>
      </c>
      <c r="O489" t="s">
        <v>2359</v>
      </c>
      <c r="P489" t="s">
        <v>2103</v>
      </c>
      <c r="Q489">
        <v>0.85</v>
      </c>
    </row>
    <row r="490" spans="14:17" x14ac:dyDescent="0.45">
      <c r="N490" t="s">
        <v>27</v>
      </c>
      <c r="O490" t="s">
        <v>2360</v>
      </c>
      <c r="P490" t="s">
        <v>2065</v>
      </c>
      <c r="Q490">
        <v>0.85</v>
      </c>
    </row>
    <row r="491" spans="14:17" x14ac:dyDescent="0.45">
      <c r="N491" t="s">
        <v>27</v>
      </c>
      <c r="O491" t="s">
        <v>2361</v>
      </c>
      <c r="P491" t="s">
        <v>2104</v>
      </c>
      <c r="Q491">
        <v>0.85</v>
      </c>
    </row>
    <row r="492" spans="14:17" x14ac:dyDescent="0.45">
      <c r="N492" t="s">
        <v>27</v>
      </c>
      <c r="O492" t="s">
        <v>2362</v>
      </c>
      <c r="P492" t="s">
        <v>2086</v>
      </c>
      <c r="Q492">
        <v>0.85</v>
      </c>
    </row>
    <row r="493" spans="14:17" x14ac:dyDescent="0.45">
      <c r="N493" t="s">
        <v>27</v>
      </c>
      <c r="O493" t="s">
        <v>2363</v>
      </c>
      <c r="P493" t="s">
        <v>2060</v>
      </c>
      <c r="Q493">
        <v>0.85</v>
      </c>
    </row>
    <row r="494" spans="14:17" x14ac:dyDescent="0.45">
      <c r="N494" t="s">
        <v>27</v>
      </c>
      <c r="O494" t="s">
        <v>2364</v>
      </c>
      <c r="P494" t="s">
        <v>2052</v>
      </c>
      <c r="Q494">
        <v>0.85</v>
      </c>
    </row>
    <row r="495" spans="14:17" x14ac:dyDescent="0.45">
      <c r="N495" t="s">
        <v>27</v>
      </c>
      <c r="O495" t="s">
        <v>2365</v>
      </c>
      <c r="P495" t="s">
        <v>2071</v>
      </c>
      <c r="Q495">
        <v>0.85</v>
      </c>
    </row>
    <row r="496" spans="14:17" x14ac:dyDescent="0.45">
      <c r="N496" t="s">
        <v>27</v>
      </c>
      <c r="O496" t="s">
        <v>2366</v>
      </c>
      <c r="P496" t="s">
        <v>2107</v>
      </c>
      <c r="Q496">
        <v>0.85</v>
      </c>
    </row>
    <row r="497" spans="14:17" x14ac:dyDescent="0.45">
      <c r="N497" t="s">
        <v>27</v>
      </c>
      <c r="O497" t="s">
        <v>2367</v>
      </c>
      <c r="P497" t="s">
        <v>2106</v>
      </c>
      <c r="Q497">
        <v>0.85</v>
      </c>
    </row>
    <row r="498" spans="14:17" x14ac:dyDescent="0.45">
      <c r="N498" t="s">
        <v>27</v>
      </c>
      <c r="O498" t="s">
        <v>2368</v>
      </c>
      <c r="P498" t="s">
        <v>2105</v>
      </c>
      <c r="Q498">
        <v>0.85</v>
      </c>
    </row>
    <row r="499" spans="14:17" x14ac:dyDescent="0.45">
      <c r="N499" t="s">
        <v>27</v>
      </c>
      <c r="O499" t="s">
        <v>2369</v>
      </c>
      <c r="P499" t="s">
        <v>2051</v>
      </c>
      <c r="Q499">
        <v>0.85</v>
      </c>
    </row>
    <row r="500" spans="14:17" x14ac:dyDescent="0.45">
      <c r="N500" t="s">
        <v>27</v>
      </c>
      <c r="O500" t="s">
        <v>2370</v>
      </c>
      <c r="P500" t="s">
        <v>2082</v>
      </c>
      <c r="Q500">
        <v>0.85</v>
      </c>
    </row>
    <row r="501" spans="14:17" x14ac:dyDescent="0.45">
      <c r="N501" t="s">
        <v>27</v>
      </c>
      <c r="O501" t="s">
        <v>2371</v>
      </c>
      <c r="P501" t="s">
        <v>2076</v>
      </c>
      <c r="Q501">
        <v>0.85</v>
      </c>
    </row>
    <row r="502" spans="14:17" x14ac:dyDescent="0.45">
      <c r="N502" t="s">
        <v>27</v>
      </c>
      <c r="O502" t="s">
        <v>2372</v>
      </c>
      <c r="P502" t="s">
        <v>2100</v>
      </c>
      <c r="Q502">
        <v>0.85</v>
      </c>
    </row>
    <row r="503" spans="14:17" x14ac:dyDescent="0.45">
      <c r="N503" t="s">
        <v>27</v>
      </c>
      <c r="O503" t="s">
        <v>2373</v>
      </c>
      <c r="P503" t="s">
        <v>2096</v>
      </c>
      <c r="Q503">
        <v>0.85</v>
      </c>
    </row>
    <row r="504" spans="14:17" x14ac:dyDescent="0.45">
      <c r="N504" t="s">
        <v>27</v>
      </c>
      <c r="O504" t="s">
        <v>2374</v>
      </c>
      <c r="P504" t="s">
        <v>2101</v>
      </c>
      <c r="Q504">
        <v>0.85</v>
      </c>
    </row>
    <row r="505" spans="14:17" x14ac:dyDescent="0.45">
      <c r="N505" t="s">
        <v>27</v>
      </c>
      <c r="O505" t="s">
        <v>2375</v>
      </c>
      <c r="P505" t="s">
        <v>2081</v>
      </c>
      <c r="Q505">
        <v>0.85</v>
      </c>
    </row>
    <row r="506" spans="14:17" x14ac:dyDescent="0.45">
      <c r="N506" t="s">
        <v>27</v>
      </c>
      <c r="O506" t="s">
        <v>2376</v>
      </c>
      <c r="P506" t="s">
        <v>2055</v>
      </c>
      <c r="Q506">
        <v>0.85</v>
      </c>
    </row>
    <row r="507" spans="14:17" x14ac:dyDescent="0.45">
      <c r="N507" t="s">
        <v>27</v>
      </c>
      <c r="O507" t="s">
        <v>2377</v>
      </c>
      <c r="P507" t="s">
        <v>2071</v>
      </c>
      <c r="Q507">
        <v>0.85</v>
      </c>
    </row>
    <row r="508" spans="14:17" x14ac:dyDescent="0.45">
      <c r="N508" t="s">
        <v>27</v>
      </c>
      <c r="O508" t="s">
        <v>2378</v>
      </c>
      <c r="P508" t="s">
        <v>2069</v>
      </c>
      <c r="Q508">
        <v>0.85</v>
      </c>
    </row>
    <row r="509" spans="14:17" x14ac:dyDescent="0.45">
      <c r="N509" t="s">
        <v>27</v>
      </c>
      <c r="O509" t="s">
        <v>2379</v>
      </c>
      <c r="P509" t="s">
        <v>2089</v>
      </c>
      <c r="Q509">
        <v>0.85</v>
      </c>
    </row>
    <row r="510" spans="14:17" x14ac:dyDescent="0.45">
      <c r="N510" t="s">
        <v>27</v>
      </c>
      <c r="O510" t="s">
        <v>2380</v>
      </c>
      <c r="P510" t="s">
        <v>2086</v>
      </c>
      <c r="Q510">
        <v>0.85</v>
      </c>
    </row>
    <row r="511" spans="14:17" x14ac:dyDescent="0.45">
      <c r="N511" t="s">
        <v>27</v>
      </c>
      <c r="O511" t="s">
        <v>2381</v>
      </c>
      <c r="P511" t="s">
        <v>2068</v>
      </c>
      <c r="Q511">
        <v>0.85</v>
      </c>
    </row>
    <row r="512" spans="14:17" x14ac:dyDescent="0.45">
      <c r="N512" t="s">
        <v>27</v>
      </c>
      <c r="O512" t="s">
        <v>2382</v>
      </c>
      <c r="P512" t="s">
        <v>2052</v>
      </c>
      <c r="Q512">
        <v>0.85</v>
      </c>
    </row>
    <row r="513" spans="14:17" x14ac:dyDescent="0.45">
      <c r="N513" t="s">
        <v>27</v>
      </c>
      <c r="O513" t="s">
        <v>2383</v>
      </c>
      <c r="P513" t="s">
        <v>2067</v>
      </c>
      <c r="Q513">
        <v>0.85</v>
      </c>
    </row>
    <row r="514" spans="14:17" x14ac:dyDescent="0.45">
      <c r="N514" t="s">
        <v>27</v>
      </c>
      <c r="O514" t="s">
        <v>2384</v>
      </c>
      <c r="P514" t="s">
        <v>2094</v>
      </c>
      <c r="Q514">
        <v>0.85</v>
      </c>
    </row>
    <row r="515" spans="14:17" x14ac:dyDescent="0.45">
      <c r="N515" t="s">
        <v>27</v>
      </c>
      <c r="O515" t="s">
        <v>2385</v>
      </c>
      <c r="P515" t="s">
        <v>2106</v>
      </c>
      <c r="Q515">
        <v>0.85</v>
      </c>
    </row>
    <row r="516" spans="14:17" x14ac:dyDescent="0.45">
      <c r="N516" t="s">
        <v>27</v>
      </c>
      <c r="O516" t="s">
        <v>2386</v>
      </c>
      <c r="P516" t="s">
        <v>2097</v>
      </c>
      <c r="Q516">
        <v>0.85</v>
      </c>
    </row>
    <row r="517" spans="14:17" x14ac:dyDescent="0.45">
      <c r="N517" t="s">
        <v>27</v>
      </c>
      <c r="O517" t="s">
        <v>2387</v>
      </c>
      <c r="P517" t="s">
        <v>2086</v>
      </c>
      <c r="Q517">
        <v>0.85</v>
      </c>
    </row>
    <row r="518" spans="14:17" x14ac:dyDescent="0.45">
      <c r="N518" t="s">
        <v>27</v>
      </c>
      <c r="O518" t="s">
        <v>2388</v>
      </c>
      <c r="P518" t="s">
        <v>2103</v>
      </c>
      <c r="Q518">
        <v>0.85</v>
      </c>
    </row>
    <row r="519" spans="14:17" x14ac:dyDescent="0.45">
      <c r="N519" t="s">
        <v>27</v>
      </c>
      <c r="O519" t="s">
        <v>2389</v>
      </c>
      <c r="P519" t="s">
        <v>2075</v>
      </c>
      <c r="Q519">
        <v>0.85</v>
      </c>
    </row>
    <row r="520" spans="14:17" x14ac:dyDescent="0.45">
      <c r="N520" t="s">
        <v>27</v>
      </c>
      <c r="O520" t="s">
        <v>2390</v>
      </c>
      <c r="P520" t="s">
        <v>2051</v>
      </c>
      <c r="Q520">
        <v>0.85</v>
      </c>
    </row>
    <row r="521" spans="14:17" x14ac:dyDescent="0.45">
      <c r="N521" t="s">
        <v>27</v>
      </c>
      <c r="O521" t="s">
        <v>2391</v>
      </c>
      <c r="P521" t="s">
        <v>2077</v>
      </c>
      <c r="Q521">
        <v>0.85</v>
      </c>
    </row>
    <row r="522" spans="14:17" x14ac:dyDescent="0.45">
      <c r="N522" t="s">
        <v>27</v>
      </c>
      <c r="O522" t="s">
        <v>2392</v>
      </c>
      <c r="P522" t="s">
        <v>2109</v>
      </c>
      <c r="Q522">
        <v>0.85</v>
      </c>
    </row>
    <row r="523" spans="14:17" x14ac:dyDescent="0.45">
      <c r="N523" t="s">
        <v>27</v>
      </c>
      <c r="O523" t="s">
        <v>2393</v>
      </c>
      <c r="P523" t="s">
        <v>2106</v>
      </c>
      <c r="Q523">
        <v>0.85</v>
      </c>
    </row>
    <row r="524" spans="14:17" x14ac:dyDescent="0.45">
      <c r="N524" t="s">
        <v>27</v>
      </c>
      <c r="O524" t="s">
        <v>2394</v>
      </c>
      <c r="P524" t="s">
        <v>2093</v>
      </c>
      <c r="Q524">
        <v>0.85</v>
      </c>
    </row>
    <row r="525" spans="14:17" x14ac:dyDescent="0.45">
      <c r="N525" t="s">
        <v>27</v>
      </c>
      <c r="O525" t="s">
        <v>2395</v>
      </c>
      <c r="P525" t="s">
        <v>2051</v>
      </c>
      <c r="Q525">
        <v>0.85</v>
      </c>
    </row>
    <row r="526" spans="14:17" x14ac:dyDescent="0.45">
      <c r="N526" t="s">
        <v>27</v>
      </c>
      <c r="O526" t="s">
        <v>2396</v>
      </c>
      <c r="P526" t="s">
        <v>2086</v>
      </c>
      <c r="Q526">
        <v>0.85</v>
      </c>
    </row>
    <row r="527" spans="14:17" x14ac:dyDescent="0.45">
      <c r="N527" t="s">
        <v>27</v>
      </c>
      <c r="O527" t="s">
        <v>2397</v>
      </c>
      <c r="P527" t="s">
        <v>2093</v>
      </c>
      <c r="Q527">
        <v>0.85</v>
      </c>
    </row>
    <row r="528" spans="14:17" x14ac:dyDescent="0.45">
      <c r="N528" t="s">
        <v>27</v>
      </c>
      <c r="O528" t="s">
        <v>2398</v>
      </c>
      <c r="P528" t="s">
        <v>2062</v>
      </c>
      <c r="Q528">
        <v>0.85</v>
      </c>
    </row>
    <row r="529" spans="14:17" x14ac:dyDescent="0.45">
      <c r="N529" t="s">
        <v>27</v>
      </c>
      <c r="O529" t="s">
        <v>2399</v>
      </c>
      <c r="P529" t="s">
        <v>2076</v>
      </c>
      <c r="Q529">
        <v>0.85</v>
      </c>
    </row>
    <row r="530" spans="14:17" x14ac:dyDescent="0.45">
      <c r="N530" t="s">
        <v>27</v>
      </c>
      <c r="O530" t="s">
        <v>2400</v>
      </c>
      <c r="P530" t="s">
        <v>2071</v>
      </c>
      <c r="Q530">
        <v>0.85</v>
      </c>
    </row>
    <row r="531" spans="14:17" x14ac:dyDescent="0.45">
      <c r="N531" t="s">
        <v>27</v>
      </c>
      <c r="O531" t="s">
        <v>2401</v>
      </c>
      <c r="P531" t="s">
        <v>2096</v>
      </c>
      <c r="Q531">
        <v>0.85</v>
      </c>
    </row>
    <row r="532" spans="14:17" x14ac:dyDescent="0.45">
      <c r="N532" t="s">
        <v>27</v>
      </c>
      <c r="O532" t="s">
        <v>2402</v>
      </c>
      <c r="P532" t="s">
        <v>2107</v>
      </c>
      <c r="Q532">
        <v>0.85</v>
      </c>
    </row>
    <row r="533" spans="14:17" x14ac:dyDescent="0.45">
      <c r="N533" t="s">
        <v>27</v>
      </c>
      <c r="O533" t="s">
        <v>2403</v>
      </c>
      <c r="P533" t="s">
        <v>2091</v>
      </c>
      <c r="Q533">
        <v>0.85</v>
      </c>
    </row>
    <row r="534" spans="14:17" x14ac:dyDescent="0.45">
      <c r="N534" t="s">
        <v>27</v>
      </c>
      <c r="O534" t="s">
        <v>2404</v>
      </c>
      <c r="P534" t="s">
        <v>2109</v>
      </c>
      <c r="Q534">
        <v>0.85</v>
      </c>
    </row>
    <row r="535" spans="14:17" x14ac:dyDescent="0.45">
      <c r="N535" t="s">
        <v>27</v>
      </c>
      <c r="O535" t="s">
        <v>2405</v>
      </c>
      <c r="P535" t="s">
        <v>2075</v>
      </c>
      <c r="Q535">
        <v>0.85</v>
      </c>
    </row>
    <row r="536" spans="14:17" x14ac:dyDescent="0.45">
      <c r="N536" t="s">
        <v>27</v>
      </c>
      <c r="O536" t="s">
        <v>2406</v>
      </c>
      <c r="P536" t="s">
        <v>2096</v>
      </c>
      <c r="Q536">
        <v>0.85</v>
      </c>
    </row>
    <row r="537" spans="14:17" x14ac:dyDescent="0.45">
      <c r="N537" t="s">
        <v>27</v>
      </c>
      <c r="O537" t="s">
        <v>2407</v>
      </c>
      <c r="P537" t="s">
        <v>2069</v>
      </c>
      <c r="Q537">
        <v>0.85</v>
      </c>
    </row>
    <row r="538" spans="14:17" x14ac:dyDescent="0.45">
      <c r="N538" t="s">
        <v>27</v>
      </c>
      <c r="O538" t="s">
        <v>2408</v>
      </c>
      <c r="P538" t="s">
        <v>2059</v>
      </c>
      <c r="Q538">
        <v>0.85</v>
      </c>
    </row>
    <row r="539" spans="14:17" x14ac:dyDescent="0.45">
      <c r="N539" t="s">
        <v>27</v>
      </c>
      <c r="O539" t="s">
        <v>2409</v>
      </c>
      <c r="P539" t="s">
        <v>2094</v>
      </c>
      <c r="Q539">
        <v>0.85</v>
      </c>
    </row>
    <row r="540" spans="14:17" x14ac:dyDescent="0.45">
      <c r="N540" t="s">
        <v>27</v>
      </c>
      <c r="O540" t="s">
        <v>2410</v>
      </c>
      <c r="P540" t="s">
        <v>2053</v>
      </c>
      <c r="Q540">
        <v>0.85</v>
      </c>
    </row>
    <row r="541" spans="14:17" x14ac:dyDescent="0.45">
      <c r="N541" t="s">
        <v>27</v>
      </c>
      <c r="O541" t="s">
        <v>2411</v>
      </c>
      <c r="P541" t="s">
        <v>2075</v>
      </c>
      <c r="Q541">
        <v>0.85</v>
      </c>
    </row>
    <row r="542" spans="14:17" x14ac:dyDescent="0.45">
      <c r="N542" t="s">
        <v>27</v>
      </c>
      <c r="O542" t="s">
        <v>2412</v>
      </c>
      <c r="P542" t="s">
        <v>2071</v>
      </c>
      <c r="Q542">
        <v>0.85</v>
      </c>
    </row>
    <row r="543" spans="14:17" x14ac:dyDescent="0.45">
      <c r="N543" t="s">
        <v>27</v>
      </c>
      <c r="O543" t="s">
        <v>2413</v>
      </c>
      <c r="P543" t="s">
        <v>2106</v>
      </c>
      <c r="Q543">
        <v>0.85</v>
      </c>
    </row>
    <row r="544" spans="14:17" x14ac:dyDescent="0.45">
      <c r="N544" t="s">
        <v>27</v>
      </c>
      <c r="O544" t="s">
        <v>2414</v>
      </c>
      <c r="P544" t="s">
        <v>2062</v>
      </c>
      <c r="Q544">
        <v>0.85</v>
      </c>
    </row>
    <row r="545" spans="14:17" x14ac:dyDescent="0.45">
      <c r="N545" t="s">
        <v>27</v>
      </c>
      <c r="O545" t="s">
        <v>2415</v>
      </c>
      <c r="P545" t="s">
        <v>2077</v>
      </c>
      <c r="Q545">
        <v>0.85</v>
      </c>
    </row>
    <row r="546" spans="14:17" x14ac:dyDescent="0.45">
      <c r="N546" t="s">
        <v>27</v>
      </c>
      <c r="O546" t="s">
        <v>2416</v>
      </c>
      <c r="P546" t="s">
        <v>2063</v>
      </c>
      <c r="Q546">
        <v>0.85</v>
      </c>
    </row>
    <row r="547" spans="14:17" x14ac:dyDescent="0.45">
      <c r="N547" t="s">
        <v>27</v>
      </c>
      <c r="O547" t="s">
        <v>2417</v>
      </c>
      <c r="P547" t="s">
        <v>2104</v>
      </c>
      <c r="Q547">
        <v>0.85</v>
      </c>
    </row>
    <row r="548" spans="14:17" x14ac:dyDescent="0.45">
      <c r="N548" t="s">
        <v>27</v>
      </c>
      <c r="O548" t="s">
        <v>2418</v>
      </c>
      <c r="P548" t="s">
        <v>2089</v>
      </c>
      <c r="Q548">
        <v>0.85</v>
      </c>
    </row>
    <row r="549" spans="14:17" x14ac:dyDescent="0.45">
      <c r="N549" t="s">
        <v>27</v>
      </c>
      <c r="O549" t="s">
        <v>2419</v>
      </c>
      <c r="P549" t="s">
        <v>2083</v>
      </c>
      <c r="Q549">
        <v>0.85</v>
      </c>
    </row>
    <row r="550" spans="14:17" x14ac:dyDescent="0.45">
      <c r="N550" t="s">
        <v>27</v>
      </c>
      <c r="O550" t="s">
        <v>2420</v>
      </c>
      <c r="P550" t="s">
        <v>2103</v>
      </c>
      <c r="Q550">
        <v>0.85</v>
      </c>
    </row>
    <row r="551" spans="14:17" x14ac:dyDescent="0.45">
      <c r="N551" t="s">
        <v>27</v>
      </c>
      <c r="O551" t="s">
        <v>2421</v>
      </c>
      <c r="P551" t="s">
        <v>2086</v>
      </c>
      <c r="Q551">
        <v>0.85</v>
      </c>
    </row>
    <row r="552" spans="14:17" x14ac:dyDescent="0.45">
      <c r="N552" t="s">
        <v>27</v>
      </c>
      <c r="O552" t="s">
        <v>2422</v>
      </c>
      <c r="P552" t="s">
        <v>2051</v>
      </c>
      <c r="Q552">
        <v>0.85</v>
      </c>
    </row>
    <row r="553" spans="14:17" x14ac:dyDescent="0.45">
      <c r="N553" t="s">
        <v>27</v>
      </c>
      <c r="O553" t="s">
        <v>2423</v>
      </c>
      <c r="P553" t="s">
        <v>2059</v>
      </c>
      <c r="Q553">
        <v>0.85</v>
      </c>
    </row>
    <row r="554" spans="14:17" x14ac:dyDescent="0.45">
      <c r="N554" t="s">
        <v>27</v>
      </c>
      <c r="O554" t="s">
        <v>2424</v>
      </c>
      <c r="P554" t="s">
        <v>2075</v>
      </c>
      <c r="Q554">
        <v>0.85</v>
      </c>
    </row>
    <row r="555" spans="14:17" x14ac:dyDescent="0.45">
      <c r="N555" t="s">
        <v>27</v>
      </c>
      <c r="O555" t="s">
        <v>2425</v>
      </c>
      <c r="P555" t="s">
        <v>2103</v>
      </c>
      <c r="Q555">
        <v>0.85</v>
      </c>
    </row>
    <row r="556" spans="14:17" x14ac:dyDescent="0.45">
      <c r="N556" t="s">
        <v>27</v>
      </c>
      <c r="O556" t="s">
        <v>2426</v>
      </c>
      <c r="P556" t="s">
        <v>2086</v>
      </c>
      <c r="Q556">
        <v>0.85</v>
      </c>
    </row>
    <row r="557" spans="14:17" x14ac:dyDescent="0.45">
      <c r="N557" t="s">
        <v>27</v>
      </c>
      <c r="O557" t="s">
        <v>2427</v>
      </c>
      <c r="P557" t="s">
        <v>2106</v>
      </c>
      <c r="Q557">
        <v>0.85</v>
      </c>
    </row>
    <row r="558" spans="14:17" x14ac:dyDescent="0.45">
      <c r="N558" t="s">
        <v>27</v>
      </c>
      <c r="O558" t="s">
        <v>2428</v>
      </c>
      <c r="P558" t="s">
        <v>2076</v>
      </c>
      <c r="Q558">
        <v>0.85</v>
      </c>
    </row>
    <row r="559" spans="14:17" x14ac:dyDescent="0.45">
      <c r="N559" t="s">
        <v>27</v>
      </c>
      <c r="O559" t="s">
        <v>2429</v>
      </c>
      <c r="P559" t="s">
        <v>2075</v>
      </c>
      <c r="Q559">
        <v>0.85</v>
      </c>
    </row>
    <row r="560" spans="14:17" x14ac:dyDescent="0.45">
      <c r="N560" t="s">
        <v>27</v>
      </c>
      <c r="O560" t="s">
        <v>2430</v>
      </c>
      <c r="P560" t="s">
        <v>2053</v>
      </c>
      <c r="Q560">
        <v>0.85</v>
      </c>
    </row>
    <row r="561" spans="14:17" x14ac:dyDescent="0.45">
      <c r="N561" t="s">
        <v>27</v>
      </c>
      <c r="O561" t="s">
        <v>2431</v>
      </c>
      <c r="P561" t="s">
        <v>2094</v>
      </c>
      <c r="Q561">
        <v>0.85</v>
      </c>
    </row>
    <row r="562" spans="14:17" x14ac:dyDescent="0.45">
      <c r="N562" t="s">
        <v>27</v>
      </c>
      <c r="O562" t="s">
        <v>2432</v>
      </c>
      <c r="P562" t="s">
        <v>2075</v>
      </c>
      <c r="Q562">
        <v>0.85</v>
      </c>
    </row>
    <row r="563" spans="14:17" x14ac:dyDescent="0.45">
      <c r="N563" t="s">
        <v>27</v>
      </c>
      <c r="O563" t="s">
        <v>2433</v>
      </c>
      <c r="P563" t="s">
        <v>2101</v>
      </c>
      <c r="Q563">
        <v>0.85</v>
      </c>
    </row>
    <row r="564" spans="14:17" x14ac:dyDescent="0.45">
      <c r="N564" t="s">
        <v>27</v>
      </c>
      <c r="O564" t="s">
        <v>2434</v>
      </c>
      <c r="P564" t="s">
        <v>2106</v>
      </c>
      <c r="Q564">
        <v>0.85</v>
      </c>
    </row>
    <row r="565" spans="14:17" x14ac:dyDescent="0.45">
      <c r="N565" t="s">
        <v>27</v>
      </c>
      <c r="O565" t="s">
        <v>2435</v>
      </c>
      <c r="P565" t="s">
        <v>2051</v>
      </c>
      <c r="Q565">
        <v>0.85</v>
      </c>
    </row>
    <row r="566" spans="14:17" x14ac:dyDescent="0.45">
      <c r="N566" t="s">
        <v>27</v>
      </c>
      <c r="O566" t="s">
        <v>2436</v>
      </c>
      <c r="P566" t="s">
        <v>2103</v>
      </c>
      <c r="Q566">
        <v>0.85</v>
      </c>
    </row>
    <row r="567" spans="14:17" x14ac:dyDescent="0.45">
      <c r="N567" t="s">
        <v>27</v>
      </c>
      <c r="O567" t="s">
        <v>2437</v>
      </c>
      <c r="P567" t="s">
        <v>2093</v>
      </c>
      <c r="Q567">
        <v>0.85</v>
      </c>
    </row>
    <row r="568" spans="14:17" x14ac:dyDescent="0.45">
      <c r="N568" t="s">
        <v>27</v>
      </c>
      <c r="O568" t="s">
        <v>2438</v>
      </c>
      <c r="P568" t="s">
        <v>2069</v>
      </c>
      <c r="Q568">
        <v>0.85</v>
      </c>
    </row>
    <row r="569" spans="14:17" x14ac:dyDescent="0.45">
      <c r="N569" t="s">
        <v>27</v>
      </c>
      <c r="O569" t="s">
        <v>2439</v>
      </c>
      <c r="P569" t="s">
        <v>2087</v>
      </c>
      <c r="Q569">
        <v>0.85</v>
      </c>
    </row>
    <row r="570" spans="14:17" x14ac:dyDescent="0.45">
      <c r="N570" t="s">
        <v>27</v>
      </c>
      <c r="O570" t="s">
        <v>2440</v>
      </c>
      <c r="P570" t="s">
        <v>2099</v>
      </c>
      <c r="Q570">
        <v>0.85</v>
      </c>
    </row>
    <row r="571" spans="14:17" x14ac:dyDescent="0.45">
      <c r="N571" t="s">
        <v>27</v>
      </c>
      <c r="O571" t="s">
        <v>2441</v>
      </c>
      <c r="P571" t="s">
        <v>2099</v>
      </c>
      <c r="Q571">
        <v>0.85</v>
      </c>
    </row>
    <row r="572" spans="14:17" x14ac:dyDescent="0.45">
      <c r="N572" t="s">
        <v>27</v>
      </c>
      <c r="O572" t="s">
        <v>2442</v>
      </c>
      <c r="P572" t="s">
        <v>2105</v>
      </c>
      <c r="Q572">
        <v>0.85</v>
      </c>
    </row>
    <row r="573" spans="14:17" x14ac:dyDescent="0.45">
      <c r="N573" t="s">
        <v>27</v>
      </c>
      <c r="O573" t="s">
        <v>2443</v>
      </c>
      <c r="P573" t="s">
        <v>2106</v>
      </c>
      <c r="Q573">
        <v>0.85</v>
      </c>
    </row>
    <row r="574" spans="14:17" x14ac:dyDescent="0.45">
      <c r="N574" t="s">
        <v>27</v>
      </c>
      <c r="O574" t="s">
        <v>2444</v>
      </c>
      <c r="P574" t="s">
        <v>2103</v>
      </c>
      <c r="Q574">
        <v>0.85</v>
      </c>
    </row>
    <row r="575" spans="14:17" x14ac:dyDescent="0.45">
      <c r="N575" t="s">
        <v>27</v>
      </c>
      <c r="O575" t="s">
        <v>2445</v>
      </c>
      <c r="P575" t="s">
        <v>2102</v>
      </c>
      <c r="Q575">
        <v>0.85</v>
      </c>
    </row>
    <row r="576" spans="14:17" x14ac:dyDescent="0.45">
      <c r="N576" t="s">
        <v>27</v>
      </c>
      <c r="O576" t="s">
        <v>2446</v>
      </c>
      <c r="P576" t="s">
        <v>2068</v>
      </c>
      <c r="Q576">
        <v>0.85</v>
      </c>
    </row>
    <row r="577" spans="14:17" x14ac:dyDescent="0.45">
      <c r="N577" t="s">
        <v>27</v>
      </c>
      <c r="O577" t="s">
        <v>2447</v>
      </c>
      <c r="P577" t="s">
        <v>2094</v>
      </c>
      <c r="Q577">
        <v>0.85</v>
      </c>
    </row>
    <row r="578" spans="14:17" x14ac:dyDescent="0.45">
      <c r="N578" t="s">
        <v>27</v>
      </c>
      <c r="O578" t="s">
        <v>2448</v>
      </c>
      <c r="P578" t="s">
        <v>2065</v>
      </c>
      <c r="Q578">
        <v>0.95</v>
      </c>
    </row>
    <row r="579" spans="14:17" x14ac:dyDescent="0.45">
      <c r="N579" t="s">
        <v>27</v>
      </c>
      <c r="O579" t="s">
        <v>2449</v>
      </c>
      <c r="P579" t="s">
        <v>2052</v>
      </c>
      <c r="Q579">
        <v>0.95</v>
      </c>
    </row>
    <row r="580" spans="14:17" x14ac:dyDescent="0.45">
      <c r="N580" t="s">
        <v>27</v>
      </c>
      <c r="O580" t="s">
        <v>2450</v>
      </c>
      <c r="P580" t="s">
        <v>2077</v>
      </c>
      <c r="Q580">
        <v>0.95</v>
      </c>
    </row>
    <row r="581" spans="14:17" x14ac:dyDescent="0.45">
      <c r="N581" t="s">
        <v>27</v>
      </c>
      <c r="O581" t="s">
        <v>2451</v>
      </c>
      <c r="P581" t="s">
        <v>2071</v>
      </c>
      <c r="Q581">
        <v>0.95</v>
      </c>
    </row>
    <row r="582" spans="14:17" x14ac:dyDescent="0.45">
      <c r="N582" t="s">
        <v>27</v>
      </c>
      <c r="O582" t="s">
        <v>2452</v>
      </c>
      <c r="P582" t="s">
        <v>2065</v>
      </c>
      <c r="Q582">
        <v>0.95</v>
      </c>
    </row>
    <row r="583" spans="14:17" x14ac:dyDescent="0.45">
      <c r="N583" t="s">
        <v>27</v>
      </c>
      <c r="O583" t="s">
        <v>2453</v>
      </c>
      <c r="P583" t="s">
        <v>2090</v>
      </c>
      <c r="Q583">
        <v>0.95</v>
      </c>
    </row>
    <row r="584" spans="14:17" x14ac:dyDescent="0.45">
      <c r="N584" t="s">
        <v>27</v>
      </c>
      <c r="O584" t="s">
        <v>2454</v>
      </c>
      <c r="P584" t="s">
        <v>2065</v>
      </c>
      <c r="Q584">
        <v>0.95</v>
      </c>
    </row>
    <row r="585" spans="14:17" x14ac:dyDescent="0.45">
      <c r="N585" t="s">
        <v>27</v>
      </c>
      <c r="O585" t="s">
        <v>2455</v>
      </c>
      <c r="P585" t="s">
        <v>2071</v>
      </c>
      <c r="Q585">
        <v>0.95</v>
      </c>
    </row>
    <row r="586" spans="14:17" x14ac:dyDescent="0.45">
      <c r="N586" t="s">
        <v>27</v>
      </c>
      <c r="O586" t="s">
        <v>2456</v>
      </c>
      <c r="P586" t="s">
        <v>2065</v>
      </c>
      <c r="Q586">
        <v>0.95</v>
      </c>
    </row>
    <row r="587" spans="14:17" x14ac:dyDescent="0.45">
      <c r="N587" t="s">
        <v>27</v>
      </c>
      <c r="O587" t="s">
        <v>2457</v>
      </c>
      <c r="P587" t="s">
        <v>2089</v>
      </c>
      <c r="Q587">
        <v>0.95</v>
      </c>
    </row>
    <row r="588" spans="14:17" x14ac:dyDescent="0.45">
      <c r="N588" t="s">
        <v>27</v>
      </c>
      <c r="O588" t="s">
        <v>2458</v>
      </c>
      <c r="P588" t="s">
        <v>2106</v>
      </c>
      <c r="Q588">
        <v>0.95</v>
      </c>
    </row>
    <row r="589" spans="14:17" x14ac:dyDescent="0.45">
      <c r="N589" t="s">
        <v>27</v>
      </c>
      <c r="O589" t="s">
        <v>2459</v>
      </c>
      <c r="P589" t="s">
        <v>2052</v>
      </c>
      <c r="Q589">
        <v>0.95</v>
      </c>
    </row>
    <row r="590" spans="14:17" x14ac:dyDescent="0.45">
      <c r="N590" t="s">
        <v>27</v>
      </c>
      <c r="O590" t="s">
        <v>2460</v>
      </c>
      <c r="P590" t="s">
        <v>2056</v>
      </c>
      <c r="Q590">
        <v>0.95</v>
      </c>
    </row>
    <row r="591" spans="14:17" x14ac:dyDescent="0.45">
      <c r="N591" t="s">
        <v>27</v>
      </c>
      <c r="O591" t="s">
        <v>2461</v>
      </c>
      <c r="P591" t="s">
        <v>2096</v>
      </c>
      <c r="Q591">
        <v>0.85</v>
      </c>
    </row>
    <row r="592" spans="14:17" x14ac:dyDescent="0.45">
      <c r="N592" t="s">
        <v>27</v>
      </c>
      <c r="O592" t="s">
        <v>2462</v>
      </c>
      <c r="P592" t="s">
        <v>2051</v>
      </c>
      <c r="Q592">
        <v>0.85</v>
      </c>
    </row>
    <row r="593" spans="14:17" x14ac:dyDescent="0.45">
      <c r="N593" t="s">
        <v>27</v>
      </c>
      <c r="O593" t="s">
        <v>2463</v>
      </c>
      <c r="P593" t="s">
        <v>2086</v>
      </c>
      <c r="Q593">
        <v>0.85</v>
      </c>
    </row>
    <row r="594" spans="14:17" x14ac:dyDescent="0.45">
      <c r="N594" t="s">
        <v>27</v>
      </c>
      <c r="O594" t="s">
        <v>2464</v>
      </c>
      <c r="P594" t="s">
        <v>2053</v>
      </c>
      <c r="Q594">
        <v>0.85</v>
      </c>
    </row>
    <row r="595" spans="14:17" x14ac:dyDescent="0.45">
      <c r="N595" t="s">
        <v>27</v>
      </c>
      <c r="O595" t="s">
        <v>2465</v>
      </c>
      <c r="P595" t="s">
        <v>2059</v>
      </c>
      <c r="Q595">
        <v>0.85</v>
      </c>
    </row>
    <row r="596" spans="14:17" x14ac:dyDescent="0.45">
      <c r="N596" t="s">
        <v>27</v>
      </c>
      <c r="O596" t="s">
        <v>2466</v>
      </c>
      <c r="P596" t="s">
        <v>2080</v>
      </c>
      <c r="Q596">
        <v>0.85</v>
      </c>
    </row>
    <row r="597" spans="14:17" x14ac:dyDescent="0.45">
      <c r="N597" t="s">
        <v>27</v>
      </c>
      <c r="O597" t="s">
        <v>2467</v>
      </c>
      <c r="P597" t="s">
        <v>2083</v>
      </c>
      <c r="Q597">
        <v>0.85</v>
      </c>
    </row>
    <row r="598" spans="14:17" x14ac:dyDescent="0.45">
      <c r="N598" t="s">
        <v>27</v>
      </c>
      <c r="O598" t="s">
        <v>2468</v>
      </c>
      <c r="P598" t="s">
        <v>2076</v>
      </c>
      <c r="Q598">
        <v>0.85</v>
      </c>
    </row>
    <row r="599" spans="14:17" x14ac:dyDescent="0.45">
      <c r="N599" t="s">
        <v>27</v>
      </c>
      <c r="O599" t="s">
        <v>2469</v>
      </c>
      <c r="P599" t="s">
        <v>2104</v>
      </c>
      <c r="Q599">
        <v>0.85</v>
      </c>
    </row>
    <row r="600" spans="14:17" x14ac:dyDescent="0.45">
      <c r="N600" t="s">
        <v>27</v>
      </c>
      <c r="O600" t="s">
        <v>2470</v>
      </c>
      <c r="P600" t="s">
        <v>2052</v>
      </c>
      <c r="Q600">
        <v>0.85</v>
      </c>
    </row>
    <row r="601" spans="14:17" x14ac:dyDescent="0.45">
      <c r="N601" t="s">
        <v>27</v>
      </c>
      <c r="O601" t="s">
        <v>2471</v>
      </c>
      <c r="P601" t="s">
        <v>2107</v>
      </c>
      <c r="Q601">
        <v>0.85</v>
      </c>
    </row>
    <row r="602" spans="14:17" x14ac:dyDescent="0.45">
      <c r="N602" t="s">
        <v>27</v>
      </c>
      <c r="O602" t="s">
        <v>2472</v>
      </c>
      <c r="P602" t="s">
        <v>2068</v>
      </c>
      <c r="Q602">
        <v>0.85</v>
      </c>
    </row>
    <row r="603" spans="14:17" x14ac:dyDescent="0.45">
      <c r="N603" t="s">
        <v>27</v>
      </c>
      <c r="O603" t="s">
        <v>2473</v>
      </c>
      <c r="P603" t="s">
        <v>2080</v>
      </c>
      <c r="Q603">
        <v>0.85</v>
      </c>
    </row>
    <row r="604" spans="14:17" x14ac:dyDescent="0.45">
      <c r="N604" t="s">
        <v>27</v>
      </c>
      <c r="O604" t="s">
        <v>2474</v>
      </c>
      <c r="P604" t="s">
        <v>2076</v>
      </c>
      <c r="Q604">
        <v>0.85</v>
      </c>
    </row>
    <row r="605" spans="14:17" x14ac:dyDescent="0.45">
      <c r="N605" t="s">
        <v>27</v>
      </c>
      <c r="O605" t="s">
        <v>2475</v>
      </c>
      <c r="P605" t="s">
        <v>2052</v>
      </c>
      <c r="Q605">
        <v>0.85</v>
      </c>
    </row>
    <row r="606" spans="14:17" x14ac:dyDescent="0.45">
      <c r="N606" t="s">
        <v>27</v>
      </c>
      <c r="O606" t="s">
        <v>2476</v>
      </c>
      <c r="P606" t="s">
        <v>2065</v>
      </c>
      <c r="Q606">
        <v>0.85</v>
      </c>
    </row>
    <row r="607" spans="14:17" x14ac:dyDescent="0.45">
      <c r="N607" t="s">
        <v>27</v>
      </c>
      <c r="O607" t="s">
        <v>2477</v>
      </c>
      <c r="P607" t="s">
        <v>2092</v>
      </c>
      <c r="Q607">
        <v>0.85</v>
      </c>
    </row>
    <row r="608" spans="14:17" x14ac:dyDescent="0.45">
      <c r="N608" t="s">
        <v>27</v>
      </c>
      <c r="O608" t="s">
        <v>2478</v>
      </c>
      <c r="P608" t="s">
        <v>2056</v>
      </c>
      <c r="Q608">
        <v>0.85</v>
      </c>
    </row>
    <row r="609" spans="14:17" x14ac:dyDescent="0.45">
      <c r="N609" t="s">
        <v>27</v>
      </c>
      <c r="O609" t="s">
        <v>2479</v>
      </c>
      <c r="P609" t="s">
        <v>2086</v>
      </c>
      <c r="Q609">
        <v>0.85</v>
      </c>
    </row>
    <row r="610" spans="14:17" x14ac:dyDescent="0.45">
      <c r="N610" t="s">
        <v>27</v>
      </c>
      <c r="O610" t="s">
        <v>2480</v>
      </c>
      <c r="P610" t="s">
        <v>2078</v>
      </c>
      <c r="Q610">
        <v>0.85</v>
      </c>
    </row>
    <row r="611" spans="14:17" x14ac:dyDescent="0.45">
      <c r="N611" t="s">
        <v>27</v>
      </c>
      <c r="O611" t="s">
        <v>2481</v>
      </c>
      <c r="P611" t="s">
        <v>2096</v>
      </c>
      <c r="Q611">
        <v>0.85</v>
      </c>
    </row>
    <row r="612" spans="14:17" x14ac:dyDescent="0.45">
      <c r="N612" t="s">
        <v>27</v>
      </c>
      <c r="O612" t="s">
        <v>2482</v>
      </c>
      <c r="P612" t="s">
        <v>2083</v>
      </c>
      <c r="Q612">
        <v>0.85</v>
      </c>
    </row>
    <row r="613" spans="14:17" x14ac:dyDescent="0.45">
      <c r="N613" t="s">
        <v>27</v>
      </c>
      <c r="O613" t="s">
        <v>2483</v>
      </c>
      <c r="P613" t="s">
        <v>2083</v>
      </c>
      <c r="Q613">
        <v>0.85</v>
      </c>
    </row>
    <row r="614" spans="14:17" x14ac:dyDescent="0.45">
      <c r="N614" t="s">
        <v>27</v>
      </c>
      <c r="O614" t="s">
        <v>2484</v>
      </c>
      <c r="P614" t="s">
        <v>2096</v>
      </c>
      <c r="Q614">
        <v>0.85</v>
      </c>
    </row>
    <row r="615" spans="14:17" x14ac:dyDescent="0.45">
      <c r="N615" t="s">
        <v>27</v>
      </c>
      <c r="O615" t="s">
        <v>2485</v>
      </c>
      <c r="P615" t="s">
        <v>2058</v>
      </c>
      <c r="Q615">
        <v>0.85</v>
      </c>
    </row>
    <row r="616" spans="14:17" x14ac:dyDescent="0.45">
      <c r="N616" t="s">
        <v>27</v>
      </c>
      <c r="O616" t="s">
        <v>2486</v>
      </c>
      <c r="P616" t="s">
        <v>2077</v>
      </c>
      <c r="Q616">
        <v>0.85</v>
      </c>
    </row>
    <row r="617" spans="14:17" x14ac:dyDescent="0.45">
      <c r="N617" t="s">
        <v>27</v>
      </c>
      <c r="O617" t="s">
        <v>2487</v>
      </c>
      <c r="P617" t="s">
        <v>2061</v>
      </c>
      <c r="Q617">
        <v>0.85</v>
      </c>
    </row>
    <row r="618" spans="14:17" x14ac:dyDescent="0.45">
      <c r="N618" t="s">
        <v>27</v>
      </c>
      <c r="O618" t="s">
        <v>2488</v>
      </c>
      <c r="P618" t="s">
        <v>2087</v>
      </c>
      <c r="Q618">
        <v>0.85</v>
      </c>
    </row>
    <row r="619" spans="14:17" x14ac:dyDescent="0.45">
      <c r="N619" t="s">
        <v>27</v>
      </c>
      <c r="O619" t="s">
        <v>2489</v>
      </c>
      <c r="P619" t="s">
        <v>2101</v>
      </c>
      <c r="Q619">
        <v>0.85</v>
      </c>
    </row>
    <row r="620" spans="14:17" x14ac:dyDescent="0.45">
      <c r="N620" t="s">
        <v>27</v>
      </c>
      <c r="O620" t="s">
        <v>2490</v>
      </c>
      <c r="P620" t="s">
        <v>2075</v>
      </c>
      <c r="Q620">
        <v>0.85</v>
      </c>
    </row>
    <row r="621" spans="14:17" x14ac:dyDescent="0.45">
      <c r="N621" t="s">
        <v>27</v>
      </c>
      <c r="O621" t="s">
        <v>2491</v>
      </c>
      <c r="P621" t="s">
        <v>2076</v>
      </c>
      <c r="Q621">
        <v>0.85</v>
      </c>
    </row>
    <row r="622" spans="14:17" x14ac:dyDescent="0.45">
      <c r="N622" t="s">
        <v>27</v>
      </c>
      <c r="O622" t="s">
        <v>2492</v>
      </c>
      <c r="P622" t="s">
        <v>2104</v>
      </c>
      <c r="Q622">
        <v>0.85</v>
      </c>
    </row>
    <row r="623" spans="14:17" x14ac:dyDescent="0.45">
      <c r="N623" t="s">
        <v>27</v>
      </c>
      <c r="O623" t="s">
        <v>2493</v>
      </c>
      <c r="P623" t="s">
        <v>2088</v>
      </c>
      <c r="Q623">
        <v>0.85</v>
      </c>
    </row>
    <row r="624" spans="14:17" x14ac:dyDescent="0.45">
      <c r="N624" t="s">
        <v>27</v>
      </c>
      <c r="O624" t="s">
        <v>2494</v>
      </c>
      <c r="P624" t="s">
        <v>2061</v>
      </c>
      <c r="Q624">
        <v>0.85</v>
      </c>
    </row>
    <row r="625" spans="14:17" x14ac:dyDescent="0.45">
      <c r="N625" t="s">
        <v>27</v>
      </c>
      <c r="O625" t="s">
        <v>2495</v>
      </c>
      <c r="P625" t="s">
        <v>2098</v>
      </c>
      <c r="Q625">
        <v>0.85</v>
      </c>
    </row>
    <row r="626" spans="14:17" x14ac:dyDescent="0.45">
      <c r="N626" t="s">
        <v>27</v>
      </c>
      <c r="O626" t="s">
        <v>2496</v>
      </c>
      <c r="P626" t="s">
        <v>2096</v>
      </c>
      <c r="Q626">
        <v>0.85</v>
      </c>
    </row>
    <row r="627" spans="14:17" x14ac:dyDescent="0.45">
      <c r="N627" t="s">
        <v>27</v>
      </c>
      <c r="O627" t="s">
        <v>2497</v>
      </c>
      <c r="P627" t="s">
        <v>2052</v>
      </c>
      <c r="Q627">
        <v>0.85</v>
      </c>
    </row>
    <row r="628" spans="14:17" x14ac:dyDescent="0.45">
      <c r="N628" t="s">
        <v>27</v>
      </c>
      <c r="O628" t="s">
        <v>2498</v>
      </c>
      <c r="P628" t="s">
        <v>2057</v>
      </c>
      <c r="Q628">
        <v>0.85</v>
      </c>
    </row>
    <row r="629" spans="14:17" x14ac:dyDescent="0.45">
      <c r="N629" t="s">
        <v>27</v>
      </c>
      <c r="O629" t="s">
        <v>2499</v>
      </c>
      <c r="P629" t="s">
        <v>2097</v>
      </c>
      <c r="Q629">
        <v>0.85</v>
      </c>
    </row>
    <row r="630" spans="14:17" x14ac:dyDescent="0.45">
      <c r="N630" t="s">
        <v>27</v>
      </c>
      <c r="O630" t="s">
        <v>2500</v>
      </c>
      <c r="P630" t="s">
        <v>2080</v>
      </c>
      <c r="Q630">
        <v>0.85</v>
      </c>
    </row>
    <row r="631" spans="14:17" x14ac:dyDescent="0.45">
      <c r="N631" t="s">
        <v>27</v>
      </c>
      <c r="O631" t="s">
        <v>2501</v>
      </c>
      <c r="P631" t="s">
        <v>2052</v>
      </c>
      <c r="Q631">
        <v>0.85</v>
      </c>
    </row>
    <row r="632" spans="14:17" x14ac:dyDescent="0.45">
      <c r="N632" t="s">
        <v>27</v>
      </c>
      <c r="O632" t="s">
        <v>2502</v>
      </c>
      <c r="P632" t="s">
        <v>2078</v>
      </c>
      <c r="Q632">
        <v>0.85</v>
      </c>
    </row>
    <row r="633" spans="14:17" x14ac:dyDescent="0.45">
      <c r="N633" t="s">
        <v>27</v>
      </c>
      <c r="O633" t="s">
        <v>2503</v>
      </c>
      <c r="P633" t="s">
        <v>2089</v>
      </c>
      <c r="Q633">
        <v>0.85</v>
      </c>
    </row>
    <row r="634" spans="14:17" x14ac:dyDescent="0.45">
      <c r="N634" t="s">
        <v>27</v>
      </c>
      <c r="O634" t="s">
        <v>2504</v>
      </c>
      <c r="P634" t="s">
        <v>2089</v>
      </c>
      <c r="Q634">
        <v>0.85</v>
      </c>
    </row>
    <row r="635" spans="14:17" x14ac:dyDescent="0.45">
      <c r="N635" t="s">
        <v>27</v>
      </c>
      <c r="O635" t="s">
        <v>2505</v>
      </c>
      <c r="P635" t="s">
        <v>2060</v>
      </c>
      <c r="Q635">
        <v>0.85</v>
      </c>
    </row>
    <row r="636" spans="14:17" x14ac:dyDescent="0.45">
      <c r="N636" t="s">
        <v>27</v>
      </c>
      <c r="O636" t="s">
        <v>2506</v>
      </c>
      <c r="P636" t="s">
        <v>2069</v>
      </c>
      <c r="Q636">
        <v>0.85</v>
      </c>
    </row>
    <row r="637" spans="14:17" x14ac:dyDescent="0.45">
      <c r="N637" t="s">
        <v>27</v>
      </c>
      <c r="O637" t="s">
        <v>2507</v>
      </c>
      <c r="P637" t="s">
        <v>2102</v>
      </c>
      <c r="Q637">
        <v>0.85</v>
      </c>
    </row>
    <row r="638" spans="14:17" x14ac:dyDescent="0.45">
      <c r="N638" t="s">
        <v>27</v>
      </c>
      <c r="O638" t="s">
        <v>2508</v>
      </c>
      <c r="P638" t="s">
        <v>2059</v>
      </c>
      <c r="Q638">
        <v>0.85</v>
      </c>
    </row>
    <row r="639" spans="14:17" x14ac:dyDescent="0.45">
      <c r="N639" t="s">
        <v>27</v>
      </c>
      <c r="O639" t="s">
        <v>2509</v>
      </c>
      <c r="P639" t="s">
        <v>2078</v>
      </c>
      <c r="Q639">
        <v>0.85</v>
      </c>
    </row>
    <row r="640" spans="14:17" x14ac:dyDescent="0.45">
      <c r="N640" t="s">
        <v>27</v>
      </c>
      <c r="O640" t="s">
        <v>2510</v>
      </c>
      <c r="P640" t="s">
        <v>2075</v>
      </c>
      <c r="Q640">
        <v>0.85</v>
      </c>
    </row>
    <row r="641" spans="14:17" x14ac:dyDescent="0.45">
      <c r="N641" t="s">
        <v>27</v>
      </c>
      <c r="O641" t="s">
        <v>2511</v>
      </c>
      <c r="P641" t="s">
        <v>2070</v>
      </c>
      <c r="Q641">
        <v>0.85</v>
      </c>
    </row>
    <row r="642" spans="14:17" x14ac:dyDescent="0.45">
      <c r="N642" t="s">
        <v>27</v>
      </c>
      <c r="O642" t="s">
        <v>2512</v>
      </c>
      <c r="P642" t="s">
        <v>2081</v>
      </c>
      <c r="Q642">
        <v>0.85</v>
      </c>
    </row>
    <row r="643" spans="14:17" x14ac:dyDescent="0.45">
      <c r="N643" t="s">
        <v>27</v>
      </c>
      <c r="O643" t="s">
        <v>2513</v>
      </c>
      <c r="P643" t="s">
        <v>2077</v>
      </c>
      <c r="Q643">
        <v>0.85</v>
      </c>
    </row>
    <row r="644" spans="14:17" x14ac:dyDescent="0.45">
      <c r="N644" t="s">
        <v>27</v>
      </c>
      <c r="O644" t="s">
        <v>2514</v>
      </c>
      <c r="P644" t="s">
        <v>2077</v>
      </c>
      <c r="Q644">
        <v>0.85</v>
      </c>
    </row>
    <row r="645" spans="14:17" x14ac:dyDescent="0.45">
      <c r="N645" t="s">
        <v>27</v>
      </c>
      <c r="O645" t="s">
        <v>2515</v>
      </c>
      <c r="P645" t="s">
        <v>2101</v>
      </c>
      <c r="Q645">
        <v>0.85</v>
      </c>
    </row>
    <row r="646" spans="14:17" x14ac:dyDescent="0.45">
      <c r="N646" t="s">
        <v>27</v>
      </c>
      <c r="O646" t="s">
        <v>2516</v>
      </c>
      <c r="P646" t="s">
        <v>2055</v>
      </c>
      <c r="Q646">
        <v>0.85</v>
      </c>
    </row>
    <row r="647" spans="14:17" x14ac:dyDescent="0.45">
      <c r="N647" t="s">
        <v>27</v>
      </c>
      <c r="O647" t="s">
        <v>2517</v>
      </c>
      <c r="P647" t="s">
        <v>2067</v>
      </c>
      <c r="Q647">
        <v>0.85</v>
      </c>
    </row>
    <row r="648" spans="14:17" x14ac:dyDescent="0.45">
      <c r="N648" t="s">
        <v>27</v>
      </c>
      <c r="O648" t="s">
        <v>2518</v>
      </c>
      <c r="P648" t="s">
        <v>2106</v>
      </c>
      <c r="Q648">
        <v>0.85</v>
      </c>
    </row>
    <row r="649" spans="14:17" x14ac:dyDescent="0.45">
      <c r="N649" t="s">
        <v>27</v>
      </c>
      <c r="O649" t="s">
        <v>2519</v>
      </c>
      <c r="P649" t="s">
        <v>2089</v>
      </c>
      <c r="Q649">
        <v>0.85</v>
      </c>
    </row>
    <row r="650" spans="14:17" x14ac:dyDescent="0.45">
      <c r="N650" t="s">
        <v>27</v>
      </c>
      <c r="O650" t="s">
        <v>2520</v>
      </c>
      <c r="P650" t="s">
        <v>2051</v>
      </c>
      <c r="Q650">
        <v>0.85</v>
      </c>
    </row>
    <row r="651" spans="14:17" x14ac:dyDescent="0.45">
      <c r="N651" t="s">
        <v>27</v>
      </c>
      <c r="O651" t="s">
        <v>2521</v>
      </c>
      <c r="P651" t="s">
        <v>2059</v>
      </c>
      <c r="Q651">
        <v>0.85</v>
      </c>
    </row>
    <row r="652" spans="14:17" x14ac:dyDescent="0.45">
      <c r="N652" t="s">
        <v>27</v>
      </c>
      <c r="O652" t="s">
        <v>2522</v>
      </c>
      <c r="P652" t="s">
        <v>2106</v>
      </c>
      <c r="Q652">
        <v>0.85</v>
      </c>
    </row>
    <row r="653" spans="14:17" x14ac:dyDescent="0.45">
      <c r="N653" t="s">
        <v>27</v>
      </c>
      <c r="O653" t="s">
        <v>2523</v>
      </c>
      <c r="P653" t="s">
        <v>2059</v>
      </c>
      <c r="Q653">
        <v>0.85</v>
      </c>
    </row>
    <row r="654" spans="14:17" x14ac:dyDescent="0.45">
      <c r="N654" t="s">
        <v>27</v>
      </c>
      <c r="O654" t="s">
        <v>2524</v>
      </c>
      <c r="P654" t="s">
        <v>2105</v>
      </c>
      <c r="Q654">
        <v>0.85</v>
      </c>
    </row>
    <row r="655" spans="14:17" x14ac:dyDescent="0.45">
      <c r="N655" t="s">
        <v>27</v>
      </c>
      <c r="O655" t="s">
        <v>2525</v>
      </c>
      <c r="P655" t="s">
        <v>2104</v>
      </c>
      <c r="Q655">
        <v>0.85</v>
      </c>
    </row>
    <row r="656" spans="14:17" x14ac:dyDescent="0.45">
      <c r="N656" t="s">
        <v>27</v>
      </c>
      <c r="O656" t="s">
        <v>2526</v>
      </c>
      <c r="P656" t="s">
        <v>2097</v>
      </c>
      <c r="Q656">
        <v>0.85</v>
      </c>
    </row>
    <row r="657" spans="14:17" x14ac:dyDescent="0.45">
      <c r="N657" t="s">
        <v>27</v>
      </c>
      <c r="O657" t="s">
        <v>2527</v>
      </c>
      <c r="P657" t="s">
        <v>2069</v>
      </c>
      <c r="Q657">
        <v>0.85</v>
      </c>
    </row>
    <row r="658" spans="14:17" x14ac:dyDescent="0.45">
      <c r="N658" t="s">
        <v>27</v>
      </c>
      <c r="O658" t="s">
        <v>2528</v>
      </c>
      <c r="P658" t="s">
        <v>2068</v>
      </c>
      <c r="Q658">
        <v>0.85</v>
      </c>
    </row>
    <row r="659" spans="14:17" x14ac:dyDescent="0.45">
      <c r="N659" t="s">
        <v>27</v>
      </c>
      <c r="O659" t="s">
        <v>2529</v>
      </c>
      <c r="P659" t="s">
        <v>2055</v>
      </c>
      <c r="Q659">
        <v>0.85</v>
      </c>
    </row>
    <row r="660" spans="14:17" x14ac:dyDescent="0.45">
      <c r="N660" t="s">
        <v>27</v>
      </c>
      <c r="O660" t="s">
        <v>2530</v>
      </c>
      <c r="P660" t="s">
        <v>2094</v>
      </c>
      <c r="Q660">
        <v>0.85</v>
      </c>
    </row>
    <row r="661" spans="14:17" x14ac:dyDescent="0.45">
      <c r="N661" t="s">
        <v>27</v>
      </c>
      <c r="O661" t="s">
        <v>2531</v>
      </c>
      <c r="P661" t="s">
        <v>2081</v>
      </c>
      <c r="Q661">
        <v>0.85</v>
      </c>
    </row>
    <row r="662" spans="14:17" x14ac:dyDescent="0.45">
      <c r="N662" t="s">
        <v>27</v>
      </c>
      <c r="O662" t="s">
        <v>2532</v>
      </c>
      <c r="P662" t="s">
        <v>2059</v>
      </c>
      <c r="Q662">
        <v>0.85</v>
      </c>
    </row>
    <row r="663" spans="14:17" x14ac:dyDescent="0.45">
      <c r="N663" t="s">
        <v>27</v>
      </c>
      <c r="O663" t="s">
        <v>2533</v>
      </c>
      <c r="P663" t="s">
        <v>2053</v>
      </c>
      <c r="Q663">
        <v>0.85</v>
      </c>
    </row>
    <row r="664" spans="14:17" x14ac:dyDescent="0.45">
      <c r="N664" t="s">
        <v>27</v>
      </c>
      <c r="O664" t="s">
        <v>2534</v>
      </c>
      <c r="P664" t="s">
        <v>2081</v>
      </c>
      <c r="Q664">
        <v>0.85</v>
      </c>
    </row>
    <row r="665" spans="14:17" x14ac:dyDescent="0.45">
      <c r="N665" t="s">
        <v>27</v>
      </c>
      <c r="O665" t="s">
        <v>2535</v>
      </c>
      <c r="P665" t="s">
        <v>2053</v>
      </c>
      <c r="Q665">
        <v>0.85</v>
      </c>
    </row>
    <row r="666" spans="14:17" x14ac:dyDescent="0.45">
      <c r="N666" t="s">
        <v>27</v>
      </c>
      <c r="O666" t="s">
        <v>2536</v>
      </c>
      <c r="P666" t="s">
        <v>2104</v>
      </c>
      <c r="Q666">
        <v>0.85</v>
      </c>
    </row>
    <row r="667" spans="14:17" x14ac:dyDescent="0.45">
      <c r="N667" t="s">
        <v>27</v>
      </c>
      <c r="O667" t="s">
        <v>2537</v>
      </c>
      <c r="P667" t="s">
        <v>2103</v>
      </c>
      <c r="Q667">
        <v>0.85</v>
      </c>
    </row>
    <row r="668" spans="14:17" x14ac:dyDescent="0.45">
      <c r="N668" t="s">
        <v>27</v>
      </c>
      <c r="O668" t="s">
        <v>2538</v>
      </c>
      <c r="P668" t="s">
        <v>2052</v>
      </c>
      <c r="Q668">
        <v>0.85</v>
      </c>
    </row>
    <row r="669" spans="14:17" x14ac:dyDescent="0.45">
      <c r="N669" t="s">
        <v>27</v>
      </c>
      <c r="O669" t="s">
        <v>2539</v>
      </c>
      <c r="P669" t="s">
        <v>2087</v>
      </c>
      <c r="Q669">
        <v>0.85</v>
      </c>
    </row>
    <row r="670" spans="14:17" x14ac:dyDescent="0.45">
      <c r="N670" t="s">
        <v>27</v>
      </c>
      <c r="O670" t="s">
        <v>2540</v>
      </c>
      <c r="P670" t="s">
        <v>2053</v>
      </c>
      <c r="Q670">
        <v>0.85</v>
      </c>
    </row>
    <row r="671" spans="14:17" x14ac:dyDescent="0.45">
      <c r="N671" t="s">
        <v>27</v>
      </c>
      <c r="O671" t="s">
        <v>2541</v>
      </c>
      <c r="P671" t="s">
        <v>2059</v>
      </c>
      <c r="Q671">
        <v>0.85</v>
      </c>
    </row>
    <row r="672" spans="14:17" x14ac:dyDescent="0.45">
      <c r="N672" t="s">
        <v>27</v>
      </c>
      <c r="O672" t="s">
        <v>2542</v>
      </c>
      <c r="P672" t="s">
        <v>2101</v>
      </c>
      <c r="Q672">
        <v>0.85</v>
      </c>
    </row>
    <row r="673" spans="14:17" x14ac:dyDescent="0.45">
      <c r="N673" t="s">
        <v>27</v>
      </c>
      <c r="O673" t="s">
        <v>2543</v>
      </c>
      <c r="P673" t="s">
        <v>2051</v>
      </c>
      <c r="Q673">
        <v>0.85</v>
      </c>
    </row>
    <row r="674" spans="14:17" x14ac:dyDescent="0.45">
      <c r="N674" t="s">
        <v>27</v>
      </c>
      <c r="O674" t="s">
        <v>2544</v>
      </c>
      <c r="P674" t="s">
        <v>2106</v>
      </c>
      <c r="Q674">
        <v>0.85</v>
      </c>
    </row>
    <row r="675" spans="14:17" x14ac:dyDescent="0.45">
      <c r="N675" t="s">
        <v>27</v>
      </c>
      <c r="O675" t="s">
        <v>2545</v>
      </c>
      <c r="P675" t="s">
        <v>2089</v>
      </c>
      <c r="Q675">
        <v>0.85</v>
      </c>
    </row>
    <row r="676" spans="14:17" x14ac:dyDescent="0.45">
      <c r="N676" t="s">
        <v>27</v>
      </c>
      <c r="O676" t="s">
        <v>2546</v>
      </c>
      <c r="P676" t="s">
        <v>2069</v>
      </c>
      <c r="Q676">
        <v>0.85</v>
      </c>
    </row>
    <row r="677" spans="14:17" x14ac:dyDescent="0.45">
      <c r="N677" t="s">
        <v>27</v>
      </c>
      <c r="O677" t="s">
        <v>2547</v>
      </c>
      <c r="P677" t="s">
        <v>2053</v>
      </c>
      <c r="Q677">
        <v>0.85</v>
      </c>
    </row>
    <row r="678" spans="14:17" x14ac:dyDescent="0.45">
      <c r="N678" t="s">
        <v>27</v>
      </c>
      <c r="O678" t="s">
        <v>2548</v>
      </c>
      <c r="P678" t="s">
        <v>2082</v>
      </c>
      <c r="Q678">
        <v>0.85</v>
      </c>
    </row>
    <row r="679" spans="14:17" x14ac:dyDescent="0.45">
      <c r="N679" t="s">
        <v>27</v>
      </c>
      <c r="O679" t="s">
        <v>2549</v>
      </c>
      <c r="P679" t="s">
        <v>2075</v>
      </c>
      <c r="Q679">
        <v>0.85</v>
      </c>
    </row>
    <row r="680" spans="14:17" x14ac:dyDescent="0.45">
      <c r="N680" t="s">
        <v>27</v>
      </c>
      <c r="O680" t="s">
        <v>2550</v>
      </c>
      <c r="P680" t="s">
        <v>2101</v>
      </c>
      <c r="Q680">
        <v>0.85</v>
      </c>
    </row>
    <row r="681" spans="14:17" x14ac:dyDescent="0.45">
      <c r="N681" t="s">
        <v>27</v>
      </c>
      <c r="O681" t="s">
        <v>2551</v>
      </c>
      <c r="P681" t="s">
        <v>2106</v>
      </c>
      <c r="Q681">
        <v>0.85</v>
      </c>
    </row>
    <row r="682" spans="14:17" x14ac:dyDescent="0.45">
      <c r="N682" t="s">
        <v>27</v>
      </c>
      <c r="O682" t="s">
        <v>2552</v>
      </c>
      <c r="P682" t="s">
        <v>2094</v>
      </c>
      <c r="Q682">
        <v>0.85</v>
      </c>
    </row>
    <row r="683" spans="14:17" x14ac:dyDescent="0.45">
      <c r="N683" t="s">
        <v>27</v>
      </c>
      <c r="O683" t="s">
        <v>2553</v>
      </c>
      <c r="P683" t="s">
        <v>2103</v>
      </c>
      <c r="Q683">
        <v>0.85</v>
      </c>
    </row>
    <row r="684" spans="14:17" x14ac:dyDescent="0.45">
      <c r="N684" t="s">
        <v>27</v>
      </c>
      <c r="O684" t="s">
        <v>2554</v>
      </c>
      <c r="P684" t="s">
        <v>2105</v>
      </c>
      <c r="Q684">
        <v>0.85</v>
      </c>
    </row>
    <row r="685" spans="14:17" x14ac:dyDescent="0.45">
      <c r="N685" t="s">
        <v>27</v>
      </c>
      <c r="O685" t="s">
        <v>2555</v>
      </c>
      <c r="P685" t="s">
        <v>2103</v>
      </c>
      <c r="Q685">
        <v>0.85</v>
      </c>
    </row>
    <row r="686" spans="14:17" x14ac:dyDescent="0.45">
      <c r="N686" t="s">
        <v>27</v>
      </c>
      <c r="O686" t="s">
        <v>2556</v>
      </c>
      <c r="P686" t="s">
        <v>2087</v>
      </c>
      <c r="Q686">
        <v>0.85</v>
      </c>
    </row>
    <row r="687" spans="14:17" x14ac:dyDescent="0.45">
      <c r="N687" t="s">
        <v>27</v>
      </c>
      <c r="O687" t="s">
        <v>2557</v>
      </c>
      <c r="P687" t="s">
        <v>2087</v>
      </c>
      <c r="Q687">
        <v>0.85</v>
      </c>
    </row>
    <row r="688" spans="14:17" x14ac:dyDescent="0.45">
      <c r="N688" t="s">
        <v>27</v>
      </c>
      <c r="O688" t="s">
        <v>2558</v>
      </c>
      <c r="P688" t="s">
        <v>2082</v>
      </c>
      <c r="Q688">
        <v>0.85</v>
      </c>
    </row>
    <row r="689" spans="14:17" x14ac:dyDescent="0.45">
      <c r="N689" t="s">
        <v>27</v>
      </c>
      <c r="O689" t="s">
        <v>2559</v>
      </c>
      <c r="P689" t="s">
        <v>2086</v>
      </c>
      <c r="Q689">
        <v>0.85</v>
      </c>
    </row>
    <row r="690" spans="14:17" x14ac:dyDescent="0.45">
      <c r="N690" t="s">
        <v>27</v>
      </c>
      <c r="O690" t="s">
        <v>2560</v>
      </c>
      <c r="P690" t="s">
        <v>2106</v>
      </c>
      <c r="Q690">
        <v>0.85</v>
      </c>
    </row>
    <row r="691" spans="14:17" x14ac:dyDescent="0.45">
      <c r="N691" t="s">
        <v>27</v>
      </c>
      <c r="O691" t="s">
        <v>2561</v>
      </c>
      <c r="P691" t="s">
        <v>2094</v>
      </c>
      <c r="Q691">
        <v>0.85</v>
      </c>
    </row>
    <row r="692" spans="14:17" x14ac:dyDescent="0.45">
      <c r="N692" t="s">
        <v>27</v>
      </c>
      <c r="O692" t="s">
        <v>2562</v>
      </c>
      <c r="P692" t="s">
        <v>2103</v>
      </c>
      <c r="Q692">
        <v>0.85</v>
      </c>
    </row>
    <row r="693" spans="14:17" x14ac:dyDescent="0.45">
      <c r="N693" t="s">
        <v>27</v>
      </c>
      <c r="O693" t="s">
        <v>2563</v>
      </c>
      <c r="P693" t="s">
        <v>2086</v>
      </c>
      <c r="Q693">
        <v>0.85</v>
      </c>
    </row>
    <row r="694" spans="14:17" x14ac:dyDescent="0.45">
      <c r="N694" t="s">
        <v>27</v>
      </c>
      <c r="O694" t="s">
        <v>2564</v>
      </c>
      <c r="P694" t="s">
        <v>2080</v>
      </c>
      <c r="Q694">
        <v>0.85</v>
      </c>
    </row>
    <row r="695" spans="14:17" x14ac:dyDescent="0.45">
      <c r="N695" t="s">
        <v>27</v>
      </c>
      <c r="O695" t="s">
        <v>2565</v>
      </c>
      <c r="P695" t="s">
        <v>2060</v>
      </c>
      <c r="Q695">
        <v>0.85</v>
      </c>
    </row>
    <row r="696" spans="14:17" x14ac:dyDescent="0.45">
      <c r="N696" t="s">
        <v>27</v>
      </c>
      <c r="O696" t="s">
        <v>2566</v>
      </c>
      <c r="P696" t="s">
        <v>2106</v>
      </c>
      <c r="Q696">
        <v>0.85</v>
      </c>
    </row>
    <row r="697" spans="14:17" x14ac:dyDescent="0.45">
      <c r="N697" t="s">
        <v>27</v>
      </c>
      <c r="O697" t="s">
        <v>2567</v>
      </c>
      <c r="P697" t="s">
        <v>2080</v>
      </c>
      <c r="Q697">
        <v>0.85</v>
      </c>
    </row>
    <row r="698" spans="14:17" x14ac:dyDescent="0.45">
      <c r="N698" t="s">
        <v>27</v>
      </c>
      <c r="O698" t="s">
        <v>2568</v>
      </c>
      <c r="P698" t="s">
        <v>2054</v>
      </c>
      <c r="Q698">
        <v>0.85</v>
      </c>
    </row>
    <row r="699" spans="14:17" x14ac:dyDescent="0.45">
      <c r="N699" t="s">
        <v>27</v>
      </c>
      <c r="O699" t="s">
        <v>2569</v>
      </c>
      <c r="P699" t="s">
        <v>2089</v>
      </c>
      <c r="Q699">
        <v>0.85</v>
      </c>
    </row>
    <row r="700" spans="14:17" x14ac:dyDescent="0.45">
      <c r="N700" t="s">
        <v>27</v>
      </c>
      <c r="O700" t="s">
        <v>2570</v>
      </c>
      <c r="P700" t="s">
        <v>2073</v>
      </c>
      <c r="Q700">
        <v>0.85</v>
      </c>
    </row>
    <row r="701" spans="14:17" x14ac:dyDescent="0.45">
      <c r="N701" t="s">
        <v>27</v>
      </c>
      <c r="O701" t="s">
        <v>2571</v>
      </c>
      <c r="P701" t="s">
        <v>2089</v>
      </c>
      <c r="Q701">
        <v>0.85</v>
      </c>
    </row>
    <row r="702" spans="14:17" x14ac:dyDescent="0.45">
      <c r="N702" t="s">
        <v>27</v>
      </c>
      <c r="O702" t="s">
        <v>2572</v>
      </c>
      <c r="P702" t="s">
        <v>2090</v>
      </c>
      <c r="Q702">
        <v>0.85</v>
      </c>
    </row>
    <row r="703" spans="14:17" x14ac:dyDescent="0.45">
      <c r="N703" t="s">
        <v>27</v>
      </c>
      <c r="O703" t="s">
        <v>2573</v>
      </c>
      <c r="P703" t="s">
        <v>2089</v>
      </c>
      <c r="Q703">
        <v>0.85</v>
      </c>
    </row>
    <row r="704" spans="14:17" x14ac:dyDescent="0.45">
      <c r="N704" t="s">
        <v>27</v>
      </c>
      <c r="O704" t="s">
        <v>2574</v>
      </c>
      <c r="P704" t="s">
        <v>2107</v>
      </c>
      <c r="Q704">
        <v>0.85</v>
      </c>
    </row>
    <row r="705" spans="14:17" x14ac:dyDescent="0.45">
      <c r="N705" t="s">
        <v>27</v>
      </c>
      <c r="O705" t="s">
        <v>2575</v>
      </c>
      <c r="P705" t="s">
        <v>2065</v>
      </c>
      <c r="Q705">
        <v>0.85</v>
      </c>
    </row>
    <row r="706" spans="14:17" x14ac:dyDescent="0.45">
      <c r="N706" t="s">
        <v>27</v>
      </c>
      <c r="O706" t="s">
        <v>2576</v>
      </c>
      <c r="P706" t="s">
        <v>2072</v>
      </c>
      <c r="Q706">
        <v>0.85</v>
      </c>
    </row>
    <row r="707" spans="14:17" x14ac:dyDescent="0.45">
      <c r="N707" t="s">
        <v>27</v>
      </c>
      <c r="O707" t="s">
        <v>2577</v>
      </c>
      <c r="P707" t="s">
        <v>2071</v>
      </c>
      <c r="Q707">
        <v>0.85</v>
      </c>
    </row>
    <row r="708" spans="14:17" x14ac:dyDescent="0.45">
      <c r="N708" t="s">
        <v>27</v>
      </c>
      <c r="O708" t="s">
        <v>2578</v>
      </c>
      <c r="P708" t="s">
        <v>2107</v>
      </c>
      <c r="Q708">
        <v>0.85</v>
      </c>
    </row>
    <row r="709" spans="14:17" x14ac:dyDescent="0.45">
      <c r="N709" t="s">
        <v>27</v>
      </c>
      <c r="O709" t="s">
        <v>2579</v>
      </c>
      <c r="P709" t="s">
        <v>2068</v>
      </c>
      <c r="Q709">
        <v>0.85</v>
      </c>
    </row>
    <row r="710" spans="14:17" x14ac:dyDescent="0.45">
      <c r="N710" t="s">
        <v>27</v>
      </c>
      <c r="O710" t="s">
        <v>2580</v>
      </c>
      <c r="P710" t="s">
        <v>2092</v>
      </c>
      <c r="Q710">
        <v>0.85</v>
      </c>
    </row>
    <row r="711" spans="14:17" x14ac:dyDescent="0.45">
      <c r="N711" t="s">
        <v>27</v>
      </c>
      <c r="O711" t="s">
        <v>2581</v>
      </c>
      <c r="P711" t="s">
        <v>2098</v>
      </c>
      <c r="Q711">
        <v>0.85</v>
      </c>
    </row>
    <row r="712" spans="14:17" x14ac:dyDescent="0.45">
      <c r="N712" t="s">
        <v>27</v>
      </c>
      <c r="O712" t="s">
        <v>2582</v>
      </c>
      <c r="P712" t="s">
        <v>2093</v>
      </c>
      <c r="Q712">
        <v>0.85</v>
      </c>
    </row>
    <row r="713" spans="14:17" x14ac:dyDescent="0.45">
      <c r="N713" t="s">
        <v>27</v>
      </c>
      <c r="O713" t="s">
        <v>2583</v>
      </c>
      <c r="P713" t="s">
        <v>2063</v>
      </c>
      <c r="Q713">
        <v>0.85</v>
      </c>
    </row>
    <row r="714" spans="14:17" x14ac:dyDescent="0.45">
      <c r="N714" t="s">
        <v>27</v>
      </c>
      <c r="O714" t="s">
        <v>2584</v>
      </c>
      <c r="P714" t="s">
        <v>2051</v>
      </c>
      <c r="Q714">
        <v>0.85</v>
      </c>
    </row>
    <row r="715" spans="14:17" x14ac:dyDescent="0.45">
      <c r="N715" t="s">
        <v>27</v>
      </c>
      <c r="O715" t="s">
        <v>2585</v>
      </c>
      <c r="P715" t="s">
        <v>2055</v>
      </c>
      <c r="Q715">
        <v>0.85</v>
      </c>
    </row>
    <row r="716" spans="14:17" x14ac:dyDescent="0.45">
      <c r="N716" t="s">
        <v>27</v>
      </c>
      <c r="O716" t="s">
        <v>2586</v>
      </c>
      <c r="P716" t="s">
        <v>2051</v>
      </c>
      <c r="Q716">
        <v>0.85</v>
      </c>
    </row>
    <row r="717" spans="14:17" x14ac:dyDescent="0.45">
      <c r="N717" t="s">
        <v>27</v>
      </c>
      <c r="O717" t="s">
        <v>2587</v>
      </c>
      <c r="P717" t="s">
        <v>2103</v>
      </c>
      <c r="Q717">
        <v>0.85</v>
      </c>
    </row>
    <row r="718" spans="14:17" x14ac:dyDescent="0.45">
      <c r="N718" t="s">
        <v>27</v>
      </c>
      <c r="O718" t="s">
        <v>2588</v>
      </c>
      <c r="P718" t="s">
        <v>2058</v>
      </c>
      <c r="Q718">
        <v>0.85</v>
      </c>
    </row>
    <row r="719" spans="14:17" x14ac:dyDescent="0.45">
      <c r="N719" t="s">
        <v>27</v>
      </c>
      <c r="O719" t="s">
        <v>2589</v>
      </c>
      <c r="P719" t="s">
        <v>2108</v>
      </c>
      <c r="Q719">
        <v>0.85</v>
      </c>
    </row>
    <row r="720" spans="14:17" x14ac:dyDescent="0.45">
      <c r="N720" t="s">
        <v>27</v>
      </c>
      <c r="O720" t="s">
        <v>2590</v>
      </c>
      <c r="P720" t="s">
        <v>2107</v>
      </c>
      <c r="Q720">
        <v>0.85</v>
      </c>
    </row>
    <row r="721" spans="14:17" x14ac:dyDescent="0.45">
      <c r="N721" t="s">
        <v>27</v>
      </c>
      <c r="O721" t="s">
        <v>2591</v>
      </c>
      <c r="P721" t="s">
        <v>2101</v>
      </c>
      <c r="Q721">
        <v>0.85</v>
      </c>
    </row>
    <row r="722" spans="14:17" x14ac:dyDescent="0.45">
      <c r="N722" t="s">
        <v>27</v>
      </c>
      <c r="O722" t="s">
        <v>2592</v>
      </c>
      <c r="P722" t="s">
        <v>2075</v>
      </c>
      <c r="Q722">
        <v>0.85</v>
      </c>
    </row>
    <row r="723" spans="14:17" x14ac:dyDescent="0.45">
      <c r="N723" t="s">
        <v>27</v>
      </c>
      <c r="O723" t="s">
        <v>2593</v>
      </c>
      <c r="P723" t="s">
        <v>2109</v>
      </c>
      <c r="Q723">
        <v>0.85</v>
      </c>
    </row>
    <row r="724" spans="14:17" x14ac:dyDescent="0.45">
      <c r="N724" t="s">
        <v>27</v>
      </c>
      <c r="O724" t="s">
        <v>2594</v>
      </c>
      <c r="P724" t="s">
        <v>2101</v>
      </c>
      <c r="Q724">
        <v>0.85</v>
      </c>
    </row>
    <row r="725" spans="14:17" x14ac:dyDescent="0.45">
      <c r="N725" t="s">
        <v>27</v>
      </c>
      <c r="O725" t="s">
        <v>2595</v>
      </c>
      <c r="P725" t="s">
        <v>2103</v>
      </c>
      <c r="Q725">
        <v>0.85</v>
      </c>
    </row>
    <row r="726" spans="14:17" x14ac:dyDescent="0.45">
      <c r="N726" t="s">
        <v>27</v>
      </c>
      <c r="O726" t="s">
        <v>2596</v>
      </c>
      <c r="P726" t="s">
        <v>2103</v>
      </c>
      <c r="Q726">
        <v>0.85</v>
      </c>
    </row>
    <row r="727" spans="14:17" x14ac:dyDescent="0.45">
      <c r="N727" t="s">
        <v>27</v>
      </c>
      <c r="O727" t="s">
        <v>2597</v>
      </c>
      <c r="P727" t="s">
        <v>2057</v>
      </c>
      <c r="Q727">
        <v>0.85</v>
      </c>
    </row>
    <row r="728" spans="14:17" x14ac:dyDescent="0.45">
      <c r="N728" t="s">
        <v>27</v>
      </c>
      <c r="O728" t="s">
        <v>2598</v>
      </c>
      <c r="P728" t="s">
        <v>2086</v>
      </c>
      <c r="Q728">
        <v>0.85</v>
      </c>
    </row>
    <row r="729" spans="14:17" x14ac:dyDescent="0.45">
      <c r="N729" t="s">
        <v>27</v>
      </c>
      <c r="O729" t="s">
        <v>2599</v>
      </c>
      <c r="P729" t="s">
        <v>2075</v>
      </c>
      <c r="Q729">
        <v>0.85</v>
      </c>
    </row>
    <row r="730" spans="14:17" x14ac:dyDescent="0.45">
      <c r="N730" t="s">
        <v>27</v>
      </c>
      <c r="O730" t="s">
        <v>2600</v>
      </c>
      <c r="P730" t="s">
        <v>2075</v>
      </c>
      <c r="Q730">
        <v>0.85</v>
      </c>
    </row>
    <row r="731" spans="14:17" x14ac:dyDescent="0.45">
      <c r="N731" t="s">
        <v>27</v>
      </c>
      <c r="O731" t="s">
        <v>2601</v>
      </c>
      <c r="P731" t="s">
        <v>2065</v>
      </c>
      <c r="Q731">
        <v>0.85</v>
      </c>
    </row>
    <row r="732" spans="14:17" x14ac:dyDescent="0.45">
      <c r="N732" t="s">
        <v>27</v>
      </c>
      <c r="O732" t="s">
        <v>2602</v>
      </c>
      <c r="P732" t="s">
        <v>2087</v>
      </c>
      <c r="Q732">
        <v>0.85</v>
      </c>
    </row>
    <row r="733" spans="14:17" x14ac:dyDescent="0.45">
      <c r="N733" t="s">
        <v>27</v>
      </c>
      <c r="O733" t="s">
        <v>2603</v>
      </c>
      <c r="P733" t="s">
        <v>2086</v>
      </c>
      <c r="Q733">
        <v>0.85</v>
      </c>
    </row>
    <row r="734" spans="14:17" x14ac:dyDescent="0.45">
      <c r="N734" t="s">
        <v>27</v>
      </c>
      <c r="O734" t="s">
        <v>2604</v>
      </c>
      <c r="P734" t="s">
        <v>2057</v>
      </c>
      <c r="Q734">
        <v>0.85</v>
      </c>
    </row>
    <row r="735" spans="14:17" x14ac:dyDescent="0.45">
      <c r="N735" t="s">
        <v>27</v>
      </c>
      <c r="O735" t="s">
        <v>2605</v>
      </c>
      <c r="P735" t="s">
        <v>2094</v>
      </c>
      <c r="Q735">
        <v>0.85</v>
      </c>
    </row>
    <row r="736" spans="14:17" x14ac:dyDescent="0.45">
      <c r="N736" t="s">
        <v>27</v>
      </c>
      <c r="O736" t="s">
        <v>2606</v>
      </c>
      <c r="P736" t="s">
        <v>2102</v>
      </c>
      <c r="Q736">
        <v>0.85</v>
      </c>
    </row>
    <row r="737" spans="14:17" x14ac:dyDescent="0.45">
      <c r="N737" t="s">
        <v>27</v>
      </c>
      <c r="O737" t="s">
        <v>2607</v>
      </c>
      <c r="P737" t="s">
        <v>2073</v>
      </c>
      <c r="Q737">
        <v>0.85</v>
      </c>
    </row>
    <row r="738" spans="14:17" x14ac:dyDescent="0.45">
      <c r="N738" t="s">
        <v>27</v>
      </c>
      <c r="O738" t="s">
        <v>2608</v>
      </c>
      <c r="P738" t="s">
        <v>2071</v>
      </c>
      <c r="Q738">
        <v>0.85</v>
      </c>
    </row>
    <row r="739" spans="14:17" x14ac:dyDescent="0.45">
      <c r="N739" t="s">
        <v>27</v>
      </c>
      <c r="O739" t="s">
        <v>2609</v>
      </c>
      <c r="P739" t="s">
        <v>2109</v>
      </c>
      <c r="Q739">
        <v>0.85</v>
      </c>
    </row>
    <row r="740" spans="14:17" x14ac:dyDescent="0.45">
      <c r="N740" t="s">
        <v>27</v>
      </c>
      <c r="O740" t="s">
        <v>2610</v>
      </c>
      <c r="P740" t="s">
        <v>2102</v>
      </c>
      <c r="Q740">
        <v>0.85</v>
      </c>
    </row>
    <row r="741" spans="14:17" x14ac:dyDescent="0.45">
      <c r="N741" t="s">
        <v>27</v>
      </c>
      <c r="O741" t="s">
        <v>2611</v>
      </c>
      <c r="P741" t="s">
        <v>2101</v>
      </c>
      <c r="Q741">
        <v>0.85</v>
      </c>
    </row>
    <row r="742" spans="14:17" x14ac:dyDescent="0.45">
      <c r="N742" t="s">
        <v>27</v>
      </c>
      <c r="O742" t="s">
        <v>2612</v>
      </c>
      <c r="P742" t="s">
        <v>2070</v>
      </c>
      <c r="Q742">
        <v>0.85</v>
      </c>
    </row>
    <row r="743" spans="14:17" x14ac:dyDescent="0.45">
      <c r="N743" t="s">
        <v>27</v>
      </c>
      <c r="O743" t="s">
        <v>2613</v>
      </c>
      <c r="P743" t="s">
        <v>2107</v>
      </c>
      <c r="Q743">
        <v>0.85</v>
      </c>
    </row>
    <row r="744" spans="14:17" x14ac:dyDescent="0.45">
      <c r="N744" t="s">
        <v>27</v>
      </c>
      <c r="O744" t="s">
        <v>2614</v>
      </c>
      <c r="P744" t="s">
        <v>2051</v>
      </c>
      <c r="Q744">
        <v>0.85</v>
      </c>
    </row>
    <row r="745" spans="14:17" x14ac:dyDescent="0.45">
      <c r="N745" t="s">
        <v>27</v>
      </c>
      <c r="O745" t="s">
        <v>2615</v>
      </c>
      <c r="P745" t="s">
        <v>2060</v>
      </c>
      <c r="Q745">
        <v>0.85</v>
      </c>
    </row>
    <row r="746" spans="14:17" x14ac:dyDescent="0.45">
      <c r="N746" t="s">
        <v>27</v>
      </c>
      <c r="O746" t="s">
        <v>2616</v>
      </c>
      <c r="P746" t="s">
        <v>2091</v>
      </c>
      <c r="Q746">
        <v>0.85</v>
      </c>
    </row>
    <row r="747" spans="14:17" x14ac:dyDescent="0.45">
      <c r="N747" t="s">
        <v>27</v>
      </c>
      <c r="O747" t="s">
        <v>2617</v>
      </c>
      <c r="P747" t="s">
        <v>2078</v>
      </c>
      <c r="Q747">
        <v>0.85</v>
      </c>
    </row>
    <row r="748" spans="14:17" x14ac:dyDescent="0.45">
      <c r="N748" t="s">
        <v>27</v>
      </c>
      <c r="O748" t="s">
        <v>2618</v>
      </c>
      <c r="P748" t="s">
        <v>2068</v>
      </c>
      <c r="Q748">
        <v>0.85</v>
      </c>
    </row>
    <row r="749" spans="14:17" x14ac:dyDescent="0.45">
      <c r="N749" t="s">
        <v>27</v>
      </c>
      <c r="O749" t="s">
        <v>2619</v>
      </c>
      <c r="P749" t="s">
        <v>2081</v>
      </c>
      <c r="Q749">
        <v>0.85</v>
      </c>
    </row>
    <row r="750" spans="14:17" x14ac:dyDescent="0.45">
      <c r="N750" t="s">
        <v>27</v>
      </c>
      <c r="O750" t="s">
        <v>2620</v>
      </c>
      <c r="P750" t="s">
        <v>2103</v>
      </c>
      <c r="Q750">
        <v>0.85</v>
      </c>
    </row>
    <row r="751" spans="14:17" x14ac:dyDescent="0.45">
      <c r="N751" t="s">
        <v>27</v>
      </c>
      <c r="O751" t="s">
        <v>2621</v>
      </c>
      <c r="P751" t="s">
        <v>2051</v>
      </c>
      <c r="Q751">
        <v>0.85</v>
      </c>
    </row>
    <row r="752" spans="14:17" x14ac:dyDescent="0.45">
      <c r="N752" t="s">
        <v>27</v>
      </c>
      <c r="O752" t="s">
        <v>2622</v>
      </c>
      <c r="P752" t="s">
        <v>2056</v>
      </c>
      <c r="Q752">
        <v>0.85</v>
      </c>
    </row>
    <row r="753" spans="14:17" x14ac:dyDescent="0.45">
      <c r="N753" t="s">
        <v>27</v>
      </c>
      <c r="O753" t="s">
        <v>2623</v>
      </c>
      <c r="P753" t="s">
        <v>2051</v>
      </c>
      <c r="Q753">
        <v>0.85</v>
      </c>
    </row>
    <row r="754" spans="14:17" x14ac:dyDescent="0.45">
      <c r="N754" t="s">
        <v>27</v>
      </c>
      <c r="O754" t="s">
        <v>2624</v>
      </c>
      <c r="P754" t="s">
        <v>2075</v>
      </c>
      <c r="Q754">
        <v>0.85</v>
      </c>
    </row>
    <row r="755" spans="14:17" x14ac:dyDescent="0.45">
      <c r="N755" t="s">
        <v>27</v>
      </c>
      <c r="O755" t="s">
        <v>2625</v>
      </c>
      <c r="P755" t="s">
        <v>2086</v>
      </c>
      <c r="Q755">
        <v>0.85</v>
      </c>
    </row>
    <row r="756" spans="14:17" x14ac:dyDescent="0.45">
      <c r="N756" t="s">
        <v>27</v>
      </c>
      <c r="O756" t="s">
        <v>2626</v>
      </c>
      <c r="P756" t="s">
        <v>2107</v>
      </c>
      <c r="Q756">
        <v>0.85</v>
      </c>
    </row>
    <row r="757" spans="14:17" x14ac:dyDescent="0.45">
      <c r="N757" t="s">
        <v>27</v>
      </c>
      <c r="O757" t="s">
        <v>2627</v>
      </c>
      <c r="P757" t="s">
        <v>2055</v>
      </c>
      <c r="Q757">
        <v>0.85</v>
      </c>
    </row>
    <row r="758" spans="14:17" x14ac:dyDescent="0.45">
      <c r="N758" t="s">
        <v>27</v>
      </c>
      <c r="O758" t="s">
        <v>2628</v>
      </c>
      <c r="P758" t="s">
        <v>2107</v>
      </c>
      <c r="Q758">
        <v>0.85</v>
      </c>
    </row>
    <row r="759" spans="14:17" x14ac:dyDescent="0.45">
      <c r="N759" t="s">
        <v>27</v>
      </c>
      <c r="O759" t="s">
        <v>2629</v>
      </c>
      <c r="P759" t="s">
        <v>2051</v>
      </c>
      <c r="Q759">
        <v>0.85</v>
      </c>
    </row>
    <row r="760" spans="14:17" x14ac:dyDescent="0.45">
      <c r="N760" t="s">
        <v>27</v>
      </c>
      <c r="O760" t="s">
        <v>2630</v>
      </c>
      <c r="P760" t="s">
        <v>2059</v>
      </c>
      <c r="Q760">
        <v>0.85</v>
      </c>
    </row>
    <row r="761" spans="14:17" x14ac:dyDescent="0.45">
      <c r="N761" t="s">
        <v>27</v>
      </c>
      <c r="O761" t="s">
        <v>2631</v>
      </c>
      <c r="P761" t="s">
        <v>2102</v>
      </c>
      <c r="Q761">
        <v>0.85</v>
      </c>
    </row>
    <row r="762" spans="14:17" x14ac:dyDescent="0.45">
      <c r="N762" t="s">
        <v>27</v>
      </c>
      <c r="O762" t="s">
        <v>2632</v>
      </c>
      <c r="P762" t="s">
        <v>2101</v>
      </c>
      <c r="Q762">
        <v>0.85</v>
      </c>
    </row>
    <row r="763" spans="14:17" x14ac:dyDescent="0.45">
      <c r="N763" t="s">
        <v>27</v>
      </c>
      <c r="O763" t="s">
        <v>2633</v>
      </c>
      <c r="P763" t="s">
        <v>2057</v>
      </c>
      <c r="Q763">
        <v>0.85</v>
      </c>
    </row>
    <row r="764" spans="14:17" x14ac:dyDescent="0.45">
      <c r="N764" t="s">
        <v>27</v>
      </c>
      <c r="O764" t="s">
        <v>2634</v>
      </c>
      <c r="P764" t="s">
        <v>2075</v>
      </c>
      <c r="Q764">
        <v>0.85</v>
      </c>
    </row>
    <row r="765" spans="14:17" x14ac:dyDescent="0.45">
      <c r="N765" t="s">
        <v>27</v>
      </c>
      <c r="O765" t="s">
        <v>2635</v>
      </c>
      <c r="P765" t="s">
        <v>2089</v>
      </c>
      <c r="Q765">
        <v>0.95</v>
      </c>
    </row>
    <row r="766" spans="14:17" x14ac:dyDescent="0.45">
      <c r="N766" t="s">
        <v>27</v>
      </c>
      <c r="O766" t="s">
        <v>2636</v>
      </c>
      <c r="P766" t="s">
        <v>2056</v>
      </c>
      <c r="Q766">
        <v>0.95</v>
      </c>
    </row>
    <row r="767" spans="14:17" x14ac:dyDescent="0.45">
      <c r="N767" t="s">
        <v>27</v>
      </c>
      <c r="O767" t="s">
        <v>2637</v>
      </c>
      <c r="P767" t="s">
        <v>2081</v>
      </c>
      <c r="Q767">
        <v>0.95</v>
      </c>
    </row>
    <row r="768" spans="14:17" x14ac:dyDescent="0.45">
      <c r="N768" t="s">
        <v>27</v>
      </c>
      <c r="O768" t="s">
        <v>2638</v>
      </c>
      <c r="P768" t="s">
        <v>2063</v>
      </c>
      <c r="Q768">
        <v>0.95</v>
      </c>
    </row>
    <row r="769" spans="14:17" x14ac:dyDescent="0.45">
      <c r="N769" t="s">
        <v>27</v>
      </c>
      <c r="O769" t="s">
        <v>2639</v>
      </c>
      <c r="P769" t="s">
        <v>2071</v>
      </c>
      <c r="Q769">
        <v>0.95</v>
      </c>
    </row>
    <row r="770" spans="14:17" x14ac:dyDescent="0.45">
      <c r="N770" t="s">
        <v>27</v>
      </c>
      <c r="O770" t="s">
        <v>2640</v>
      </c>
      <c r="P770" t="s">
        <v>2082</v>
      </c>
      <c r="Q770">
        <v>0.95</v>
      </c>
    </row>
    <row r="771" spans="14:17" x14ac:dyDescent="0.45">
      <c r="N771" t="s">
        <v>27</v>
      </c>
      <c r="O771" t="s">
        <v>2641</v>
      </c>
      <c r="P771" t="s">
        <v>2108</v>
      </c>
      <c r="Q771">
        <v>0.95</v>
      </c>
    </row>
    <row r="772" spans="14:17" x14ac:dyDescent="0.45">
      <c r="N772" t="s">
        <v>27</v>
      </c>
      <c r="O772" t="s">
        <v>2642</v>
      </c>
      <c r="P772" t="s">
        <v>2078</v>
      </c>
      <c r="Q772">
        <v>0.95</v>
      </c>
    </row>
    <row r="773" spans="14:17" x14ac:dyDescent="0.45">
      <c r="N773" t="s">
        <v>27</v>
      </c>
      <c r="O773" t="s">
        <v>2643</v>
      </c>
      <c r="P773" t="s">
        <v>2094</v>
      </c>
      <c r="Q773">
        <v>0.95</v>
      </c>
    </row>
    <row r="774" spans="14:17" x14ac:dyDescent="0.45">
      <c r="N774" t="s">
        <v>27</v>
      </c>
      <c r="O774" t="s">
        <v>2644</v>
      </c>
      <c r="P774" t="s">
        <v>2071</v>
      </c>
      <c r="Q774">
        <v>0.95</v>
      </c>
    </row>
    <row r="775" spans="14:17" x14ac:dyDescent="0.45">
      <c r="N775" t="s">
        <v>27</v>
      </c>
      <c r="O775" t="s">
        <v>2645</v>
      </c>
      <c r="P775" t="s">
        <v>2051</v>
      </c>
      <c r="Q775">
        <v>0.85</v>
      </c>
    </row>
    <row r="776" spans="14:17" x14ac:dyDescent="0.45">
      <c r="N776" t="s">
        <v>27</v>
      </c>
      <c r="O776" t="s">
        <v>2646</v>
      </c>
      <c r="P776" t="s">
        <v>2065</v>
      </c>
      <c r="Q776">
        <v>0.85</v>
      </c>
    </row>
    <row r="777" spans="14:17" x14ac:dyDescent="0.45">
      <c r="N777" t="s">
        <v>27</v>
      </c>
      <c r="O777" t="s">
        <v>2647</v>
      </c>
      <c r="P777" t="s">
        <v>2076</v>
      </c>
      <c r="Q777">
        <v>0.85</v>
      </c>
    </row>
    <row r="778" spans="14:17" x14ac:dyDescent="0.45">
      <c r="N778" t="s">
        <v>27</v>
      </c>
      <c r="O778" t="s">
        <v>2648</v>
      </c>
      <c r="P778" t="s">
        <v>2095</v>
      </c>
      <c r="Q778">
        <v>0.85</v>
      </c>
    </row>
    <row r="779" spans="14:17" x14ac:dyDescent="0.45">
      <c r="N779" t="s">
        <v>27</v>
      </c>
      <c r="O779" t="s">
        <v>2649</v>
      </c>
      <c r="P779" t="s">
        <v>2103</v>
      </c>
      <c r="Q779">
        <v>0.85</v>
      </c>
    </row>
    <row r="780" spans="14:17" x14ac:dyDescent="0.45">
      <c r="N780" t="s">
        <v>27</v>
      </c>
      <c r="O780" t="s">
        <v>2650</v>
      </c>
      <c r="P780" t="s">
        <v>2081</v>
      </c>
      <c r="Q780">
        <v>0.85</v>
      </c>
    </row>
    <row r="781" spans="14:17" x14ac:dyDescent="0.45">
      <c r="N781" t="s">
        <v>27</v>
      </c>
      <c r="O781" t="s">
        <v>2651</v>
      </c>
      <c r="P781" t="s">
        <v>2060</v>
      </c>
      <c r="Q781">
        <v>0.85</v>
      </c>
    </row>
    <row r="782" spans="14:17" x14ac:dyDescent="0.45">
      <c r="N782" t="s">
        <v>27</v>
      </c>
      <c r="O782" t="s">
        <v>2652</v>
      </c>
      <c r="P782" t="s">
        <v>2105</v>
      </c>
      <c r="Q782">
        <v>0.85</v>
      </c>
    </row>
    <row r="783" spans="14:17" x14ac:dyDescent="0.45">
      <c r="N783" t="s">
        <v>27</v>
      </c>
      <c r="O783" t="s">
        <v>2653</v>
      </c>
      <c r="P783" t="s">
        <v>2105</v>
      </c>
      <c r="Q783">
        <v>0.85</v>
      </c>
    </row>
    <row r="784" spans="14:17" x14ac:dyDescent="0.45">
      <c r="N784" t="s">
        <v>27</v>
      </c>
      <c r="O784" t="s">
        <v>2654</v>
      </c>
      <c r="P784" t="s">
        <v>2078</v>
      </c>
      <c r="Q784">
        <v>0.85</v>
      </c>
    </row>
    <row r="785" spans="14:17" x14ac:dyDescent="0.45">
      <c r="N785" t="s">
        <v>27</v>
      </c>
      <c r="O785" t="s">
        <v>2655</v>
      </c>
      <c r="P785" t="s">
        <v>2101</v>
      </c>
      <c r="Q785">
        <v>0.85</v>
      </c>
    </row>
    <row r="786" spans="14:17" x14ac:dyDescent="0.45">
      <c r="N786" t="s">
        <v>27</v>
      </c>
      <c r="O786" t="s">
        <v>2656</v>
      </c>
      <c r="P786" t="s">
        <v>2059</v>
      </c>
      <c r="Q786">
        <v>0.85</v>
      </c>
    </row>
    <row r="787" spans="14:17" x14ac:dyDescent="0.45">
      <c r="N787" t="s">
        <v>27</v>
      </c>
      <c r="O787" t="s">
        <v>2657</v>
      </c>
      <c r="P787" t="s">
        <v>2075</v>
      </c>
      <c r="Q787">
        <v>0.85</v>
      </c>
    </row>
    <row r="788" spans="14:17" x14ac:dyDescent="0.45">
      <c r="N788" t="s">
        <v>27</v>
      </c>
      <c r="O788" t="s">
        <v>2658</v>
      </c>
      <c r="P788" t="s">
        <v>2103</v>
      </c>
      <c r="Q788">
        <v>0.85</v>
      </c>
    </row>
    <row r="789" spans="14:17" x14ac:dyDescent="0.45">
      <c r="N789" t="s">
        <v>27</v>
      </c>
      <c r="O789" t="s">
        <v>2659</v>
      </c>
      <c r="P789" t="s">
        <v>2065</v>
      </c>
      <c r="Q789">
        <v>0.85</v>
      </c>
    </row>
    <row r="790" spans="14:17" x14ac:dyDescent="0.45">
      <c r="N790" t="s">
        <v>27</v>
      </c>
      <c r="O790" t="s">
        <v>2660</v>
      </c>
      <c r="P790" t="s">
        <v>2060</v>
      </c>
      <c r="Q790">
        <v>0.85</v>
      </c>
    </row>
    <row r="791" spans="14:17" x14ac:dyDescent="0.45">
      <c r="N791" t="s">
        <v>27</v>
      </c>
      <c r="O791" t="s">
        <v>2661</v>
      </c>
      <c r="P791" t="s">
        <v>2103</v>
      </c>
      <c r="Q791">
        <v>0.85</v>
      </c>
    </row>
    <row r="792" spans="14:17" x14ac:dyDescent="0.45">
      <c r="N792" t="s">
        <v>27</v>
      </c>
      <c r="O792" t="s">
        <v>2662</v>
      </c>
      <c r="P792" t="s">
        <v>2081</v>
      </c>
      <c r="Q792">
        <v>0.85</v>
      </c>
    </row>
    <row r="793" spans="14:17" x14ac:dyDescent="0.45">
      <c r="N793" t="s">
        <v>27</v>
      </c>
      <c r="O793" t="s">
        <v>2663</v>
      </c>
      <c r="P793" t="s">
        <v>2065</v>
      </c>
      <c r="Q793">
        <v>0.85</v>
      </c>
    </row>
    <row r="794" spans="14:17" x14ac:dyDescent="0.45">
      <c r="N794" t="s">
        <v>27</v>
      </c>
      <c r="O794" t="s">
        <v>2664</v>
      </c>
      <c r="P794" t="s">
        <v>2095</v>
      </c>
      <c r="Q794">
        <v>0.85</v>
      </c>
    </row>
    <row r="795" spans="14:17" x14ac:dyDescent="0.45">
      <c r="N795" t="s">
        <v>27</v>
      </c>
      <c r="O795" t="s">
        <v>2665</v>
      </c>
      <c r="P795" t="s">
        <v>2075</v>
      </c>
      <c r="Q795">
        <v>0.85</v>
      </c>
    </row>
    <row r="796" spans="14:17" x14ac:dyDescent="0.45">
      <c r="N796" t="s">
        <v>27</v>
      </c>
      <c r="O796" t="s">
        <v>2666</v>
      </c>
      <c r="P796" t="s">
        <v>2086</v>
      </c>
      <c r="Q796">
        <v>0.85</v>
      </c>
    </row>
    <row r="797" spans="14:17" x14ac:dyDescent="0.45">
      <c r="N797" t="s">
        <v>27</v>
      </c>
      <c r="O797" t="s">
        <v>2667</v>
      </c>
      <c r="P797" t="s">
        <v>2079</v>
      </c>
      <c r="Q797">
        <v>0.85</v>
      </c>
    </row>
    <row r="798" spans="14:17" x14ac:dyDescent="0.45">
      <c r="N798" t="s">
        <v>27</v>
      </c>
      <c r="O798" t="s">
        <v>2668</v>
      </c>
      <c r="P798" t="s">
        <v>2106</v>
      </c>
      <c r="Q798">
        <v>0.85</v>
      </c>
    </row>
    <row r="799" spans="14:17" x14ac:dyDescent="0.45">
      <c r="N799" t="s">
        <v>27</v>
      </c>
      <c r="O799" t="s">
        <v>2669</v>
      </c>
      <c r="P799" t="s">
        <v>2078</v>
      </c>
      <c r="Q799">
        <v>0.85</v>
      </c>
    </row>
    <row r="800" spans="14:17" x14ac:dyDescent="0.45">
      <c r="N800" t="s">
        <v>27</v>
      </c>
      <c r="O800" t="s">
        <v>2670</v>
      </c>
      <c r="P800" t="s">
        <v>2100</v>
      </c>
      <c r="Q800">
        <v>0.85</v>
      </c>
    </row>
    <row r="801" spans="14:17" x14ac:dyDescent="0.45">
      <c r="N801" t="s">
        <v>27</v>
      </c>
      <c r="O801" t="s">
        <v>2671</v>
      </c>
      <c r="P801" t="s">
        <v>2086</v>
      </c>
      <c r="Q801">
        <v>0.85</v>
      </c>
    </row>
    <row r="802" spans="14:17" x14ac:dyDescent="0.45">
      <c r="N802" t="s">
        <v>27</v>
      </c>
      <c r="O802" t="s">
        <v>2672</v>
      </c>
      <c r="P802" t="s">
        <v>2075</v>
      </c>
      <c r="Q802">
        <v>0.85</v>
      </c>
    </row>
    <row r="803" spans="14:17" x14ac:dyDescent="0.45">
      <c r="N803" t="s">
        <v>27</v>
      </c>
      <c r="O803" t="s">
        <v>2673</v>
      </c>
      <c r="P803" t="s">
        <v>2092</v>
      </c>
      <c r="Q803">
        <v>0.85</v>
      </c>
    </row>
    <row r="804" spans="14:17" x14ac:dyDescent="0.45">
      <c r="N804" t="s">
        <v>27</v>
      </c>
      <c r="O804" t="s">
        <v>2674</v>
      </c>
      <c r="P804" t="s">
        <v>2083</v>
      </c>
      <c r="Q804">
        <v>0.85</v>
      </c>
    </row>
    <row r="805" spans="14:17" x14ac:dyDescent="0.45">
      <c r="N805" t="s">
        <v>27</v>
      </c>
      <c r="O805" t="s">
        <v>2675</v>
      </c>
      <c r="P805" t="s">
        <v>2051</v>
      </c>
      <c r="Q805">
        <v>0.85</v>
      </c>
    </row>
    <row r="806" spans="14:17" x14ac:dyDescent="0.45">
      <c r="N806" t="s">
        <v>27</v>
      </c>
      <c r="O806" t="s">
        <v>2676</v>
      </c>
      <c r="P806" t="s">
        <v>2059</v>
      </c>
      <c r="Q806">
        <v>0.85</v>
      </c>
    </row>
    <row r="807" spans="14:17" x14ac:dyDescent="0.45">
      <c r="N807" t="s">
        <v>27</v>
      </c>
      <c r="O807" t="s">
        <v>2677</v>
      </c>
      <c r="P807" t="s">
        <v>2051</v>
      </c>
      <c r="Q807">
        <v>0.85</v>
      </c>
    </row>
    <row r="808" spans="14:17" x14ac:dyDescent="0.45">
      <c r="N808" t="s">
        <v>27</v>
      </c>
      <c r="O808" t="s">
        <v>2678</v>
      </c>
      <c r="P808" t="s">
        <v>2090</v>
      </c>
      <c r="Q808">
        <v>0.85</v>
      </c>
    </row>
    <row r="809" spans="14:17" x14ac:dyDescent="0.45">
      <c r="N809" t="s">
        <v>27</v>
      </c>
      <c r="O809" t="s">
        <v>2679</v>
      </c>
      <c r="P809" t="s">
        <v>2081</v>
      </c>
      <c r="Q809">
        <v>0.85</v>
      </c>
    </row>
    <row r="810" spans="14:17" x14ac:dyDescent="0.45">
      <c r="N810" t="s">
        <v>27</v>
      </c>
      <c r="O810" t="s">
        <v>2680</v>
      </c>
      <c r="P810" t="s">
        <v>2061</v>
      </c>
      <c r="Q810">
        <v>0.85</v>
      </c>
    </row>
    <row r="811" spans="14:17" x14ac:dyDescent="0.45">
      <c r="N811" t="s">
        <v>27</v>
      </c>
      <c r="O811" t="s">
        <v>2681</v>
      </c>
      <c r="P811" t="s">
        <v>2058</v>
      </c>
      <c r="Q811">
        <v>0.85</v>
      </c>
    </row>
    <row r="812" spans="14:17" x14ac:dyDescent="0.45">
      <c r="N812" t="s">
        <v>27</v>
      </c>
      <c r="O812" t="s">
        <v>2682</v>
      </c>
      <c r="P812" t="s">
        <v>2079</v>
      </c>
      <c r="Q812">
        <v>0.85</v>
      </c>
    </row>
    <row r="813" spans="14:17" x14ac:dyDescent="0.45">
      <c r="N813" t="s">
        <v>27</v>
      </c>
      <c r="O813" t="s">
        <v>2683</v>
      </c>
      <c r="P813" t="s">
        <v>2051</v>
      </c>
      <c r="Q813">
        <v>0.85</v>
      </c>
    </row>
    <row r="814" spans="14:17" x14ac:dyDescent="0.45">
      <c r="N814" t="s">
        <v>27</v>
      </c>
      <c r="O814" t="s">
        <v>2684</v>
      </c>
      <c r="P814" t="s">
        <v>2086</v>
      </c>
      <c r="Q814">
        <v>0.85</v>
      </c>
    </row>
    <row r="815" spans="14:17" x14ac:dyDescent="0.45">
      <c r="N815" t="s">
        <v>27</v>
      </c>
      <c r="O815" t="s">
        <v>2685</v>
      </c>
      <c r="P815" t="s">
        <v>2052</v>
      </c>
      <c r="Q815">
        <v>0.85</v>
      </c>
    </row>
    <row r="816" spans="14:17" x14ac:dyDescent="0.45">
      <c r="N816" t="s">
        <v>27</v>
      </c>
      <c r="O816" t="s">
        <v>2686</v>
      </c>
      <c r="P816" t="s">
        <v>2103</v>
      </c>
      <c r="Q816">
        <v>0.85</v>
      </c>
    </row>
    <row r="817" spans="14:17" x14ac:dyDescent="0.45">
      <c r="N817" t="s">
        <v>27</v>
      </c>
      <c r="O817" t="s">
        <v>2687</v>
      </c>
      <c r="P817" t="s">
        <v>2090</v>
      </c>
      <c r="Q817">
        <v>0.85</v>
      </c>
    </row>
    <row r="818" spans="14:17" x14ac:dyDescent="0.45">
      <c r="N818" t="s">
        <v>27</v>
      </c>
      <c r="O818" t="s">
        <v>2688</v>
      </c>
      <c r="P818" t="s">
        <v>2056</v>
      </c>
      <c r="Q818">
        <v>0.85</v>
      </c>
    </row>
    <row r="819" spans="14:17" x14ac:dyDescent="0.45">
      <c r="N819" t="s">
        <v>27</v>
      </c>
      <c r="O819" t="s">
        <v>2689</v>
      </c>
      <c r="P819" t="s">
        <v>2081</v>
      </c>
      <c r="Q819">
        <v>0.85</v>
      </c>
    </row>
    <row r="820" spans="14:17" x14ac:dyDescent="0.45">
      <c r="N820" t="s">
        <v>27</v>
      </c>
      <c r="O820" t="s">
        <v>2690</v>
      </c>
      <c r="P820" t="s">
        <v>2098</v>
      </c>
      <c r="Q820">
        <v>0.85</v>
      </c>
    </row>
    <row r="821" spans="14:17" x14ac:dyDescent="0.45">
      <c r="N821" t="s">
        <v>27</v>
      </c>
      <c r="O821" t="s">
        <v>2691</v>
      </c>
      <c r="P821" t="s">
        <v>2089</v>
      </c>
      <c r="Q821">
        <v>0.85</v>
      </c>
    </row>
    <row r="822" spans="14:17" x14ac:dyDescent="0.45">
      <c r="N822" t="s">
        <v>27</v>
      </c>
      <c r="O822" t="s">
        <v>2692</v>
      </c>
      <c r="P822" t="s">
        <v>2102</v>
      </c>
      <c r="Q822">
        <v>0.85</v>
      </c>
    </row>
    <row r="823" spans="14:17" x14ac:dyDescent="0.45">
      <c r="N823" t="s">
        <v>27</v>
      </c>
      <c r="O823" t="s">
        <v>2693</v>
      </c>
      <c r="P823" t="s">
        <v>2060</v>
      </c>
      <c r="Q823">
        <v>0.85</v>
      </c>
    </row>
    <row r="824" spans="14:17" x14ac:dyDescent="0.45">
      <c r="N824" t="s">
        <v>27</v>
      </c>
      <c r="O824" t="s">
        <v>2694</v>
      </c>
      <c r="P824" t="s">
        <v>2086</v>
      </c>
      <c r="Q824">
        <v>0.85</v>
      </c>
    </row>
    <row r="825" spans="14:17" x14ac:dyDescent="0.45">
      <c r="N825" t="s">
        <v>27</v>
      </c>
      <c r="O825" t="s">
        <v>2695</v>
      </c>
      <c r="P825" t="s">
        <v>2059</v>
      </c>
      <c r="Q825">
        <v>0.85</v>
      </c>
    </row>
    <row r="826" spans="14:17" x14ac:dyDescent="0.45">
      <c r="N826" t="s">
        <v>27</v>
      </c>
      <c r="O826" t="s">
        <v>2696</v>
      </c>
      <c r="P826" t="s">
        <v>2065</v>
      </c>
      <c r="Q826">
        <v>0.85</v>
      </c>
    </row>
    <row r="827" spans="14:17" x14ac:dyDescent="0.45">
      <c r="N827" t="s">
        <v>27</v>
      </c>
      <c r="O827" t="s">
        <v>2697</v>
      </c>
      <c r="P827" t="s">
        <v>2106</v>
      </c>
      <c r="Q827">
        <v>0.85</v>
      </c>
    </row>
    <row r="828" spans="14:17" x14ac:dyDescent="0.45">
      <c r="N828" t="s">
        <v>27</v>
      </c>
      <c r="O828" t="s">
        <v>2698</v>
      </c>
      <c r="P828" t="s">
        <v>2076</v>
      </c>
      <c r="Q828">
        <v>0.85</v>
      </c>
    </row>
    <row r="829" spans="14:17" x14ac:dyDescent="0.45">
      <c r="N829" t="s">
        <v>27</v>
      </c>
      <c r="O829" t="s">
        <v>2699</v>
      </c>
      <c r="P829" t="s">
        <v>2081</v>
      </c>
      <c r="Q829">
        <v>0.85</v>
      </c>
    </row>
    <row r="830" spans="14:17" x14ac:dyDescent="0.45">
      <c r="N830" t="s">
        <v>27</v>
      </c>
      <c r="O830" t="s">
        <v>2700</v>
      </c>
      <c r="P830" t="s">
        <v>2086</v>
      </c>
      <c r="Q830">
        <v>0.85</v>
      </c>
    </row>
    <row r="831" spans="14:17" x14ac:dyDescent="0.45">
      <c r="N831" t="s">
        <v>27</v>
      </c>
      <c r="O831" t="s">
        <v>2701</v>
      </c>
      <c r="P831" t="s">
        <v>2106</v>
      </c>
      <c r="Q831">
        <v>0.85</v>
      </c>
    </row>
    <row r="832" spans="14:17" x14ac:dyDescent="0.45">
      <c r="N832" t="s">
        <v>27</v>
      </c>
      <c r="O832" t="s">
        <v>2702</v>
      </c>
      <c r="P832" t="s">
        <v>2080</v>
      </c>
      <c r="Q832">
        <v>0.85</v>
      </c>
    </row>
    <row r="833" spans="14:17" x14ac:dyDescent="0.45">
      <c r="N833" t="s">
        <v>27</v>
      </c>
      <c r="O833" t="s">
        <v>2703</v>
      </c>
      <c r="P833" t="s">
        <v>2086</v>
      </c>
      <c r="Q833">
        <v>0.85</v>
      </c>
    </row>
    <row r="834" spans="14:17" x14ac:dyDescent="0.45">
      <c r="N834" t="s">
        <v>27</v>
      </c>
      <c r="O834" t="s">
        <v>2704</v>
      </c>
      <c r="P834" t="s">
        <v>2099</v>
      </c>
      <c r="Q834">
        <v>0.85</v>
      </c>
    </row>
    <row r="835" spans="14:17" x14ac:dyDescent="0.45">
      <c r="N835" t="s">
        <v>27</v>
      </c>
      <c r="O835" t="s">
        <v>2705</v>
      </c>
      <c r="P835" t="s">
        <v>2103</v>
      </c>
      <c r="Q835">
        <v>0.85</v>
      </c>
    </row>
    <row r="836" spans="14:17" x14ac:dyDescent="0.45">
      <c r="N836" t="s">
        <v>27</v>
      </c>
      <c r="O836" t="s">
        <v>2706</v>
      </c>
      <c r="P836" t="s">
        <v>2095</v>
      </c>
      <c r="Q836">
        <v>0.85</v>
      </c>
    </row>
    <row r="837" spans="14:17" x14ac:dyDescent="0.45">
      <c r="N837" t="s">
        <v>27</v>
      </c>
      <c r="O837" t="s">
        <v>2707</v>
      </c>
      <c r="P837" t="s">
        <v>2051</v>
      </c>
      <c r="Q837">
        <v>0.85</v>
      </c>
    </row>
    <row r="838" spans="14:17" x14ac:dyDescent="0.45">
      <c r="N838" t="s">
        <v>27</v>
      </c>
      <c r="O838" t="s">
        <v>2708</v>
      </c>
      <c r="P838" t="s">
        <v>2076</v>
      </c>
      <c r="Q838">
        <v>0.85</v>
      </c>
    </row>
    <row r="839" spans="14:17" x14ac:dyDescent="0.45">
      <c r="N839" t="s">
        <v>27</v>
      </c>
      <c r="O839" t="s">
        <v>2709</v>
      </c>
      <c r="P839" t="s">
        <v>2091</v>
      </c>
      <c r="Q839">
        <v>0.85</v>
      </c>
    </row>
    <row r="840" spans="14:17" x14ac:dyDescent="0.45">
      <c r="N840" t="s">
        <v>27</v>
      </c>
      <c r="O840" t="s">
        <v>2710</v>
      </c>
      <c r="P840" t="s">
        <v>2086</v>
      </c>
      <c r="Q840">
        <v>0.85</v>
      </c>
    </row>
    <row r="841" spans="14:17" x14ac:dyDescent="0.45">
      <c r="N841" t="s">
        <v>27</v>
      </c>
      <c r="O841" t="s">
        <v>2711</v>
      </c>
      <c r="P841" t="s">
        <v>2075</v>
      </c>
      <c r="Q841">
        <v>0.85</v>
      </c>
    </row>
    <row r="842" spans="14:17" x14ac:dyDescent="0.45">
      <c r="N842" t="s">
        <v>27</v>
      </c>
      <c r="O842" t="s">
        <v>2712</v>
      </c>
      <c r="P842" t="s">
        <v>2070</v>
      </c>
      <c r="Q842">
        <v>0.85</v>
      </c>
    </row>
    <row r="843" spans="14:17" x14ac:dyDescent="0.45">
      <c r="N843" t="s">
        <v>27</v>
      </c>
      <c r="O843" t="s">
        <v>2713</v>
      </c>
      <c r="P843" t="s">
        <v>2068</v>
      </c>
      <c r="Q843">
        <v>0.85</v>
      </c>
    </row>
    <row r="844" spans="14:17" x14ac:dyDescent="0.45">
      <c r="N844" t="s">
        <v>27</v>
      </c>
      <c r="O844" t="s">
        <v>2714</v>
      </c>
      <c r="P844" t="s">
        <v>2097</v>
      </c>
      <c r="Q844">
        <v>0.85</v>
      </c>
    </row>
    <row r="845" spans="14:17" x14ac:dyDescent="0.45">
      <c r="N845" t="s">
        <v>27</v>
      </c>
      <c r="O845" t="s">
        <v>2715</v>
      </c>
      <c r="P845" t="s">
        <v>2079</v>
      </c>
      <c r="Q845">
        <v>0.85</v>
      </c>
    </row>
    <row r="846" spans="14:17" x14ac:dyDescent="0.45">
      <c r="N846" t="s">
        <v>27</v>
      </c>
      <c r="O846" t="s">
        <v>2716</v>
      </c>
      <c r="P846" t="s">
        <v>2081</v>
      </c>
      <c r="Q846">
        <v>0.85</v>
      </c>
    </row>
    <row r="847" spans="14:17" x14ac:dyDescent="0.45">
      <c r="N847" t="s">
        <v>27</v>
      </c>
      <c r="O847" t="s">
        <v>2717</v>
      </c>
      <c r="P847" t="s">
        <v>2104</v>
      </c>
      <c r="Q847">
        <v>0.85</v>
      </c>
    </row>
    <row r="848" spans="14:17" x14ac:dyDescent="0.45">
      <c r="N848" t="s">
        <v>27</v>
      </c>
      <c r="O848" t="s">
        <v>2718</v>
      </c>
      <c r="P848" t="s">
        <v>2060</v>
      </c>
      <c r="Q848">
        <v>0.85</v>
      </c>
    </row>
    <row r="849" spans="14:17" x14ac:dyDescent="0.45">
      <c r="N849" t="s">
        <v>27</v>
      </c>
      <c r="O849" t="s">
        <v>2719</v>
      </c>
      <c r="P849" t="s">
        <v>2106</v>
      </c>
      <c r="Q849">
        <v>0.85</v>
      </c>
    </row>
    <row r="850" spans="14:17" x14ac:dyDescent="0.45">
      <c r="N850" t="s">
        <v>27</v>
      </c>
      <c r="O850" t="s">
        <v>2720</v>
      </c>
      <c r="P850" t="s">
        <v>2055</v>
      </c>
      <c r="Q850">
        <v>0.85</v>
      </c>
    </row>
    <row r="851" spans="14:17" x14ac:dyDescent="0.45">
      <c r="N851" t="s">
        <v>27</v>
      </c>
      <c r="O851" t="s">
        <v>2721</v>
      </c>
      <c r="P851" t="s">
        <v>2062</v>
      </c>
      <c r="Q851">
        <v>0.85</v>
      </c>
    </row>
    <row r="852" spans="14:17" x14ac:dyDescent="0.45">
      <c r="N852" t="s">
        <v>27</v>
      </c>
      <c r="O852" t="s">
        <v>2722</v>
      </c>
      <c r="P852" t="s">
        <v>2080</v>
      </c>
      <c r="Q852">
        <v>0.85</v>
      </c>
    </row>
    <row r="853" spans="14:17" x14ac:dyDescent="0.45">
      <c r="N853" t="s">
        <v>27</v>
      </c>
      <c r="O853" t="s">
        <v>2723</v>
      </c>
      <c r="P853" t="s">
        <v>2087</v>
      </c>
      <c r="Q853">
        <v>0.85</v>
      </c>
    </row>
    <row r="854" spans="14:17" x14ac:dyDescent="0.45">
      <c r="N854" t="s">
        <v>27</v>
      </c>
      <c r="O854" t="s">
        <v>2724</v>
      </c>
      <c r="P854" t="s">
        <v>2086</v>
      </c>
      <c r="Q854">
        <v>0.85</v>
      </c>
    </row>
    <row r="855" spans="14:17" x14ac:dyDescent="0.45">
      <c r="N855" t="s">
        <v>27</v>
      </c>
      <c r="O855" t="s">
        <v>2725</v>
      </c>
      <c r="P855" t="s">
        <v>2093</v>
      </c>
      <c r="Q855">
        <v>0.85</v>
      </c>
    </row>
    <row r="856" spans="14:17" x14ac:dyDescent="0.45">
      <c r="N856" t="s">
        <v>27</v>
      </c>
      <c r="O856" t="s">
        <v>2726</v>
      </c>
      <c r="P856" t="s">
        <v>2075</v>
      </c>
      <c r="Q856">
        <v>0.85</v>
      </c>
    </row>
    <row r="857" spans="14:17" x14ac:dyDescent="0.45">
      <c r="N857" t="s">
        <v>27</v>
      </c>
      <c r="O857" t="s">
        <v>2727</v>
      </c>
      <c r="P857" t="s">
        <v>2075</v>
      </c>
      <c r="Q857">
        <v>0.85</v>
      </c>
    </row>
    <row r="858" spans="14:17" x14ac:dyDescent="0.45">
      <c r="N858" t="s">
        <v>27</v>
      </c>
      <c r="O858" t="s">
        <v>2728</v>
      </c>
      <c r="P858" t="s">
        <v>2082</v>
      </c>
      <c r="Q858">
        <v>0.85</v>
      </c>
    </row>
    <row r="859" spans="14:17" x14ac:dyDescent="0.45">
      <c r="N859" t="s">
        <v>27</v>
      </c>
      <c r="O859" t="s">
        <v>2729</v>
      </c>
      <c r="P859" t="s">
        <v>2081</v>
      </c>
      <c r="Q859">
        <v>0.85</v>
      </c>
    </row>
    <row r="860" spans="14:17" x14ac:dyDescent="0.45">
      <c r="N860" t="s">
        <v>27</v>
      </c>
      <c r="O860" t="s">
        <v>2730</v>
      </c>
      <c r="P860" t="s">
        <v>2094</v>
      </c>
      <c r="Q860">
        <v>0.85</v>
      </c>
    </row>
    <row r="861" spans="14:17" x14ac:dyDescent="0.45">
      <c r="N861" t="s">
        <v>27</v>
      </c>
      <c r="O861" t="s">
        <v>2731</v>
      </c>
      <c r="P861" t="s">
        <v>2092</v>
      </c>
      <c r="Q861">
        <v>0.85</v>
      </c>
    </row>
    <row r="862" spans="14:17" x14ac:dyDescent="0.45">
      <c r="N862" t="s">
        <v>27</v>
      </c>
      <c r="O862" t="s">
        <v>2732</v>
      </c>
      <c r="P862" t="s">
        <v>2078</v>
      </c>
      <c r="Q862">
        <v>0.85</v>
      </c>
    </row>
    <row r="863" spans="14:17" x14ac:dyDescent="0.45">
      <c r="N863" t="s">
        <v>27</v>
      </c>
      <c r="O863" t="s">
        <v>2733</v>
      </c>
      <c r="P863" t="s">
        <v>2071</v>
      </c>
      <c r="Q863">
        <v>0.85</v>
      </c>
    </row>
    <row r="864" spans="14:17" x14ac:dyDescent="0.45">
      <c r="N864" t="s">
        <v>27</v>
      </c>
      <c r="O864" t="s">
        <v>2734</v>
      </c>
      <c r="P864" t="s">
        <v>2075</v>
      </c>
      <c r="Q864">
        <v>0.85</v>
      </c>
    </row>
    <row r="865" spans="14:17" x14ac:dyDescent="0.45">
      <c r="N865" t="s">
        <v>27</v>
      </c>
      <c r="O865" t="s">
        <v>2735</v>
      </c>
      <c r="P865" t="s">
        <v>2106</v>
      </c>
      <c r="Q865">
        <v>0.85</v>
      </c>
    </row>
    <row r="866" spans="14:17" x14ac:dyDescent="0.45">
      <c r="N866" t="s">
        <v>27</v>
      </c>
      <c r="O866" t="s">
        <v>2736</v>
      </c>
      <c r="P866" t="s">
        <v>2078</v>
      </c>
      <c r="Q866">
        <v>0.85</v>
      </c>
    </row>
    <row r="867" spans="14:17" x14ac:dyDescent="0.45">
      <c r="N867" t="s">
        <v>27</v>
      </c>
      <c r="O867" t="s">
        <v>2737</v>
      </c>
      <c r="P867" t="s">
        <v>2069</v>
      </c>
      <c r="Q867">
        <v>0.85</v>
      </c>
    </row>
    <row r="868" spans="14:17" x14ac:dyDescent="0.45">
      <c r="N868" t="s">
        <v>27</v>
      </c>
      <c r="O868" t="s">
        <v>2738</v>
      </c>
      <c r="P868" t="s">
        <v>2075</v>
      </c>
      <c r="Q868">
        <v>0.85</v>
      </c>
    </row>
    <row r="869" spans="14:17" x14ac:dyDescent="0.45">
      <c r="N869" t="s">
        <v>27</v>
      </c>
      <c r="O869" t="s">
        <v>2739</v>
      </c>
      <c r="P869" t="s">
        <v>2059</v>
      </c>
      <c r="Q869">
        <v>0.85</v>
      </c>
    </row>
    <row r="870" spans="14:17" x14ac:dyDescent="0.45">
      <c r="N870" t="s">
        <v>27</v>
      </c>
      <c r="O870" t="s">
        <v>2740</v>
      </c>
      <c r="P870" t="s">
        <v>2086</v>
      </c>
      <c r="Q870">
        <v>0.85</v>
      </c>
    </row>
    <row r="871" spans="14:17" x14ac:dyDescent="0.45">
      <c r="N871" t="s">
        <v>27</v>
      </c>
      <c r="O871" t="s">
        <v>2741</v>
      </c>
      <c r="P871" t="s">
        <v>2101</v>
      </c>
      <c r="Q871">
        <v>0.85</v>
      </c>
    </row>
    <row r="872" spans="14:17" x14ac:dyDescent="0.45">
      <c r="N872" t="s">
        <v>27</v>
      </c>
      <c r="O872" t="s">
        <v>2742</v>
      </c>
      <c r="P872" t="s">
        <v>2106</v>
      </c>
      <c r="Q872">
        <v>0.85</v>
      </c>
    </row>
    <row r="873" spans="14:17" x14ac:dyDescent="0.45">
      <c r="N873" t="s">
        <v>27</v>
      </c>
      <c r="O873" t="s">
        <v>2743</v>
      </c>
      <c r="P873" t="s">
        <v>2088</v>
      </c>
      <c r="Q873">
        <v>0.85</v>
      </c>
    </row>
    <row r="874" spans="14:17" x14ac:dyDescent="0.45">
      <c r="N874" t="s">
        <v>27</v>
      </c>
      <c r="O874" t="s">
        <v>2744</v>
      </c>
      <c r="P874" t="s">
        <v>2051</v>
      </c>
      <c r="Q874">
        <v>0.85</v>
      </c>
    </row>
    <row r="875" spans="14:17" x14ac:dyDescent="0.45">
      <c r="N875" t="s">
        <v>27</v>
      </c>
      <c r="O875" t="s">
        <v>2745</v>
      </c>
      <c r="P875" t="s">
        <v>2063</v>
      </c>
      <c r="Q875">
        <v>0.85</v>
      </c>
    </row>
    <row r="876" spans="14:17" x14ac:dyDescent="0.45">
      <c r="N876" t="s">
        <v>27</v>
      </c>
      <c r="O876" t="s">
        <v>2746</v>
      </c>
      <c r="P876" t="s">
        <v>2070</v>
      </c>
      <c r="Q876">
        <v>0.85</v>
      </c>
    </row>
    <row r="877" spans="14:17" x14ac:dyDescent="0.45">
      <c r="N877" t="s">
        <v>27</v>
      </c>
      <c r="O877" t="s">
        <v>2747</v>
      </c>
      <c r="P877" t="s">
        <v>2053</v>
      </c>
      <c r="Q877">
        <v>0.85</v>
      </c>
    </row>
    <row r="878" spans="14:17" x14ac:dyDescent="0.45">
      <c r="N878" t="s">
        <v>27</v>
      </c>
      <c r="O878" t="s">
        <v>2748</v>
      </c>
      <c r="P878" t="s">
        <v>2089</v>
      </c>
      <c r="Q878">
        <v>0.85</v>
      </c>
    </row>
    <row r="879" spans="14:17" x14ac:dyDescent="0.45">
      <c r="N879" t="s">
        <v>27</v>
      </c>
      <c r="O879" t="s">
        <v>2749</v>
      </c>
      <c r="P879" t="s">
        <v>2086</v>
      </c>
      <c r="Q879">
        <v>0.85</v>
      </c>
    </row>
    <row r="880" spans="14:17" x14ac:dyDescent="0.45">
      <c r="N880" t="s">
        <v>27</v>
      </c>
      <c r="O880" t="s">
        <v>2750</v>
      </c>
      <c r="P880" t="s">
        <v>2056</v>
      </c>
      <c r="Q880">
        <v>0.85</v>
      </c>
    </row>
    <row r="881" spans="14:17" x14ac:dyDescent="0.45">
      <c r="N881" t="s">
        <v>27</v>
      </c>
      <c r="O881" t="s">
        <v>2751</v>
      </c>
      <c r="P881" t="s">
        <v>2081</v>
      </c>
      <c r="Q881">
        <v>0.85</v>
      </c>
    </row>
    <row r="882" spans="14:17" x14ac:dyDescent="0.45">
      <c r="N882" t="s">
        <v>27</v>
      </c>
      <c r="O882" t="s">
        <v>2752</v>
      </c>
      <c r="P882" t="s">
        <v>2068</v>
      </c>
      <c r="Q882">
        <v>0.85</v>
      </c>
    </row>
    <row r="883" spans="14:17" x14ac:dyDescent="0.45">
      <c r="N883" t="s">
        <v>27</v>
      </c>
      <c r="O883" t="s">
        <v>2753</v>
      </c>
      <c r="P883" t="s">
        <v>2107</v>
      </c>
      <c r="Q883">
        <v>0.85</v>
      </c>
    </row>
    <row r="884" spans="14:17" x14ac:dyDescent="0.45">
      <c r="N884" t="s">
        <v>27</v>
      </c>
      <c r="O884" t="s">
        <v>2754</v>
      </c>
      <c r="P884" t="s">
        <v>2106</v>
      </c>
      <c r="Q884">
        <v>0.85</v>
      </c>
    </row>
    <row r="885" spans="14:17" x14ac:dyDescent="0.45">
      <c r="N885" t="s">
        <v>27</v>
      </c>
      <c r="O885" t="s">
        <v>2755</v>
      </c>
      <c r="P885" t="s">
        <v>2072</v>
      </c>
      <c r="Q885">
        <v>0.85</v>
      </c>
    </row>
    <row r="886" spans="14:17" x14ac:dyDescent="0.45">
      <c r="N886" t="s">
        <v>27</v>
      </c>
      <c r="O886" t="s">
        <v>2756</v>
      </c>
      <c r="P886" t="s">
        <v>2081</v>
      </c>
      <c r="Q886">
        <v>0.85</v>
      </c>
    </row>
    <row r="887" spans="14:17" x14ac:dyDescent="0.45">
      <c r="N887" t="s">
        <v>27</v>
      </c>
      <c r="O887" t="s">
        <v>2757</v>
      </c>
      <c r="P887" t="s">
        <v>2057</v>
      </c>
      <c r="Q887">
        <v>0.85</v>
      </c>
    </row>
    <row r="888" spans="14:17" x14ac:dyDescent="0.45">
      <c r="N888" t="s">
        <v>27</v>
      </c>
      <c r="O888" t="s">
        <v>2758</v>
      </c>
      <c r="P888" t="s">
        <v>2089</v>
      </c>
      <c r="Q888">
        <v>0.85</v>
      </c>
    </row>
    <row r="889" spans="14:17" x14ac:dyDescent="0.45">
      <c r="N889" t="s">
        <v>27</v>
      </c>
      <c r="O889" t="s">
        <v>2759</v>
      </c>
      <c r="P889" t="s">
        <v>2095</v>
      </c>
      <c r="Q889">
        <v>0.85</v>
      </c>
    </row>
    <row r="890" spans="14:17" x14ac:dyDescent="0.45">
      <c r="N890" t="s">
        <v>27</v>
      </c>
      <c r="O890" t="s">
        <v>2760</v>
      </c>
      <c r="P890" t="s">
        <v>2055</v>
      </c>
      <c r="Q890">
        <v>0.85</v>
      </c>
    </row>
    <row r="891" spans="14:17" x14ac:dyDescent="0.45">
      <c r="N891" t="s">
        <v>27</v>
      </c>
      <c r="O891" t="s">
        <v>2761</v>
      </c>
      <c r="P891" t="s">
        <v>2053</v>
      </c>
      <c r="Q891">
        <v>0.85</v>
      </c>
    </row>
    <row r="892" spans="14:17" x14ac:dyDescent="0.45">
      <c r="N892" t="s">
        <v>27</v>
      </c>
      <c r="O892" t="s">
        <v>2762</v>
      </c>
      <c r="P892" t="s">
        <v>2078</v>
      </c>
      <c r="Q892">
        <v>0.85</v>
      </c>
    </row>
    <row r="893" spans="14:17" x14ac:dyDescent="0.45">
      <c r="N893" t="s">
        <v>27</v>
      </c>
      <c r="O893" t="s">
        <v>2763</v>
      </c>
      <c r="P893" t="s">
        <v>2097</v>
      </c>
      <c r="Q893">
        <v>0.85</v>
      </c>
    </row>
    <row r="894" spans="14:17" x14ac:dyDescent="0.45">
      <c r="N894" t="s">
        <v>27</v>
      </c>
      <c r="O894" t="s">
        <v>2764</v>
      </c>
      <c r="P894" t="s">
        <v>2099</v>
      </c>
      <c r="Q894">
        <v>0.85</v>
      </c>
    </row>
    <row r="895" spans="14:17" x14ac:dyDescent="0.45">
      <c r="N895" t="s">
        <v>27</v>
      </c>
      <c r="O895" t="s">
        <v>2765</v>
      </c>
      <c r="P895" t="s">
        <v>2075</v>
      </c>
      <c r="Q895">
        <v>0.85</v>
      </c>
    </row>
    <row r="896" spans="14:17" x14ac:dyDescent="0.45">
      <c r="N896" t="s">
        <v>27</v>
      </c>
      <c r="O896" t="s">
        <v>2766</v>
      </c>
      <c r="P896" t="s">
        <v>2075</v>
      </c>
      <c r="Q896">
        <v>0.85</v>
      </c>
    </row>
    <row r="897" spans="14:17" x14ac:dyDescent="0.45">
      <c r="N897" t="s">
        <v>27</v>
      </c>
      <c r="O897" t="s">
        <v>2767</v>
      </c>
      <c r="P897" t="s">
        <v>2057</v>
      </c>
      <c r="Q897">
        <v>0.85</v>
      </c>
    </row>
    <row r="898" spans="14:17" x14ac:dyDescent="0.45">
      <c r="N898" t="s">
        <v>27</v>
      </c>
      <c r="O898" t="s">
        <v>2768</v>
      </c>
      <c r="P898" t="s">
        <v>2087</v>
      </c>
      <c r="Q898">
        <v>0.85</v>
      </c>
    </row>
    <row r="899" spans="14:17" x14ac:dyDescent="0.45">
      <c r="N899" t="s">
        <v>27</v>
      </c>
      <c r="O899" t="s">
        <v>2769</v>
      </c>
      <c r="P899" t="s">
        <v>2081</v>
      </c>
      <c r="Q899">
        <v>0.85</v>
      </c>
    </row>
    <row r="900" spans="14:17" x14ac:dyDescent="0.45">
      <c r="N900" t="s">
        <v>27</v>
      </c>
      <c r="O900" t="s">
        <v>2770</v>
      </c>
      <c r="P900" t="s">
        <v>2107</v>
      </c>
      <c r="Q900">
        <v>0.85</v>
      </c>
    </row>
    <row r="901" spans="14:17" x14ac:dyDescent="0.45">
      <c r="N901" t="s">
        <v>27</v>
      </c>
      <c r="O901" t="s">
        <v>2771</v>
      </c>
      <c r="P901" t="s">
        <v>2105</v>
      </c>
      <c r="Q901">
        <v>0.85</v>
      </c>
    </row>
    <row r="902" spans="14:17" x14ac:dyDescent="0.45">
      <c r="N902" t="s">
        <v>27</v>
      </c>
      <c r="O902" t="s">
        <v>2772</v>
      </c>
      <c r="P902" t="s">
        <v>2075</v>
      </c>
      <c r="Q902">
        <v>0.85</v>
      </c>
    </row>
    <row r="903" spans="14:17" x14ac:dyDescent="0.45">
      <c r="N903" t="s">
        <v>27</v>
      </c>
      <c r="O903" t="s">
        <v>2773</v>
      </c>
      <c r="P903" t="s">
        <v>2075</v>
      </c>
      <c r="Q903">
        <v>0.85</v>
      </c>
    </row>
    <row r="904" spans="14:17" x14ac:dyDescent="0.45">
      <c r="N904" t="s">
        <v>27</v>
      </c>
      <c r="O904" t="s">
        <v>2774</v>
      </c>
      <c r="P904" t="s">
        <v>2103</v>
      </c>
      <c r="Q904">
        <v>0.85</v>
      </c>
    </row>
    <row r="905" spans="14:17" x14ac:dyDescent="0.45">
      <c r="N905" t="s">
        <v>27</v>
      </c>
      <c r="O905" t="s">
        <v>2775</v>
      </c>
      <c r="P905" t="s">
        <v>2078</v>
      </c>
      <c r="Q905">
        <v>0.85</v>
      </c>
    </row>
    <row r="906" spans="14:17" x14ac:dyDescent="0.45">
      <c r="N906" t="s">
        <v>27</v>
      </c>
      <c r="O906" t="s">
        <v>2776</v>
      </c>
      <c r="P906" t="s">
        <v>2071</v>
      </c>
      <c r="Q906">
        <v>0.85</v>
      </c>
    </row>
    <row r="907" spans="14:17" x14ac:dyDescent="0.45">
      <c r="N907" t="s">
        <v>27</v>
      </c>
      <c r="O907" t="s">
        <v>2777</v>
      </c>
      <c r="P907" t="s">
        <v>2059</v>
      </c>
      <c r="Q907">
        <v>0.85</v>
      </c>
    </row>
    <row r="908" spans="14:17" x14ac:dyDescent="0.45">
      <c r="N908" t="s">
        <v>27</v>
      </c>
      <c r="O908" t="s">
        <v>2778</v>
      </c>
      <c r="P908" t="s">
        <v>2068</v>
      </c>
      <c r="Q908">
        <v>0.85</v>
      </c>
    </row>
    <row r="909" spans="14:17" x14ac:dyDescent="0.45">
      <c r="N909" t="s">
        <v>27</v>
      </c>
      <c r="O909" t="s">
        <v>2779</v>
      </c>
      <c r="P909" t="s">
        <v>2075</v>
      </c>
      <c r="Q909">
        <v>0.85</v>
      </c>
    </row>
    <row r="910" spans="14:17" x14ac:dyDescent="0.45">
      <c r="N910" t="s">
        <v>27</v>
      </c>
      <c r="O910" t="s">
        <v>2780</v>
      </c>
      <c r="P910" t="s">
        <v>2107</v>
      </c>
      <c r="Q910">
        <v>0.85</v>
      </c>
    </row>
    <row r="911" spans="14:17" x14ac:dyDescent="0.45">
      <c r="N911" t="s">
        <v>27</v>
      </c>
      <c r="O911" t="s">
        <v>2781</v>
      </c>
      <c r="P911" t="s">
        <v>2075</v>
      </c>
      <c r="Q911">
        <v>0.85</v>
      </c>
    </row>
    <row r="912" spans="14:17" x14ac:dyDescent="0.45">
      <c r="N912" t="s">
        <v>27</v>
      </c>
      <c r="O912" t="s">
        <v>2782</v>
      </c>
      <c r="P912" t="s">
        <v>2088</v>
      </c>
      <c r="Q912">
        <v>0.85</v>
      </c>
    </row>
    <row r="913" spans="14:17" x14ac:dyDescent="0.45">
      <c r="N913" t="s">
        <v>27</v>
      </c>
      <c r="O913" t="s">
        <v>2783</v>
      </c>
      <c r="P913" t="s">
        <v>2082</v>
      </c>
      <c r="Q913">
        <v>0.85</v>
      </c>
    </row>
    <row r="914" spans="14:17" x14ac:dyDescent="0.45">
      <c r="N914" t="s">
        <v>27</v>
      </c>
      <c r="O914" t="s">
        <v>2784</v>
      </c>
      <c r="P914" t="s">
        <v>2075</v>
      </c>
      <c r="Q914">
        <v>0.85</v>
      </c>
    </row>
    <row r="915" spans="14:17" x14ac:dyDescent="0.45">
      <c r="N915" t="s">
        <v>27</v>
      </c>
      <c r="O915" t="s">
        <v>2785</v>
      </c>
      <c r="P915" t="s">
        <v>2084</v>
      </c>
      <c r="Q915">
        <v>0.85</v>
      </c>
    </row>
    <row r="916" spans="14:17" x14ac:dyDescent="0.45">
      <c r="N916" t="s">
        <v>27</v>
      </c>
      <c r="O916" t="s">
        <v>2786</v>
      </c>
      <c r="P916" t="s">
        <v>2101</v>
      </c>
      <c r="Q916">
        <v>0.85</v>
      </c>
    </row>
    <row r="917" spans="14:17" x14ac:dyDescent="0.45">
      <c r="N917" t="s">
        <v>27</v>
      </c>
      <c r="O917" t="s">
        <v>2787</v>
      </c>
      <c r="P917" t="s">
        <v>2051</v>
      </c>
      <c r="Q917">
        <v>0.85</v>
      </c>
    </row>
    <row r="918" spans="14:17" x14ac:dyDescent="0.45">
      <c r="N918" t="s">
        <v>27</v>
      </c>
      <c r="O918" t="s">
        <v>2788</v>
      </c>
      <c r="P918" t="s">
        <v>2078</v>
      </c>
      <c r="Q918">
        <v>0.85</v>
      </c>
    </row>
    <row r="919" spans="14:17" x14ac:dyDescent="0.45">
      <c r="N919" t="s">
        <v>27</v>
      </c>
      <c r="O919" t="s">
        <v>2789</v>
      </c>
      <c r="P919" t="s">
        <v>2094</v>
      </c>
      <c r="Q919">
        <v>0.85</v>
      </c>
    </row>
    <row r="920" spans="14:17" x14ac:dyDescent="0.45">
      <c r="N920" t="s">
        <v>27</v>
      </c>
      <c r="O920" t="s">
        <v>2790</v>
      </c>
      <c r="P920" t="s">
        <v>2075</v>
      </c>
      <c r="Q920">
        <v>0.85</v>
      </c>
    </row>
    <row r="921" spans="14:17" x14ac:dyDescent="0.45">
      <c r="N921" t="s">
        <v>27</v>
      </c>
      <c r="O921" t="s">
        <v>2791</v>
      </c>
      <c r="P921" t="s">
        <v>2089</v>
      </c>
      <c r="Q921">
        <v>0.85</v>
      </c>
    </row>
    <row r="922" spans="14:17" x14ac:dyDescent="0.45">
      <c r="N922" t="s">
        <v>27</v>
      </c>
      <c r="O922" t="s">
        <v>2792</v>
      </c>
      <c r="P922" t="s">
        <v>2086</v>
      </c>
      <c r="Q922">
        <v>0.85</v>
      </c>
    </row>
    <row r="923" spans="14:17" x14ac:dyDescent="0.45">
      <c r="N923" t="s">
        <v>27</v>
      </c>
      <c r="O923" t="s">
        <v>2793</v>
      </c>
      <c r="P923" t="s">
        <v>2086</v>
      </c>
      <c r="Q923">
        <v>0.85</v>
      </c>
    </row>
    <row r="924" spans="14:17" x14ac:dyDescent="0.45">
      <c r="N924" t="s">
        <v>27</v>
      </c>
      <c r="O924" t="s">
        <v>2794</v>
      </c>
      <c r="P924" t="s">
        <v>2075</v>
      </c>
      <c r="Q924">
        <v>0.85</v>
      </c>
    </row>
    <row r="925" spans="14:17" x14ac:dyDescent="0.45">
      <c r="N925" t="s">
        <v>27</v>
      </c>
      <c r="O925" t="s">
        <v>2795</v>
      </c>
      <c r="P925" t="s">
        <v>2069</v>
      </c>
      <c r="Q925">
        <v>0.85</v>
      </c>
    </row>
    <row r="926" spans="14:17" x14ac:dyDescent="0.45">
      <c r="N926" t="s">
        <v>27</v>
      </c>
      <c r="O926" t="s">
        <v>2796</v>
      </c>
      <c r="P926" t="s">
        <v>2103</v>
      </c>
      <c r="Q926">
        <v>0.85</v>
      </c>
    </row>
    <row r="927" spans="14:17" x14ac:dyDescent="0.45">
      <c r="N927" t="s">
        <v>27</v>
      </c>
      <c r="O927" t="s">
        <v>2797</v>
      </c>
      <c r="P927" t="s">
        <v>2057</v>
      </c>
      <c r="Q927">
        <v>0.95</v>
      </c>
    </row>
    <row r="928" spans="14:17" x14ac:dyDescent="0.45">
      <c r="N928" t="s">
        <v>27</v>
      </c>
      <c r="O928" t="s">
        <v>2798</v>
      </c>
      <c r="P928" t="s">
        <v>2089</v>
      </c>
      <c r="Q928">
        <v>0.95</v>
      </c>
    </row>
    <row r="929" spans="14:17" x14ac:dyDescent="0.45">
      <c r="N929" t="s">
        <v>27</v>
      </c>
      <c r="O929" t="s">
        <v>2799</v>
      </c>
      <c r="P929" t="s">
        <v>2081</v>
      </c>
      <c r="Q929">
        <v>0.95</v>
      </c>
    </row>
    <row r="930" spans="14:17" x14ac:dyDescent="0.45">
      <c r="N930" t="s">
        <v>27</v>
      </c>
      <c r="O930" t="s">
        <v>2800</v>
      </c>
      <c r="P930" t="s">
        <v>2089</v>
      </c>
      <c r="Q930">
        <v>0.95</v>
      </c>
    </row>
    <row r="931" spans="14:17" x14ac:dyDescent="0.45">
      <c r="N931" t="s">
        <v>27</v>
      </c>
      <c r="O931" t="s">
        <v>2801</v>
      </c>
      <c r="P931" t="s">
        <v>2089</v>
      </c>
      <c r="Q931">
        <v>0.95</v>
      </c>
    </row>
    <row r="932" spans="14:17" x14ac:dyDescent="0.45">
      <c r="N932" t="s">
        <v>27</v>
      </c>
      <c r="O932" t="s">
        <v>2802</v>
      </c>
      <c r="P932" t="s">
        <v>2060</v>
      </c>
      <c r="Q932">
        <v>0.95</v>
      </c>
    </row>
    <row r="933" spans="14:17" x14ac:dyDescent="0.45">
      <c r="N933" t="s">
        <v>27</v>
      </c>
      <c r="O933" t="s">
        <v>2803</v>
      </c>
      <c r="P933" t="s">
        <v>2076</v>
      </c>
      <c r="Q933">
        <v>0.95</v>
      </c>
    </row>
    <row r="934" spans="14:17" x14ac:dyDescent="0.45">
      <c r="N934" t="s">
        <v>27</v>
      </c>
      <c r="O934" t="s">
        <v>2804</v>
      </c>
      <c r="P934" t="s">
        <v>2078</v>
      </c>
      <c r="Q934">
        <v>0.95</v>
      </c>
    </row>
    <row r="935" spans="14:17" x14ac:dyDescent="0.45">
      <c r="N935" t="s">
        <v>27</v>
      </c>
      <c r="O935" t="s">
        <v>2805</v>
      </c>
      <c r="P935" t="s">
        <v>2078</v>
      </c>
      <c r="Q935">
        <v>0.95</v>
      </c>
    </row>
    <row r="936" spans="14:17" x14ac:dyDescent="0.45">
      <c r="N936" t="s">
        <v>27</v>
      </c>
      <c r="O936" t="s">
        <v>2806</v>
      </c>
      <c r="P936" t="s">
        <v>2089</v>
      </c>
      <c r="Q936">
        <v>0.95</v>
      </c>
    </row>
    <row r="937" spans="14:17" x14ac:dyDescent="0.45">
      <c r="N937" t="s">
        <v>27</v>
      </c>
      <c r="O937" t="s">
        <v>2807</v>
      </c>
      <c r="P937" t="s">
        <v>2089</v>
      </c>
      <c r="Q937">
        <v>0.95</v>
      </c>
    </row>
    <row r="938" spans="14:17" x14ac:dyDescent="0.45">
      <c r="N938" t="s">
        <v>27</v>
      </c>
      <c r="O938" t="s">
        <v>2808</v>
      </c>
      <c r="P938" t="s">
        <v>2060</v>
      </c>
      <c r="Q938">
        <v>0.95</v>
      </c>
    </row>
    <row r="939" spans="14:17" x14ac:dyDescent="0.45">
      <c r="N939" t="s">
        <v>27</v>
      </c>
      <c r="O939" t="s">
        <v>2809</v>
      </c>
      <c r="P939" t="s">
        <v>2098</v>
      </c>
      <c r="Q939">
        <v>0.95</v>
      </c>
    </row>
    <row r="940" spans="14:17" x14ac:dyDescent="0.45">
      <c r="N940" t="s">
        <v>27</v>
      </c>
      <c r="O940" t="s">
        <v>2810</v>
      </c>
      <c r="P940" t="s">
        <v>2058</v>
      </c>
      <c r="Q940">
        <v>0.95</v>
      </c>
    </row>
    <row r="941" spans="14:17" x14ac:dyDescent="0.45">
      <c r="N941" t="s">
        <v>27</v>
      </c>
      <c r="O941" t="s">
        <v>2811</v>
      </c>
      <c r="P941" t="s">
        <v>2063</v>
      </c>
      <c r="Q941">
        <v>0.95</v>
      </c>
    </row>
    <row r="942" spans="14:17" x14ac:dyDescent="0.45">
      <c r="N942" t="s">
        <v>27</v>
      </c>
      <c r="O942" t="s">
        <v>2812</v>
      </c>
      <c r="P942" t="s">
        <v>2094</v>
      </c>
      <c r="Q942">
        <v>0.95</v>
      </c>
    </row>
    <row r="943" spans="14:17" x14ac:dyDescent="0.45">
      <c r="N943" t="s">
        <v>27</v>
      </c>
      <c r="O943" t="s">
        <v>2813</v>
      </c>
      <c r="P943" t="s">
        <v>2091</v>
      </c>
      <c r="Q943">
        <v>0.95</v>
      </c>
    </row>
    <row r="944" spans="14:17" x14ac:dyDescent="0.45">
      <c r="N944" t="s">
        <v>27</v>
      </c>
      <c r="O944" t="s">
        <v>2814</v>
      </c>
      <c r="P944" t="s">
        <v>2101</v>
      </c>
      <c r="Q944">
        <v>0.85</v>
      </c>
    </row>
    <row r="945" spans="14:17" x14ac:dyDescent="0.45">
      <c r="N945" t="s">
        <v>27</v>
      </c>
      <c r="O945" t="s">
        <v>2815</v>
      </c>
      <c r="P945" t="s">
        <v>2076</v>
      </c>
      <c r="Q945">
        <v>0.85</v>
      </c>
    </row>
    <row r="946" spans="14:17" x14ac:dyDescent="0.45">
      <c r="N946" t="s">
        <v>27</v>
      </c>
      <c r="O946" t="s">
        <v>2816</v>
      </c>
      <c r="P946" t="s">
        <v>2103</v>
      </c>
      <c r="Q946">
        <v>0.85</v>
      </c>
    </row>
    <row r="947" spans="14:17" x14ac:dyDescent="0.45">
      <c r="N947" t="s">
        <v>27</v>
      </c>
      <c r="O947" t="s">
        <v>2817</v>
      </c>
      <c r="P947" t="s">
        <v>2071</v>
      </c>
      <c r="Q947">
        <v>0.85</v>
      </c>
    </row>
    <row r="948" spans="14:17" x14ac:dyDescent="0.45">
      <c r="N948" t="s">
        <v>27</v>
      </c>
      <c r="O948" t="s">
        <v>2818</v>
      </c>
      <c r="P948" t="s">
        <v>2087</v>
      </c>
      <c r="Q948">
        <v>0.85</v>
      </c>
    </row>
    <row r="949" spans="14:17" x14ac:dyDescent="0.45">
      <c r="N949" t="s">
        <v>27</v>
      </c>
      <c r="O949" t="s">
        <v>2819</v>
      </c>
      <c r="P949" t="s">
        <v>2089</v>
      </c>
      <c r="Q949">
        <v>0.85</v>
      </c>
    </row>
    <row r="950" spans="14:17" x14ac:dyDescent="0.45">
      <c r="N950" t="s">
        <v>27</v>
      </c>
      <c r="O950" t="s">
        <v>2820</v>
      </c>
      <c r="P950" t="s">
        <v>2059</v>
      </c>
      <c r="Q950">
        <v>0.85</v>
      </c>
    </row>
    <row r="951" spans="14:17" x14ac:dyDescent="0.45">
      <c r="N951" t="s">
        <v>27</v>
      </c>
      <c r="O951" t="s">
        <v>2821</v>
      </c>
      <c r="P951" t="s">
        <v>2105</v>
      </c>
      <c r="Q951">
        <v>0.85</v>
      </c>
    </row>
    <row r="952" spans="14:17" x14ac:dyDescent="0.45">
      <c r="N952" t="s">
        <v>27</v>
      </c>
      <c r="O952" t="s">
        <v>2822</v>
      </c>
      <c r="P952" t="s">
        <v>2080</v>
      </c>
      <c r="Q952">
        <v>0.85</v>
      </c>
    </row>
    <row r="953" spans="14:17" x14ac:dyDescent="0.45">
      <c r="N953" t="s">
        <v>27</v>
      </c>
      <c r="O953" t="s">
        <v>2823</v>
      </c>
      <c r="P953" t="s">
        <v>2080</v>
      </c>
      <c r="Q953">
        <v>0.85</v>
      </c>
    </row>
    <row r="954" spans="14:17" x14ac:dyDescent="0.45">
      <c r="N954" t="s">
        <v>27</v>
      </c>
      <c r="O954" t="s">
        <v>2824</v>
      </c>
      <c r="P954" t="s">
        <v>2058</v>
      </c>
      <c r="Q954">
        <v>0.85</v>
      </c>
    </row>
    <row r="955" spans="14:17" x14ac:dyDescent="0.45">
      <c r="N955" t="s">
        <v>27</v>
      </c>
      <c r="O955" t="s">
        <v>2825</v>
      </c>
      <c r="P955" t="s">
        <v>2058</v>
      </c>
      <c r="Q955">
        <v>0.85</v>
      </c>
    </row>
    <row r="956" spans="14:17" x14ac:dyDescent="0.45">
      <c r="N956" t="s">
        <v>27</v>
      </c>
      <c r="O956" t="s">
        <v>2826</v>
      </c>
      <c r="P956" t="s">
        <v>2107</v>
      </c>
      <c r="Q956">
        <v>0.85</v>
      </c>
    </row>
    <row r="957" spans="14:17" x14ac:dyDescent="0.45">
      <c r="N957" t="s">
        <v>27</v>
      </c>
      <c r="O957" t="s">
        <v>2827</v>
      </c>
      <c r="P957" t="s">
        <v>2078</v>
      </c>
      <c r="Q957">
        <v>0.85</v>
      </c>
    </row>
    <row r="958" spans="14:17" x14ac:dyDescent="0.45">
      <c r="N958" t="s">
        <v>27</v>
      </c>
      <c r="O958" t="s">
        <v>2828</v>
      </c>
      <c r="P958" t="s">
        <v>2075</v>
      </c>
      <c r="Q958">
        <v>0.85</v>
      </c>
    </row>
    <row r="959" spans="14:17" x14ac:dyDescent="0.45">
      <c r="N959" t="s">
        <v>27</v>
      </c>
      <c r="O959" t="s">
        <v>2829</v>
      </c>
      <c r="P959" t="s">
        <v>2105</v>
      </c>
      <c r="Q959">
        <v>0.85</v>
      </c>
    </row>
    <row r="960" spans="14:17" x14ac:dyDescent="0.45">
      <c r="N960" t="s">
        <v>27</v>
      </c>
      <c r="O960" t="s">
        <v>2830</v>
      </c>
      <c r="P960" t="s">
        <v>2076</v>
      </c>
      <c r="Q960">
        <v>0.85</v>
      </c>
    </row>
    <row r="961" spans="14:17" x14ac:dyDescent="0.45">
      <c r="N961" t="s">
        <v>27</v>
      </c>
      <c r="O961" t="s">
        <v>2831</v>
      </c>
      <c r="P961" t="s">
        <v>2095</v>
      </c>
      <c r="Q961">
        <v>0.85</v>
      </c>
    </row>
    <row r="962" spans="14:17" x14ac:dyDescent="0.45">
      <c r="N962" t="s">
        <v>27</v>
      </c>
      <c r="O962" t="s">
        <v>2832</v>
      </c>
      <c r="P962" t="s">
        <v>2086</v>
      </c>
      <c r="Q962">
        <v>0.85</v>
      </c>
    </row>
    <row r="963" spans="14:17" x14ac:dyDescent="0.45">
      <c r="N963" t="s">
        <v>27</v>
      </c>
      <c r="O963" t="s">
        <v>2833</v>
      </c>
      <c r="P963" t="s">
        <v>2052</v>
      </c>
      <c r="Q963">
        <v>0.85</v>
      </c>
    </row>
    <row r="964" spans="14:17" x14ac:dyDescent="0.45">
      <c r="N964" t="s">
        <v>27</v>
      </c>
      <c r="O964" t="s">
        <v>2834</v>
      </c>
      <c r="P964" t="s">
        <v>2075</v>
      </c>
      <c r="Q964">
        <v>0.85</v>
      </c>
    </row>
    <row r="965" spans="14:17" x14ac:dyDescent="0.45">
      <c r="N965" t="s">
        <v>27</v>
      </c>
      <c r="O965" t="s">
        <v>2835</v>
      </c>
      <c r="P965" t="s">
        <v>2098</v>
      </c>
      <c r="Q965">
        <v>0.85</v>
      </c>
    </row>
    <row r="966" spans="14:17" x14ac:dyDescent="0.45">
      <c r="N966" t="s">
        <v>27</v>
      </c>
      <c r="O966" t="s">
        <v>2836</v>
      </c>
      <c r="P966" t="s">
        <v>2103</v>
      </c>
      <c r="Q966">
        <v>0.85</v>
      </c>
    </row>
    <row r="967" spans="14:17" x14ac:dyDescent="0.45">
      <c r="N967" t="s">
        <v>27</v>
      </c>
      <c r="O967" t="s">
        <v>2837</v>
      </c>
      <c r="P967" t="s">
        <v>2106</v>
      </c>
      <c r="Q967">
        <v>0.85</v>
      </c>
    </row>
    <row r="968" spans="14:17" x14ac:dyDescent="0.45">
      <c r="N968" t="s">
        <v>27</v>
      </c>
      <c r="O968" t="s">
        <v>2838</v>
      </c>
      <c r="P968" t="s">
        <v>2078</v>
      </c>
      <c r="Q968">
        <v>0.85</v>
      </c>
    </row>
    <row r="969" spans="14:17" x14ac:dyDescent="0.45">
      <c r="N969" t="s">
        <v>27</v>
      </c>
      <c r="O969" t="s">
        <v>2839</v>
      </c>
      <c r="P969" t="s">
        <v>2078</v>
      </c>
      <c r="Q969">
        <v>0.85</v>
      </c>
    </row>
    <row r="970" spans="14:17" x14ac:dyDescent="0.45">
      <c r="N970" t="s">
        <v>27</v>
      </c>
      <c r="O970" t="s">
        <v>2840</v>
      </c>
      <c r="P970" t="s">
        <v>2065</v>
      </c>
      <c r="Q970">
        <v>0.85</v>
      </c>
    </row>
    <row r="971" spans="14:17" x14ac:dyDescent="0.45">
      <c r="N971" t="s">
        <v>27</v>
      </c>
      <c r="O971" t="s">
        <v>2841</v>
      </c>
      <c r="P971" t="s">
        <v>2101</v>
      </c>
      <c r="Q971">
        <v>0.85</v>
      </c>
    </row>
    <row r="972" spans="14:17" x14ac:dyDescent="0.45">
      <c r="N972" t="s">
        <v>27</v>
      </c>
      <c r="O972" t="s">
        <v>2842</v>
      </c>
      <c r="P972" t="s">
        <v>2086</v>
      </c>
      <c r="Q972">
        <v>0.85</v>
      </c>
    </row>
    <row r="973" spans="14:17" x14ac:dyDescent="0.45">
      <c r="N973" t="s">
        <v>27</v>
      </c>
      <c r="O973" t="s">
        <v>2843</v>
      </c>
      <c r="P973" t="s">
        <v>2098</v>
      </c>
      <c r="Q973">
        <v>0.85</v>
      </c>
    </row>
    <row r="974" spans="14:17" x14ac:dyDescent="0.45">
      <c r="N974" t="s">
        <v>27</v>
      </c>
      <c r="O974" t="s">
        <v>2844</v>
      </c>
      <c r="P974" t="s">
        <v>2083</v>
      </c>
      <c r="Q974">
        <v>0.85</v>
      </c>
    </row>
    <row r="975" spans="14:17" x14ac:dyDescent="0.45">
      <c r="N975" t="s">
        <v>27</v>
      </c>
      <c r="O975" t="s">
        <v>2845</v>
      </c>
      <c r="P975" t="s">
        <v>2051</v>
      </c>
      <c r="Q975">
        <v>0.85</v>
      </c>
    </row>
    <row r="976" spans="14:17" x14ac:dyDescent="0.45">
      <c r="N976" t="s">
        <v>27</v>
      </c>
      <c r="O976" t="s">
        <v>2846</v>
      </c>
      <c r="P976" t="s">
        <v>2059</v>
      </c>
      <c r="Q976">
        <v>0.85</v>
      </c>
    </row>
    <row r="977" spans="14:17" x14ac:dyDescent="0.45">
      <c r="N977" t="s">
        <v>27</v>
      </c>
      <c r="O977" t="s">
        <v>2847</v>
      </c>
      <c r="P977" t="s">
        <v>2086</v>
      </c>
      <c r="Q977">
        <v>0.85</v>
      </c>
    </row>
    <row r="978" spans="14:17" x14ac:dyDescent="0.45">
      <c r="N978" t="s">
        <v>27</v>
      </c>
      <c r="O978" t="s">
        <v>2848</v>
      </c>
      <c r="P978" t="s">
        <v>2057</v>
      </c>
      <c r="Q978">
        <v>0.85</v>
      </c>
    </row>
    <row r="979" spans="14:17" x14ac:dyDescent="0.45">
      <c r="N979" t="s">
        <v>27</v>
      </c>
      <c r="O979" t="s">
        <v>2849</v>
      </c>
      <c r="P979" t="s">
        <v>2087</v>
      </c>
      <c r="Q979">
        <v>0.85</v>
      </c>
    </row>
    <row r="980" spans="14:17" x14ac:dyDescent="0.45">
      <c r="N980" t="s">
        <v>27</v>
      </c>
      <c r="O980" t="s">
        <v>2850</v>
      </c>
      <c r="P980" t="s">
        <v>2088</v>
      </c>
      <c r="Q980">
        <v>0.85</v>
      </c>
    </row>
    <row r="981" spans="14:17" x14ac:dyDescent="0.45">
      <c r="N981" t="s">
        <v>27</v>
      </c>
      <c r="O981" t="s">
        <v>2851</v>
      </c>
      <c r="P981" t="s">
        <v>2107</v>
      </c>
      <c r="Q981">
        <v>0.85</v>
      </c>
    </row>
    <row r="982" spans="14:17" x14ac:dyDescent="0.45">
      <c r="N982" t="s">
        <v>27</v>
      </c>
      <c r="O982" t="s">
        <v>2852</v>
      </c>
      <c r="P982" t="s">
        <v>2081</v>
      </c>
      <c r="Q982">
        <v>0.85</v>
      </c>
    </row>
    <row r="983" spans="14:17" x14ac:dyDescent="0.45">
      <c r="N983" t="s">
        <v>27</v>
      </c>
      <c r="O983" t="s">
        <v>2853</v>
      </c>
      <c r="P983" t="s">
        <v>2086</v>
      </c>
      <c r="Q983">
        <v>0.85</v>
      </c>
    </row>
    <row r="984" spans="14:17" x14ac:dyDescent="0.45">
      <c r="N984" t="s">
        <v>27</v>
      </c>
      <c r="O984" t="s">
        <v>2854</v>
      </c>
      <c r="P984" t="s">
        <v>2101</v>
      </c>
      <c r="Q984">
        <v>0.85</v>
      </c>
    </row>
    <row r="985" spans="14:17" x14ac:dyDescent="0.45">
      <c r="N985" t="s">
        <v>27</v>
      </c>
      <c r="O985" t="s">
        <v>2855</v>
      </c>
      <c r="P985" t="s">
        <v>2098</v>
      </c>
      <c r="Q985">
        <v>0.85</v>
      </c>
    </row>
    <row r="986" spans="14:17" x14ac:dyDescent="0.45">
      <c r="N986" t="s">
        <v>27</v>
      </c>
      <c r="O986" t="s">
        <v>2856</v>
      </c>
      <c r="P986" t="s">
        <v>2076</v>
      </c>
      <c r="Q986">
        <v>0.85</v>
      </c>
    </row>
    <row r="987" spans="14:17" x14ac:dyDescent="0.45">
      <c r="N987" t="s">
        <v>27</v>
      </c>
      <c r="O987" t="s">
        <v>2857</v>
      </c>
      <c r="P987" t="s">
        <v>2078</v>
      </c>
      <c r="Q987">
        <v>0.85</v>
      </c>
    </row>
    <row r="988" spans="14:17" x14ac:dyDescent="0.45">
      <c r="N988" t="s">
        <v>27</v>
      </c>
      <c r="O988" t="s">
        <v>2858</v>
      </c>
      <c r="P988" t="s">
        <v>2078</v>
      </c>
      <c r="Q988">
        <v>0.85</v>
      </c>
    </row>
    <row r="989" spans="14:17" x14ac:dyDescent="0.45">
      <c r="N989" t="s">
        <v>27</v>
      </c>
      <c r="O989" t="s">
        <v>2859</v>
      </c>
      <c r="P989" t="s">
        <v>2108</v>
      </c>
      <c r="Q989">
        <v>0.85</v>
      </c>
    </row>
    <row r="990" spans="14:17" x14ac:dyDescent="0.45">
      <c r="N990" t="s">
        <v>27</v>
      </c>
      <c r="O990" t="s">
        <v>2860</v>
      </c>
      <c r="P990" t="s">
        <v>2080</v>
      </c>
      <c r="Q990">
        <v>0.85</v>
      </c>
    </row>
    <row r="991" spans="14:17" x14ac:dyDescent="0.45">
      <c r="N991" t="s">
        <v>27</v>
      </c>
      <c r="O991" t="s">
        <v>2861</v>
      </c>
      <c r="P991" t="s">
        <v>2087</v>
      </c>
      <c r="Q991">
        <v>0.85</v>
      </c>
    </row>
    <row r="992" spans="14:17" x14ac:dyDescent="0.45">
      <c r="N992" t="s">
        <v>27</v>
      </c>
      <c r="O992" t="s">
        <v>2862</v>
      </c>
      <c r="P992" t="s">
        <v>2063</v>
      </c>
      <c r="Q992">
        <v>0.85</v>
      </c>
    </row>
    <row r="993" spans="14:17" x14ac:dyDescent="0.45">
      <c r="N993" t="s">
        <v>27</v>
      </c>
      <c r="O993" t="s">
        <v>2863</v>
      </c>
      <c r="P993" t="s">
        <v>2091</v>
      </c>
      <c r="Q993">
        <v>0.85</v>
      </c>
    </row>
    <row r="994" spans="14:17" x14ac:dyDescent="0.45">
      <c r="N994" t="s">
        <v>27</v>
      </c>
      <c r="O994" t="s">
        <v>2864</v>
      </c>
      <c r="P994" t="s">
        <v>2069</v>
      </c>
      <c r="Q994">
        <v>0.85</v>
      </c>
    </row>
    <row r="995" spans="14:17" x14ac:dyDescent="0.45">
      <c r="N995" t="s">
        <v>27</v>
      </c>
      <c r="O995" t="s">
        <v>2865</v>
      </c>
      <c r="P995" t="s">
        <v>2075</v>
      </c>
      <c r="Q995">
        <v>0.85</v>
      </c>
    </row>
    <row r="996" spans="14:17" x14ac:dyDescent="0.45">
      <c r="N996" t="s">
        <v>27</v>
      </c>
      <c r="O996" t="s">
        <v>2866</v>
      </c>
      <c r="P996" t="s">
        <v>2052</v>
      </c>
      <c r="Q996">
        <v>0.85</v>
      </c>
    </row>
    <row r="997" spans="14:17" x14ac:dyDescent="0.45">
      <c r="N997" t="s">
        <v>27</v>
      </c>
      <c r="O997" t="s">
        <v>2867</v>
      </c>
      <c r="P997" t="s">
        <v>2101</v>
      </c>
      <c r="Q997">
        <v>0.85</v>
      </c>
    </row>
    <row r="998" spans="14:17" x14ac:dyDescent="0.45">
      <c r="N998" t="s">
        <v>27</v>
      </c>
      <c r="O998" t="s">
        <v>2868</v>
      </c>
      <c r="P998" t="s">
        <v>2051</v>
      </c>
      <c r="Q998">
        <v>0.85</v>
      </c>
    </row>
    <row r="999" spans="14:17" x14ac:dyDescent="0.45">
      <c r="N999" t="s">
        <v>27</v>
      </c>
      <c r="O999" t="s">
        <v>2869</v>
      </c>
      <c r="P999" t="s">
        <v>2063</v>
      </c>
      <c r="Q999">
        <v>0.85</v>
      </c>
    </row>
    <row r="1000" spans="14:17" x14ac:dyDescent="0.45">
      <c r="N1000" t="s">
        <v>27</v>
      </c>
      <c r="O1000" t="s">
        <v>2870</v>
      </c>
      <c r="P1000" t="s">
        <v>2086</v>
      </c>
      <c r="Q1000">
        <v>0.85</v>
      </c>
    </row>
    <row r="1001" spans="14:17" x14ac:dyDescent="0.45">
      <c r="N1001" t="s">
        <v>27</v>
      </c>
      <c r="O1001" t="s">
        <v>2871</v>
      </c>
      <c r="P1001" t="s">
        <v>2106</v>
      </c>
      <c r="Q1001">
        <v>0.85</v>
      </c>
    </row>
    <row r="1002" spans="14:17" x14ac:dyDescent="0.45">
      <c r="N1002" t="s">
        <v>27</v>
      </c>
      <c r="O1002" t="s">
        <v>2872</v>
      </c>
      <c r="P1002" t="s">
        <v>2106</v>
      </c>
      <c r="Q1002">
        <v>0.85</v>
      </c>
    </row>
    <row r="1003" spans="14:17" x14ac:dyDescent="0.45">
      <c r="N1003" t="s">
        <v>27</v>
      </c>
      <c r="O1003" t="s">
        <v>2873</v>
      </c>
      <c r="P1003" t="s">
        <v>2051</v>
      </c>
      <c r="Q1003">
        <v>0.85</v>
      </c>
    </row>
    <row r="1004" spans="14:17" x14ac:dyDescent="0.45">
      <c r="N1004" t="s">
        <v>27</v>
      </c>
      <c r="O1004" t="s">
        <v>2874</v>
      </c>
      <c r="P1004" t="s">
        <v>2078</v>
      </c>
      <c r="Q1004">
        <v>0.85</v>
      </c>
    </row>
    <row r="1005" spans="14:17" x14ac:dyDescent="0.45">
      <c r="N1005" t="s">
        <v>27</v>
      </c>
      <c r="O1005" t="s">
        <v>2875</v>
      </c>
      <c r="P1005" t="s">
        <v>2051</v>
      </c>
      <c r="Q1005">
        <v>0.85</v>
      </c>
    </row>
    <row r="1006" spans="14:17" x14ac:dyDescent="0.45">
      <c r="N1006" t="s">
        <v>27</v>
      </c>
      <c r="O1006" t="s">
        <v>2876</v>
      </c>
      <c r="P1006" t="s">
        <v>2076</v>
      </c>
      <c r="Q1006">
        <v>0.85</v>
      </c>
    </row>
    <row r="1007" spans="14:17" x14ac:dyDescent="0.45">
      <c r="N1007" t="s">
        <v>27</v>
      </c>
      <c r="O1007" t="s">
        <v>2877</v>
      </c>
      <c r="P1007" t="s">
        <v>2093</v>
      </c>
      <c r="Q1007">
        <v>0.85</v>
      </c>
    </row>
    <row r="1008" spans="14:17" x14ac:dyDescent="0.45">
      <c r="N1008" t="s">
        <v>27</v>
      </c>
      <c r="O1008" t="s">
        <v>2878</v>
      </c>
      <c r="P1008" t="s">
        <v>2052</v>
      </c>
      <c r="Q1008">
        <v>0.85</v>
      </c>
    </row>
    <row r="1009" spans="14:17" x14ac:dyDescent="0.45">
      <c r="N1009" t="s">
        <v>27</v>
      </c>
      <c r="O1009" t="s">
        <v>2879</v>
      </c>
      <c r="P1009" t="s">
        <v>2108</v>
      </c>
      <c r="Q1009">
        <v>0.85</v>
      </c>
    </row>
    <row r="1010" spans="14:17" x14ac:dyDescent="0.45">
      <c r="N1010" t="s">
        <v>27</v>
      </c>
      <c r="O1010" t="s">
        <v>2880</v>
      </c>
      <c r="P1010" t="s">
        <v>2075</v>
      </c>
      <c r="Q1010">
        <v>0.85</v>
      </c>
    </row>
    <row r="1011" spans="14:17" x14ac:dyDescent="0.45">
      <c r="N1011" t="s">
        <v>27</v>
      </c>
      <c r="O1011" t="s">
        <v>2881</v>
      </c>
      <c r="P1011" t="s">
        <v>2069</v>
      </c>
      <c r="Q1011">
        <v>0.85</v>
      </c>
    </row>
    <row r="1012" spans="14:17" x14ac:dyDescent="0.45">
      <c r="N1012" t="s">
        <v>27</v>
      </c>
      <c r="O1012" t="s">
        <v>2882</v>
      </c>
      <c r="P1012" t="s">
        <v>2086</v>
      </c>
      <c r="Q1012">
        <v>0.85</v>
      </c>
    </row>
    <row r="1013" spans="14:17" x14ac:dyDescent="0.45">
      <c r="N1013" t="s">
        <v>27</v>
      </c>
      <c r="O1013" t="s">
        <v>2883</v>
      </c>
      <c r="P1013" t="s">
        <v>2057</v>
      </c>
      <c r="Q1013">
        <v>0.85</v>
      </c>
    </row>
    <row r="1014" spans="14:17" x14ac:dyDescent="0.45">
      <c r="N1014" t="s">
        <v>27</v>
      </c>
      <c r="O1014" t="s">
        <v>2884</v>
      </c>
      <c r="P1014" t="s">
        <v>2106</v>
      </c>
      <c r="Q1014">
        <v>0.85</v>
      </c>
    </row>
    <row r="1015" spans="14:17" x14ac:dyDescent="0.45">
      <c r="N1015" t="s">
        <v>27</v>
      </c>
      <c r="O1015" t="s">
        <v>2885</v>
      </c>
      <c r="P1015" t="s">
        <v>2095</v>
      </c>
      <c r="Q1015">
        <v>0.85</v>
      </c>
    </row>
    <row r="1016" spans="14:17" x14ac:dyDescent="0.45">
      <c r="N1016" t="s">
        <v>27</v>
      </c>
      <c r="O1016" t="s">
        <v>2886</v>
      </c>
      <c r="P1016" t="s">
        <v>2078</v>
      </c>
      <c r="Q1016">
        <v>0.85</v>
      </c>
    </row>
    <row r="1017" spans="14:17" x14ac:dyDescent="0.45">
      <c r="N1017" t="s">
        <v>27</v>
      </c>
      <c r="O1017" t="s">
        <v>2887</v>
      </c>
      <c r="P1017" t="s">
        <v>2056</v>
      </c>
      <c r="Q1017">
        <v>0.85</v>
      </c>
    </row>
    <row r="1018" spans="14:17" x14ac:dyDescent="0.45">
      <c r="N1018" t="s">
        <v>27</v>
      </c>
      <c r="O1018" t="s">
        <v>2888</v>
      </c>
      <c r="P1018" t="s">
        <v>2104</v>
      </c>
      <c r="Q1018">
        <v>0.85</v>
      </c>
    </row>
    <row r="1019" spans="14:17" x14ac:dyDescent="0.45">
      <c r="N1019" t="s">
        <v>27</v>
      </c>
      <c r="O1019" t="s">
        <v>2889</v>
      </c>
      <c r="P1019" t="s">
        <v>2106</v>
      </c>
      <c r="Q1019">
        <v>0.85</v>
      </c>
    </row>
    <row r="1020" spans="14:17" x14ac:dyDescent="0.45">
      <c r="N1020" t="s">
        <v>27</v>
      </c>
      <c r="O1020" t="s">
        <v>2890</v>
      </c>
      <c r="P1020" t="s">
        <v>2067</v>
      </c>
      <c r="Q1020">
        <v>0.85</v>
      </c>
    </row>
    <row r="1021" spans="14:17" x14ac:dyDescent="0.45">
      <c r="N1021" t="s">
        <v>27</v>
      </c>
      <c r="O1021" t="s">
        <v>2891</v>
      </c>
      <c r="P1021" t="s">
        <v>2083</v>
      </c>
      <c r="Q1021">
        <v>0.85</v>
      </c>
    </row>
    <row r="1022" spans="14:17" x14ac:dyDescent="0.45">
      <c r="N1022" t="s">
        <v>27</v>
      </c>
      <c r="O1022" t="s">
        <v>2892</v>
      </c>
      <c r="P1022" t="s">
        <v>2086</v>
      </c>
      <c r="Q1022">
        <v>0.85</v>
      </c>
    </row>
    <row r="1023" spans="14:17" x14ac:dyDescent="0.45">
      <c r="N1023" t="s">
        <v>27</v>
      </c>
      <c r="O1023" t="s">
        <v>2893</v>
      </c>
      <c r="P1023" t="s">
        <v>2078</v>
      </c>
      <c r="Q1023">
        <v>0.85</v>
      </c>
    </row>
    <row r="1024" spans="14:17" x14ac:dyDescent="0.45">
      <c r="N1024" t="s">
        <v>27</v>
      </c>
      <c r="O1024" t="s">
        <v>2894</v>
      </c>
      <c r="P1024" t="s">
        <v>2090</v>
      </c>
      <c r="Q1024">
        <v>0.85</v>
      </c>
    </row>
    <row r="1025" spans="14:17" x14ac:dyDescent="0.45">
      <c r="N1025" t="s">
        <v>27</v>
      </c>
      <c r="O1025" t="s">
        <v>2895</v>
      </c>
      <c r="P1025" t="s">
        <v>2070</v>
      </c>
      <c r="Q1025">
        <v>0.85</v>
      </c>
    </row>
    <row r="1026" spans="14:17" x14ac:dyDescent="0.45">
      <c r="N1026" t="s">
        <v>27</v>
      </c>
      <c r="O1026" t="s">
        <v>2896</v>
      </c>
      <c r="P1026" t="s">
        <v>2052</v>
      </c>
      <c r="Q1026">
        <v>0.85</v>
      </c>
    </row>
    <row r="1027" spans="14:17" x14ac:dyDescent="0.45">
      <c r="N1027" t="s">
        <v>27</v>
      </c>
      <c r="O1027" t="s">
        <v>2897</v>
      </c>
      <c r="P1027" t="s">
        <v>2075</v>
      </c>
      <c r="Q1027">
        <v>0.85</v>
      </c>
    </row>
    <row r="1028" spans="14:17" x14ac:dyDescent="0.45">
      <c r="N1028" t="s">
        <v>27</v>
      </c>
      <c r="O1028" t="s">
        <v>2898</v>
      </c>
      <c r="P1028" t="s">
        <v>2090</v>
      </c>
      <c r="Q1028">
        <v>0.85</v>
      </c>
    </row>
    <row r="1029" spans="14:17" x14ac:dyDescent="0.45">
      <c r="N1029" t="s">
        <v>27</v>
      </c>
      <c r="O1029" t="s">
        <v>2899</v>
      </c>
      <c r="P1029" t="s">
        <v>2103</v>
      </c>
      <c r="Q1029">
        <v>0.85</v>
      </c>
    </row>
    <row r="1030" spans="14:17" x14ac:dyDescent="0.45">
      <c r="N1030" t="s">
        <v>27</v>
      </c>
      <c r="O1030" t="s">
        <v>2900</v>
      </c>
      <c r="P1030" t="s">
        <v>2095</v>
      </c>
      <c r="Q1030">
        <v>0.85</v>
      </c>
    </row>
    <row r="1031" spans="14:17" x14ac:dyDescent="0.45">
      <c r="N1031" t="s">
        <v>27</v>
      </c>
      <c r="O1031" t="s">
        <v>2901</v>
      </c>
      <c r="P1031" t="s">
        <v>2103</v>
      </c>
      <c r="Q1031">
        <v>0.85</v>
      </c>
    </row>
    <row r="1032" spans="14:17" x14ac:dyDescent="0.45">
      <c r="N1032" t="s">
        <v>27</v>
      </c>
      <c r="O1032" t="s">
        <v>2902</v>
      </c>
      <c r="P1032" t="s">
        <v>2081</v>
      </c>
      <c r="Q1032">
        <v>0.85</v>
      </c>
    </row>
    <row r="1033" spans="14:17" x14ac:dyDescent="0.45">
      <c r="N1033" t="s">
        <v>27</v>
      </c>
      <c r="O1033" t="s">
        <v>2903</v>
      </c>
      <c r="P1033" t="s">
        <v>2063</v>
      </c>
      <c r="Q1033">
        <v>0.85</v>
      </c>
    </row>
    <row r="1034" spans="14:17" x14ac:dyDescent="0.45">
      <c r="N1034" t="s">
        <v>27</v>
      </c>
      <c r="O1034" t="s">
        <v>2904</v>
      </c>
      <c r="P1034" t="s">
        <v>2078</v>
      </c>
      <c r="Q1034">
        <v>0.85</v>
      </c>
    </row>
    <row r="1035" spans="14:17" x14ac:dyDescent="0.45">
      <c r="N1035" t="s">
        <v>27</v>
      </c>
      <c r="O1035" t="s">
        <v>2905</v>
      </c>
      <c r="P1035" t="s">
        <v>2104</v>
      </c>
      <c r="Q1035">
        <v>0.85</v>
      </c>
    </row>
    <row r="1036" spans="14:17" x14ac:dyDescent="0.45">
      <c r="N1036" t="s">
        <v>27</v>
      </c>
      <c r="O1036" t="s">
        <v>2906</v>
      </c>
      <c r="P1036" t="s">
        <v>2075</v>
      </c>
      <c r="Q1036">
        <v>0.85</v>
      </c>
    </row>
    <row r="1037" spans="14:17" x14ac:dyDescent="0.45">
      <c r="N1037" t="s">
        <v>27</v>
      </c>
      <c r="O1037" t="s">
        <v>2907</v>
      </c>
      <c r="P1037" t="s">
        <v>2086</v>
      </c>
      <c r="Q1037">
        <v>0.85</v>
      </c>
    </row>
    <row r="1038" spans="14:17" x14ac:dyDescent="0.45">
      <c r="N1038" t="s">
        <v>27</v>
      </c>
      <c r="O1038" t="s">
        <v>2908</v>
      </c>
      <c r="P1038" t="s">
        <v>2051</v>
      </c>
      <c r="Q1038">
        <v>0.85</v>
      </c>
    </row>
    <row r="1039" spans="14:17" x14ac:dyDescent="0.45">
      <c r="N1039" t="s">
        <v>27</v>
      </c>
      <c r="O1039" t="s">
        <v>2909</v>
      </c>
      <c r="P1039" t="s">
        <v>2102</v>
      </c>
      <c r="Q1039">
        <v>0.85</v>
      </c>
    </row>
    <row r="1040" spans="14:17" x14ac:dyDescent="0.45">
      <c r="N1040" t="s">
        <v>27</v>
      </c>
      <c r="O1040" t="s">
        <v>2910</v>
      </c>
      <c r="P1040" t="s">
        <v>2079</v>
      </c>
      <c r="Q1040">
        <v>0.85</v>
      </c>
    </row>
    <row r="1041" spans="14:17" x14ac:dyDescent="0.45">
      <c r="N1041" t="s">
        <v>27</v>
      </c>
      <c r="O1041" t="s">
        <v>2911</v>
      </c>
      <c r="P1041" t="s">
        <v>2109</v>
      </c>
      <c r="Q1041">
        <v>0.85</v>
      </c>
    </row>
    <row r="1042" spans="14:17" x14ac:dyDescent="0.45">
      <c r="N1042" t="s">
        <v>27</v>
      </c>
      <c r="O1042" t="s">
        <v>2912</v>
      </c>
      <c r="P1042" t="s">
        <v>2101</v>
      </c>
      <c r="Q1042">
        <v>0.85</v>
      </c>
    </row>
    <row r="1043" spans="14:17" x14ac:dyDescent="0.45">
      <c r="N1043" t="s">
        <v>27</v>
      </c>
      <c r="O1043" t="s">
        <v>2913</v>
      </c>
      <c r="P1043" t="s">
        <v>2054</v>
      </c>
      <c r="Q1043">
        <v>0.85</v>
      </c>
    </row>
    <row r="1044" spans="14:17" x14ac:dyDescent="0.45">
      <c r="N1044" t="s">
        <v>27</v>
      </c>
      <c r="O1044" t="s">
        <v>2914</v>
      </c>
      <c r="P1044" t="s">
        <v>2097</v>
      </c>
      <c r="Q1044">
        <v>0.85</v>
      </c>
    </row>
    <row r="1045" spans="14:17" x14ac:dyDescent="0.45">
      <c r="N1045" t="s">
        <v>27</v>
      </c>
      <c r="O1045" t="s">
        <v>2915</v>
      </c>
      <c r="P1045" t="s">
        <v>2078</v>
      </c>
      <c r="Q1045">
        <v>0.85</v>
      </c>
    </row>
    <row r="1046" spans="14:17" x14ac:dyDescent="0.45">
      <c r="N1046" t="s">
        <v>27</v>
      </c>
      <c r="O1046" t="s">
        <v>2916</v>
      </c>
      <c r="P1046" t="s">
        <v>2063</v>
      </c>
      <c r="Q1046">
        <v>0.85</v>
      </c>
    </row>
    <row r="1047" spans="14:17" x14ac:dyDescent="0.45">
      <c r="N1047" t="s">
        <v>27</v>
      </c>
      <c r="O1047" t="s">
        <v>2917</v>
      </c>
      <c r="P1047" t="s">
        <v>2053</v>
      </c>
      <c r="Q1047">
        <v>0.85</v>
      </c>
    </row>
    <row r="1048" spans="14:17" x14ac:dyDescent="0.45">
      <c r="N1048" t="s">
        <v>27</v>
      </c>
      <c r="O1048" t="s">
        <v>2918</v>
      </c>
      <c r="P1048" t="s">
        <v>2052</v>
      </c>
      <c r="Q1048">
        <v>0.85</v>
      </c>
    </row>
    <row r="1049" spans="14:17" x14ac:dyDescent="0.45">
      <c r="N1049" t="s">
        <v>27</v>
      </c>
      <c r="O1049" t="s">
        <v>2919</v>
      </c>
      <c r="P1049" t="s">
        <v>2106</v>
      </c>
      <c r="Q1049">
        <v>0.85</v>
      </c>
    </row>
    <row r="1050" spans="14:17" x14ac:dyDescent="0.45">
      <c r="N1050" t="s">
        <v>27</v>
      </c>
      <c r="O1050" t="s">
        <v>2920</v>
      </c>
      <c r="P1050" t="s">
        <v>2055</v>
      </c>
      <c r="Q1050">
        <v>0.85</v>
      </c>
    </row>
    <row r="1051" spans="14:17" x14ac:dyDescent="0.45">
      <c r="N1051" t="s">
        <v>27</v>
      </c>
      <c r="O1051" t="s">
        <v>2921</v>
      </c>
      <c r="P1051" t="s">
        <v>2093</v>
      </c>
      <c r="Q1051">
        <v>0.85</v>
      </c>
    </row>
    <row r="1052" spans="14:17" x14ac:dyDescent="0.45">
      <c r="N1052" t="s">
        <v>27</v>
      </c>
      <c r="O1052" t="s">
        <v>2922</v>
      </c>
      <c r="P1052" t="s">
        <v>2077</v>
      </c>
      <c r="Q1052">
        <v>0.85</v>
      </c>
    </row>
    <row r="1053" spans="14:17" x14ac:dyDescent="0.45">
      <c r="N1053" t="s">
        <v>27</v>
      </c>
      <c r="O1053" t="s">
        <v>2923</v>
      </c>
      <c r="P1053" t="s">
        <v>2101</v>
      </c>
      <c r="Q1053">
        <v>0.85</v>
      </c>
    </row>
    <row r="1054" spans="14:17" x14ac:dyDescent="0.45">
      <c r="N1054" t="s">
        <v>27</v>
      </c>
      <c r="O1054" t="s">
        <v>2924</v>
      </c>
      <c r="P1054" t="s">
        <v>2051</v>
      </c>
      <c r="Q1054">
        <v>0.85</v>
      </c>
    </row>
    <row r="1055" spans="14:17" x14ac:dyDescent="0.45">
      <c r="N1055" t="s">
        <v>27</v>
      </c>
      <c r="O1055" t="s">
        <v>2925</v>
      </c>
      <c r="P1055" t="s">
        <v>2065</v>
      </c>
      <c r="Q1055">
        <v>0.85</v>
      </c>
    </row>
    <row r="1056" spans="14:17" x14ac:dyDescent="0.45">
      <c r="N1056" t="s">
        <v>27</v>
      </c>
      <c r="O1056" t="s">
        <v>2926</v>
      </c>
      <c r="P1056" t="s">
        <v>2083</v>
      </c>
      <c r="Q1056">
        <v>0.85</v>
      </c>
    </row>
    <row r="1057" spans="14:17" x14ac:dyDescent="0.45">
      <c r="N1057" t="s">
        <v>27</v>
      </c>
      <c r="O1057" t="s">
        <v>2927</v>
      </c>
      <c r="P1057" t="s">
        <v>2077</v>
      </c>
      <c r="Q1057">
        <v>0.85</v>
      </c>
    </row>
    <row r="1058" spans="14:17" x14ac:dyDescent="0.45">
      <c r="N1058" t="s">
        <v>27</v>
      </c>
      <c r="O1058" t="s">
        <v>2928</v>
      </c>
      <c r="P1058" t="s">
        <v>2098</v>
      </c>
      <c r="Q1058">
        <v>0.85</v>
      </c>
    </row>
    <row r="1059" spans="14:17" x14ac:dyDescent="0.45">
      <c r="N1059" t="s">
        <v>27</v>
      </c>
      <c r="O1059" t="s">
        <v>2929</v>
      </c>
      <c r="P1059" t="s">
        <v>2080</v>
      </c>
      <c r="Q1059">
        <v>0.85</v>
      </c>
    </row>
    <row r="1060" spans="14:17" x14ac:dyDescent="0.45">
      <c r="N1060" t="s">
        <v>27</v>
      </c>
      <c r="O1060" t="s">
        <v>2930</v>
      </c>
      <c r="P1060" t="s">
        <v>2075</v>
      </c>
      <c r="Q1060">
        <v>0.85</v>
      </c>
    </row>
    <row r="1061" spans="14:17" x14ac:dyDescent="0.45">
      <c r="N1061" t="s">
        <v>27</v>
      </c>
      <c r="O1061" t="s">
        <v>2931</v>
      </c>
      <c r="P1061" t="s">
        <v>2097</v>
      </c>
      <c r="Q1061">
        <v>0.85</v>
      </c>
    </row>
    <row r="1062" spans="14:17" x14ac:dyDescent="0.45">
      <c r="N1062" t="s">
        <v>27</v>
      </c>
      <c r="O1062" t="s">
        <v>2932</v>
      </c>
      <c r="P1062" t="s">
        <v>2096</v>
      </c>
      <c r="Q1062">
        <v>0.85</v>
      </c>
    </row>
    <row r="1063" spans="14:17" x14ac:dyDescent="0.45">
      <c r="N1063" t="s">
        <v>27</v>
      </c>
      <c r="O1063" t="s">
        <v>2933</v>
      </c>
      <c r="P1063" t="s">
        <v>2089</v>
      </c>
      <c r="Q1063">
        <v>0.85</v>
      </c>
    </row>
    <row r="1064" spans="14:17" x14ac:dyDescent="0.45">
      <c r="N1064" t="s">
        <v>27</v>
      </c>
      <c r="O1064" t="s">
        <v>2934</v>
      </c>
      <c r="P1064" t="s">
        <v>2078</v>
      </c>
      <c r="Q1064">
        <v>0.85</v>
      </c>
    </row>
    <row r="1065" spans="14:17" x14ac:dyDescent="0.45">
      <c r="N1065" t="s">
        <v>27</v>
      </c>
      <c r="O1065" t="s">
        <v>2935</v>
      </c>
      <c r="P1065" t="s">
        <v>2107</v>
      </c>
      <c r="Q1065">
        <v>0.85</v>
      </c>
    </row>
    <row r="1066" spans="14:17" x14ac:dyDescent="0.45">
      <c r="N1066" t="s">
        <v>27</v>
      </c>
      <c r="O1066" t="s">
        <v>2936</v>
      </c>
      <c r="P1066" t="s">
        <v>2051</v>
      </c>
      <c r="Q1066">
        <v>0.85</v>
      </c>
    </row>
    <row r="1067" spans="14:17" x14ac:dyDescent="0.45">
      <c r="N1067" t="s">
        <v>27</v>
      </c>
      <c r="O1067" t="s">
        <v>2937</v>
      </c>
      <c r="P1067" t="s">
        <v>2087</v>
      </c>
      <c r="Q1067">
        <v>0.85</v>
      </c>
    </row>
    <row r="1068" spans="14:17" x14ac:dyDescent="0.45">
      <c r="N1068" t="s">
        <v>27</v>
      </c>
      <c r="O1068" t="s">
        <v>2938</v>
      </c>
      <c r="P1068" t="s">
        <v>2098</v>
      </c>
      <c r="Q1068">
        <v>0.85</v>
      </c>
    </row>
    <row r="1069" spans="14:17" x14ac:dyDescent="0.45">
      <c r="N1069" t="s">
        <v>27</v>
      </c>
      <c r="O1069" t="s">
        <v>2939</v>
      </c>
      <c r="P1069" t="s">
        <v>2103</v>
      </c>
      <c r="Q1069">
        <v>0.85</v>
      </c>
    </row>
    <row r="1070" spans="14:17" x14ac:dyDescent="0.45">
      <c r="N1070" t="s">
        <v>27</v>
      </c>
      <c r="O1070" t="s">
        <v>2940</v>
      </c>
      <c r="P1070" t="s">
        <v>2076</v>
      </c>
      <c r="Q1070">
        <v>0.85</v>
      </c>
    </row>
    <row r="1071" spans="14:17" x14ac:dyDescent="0.45">
      <c r="N1071" t="s">
        <v>27</v>
      </c>
      <c r="O1071" t="s">
        <v>2941</v>
      </c>
      <c r="P1071" t="s">
        <v>2052</v>
      </c>
      <c r="Q1071">
        <v>0.85</v>
      </c>
    </row>
    <row r="1072" spans="14:17" x14ac:dyDescent="0.45">
      <c r="N1072" t="s">
        <v>27</v>
      </c>
      <c r="O1072" t="s">
        <v>2942</v>
      </c>
      <c r="P1072" t="s">
        <v>2097</v>
      </c>
      <c r="Q1072">
        <v>0.85</v>
      </c>
    </row>
    <row r="1073" spans="14:17" x14ac:dyDescent="0.45">
      <c r="N1073" t="s">
        <v>27</v>
      </c>
      <c r="O1073" t="s">
        <v>2943</v>
      </c>
      <c r="P1073" t="s">
        <v>2094</v>
      </c>
      <c r="Q1073">
        <v>0.85</v>
      </c>
    </row>
    <row r="1074" spans="14:17" x14ac:dyDescent="0.45">
      <c r="N1074" t="s">
        <v>27</v>
      </c>
      <c r="O1074" t="s">
        <v>2944</v>
      </c>
      <c r="P1074" t="s">
        <v>2103</v>
      </c>
      <c r="Q1074">
        <v>0.85</v>
      </c>
    </row>
    <row r="1075" spans="14:17" x14ac:dyDescent="0.45">
      <c r="N1075" t="s">
        <v>27</v>
      </c>
      <c r="O1075" t="s">
        <v>2945</v>
      </c>
      <c r="P1075" t="s">
        <v>2086</v>
      </c>
      <c r="Q1075">
        <v>0.85</v>
      </c>
    </row>
    <row r="1076" spans="14:17" x14ac:dyDescent="0.45">
      <c r="N1076" t="s">
        <v>27</v>
      </c>
      <c r="O1076" t="s">
        <v>2946</v>
      </c>
      <c r="P1076" t="s">
        <v>2069</v>
      </c>
      <c r="Q1076">
        <v>0.85</v>
      </c>
    </row>
    <row r="1077" spans="14:17" x14ac:dyDescent="0.45">
      <c r="N1077" t="s">
        <v>27</v>
      </c>
      <c r="O1077" t="s">
        <v>2947</v>
      </c>
      <c r="P1077" t="s">
        <v>2089</v>
      </c>
      <c r="Q1077">
        <v>0.85</v>
      </c>
    </row>
    <row r="1078" spans="14:17" x14ac:dyDescent="0.45">
      <c r="N1078" t="s">
        <v>27</v>
      </c>
      <c r="O1078" t="s">
        <v>2948</v>
      </c>
      <c r="P1078" t="s">
        <v>2067</v>
      </c>
      <c r="Q1078">
        <v>0.85</v>
      </c>
    </row>
    <row r="1079" spans="14:17" x14ac:dyDescent="0.45">
      <c r="N1079" t="s">
        <v>27</v>
      </c>
      <c r="O1079" t="s">
        <v>2949</v>
      </c>
      <c r="P1079" t="s">
        <v>2073</v>
      </c>
      <c r="Q1079">
        <v>0.85</v>
      </c>
    </row>
    <row r="1080" spans="14:17" x14ac:dyDescent="0.45">
      <c r="N1080" t="s">
        <v>27</v>
      </c>
      <c r="O1080" t="s">
        <v>2950</v>
      </c>
      <c r="P1080" t="s">
        <v>2104</v>
      </c>
      <c r="Q1080">
        <v>0.85</v>
      </c>
    </row>
    <row r="1081" spans="14:17" x14ac:dyDescent="0.45">
      <c r="N1081" t="s">
        <v>27</v>
      </c>
      <c r="O1081" t="s">
        <v>2951</v>
      </c>
      <c r="P1081" t="s">
        <v>2089</v>
      </c>
      <c r="Q1081">
        <v>0.85</v>
      </c>
    </row>
    <row r="1082" spans="14:17" x14ac:dyDescent="0.45">
      <c r="N1082" t="s">
        <v>27</v>
      </c>
      <c r="O1082" t="s">
        <v>2952</v>
      </c>
      <c r="P1082" t="s">
        <v>2063</v>
      </c>
      <c r="Q1082">
        <v>0.85</v>
      </c>
    </row>
    <row r="1083" spans="14:17" x14ac:dyDescent="0.45">
      <c r="N1083" t="s">
        <v>27</v>
      </c>
      <c r="O1083" t="s">
        <v>2953</v>
      </c>
      <c r="P1083" t="s">
        <v>2087</v>
      </c>
      <c r="Q1083">
        <v>0.85</v>
      </c>
    </row>
    <row r="1084" spans="14:17" x14ac:dyDescent="0.45">
      <c r="N1084" t="s">
        <v>27</v>
      </c>
      <c r="O1084" t="s">
        <v>2954</v>
      </c>
      <c r="P1084" t="s">
        <v>2059</v>
      </c>
      <c r="Q1084">
        <v>0.85</v>
      </c>
    </row>
    <row r="1085" spans="14:17" x14ac:dyDescent="0.45">
      <c r="N1085" t="s">
        <v>27</v>
      </c>
      <c r="O1085" t="s">
        <v>2955</v>
      </c>
      <c r="P1085" t="s">
        <v>2077</v>
      </c>
      <c r="Q1085">
        <v>0.85</v>
      </c>
    </row>
    <row r="1086" spans="14:17" x14ac:dyDescent="0.45">
      <c r="N1086" t="s">
        <v>27</v>
      </c>
      <c r="O1086" t="s">
        <v>2956</v>
      </c>
      <c r="P1086" t="s">
        <v>2078</v>
      </c>
      <c r="Q1086">
        <v>0.85</v>
      </c>
    </row>
    <row r="1087" spans="14:17" x14ac:dyDescent="0.45">
      <c r="N1087" t="s">
        <v>27</v>
      </c>
      <c r="O1087" t="s">
        <v>2957</v>
      </c>
      <c r="P1087" t="s">
        <v>2075</v>
      </c>
      <c r="Q1087">
        <v>0.85</v>
      </c>
    </row>
    <row r="1088" spans="14:17" x14ac:dyDescent="0.45">
      <c r="N1088" t="s">
        <v>27</v>
      </c>
      <c r="O1088" t="s">
        <v>2958</v>
      </c>
      <c r="P1088" t="s">
        <v>2060</v>
      </c>
      <c r="Q1088">
        <v>0.85</v>
      </c>
    </row>
    <row r="1089" spans="14:17" x14ac:dyDescent="0.45">
      <c r="N1089" t="s">
        <v>27</v>
      </c>
      <c r="O1089" t="s">
        <v>2959</v>
      </c>
      <c r="P1089" t="s">
        <v>2088</v>
      </c>
      <c r="Q1089">
        <v>0.85</v>
      </c>
    </row>
    <row r="1090" spans="14:17" x14ac:dyDescent="0.45">
      <c r="N1090" t="s">
        <v>27</v>
      </c>
      <c r="O1090" t="s">
        <v>2960</v>
      </c>
      <c r="P1090" t="s">
        <v>2086</v>
      </c>
      <c r="Q1090">
        <v>0.85</v>
      </c>
    </row>
    <row r="1091" spans="14:17" x14ac:dyDescent="0.45">
      <c r="N1091" t="s">
        <v>27</v>
      </c>
      <c r="O1091" t="s">
        <v>2961</v>
      </c>
      <c r="P1091" t="s">
        <v>2078</v>
      </c>
      <c r="Q1091">
        <v>0.85</v>
      </c>
    </row>
    <row r="1092" spans="14:17" x14ac:dyDescent="0.45">
      <c r="N1092" t="s">
        <v>27</v>
      </c>
      <c r="O1092" t="s">
        <v>2962</v>
      </c>
      <c r="P1092" t="s">
        <v>2090</v>
      </c>
      <c r="Q1092">
        <v>0.85</v>
      </c>
    </row>
    <row r="1093" spans="14:17" x14ac:dyDescent="0.45">
      <c r="N1093" t="s">
        <v>27</v>
      </c>
      <c r="O1093" t="s">
        <v>2963</v>
      </c>
      <c r="P1093" t="s">
        <v>2103</v>
      </c>
      <c r="Q1093">
        <v>0.85</v>
      </c>
    </row>
    <row r="1094" spans="14:17" x14ac:dyDescent="0.45">
      <c r="N1094" t="s">
        <v>27</v>
      </c>
      <c r="O1094" t="s">
        <v>2964</v>
      </c>
      <c r="P1094" t="s">
        <v>2086</v>
      </c>
      <c r="Q1094">
        <v>0.85</v>
      </c>
    </row>
    <row r="1095" spans="14:17" x14ac:dyDescent="0.45">
      <c r="N1095" t="s">
        <v>27</v>
      </c>
      <c r="O1095" t="s">
        <v>2965</v>
      </c>
      <c r="P1095" t="s">
        <v>2087</v>
      </c>
      <c r="Q1095">
        <v>0.85</v>
      </c>
    </row>
    <row r="1096" spans="14:17" x14ac:dyDescent="0.45">
      <c r="N1096" t="s">
        <v>27</v>
      </c>
      <c r="O1096" t="s">
        <v>2966</v>
      </c>
      <c r="P1096" t="s">
        <v>2103</v>
      </c>
      <c r="Q1096">
        <v>0.85</v>
      </c>
    </row>
    <row r="1097" spans="14:17" x14ac:dyDescent="0.45">
      <c r="N1097" t="s">
        <v>27</v>
      </c>
      <c r="O1097" t="s">
        <v>2967</v>
      </c>
      <c r="P1097" t="s">
        <v>2087</v>
      </c>
      <c r="Q1097">
        <v>0.85</v>
      </c>
    </row>
    <row r="1098" spans="14:17" x14ac:dyDescent="0.45">
      <c r="N1098" t="s">
        <v>27</v>
      </c>
      <c r="O1098" t="s">
        <v>2968</v>
      </c>
      <c r="P1098" t="s">
        <v>2075</v>
      </c>
      <c r="Q1098">
        <v>0.85</v>
      </c>
    </row>
    <row r="1099" spans="14:17" x14ac:dyDescent="0.45">
      <c r="N1099" t="s">
        <v>27</v>
      </c>
      <c r="O1099" t="s">
        <v>2969</v>
      </c>
      <c r="P1099" t="s">
        <v>2075</v>
      </c>
      <c r="Q1099">
        <v>0.85</v>
      </c>
    </row>
    <row r="1100" spans="14:17" x14ac:dyDescent="0.45">
      <c r="N1100" t="s">
        <v>27</v>
      </c>
      <c r="O1100" t="s">
        <v>2970</v>
      </c>
      <c r="P1100" t="s">
        <v>2104</v>
      </c>
      <c r="Q1100">
        <v>0.95</v>
      </c>
    </row>
    <row r="1101" spans="14:17" x14ac:dyDescent="0.45">
      <c r="N1101" t="s">
        <v>27</v>
      </c>
      <c r="O1101" t="s">
        <v>2971</v>
      </c>
      <c r="P1101" t="s">
        <v>2089</v>
      </c>
      <c r="Q1101">
        <v>0.95</v>
      </c>
    </row>
    <row r="1102" spans="14:17" x14ac:dyDescent="0.45">
      <c r="N1102" t="s">
        <v>27</v>
      </c>
      <c r="O1102" t="s">
        <v>2972</v>
      </c>
      <c r="P1102" t="s">
        <v>2071</v>
      </c>
      <c r="Q1102">
        <v>0.95</v>
      </c>
    </row>
    <row r="1103" spans="14:17" x14ac:dyDescent="0.45">
      <c r="N1103" t="s">
        <v>27</v>
      </c>
      <c r="O1103" t="s">
        <v>2973</v>
      </c>
      <c r="P1103" t="s">
        <v>2089</v>
      </c>
      <c r="Q1103">
        <v>0.95</v>
      </c>
    </row>
    <row r="1104" spans="14:17" x14ac:dyDescent="0.45">
      <c r="N1104" t="s">
        <v>27</v>
      </c>
      <c r="O1104" t="s">
        <v>2974</v>
      </c>
      <c r="P1104" t="s">
        <v>2057</v>
      </c>
      <c r="Q1104">
        <v>0.95</v>
      </c>
    </row>
    <row r="1105" spans="14:17" x14ac:dyDescent="0.45">
      <c r="N1105" t="s">
        <v>27</v>
      </c>
      <c r="O1105" t="s">
        <v>2975</v>
      </c>
      <c r="P1105" t="s">
        <v>2051</v>
      </c>
      <c r="Q1105">
        <v>0.95</v>
      </c>
    </row>
    <row r="1106" spans="14:17" x14ac:dyDescent="0.45">
      <c r="N1106" t="s">
        <v>27</v>
      </c>
      <c r="O1106" t="s">
        <v>2976</v>
      </c>
      <c r="P1106" t="s">
        <v>2052</v>
      </c>
      <c r="Q1106">
        <v>0.95</v>
      </c>
    </row>
    <row r="1107" spans="14:17" x14ac:dyDescent="0.45">
      <c r="N1107" t="s">
        <v>27</v>
      </c>
      <c r="O1107" t="s">
        <v>2977</v>
      </c>
      <c r="P1107" t="s">
        <v>2098</v>
      </c>
      <c r="Q1107">
        <v>0.95</v>
      </c>
    </row>
    <row r="1108" spans="14:17" x14ac:dyDescent="0.45">
      <c r="N1108" t="s">
        <v>27</v>
      </c>
      <c r="O1108" t="s">
        <v>2978</v>
      </c>
      <c r="P1108" t="s">
        <v>2051</v>
      </c>
      <c r="Q1108">
        <v>0.95</v>
      </c>
    </row>
    <row r="1109" spans="14:17" x14ac:dyDescent="0.45">
      <c r="N1109" t="s">
        <v>27</v>
      </c>
      <c r="O1109" t="s">
        <v>2979</v>
      </c>
      <c r="P1109" t="s">
        <v>2063</v>
      </c>
      <c r="Q1109">
        <v>0.95</v>
      </c>
    </row>
    <row r="1110" spans="14:17" x14ac:dyDescent="0.45">
      <c r="N1110" t="s">
        <v>27</v>
      </c>
      <c r="O1110" t="s">
        <v>2980</v>
      </c>
      <c r="P1110" t="s">
        <v>2089</v>
      </c>
      <c r="Q1110">
        <v>0.95</v>
      </c>
    </row>
    <row r="1111" spans="14:17" x14ac:dyDescent="0.45">
      <c r="N1111" t="s">
        <v>27</v>
      </c>
      <c r="O1111" t="s">
        <v>2981</v>
      </c>
      <c r="P1111" t="s">
        <v>2052</v>
      </c>
      <c r="Q1111">
        <v>0.95</v>
      </c>
    </row>
    <row r="1112" spans="14:17" x14ac:dyDescent="0.45">
      <c r="N1112" t="s">
        <v>27</v>
      </c>
      <c r="O1112" t="s">
        <v>2982</v>
      </c>
      <c r="P1112" t="s">
        <v>2089</v>
      </c>
      <c r="Q1112">
        <v>0.95</v>
      </c>
    </row>
    <row r="1113" spans="14:17" x14ac:dyDescent="0.45">
      <c r="N1113" t="s">
        <v>27</v>
      </c>
      <c r="O1113" t="s">
        <v>2983</v>
      </c>
      <c r="P1113" t="s">
        <v>2071</v>
      </c>
      <c r="Q1113">
        <v>0.95</v>
      </c>
    </row>
    <row r="1114" spans="14:17" x14ac:dyDescent="0.45">
      <c r="N1114" t="s">
        <v>27</v>
      </c>
      <c r="O1114" t="s">
        <v>2984</v>
      </c>
      <c r="P1114" t="s">
        <v>2058</v>
      </c>
      <c r="Q1114">
        <v>0.95</v>
      </c>
    </row>
    <row r="1115" spans="14:17" x14ac:dyDescent="0.45">
      <c r="N1115" t="s">
        <v>27</v>
      </c>
      <c r="O1115" t="s">
        <v>2985</v>
      </c>
      <c r="P1115" t="s">
        <v>2089</v>
      </c>
      <c r="Q1115">
        <v>0.95</v>
      </c>
    </row>
    <row r="1116" spans="14:17" x14ac:dyDescent="0.45">
      <c r="N1116" t="s">
        <v>27</v>
      </c>
      <c r="O1116" t="s">
        <v>2986</v>
      </c>
      <c r="P1116" t="s">
        <v>2071</v>
      </c>
      <c r="Q1116">
        <v>0.95</v>
      </c>
    </row>
    <row r="1117" spans="14:17" x14ac:dyDescent="0.45">
      <c r="N1117" t="s">
        <v>27</v>
      </c>
      <c r="O1117" t="s">
        <v>2987</v>
      </c>
      <c r="P1117" t="s">
        <v>2071</v>
      </c>
      <c r="Q1117">
        <v>0.85</v>
      </c>
    </row>
    <row r="1118" spans="14:17" x14ac:dyDescent="0.45">
      <c r="N1118" t="s">
        <v>27</v>
      </c>
      <c r="O1118" t="s">
        <v>2988</v>
      </c>
      <c r="P1118" t="s">
        <v>2077</v>
      </c>
      <c r="Q1118">
        <v>0.85</v>
      </c>
    </row>
    <row r="1119" spans="14:17" x14ac:dyDescent="0.45">
      <c r="N1119" t="s">
        <v>27</v>
      </c>
      <c r="O1119" t="s">
        <v>2989</v>
      </c>
      <c r="P1119" t="s">
        <v>2109</v>
      </c>
      <c r="Q1119">
        <v>0.85</v>
      </c>
    </row>
    <row r="1120" spans="14:17" x14ac:dyDescent="0.45">
      <c r="N1120" t="s">
        <v>27</v>
      </c>
      <c r="O1120" t="s">
        <v>2990</v>
      </c>
      <c r="P1120" t="s">
        <v>2052</v>
      </c>
      <c r="Q1120">
        <v>0.85</v>
      </c>
    </row>
    <row r="1121" spans="14:17" x14ac:dyDescent="0.45">
      <c r="N1121" t="s">
        <v>27</v>
      </c>
      <c r="O1121" t="s">
        <v>2991</v>
      </c>
      <c r="P1121" t="s">
        <v>2055</v>
      </c>
      <c r="Q1121">
        <v>0.85</v>
      </c>
    </row>
    <row r="1122" spans="14:17" x14ac:dyDescent="0.45">
      <c r="N1122" t="s">
        <v>27</v>
      </c>
      <c r="O1122" t="s">
        <v>2992</v>
      </c>
      <c r="P1122" t="s">
        <v>2087</v>
      </c>
      <c r="Q1122">
        <v>0.85</v>
      </c>
    </row>
    <row r="1123" spans="14:17" x14ac:dyDescent="0.45">
      <c r="N1123" t="s">
        <v>27</v>
      </c>
      <c r="O1123" t="s">
        <v>2993</v>
      </c>
      <c r="P1123" t="s">
        <v>2071</v>
      </c>
      <c r="Q1123">
        <v>0.85</v>
      </c>
    </row>
    <row r="1124" spans="14:17" x14ac:dyDescent="0.45">
      <c r="N1124" t="s">
        <v>27</v>
      </c>
      <c r="O1124" t="s">
        <v>2994</v>
      </c>
      <c r="P1124" t="s">
        <v>2092</v>
      </c>
      <c r="Q1124">
        <v>0.85</v>
      </c>
    </row>
    <row r="1125" spans="14:17" x14ac:dyDescent="0.45">
      <c r="N1125" t="s">
        <v>27</v>
      </c>
      <c r="O1125" t="s">
        <v>2995</v>
      </c>
      <c r="P1125" t="s">
        <v>2086</v>
      </c>
      <c r="Q1125">
        <v>0.85</v>
      </c>
    </row>
    <row r="1126" spans="14:17" x14ac:dyDescent="0.45">
      <c r="N1126" t="s">
        <v>27</v>
      </c>
      <c r="O1126" t="s">
        <v>2996</v>
      </c>
      <c r="P1126" t="s">
        <v>2086</v>
      </c>
      <c r="Q1126">
        <v>0.85</v>
      </c>
    </row>
    <row r="1127" spans="14:17" x14ac:dyDescent="0.45">
      <c r="N1127" t="s">
        <v>27</v>
      </c>
      <c r="O1127" t="s">
        <v>2997</v>
      </c>
      <c r="P1127" t="s">
        <v>2081</v>
      </c>
      <c r="Q1127">
        <v>0.85</v>
      </c>
    </row>
    <row r="1128" spans="14:17" x14ac:dyDescent="0.45">
      <c r="N1128" t="s">
        <v>27</v>
      </c>
      <c r="O1128" t="s">
        <v>2998</v>
      </c>
      <c r="P1128" t="s">
        <v>2093</v>
      </c>
      <c r="Q1128">
        <v>0.85</v>
      </c>
    </row>
    <row r="1129" spans="14:17" x14ac:dyDescent="0.45">
      <c r="N1129" t="s">
        <v>27</v>
      </c>
      <c r="O1129" t="s">
        <v>2999</v>
      </c>
      <c r="P1129" t="s">
        <v>2083</v>
      </c>
      <c r="Q1129">
        <v>0.85</v>
      </c>
    </row>
    <row r="1130" spans="14:17" x14ac:dyDescent="0.45">
      <c r="N1130" t="s">
        <v>27</v>
      </c>
      <c r="O1130" t="s">
        <v>3000</v>
      </c>
      <c r="P1130" t="s">
        <v>2070</v>
      </c>
      <c r="Q1130">
        <v>0.85</v>
      </c>
    </row>
    <row r="1131" spans="14:17" x14ac:dyDescent="0.45">
      <c r="N1131" t="s">
        <v>27</v>
      </c>
      <c r="O1131" t="s">
        <v>3001</v>
      </c>
      <c r="P1131" t="s">
        <v>2107</v>
      </c>
      <c r="Q1131">
        <v>0.85</v>
      </c>
    </row>
    <row r="1132" spans="14:17" x14ac:dyDescent="0.45">
      <c r="N1132" t="s">
        <v>27</v>
      </c>
      <c r="O1132" t="s">
        <v>3002</v>
      </c>
      <c r="P1132" t="s">
        <v>2061</v>
      </c>
      <c r="Q1132">
        <v>0.85</v>
      </c>
    </row>
    <row r="1133" spans="14:17" x14ac:dyDescent="0.45">
      <c r="N1133" t="s">
        <v>27</v>
      </c>
      <c r="O1133" t="s">
        <v>3003</v>
      </c>
      <c r="P1133" t="s">
        <v>2106</v>
      </c>
      <c r="Q1133">
        <v>0.85</v>
      </c>
    </row>
    <row r="1134" spans="14:17" x14ac:dyDescent="0.45">
      <c r="N1134" t="s">
        <v>27</v>
      </c>
      <c r="O1134" t="s">
        <v>3004</v>
      </c>
      <c r="P1134" t="s">
        <v>2092</v>
      </c>
      <c r="Q1134">
        <v>0.85</v>
      </c>
    </row>
    <row r="1135" spans="14:17" x14ac:dyDescent="0.45">
      <c r="N1135" t="s">
        <v>27</v>
      </c>
      <c r="O1135" t="s">
        <v>3005</v>
      </c>
      <c r="P1135" t="s">
        <v>2089</v>
      </c>
      <c r="Q1135">
        <v>0.85</v>
      </c>
    </row>
    <row r="1136" spans="14:17" x14ac:dyDescent="0.45">
      <c r="N1136" t="s">
        <v>27</v>
      </c>
      <c r="O1136" t="s">
        <v>3006</v>
      </c>
      <c r="P1136" t="s">
        <v>2058</v>
      </c>
      <c r="Q1136">
        <v>0.85</v>
      </c>
    </row>
    <row r="1137" spans="14:17" x14ac:dyDescent="0.45">
      <c r="N1137" t="s">
        <v>27</v>
      </c>
      <c r="O1137" t="s">
        <v>3007</v>
      </c>
      <c r="P1137" t="s">
        <v>2102</v>
      </c>
      <c r="Q1137">
        <v>0.85</v>
      </c>
    </row>
    <row r="1138" spans="14:17" x14ac:dyDescent="0.45">
      <c r="N1138" t="s">
        <v>27</v>
      </c>
      <c r="O1138" t="s">
        <v>3008</v>
      </c>
      <c r="P1138" t="s">
        <v>2099</v>
      </c>
      <c r="Q1138">
        <v>0.85</v>
      </c>
    </row>
    <row r="1139" spans="14:17" x14ac:dyDescent="0.45">
      <c r="N1139" t="s">
        <v>27</v>
      </c>
      <c r="O1139" t="s">
        <v>3009</v>
      </c>
      <c r="P1139" t="s">
        <v>2068</v>
      </c>
      <c r="Q1139">
        <v>0.85</v>
      </c>
    </row>
    <row r="1140" spans="14:17" x14ac:dyDescent="0.45">
      <c r="N1140" t="s">
        <v>27</v>
      </c>
      <c r="O1140" t="s">
        <v>3010</v>
      </c>
      <c r="P1140" t="s">
        <v>2100</v>
      </c>
      <c r="Q1140">
        <v>0.85</v>
      </c>
    </row>
    <row r="1141" spans="14:17" x14ac:dyDescent="0.45">
      <c r="N1141" t="s">
        <v>27</v>
      </c>
      <c r="O1141" t="s">
        <v>3011</v>
      </c>
      <c r="P1141" t="s">
        <v>2059</v>
      </c>
      <c r="Q1141">
        <v>0.85</v>
      </c>
    </row>
    <row r="1142" spans="14:17" x14ac:dyDescent="0.45">
      <c r="N1142" t="s">
        <v>27</v>
      </c>
      <c r="O1142" t="s">
        <v>3012</v>
      </c>
      <c r="P1142" t="s">
        <v>2075</v>
      </c>
      <c r="Q1142">
        <v>0.85</v>
      </c>
    </row>
    <row r="1143" spans="14:17" x14ac:dyDescent="0.45">
      <c r="N1143" t="s">
        <v>27</v>
      </c>
      <c r="O1143" t="s">
        <v>3013</v>
      </c>
      <c r="P1143" t="s">
        <v>2058</v>
      </c>
      <c r="Q1143">
        <v>0.85</v>
      </c>
    </row>
    <row r="1144" spans="14:17" x14ac:dyDescent="0.45">
      <c r="N1144" t="s">
        <v>27</v>
      </c>
      <c r="O1144" t="s">
        <v>3014</v>
      </c>
      <c r="P1144" t="s">
        <v>2086</v>
      </c>
      <c r="Q1144">
        <v>0.85</v>
      </c>
    </row>
    <row r="1145" spans="14:17" x14ac:dyDescent="0.45">
      <c r="N1145" t="s">
        <v>27</v>
      </c>
      <c r="O1145" t="s">
        <v>3015</v>
      </c>
      <c r="P1145" t="s">
        <v>2055</v>
      </c>
      <c r="Q1145">
        <v>0.85</v>
      </c>
    </row>
    <row r="1146" spans="14:17" x14ac:dyDescent="0.45">
      <c r="N1146" t="s">
        <v>27</v>
      </c>
      <c r="O1146" t="s">
        <v>3016</v>
      </c>
      <c r="P1146" t="s">
        <v>2086</v>
      </c>
      <c r="Q1146">
        <v>0.85</v>
      </c>
    </row>
    <row r="1147" spans="14:17" x14ac:dyDescent="0.45">
      <c r="N1147" t="s">
        <v>27</v>
      </c>
      <c r="O1147" t="s">
        <v>3017</v>
      </c>
      <c r="P1147" t="s">
        <v>2099</v>
      </c>
      <c r="Q1147">
        <v>0.85</v>
      </c>
    </row>
    <row r="1148" spans="14:17" x14ac:dyDescent="0.45">
      <c r="N1148" t="s">
        <v>27</v>
      </c>
      <c r="O1148" t="s">
        <v>3018</v>
      </c>
      <c r="P1148" t="s">
        <v>2102</v>
      </c>
      <c r="Q1148">
        <v>0.85</v>
      </c>
    </row>
    <row r="1149" spans="14:17" x14ac:dyDescent="0.45">
      <c r="N1149" t="s">
        <v>27</v>
      </c>
      <c r="O1149" t="s">
        <v>3019</v>
      </c>
      <c r="P1149" t="s">
        <v>2086</v>
      </c>
      <c r="Q1149">
        <v>0.85</v>
      </c>
    </row>
    <row r="1150" spans="14:17" x14ac:dyDescent="0.45">
      <c r="N1150" t="s">
        <v>27</v>
      </c>
      <c r="O1150" t="s">
        <v>3020</v>
      </c>
      <c r="P1150" t="s">
        <v>2052</v>
      </c>
      <c r="Q1150">
        <v>0.85</v>
      </c>
    </row>
    <row r="1151" spans="14:17" x14ac:dyDescent="0.45">
      <c r="N1151" t="s">
        <v>27</v>
      </c>
      <c r="O1151" t="s">
        <v>3021</v>
      </c>
      <c r="P1151" t="s">
        <v>2102</v>
      </c>
      <c r="Q1151">
        <v>0.85</v>
      </c>
    </row>
    <row r="1152" spans="14:17" x14ac:dyDescent="0.45">
      <c r="N1152" t="s">
        <v>27</v>
      </c>
      <c r="O1152" t="s">
        <v>3022</v>
      </c>
      <c r="P1152" t="s">
        <v>2051</v>
      </c>
      <c r="Q1152">
        <v>0.85</v>
      </c>
    </row>
    <row r="1153" spans="14:17" x14ac:dyDescent="0.45">
      <c r="N1153" t="s">
        <v>27</v>
      </c>
      <c r="O1153" t="s">
        <v>3023</v>
      </c>
      <c r="P1153" t="s">
        <v>2059</v>
      </c>
      <c r="Q1153">
        <v>0.85</v>
      </c>
    </row>
    <row r="1154" spans="14:17" x14ac:dyDescent="0.45">
      <c r="N1154" t="s">
        <v>27</v>
      </c>
      <c r="O1154" t="s">
        <v>3024</v>
      </c>
      <c r="P1154" t="s">
        <v>2101</v>
      </c>
      <c r="Q1154">
        <v>0.85</v>
      </c>
    </row>
    <row r="1155" spans="14:17" x14ac:dyDescent="0.45">
      <c r="N1155" t="s">
        <v>27</v>
      </c>
      <c r="O1155" t="s">
        <v>3025</v>
      </c>
      <c r="P1155" t="s">
        <v>2076</v>
      </c>
      <c r="Q1155">
        <v>0.85</v>
      </c>
    </row>
    <row r="1156" spans="14:17" x14ac:dyDescent="0.45">
      <c r="N1156" t="s">
        <v>27</v>
      </c>
      <c r="O1156" t="s">
        <v>3026</v>
      </c>
      <c r="P1156" t="s">
        <v>2078</v>
      </c>
      <c r="Q1156">
        <v>0.85</v>
      </c>
    </row>
    <row r="1157" spans="14:17" x14ac:dyDescent="0.45">
      <c r="N1157" t="s">
        <v>27</v>
      </c>
      <c r="O1157" t="s">
        <v>3027</v>
      </c>
      <c r="P1157" t="s">
        <v>2092</v>
      </c>
      <c r="Q1157">
        <v>0.85</v>
      </c>
    </row>
    <row r="1158" spans="14:17" x14ac:dyDescent="0.45">
      <c r="N1158" t="s">
        <v>27</v>
      </c>
      <c r="O1158" t="s">
        <v>3028</v>
      </c>
      <c r="P1158" t="s">
        <v>2078</v>
      </c>
      <c r="Q1158">
        <v>0.85</v>
      </c>
    </row>
    <row r="1159" spans="14:17" x14ac:dyDescent="0.45">
      <c r="N1159" t="s">
        <v>27</v>
      </c>
      <c r="O1159" t="s">
        <v>3029</v>
      </c>
      <c r="P1159" t="s">
        <v>2103</v>
      </c>
      <c r="Q1159">
        <v>0.85</v>
      </c>
    </row>
    <row r="1160" spans="14:17" x14ac:dyDescent="0.45">
      <c r="N1160" t="s">
        <v>27</v>
      </c>
      <c r="O1160" t="s">
        <v>3030</v>
      </c>
      <c r="P1160" t="s">
        <v>2101</v>
      </c>
      <c r="Q1160">
        <v>0.85</v>
      </c>
    </row>
    <row r="1161" spans="14:17" x14ac:dyDescent="0.45">
      <c r="N1161" t="s">
        <v>27</v>
      </c>
      <c r="O1161" t="s">
        <v>3031</v>
      </c>
      <c r="P1161" t="s">
        <v>2086</v>
      </c>
      <c r="Q1161">
        <v>0.85</v>
      </c>
    </row>
    <row r="1162" spans="14:17" x14ac:dyDescent="0.45">
      <c r="N1162" t="s">
        <v>27</v>
      </c>
      <c r="O1162" t="s">
        <v>3032</v>
      </c>
      <c r="P1162" t="s">
        <v>2092</v>
      </c>
      <c r="Q1162">
        <v>0.85</v>
      </c>
    </row>
    <row r="1163" spans="14:17" x14ac:dyDescent="0.45">
      <c r="N1163" t="s">
        <v>27</v>
      </c>
      <c r="O1163" t="s">
        <v>3033</v>
      </c>
      <c r="P1163" t="s">
        <v>2069</v>
      </c>
      <c r="Q1163">
        <v>0.85</v>
      </c>
    </row>
    <row r="1164" spans="14:17" x14ac:dyDescent="0.45">
      <c r="N1164" t="s">
        <v>27</v>
      </c>
      <c r="O1164" t="s">
        <v>3034</v>
      </c>
      <c r="P1164" t="s">
        <v>2086</v>
      </c>
      <c r="Q1164">
        <v>0.85</v>
      </c>
    </row>
    <row r="1165" spans="14:17" x14ac:dyDescent="0.45">
      <c r="N1165" t="s">
        <v>27</v>
      </c>
      <c r="O1165" t="s">
        <v>3035</v>
      </c>
      <c r="P1165" t="s">
        <v>2093</v>
      </c>
      <c r="Q1165">
        <v>0.85</v>
      </c>
    </row>
    <row r="1166" spans="14:17" x14ac:dyDescent="0.45">
      <c r="N1166" t="s">
        <v>27</v>
      </c>
      <c r="O1166" t="s">
        <v>3036</v>
      </c>
      <c r="P1166" t="s">
        <v>2083</v>
      </c>
      <c r="Q1166">
        <v>0.85</v>
      </c>
    </row>
    <row r="1167" spans="14:17" x14ac:dyDescent="0.45">
      <c r="N1167" t="s">
        <v>27</v>
      </c>
      <c r="O1167" t="s">
        <v>3037</v>
      </c>
      <c r="P1167" t="s">
        <v>2089</v>
      </c>
      <c r="Q1167">
        <v>0.85</v>
      </c>
    </row>
    <row r="1168" spans="14:17" x14ac:dyDescent="0.45">
      <c r="N1168" t="s">
        <v>27</v>
      </c>
      <c r="O1168" t="s">
        <v>3038</v>
      </c>
      <c r="P1168" t="s">
        <v>2058</v>
      </c>
      <c r="Q1168">
        <v>0.85</v>
      </c>
    </row>
    <row r="1169" spans="14:17" x14ac:dyDescent="0.45">
      <c r="N1169" t="s">
        <v>27</v>
      </c>
      <c r="O1169" t="s">
        <v>3039</v>
      </c>
      <c r="P1169" t="s">
        <v>2089</v>
      </c>
      <c r="Q1169">
        <v>0.85</v>
      </c>
    </row>
    <row r="1170" spans="14:17" x14ac:dyDescent="0.45">
      <c r="N1170" t="s">
        <v>27</v>
      </c>
      <c r="O1170" t="s">
        <v>3040</v>
      </c>
      <c r="P1170" t="s">
        <v>2055</v>
      </c>
      <c r="Q1170">
        <v>0.85</v>
      </c>
    </row>
    <row r="1171" spans="14:17" x14ac:dyDescent="0.45">
      <c r="N1171" t="s">
        <v>27</v>
      </c>
      <c r="O1171" t="s">
        <v>3041</v>
      </c>
      <c r="P1171" t="s">
        <v>2097</v>
      </c>
      <c r="Q1171">
        <v>0.85</v>
      </c>
    </row>
    <row r="1172" spans="14:17" x14ac:dyDescent="0.45">
      <c r="N1172" t="s">
        <v>27</v>
      </c>
      <c r="O1172" t="s">
        <v>3042</v>
      </c>
      <c r="P1172" t="s">
        <v>2076</v>
      </c>
      <c r="Q1172">
        <v>0.85</v>
      </c>
    </row>
    <row r="1173" spans="14:17" x14ac:dyDescent="0.45">
      <c r="N1173" t="s">
        <v>27</v>
      </c>
      <c r="O1173" t="s">
        <v>3043</v>
      </c>
      <c r="P1173" t="s">
        <v>2102</v>
      </c>
      <c r="Q1173">
        <v>0.85</v>
      </c>
    </row>
    <row r="1174" spans="14:17" x14ac:dyDescent="0.45">
      <c r="N1174" t="s">
        <v>27</v>
      </c>
      <c r="O1174" t="s">
        <v>3044</v>
      </c>
      <c r="P1174" t="s">
        <v>2071</v>
      </c>
      <c r="Q1174">
        <v>0.85</v>
      </c>
    </row>
    <row r="1175" spans="14:17" x14ac:dyDescent="0.45">
      <c r="N1175" t="s">
        <v>27</v>
      </c>
      <c r="O1175" t="s">
        <v>3045</v>
      </c>
      <c r="P1175" t="s">
        <v>2086</v>
      </c>
      <c r="Q1175">
        <v>0.85</v>
      </c>
    </row>
    <row r="1176" spans="14:17" x14ac:dyDescent="0.45">
      <c r="N1176" t="s">
        <v>27</v>
      </c>
      <c r="O1176" t="s">
        <v>3046</v>
      </c>
      <c r="P1176" t="s">
        <v>2074</v>
      </c>
      <c r="Q1176">
        <v>0.85</v>
      </c>
    </row>
    <row r="1177" spans="14:17" x14ac:dyDescent="0.45">
      <c r="N1177" t="s">
        <v>27</v>
      </c>
      <c r="O1177" t="s">
        <v>3047</v>
      </c>
      <c r="P1177" t="s">
        <v>2076</v>
      </c>
      <c r="Q1177">
        <v>0.85</v>
      </c>
    </row>
    <row r="1178" spans="14:17" x14ac:dyDescent="0.45">
      <c r="N1178" t="s">
        <v>27</v>
      </c>
      <c r="O1178" t="s">
        <v>3048</v>
      </c>
      <c r="P1178" t="s">
        <v>2052</v>
      </c>
      <c r="Q1178">
        <v>0.85</v>
      </c>
    </row>
    <row r="1179" spans="14:17" x14ac:dyDescent="0.45">
      <c r="N1179" t="s">
        <v>27</v>
      </c>
      <c r="O1179" t="s">
        <v>3049</v>
      </c>
      <c r="P1179" t="s">
        <v>2079</v>
      </c>
      <c r="Q1179">
        <v>0.85</v>
      </c>
    </row>
    <row r="1180" spans="14:17" x14ac:dyDescent="0.45">
      <c r="N1180" t="s">
        <v>27</v>
      </c>
      <c r="O1180" t="s">
        <v>3050</v>
      </c>
      <c r="P1180" t="s">
        <v>2089</v>
      </c>
      <c r="Q1180">
        <v>0.85</v>
      </c>
    </row>
    <row r="1181" spans="14:17" x14ac:dyDescent="0.45">
      <c r="N1181" t="s">
        <v>27</v>
      </c>
      <c r="O1181" t="s">
        <v>3051</v>
      </c>
      <c r="P1181" t="s">
        <v>2106</v>
      </c>
      <c r="Q1181">
        <v>0.85</v>
      </c>
    </row>
    <row r="1182" spans="14:17" x14ac:dyDescent="0.45">
      <c r="N1182" t="s">
        <v>27</v>
      </c>
      <c r="O1182" t="s">
        <v>3052</v>
      </c>
      <c r="P1182" t="s">
        <v>2059</v>
      </c>
      <c r="Q1182">
        <v>0.85</v>
      </c>
    </row>
    <row r="1183" spans="14:17" x14ac:dyDescent="0.45">
      <c r="N1183" t="s">
        <v>27</v>
      </c>
      <c r="O1183" t="s">
        <v>3053</v>
      </c>
      <c r="P1183" t="s">
        <v>2065</v>
      </c>
      <c r="Q1183">
        <v>0.85</v>
      </c>
    </row>
    <row r="1184" spans="14:17" x14ac:dyDescent="0.45">
      <c r="N1184" t="s">
        <v>27</v>
      </c>
      <c r="O1184" t="s">
        <v>3054</v>
      </c>
      <c r="P1184" t="s">
        <v>2089</v>
      </c>
      <c r="Q1184">
        <v>0.85</v>
      </c>
    </row>
    <row r="1185" spans="14:17" x14ac:dyDescent="0.45">
      <c r="N1185" t="s">
        <v>27</v>
      </c>
      <c r="O1185" t="s">
        <v>3055</v>
      </c>
      <c r="P1185" t="s">
        <v>2107</v>
      </c>
      <c r="Q1185">
        <v>0.85</v>
      </c>
    </row>
    <row r="1186" spans="14:17" x14ac:dyDescent="0.45">
      <c r="N1186" t="s">
        <v>27</v>
      </c>
      <c r="O1186" t="s">
        <v>3056</v>
      </c>
      <c r="P1186" t="s">
        <v>2078</v>
      </c>
      <c r="Q1186">
        <v>0.85</v>
      </c>
    </row>
    <row r="1187" spans="14:17" x14ac:dyDescent="0.45">
      <c r="N1187" t="s">
        <v>27</v>
      </c>
      <c r="O1187" t="s">
        <v>3057</v>
      </c>
      <c r="P1187" t="s">
        <v>2073</v>
      </c>
      <c r="Q1187">
        <v>0.85</v>
      </c>
    </row>
    <row r="1188" spans="14:17" x14ac:dyDescent="0.45">
      <c r="N1188" t="s">
        <v>27</v>
      </c>
      <c r="O1188" t="s">
        <v>3058</v>
      </c>
      <c r="P1188" t="s">
        <v>2106</v>
      </c>
      <c r="Q1188">
        <v>0.85</v>
      </c>
    </row>
    <row r="1189" spans="14:17" x14ac:dyDescent="0.45">
      <c r="N1189" t="s">
        <v>27</v>
      </c>
      <c r="O1189" t="s">
        <v>3059</v>
      </c>
      <c r="P1189" t="s">
        <v>2092</v>
      </c>
      <c r="Q1189">
        <v>0.85</v>
      </c>
    </row>
    <row r="1190" spans="14:17" x14ac:dyDescent="0.45">
      <c r="N1190" t="s">
        <v>27</v>
      </c>
      <c r="O1190" t="s">
        <v>3060</v>
      </c>
      <c r="P1190" t="s">
        <v>2057</v>
      </c>
      <c r="Q1190">
        <v>0.85</v>
      </c>
    </row>
    <row r="1191" spans="14:17" x14ac:dyDescent="0.45">
      <c r="N1191" t="s">
        <v>27</v>
      </c>
      <c r="O1191" t="s">
        <v>3061</v>
      </c>
      <c r="P1191" t="s">
        <v>2078</v>
      </c>
      <c r="Q1191">
        <v>0.85</v>
      </c>
    </row>
    <row r="1192" spans="14:17" x14ac:dyDescent="0.45">
      <c r="N1192" t="s">
        <v>27</v>
      </c>
      <c r="O1192" t="s">
        <v>3062</v>
      </c>
      <c r="P1192" t="s">
        <v>2076</v>
      </c>
      <c r="Q1192">
        <v>0.85</v>
      </c>
    </row>
    <row r="1193" spans="14:17" x14ac:dyDescent="0.45">
      <c r="N1193" t="s">
        <v>27</v>
      </c>
      <c r="O1193" t="s">
        <v>3063</v>
      </c>
      <c r="P1193" t="s">
        <v>2052</v>
      </c>
      <c r="Q1193">
        <v>0.85</v>
      </c>
    </row>
    <row r="1194" spans="14:17" x14ac:dyDescent="0.45">
      <c r="N1194" t="s">
        <v>27</v>
      </c>
      <c r="O1194" t="s">
        <v>3064</v>
      </c>
      <c r="P1194" t="s">
        <v>2106</v>
      </c>
      <c r="Q1194">
        <v>0.85</v>
      </c>
    </row>
    <row r="1195" spans="14:17" x14ac:dyDescent="0.45">
      <c r="N1195" t="s">
        <v>27</v>
      </c>
      <c r="O1195" t="s">
        <v>3065</v>
      </c>
      <c r="P1195" t="s">
        <v>2096</v>
      </c>
      <c r="Q1195">
        <v>0.85</v>
      </c>
    </row>
    <row r="1196" spans="14:17" x14ac:dyDescent="0.45">
      <c r="N1196" t="s">
        <v>27</v>
      </c>
      <c r="O1196" t="s">
        <v>3066</v>
      </c>
      <c r="P1196" t="s">
        <v>2086</v>
      </c>
      <c r="Q1196">
        <v>0.85</v>
      </c>
    </row>
    <row r="1197" spans="14:17" x14ac:dyDescent="0.45">
      <c r="N1197" t="s">
        <v>27</v>
      </c>
      <c r="O1197" t="s">
        <v>3067</v>
      </c>
      <c r="P1197" t="s">
        <v>2106</v>
      </c>
      <c r="Q1197">
        <v>0.85</v>
      </c>
    </row>
    <row r="1198" spans="14:17" x14ac:dyDescent="0.45">
      <c r="N1198" t="s">
        <v>27</v>
      </c>
      <c r="O1198" t="s">
        <v>3068</v>
      </c>
      <c r="P1198" t="s">
        <v>2075</v>
      </c>
      <c r="Q1198">
        <v>0.85</v>
      </c>
    </row>
    <row r="1199" spans="14:17" x14ac:dyDescent="0.45">
      <c r="N1199" t="s">
        <v>27</v>
      </c>
      <c r="O1199" t="s">
        <v>3069</v>
      </c>
      <c r="P1199" t="s">
        <v>2065</v>
      </c>
      <c r="Q1199">
        <v>0.85</v>
      </c>
    </row>
    <row r="1200" spans="14:17" x14ac:dyDescent="0.45">
      <c r="N1200" t="s">
        <v>27</v>
      </c>
      <c r="O1200" t="s">
        <v>3070</v>
      </c>
      <c r="P1200" t="s">
        <v>2086</v>
      </c>
      <c r="Q1200">
        <v>0.85</v>
      </c>
    </row>
    <row r="1201" spans="14:17" x14ac:dyDescent="0.45">
      <c r="N1201" t="s">
        <v>27</v>
      </c>
      <c r="O1201" t="s">
        <v>3071</v>
      </c>
      <c r="P1201" t="s">
        <v>2077</v>
      </c>
      <c r="Q1201">
        <v>0.85</v>
      </c>
    </row>
    <row r="1202" spans="14:17" x14ac:dyDescent="0.45">
      <c r="N1202" t="s">
        <v>27</v>
      </c>
      <c r="O1202" t="s">
        <v>3072</v>
      </c>
      <c r="P1202" t="s">
        <v>2089</v>
      </c>
      <c r="Q1202">
        <v>0.85</v>
      </c>
    </row>
    <row r="1203" spans="14:17" x14ac:dyDescent="0.45">
      <c r="N1203" t="s">
        <v>27</v>
      </c>
      <c r="O1203" t="s">
        <v>3073</v>
      </c>
      <c r="P1203" t="s">
        <v>2062</v>
      </c>
      <c r="Q1203">
        <v>0.85</v>
      </c>
    </row>
    <row r="1204" spans="14:17" x14ac:dyDescent="0.45">
      <c r="N1204" t="s">
        <v>27</v>
      </c>
      <c r="O1204" t="s">
        <v>3074</v>
      </c>
      <c r="P1204" t="s">
        <v>2103</v>
      </c>
      <c r="Q1204">
        <v>0.85</v>
      </c>
    </row>
    <row r="1205" spans="14:17" x14ac:dyDescent="0.45">
      <c r="N1205" t="s">
        <v>27</v>
      </c>
      <c r="O1205" t="s">
        <v>3075</v>
      </c>
      <c r="P1205" t="s">
        <v>2089</v>
      </c>
      <c r="Q1205">
        <v>0.85</v>
      </c>
    </row>
    <row r="1206" spans="14:17" x14ac:dyDescent="0.45">
      <c r="N1206" t="s">
        <v>27</v>
      </c>
      <c r="O1206" t="s">
        <v>3076</v>
      </c>
      <c r="P1206" t="s">
        <v>2106</v>
      </c>
      <c r="Q1206">
        <v>0.85</v>
      </c>
    </row>
    <row r="1207" spans="14:17" x14ac:dyDescent="0.45">
      <c r="N1207" t="s">
        <v>27</v>
      </c>
      <c r="O1207" t="s">
        <v>3077</v>
      </c>
      <c r="P1207" t="s">
        <v>2075</v>
      </c>
      <c r="Q1207">
        <v>0.85</v>
      </c>
    </row>
    <row r="1208" spans="14:17" x14ac:dyDescent="0.45">
      <c r="N1208" t="s">
        <v>27</v>
      </c>
      <c r="O1208" t="s">
        <v>3078</v>
      </c>
      <c r="P1208" t="s">
        <v>2071</v>
      </c>
      <c r="Q1208">
        <v>0.85</v>
      </c>
    </row>
    <row r="1209" spans="14:17" x14ac:dyDescent="0.45">
      <c r="N1209" t="s">
        <v>27</v>
      </c>
      <c r="O1209" t="s">
        <v>3079</v>
      </c>
      <c r="P1209" t="s">
        <v>2077</v>
      </c>
      <c r="Q1209">
        <v>0.85</v>
      </c>
    </row>
    <row r="1210" spans="14:17" x14ac:dyDescent="0.45">
      <c r="N1210" t="s">
        <v>27</v>
      </c>
      <c r="O1210" t="s">
        <v>3080</v>
      </c>
      <c r="P1210" t="s">
        <v>2106</v>
      </c>
      <c r="Q1210">
        <v>0.85</v>
      </c>
    </row>
    <row r="1211" spans="14:17" x14ac:dyDescent="0.45">
      <c r="N1211" t="s">
        <v>27</v>
      </c>
      <c r="O1211" t="s">
        <v>3081</v>
      </c>
      <c r="P1211" t="s">
        <v>2105</v>
      </c>
      <c r="Q1211">
        <v>0.85</v>
      </c>
    </row>
    <row r="1212" spans="14:17" x14ac:dyDescent="0.45">
      <c r="N1212" t="s">
        <v>27</v>
      </c>
      <c r="O1212" t="s">
        <v>3082</v>
      </c>
      <c r="P1212" t="s">
        <v>2086</v>
      </c>
      <c r="Q1212">
        <v>0.85</v>
      </c>
    </row>
    <row r="1213" spans="14:17" x14ac:dyDescent="0.45">
      <c r="N1213" t="s">
        <v>27</v>
      </c>
      <c r="O1213" t="s">
        <v>3083</v>
      </c>
      <c r="P1213" t="s">
        <v>2082</v>
      </c>
      <c r="Q1213">
        <v>0.85</v>
      </c>
    </row>
    <row r="1214" spans="14:17" x14ac:dyDescent="0.45">
      <c r="N1214" t="s">
        <v>27</v>
      </c>
      <c r="O1214" t="s">
        <v>3084</v>
      </c>
      <c r="P1214" t="s">
        <v>2057</v>
      </c>
      <c r="Q1214">
        <v>0.85</v>
      </c>
    </row>
    <row r="1215" spans="14:17" x14ac:dyDescent="0.45">
      <c r="N1215" t="s">
        <v>27</v>
      </c>
      <c r="O1215" t="s">
        <v>3085</v>
      </c>
      <c r="P1215" t="s">
        <v>2107</v>
      </c>
      <c r="Q1215">
        <v>0.85</v>
      </c>
    </row>
    <row r="1216" spans="14:17" x14ac:dyDescent="0.45">
      <c r="N1216" t="s">
        <v>27</v>
      </c>
      <c r="O1216" t="s">
        <v>3086</v>
      </c>
      <c r="P1216" t="s">
        <v>2100</v>
      </c>
      <c r="Q1216">
        <v>0.85</v>
      </c>
    </row>
    <row r="1217" spans="14:17" x14ac:dyDescent="0.45">
      <c r="N1217" t="s">
        <v>27</v>
      </c>
      <c r="O1217" t="s">
        <v>3087</v>
      </c>
      <c r="P1217" t="s">
        <v>2086</v>
      </c>
      <c r="Q1217">
        <v>0.85</v>
      </c>
    </row>
    <row r="1218" spans="14:17" x14ac:dyDescent="0.45">
      <c r="N1218" t="s">
        <v>27</v>
      </c>
      <c r="O1218" t="s">
        <v>3088</v>
      </c>
      <c r="P1218" t="s">
        <v>2054</v>
      </c>
      <c r="Q1218">
        <v>0.85</v>
      </c>
    </row>
    <row r="1219" spans="14:17" x14ac:dyDescent="0.45">
      <c r="N1219" t="s">
        <v>27</v>
      </c>
      <c r="O1219" t="s">
        <v>3089</v>
      </c>
      <c r="P1219" t="s">
        <v>2100</v>
      </c>
      <c r="Q1219">
        <v>0.85</v>
      </c>
    </row>
    <row r="1220" spans="14:17" x14ac:dyDescent="0.45">
      <c r="N1220" t="s">
        <v>27</v>
      </c>
      <c r="O1220" t="s">
        <v>3090</v>
      </c>
      <c r="P1220" t="s">
        <v>2075</v>
      </c>
      <c r="Q1220">
        <v>0.85</v>
      </c>
    </row>
    <row r="1221" spans="14:17" x14ac:dyDescent="0.45">
      <c r="N1221" t="s">
        <v>27</v>
      </c>
      <c r="O1221" t="s">
        <v>3091</v>
      </c>
      <c r="P1221" t="s">
        <v>2086</v>
      </c>
      <c r="Q1221">
        <v>0.85</v>
      </c>
    </row>
    <row r="1222" spans="14:17" x14ac:dyDescent="0.45">
      <c r="N1222" t="s">
        <v>27</v>
      </c>
      <c r="O1222" t="s">
        <v>3092</v>
      </c>
      <c r="P1222" t="s">
        <v>2052</v>
      </c>
      <c r="Q1222">
        <v>0.85</v>
      </c>
    </row>
    <row r="1223" spans="14:17" x14ac:dyDescent="0.45">
      <c r="N1223" t="s">
        <v>27</v>
      </c>
      <c r="O1223" t="s">
        <v>3093</v>
      </c>
      <c r="P1223" t="s">
        <v>2078</v>
      </c>
      <c r="Q1223">
        <v>0.85</v>
      </c>
    </row>
    <row r="1224" spans="14:17" x14ac:dyDescent="0.45">
      <c r="N1224" t="s">
        <v>27</v>
      </c>
      <c r="O1224" t="s">
        <v>3094</v>
      </c>
      <c r="P1224" t="s">
        <v>2099</v>
      </c>
      <c r="Q1224">
        <v>0.85</v>
      </c>
    </row>
    <row r="1225" spans="14:17" x14ac:dyDescent="0.45">
      <c r="N1225" t="s">
        <v>27</v>
      </c>
      <c r="O1225" t="s">
        <v>3095</v>
      </c>
      <c r="P1225" t="s">
        <v>2096</v>
      </c>
      <c r="Q1225">
        <v>0.85</v>
      </c>
    </row>
    <row r="1226" spans="14:17" x14ac:dyDescent="0.45">
      <c r="N1226" t="s">
        <v>27</v>
      </c>
      <c r="O1226" t="s">
        <v>3096</v>
      </c>
      <c r="P1226" t="s">
        <v>2059</v>
      </c>
      <c r="Q1226">
        <v>0.85</v>
      </c>
    </row>
    <row r="1227" spans="14:17" x14ac:dyDescent="0.45">
      <c r="N1227" t="s">
        <v>27</v>
      </c>
      <c r="O1227" t="s">
        <v>3097</v>
      </c>
      <c r="P1227" t="s">
        <v>2103</v>
      </c>
      <c r="Q1227">
        <v>0.85</v>
      </c>
    </row>
    <row r="1228" spans="14:17" x14ac:dyDescent="0.45">
      <c r="N1228" t="s">
        <v>27</v>
      </c>
      <c r="O1228" t="s">
        <v>3098</v>
      </c>
      <c r="P1228" t="s">
        <v>2101</v>
      </c>
      <c r="Q1228">
        <v>0.85</v>
      </c>
    </row>
    <row r="1229" spans="14:17" x14ac:dyDescent="0.45">
      <c r="N1229" t="s">
        <v>27</v>
      </c>
      <c r="O1229" t="s">
        <v>3099</v>
      </c>
      <c r="P1229" t="s">
        <v>2075</v>
      </c>
      <c r="Q1229">
        <v>0.85</v>
      </c>
    </row>
    <row r="1230" spans="14:17" x14ac:dyDescent="0.45">
      <c r="N1230" t="s">
        <v>27</v>
      </c>
      <c r="O1230" t="s">
        <v>3100</v>
      </c>
      <c r="P1230" t="s">
        <v>2106</v>
      </c>
      <c r="Q1230">
        <v>0.85</v>
      </c>
    </row>
    <row r="1231" spans="14:17" x14ac:dyDescent="0.45">
      <c r="N1231" t="s">
        <v>27</v>
      </c>
      <c r="O1231" t="s">
        <v>3101</v>
      </c>
      <c r="P1231" t="s">
        <v>2080</v>
      </c>
      <c r="Q1231">
        <v>0.85</v>
      </c>
    </row>
    <row r="1232" spans="14:17" x14ac:dyDescent="0.45">
      <c r="N1232" t="s">
        <v>27</v>
      </c>
      <c r="O1232" t="s">
        <v>3102</v>
      </c>
      <c r="P1232" t="s">
        <v>2087</v>
      </c>
      <c r="Q1232">
        <v>0.85</v>
      </c>
    </row>
    <row r="1233" spans="14:17" x14ac:dyDescent="0.45">
      <c r="N1233" t="s">
        <v>27</v>
      </c>
      <c r="O1233" t="s">
        <v>3103</v>
      </c>
      <c r="P1233" t="s">
        <v>2087</v>
      </c>
      <c r="Q1233">
        <v>0.85</v>
      </c>
    </row>
    <row r="1234" spans="14:17" x14ac:dyDescent="0.45">
      <c r="N1234" t="s">
        <v>27</v>
      </c>
      <c r="O1234" t="s">
        <v>3104</v>
      </c>
      <c r="P1234" t="s">
        <v>2101</v>
      </c>
      <c r="Q1234">
        <v>0.85</v>
      </c>
    </row>
    <row r="1235" spans="14:17" x14ac:dyDescent="0.45">
      <c r="N1235" t="s">
        <v>27</v>
      </c>
      <c r="O1235" t="s">
        <v>3105</v>
      </c>
      <c r="P1235" t="s">
        <v>2098</v>
      </c>
      <c r="Q1235">
        <v>0.85</v>
      </c>
    </row>
    <row r="1236" spans="14:17" x14ac:dyDescent="0.45">
      <c r="N1236" t="s">
        <v>27</v>
      </c>
      <c r="O1236" t="s">
        <v>3106</v>
      </c>
      <c r="P1236" t="s">
        <v>2058</v>
      </c>
      <c r="Q1236">
        <v>0.85</v>
      </c>
    </row>
    <row r="1237" spans="14:17" x14ac:dyDescent="0.45">
      <c r="N1237" t="s">
        <v>27</v>
      </c>
      <c r="O1237" t="s">
        <v>3107</v>
      </c>
      <c r="P1237" t="s">
        <v>2058</v>
      </c>
      <c r="Q1237">
        <v>0.85</v>
      </c>
    </row>
    <row r="1238" spans="14:17" x14ac:dyDescent="0.45">
      <c r="N1238" t="s">
        <v>27</v>
      </c>
      <c r="O1238" t="s">
        <v>3108</v>
      </c>
      <c r="P1238" t="s">
        <v>2055</v>
      </c>
      <c r="Q1238">
        <v>0.85</v>
      </c>
    </row>
    <row r="1239" spans="14:17" x14ac:dyDescent="0.45">
      <c r="N1239" t="s">
        <v>27</v>
      </c>
      <c r="O1239" t="s">
        <v>3109</v>
      </c>
      <c r="P1239" t="s">
        <v>2065</v>
      </c>
      <c r="Q1239">
        <v>0.85</v>
      </c>
    </row>
    <row r="1240" spans="14:17" x14ac:dyDescent="0.45">
      <c r="N1240" t="s">
        <v>27</v>
      </c>
      <c r="O1240" t="s">
        <v>3110</v>
      </c>
      <c r="P1240" t="s">
        <v>2096</v>
      </c>
      <c r="Q1240">
        <v>0.85</v>
      </c>
    </row>
    <row r="1241" spans="14:17" x14ac:dyDescent="0.45">
      <c r="N1241" t="s">
        <v>27</v>
      </c>
      <c r="O1241" t="s">
        <v>3111</v>
      </c>
      <c r="P1241" t="s">
        <v>2077</v>
      </c>
      <c r="Q1241">
        <v>0.85</v>
      </c>
    </row>
    <row r="1242" spans="14:17" x14ac:dyDescent="0.45">
      <c r="N1242" t="s">
        <v>27</v>
      </c>
      <c r="O1242" t="s">
        <v>3112</v>
      </c>
      <c r="P1242" t="s">
        <v>2101</v>
      </c>
      <c r="Q1242">
        <v>0.85</v>
      </c>
    </row>
    <row r="1243" spans="14:17" x14ac:dyDescent="0.45">
      <c r="N1243" t="s">
        <v>27</v>
      </c>
      <c r="O1243" t="s">
        <v>3113</v>
      </c>
      <c r="P1243" t="s">
        <v>2086</v>
      </c>
      <c r="Q1243">
        <v>0.85</v>
      </c>
    </row>
    <row r="1244" spans="14:17" x14ac:dyDescent="0.45">
      <c r="N1244" t="s">
        <v>27</v>
      </c>
      <c r="O1244" t="s">
        <v>3114</v>
      </c>
      <c r="P1244" t="s">
        <v>2092</v>
      </c>
      <c r="Q1244">
        <v>0.85</v>
      </c>
    </row>
    <row r="1245" spans="14:17" x14ac:dyDescent="0.45">
      <c r="N1245" t="s">
        <v>27</v>
      </c>
      <c r="O1245" t="s">
        <v>3115</v>
      </c>
      <c r="P1245" t="s">
        <v>2060</v>
      </c>
      <c r="Q1245">
        <v>0.85</v>
      </c>
    </row>
    <row r="1246" spans="14:17" x14ac:dyDescent="0.45">
      <c r="N1246" t="s">
        <v>27</v>
      </c>
      <c r="O1246" t="s">
        <v>3116</v>
      </c>
      <c r="P1246" t="s">
        <v>2101</v>
      </c>
      <c r="Q1246">
        <v>0.85</v>
      </c>
    </row>
    <row r="1247" spans="14:17" x14ac:dyDescent="0.45">
      <c r="N1247" t="s">
        <v>27</v>
      </c>
      <c r="O1247" t="s">
        <v>3117</v>
      </c>
      <c r="P1247" t="s">
        <v>2086</v>
      </c>
      <c r="Q1247">
        <v>0.85</v>
      </c>
    </row>
    <row r="1248" spans="14:17" x14ac:dyDescent="0.45">
      <c r="N1248" t="s">
        <v>27</v>
      </c>
      <c r="O1248" t="s">
        <v>3118</v>
      </c>
      <c r="P1248" t="s">
        <v>2075</v>
      </c>
      <c r="Q1248">
        <v>0.85</v>
      </c>
    </row>
    <row r="1249" spans="14:17" x14ac:dyDescent="0.45">
      <c r="N1249" t="s">
        <v>27</v>
      </c>
      <c r="O1249" t="s">
        <v>3119</v>
      </c>
      <c r="P1249" t="s">
        <v>2094</v>
      </c>
      <c r="Q1249">
        <v>0.85</v>
      </c>
    </row>
    <row r="1250" spans="14:17" x14ac:dyDescent="0.45">
      <c r="N1250" t="s">
        <v>27</v>
      </c>
      <c r="O1250" t="s">
        <v>3120</v>
      </c>
      <c r="P1250" t="s">
        <v>2062</v>
      </c>
      <c r="Q1250">
        <v>0.85</v>
      </c>
    </row>
    <row r="1251" spans="14:17" x14ac:dyDescent="0.45">
      <c r="N1251" t="s">
        <v>27</v>
      </c>
      <c r="O1251" t="s">
        <v>3121</v>
      </c>
      <c r="P1251" t="s">
        <v>2075</v>
      </c>
      <c r="Q1251">
        <v>0.85</v>
      </c>
    </row>
    <row r="1252" spans="14:17" x14ac:dyDescent="0.45">
      <c r="N1252" t="s">
        <v>27</v>
      </c>
      <c r="O1252" t="s">
        <v>3122</v>
      </c>
      <c r="P1252" t="s">
        <v>2101</v>
      </c>
      <c r="Q1252">
        <v>0.85</v>
      </c>
    </row>
    <row r="1253" spans="14:17" x14ac:dyDescent="0.45">
      <c r="N1253" t="s">
        <v>27</v>
      </c>
      <c r="O1253" t="s">
        <v>3123</v>
      </c>
      <c r="P1253" t="s">
        <v>2086</v>
      </c>
      <c r="Q1253">
        <v>0.85</v>
      </c>
    </row>
    <row r="1254" spans="14:17" x14ac:dyDescent="0.45">
      <c r="N1254" t="s">
        <v>27</v>
      </c>
      <c r="O1254" t="s">
        <v>3124</v>
      </c>
      <c r="P1254" t="s">
        <v>2055</v>
      </c>
      <c r="Q1254">
        <v>0.85</v>
      </c>
    </row>
    <row r="1255" spans="14:17" x14ac:dyDescent="0.45">
      <c r="N1255" t="s">
        <v>27</v>
      </c>
      <c r="O1255" t="s">
        <v>3125</v>
      </c>
      <c r="P1255" t="s">
        <v>2059</v>
      </c>
      <c r="Q1255">
        <v>0.85</v>
      </c>
    </row>
    <row r="1256" spans="14:17" x14ac:dyDescent="0.45">
      <c r="N1256" t="s">
        <v>27</v>
      </c>
      <c r="O1256" t="s">
        <v>3126</v>
      </c>
      <c r="P1256" t="s">
        <v>2051</v>
      </c>
      <c r="Q1256">
        <v>0.85</v>
      </c>
    </row>
    <row r="1257" spans="14:17" x14ac:dyDescent="0.45">
      <c r="N1257" t="s">
        <v>27</v>
      </c>
      <c r="O1257" t="s">
        <v>3127</v>
      </c>
      <c r="P1257" t="s">
        <v>2071</v>
      </c>
      <c r="Q1257">
        <v>0.85</v>
      </c>
    </row>
    <row r="1258" spans="14:17" x14ac:dyDescent="0.45">
      <c r="N1258" t="s">
        <v>27</v>
      </c>
      <c r="O1258" t="s">
        <v>3128</v>
      </c>
      <c r="P1258" t="s">
        <v>2065</v>
      </c>
      <c r="Q1258">
        <v>0.85</v>
      </c>
    </row>
    <row r="1259" spans="14:17" x14ac:dyDescent="0.45">
      <c r="N1259" t="s">
        <v>27</v>
      </c>
      <c r="O1259" t="s">
        <v>3129</v>
      </c>
      <c r="P1259" t="s">
        <v>2094</v>
      </c>
      <c r="Q1259">
        <v>0.85</v>
      </c>
    </row>
    <row r="1260" spans="14:17" x14ac:dyDescent="0.45">
      <c r="N1260" t="s">
        <v>27</v>
      </c>
      <c r="O1260" t="s">
        <v>3130</v>
      </c>
      <c r="P1260" t="s">
        <v>2080</v>
      </c>
      <c r="Q1260">
        <v>0.85</v>
      </c>
    </row>
    <row r="1261" spans="14:17" x14ac:dyDescent="0.45">
      <c r="N1261" t="s">
        <v>27</v>
      </c>
      <c r="O1261" t="s">
        <v>3131</v>
      </c>
      <c r="P1261" t="s">
        <v>2075</v>
      </c>
      <c r="Q1261">
        <v>0.85</v>
      </c>
    </row>
    <row r="1262" spans="14:17" x14ac:dyDescent="0.45">
      <c r="N1262" t="s">
        <v>27</v>
      </c>
      <c r="O1262" t="s">
        <v>3132</v>
      </c>
      <c r="P1262" t="s">
        <v>2108</v>
      </c>
      <c r="Q1262">
        <v>0.85</v>
      </c>
    </row>
    <row r="1263" spans="14:17" x14ac:dyDescent="0.45">
      <c r="N1263" t="s">
        <v>27</v>
      </c>
      <c r="O1263" t="s">
        <v>3133</v>
      </c>
      <c r="P1263" t="s">
        <v>2105</v>
      </c>
      <c r="Q1263">
        <v>0.85</v>
      </c>
    </row>
    <row r="1264" spans="14:17" x14ac:dyDescent="0.45">
      <c r="N1264" t="s">
        <v>27</v>
      </c>
      <c r="O1264" t="s">
        <v>3134</v>
      </c>
      <c r="P1264" t="s">
        <v>2051</v>
      </c>
      <c r="Q1264">
        <v>0.85</v>
      </c>
    </row>
    <row r="1265" spans="14:17" x14ac:dyDescent="0.45">
      <c r="N1265" t="s">
        <v>27</v>
      </c>
      <c r="O1265" t="s">
        <v>3135</v>
      </c>
      <c r="P1265" t="s">
        <v>2069</v>
      </c>
      <c r="Q1265">
        <v>0.85</v>
      </c>
    </row>
    <row r="1266" spans="14:17" x14ac:dyDescent="0.45">
      <c r="N1266" t="s">
        <v>27</v>
      </c>
      <c r="O1266" t="s">
        <v>3136</v>
      </c>
      <c r="P1266" t="s">
        <v>2109</v>
      </c>
      <c r="Q1266">
        <v>0.85</v>
      </c>
    </row>
    <row r="1267" spans="14:17" x14ac:dyDescent="0.45">
      <c r="N1267" t="s">
        <v>27</v>
      </c>
      <c r="O1267" t="s">
        <v>3137</v>
      </c>
      <c r="P1267" t="s">
        <v>2078</v>
      </c>
      <c r="Q1267">
        <v>0.85</v>
      </c>
    </row>
    <row r="1268" spans="14:17" x14ac:dyDescent="0.45">
      <c r="N1268" t="s">
        <v>27</v>
      </c>
      <c r="O1268" t="s">
        <v>3138</v>
      </c>
      <c r="P1268" t="s">
        <v>2106</v>
      </c>
      <c r="Q1268">
        <v>0.85</v>
      </c>
    </row>
    <row r="1269" spans="14:17" x14ac:dyDescent="0.45">
      <c r="N1269" t="s">
        <v>27</v>
      </c>
      <c r="O1269" t="s">
        <v>3139</v>
      </c>
      <c r="P1269" t="s">
        <v>2061</v>
      </c>
      <c r="Q1269">
        <v>0.85</v>
      </c>
    </row>
    <row r="1270" spans="14:17" x14ac:dyDescent="0.45">
      <c r="N1270" t="s">
        <v>27</v>
      </c>
      <c r="O1270" t="s">
        <v>3140</v>
      </c>
      <c r="P1270" t="s">
        <v>2077</v>
      </c>
      <c r="Q1270">
        <v>0.85</v>
      </c>
    </row>
    <row r="1271" spans="14:17" x14ac:dyDescent="0.45">
      <c r="N1271" t="s">
        <v>27</v>
      </c>
      <c r="O1271" t="s">
        <v>3141</v>
      </c>
      <c r="P1271" t="s">
        <v>2095</v>
      </c>
      <c r="Q1271">
        <v>0.85</v>
      </c>
    </row>
    <row r="1272" spans="14:17" x14ac:dyDescent="0.45">
      <c r="N1272" t="s">
        <v>27</v>
      </c>
      <c r="O1272" t="s">
        <v>3142</v>
      </c>
      <c r="P1272" t="s">
        <v>2107</v>
      </c>
      <c r="Q1272">
        <v>0.85</v>
      </c>
    </row>
    <row r="1273" spans="14:17" x14ac:dyDescent="0.45">
      <c r="N1273" t="s">
        <v>27</v>
      </c>
      <c r="O1273" t="s">
        <v>3143</v>
      </c>
      <c r="P1273" t="s">
        <v>2107</v>
      </c>
      <c r="Q1273">
        <v>0.85</v>
      </c>
    </row>
    <row r="1274" spans="14:17" x14ac:dyDescent="0.45">
      <c r="N1274" t="s">
        <v>27</v>
      </c>
      <c r="O1274" t="s">
        <v>3144</v>
      </c>
      <c r="P1274" t="s">
        <v>2079</v>
      </c>
      <c r="Q1274">
        <v>0.85</v>
      </c>
    </row>
    <row r="1275" spans="14:17" x14ac:dyDescent="0.45">
      <c r="N1275" t="s">
        <v>27</v>
      </c>
      <c r="O1275" t="s">
        <v>3145</v>
      </c>
      <c r="P1275" t="s">
        <v>2089</v>
      </c>
      <c r="Q1275">
        <v>0.85</v>
      </c>
    </row>
    <row r="1276" spans="14:17" x14ac:dyDescent="0.45">
      <c r="N1276" t="s">
        <v>27</v>
      </c>
      <c r="O1276" t="s">
        <v>3146</v>
      </c>
      <c r="P1276" t="s">
        <v>2084</v>
      </c>
      <c r="Q1276">
        <v>0.85</v>
      </c>
    </row>
    <row r="1277" spans="14:17" x14ac:dyDescent="0.45">
      <c r="N1277" t="s">
        <v>27</v>
      </c>
      <c r="O1277" t="s">
        <v>3147</v>
      </c>
      <c r="P1277" t="s">
        <v>2069</v>
      </c>
      <c r="Q1277">
        <v>0.85</v>
      </c>
    </row>
    <row r="1278" spans="14:17" x14ac:dyDescent="0.45">
      <c r="N1278" t="s">
        <v>27</v>
      </c>
      <c r="O1278" t="s">
        <v>3148</v>
      </c>
      <c r="P1278" t="s">
        <v>2100</v>
      </c>
      <c r="Q1278">
        <v>0.85</v>
      </c>
    </row>
    <row r="1279" spans="14:17" x14ac:dyDescent="0.45">
      <c r="N1279" t="s">
        <v>27</v>
      </c>
      <c r="O1279" t="s">
        <v>3149</v>
      </c>
      <c r="P1279" t="s">
        <v>2081</v>
      </c>
      <c r="Q1279">
        <v>0.85</v>
      </c>
    </row>
    <row r="1280" spans="14:17" x14ac:dyDescent="0.45">
      <c r="N1280" t="s">
        <v>27</v>
      </c>
      <c r="O1280" t="s">
        <v>3150</v>
      </c>
      <c r="P1280" t="s">
        <v>2088</v>
      </c>
      <c r="Q1280">
        <v>0.85</v>
      </c>
    </row>
    <row r="1281" spans="14:17" x14ac:dyDescent="0.45">
      <c r="N1281" t="s">
        <v>27</v>
      </c>
      <c r="O1281" t="s">
        <v>3151</v>
      </c>
      <c r="P1281" t="s">
        <v>2071</v>
      </c>
      <c r="Q1281">
        <v>0.85</v>
      </c>
    </row>
    <row r="1282" spans="14:17" x14ac:dyDescent="0.45">
      <c r="N1282" t="s">
        <v>27</v>
      </c>
      <c r="O1282" t="s">
        <v>3152</v>
      </c>
      <c r="P1282" t="s">
        <v>2075</v>
      </c>
      <c r="Q1282">
        <v>0.85</v>
      </c>
    </row>
    <row r="1283" spans="14:17" x14ac:dyDescent="0.45">
      <c r="N1283" t="s">
        <v>27</v>
      </c>
      <c r="O1283" t="s">
        <v>3153</v>
      </c>
      <c r="P1283" t="s">
        <v>2078</v>
      </c>
      <c r="Q1283">
        <v>0.85</v>
      </c>
    </row>
    <row r="1284" spans="14:17" x14ac:dyDescent="0.45">
      <c r="N1284" t="s">
        <v>27</v>
      </c>
      <c r="O1284" t="s">
        <v>3154</v>
      </c>
      <c r="P1284" t="s">
        <v>2107</v>
      </c>
      <c r="Q1284">
        <v>0.85</v>
      </c>
    </row>
    <row r="1285" spans="14:17" x14ac:dyDescent="0.45">
      <c r="N1285" t="s">
        <v>27</v>
      </c>
      <c r="O1285" t="s">
        <v>3155</v>
      </c>
      <c r="P1285" t="s">
        <v>2057</v>
      </c>
      <c r="Q1285">
        <v>0.85</v>
      </c>
    </row>
    <row r="1286" spans="14:17" x14ac:dyDescent="0.45">
      <c r="N1286" t="s">
        <v>27</v>
      </c>
      <c r="O1286" t="s">
        <v>3156</v>
      </c>
      <c r="P1286" t="s">
        <v>2067</v>
      </c>
      <c r="Q1286">
        <v>0.85</v>
      </c>
    </row>
    <row r="1287" spans="14:17" x14ac:dyDescent="0.45">
      <c r="N1287" t="s">
        <v>27</v>
      </c>
      <c r="O1287" t="s">
        <v>3157</v>
      </c>
      <c r="P1287" t="s">
        <v>2068</v>
      </c>
      <c r="Q1287">
        <v>0.85</v>
      </c>
    </row>
    <row r="1288" spans="14:17" x14ac:dyDescent="0.45">
      <c r="N1288" t="s">
        <v>27</v>
      </c>
      <c r="O1288" t="s">
        <v>3158</v>
      </c>
      <c r="P1288" t="s">
        <v>2065</v>
      </c>
      <c r="Q1288">
        <v>0.95</v>
      </c>
    </row>
    <row r="1289" spans="14:17" x14ac:dyDescent="0.45">
      <c r="N1289" t="s">
        <v>27</v>
      </c>
      <c r="O1289" t="s">
        <v>3159</v>
      </c>
      <c r="P1289" t="s">
        <v>2089</v>
      </c>
      <c r="Q1289">
        <v>0.95</v>
      </c>
    </row>
    <row r="1290" spans="14:17" x14ac:dyDescent="0.45">
      <c r="N1290" t="s">
        <v>27</v>
      </c>
      <c r="O1290" t="s">
        <v>3160</v>
      </c>
      <c r="P1290" t="s">
        <v>2091</v>
      </c>
      <c r="Q1290">
        <v>0.95</v>
      </c>
    </row>
    <row r="1291" spans="14:17" x14ac:dyDescent="0.45">
      <c r="N1291" t="s">
        <v>27</v>
      </c>
      <c r="O1291" t="s">
        <v>3161</v>
      </c>
      <c r="P1291" t="s">
        <v>2065</v>
      </c>
      <c r="Q1291">
        <v>0.95</v>
      </c>
    </row>
    <row r="1292" spans="14:17" x14ac:dyDescent="0.45">
      <c r="N1292" t="s">
        <v>27</v>
      </c>
      <c r="O1292" t="s">
        <v>3162</v>
      </c>
      <c r="P1292" t="s">
        <v>2051</v>
      </c>
      <c r="Q1292">
        <v>0.95</v>
      </c>
    </row>
    <row r="1293" spans="14:17" x14ac:dyDescent="0.45">
      <c r="N1293" t="s">
        <v>27</v>
      </c>
      <c r="O1293" t="s">
        <v>3163</v>
      </c>
      <c r="P1293" t="s">
        <v>2089</v>
      </c>
      <c r="Q1293">
        <v>0.95</v>
      </c>
    </row>
    <row r="1294" spans="14:17" x14ac:dyDescent="0.45">
      <c r="N1294" t="s">
        <v>27</v>
      </c>
      <c r="O1294" t="s">
        <v>3164</v>
      </c>
      <c r="P1294" t="s">
        <v>2094</v>
      </c>
      <c r="Q1294">
        <v>0.95</v>
      </c>
    </row>
    <row r="1295" spans="14:17" x14ac:dyDescent="0.45">
      <c r="N1295" t="s">
        <v>27</v>
      </c>
      <c r="O1295" t="s">
        <v>3165</v>
      </c>
      <c r="P1295" t="s">
        <v>2089</v>
      </c>
      <c r="Q1295">
        <v>0.95</v>
      </c>
    </row>
    <row r="1296" spans="14:17" x14ac:dyDescent="0.45">
      <c r="N1296" t="s">
        <v>27</v>
      </c>
      <c r="O1296" t="s">
        <v>3166</v>
      </c>
      <c r="P1296" t="s">
        <v>2089</v>
      </c>
      <c r="Q1296">
        <v>0.95</v>
      </c>
    </row>
    <row r="1297" spans="14:17" x14ac:dyDescent="0.45">
      <c r="N1297" t="s">
        <v>27</v>
      </c>
      <c r="O1297" t="s">
        <v>3167</v>
      </c>
      <c r="P1297" t="s">
        <v>2089</v>
      </c>
      <c r="Q1297">
        <v>0.95</v>
      </c>
    </row>
    <row r="1298" spans="14:17" x14ac:dyDescent="0.45">
      <c r="N1298" t="s">
        <v>27</v>
      </c>
      <c r="O1298" t="s">
        <v>3168</v>
      </c>
      <c r="P1298" t="s">
        <v>2089</v>
      </c>
      <c r="Q1298">
        <v>0.95</v>
      </c>
    </row>
    <row r="1299" spans="14:17" x14ac:dyDescent="0.45">
      <c r="N1299" t="s">
        <v>27</v>
      </c>
      <c r="O1299" t="s">
        <v>3169</v>
      </c>
      <c r="P1299" t="s">
        <v>2071</v>
      </c>
      <c r="Q1299">
        <v>0.95</v>
      </c>
    </row>
    <row r="1300" spans="14:17" x14ac:dyDescent="0.45">
      <c r="N1300" t="s">
        <v>27</v>
      </c>
      <c r="O1300" t="s">
        <v>3170</v>
      </c>
      <c r="P1300" t="s">
        <v>2089</v>
      </c>
      <c r="Q1300">
        <v>0.95</v>
      </c>
    </row>
    <row r="1301" spans="14:17" x14ac:dyDescent="0.45">
      <c r="N1301" t="s">
        <v>27</v>
      </c>
      <c r="O1301" t="s">
        <v>3171</v>
      </c>
      <c r="P1301" t="s">
        <v>2051</v>
      </c>
      <c r="Q1301">
        <v>0.85</v>
      </c>
    </row>
    <row r="1302" spans="14:17" x14ac:dyDescent="0.45">
      <c r="N1302" t="s">
        <v>27</v>
      </c>
      <c r="O1302" t="s">
        <v>3172</v>
      </c>
      <c r="P1302" t="s">
        <v>2067</v>
      </c>
      <c r="Q1302">
        <v>0.85</v>
      </c>
    </row>
    <row r="1303" spans="14:17" x14ac:dyDescent="0.45">
      <c r="N1303" t="s">
        <v>27</v>
      </c>
      <c r="O1303" t="s">
        <v>3173</v>
      </c>
      <c r="P1303" t="s">
        <v>2097</v>
      </c>
      <c r="Q1303">
        <v>0.85</v>
      </c>
    </row>
    <row r="1304" spans="14:17" x14ac:dyDescent="0.45">
      <c r="N1304" t="s">
        <v>27</v>
      </c>
      <c r="O1304" t="s">
        <v>3174</v>
      </c>
      <c r="P1304" t="s">
        <v>2076</v>
      </c>
      <c r="Q1304">
        <v>0.85</v>
      </c>
    </row>
    <row r="1305" spans="14:17" x14ac:dyDescent="0.45">
      <c r="N1305" t="s">
        <v>27</v>
      </c>
      <c r="O1305" t="s">
        <v>3175</v>
      </c>
      <c r="P1305" t="s">
        <v>2069</v>
      </c>
      <c r="Q1305">
        <v>0.85</v>
      </c>
    </row>
    <row r="1306" spans="14:17" x14ac:dyDescent="0.45">
      <c r="N1306" t="s">
        <v>27</v>
      </c>
      <c r="O1306" t="s">
        <v>3176</v>
      </c>
      <c r="P1306" t="s">
        <v>2076</v>
      </c>
      <c r="Q1306">
        <v>0.85</v>
      </c>
    </row>
    <row r="1307" spans="14:17" x14ac:dyDescent="0.45">
      <c r="N1307" t="s">
        <v>27</v>
      </c>
      <c r="O1307" t="s">
        <v>3177</v>
      </c>
      <c r="P1307" t="s">
        <v>2077</v>
      </c>
      <c r="Q1307">
        <v>0.85</v>
      </c>
    </row>
    <row r="1308" spans="14:17" x14ac:dyDescent="0.45">
      <c r="N1308" t="s">
        <v>27</v>
      </c>
      <c r="O1308" t="s">
        <v>3178</v>
      </c>
      <c r="P1308" t="s">
        <v>2075</v>
      </c>
      <c r="Q1308">
        <v>0.85</v>
      </c>
    </row>
    <row r="1309" spans="14:17" x14ac:dyDescent="0.45">
      <c r="N1309" t="s">
        <v>27</v>
      </c>
      <c r="O1309" t="s">
        <v>3179</v>
      </c>
      <c r="P1309" t="s">
        <v>2075</v>
      </c>
      <c r="Q1309">
        <v>0.85</v>
      </c>
    </row>
    <row r="1310" spans="14:17" x14ac:dyDescent="0.45">
      <c r="N1310" t="s">
        <v>27</v>
      </c>
      <c r="O1310" t="s">
        <v>3180</v>
      </c>
      <c r="P1310" t="s">
        <v>2051</v>
      </c>
      <c r="Q1310">
        <v>0.85</v>
      </c>
    </row>
    <row r="1311" spans="14:17" x14ac:dyDescent="0.45">
      <c r="N1311" t="s">
        <v>27</v>
      </c>
      <c r="O1311" t="s">
        <v>3181</v>
      </c>
      <c r="P1311" t="s">
        <v>2107</v>
      </c>
      <c r="Q1311">
        <v>0.85</v>
      </c>
    </row>
    <row r="1312" spans="14:17" x14ac:dyDescent="0.45">
      <c r="N1312" t="s">
        <v>27</v>
      </c>
      <c r="O1312" t="s">
        <v>3182</v>
      </c>
      <c r="P1312" t="s">
        <v>2065</v>
      </c>
      <c r="Q1312">
        <v>0.85</v>
      </c>
    </row>
    <row r="1313" spans="14:17" x14ac:dyDescent="0.45">
      <c r="N1313" t="s">
        <v>27</v>
      </c>
      <c r="O1313" t="s">
        <v>3183</v>
      </c>
      <c r="P1313" t="s">
        <v>2090</v>
      </c>
      <c r="Q1313">
        <v>0.85</v>
      </c>
    </row>
    <row r="1314" spans="14:17" x14ac:dyDescent="0.45">
      <c r="N1314" t="s">
        <v>27</v>
      </c>
      <c r="O1314" t="s">
        <v>3184</v>
      </c>
      <c r="P1314" t="s">
        <v>2103</v>
      </c>
      <c r="Q1314">
        <v>0.85</v>
      </c>
    </row>
    <row r="1315" spans="14:17" x14ac:dyDescent="0.45">
      <c r="N1315" t="s">
        <v>27</v>
      </c>
      <c r="O1315" t="s">
        <v>3185</v>
      </c>
      <c r="P1315" t="s">
        <v>2094</v>
      </c>
      <c r="Q1315">
        <v>0.85</v>
      </c>
    </row>
    <row r="1316" spans="14:17" x14ac:dyDescent="0.45">
      <c r="N1316" t="s">
        <v>27</v>
      </c>
      <c r="O1316" t="s">
        <v>3186</v>
      </c>
      <c r="P1316" t="s">
        <v>2059</v>
      </c>
      <c r="Q1316">
        <v>0.85</v>
      </c>
    </row>
    <row r="1317" spans="14:17" x14ac:dyDescent="0.45">
      <c r="N1317" t="s">
        <v>27</v>
      </c>
      <c r="O1317" t="s">
        <v>3187</v>
      </c>
      <c r="P1317" t="s">
        <v>2107</v>
      </c>
      <c r="Q1317">
        <v>0.85</v>
      </c>
    </row>
    <row r="1318" spans="14:17" x14ac:dyDescent="0.45">
      <c r="N1318" t="s">
        <v>27</v>
      </c>
      <c r="O1318" t="s">
        <v>3188</v>
      </c>
      <c r="P1318" t="s">
        <v>2088</v>
      </c>
      <c r="Q1318">
        <v>0.85</v>
      </c>
    </row>
    <row r="1319" spans="14:17" x14ac:dyDescent="0.45">
      <c r="N1319" t="s">
        <v>27</v>
      </c>
      <c r="O1319" t="s">
        <v>3189</v>
      </c>
      <c r="P1319" t="s">
        <v>2096</v>
      </c>
      <c r="Q1319">
        <v>0.85</v>
      </c>
    </row>
    <row r="1320" spans="14:17" x14ac:dyDescent="0.45">
      <c r="N1320" t="s">
        <v>27</v>
      </c>
      <c r="O1320" t="s">
        <v>3190</v>
      </c>
      <c r="P1320" t="s">
        <v>2080</v>
      </c>
      <c r="Q1320">
        <v>0.85</v>
      </c>
    </row>
    <row r="1321" spans="14:17" x14ac:dyDescent="0.45">
      <c r="N1321" t="s">
        <v>27</v>
      </c>
      <c r="O1321" t="s">
        <v>3191</v>
      </c>
      <c r="P1321" t="s">
        <v>2087</v>
      </c>
      <c r="Q1321">
        <v>0.85</v>
      </c>
    </row>
    <row r="1322" spans="14:17" x14ac:dyDescent="0.45">
      <c r="N1322" t="s">
        <v>27</v>
      </c>
      <c r="O1322" t="s">
        <v>3192</v>
      </c>
      <c r="P1322" t="s">
        <v>2053</v>
      </c>
      <c r="Q1322">
        <v>0.85</v>
      </c>
    </row>
    <row r="1323" spans="14:17" x14ac:dyDescent="0.45">
      <c r="N1323" t="s">
        <v>27</v>
      </c>
      <c r="O1323" t="s">
        <v>3193</v>
      </c>
      <c r="P1323" t="s">
        <v>2096</v>
      </c>
      <c r="Q1323">
        <v>0.85</v>
      </c>
    </row>
    <row r="1324" spans="14:17" x14ac:dyDescent="0.45">
      <c r="N1324" t="s">
        <v>27</v>
      </c>
      <c r="O1324" t="s">
        <v>3194</v>
      </c>
      <c r="P1324" t="s">
        <v>2106</v>
      </c>
      <c r="Q1324">
        <v>0.85</v>
      </c>
    </row>
    <row r="1325" spans="14:17" x14ac:dyDescent="0.45">
      <c r="N1325" t="s">
        <v>27</v>
      </c>
      <c r="O1325" t="s">
        <v>3195</v>
      </c>
      <c r="P1325" t="s">
        <v>2075</v>
      </c>
      <c r="Q1325">
        <v>0.85</v>
      </c>
    </row>
    <row r="1326" spans="14:17" x14ac:dyDescent="0.45">
      <c r="N1326" t="s">
        <v>27</v>
      </c>
      <c r="O1326" t="s">
        <v>3196</v>
      </c>
      <c r="P1326" t="s">
        <v>2078</v>
      </c>
      <c r="Q1326">
        <v>0.85</v>
      </c>
    </row>
    <row r="1327" spans="14:17" x14ac:dyDescent="0.45">
      <c r="N1327" t="s">
        <v>27</v>
      </c>
      <c r="O1327" t="s">
        <v>3197</v>
      </c>
      <c r="P1327" t="s">
        <v>2106</v>
      </c>
      <c r="Q1327">
        <v>0.85</v>
      </c>
    </row>
    <row r="1328" spans="14:17" x14ac:dyDescent="0.45">
      <c r="N1328" t="s">
        <v>27</v>
      </c>
      <c r="O1328" t="s">
        <v>3198</v>
      </c>
      <c r="P1328" t="s">
        <v>2106</v>
      </c>
      <c r="Q1328">
        <v>0.85</v>
      </c>
    </row>
    <row r="1329" spans="14:17" x14ac:dyDescent="0.45">
      <c r="N1329" t="s">
        <v>27</v>
      </c>
      <c r="O1329" t="s">
        <v>3199</v>
      </c>
      <c r="P1329" t="s">
        <v>2093</v>
      </c>
      <c r="Q1329">
        <v>0.85</v>
      </c>
    </row>
    <row r="1330" spans="14:17" x14ac:dyDescent="0.45">
      <c r="N1330" t="s">
        <v>27</v>
      </c>
      <c r="O1330" t="s">
        <v>3200</v>
      </c>
      <c r="P1330" t="s">
        <v>2087</v>
      </c>
      <c r="Q1330">
        <v>0.85</v>
      </c>
    </row>
    <row r="1331" spans="14:17" x14ac:dyDescent="0.45">
      <c r="N1331" t="s">
        <v>27</v>
      </c>
      <c r="O1331" t="s">
        <v>3201</v>
      </c>
      <c r="P1331" t="s">
        <v>2078</v>
      </c>
      <c r="Q1331">
        <v>0.85</v>
      </c>
    </row>
    <row r="1332" spans="14:17" x14ac:dyDescent="0.45">
      <c r="N1332" t="s">
        <v>27</v>
      </c>
      <c r="O1332" t="s">
        <v>3202</v>
      </c>
      <c r="P1332" t="s">
        <v>2078</v>
      </c>
      <c r="Q1332">
        <v>0.85</v>
      </c>
    </row>
    <row r="1333" spans="14:17" x14ac:dyDescent="0.45">
      <c r="N1333" t="s">
        <v>27</v>
      </c>
      <c r="O1333" t="s">
        <v>3203</v>
      </c>
      <c r="P1333" t="s">
        <v>2059</v>
      </c>
      <c r="Q1333">
        <v>0.85</v>
      </c>
    </row>
    <row r="1334" spans="14:17" x14ac:dyDescent="0.45">
      <c r="N1334" t="s">
        <v>27</v>
      </c>
      <c r="O1334" t="s">
        <v>3204</v>
      </c>
      <c r="P1334" t="s">
        <v>2055</v>
      </c>
      <c r="Q1334">
        <v>0.85</v>
      </c>
    </row>
    <row r="1335" spans="14:17" x14ac:dyDescent="0.45">
      <c r="N1335" t="s">
        <v>27</v>
      </c>
      <c r="O1335" t="s">
        <v>3205</v>
      </c>
      <c r="P1335" t="s">
        <v>2107</v>
      </c>
      <c r="Q1335">
        <v>0.85</v>
      </c>
    </row>
    <row r="1336" spans="14:17" x14ac:dyDescent="0.45">
      <c r="N1336" t="s">
        <v>27</v>
      </c>
      <c r="O1336" t="s">
        <v>3206</v>
      </c>
      <c r="P1336" t="s">
        <v>2086</v>
      </c>
      <c r="Q1336">
        <v>0.85</v>
      </c>
    </row>
    <row r="1337" spans="14:17" x14ac:dyDescent="0.45">
      <c r="N1337" t="s">
        <v>27</v>
      </c>
      <c r="O1337" t="s">
        <v>3207</v>
      </c>
      <c r="P1337" t="s">
        <v>2078</v>
      </c>
      <c r="Q1337">
        <v>0.85</v>
      </c>
    </row>
    <row r="1338" spans="14:17" x14ac:dyDescent="0.45">
      <c r="N1338" t="s">
        <v>27</v>
      </c>
      <c r="O1338" t="s">
        <v>3208</v>
      </c>
      <c r="P1338" t="s">
        <v>2078</v>
      </c>
      <c r="Q1338">
        <v>0.85</v>
      </c>
    </row>
    <row r="1339" spans="14:17" x14ac:dyDescent="0.45">
      <c r="N1339" t="s">
        <v>27</v>
      </c>
      <c r="O1339" t="s">
        <v>3209</v>
      </c>
      <c r="P1339" t="s">
        <v>2060</v>
      </c>
      <c r="Q1339">
        <v>0.85</v>
      </c>
    </row>
    <row r="1340" spans="14:17" x14ac:dyDescent="0.45">
      <c r="N1340" t="s">
        <v>27</v>
      </c>
      <c r="O1340" t="s">
        <v>3210</v>
      </c>
      <c r="P1340" t="s">
        <v>2103</v>
      </c>
      <c r="Q1340">
        <v>0.85</v>
      </c>
    </row>
    <row r="1341" spans="14:17" x14ac:dyDescent="0.45">
      <c r="N1341" t="s">
        <v>27</v>
      </c>
      <c r="O1341" t="s">
        <v>3211</v>
      </c>
      <c r="P1341" t="s">
        <v>2107</v>
      </c>
      <c r="Q1341">
        <v>0.85</v>
      </c>
    </row>
    <row r="1342" spans="14:17" x14ac:dyDescent="0.45">
      <c r="N1342" t="s">
        <v>27</v>
      </c>
      <c r="O1342" t="s">
        <v>3212</v>
      </c>
      <c r="P1342" t="s">
        <v>2069</v>
      </c>
      <c r="Q1342">
        <v>0.85</v>
      </c>
    </row>
    <row r="1343" spans="14:17" x14ac:dyDescent="0.45">
      <c r="N1343" t="s">
        <v>27</v>
      </c>
      <c r="O1343" t="s">
        <v>3213</v>
      </c>
      <c r="P1343" t="s">
        <v>2106</v>
      </c>
      <c r="Q1343">
        <v>0.85</v>
      </c>
    </row>
    <row r="1344" spans="14:17" x14ac:dyDescent="0.45">
      <c r="N1344" t="s">
        <v>27</v>
      </c>
      <c r="O1344" t="s">
        <v>3214</v>
      </c>
      <c r="P1344" t="s">
        <v>2078</v>
      </c>
      <c r="Q1344">
        <v>0.85</v>
      </c>
    </row>
    <row r="1345" spans="14:17" x14ac:dyDescent="0.45">
      <c r="N1345" t="s">
        <v>27</v>
      </c>
      <c r="O1345" t="s">
        <v>3215</v>
      </c>
      <c r="P1345" t="s">
        <v>2073</v>
      </c>
      <c r="Q1345">
        <v>0.85</v>
      </c>
    </row>
    <row r="1346" spans="14:17" x14ac:dyDescent="0.45">
      <c r="N1346" t="s">
        <v>27</v>
      </c>
      <c r="O1346" t="s">
        <v>3216</v>
      </c>
      <c r="P1346" t="s">
        <v>2106</v>
      </c>
      <c r="Q1346">
        <v>0.85</v>
      </c>
    </row>
    <row r="1347" spans="14:17" x14ac:dyDescent="0.45">
      <c r="N1347" t="s">
        <v>27</v>
      </c>
      <c r="O1347" t="s">
        <v>3217</v>
      </c>
      <c r="P1347" t="s">
        <v>2058</v>
      </c>
      <c r="Q1347">
        <v>0.85</v>
      </c>
    </row>
    <row r="1348" spans="14:17" x14ac:dyDescent="0.45">
      <c r="N1348" t="s">
        <v>27</v>
      </c>
      <c r="O1348" t="s">
        <v>3218</v>
      </c>
      <c r="P1348" t="s">
        <v>2095</v>
      </c>
      <c r="Q1348">
        <v>0.85</v>
      </c>
    </row>
    <row r="1349" spans="14:17" x14ac:dyDescent="0.45">
      <c r="N1349" t="s">
        <v>27</v>
      </c>
      <c r="O1349" t="s">
        <v>3219</v>
      </c>
      <c r="P1349" t="s">
        <v>2106</v>
      </c>
      <c r="Q1349">
        <v>0.85</v>
      </c>
    </row>
    <row r="1350" spans="14:17" x14ac:dyDescent="0.45">
      <c r="N1350" t="s">
        <v>27</v>
      </c>
      <c r="O1350" t="s">
        <v>3220</v>
      </c>
      <c r="P1350" t="s">
        <v>2087</v>
      </c>
      <c r="Q1350">
        <v>0.85</v>
      </c>
    </row>
    <row r="1351" spans="14:17" x14ac:dyDescent="0.45">
      <c r="N1351" t="s">
        <v>27</v>
      </c>
      <c r="O1351" t="s">
        <v>3221</v>
      </c>
      <c r="P1351" t="s">
        <v>2063</v>
      </c>
      <c r="Q1351">
        <v>0.85</v>
      </c>
    </row>
    <row r="1352" spans="14:17" x14ac:dyDescent="0.45">
      <c r="N1352" t="s">
        <v>27</v>
      </c>
      <c r="O1352" t="s">
        <v>3222</v>
      </c>
      <c r="P1352" t="s">
        <v>2071</v>
      </c>
      <c r="Q1352">
        <v>0.85</v>
      </c>
    </row>
    <row r="1353" spans="14:17" x14ac:dyDescent="0.45">
      <c r="N1353" t="s">
        <v>27</v>
      </c>
      <c r="O1353" t="s">
        <v>3223</v>
      </c>
      <c r="P1353" t="s">
        <v>2101</v>
      </c>
      <c r="Q1353">
        <v>0.85</v>
      </c>
    </row>
    <row r="1354" spans="14:17" x14ac:dyDescent="0.45">
      <c r="N1354" t="s">
        <v>27</v>
      </c>
      <c r="O1354" t="s">
        <v>3224</v>
      </c>
      <c r="P1354" t="s">
        <v>2109</v>
      </c>
      <c r="Q1354">
        <v>0.85</v>
      </c>
    </row>
    <row r="1355" spans="14:17" x14ac:dyDescent="0.45">
      <c r="N1355" t="s">
        <v>27</v>
      </c>
      <c r="O1355" t="s">
        <v>3225</v>
      </c>
      <c r="P1355" t="s">
        <v>2093</v>
      </c>
      <c r="Q1355">
        <v>0.85</v>
      </c>
    </row>
    <row r="1356" spans="14:17" x14ac:dyDescent="0.45">
      <c r="N1356" t="s">
        <v>27</v>
      </c>
      <c r="O1356" t="s">
        <v>3226</v>
      </c>
      <c r="P1356" t="s">
        <v>2060</v>
      </c>
      <c r="Q1356">
        <v>0.85</v>
      </c>
    </row>
    <row r="1357" spans="14:17" x14ac:dyDescent="0.45">
      <c r="N1357" t="s">
        <v>27</v>
      </c>
      <c r="O1357" t="s">
        <v>3227</v>
      </c>
      <c r="P1357" t="s">
        <v>2101</v>
      </c>
      <c r="Q1357">
        <v>0.85</v>
      </c>
    </row>
    <row r="1358" spans="14:17" x14ac:dyDescent="0.45">
      <c r="N1358" t="s">
        <v>27</v>
      </c>
      <c r="O1358" t="s">
        <v>3228</v>
      </c>
      <c r="P1358" t="s">
        <v>2108</v>
      </c>
      <c r="Q1358">
        <v>0.85</v>
      </c>
    </row>
    <row r="1359" spans="14:17" x14ac:dyDescent="0.45">
      <c r="N1359" t="s">
        <v>27</v>
      </c>
      <c r="O1359" t="s">
        <v>3229</v>
      </c>
      <c r="P1359" t="s">
        <v>2059</v>
      </c>
      <c r="Q1359">
        <v>0.85</v>
      </c>
    </row>
    <row r="1360" spans="14:17" x14ac:dyDescent="0.45">
      <c r="N1360" t="s">
        <v>27</v>
      </c>
      <c r="O1360" t="s">
        <v>3230</v>
      </c>
      <c r="P1360" t="s">
        <v>2081</v>
      </c>
      <c r="Q1360">
        <v>0.85</v>
      </c>
    </row>
    <row r="1361" spans="14:17" x14ac:dyDescent="0.45">
      <c r="N1361" t="s">
        <v>27</v>
      </c>
      <c r="O1361" t="s">
        <v>3231</v>
      </c>
      <c r="P1361" t="s">
        <v>2059</v>
      </c>
      <c r="Q1361">
        <v>0.85</v>
      </c>
    </row>
    <row r="1362" spans="14:17" x14ac:dyDescent="0.45">
      <c r="N1362" t="s">
        <v>27</v>
      </c>
      <c r="O1362" t="s">
        <v>3232</v>
      </c>
      <c r="P1362" t="s">
        <v>2101</v>
      </c>
      <c r="Q1362">
        <v>0.85</v>
      </c>
    </row>
    <row r="1363" spans="14:17" x14ac:dyDescent="0.45">
      <c r="N1363" t="s">
        <v>27</v>
      </c>
      <c r="O1363" t="s">
        <v>3233</v>
      </c>
      <c r="P1363" t="s">
        <v>2063</v>
      </c>
      <c r="Q1363">
        <v>0.85</v>
      </c>
    </row>
    <row r="1364" spans="14:17" x14ac:dyDescent="0.45">
      <c r="N1364" t="s">
        <v>27</v>
      </c>
      <c r="O1364" t="s">
        <v>3234</v>
      </c>
      <c r="P1364" t="s">
        <v>2106</v>
      </c>
      <c r="Q1364">
        <v>0.85</v>
      </c>
    </row>
    <row r="1365" spans="14:17" x14ac:dyDescent="0.45">
      <c r="N1365" t="s">
        <v>27</v>
      </c>
      <c r="O1365" t="s">
        <v>3235</v>
      </c>
      <c r="P1365" t="s">
        <v>2082</v>
      </c>
      <c r="Q1365">
        <v>0.85</v>
      </c>
    </row>
    <row r="1366" spans="14:17" x14ac:dyDescent="0.45">
      <c r="N1366" t="s">
        <v>27</v>
      </c>
      <c r="O1366" t="s">
        <v>3236</v>
      </c>
      <c r="P1366" t="s">
        <v>2101</v>
      </c>
      <c r="Q1366">
        <v>0.85</v>
      </c>
    </row>
    <row r="1367" spans="14:17" x14ac:dyDescent="0.45">
      <c r="N1367" t="s">
        <v>27</v>
      </c>
      <c r="O1367" t="s">
        <v>3237</v>
      </c>
      <c r="P1367" t="s">
        <v>2081</v>
      </c>
      <c r="Q1367">
        <v>0.85</v>
      </c>
    </row>
    <row r="1368" spans="14:17" x14ac:dyDescent="0.45">
      <c r="N1368" t="s">
        <v>27</v>
      </c>
      <c r="O1368" t="s">
        <v>3238</v>
      </c>
      <c r="P1368" t="s">
        <v>2104</v>
      </c>
      <c r="Q1368">
        <v>0.85</v>
      </c>
    </row>
    <row r="1369" spans="14:17" x14ac:dyDescent="0.45">
      <c r="N1369" t="s">
        <v>27</v>
      </c>
      <c r="O1369" t="s">
        <v>3239</v>
      </c>
      <c r="P1369" t="s">
        <v>2092</v>
      </c>
      <c r="Q1369">
        <v>0.85</v>
      </c>
    </row>
    <row r="1370" spans="14:17" x14ac:dyDescent="0.45">
      <c r="N1370" t="s">
        <v>27</v>
      </c>
      <c r="O1370" t="s">
        <v>3240</v>
      </c>
      <c r="P1370" t="s">
        <v>2071</v>
      </c>
      <c r="Q1370">
        <v>0.85</v>
      </c>
    </row>
    <row r="1371" spans="14:17" x14ac:dyDescent="0.45">
      <c r="N1371" t="s">
        <v>27</v>
      </c>
      <c r="O1371" t="s">
        <v>3241</v>
      </c>
      <c r="P1371" t="s">
        <v>2089</v>
      </c>
      <c r="Q1371">
        <v>0.85</v>
      </c>
    </row>
    <row r="1372" spans="14:17" x14ac:dyDescent="0.45">
      <c r="N1372" t="s">
        <v>27</v>
      </c>
      <c r="O1372" t="s">
        <v>3242</v>
      </c>
      <c r="P1372" t="s">
        <v>2051</v>
      </c>
      <c r="Q1372">
        <v>0.85</v>
      </c>
    </row>
    <row r="1373" spans="14:17" x14ac:dyDescent="0.45">
      <c r="N1373" t="s">
        <v>27</v>
      </c>
      <c r="O1373" t="s">
        <v>3243</v>
      </c>
      <c r="P1373" t="s">
        <v>2101</v>
      </c>
      <c r="Q1373">
        <v>0.85</v>
      </c>
    </row>
    <row r="1374" spans="14:17" x14ac:dyDescent="0.45">
      <c r="N1374" t="s">
        <v>27</v>
      </c>
      <c r="O1374" t="s">
        <v>3244</v>
      </c>
      <c r="P1374" t="s">
        <v>2054</v>
      </c>
      <c r="Q1374">
        <v>0.85</v>
      </c>
    </row>
    <row r="1375" spans="14:17" x14ac:dyDescent="0.45">
      <c r="N1375" t="s">
        <v>27</v>
      </c>
      <c r="O1375" t="s">
        <v>3245</v>
      </c>
      <c r="P1375" t="s">
        <v>2087</v>
      </c>
      <c r="Q1375">
        <v>0.85</v>
      </c>
    </row>
    <row r="1376" spans="14:17" x14ac:dyDescent="0.45">
      <c r="N1376" t="s">
        <v>27</v>
      </c>
      <c r="O1376" t="s">
        <v>3246</v>
      </c>
      <c r="P1376" t="s">
        <v>2094</v>
      </c>
      <c r="Q1376">
        <v>0.85</v>
      </c>
    </row>
    <row r="1377" spans="14:17" x14ac:dyDescent="0.45">
      <c r="N1377" t="s">
        <v>27</v>
      </c>
      <c r="O1377" t="s">
        <v>3247</v>
      </c>
      <c r="P1377" t="s">
        <v>2075</v>
      </c>
      <c r="Q1377">
        <v>0.85</v>
      </c>
    </row>
    <row r="1378" spans="14:17" x14ac:dyDescent="0.45">
      <c r="N1378" t="s">
        <v>27</v>
      </c>
      <c r="O1378" t="s">
        <v>3248</v>
      </c>
      <c r="P1378" t="s">
        <v>2089</v>
      </c>
      <c r="Q1378">
        <v>0.85</v>
      </c>
    </row>
    <row r="1379" spans="14:17" x14ac:dyDescent="0.45">
      <c r="N1379" t="s">
        <v>27</v>
      </c>
      <c r="O1379" t="s">
        <v>3249</v>
      </c>
      <c r="P1379" t="s">
        <v>2086</v>
      </c>
      <c r="Q1379">
        <v>0.85</v>
      </c>
    </row>
    <row r="1380" spans="14:17" x14ac:dyDescent="0.45">
      <c r="N1380" t="s">
        <v>27</v>
      </c>
      <c r="O1380" t="s">
        <v>3250</v>
      </c>
      <c r="P1380" t="s">
        <v>2106</v>
      </c>
      <c r="Q1380">
        <v>0.85</v>
      </c>
    </row>
    <row r="1381" spans="14:17" x14ac:dyDescent="0.45">
      <c r="N1381" t="s">
        <v>27</v>
      </c>
      <c r="O1381" t="s">
        <v>3251</v>
      </c>
      <c r="P1381" t="s">
        <v>2094</v>
      </c>
      <c r="Q1381">
        <v>0.85</v>
      </c>
    </row>
    <row r="1382" spans="14:17" x14ac:dyDescent="0.45">
      <c r="N1382" t="s">
        <v>27</v>
      </c>
      <c r="O1382" t="s">
        <v>3252</v>
      </c>
      <c r="P1382" t="s">
        <v>2107</v>
      </c>
      <c r="Q1382">
        <v>0.85</v>
      </c>
    </row>
    <row r="1383" spans="14:17" x14ac:dyDescent="0.45">
      <c r="N1383" t="s">
        <v>27</v>
      </c>
      <c r="O1383" t="s">
        <v>3253</v>
      </c>
      <c r="P1383" t="s">
        <v>2086</v>
      </c>
      <c r="Q1383">
        <v>0.85</v>
      </c>
    </row>
    <row r="1384" spans="14:17" x14ac:dyDescent="0.45">
      <c r="N1384" t="s">
        <v>27</v>
      </c>
      <c r="O1384" t="s">
        <v>3254</v>
      </c>
      <c r="P1384" t="s">
        <v>2089</v>
      </c>
      <c r="Q1384">
        <v>0.85</v>
      </c>
    </row>
    <row r="1385" spans="14:17" x14ac:dyDescent="0.45">
      <c r="N1385" t="s">
        <v>27</v>
      </c>
      <c r="O1385" t="s">
        <v>3255</v>
      </c>
      <c r="P1385" t="s">
        <v>2086</v>
      </c>
      <c r="Q1385">
        <v>0.85</v>
      </c>
    </row>
    <row r="1386" spans="14:17" x14ac:dyDescent="0.45">
      <c r="N1386" t="s">
        <v>27</v>
      </c>
      <c r="O1386" t="s">
        <v>3256</v>
      </c>
      <c r="P1386" t="s">
        <v>2101</v>
      </c>
      <c r="Q1386">
        <v>0.85</v>
      </c>
    </row>
    <row r="1387" spans="14:17" x14ac:dyDescent="0.45">
      <c r="N1387" t="s">
        <v>27</v>
      </c>
      <c r="O1387" t="s">
        <v>3257</v>
      </c>
      <c r="P1387" t="s">
        <v>2105</v>
      </c>
      <c r="Q1387">
        <v>0.85</v>
      </c>
    </row>
    <row r="1388" spans="14:17" x14ac:dyDescent="0.45">
      <c r="N1388" t="s">
        <v>27</v>
      </c>
      <c r="O1388" t="s">
        <v>3258</v>
      </c>
      <c r="P1388" t="s">
        <v>2053</v>
      </c>
      <c r="Q1388">
        <v>0.85</v>
      </c>
    </row>
    <row r="1389" spans="14:17" x14ac:dyDescent="0.45">
      <c r="N1389" t="s">
        <v>27</v>
      </c>
      <c r="O1389" t="s">
        <v>3259</v>
      </c>
      <c r="P1389" t="s">
        <v>2079</v>
      </c>
      <c r="Q1389">
        <v>0.85</v>
      </c>
    </row>
    <row r="1390" spans="14:17" x14ac:dyDescent="0.45">
      <c r="N1390" t="s">
        <v>27</v>
      </c>
      <c r="O1390" t="s">
        <v>3260</v>
      </c>
      <c r="P1390" t="s">
        <v>2086</v>
      </c>
      <c r="Q1390">
        <v>0.85</v>
      </c>
    </row>
    <row r="1391" spans="14:17" x14ac:dyDescent="0.45">
      <c r="N1391" t="s">
        <v>27</v>
      </c>
      <c r="O1391" t="s">
        <v>3261</v>
      </c>
      <c r="P1391" t="s">
        <v>2101</v>
      </c>
      <c r="Q1391">
        <v>0.85</v>
      </c>
    </row>
    <row r="1392" spans="14:17" x14ac:dyDescent="0.45">
      <c r="N1392" t="s">
        <v>27</v>
      </c>
      <c r="O1392" t="s">
        <v>3262</v>
      </c>
      <c r="P1392" t="s">
        <v>2058</v>
      </c>
      <c r="Q1392">
        <v>0.85</v>
      </c>
    </row>
    <row r="1393" spans="14:17" x14ac:dyDescent="0.45">
      <c r="N1393" t="s">
        <v>27</v>
      </c>
      <c r="O1393" t="s">
        <v>3263</v>
      </c>
      <c r="P1393" t="s">
        <v>2053</v>
      </c>
      <c r="Q1393">
        <v>0.85</v>
      </c>
    </row>
    <row r="1394" spans="14:17" x14ac:dyDescent="0.45">
      <c r="N1394" t="s">
        <v>27</v>
      </c>
      <c r="O1394" t="s">
        <v>3264</v>
      </c>
      <c r="P1394" t="s">
        <v>2069</v>
      </c>
      <c r="Q1394">
        <v>0.85</v>
      </c>
    </row>
    <row r="1395" spans="14:17" x14ac:dyDescent="0.45">
      <c r="N1395" t="s">
        <v>27</v>
      </c>
      <c r="O1395" t="s">
        <v>3265</v>
      </c>
      <c r="P1395" t="s">
        <v>2105</v>
      </c>
      <c r="Q1395">
        <v>0.85</v>
      </c>
    </row>
    <row r="1396" spans="14:17" x14ac:dyDescent="0.45">
      <c r="N1396" t="s">
        <v>27</v>
      </c>
      <c r="O1396" t="s">
        <v>3266</v>
      </c>
      <c r="P1396" t="s">
        <v>2078</v>
      </c>
      <c r="Q1396">
        <v>0.85</v>
      </c>
    </row>
    <row r="1397" spans="14:17" x14ac:dyDescent="0.45">
      <c r="N1397" t="s">
        <v>27</v>
      </c>
      <c r="O1397" t="s">
        <v>3267</v>
      </c>
      <c r="P1397" t="s">
        <v>2081</v>
      </c>
      <c r="Q1397">
        <v>0.85</v>
      </c>
    </row>
    <row r="1398" spans="14:17" x14ac:dyDescent="0.45">
      <c r="N1398" t="s">
        <v>27</v>
      </c>
      <c r="O1398" t="s">
        <v>3268</v>
      </c>
      <c r="P1398" t="s">
        <v>2081</v>
      </c>
      <c r="Q1398">
        <v>0.85</v>
      </c>
    </row>
    <row r="1399" spans="14:17" x14ac:dyDescent="0.45">
      <c r="N1399" t="s">
        <v>27</v>
      </c>
      <c r="O1399" t="s">
        <v>3269</v>
      </c>
      <c r="P1399" t="s">
        <v>2106</v>
      </c>
      <c r="Q1399">
        <v>0.85</v>
      </c>
    </row>
    <row r="1400" spans="14:17" x14ac:dyDescent="0.45">
      <c r="N1400" t="s">
        <v>27</v>
      </c>
      <c r="O1400" t="s">
        <v>3270</v>
      </c>
      <c r="P1400" t="s">
        <v>2071</v>
      </c>
      <c r="Q1400">
        <v>0.85</v>
      </c>
    </row>
    <row r="1401" spans="14:17" x14ac:dyDescent="0.45">
      <c r="N1401" t="s">
        <v>27</v>
      </c>
      <c r="O1401" t="s">
        <v>3271</v>
      </c>
      <c r="P1401" t="s">
        <v>2051</v>
      </c>
      <c r="Q1401">
        <v>0.85</v>
      </c>
    </row>
    <row r="1402" spans="14:17" x14ac:dyDescent="0.45">
      <c r="N1402" t="s">
        <v>27</v>
      </c>
      <c r="O1402" t="s">
        <v>3272</v>
      </c>
      <c r="P1402" t="s">
        <v>2055</v>
      </c>
      <c r="Q1402">
        <v>0.85</v>
      </c>
    </row>
    <row r="1403" spans="14:17" x14ac:dyDescent="0.45">
      <c r="N1403" t="s">
        <v>27</v>
      </c>
      <c r="O1403" t="s">
        <v>3273</v>
      </c>
      <c r="P1403" t="s">
        <v>2065</v>
      </c>
      <c r="Q1403">
        <v>0.85</v>
      </c>
    </row>
    <row r="1404" spans="14:17" x14ac:dyDescent="0.45">
      <c r="N1404" t="s">
        <v>27</v>
      </c>
      <c r="O1404" t="s">
        <v>3274</v>
      </c>
      <c r="P1404" t="s">
        <v>2106</v>
      </c>
      <c r="Q1404">
        <v>0.85</v>
      </c>
    </row>
    <row r="1405" spans="14:17" x14ac:dyDescent="0.45">
      <c r="N1405" t="s">
        <v>27</v>
      </c>
      <c r="O1405" t="s">
        <v>3275</v>
      </c>
      <c r="P1405" t="s">
        <v>2061</v>
      </c>
      <c r="Q1405">
        <v>0.85</v>
      </c>
    </row>
    <row r="1406" spans="14:17" x14ac:dyDescent="0.45">
      <c r="N1406" t="s">
        <v>27</v>
      </c>
      <c r="O1406" t="s">
        <v>3276</v>
      </c>
      <c r="P1406" t="s">
        <v>2099</v>
      </c>
      <c r="Q1406">
        <v>0.85</v>
      </c>
    </row>
    <row r="1407" spans="14:17" x14ac:dyDescent="0.45">
      <c r="N1407" t="s">
        <v>27</v>
      </c>
      <c r="O1407" t="s">
        <v>3277</v>
      </c>
      <c r="P1407" t="s">
        <v>2106</v>
      </c>
      <c r="Q1407">
        <v>0.85</v>
      </c>
    </row>
    <row r="1408" spans="14:17" x14ac:dyDescent="0.45">
      <c r="N1408" t="s">
        <v>27</v>
      </c>
      <c r="O1408" t="s">
        <v>3278</v>
      </c>
      <c r="P1408" t="s">
        <v>2103</v>
      </c>
      <c r="Q1408">
        <v>0.85</v>
      </c>
    </row>
    <row r="1409" spans="14:17" x14ac:dyDescent="0.45">
      <c r="N1409" t="s">
        <v>27</v>
      </c>
      <c r="O1409" t="s">
        <v>3279</v>
      </c>
      <c r="P1409" t="s">
        <v>2078</v>
      </c>
      <c r="Q1409">
        <v>0.85</v>
      </c>
    </row>
    <row r="1410" spans="14:17" x14ac:dyDescent="0.45">
      <c r="N1410" t="s">
        <v>27</v>
      </c>
      <c r="O1410" t="s">
        <v>3280</v>
      </c>
      <c r="P1410" t="s">
        <v>2062</v>
      </c>
      <c r="Q1410">
        <v>0.85</v>
      </c>
    </row>
    <row r="1411" spans="14:17" x14ac:dyDescent="0.45">
      <c r="N1411" t="s">
        <v>27</v>
      </c>
      <c r="O1411" t="s">
        <v>3281</v>
      </c>
      <c r="P1411" t="s">
        <v>2059</v>
      </c>
      <c r="Q1411">
        <v>0.85</v>
      </c>
    </row>
    <row r="1412" spans="14:17" x14ac:dyDescent="0.45">
      <c r="N1412" t="s">
        <v>27</v>
      </c>
      <c r="O1412" t="s">
        <v>3282</v>
      </c>
      <c r="P1412" t="s">
        <v>2078</v>
      </c>
      <c r="Q1412">
        <v>0.85</v>
      </c>
    </row>
    <row r="1413" spans="14:17" x14ac:dyDescent="0.45">
      <c r="N1413" t="s">
        <v>27</v>
      </c>
      <c r="O1413" t="s">
        <v>3283</v>
      </c>
      <c r="P1413" t="s">
        <v>2107</v>
      </c>
      <c r="Q1413">
        <v>0.85</v>
      </c>
    </row>
    <row r="1414" spans="14:17" x14ac:dyDescent="0.45">
      <c r="N1414" t="s">
        <v>27</v>
      </c>
      <c r="O1414" t="s">
        <v>3284</v>
      </c>
      <c r="P1414" t="s">
        <v>2075</v>
      </c>
      <c r="Q1414">
        <v>0.85</v>
      </c>
    </row>
    <row r="1415" spans="14:17" x14ac:dyDescent="0.45">
      <c r="N1415" t="s">
        <v>27</v>
      </c>
      <c r="O1415" t="s">
        <v>3285</v>
      </c>
      <c r="P1415" t="s">
        <v>2094</v>
      </c>
      <c r="Q1415">
        <v>0.85</v>
      </c>
    </row>
    <row r="1416" spans="14:17" x14ac:dyDescent="0.45">
      <c r="N1416" t="s">
        <v>27</v>
      </c>
      <c r="O1416" t="s">
        <v>3286</v>
      </c>
      <c r="P1416" t="s">
        <v>2099</v>
      </c>
      <c r="Q1416">
        <v>0.85</v>
      </c>
    </row>
    <row r="1417" spans="14:17" x14ac:dyDescent="0.45">
      <c r="N1417" t="s">
        <v>27</v>
      </c>
      <c r="O1417" t="s">
        <v>3287</v>
      </c>
      <c r="P1417" t="s">
        <v>2071</v>
      </c>
      <c r="Q1417">
        <v>0.85</v>
      </c>
    </row>
    <row r="1418" spans="14:17" x14ac:dyDescent="0.45">
      <c r="N1418" t="s">
        <v>27</v>
      </c>
      <c r="O1418" t="s">
        <v>3288</v>
      </c>
      <c r="P1418" t="s">
        <v>2086</v>
      </c>
      <c r="Q1418">
        <v>0.85</v>
      </c>
    </row>
    <row r="1419" spans="14:17" x14ac:dyDescent="0.45">
      <c r="N1419" t="s">
        <v>27</v>
      </c>
      <c r="O1419" t="s">
        <v>3289</v>
      </c>
      <c r="P1419" t="s">
        <v>2083</v>
      </c>
      <c r="Q1419">
        <v>0.85</v>
      </c>
    </row>
    <row r="1420" spans="14:17" x14ac:dyDescent="0.45">
      <c r="N1420" t="s">
        <v>27</v>
      </c>
      <c r="O1420" t="s">
        <v>3290</v>
      </c>
      <c r="P1420" t="s">
        <v>2083</v>
      </c>
      <c r="Q1420">
        <v>0.85</v>
      </c>
    </row>
    <row r="1421" spans="14:17" x14ac:dyDescent="0.45">
      <c r="N1421" t="s">
        <v>27</v>
      </c>
      <c r="O1421" t="s">
        <v>3291</v>
      </c>
      <c r="P1421" t="s">
        <v>2103</v>
      </c>
      <c r="Q1421">
        <v>0.85</v>
      </c>
    </row>
    <row r="1422" spans="14:17" x14ac:dyDescent="0.45">
      <c r="N1422" t="s">
        <v>27</v>
      </c>
      <c r="O1422" t="s">
        <v>3292</v>
      </c>
      <c r="P1422" t="s">
        <v>2087</v>
      </c>
      <c r="Q1422">
        <v>0.85</v>
      </c>
    </row>
    <row r="1423" spans="14:17" x14ac:dyDescent="0.45">
      <c r="N1423" t="s">
        <v>27</v>
      </c>
      <c r="O1423" t="s">
        <v>3293</v>
      </c>
      <c r="P1423" t="s">
        <v>2061</v>
      </c>
      <c r="Q1423">
        <v>0.85</v>
      </c>
    </row>
    <row r="1424" spans="14:17" x14ac:dyDescent="0.45">
      <c r="N1424" t="s">
        <v>27</v>
      </c>
      <c r="O1424" t="s">
        <v>3294</v>
      </c>
      <c r="P1424" t="s">
        <v>2053</v>
      </c>
      <c r="Q1424">
        <v>0.85</v>
      </c>
    </row>
    <row r="1425" spans="14:17" x14ac:dyDescent="0.45">
      <c r="N1425" t="s">
        <v>27</v>
      </c>
      <c r="O1425" t="s">
        <v>3295</v>
      </c>
      <c r="P1425" t="s">
        <v>2101</v>
      </c>
      <c r="Q1425">
        <v>0.85</v>
      </c>
    </row>
    <row r="1426" spans="14:17" x14ac:dyDescent="0.45">
      <c r="N1426" t="s">
        <v>27</v>
      </c>
      <c r="O1426" t="s">
        <v>3296</v>
      </c>
      <c r="P1426" t="s">
        <v>2059</v>
      </c>
      <c r="Q1426">
        <v>0.85</v>
      </c>
    </row>
    <row r="1427" spans="14:17" x14ac:dyDescent="0.45">
      <c r="N1427" t="s">
        <v>27</v>
      </c>
      <c r="O1427" t="s">
        <v>3297</v>
      </c>
      <c r="P1427" t="s">
        <v>2076</v>
      </c>
      <c r="Q1427">
        <v>0.85</v>
      </c>
    </row>
    <row r="1428" spans="14:17" x14ac:dyDescent="0.45">
      <c r="N1428" t="s">
        <v>27</v>
      </c>
      <c r="O1428" t="s">
        <v>3298</v>
      </c>
      <c r="P1428" t="s">
        <v>2057</v>
      </c>
      <c r="Q1428">
        <v>0.85</v>
      </c>
    </row>
    <row r="1429" spans="14:17" x14ac:dyDescent="0.45">
      <c r="N1429" t="s">
        <v>27</v>
      </c>
      <c r="O1429" t="s">
        <v>3299</v>
      </c>
      <c r="P1429" t="s">
        <v>2101</v>
      </c>
      <c r="Q1429">
        <v>0.85</v>
      </c>
    </row>
    <row r="1430" spans="14:17" x14ac:dyDescent="0.45">
      <c r="N1430" t="s">
        <v>27</v>
      </c>
      <c r="O1430" t="s">
        <v>3300</v>
      </c>
      <c r="P1430" t="s">
        <v>2075</v>
      </c>
      <c r="Q1430">
        <v>0.85</v>
      </c>
    </row>
    <row r="1431" spans="14:17" x14ac:dyDescent="0.45">
      <c r="N1431" t="s">
        <v>27</v>
      </c>
      <c r="O1431" t="s">
        <v>3301</v>
      </c>
      <c r="P1431" t="s">
        <v>2075</v>
      </c>
      <c r="Q1431">
        <v>0.85</v>
      </c>
    </row>
    <row r="1432" spans="14:17" x14ac:dyDescent="0.45">
      <c r="N1432" t="s">
        <v>27</v>
      </c>
      <c r="O1432" t="s">
        <v>3302</v>
      </c>
      <c r="P1432" t="s">
        <v>2077</v>
      </c>
      <c r="Q1432">
        <v>0.85</v>
      </c>
    </row>
    <row r="1433" spans="14:17" x14ac:dyDescent="0.45">
      <c r="N1433" t="s">
        <v>27</v>
      </c>
      <c r="O1433" t="s">
        <v>3303</v>
      </c>
      <c r="P1433" t="s">
        <v>2071</v>
      </c>
      <c r="Q1433">
        <v>0.85</v>
      </c>
    </row>
    <row r="1434" spans="14:17" x14ac:dyDescent="0.45">
      <c r="N1434" t="s">
        <v>27</v>
      </c>
      <c r="O1434" t="s">
        <v>3304</v>
      </c>
      <c r="P1434" t="s">
        <v>2106</v>
      </c>
      <c r="Q1434">
        <v>0.85</v>
      </c>
    </row>
    <row r="1435" spans="14:17" x14ac:dyDescent="0.45">
      <c r="N1435" t="s">
        <v>27</v>
      </c>
      <c r="O1435" t="s">
        <v>3305</v>
      </c>
      <c r="P1435" t="s">
        <v>2083</v>
      </c>
      <c r="Q1435">
        <v>0.85</v>
      </c>
    </row>
    <row r="1436" spans="14:17" x14ac:dyDescent="0.45">
      <c r="N1436" t="s">
        <v>27</v>
      </c>
      <c r="O1436" t="s">
        <v>3306</v>
      </c>
      <c r="P1436" t="s">
        <v>2094</v>
      </c>
      <c r="Q1436">
        <v>0.85</v>
      </c>
    </row>
    <row r="1437" spans="14:17" x14ac:dyDescent="0.45">
      <c r="N1437" t="s">
        <v>27</v>
      </c>
      <c r="O1437" t="s">
        <v>3307</v>
      </c>
      <c r="P1437" t="s">
        <v>2081</v>
      </c>
      <c r="Q1437">
        <v>0.85</v>
      </c>
    </row>
    <row r="1438" spans="14:17" x14ac:dyDescent="0.45">
      <c r="N1438" t="s">
        <v>27</v>
      </c>
      <c r="O1438" t="s">
        <v>3308</v>
      </c>
      <c r="P1438" t="s">
        <v>2106</v>
      </c>
      <c r="Q1438">
        <v>0.85</v>
      </c>
    </row>
    <row r="1439" spans="14:17" x14ac:dyDescent="0.45">
      <c r="N1439" t="s">
        <v>27</v>
      </c>
      <c r="O1439" t="s">
        <v>3309</v>
      </c>
      <c r="P1439" t="s">
        <v>2079</v>
      </c>
      <c r="Q1439">
        <v>0.85</v>
      </c>
    </row>
    <row r="1440" spans="14:17" x14ac:dyDescent="0.45">
      <c r="N1440" t="s">
        <v>27</v>
      </c>
      <c r="O1440" t="s">
        <v>3310</v>
      </c>
      <c r="P1440" t="s">
        <v>2106</v>
      </c>
      <c r="Q1440">
        <v>0.85</v>
      </c>
    </row>
    <row r="1441" spans="14:17" x14ac:dyDescent="0.45">
      <c r="N1441" t="s">
        <v>27</v>
      </c>
      <c r="O1441" t="s">
        <v>3311</v>
      </c>
      <c r="P1441" t="s">
        <v>2086</v>
      </c>
      <c r="Q1441">
        <v>0.85</v>
      </c>
    </row>
    <row r="1442" spans="14:17" x14ac:dyDescent="0.45">
      <c r="N1442" t="s">
        <v>27</v>
      </c>
      <c r="O1442" t="s">
        <v>3312</v>
      </c>
      <c r="P1442" t="s">
        <v>2070</v>
      </c>
      <c r="Q1442">
        <v>0.85</v>
      </c>
    </row>
    <row r="1443" spans="14:17" x14ac:dyDescent="0.45">
      <c r="N1443" t="s">
        <v>27</v>
      </c>
      <c r="O1443" t="s">
        <v>3313</v>
      </c>
      <c r="P1443" t="s">
        <v>2092</v>
      </c>
      <c r="Q1443">
        <v>0.85</v>
      </c>
    </row>
    <row r="1444" spans="14:17" x14ac:dyDescent="0.45">
      <c r="N1444" t="s">
        <v>27</v>
      </c>
      <c r="O1444" t="s">
        <v>3314</v>
      </c>
      <c r="P1444" t="s">
        <v>2053</v>
      </c>
      <c r="Q1444">
        <v>0.85</v>
      </c>
    </row>
    <row r="1445" spans="14:17" x14ac:dyDescent="0.45">
      <c r="N1445" t="s">
        <v>27</v>
      </c>
      <c r="O1445" t="s">
        <v>3315</v>
      </c>
      <c r="P1445" t="s">
        <v>2094</v>
      </c>
      <c r="Q1445">
        <v>0.85</v>
      </c>
    </row>
    <row r="1446" spans="14:17" x14ac:dyDescent="0.45">
      <c r="N1446" t="s">
        <v>27</v>
      </c>
      <c r="O1446" t="s">
        <v>3316</v>
      </c>
      <c r="P1446" t="s">
        <v>2065</v>
      </c>
      <c r="Q1446">
        <v>0.85</v>
      </c>
    </row>
    <row r="1447" spans="14:17" x14ac:dyDescent="0.45">
      <c r="N1447" t="s">
        <v>27</v>
      </c>
      <c r="O1447" t="s">
        <v>3317</v>
      </c>
      <c r="P1447" t="s">
        <v>2104</v>
      </c>
      <c r="Q1447">
        <v>0.85</v>
      </c>
    </row>
    <row r="1448" spans="14:17" x14ac:dyDescent="0.45">
      <c r="N1448" t="s">
        <v>27</v>
      </c>
      <c r="O1448" t="s">
        <v>3318</v>
      </c>
      <c r="P1448" t="s">
        <v>2062</v>
      </c>
      <c r="Q1448">
        <v>0.85</v>
      </c>
    </row>
    <row r="1449" spans="14:17" x14ac:dyDescent="0.45">
      <c r="N1449" t="s">
        <v>27</v>
      </c>
      <c r="O1449" t="s">
        <v>3319</v>
      </c>
      <c r="P1449" t="s">
        <v>2059</v>
      </c>
      <c r="Q1449">
        <v>0.85</v>
      </c>
    </row>
    <row r="1450" spans="14:17" x14ac:dyDescent="0.45">
      <c r="N1450" t="s">
        <v>27</v>
      </c>
      <c r="O1450" t="s">
        <v>3320</v>
      </c>
      <c r="P1450" t="s">
        <v>2051</v>
      </c>
      <c r="Q1450">
        <v>0.85</v>
      </c>
    </row>
    <row r="1451" spans="14:17" x14ac:dyDescent="0.45">
      <c r="N1451" t="s">
        <v>27</v>
      </c>
      <c r="O1451" t="s">
        <v>3321</v>
      </c>
      <c r="P1451" t="s">
        <v>2086</v>
      </c>
      <c r="Q1451">
        <v>0.85</v>
      </c>
    </row>
    <row r="1452" spans="14:17" x14ac:dyDescent="0.45">
      <c r="N1452" t="s">
        <v>27</v>
      </c>
      <c r="O1452" t="s">
        <v>3322</v>
      </c>
      <c r="P1452" t="s">
        <v>2075</v>
      </c>
      <c r="Q1452">
        <v>0.85</v>
      </c>
    </row>
    <row r="1453" spans="14:17" x14ac:dyDescent="0.45">
      <c r="N1453" t="s">
        <v>27</v>
      </c>
      <c r="O1453" t="s">
        <v>3323</v>
      </c>
      <c r="P1453" t="s">
        <v>2099</v>
      </c>
      <c r="Q1453">
        <v>0.85</v>
      </c>
    </row>
    <row r="1454" spans="14:17" x14ac:dyDescent="0.45">
      <c r="N1454" t="s">
        <v>27</v>
      </c>
      <c r="O1454" t="s">
        <v>3324</v>
      </c>
      <c r="P1454" t="s">
        <v>2059</v>
      </c>
      <c r="Q1454">
        <v>0.85</v>
      </c>
    </row>
    <row r="1455" spans="14:17" x14ac:dyDescent="0.45">
      <c r="N1455" t="s">
        <v>27</v>
      </c>
      <c r="O1455" t="s">
        <v>3325</v>
      </c>
      <c r="P1455" t="s">
        <v>2107</v>
      </c>
      <c r="Q1455">
        <v>0.85</v>
      </c>
    </row>
    <row r="1456" spans="14:17" x14ac:dyDescent="0.45">
      <c r="N1456" t="s">
        <v>27</v>
      </c>
      <c r="O1456" t="s">
        <v>3326</v>
      </c>
      <c r="P1456" t="s">
        <v>2103</v>
      </c>
      <c r="Q1456">
        <v>0.85</v>
      </c>
    </row>
    <row r="1457" spans="14:17" x14ac:dyDescent="0.45">
      <c r="N1457" t="s">
        <v>27</v>
      </c>
      <c r="O1457" t="s">
        <v>3327</v>
      </c>
      <c r="P1457" t="s">
        <v>2053</v>
      </c>
      <c r="Q1457">
        <v>0.85</v>
      </c>
    </row>
    <row r="1458" spans="14:17" x14ac:dyDescent="0.45">
      <c r="N1458" t="s">
        <v>27</v>
      </c>
      <c r="O1458" t="s">
        <v>3328</v>
      </c>
      <c r="P1458" t="s">
        <v>2102</v>
      </c>
      <c r="Q1458">
        <v>0.85</v>
      </c>
    </row>
    <row r="1459" spans="14:17" x14ac:dyDescent="0.45">
      <c r="N1459" t="s">
        <v>27</v>
      </c>
      <c r="O1459" t="s">
        <v>3329</v>
      </c>
      <c r="P1459" t="s">
        <v>2081</v>
      </c>
      <c r="Q1459">
        <v>0.85</v>
      </c>
    </row>
    <row r="1460" spans="14:17" x14ac:dyDescent="0.45">
      <c r="N1460" t="s">
        <v>27</v>
      </c>
      <c r="O1460" t="s">
        <v>3330</v>
      </c>
      <c r="P1460" t="s">
        <v>2052</v>
      </c>
      <c r="Q1460">
        <v>0.85</v>
      </c>
    </row>
    <row r="1461" spans="14:17" x14ac:dyDescent="0.45">
      <c r="N1461" t="s">
        <v>27</v>
      </c>
      <c r="O1461" t="s">
        <v>3331</v>
      </c>
      <c r="P1461" t="s">
        <v>2078</v>
      </c>
      <c r="Q1461">
        <v>0.85</v>
      </c>
    </row>
    <row r="1462" spans="14:17" x14ac:dyDescent="0.45">
      <c r="N1462" t="s">
        <v>27</v>
      </c>
      <c r="O1462" t="s">
        <v>3332</v>
      </c>
      <c r="P1462" t="s">
        <v>2067</v>
      </c>
      <c r="Q1462">
        <v>0.85</v>
      </c>
    </row>
    <row r="1463" spans="14:17" x14ac:dyDescent="0.45">
      <c r="N1463" t="s">
        <v>27</v>
      </c>
      <c r="O1463" t="s">
        <v>3333</v>
      </c>
      <c r="P1463" t="s">
        <v>2097</v>
      </c>
      <c r="Q1463">
        <v>0.85</v>
      </c>
    </row>
    <row r="1464" spans="14:17" x14ac:dyDescent="0.45">
      <c r="N1464" t="s">
        <v>27</v>
      </c>
      <c r="O1464" t="s">
        <v>3334</v>
      </c>
      <c r="P1464" t="s">
        <v>2068</v>
      </c>
      <c r="Q1464">
        <v>0.85</v>
      </c>
    </row>
    <row r="1465" spans="14:17" x14ac:dyDescent="0.45">
      <c r="N1465" t="s">
        <v>27</v>
      </c>
      <c r="O1465" t="s">
        <v>3335</v>
      </c>
      <c r="P1465" t="s">
        <v>2077</v>
      </c>
      <c r="Q1465">
        <v>0.85</v>
      </c>
    </row>
    <row r="1466" spans="14:17" x14ac:dyDescent="0.45">
      <c r="N1466" t="s">
        <v>27</v>
      </c>
      <c r="O1466" t="s">
        <v>3336</v>
      </c>
      <c r="P1466" t="s">
        <v>2067</v>
      </c>
      <c r="Q1466">
        <v>0.85</v>
      </c>
    </row>
    <row r="1467" spans="14:17" x14ac:dyDescent="0.45">
      <c r="N1467" t="s">
        <v>27</v>
      </c>
      <c r="O1467" t="s">
        <v>3337</v>
      </c>
      <c r="P1467" t="s">
        <v>2092</v>
      </c>
      <c r="Q1467">
        <v>0.85</v>
      </c>
    </row>
    <row r="1468" spans="14:17" x14ac:dyDescent="0.45">
      <c r="N1468" t="s">
        <v>27</v>
      </c>
      <c r="O1468" t="s">
        <v>3338</v>
      </c>
      <c r="P1468" t="s">
        <v>2056</v>
      </c>
      <c r="Q1468">
        <v>0.95</v>
      </c>
    </row>
    <row r="1469" spans="14:17" x14ac:dyDescent="0.45">
      <c r="N1469" t="s">
        <v>27</v>
      </c>
      <c r="O1469" t="s">
        <v>3339</v>
      </c>
      <c r="P1469" t="s">
        <v>2084</v>
      </c>
      <c r="Q1469">
        <v>0.95</v>
      </c>
    </row>
    <row r="1470" spans="14:17" x14ac:dyDescent="0.45">
      <c r="N1470" t="s">
        <v>27</v>
      </c>
      <c r="O1470" t="s">
        <v>3340</v>
      </c>
      <c r="P1470" t="s">
        <v>2082</v>
      </c>
      <c r="Q1470">
        <v>0.95</v>
      </c>
    </row>
    <row r="1471" spans="14:17" x14ac:dyDescent="0.45">
      <c r="N1471" t="s">
        <v>27</v>
      </c>
      <c r="O1471" t="s">
        <v>3341</v>
      </c>
      <c r="P1471" t="s">
        <v>2077</v>
      </c>
      <c r="Q1471">
        <v>0.95</v>
      </c>
    </row>
    <row r="1472" spans="14:17" x14ac:dyDescent="0.45">
      <c r="N1472" t="s">
        <v>27</v>
      </c>
      <c r="O1472" t="s">
        <v>3342</v>
      </c>
      <c r="P1472" t="s">
        <v>2089</v>
      </c>
      <c r="Q1472">
        <v>0.95</v>
      </c>
    </row>
    <row r="1473" spans="14:17" x14ac:dyDescent="0.45">
      <c r="N1473" t="s">
        <v>27</v>
      </c>
      <c r="O1473" t="s">
        <v>3343</v>
      </c>
      <c r="P1473" t="s">
        <v>2071</v>
      </c>
      <c r="Q1473">
        <v>0.95</v>
      </c>
    </row>
    <row r="1474" spans="14:17" x14ac:dyDescent="0.45">
      <c r="N1474" t="s">
        <v>27</v>
      </c>
      <c r="O1474" t="s">
        <v>3344</v>
      </c>
      <c r="P1474" t="s">
        <v>2065</v>
      </c>
      <c r="Q1474">
        <v>0.95</v>
      </c>
    </row>
    <row r="1475" spans="14:17" x14ac:dyDescent="0.45">
      <c r="N1475" t="s">
        <v>27</v>
      </c>
      <c r="O1475" t="s">
        <v>3345</v>
      </c>
      <c r="P1475" t="s">
        <v>2065</v>
      </c>
      <c r="Q1475">
        <v>0.95</v>
      </c>
    </row>
    <row r="1476" spans="14:17" x14ac:dyDescent="0.45">
      <c r="N1476" t="s">
        <v>27</v>
      </c>
      <c r="O1476" t="s">
        <v>3346</v>
      </c>
      <c r="P1476" t="s">
        <v>2063</v>
      </c>
      <c r="Q1476">
        <v>0.95</v>
      </c>
    </row>
    <row r="1477" spans="14:17" x14ac:dyDescent="0.45">
      <c r="N1477" t="s">
        <v>27</v>
      </c>
      <c r="O1477" t="s">
        <v>3347</v>
      </c>
      <c r="P1477" t="s">
        <v>2051</v>
      </c>
      <c r="Q1477">
        <v>0.95</v>
      </c>
    </row>
    <row r="1478" spans="14:17" x14ac:dyDescent="0.45">
      <c r="N1478" t="s">
        <v>27</v>
      </c>
      <c r="O1478" t="s">
        <v>3348</v>
      </c>
      <c r="P1478" t="s">
        <v>2051</v>
      </c>
      <c r="Q1478">
        <v>0.95</v>
      </c>
    </row>
    <row r="1479" spans="14:17" x14ac:dyDescent="0.45">
      <c r="N1479" t="s">
        <v>27</v>
      </c>
      <c r="O1479" t="s">
        <v>3349</v>
      </c>
      <c r="P1479" t="s">
        <v>2056</v>
      </c>
      <c r="Q1479">
        <v>0.95</v>
      </c>
    </row>
    <row r="1480" spans="14:17" x14ac:dyDescent="0.45">
      <c r="N1480" t="s">
        <v>27</v>
      </c>
      <c r="O1480" t="s">
        <v>3350</v>
      </c>
      <c r="P1480" t="s">
        <v>2089</v>
      </c>
      <c r="Q1480">
        <v>0.95</v>
      </c>
    </row>
    <row r="1481" spans="14:17" x14ac:dyDescent="0.45">
      <c r="N1481" t="s">
        <v>27</v>
      </c>
      <c r="O1481" t="s">
        <v>3351</v>
      </c>
      <c r="P1481" t="s">
        <v>2063</v>
      </c>
      <c r="Q1481">
        <v>0.95</v>
      </c>
    </row>
    <row r="1482" spans="14:17" x14ac:dyDescent="0.45">
      <c r="N1482" t="s">
        <v>27</v>
      </c>
      <c r="O1482" t="s">
        <v>3352</v>
      </c>
      <c r="P1482" t="s">
        <v>2051</v>
      </c>
      <c r="Q1482">
        <v>0.95</v>
      </c>
    </row>
    <row r="1483" spans="14:17" x14ac:dyDescent="0.45">
      <c r="N1483" t="s">
        <v>27</v>
      </c>
      <c r="O1483" t="s">
        <v>3353</v>
      </c>
      <c r="P1483" t="s">
        <v>2051</v>
      </c>
      <c r="Q1483">
        <v>0.95</v>
      </c>
    </row>
    <row r="1484" spans="14:17" x14ac:dyDescent="0.45">
      <c r="N1484" t="s">
        <v>27</v>
      </c>
      <c r="O1484" t="s">
        <v>3354</v>
      </c>
      <c r="P1484" t="s">
        <v>2094</v>
      </c>
      <c r="Q1484">
        <v>0.95</v>
      </c>
    </row>
    <row r="1485" spans="14:17" x14ac:dyDescent="0.45">
      <c r="N1485" t="s">
        <v>27</v>
      </c>
      <c r="O1485" t="s">
        <v>3355</v>
      </c>
      <c r="P1485" t="s">
        <v>2084</v>
      </c>
      <c r="Q1485">
        <v>0.95</v>
      </c>
    </row>
    <row r="1486" spans="14:17" x14ac:dyDescent="0.45">
      <c r="N1486" t="s">
        <v>27</v>
      </c>
      <c r="O1486" t="s">
        <v>3356</v>
      </c>
      <c r="P1486" t="s">
        <v>2071</v>
      </c>
      <c r="Q1486">
        <v>0.95</v>
      </c>
    </row>
    <row r="1487" spans="14:17" x14ac:dyDescent="0.45">
      <c r="N1487" t="s">
        <v>27</v>
      </c>
      <c r="O1487" t="s">
        <v>3357</v>
      </c>
      <c r="P1487" t="s">
        <v>2076</v>
      </c>
      <c r="Q1487">
        <v>0.85</v>
      </c>
    </row>
    <row r="1488" spans="14:17" x14ac:dyDescent="0.45">
      <c r="N1488" t="s">
        <v>27</v>
      </c>
      <c r="O1488" t="s">
        <v>3358</v>
      </c>
      <c r="P1488" t="s">
        <v>2106</v>
      </c>
      <c r="Q1488">
        <v>0.85</v>
      </c>
    </row>
    <row r="1489" spans="14:17" x14ac:dyDescent="0.45">
      <c r="N1489" t="s">
        <v>27</v>
      </c>
      <c r="O1489" t="s">
        <v>3359</v>
      </c>
      <c r="P1489" t="s">
        <v>2102</v>
      </c>
      <c r="Q1489">
        <v>0.85</v>
      </c>
    </row>
    <row r="1490" spans="14:17" x14ac:dyDescent="0.45">
      <c r="N1490" t="s">
        <v>27</v>
      </c>
      <c r="O1490" t="s">
        <v>3360</v>
      </c>
      <c r="P1490" t="s">
        <v>2103</v>
      </c>
      <c r="Q1490">
        <v>0.85</v>
      </c>
    </row>
    <row r="1491" spans="14:17" x14ac:dyDescent="0.45">
      <c r="N1491" t="s">
        <v>27</v>
      </c>
      <c r="O1491" t="s">
        <v>3361</v>
      </c>
      <c r="P1491" t="s">
        <v>2086</v>
      </c>
      <c r="Q1491">
        <v>0.85</v>
      </c>
    </row>
    <row r="1492" spans="14:17" x14ac:dyDescent="0.45">
      <c r="N1492" t="s">
        <v>27</v>
      </c>
      <c r="O1492" t="s">
        <v>3362</v>
      </c>
      <c r="P1492" t="s">
        <v>2059</v>
      </c>
      <c r="Q1492">
        <v>0.85</v>
      </c>
    </row>
    <row r="1493" spans="14:17" x14ac:dyDescent="0.45">
      <c r="N1493" t="s">
        <v>27</v>
      </c>
      <c r="O1493" t="s">
        <v>3363</v>
      </c>
      <c r="P1493" t="s">
        <v>2071</v>
      </c>
      <c r="Q1493">
        <v>0.85</v>
      </c>
    </row>
    <row r="1494" spans="14:17" x14ac:dyDescent="0.45">
      <c r="N1494" t="s">
        <v>27</v>
      </c>
      <c r="O1494" t="s">
        <v>3364</v>
      </c>
      <c r="P1494" t="s">
        <v>2086</v>
      </c>
      <c r="Q1494">
        <v>0.85</v>
      </c>
    </row>
    <row r="1495" spans="14:17" x14ac:dyDescent="0.45">
      <c r="N1495" t="s">
        <v>27</v>
      </c>
      <c r="O1495" t="s">
        <v>3365</v>
      </c>
      <c r="P1495" t="s">
        <v>2075</v>
      </c>
      <c r="Q1495">
        <v>0.85</v>
      </c>
    </row>
    <row r="1496" spans="14:17" x14ac:dyDescent="0.45">
      <c r="N1496" t="s">
        <v>27</v>
      </c>
      <c r="O1496" t="s">
        <v>3366</v>
      </c>
      <c r="P1496" t="s">
        <v>2051</v>
      </c>
      <c r="Q1496">
        <v>0.85</v>
      </c>
    </row>
    <row r="1497" spans="14:17" x14ac:dyDescent="0.45">
      <c r="N1497" t="s">
        <v>27</v>
      </c>
      <c r="O1497" t="s">
        <v>3367</v>
      </c>
      <c r="P1497" t="s">
        <v>2055</v>
      </c>
      <c r="Q1497">
        <v>0.85</v>
      </c>
    </row>
    <row r="1498" spans="14:17" x14ac:dyDescent="0.45">
      <c r="N1498" t="s">
        <v>27</v>
      </c>
      <c r="O1498" t="s">
        <v>3368</v>
      </c>
      <c r="P1498" t="s">
        <v>2099</v>
      </c>
      <c r="Q1498">
        <v>0.85</v>
      </c>
    </row>
    <row r="1499" spans="14:17" x14ac:dyDescent="0.45">
      <c r="N1499" t="s">
        <v>27</v>
      </c>
      <c r="O1499" t="s">
        <v>3369</v>
      </c>
      <c r="P1499" t="s">
        <v>2106</v>
      </c>
      <c r="Q1499">
        <v>0.85</v>
      </c>
    </row>
    <row r="1500" spans="14:17" x14ac:dyDescent="0.45">
      <c r="N1500" t="s">
        <v>27</v>
      </c>
      <c r="O1500" t="s">
        <v>3370</v>
      </c>
      <c r="P1500" t="s">
        <v>2103</v>
      </c>
      <c r="Q1500">
        <v>0.85</v>
      </c>
    </row>
    <row r="1501" spans="14:17" x14ac:dyDescent="0.45">
      <c r="N1501" t="s">
        <v>27</v>
      </c>
      <c r="O1501" t="s">
        <v>3371</v>
      </c>
      <c r="P1501" t="s">
        <v>2056</v>
      </c>
      <c r="Q1501">
        <v>0.85</v>
      </c>
    </row>
    <row r="1502" spans="14:17" x14ac:dyDescent="0.45">
      <c r="N1502" t="s">
        <v>27</v>
      </c>
      <c r="O1502" t="s">
        <v>3372</v>
      </c>
      <c r="P1502" t="s">
        <v>2071</v>
      </c>
      <c r="Q1502">
        <v>0.85</v>
      </c>
    </row>
    <row r="1503" spans="14:17" x14ac:dyDescent="0.45">
      <c r="N1503" t="s">
        <v>27</v>
      </c>
      <c r="O1503" t="s">
        <v>3373</v>
      </c>
      <c r="P1503" t="s">
        <v>2104</v>
      </c>
      <c r="Q1503">
        <v>0.85</v>
      </c>
    </row>
    <row r="1504" spans="14:17" x14ac:dyDescent="0.45">
      <c r="N1504" t="s">
        <v>27</v>
      </c>
      <c r="O1504" t="s">
        <v>3374</v>
      </c>
      <c r="P1504" t="s">
        <v>2086</v>
      </c>
      <c r="Q1504">
        <v>0.85</v>
      </c>
    </row>
    <row r="1505" spans="14:17" x14ac:dyDescent="0.45">
      <c r="N1505" t="s">
        <v>27</v>
      </c>
      <c r="O1505" t="s">
        <v>3375</v>
      </c>
      <c r="P1505" t="s">
        <v>2086</v>
      </c>
      <c r="Q1505">
        <v>0.85</v>
      </c>
    </row>
    <row r="1506" spans="14:17" x14ac:dyDescent="0.45">
      <c r="N1506" t="s">
        <v>27</v>
      </c>
      <c r="O1506" t="s">
        <v>3376</v>
      </c>
      <c r="P1506" t="s">
        <v>2086</v>
      </c>
      <c r="Q1506">
        <v>0.85</v>
      </c>
    </row>
    <row r="1507" spans="14:17" x14ac:dyDescent="0.45">
      <c r="N1507" t="s">
        <v>27</v>
      </c>
      <c r="O1507" t="s">
        <v>3377</v>
      </c>
      <c r="P1507" t="s">
        <v>2065</v>
      </c>
      <c r="Q1507">
        <v>0.85</v>
      </c>
    </row>
    <row r="1508" spans="14:17" x14ac:dyDescent="0.45">
      <c r="N1508" t="s">
        <v>27</v>
      </c>
      <c r="O1508" t="s">
        <v>3378</v>
      </c>
      <c r="P1508" t="s">
        <v>2107</v>
      </c>
      <c r="Q1508">
        <v>0.85</v>
      </c>
    </row>
    <row r="1509" spans="14:17" x14ac:dyDescent="0.45">
      <c r="N1509" t="s">
        <v>27</v>
      </c>
      <c r="O1509" t="s">
        <v>3379</v>
      </c>
      <c r="P1509" t="s">
        <v>2100</v>
      </c>
      <c r="Q1509">
        <v>0.85</v>
      </c>
    </row>
    <row r="1510" spans="14:17" x14ac:dyDescent="0.45">
      <c r="N1510" t="s">
        <v>27</v>
      </c>
      <c r="O1510" t="s">
        <v>3380</v>
      </c>
      <c r="P1510" t="s">
        <v>2057</v>
      </c>
      <c r="Q1510">
        <v>0.85</v>
      </c>
    </row>
    <row r="1511" spans="14:17" x14ac:dyDescent="0.45">
      <c r="N1511" t="s">
        <v>27</v>
      </c>
      <c r="O1511" t="s">
        <v>3381</v>
      </c>
      <c r="P1511" t="s">
        <v>2105</v>
      </c>
      <c r="Q1511">
        <v>0.85</v>
      </c>
    </row>
    <row r="1512" spans="14:17" x14ac:dyDescent="0.45">
      <c r="N1512" t="s">
        <v>27</v>
      </c>
      <c r="O1512" t="s">
        <v>3382</v>
      </c>
      <c r="P1512" t="s">
        <v>2094</v>
      </c>
      <c r="Q1512">
        <v>0.85</v>
      </c>
    </row>
    <row r="1513" spans="14:17" x14ac:dyDescent="0.45">
      <c r="N1513" t="s">
        <v>27</v>
      </c>
      <c r="O1513" t="s">
        <v>3383</v>
      </c>
      <c r="P1513" t="s">
        <v>2101</v>
      </c>
      <c r="Q1513">
        <v>0.85</v>
      </c>
    </row>
    <row r="1514" spans="14:17" x14ac:dyDescent="0.45">
      <c r="N1514" t="s">
        <v>27</v>
      </c>
      <c r="O1514" t="s">
        <v>3384</v>
      </c>
      <c r="P1514" t="s">
        <v>2099</v>
      </c>
      <c r="Q1514">
        <v>0.85</v>
      </c>
    </row>
    <row r="1515" spans="14:17" x14ac:dyDescent="0.45">
      <c r="N1515" t="s">
        <v>27</v>
      </c>
      <c r="O1515" t="s">
        <v>3385</v>
      </c>
      <c r="P1515" t="s">
        <v>2107</v>
      </c>
      <c r="Q1515">
        <v>0.85</v>
      </c>
    </row>
    <row r="1516" spans="14:17" x14ac:dyDescent="0.45">
      <c r="N1516" t="s">
        <v>27</v>
      </c>
      <c r="O1516" t="s">
        <v>3386</v>
      </c>
      <c r="P1516" t="s">
        <v>2082</v>
      </c>
      <c r="Q1516">
        <v>0.85</v>
      </c>
    </row>
    <row r="1517" spans="14:17" x14ac:dyDescent="0.45">
      <c r="N1517" t="s">
        <v>27</v>
      </c>
      <c r="O1517" t="s">
        <v>3387</v>
      </c>
      <c r="P1517" t="s">
        <v>2063</v>
      </c>
      <c r="Q1517">
        <v>0.85</v>
      </c>
    </row>
    <row r="1518" spans="14:17" x14ac:dyDescent="0.45">
      <c r="N1518" t="s">
        <v>27</v>
      </c>
      <c r="O1518" t="s">
        <v>3388</v>
      </c>
      <c r="P1518" t="s">
        <v>2075</v>
      </c>
      <c r="Q1518">
        <v>0.85</v>
      </c>
    </row>
    <row r="1519" spans="14:17" x14ac:dyDescent="0.45">
      <c r="N1519" t="s">
        <v>27</v>
      </c>
      <c r="O1519" t="s">
        <v>3389</v>
      </c>
      <c r="P1519" t="s">
        <v>2106</v>
      </c>
      <c r="Q1519">
        <v>0.85</v>
      </c>
    </row>
    <row r="1520" spans="14:17" x14ac:dyDescent="0.45">
      <c r="N1520" t="s">
        <v>27</v>
      </c>
      <c r="O1520" t="s">
        <v>3390</v>
      </c>
      <c r="P1520" t="s">
        <v>2097</v>
      </c>
      <c r="Q1520">
        <v>0.85</v>
      </c>
    </row>
    <row r="1521" spans="14:17" x14ac:dyDescent="0.45">
      <c r="N1521" t="s">
        <v>27</v>
      </c>
      <c r="O1521" t="s">
        <v>3391</v>
      </c>
      <c r="P1521" t="s">
        <v>2078</v>
      </c>
      <c r="Q1521">
        <v>0.85</v>
      </c>
    </row>
    <row r="1522" spans="14:17" x14ac:dyDescent="0.45">
      <c r="N1522" t="s">
        <v>27</v>
      </c>
      <c r="O1522" t="s">
        <v>3392</v>
      </c>
      <c r="P1522" t="s">
        <v>2051</v>
      </c>
      <c r="Q1522">
        <v>0.85</v>
      </c>
    </row>
    <row r="1523" spans="14:17" x14ac:dyDescent="0.45">
      <c r="N1523" t="s">
        <v>27</v>
      </c>
      <c r="O1523" t="s">
        <v>3393</v>
      </c>
      <c r="P1523" t="s">
        <v>2068</v>
      </c>
      <c r="Q1523">
        <v>0.85</v>
      </c>
    </row>
    <row r="1524" spans="14:17" x14ac:dyDescent="0.45">
      <c r="N1524" t="s">
        <v>27</v>
      </c>
      <c r="O1524" t="s">
        <v>3394</v>
      </c>
      <c r="P1524" t="s">
        <v>2051</v>
      </c>
      <c r="Q1524">
        <v>0.85</v>
      </c>
    </row>
    <row r="1525" spans="14:17" x14ac:dyDescent="0.45">
      <c r="N1525" t="s">
        <v>27</v>
      </c>
      <c r="O1525" t="s">
        <v>3395</v>
      </c>
      <c r="P1525" t="s">
        <v>2089</v>
      </c>
      <c r="Q1525">
        <v>0.85</v>
      </c>
    </row>
    <row r="1526" spans="14:17" x14ac:dyDescent="0.45">
      <c r="N1526" t="s">
        <v>27</v>
      </c>
      <c r="O1526" t="s">
        <v>3396</v>
      </c>
      <c r="P1526" t="s">
        <v>2058</v>
      </c>
      <c r="Q1526">
        <v>0.85</v>
      </c>
    </row>
    <row r="1527" spans="14:17" x14ac:dyDescent="0.45">
      <c r="N1527" t="s">
        <v>27</v>
      </c>
      <c r="O1527" t="s">
        <v>3397</v>
      </c>
      <c r="P1527" t="s">
        <v>2075</v>
      </c>
      <c r="Q1527">
        <v>0.85</v>
      </c>
    </row>
    <row r="1528" spans="14:17" x14ac:dyDescent="0.45">
      <c r="N1528" t="s">
        <v>27</v>
      </c>
      <c r="O1528" t="s">
        <v>3398</v>
      </c>
      <c r="P1528" t="s">
        <v>2092</v>
      </c>
      <c r="Q1528">
        <v>0.85</v>
      </c>
    </row>
    <row r="1529" spans="14:17" x14ac:dyDescent="0.45">
      <c r="N1529" t="s">
        <v>27</v>
      </c>
      <c r="O1529" t="s">
        <v>3399</v>
      </c>
      <c r="P1529" t="s">
        <v>2099</v>
      </c>
      <c r="Q1529">
        <v>0.85</v>
      </c>
    </row>
    <row r="1530" spans="14:17" x14ac:dyDescent="0.45">
      <c r="N1530" t="s">
        <v>27</v>
      </c>
      <c r="O1530" t="s">
        <v>3400</v>
      </c>
      <c r="P1530" t="s">
        <v>2069</v>
      </c>
      <c r="Q1530">
        <v>0.85</v>
      </c>
    </row>
    <row r="1531" spans="14:17" x14ac:dyDescent="0.45">
      <c r="N1531" t="s">
        <v>27</v>
      </c>
      <c r="O1531" t="s">
        <v>3401</v>
      </c>
      <c r="P1531" t="s">
        <v>2078</v>
      </c>
      <c r="Q1531">
        <v>0.85</v>
      </c>
    </row>
    <row r="1532" spans="14:17" x14ac:dyDescent="0.45">
      <c r="N1532" t="s">
        <v>27</v>
      </c>
      <c r="O1532" t="s">
        <v>3402</v>
      </c>
      <c r="P1532" t="s">
        <v>2069</v>
      </c>
      <c r="Q1532">
        <v>0.85</v>
      </c>
    </row>
    <row r="1533" spans="14:17" x14ac:dyDescent="0.45">
      <c r="N1533" t="s">
        <v>27</v>
      </c>
      <c r="O1533" t="s">
        <v>3403</v>
      </c>
      <c r="P1533" t="s">
        <v>2064</v>
      </c>
      <c r="Q1533">
        <v>0.85</v>
      </c>
    </row>
    <row r="1534" spans="14:17" x14ac:dyDescent="0.45">
      <c r="N1534" t="s">
        <v>27</v>
      </c>
      <c r="O1534" t="s">
        <v>3404</v>
      </c>
      <c r="P1534" t="s">
        <v>2067</v>
      </c>
      <c r="Q1534">
        <v>0.85</v>
      </c>
    </row>
    <row r="1535" spans="14:17" x14ac:dyDescent="0.45">
      <c r="N1535" t="s">
        <v>27</v>
      </c>
      <c r="O1535" t="s">
        <v>3405</v>
      </c>
      <c r="P1535" t="s">
        <v>2052</v>
      </c>
      <c r="Q1535">
        <v>0.85</v>
      </c>
    </row>
    <row r="1536" spans="14:17" x14ac:dyDescent="0.45">
      <c r="N1536" t="s">
        <v>27</v>
      </c>
      <c r="O1536" t="s">
        <v>3406</v>
      </c>
      <c r="P1536" t="s">
        <v>2071</v>
      </c>
      <c r="Q1536">
        <v>0.85</v>
      </c>
    </row>
    <row r="1537" spans="14:17" x14ac:dyDescent="0.45">
      <c r="N1537" t="s">
        <v>27</v>
      </c>
      <c r="O1537" t="s">
        <v>3407</v>
      </c>
      <c r="P1537" t="s">
        <v>2087</v>
      </c>
      <c r="Q1537">
        <v>0.85</v>
      </c>
    </row>
    <row r="1538" spans="14:17" x14ac:dyDescent="0.45">
      <c r="N1538" t="s">
        <v>27</v>
      </c>
      <c r="O1538" t="s">
        <v>3408</v>
      </c>
      <c r="P1538" t="s">
        <v>2067</v>
      </c>
      <c r="Q1538">
        <v>0.85</v>
      </c>
    </row>
    <row r="1539" spans="14:17" x14ac:dyDescent="0.45">
      <c r="N1539" t="s">
        <v>27</v>
      </c>
      <c r="O1539" t="s">
        <v>3409</v>
      </c>
      <c r="P1539" t="s">
        <v>2065</v>
      </c>
      <c r="Q1539">
        <v>0.85</v>
      </c>
    </row>
    <row r="1540" spans="14:17" x14ac:dyDescent="0.45">
      <c r="N1540" t="s">
        <v>27</v>
      </c>
      <c r="O1540" t="s">
        <v>3410</v>
      </c>
      <c r="P1540" t="s">
        <v>2102</v>
      </c>
      <c r="Q1540">
        <v>0.85</v>
      </c>
    </row>
    <row r="1541" spans="14:17" x14ac:dyDescent="0.45">
      <c r="N1541" t="s">
        <v>27</v>
      </c>
      <c r="O1541" t="s">
        <v>3411</v>
      </c>
      <c r="P1541" t="s">
        <v>2076</v>
      </c>
      <c r="Q1541">
        <v>0.85</v>
      </c>
    </row>
    <row r="1542" spans="14:17" x14ac:dyDescent="0.45">
      <c r="N1542" t="s">
        <v>27</v>
      </c>
      <c r="O1542" t="s">
        <v>3412</v>
      </c>
      <c r="P1542" t="s">
        <v>2103</v>
      </c>
      <c r="Q1542">
        <v>0.85</v>
      </c>
    </row>
    <row r="1543" spans="14:17" x14ac:dyDescent="0.45">
      <c r="N1543" t="s">
        <v>27</v>
      </c>
      <c r="O1543" t="s">
        <v>3413</v>
      </c>
      <c r="P1543" t="s">
        <v>2101</v>
      </c>
      <c r="Q1543">
        <v>0.85</v>
      </c>
    </row>
    <row r="1544" spans="14:17" x14ac:dyDescent="0.45">
      <c r="N1544" t="s">
        <v>27</v>
      </c>
      <c r="O1544" t="s">
        <v>3414</v>
      </c>
      <c r="P1544" t="s">
        <v>2106</v>
      </c>
      <c r="Q1544">
        <v>0.85</v>
      </c>
    </row>
    <row r="1545" spans="14:17" x14ac:dyDescent="0.45">
      <c r="N1545" t="s">
        <v>27</v>
      </c>
      <c r="O1545" t="s">
        <v>3415</v>
      </c>
      <c r="P1545" t="s">
        <v>2081</v>
      </c>
      <c r="Q1545">
        <v>0.85</v>
      </c>
    </row>
    <row r="1546" spans="14:17" x14ac:dyDescent="0.45">
      <c r="N1546" t="s">
        <v>27</v>
      </c>
      <c r="O1546" t="s">
        <v>3416</v>
      </c>
      <c r="P1546" t="s">
        <v>2101</v>
      </c>
      <c r="Q1546">
        <v>0.85</v>
      </c>
    </row>
    <row r="1547" spans="14:17" x14ac:dyDescent="0.45">
      <c r="N1547" t="s">
        <v>27</v>
      </c>
      <c r="O1547" t="s">
        <v>3417</v>
      </c>
      <c r="P1547" t="s">
        <v>2086</v>
      </c>
      <c r="Q1547">
        <v>0.85</v>
      </c>
    </row>
    <row r="1548" spans="14:17" x14ac:dyDescent="0.45">
      <c r="N1548" t="s">
        <v>27</v>
      </c>
      <c r="O1548" t="s">
        <v>3418</v>
      </c>
      <c r="P1548" t="s">
        <v>2065</v>
      </c>
      <c r="Q1548">
        <v>0.85</v>
      </c>
    </row>
    <row r="1549" spans="14:17" x14ac:dyDescent="0.45">
      <c r="N1549" t="s">
        <v>27</v>
      </c>
      <c r="O1549" t="s">
        <v>3419</v>
      </c>
      <c r="P1549" t="s">
        <v>2065</v>
      </c>
      <c r="Q1549">
        <v>0.85</v>
      </c>
    </row>
    <row r="1550" spans="14:17" x14ac:dyDescent="0.45">
      <c r="N1550" t="s">
        <v>27</v>
      </c>
      <c r="O1550" t="s">
        <v>3420</v>
      </c>
      <c r="P1550" t="s">
        <v>2103</v>
      </c>
      <c r="Q1550">
        <v>0.85</v>
      </c>
    </row>
    <row r="1551" spans="14:17" x14ac:dyDescent="0.45">
      <c r="N1551" t="s">
        <v>27</v>
      </c>
      <c r="O1551" t="s">
        <v>3421</v>
      </c>
      <c r="P1551" t="s">
        <v>2051</v>
      </c>
      <c r="Q1551">
        <v>0.85</v>
      </c>
    </row>
    <row r="1552" spans="14:17" x14ac:dyDescent="0.45">
      <c r="N1552" t="s">
        <v>27</v>
      </c>
      <c r="O1552" t="s">
        <v>3422</v>
      </c>
      <c r="P1552" t="s">
        <v>2078</v>
      </c>
      <c r="Q1552">
        <v>0.85</v>
      </c>
    </row>
    <row r="1553" spans="14:17" x14ac:dyDescent="0.45">
      <c r="N1553" t="s">
        <v>27</v>
      </c>
      <c r="O1553" t="s">
        <v>3423</v>
      </c>
      <c r="P1553" t="s">
        <v>2087</v>
      </c>
      <c r="Q1553">
        <v>0.85</v>
      </c>
    </row>
    <row r="1554" spans="14:17" x14ac:dyDescent="0.45">
      <c r="N1554" t="s">
        <v>27</v>
      </c>
      <c r="O1554" t="s">
        <v>3424</v>
      </c>
      <c r="P1554" t="s">
        <v>2089</v>
      </c>
      <c r="Q1554">
        <v>0.85</v>
      </c>
    </row>
    <row r="1555" spans="14:17" x14ac:dyDescent="0.45">
      <c r="N1555" t="s">
        <v>27</v>
      </c>
      <c r="O1555" t="s">
        <v>3425</v>
      </c>
      <c r="P1555" t="s">
        <v>2107</v>
      </c>
      <c r="Q1555">
        <v>0.85</v>
      </c>
    </row>
    <row r="1556" spans="14:17" x14ac:dyDescent="0.45">
      <c r="N1556" t="s">
        <v>27</v>
      </c>
      <c r="O1556" t="s">
        <v>3426</v>
      </c>
      <c r="P1556" t="s">
        <v>2107</v>
      </c>
      <c r="Q1556">
        <v>0.85</v>
      </c>
    </row>
    <row r="1557" spans="14:17" x14ac:dyDescent="0.45">
      <c r="N1557" t="s">
        <v>27</v>
      </c>
      <c r="O1557" t="s">
        <v>3427</v>
      </c>
      <c r="P1557" t="s">
        <v>2054</v>
      </c>
      <c r="Q1557">
        <v>0.85</v>
      </c>
    </row>
    <row r="1558" spans="14:17" x14ac:dyDescent="0.45">
      <c r="N1558" t="s">
        <v>27</v>
      </c>
      <c r="O1558" t="s">
        <v>3428</v>
      </c>
      <c r="P1558" t="s">
        <v>2107</v>
      </c>
      <c r="Q1558">
        <v>0.85</v>
      </c>
    </row>
    <row r="1559" spans="14:17" x14ac:dyDescent="0.45">
      <c r="N1559" t="s">
        <v>27</v>
      </c>
      <c r="O1559" t="s">
        <v>3429</v>
      </c>
      <c r="P1559" t="s">
        <v>2107</v>
      </c>
      <c r="Q1559">
        <v>0.85</v>
      </c>
    </row>
    <row r="1560" spans="14:17" x14ac:dyDescent="0.45">
      <c r="N1560" t="s">
        <v>27</v>
      </c>
      <c r="O1560" t="s">
        <v>3430</v>
      </c>
      <c r="P1560" t="s">
        <v>2089</v>
      </c>
      <c r="Q1560">
        <v>0.85</v>
      </c>
    </row>
    <row r="1561" spans="14:17" x14ac:dyDescent="0.45">
      <c r="N1561" t="s">
        <v>27</v>
      </c>
      <c r="O1561" t="s">
        <v>3431</v>
      </c>
      <c r="P1561" t="s">
        <v>2095</v>
      </c>
      <c r="Q1561">
        <v>0.85</v>
      </c>
    </row>
    <row r="1562" spans="14:17" x14ac:dyDescent="0.45">
      <c r="N1562" t="s">
        <v>27</v>
      </c>
      <c r="O1562" t="s">
        <v>3432</v>
      </c>
      <c r="P1562" t="s">
        <v>2104</v>
      </c>
      <c r="Q1562">
        <v>0.85</v>
      </c>
    </row>
    <row r="1563" spans="14:17" x14ac:dyDescent="0.45">
      <c r="N1563" t="s">
        <v>27</v>
      </c>
      <c r="O1563" t="s">
        <v>3433</v>
      </c>
      <c r="P1563" t="s">
        <v>2087</v>
      </c>
      <c r="Q1563">
        <v>0.85</v>
      </c>
    </row>
    <row r="1564" spans="14:17" x14ac:dyDescent="0.45">
      <c r="N1564" t="s">
        <v>27</v>
      </c>
      <c r="O1564" t="s">
        <v>3434</v>
      </c>
      <c r="P1564" t="s">
        <v>2107</v>
      </c>
      <c r="Q1564">
        <v>0.85</v>
      </c>
    </row>
    <row r="1565" spans="14:17" x14ac:dyDescent="0.45">
      <c r="N1565" t="s">
        <v>27</v>
      </c>
      <c r="O1565" t="s">
        <v>3435</v>
      </c>
      <c r="P1565" t="s">
        <v>2093</v>
      </c>
      <c r="Q1565">
        <v>0.85</v>
      </c>
    </row>
    <row r="1566" spans="14:17" x14ac:dyDescent="0.45">
      <c r="N1566" t="s">
        <v>27</v>
      </c>
      <c r="O1566" t="s">
        <v>3436</v>
      </c>
      <c r="P1566" t="s">
        <v>2093</v>
      </c>
      <c r="Q1566">
        <v>0.85</v>
      </c>
    </row>
    <row r="1567" spans="14:17" x14ac:dyDescent="0.45">
      <c r="N1567" t="s">
        <v>27</v>
      </c>
      <c r="O1567" t="s">
        <v>3437</v>
      </c>
      <c r="P1567" t="s">
        <v>2101</v>
      </c>
      <c r="Q1567">
        <v>0.85</v>
      </c>
    </row>
    <row r="1568" spans="14:17" x14ac:dyDescent="0.45">
      <c r="N1568" t="s">
        <v>27</v>
      </c>
      <c r="O1568" t="s">
        <v>3438</v>
      </c>
      <c r="P1568" t="s">
        <v>2094</v>
      </c>
      <c r="Q1568">
        <v>0.85</v>
      </c>
    </row>
    <row r="1569" spans="14:17" x14ac:dyDescent="0.45">
      <c r="N1569" t="s">
        <v>27</v>
      </c>
      <c r="O1569" t="s">
        <v>3439</v>
      </c>
      <c r="P1569" t="s">
        <v>2070</v>
      </c>
      <c r="Q1569">
        <v>0.85</v>
      </c>
    </row>
    <row r="1570" spans="14:17" x14ac:dyDescent="0.45">
      <c r="N1570" t="s">
        <v>27</v>
      </c>
      <c r="O1570" t="s">
        <v>3440</v>
      </c>
      <c r="P1570" t="s">
        <v>2099</v>
      </c>
      <c r="Q1570">
        <v>0.85</v>
      </c>
    </row>
    <row r="1571" spans="14:17" x14ac:dyDescent="0.45">
      <c r="N1571" t="s">
        <v>27</v>
      </c>
      <c r="O1571" t="s">
        <v>3441</v>
      </c>
      <c r="P1571" t="s">
        <v>2060</v>
      </c>
      <c r="Q1571">
        <v>0.85</v>
      </c>
    </row>
    <row r="1572" spans="14:17" x14ac:dyDescent="0.45">
      <c r="N1572" t="s">
        <v>27</v>
      </c>
      <c r="O1572" t="s">
        <v>3442</v>
      </c>
      <c r="P1572" t="s">
        <v>2069</v>
      </c>
      <c r="Q1572">
        <v>0.85</v>
      </c>
    </row>
    <row r="1573" spans="14:17" x14ac:dyDescent="0.45">
      <c r="N1573" t="s">
        <v>27</v>
      </c>
      <c r="O1573" t="s">
        <v>3443</v>
      </c>
      <c r="P1573" t="s">
        <v>2051</v>
      </c>
      <c r="Q1573">
        <v>0.85</v>
      </c>
    </row>
    <row r="1574" spans="14:17" x14ac:dyDescent="0.45">
      <c r="N1574" t="s">
        <v>27</v>
      </c>
      <c r="O1574" t="s">
        <v>3444</v>
      </c>
      <c r="P1574" t="s">
        <v>2098</v>
      </c>
      <c r="Q1574">
        <v>0.85</v>
      </c>
    </row>
    <row r="1575" spans="14:17" x14ac:dyDescent="0.45">
      <c r="N1575" t="s">
        <v>27</v>
      </c>
      <c r="O1575" t="s">
        <v>3445</v>
      </c>
      <c r="P1575" t="s">
        <v>2090</v>
      </c>
      <c r="Q1575">
        <v>0.85</v>
      </c>
    </row>
    <row r="1576" spans="14:17" x14ac:dyDescent="0.45">
      <c r="N1576" t="s">
        <v>27</v>
      </c>
      <c r="O1576" t="s">
        <v>3446</v>
      </c>
      <c r="P1576" t="s">
        <v>2052</v>
      </c>
      <c r="Q1576">
        <v>0.85</v>
      </c>
    </row>
    <row r="1577" spans="14:17" x14ac:dyDescent="0.45">
      <c r="N1577" t="s">
        <v>27</v>
      </c>
      <c r="O1577" t="s">
        <v>3447</v>
      </c>
      <c r="P1577" t="s">
        <v>2106</v>
      </c>
      <c r="Q1577">
        <v>0.85</v>
      </c>
    </row>
    <row r="1578" spans="14:17" x14ac:dyDescent="0.45">
      <c r="N1578" t="s">
        <v>27</v>
      </c>
      <c r="O1578" t="s">
        <v>3448</v>
      </c>
      <c r="P1578" t="s">
        <v>2107</v>
      </c>
      <c r="Q1578">
        <v>0.85</v>
      </c>
    </row>
    <row r="1579" spans="14:17" x14ac:dyDescent="0.45">
      <c r="N1579" t="s">
        <v>27</v>
      </c>
      <c r="O1579" t="s">
        <v>3449</v>
      </c>
      <c r="P1579" t="s">
        <v>2107</v>
      </c>
      <c r="Q1579">
        <v>0.85</v>
      </c>
    </row>
    <row r="1580" spans="14:17" x14ac:dyDescent="0.45">
      <c r="N1580" t="s">
        <v>27</v>
      </c>
      <c r="O1580" t="s">
        <v>3450</v>
      </c>
      <c r="P1580" t="s">
        <v>2051</v>
      </c>
      <c r="Q1580">
        <v>0.85</v>
      </c>
    </row>
    <row r="1581" spans="14:17" x14ac:dyDescent="0.45">
      <c r="N1581" t="s">
        <v>27</v>
      </c>
      <c r="O1581" t="s">
        <v>3451</v>
      </c>
      <c r="P1581" t="s">
        <v>2094</v>
      </c>
      <c r="Q1581">
        <v>0.85</v>
      </c>
    </row>
    <row r="1582" spans="14:17" x14ac:dyDescent="0.45">
      <c r="N1582" t="s">
        <v>27</v>
      </c>
      <c r="O1582" t="s">
        <v>3452</v>
      </c>
      <c r="P1582" t="s">
        <v>2068</v>
      </c>
      <c r="Q1582">
        <v>0.85</v>
      </c>
    </row>
    <row r="1583" spans="14:17" x14ac:dyDescent="0.45">
      <c r="N1583" t="s">
        <v>27</v>
      </c>
      <c r="O1583" t="s">
        <v>3453</v>
      </c>
      <c r="P1583" t="s">
        <v>2078</v>
      </c>
      <c r="Q1583">
        <v>0.85</v>
      </c>
    </row>
    <row r="1584" spans="14:17" x14ac:dyDescent="0.45">
      <c r="N1584" t="s">
        <v>27</v>
      </c>
      <c r="O1584" t="s">
        <v>3454</v>
      </c>
      <c r="P1584" t="s">
        <v>2106</v>
      </c>
      <c r="Q1584">
        <v>0.85</v>
      </c>
    </row>
    <row r="1585" spans="14:17" x14ac:dyDescent="0.45">
      <c r="N1585" t="s">
        <v>27</v>
      </c>
      <c r="O1585" t="s">
        <v>3455</v>
      </c>
      <c r="P1585" t="s">
        <v>2083</v>
      </c>
      <c r="Q1585">
        <v>0.85</v>
      </c>
    </row>
    <row r="1586" spans="14:17" x14ac:dyDescent="0.45">
      <c r="N1586" t="s">
        <v>27</v>
      </c>
      <c r="O1586" t="s">
        <v>3456</v>
      </c>
      <c r="P1586" t="s">
        <v>2092</v>
      </c>
      <c r="Q1586">
        <v>0.85</v>
      </c>
    </row>
    <row r="1587" spans="14:17" x14ac:dyDescent="0.45">
      <c r="N1587" t="s">
        <v>27</v>
      </c>
      <c r="O1587" t="s">
        <v>3457</v>
      </c>
      <c r="P1587" t="s">
        <v>2053</v>
      </c>
      <c r="Q1587">
        <v>0.85</v>
      </c>
    </row>
    <row r="1588" spans="14:17" x14ac:dyDescent="0.45">
      <c r="N1588" t="s">
        <v>27</v>
      </c>
      <c r="O1588" t="s">
        <v>3458</v>
      </c>
      <c r="P1588" t="s">
        <v>2065</v>
      </c>
      <c r="Q1588">
        <v>0.85</v>
      </c>
    </row>
    <row r="1589" spans="14:17" x14ac:dyDescent="0.45">
      <c r="N1589" t="s">
        <v>27</v>
      </c>
      <c r="O1589" t="s">
        <v>3459</v>
      </c>
      <c r="P1589" t="s">
        <v>2106</v>
      </c>
      <c r="Q1589">
        <v>0.85</v>
      </c>
    </row>
    <row r="1590" spans="14:17" x14ac:dyDescent="0.45">
      <c r="N1590" t="s">
        <v>27</v>
      </c>
      <c r="O1590" t="s">
        <v>3460</v>
      </c>
      <c r="P1590" t="s">
        <v>2056</v>
      </c>
      <c r="Q1590">
        <v>0.85</v>
      </c>
    </row>
    <row r="1591" spans="14:17" x14ac:dyDescent="0.45">
      <c r="N1591" t="s">
        <v>27</v>
      </c>
      <c r="O1591" t="s">
        <v>3461</v>
      </c>
      <c r="P1591" t="s">
        <v>2086</v>
      </c>
      <c r="Q1591">
        <v>0.85</v>
      </c>
    </row>
    <row r="1592" spans="14:17" x14ac:dyDescent="0.45">
      <c r="N1592" t="s">
        <v>27</v>
      </c>
      <c r="O1592" t="s">
        <v>3462</v>
      </c>
      <c r="P1592" t="s">
        <v>2054</v>
      </c>
      <c r="Q1592">
        <v>0.85</v>
      </c>
    </row>
    <row r="1593" spans="14:17" x14ac:dyDescent="0.45">
      <c r="N1593" t="s">
        <v>27</v>
      </c>
      <c r="O1593" t="s">
        <v>3463</v>
      </c>
      <c r="P1593" t="s">
        <v>2076</v>
      </c>
      <c r="Q1593">
        <v>0.85</v>
      </c>
    </row>
    <row r="1594" spans="14:17" x14ac:dyDescent="0.45">
      <c r="N1594" t="s">
        <v>27</v>
      </c>
      <c r="O1594" t="s">
        <v>3464</v>
      </c>
      <c r="P1594" t="s">
        <v>2097</v>
      </c>
      <c r="Q1594">
        <v>0.85</v>
      </c>
    </row>
    <row r="1595" spans="14:17" x14ac:dyDescent="0.45">
      <c r="N1595" t="s">
        <v>27</v>
      </c>
      <c r="O1595" t="s">
        <v>3465</v>
      </c>
      <c r="P1595" t="s">
        <v>2083</v>
      </c>
      <c r="Q1595">
        <v>0.85</v>
      </c>
    </row>
    <row r="1596" spans="14:17" x14ac:dyDescent="0.45">
      <c r="N1596" t="s">
        <v>27</v>
      </c>
      <c r="O1596" t="s">
        <v>3466</v>
      </c>
      <c r="P1596" t="s">
        <v>2096</v>
      </c>
      <c r="Q1596">
        <v>0.85</v>
      </c>
    </row>
    <row r="1597" spans="14:17" x14ac:dyDescent="0.45">
      <c r="N1597" t="s">
        <v>27</v>
      </c>
      <c r="O1597" t="s">
        <v>3467</v>
      </c>
      <c r="P1597" t="s">
        <v>2081</v>
      </c>
      <c r="Q1597">
        <v>0.85</v>
      </c>
    </row>
    <row r="1598" spans="14:17" x14ac:dyDescent="0.45">
      <c r="N1598" t="s">
        <v>27</v>
      </c>
      <c r="O1598" t="s">
        <v>3468</v>
      </c>
      <c r="P1598" t="s">
        <v>2108</v>
      </c>
      <c r="Q1598">
        <v>0.85</v>
      </c>
    </row>
    <row r="1599" spans="14:17" x14ac:dyDescent="0.45">
      <c r="N1599" t="s">
        <v>27</v>
      </c>
      <c r="O1599" t="s">
        <v>3469</v>
      </c>
      <c r="P1599" t="s">
        <v>2052</v>
      </c>
      <c r="Q1599">
        <v>0.85</v>
      </c>
    </row>
    <row r="1600" spans="14:17" x14ac:dyDescent="0.45">
      <c r="N1600" t="s">
        <v>27</v>
      </c>
      <c r="O1600" t="s">
        <v>3470</v>
      </c>
      <c r="P1600" t="s">
        <v>2103</v>
      </c>
      <c r="Q1600">
        <v>0.85</v>
      </c>
    </row>
    <row r="1601" spans="14:17" x14ac:dyDescent="0.45">
      <c r="N1601" t="s">
        <v>27</v>
      </c>
      <c r="O1601" t="s">
        <v>3471</v>
      </c>
      <c r="P1601" t="s">
        <v>2059</v>
      </c>
      <c r="Q1601">
        <v>0.85</v>
      </c>
    </row>
    <row r="1602" spans="14:17" x14ac:dyDescent="0.45">
      <c r="N1602" t="s">
        <v>27</v>
      </c>
      <c r="O1602" t="s">
        <v>3472</v>
      </c>
      <c r="P1602" t="s">
        <v>2068</v>
      </c>
      <c r="Q1602">
        <v>0.85</v>
      </c>
    </row>
    <row r="1603" spans="14:17" x14ac:dyDescent="0.45">
      <c r="N1603" t="s">
        <v>27</v>
      </c>
      <c r="O1603" t="s">
        <v>3473</v>
      </c>
      <c r="P1603" t="s">
        <v>2075</v>
      </c>
      <c r="Q1603">
        <v>0.85</v>
      </c>
    </row>
    <row r="1604" spans="14:17" x14ac:dyDescent="0.45">
      <c r="N1604" t="s">
        <v>27</v>
      </c>
      <c r="O1604" t="s">
        <v>3474</v>
      </c>
      <c r="P1604" t="s">
        <v>2052</v>
      </c>
      <c r="Q1604">
        <v>0.85</v>
      </c>
    </row>
    <row r="1605" spans="14:17" x14ac:dyDescent="0.45">
      <c r="N1605" t="s">
        <v>27</v>
      </c>
      <c r="O1605" t="s">
        <v>3475</v>
      </c>
      <c r="P1605" t="s">
        <v>2065</v>
      </c>
      <c r="Q1605">
        <v>0.85</v>
      </c>
    </row>
    <row r="1606" spans="14:17" x14ac:dyDescent="0.45">
      <c r="N1606" t="s">
        <v>27</v>
      </c>
      <c r="O1606" t="s">
        <v>3476</v>
      </c>
      <c r="P1606" t="s">
        <v>2056</v>
      </c>
      <c r="Q1606">
        <v>0.85</v>
      </c>
    </row>
    <row r="1607" spans="14:17" x14ac:dyDescent="0.45">
      <c r="N1607" t="s">
        <v>27</v>
      </c>
      <c r="O1607" t="s">
        <v>3477</v>
      </c>
      <c r="P1607" t="s">
        <v>2064</v>
      </c>
      <c r="Q1607">
        <v>0.85</v>
      </c>
    </row>
    <row r="1608" spans="14:17" x14ac:dyDescent="0.45">
      <c r="N1608" t="s">
        <v>27</v>
      </c>
      <c r="O1608" t="s">
        <v>3478</v>
      </c>
      <c r="P1608" t="s">
        <v>2087</v>
      </c>
      <c r="Q1608">
        <v>0.85</v>
      </c>
    </row>
    <row r="1609" spans="14:17" x14ac:dyDescent="0.45">
      <c r="N1609" t="s">
        <v>27</v>
      </c>
      <c r="O1609" t="s">
        <v>3479</v>
      </c>
      <c r="P1609" t="s">
        <v>2078</v>
      </c>
      <c r="Q1609">
        <v>0.85</v>
      </c>
    </row>
    <row r="1610" spans="14:17" x14ac:dyDescent="0.45">
      <c r="N1610" t="s">
        <v>27</v>
      </c>
      <c r="O1610" t="s">
        <v>3480</v>
      </c>
      <c r="P1610" t="s">
        <v>2078</v>
      </c>
      <c r="Q1610">
        <v>0.85</v>
      </c>
    </row>
    <row r="1611" spans="14:17" x14ac:dyDescent="0.45">
      <c r="N1611" t="s">
        <v>27</v>
      </c>
      <c r="O1611" t="s">
        <v>3481</v>
      </c>
      <c r="P1611" t="s">
        <v>2069</v>
      </c>
      <c r="Q1611">
        <v>0.85</v>
      </c>
    </row>
    <row r="1612" spans="14:17" x14ac:dyDescent="0.45">
      <c r="N1612" t="s">
        <v>27</v>
      </c>
      <c r="O1612" t="s">
        <v>3482</v>
      </c>
      <c r="P1612" t="s">
        <v>2060</v>
      </c>
      <c r="Q1612">
        <v>0.85</v>
      </c>
    </row>
    <row r="1613" spans="14:17" x14ac:dyDescent="0.45">
      <c r="N1613" t="s">
        <v>27</v>
      </c>
      <c r="O1613" t="s">
        <v>3483</v>
      </c>
      <c r="P1613" t="s">
        <v>2075</v>
      </c>
      <c r="Q1613">
        <v>0.85</v>
      </c>
    </row>
    <row r="1614" spans="14:17" x14ac:dyDescent="0.45">
      <c r="N1614" t="s">
        <v>27</v>
      </c>
      <c r="O1614" t="s">
        <v>3484</v>
      </c>
      <c r="P1614" t="s">
        <v>2051</v>
      </c>
      <c r="Q1614">
        <v>0.85</v>
      </c>
    </row>
    <row r="1615" spans="14:17" x14ac:dyDescent="0.45">
      <c r="N1615" t="s">
        <v>27</v>
      </c>
      <c r="O1615" t="s">
        <v>3485</v>
      </c>
      <c r="P1615" t="s">
        <v>2089</v>
      </c>
      <c r="Q1615">
        <v>0.85</v>
      </c>
    </row>
    <row r="1616" spans="14:17" x14ac:dyDescent="0.45">
      <c r="N1616" t="s">
        <v>27</v>
      </c>
      <c r="O1616" t="s">
        <v>3486</v>
      </c>
      <c r="P1616" t="s">
        <v>2086</v>
      </c>
      <c r="Q1616">
        <v>0.85</v>
      </c>
    </row>
    <row r="1617" spans="14:17" x14ac:dyDescent="0.45">
      <c r="N1617" t="s">
        <v>27</v>
      </c>
      <c r="O1617" t="s">
        <v>3487</v>
      </c>
      <c r="P1617" t="s">
        <v>2058</v>
      </c>
      <c r="Q1617">
        <v>0.85</v>
      </c>
    </row>
    <row r="1618" spans="14:17" x14ac:dyDescent="0.45">
      <c r="N1618" t="s">
        <v>27</v>
      </c>
      <c r="O1618" t="s">
        <v>3488</v>
      </c>
      <c r="P1618" t="s">
        <v>2094</v>
      </c>
      <c r="Q1618">
        <v>0.85</v>
      </c>
    </row>
    <row r="1619" spans="14:17" x14ac:dyDescent="0.45">
      <c r="N1619" t="s">
        <v>27</v>
      </c>
      <c r="O1619" t="s">
        <v>3489</v>
      </c>
      <c r="P1619" t="s">
        <v>2104</v>
      </c>
      <c r="Q1619">
        <v>0.85</v>
      </c>
    </row>
    <row r="1620" spans="14:17" x14ac:dyDescent="0.45">
      <c r="N1620" t="s">
        <v>27</v>
      </c>
      <c r="O1620" t="s">
        <v>3490</v>
      </c>
      <c r="P1620" t="s">
        <v>2051</v>
      </c>
      <c r="Q1620">
        <v>0.85</v>
      </c>
    </row>
    <row r="1621" spans="14:17" x14ac:dyDescent="0.45">
      <c r="N1621" t="s">
        <v>27</v>
      </c>
      <c r="O1621" t="s">
        <v>3491</v>
      </c>
      <c r="P1621" t="s">
        <v>2060</v>
      </c>
      <c r="Q1621">
        <v>0.85</v>
      </c>
    </row>
    <row r="1622" spans="14:17" x14ac:dyDescent="0.45">
      <c r="N1622" t="s">
        <v>27</v>
      </c>
      <c r="O1622" t="s">
        <v>3492</v>
      </c>
      <c r="P1622" t="s">
        <v>2056</v>
      </c>
      <c r="Q1622">
        <v>0.85</v>
      </c>
    </row>
    <row r="1623" spans="14:17" x14ac:dyDescent="0.45">
      <c r="N1623" t="s">
        <v>27</v>
      </c>
      <c r="O1623" t="s">
        <v>3493</v>
      </c>
      <c r="P1623" t="s">
        <v>2059</v>
      </c>
      <c r="Q1623">
        <v>0.85</v>
      </c>
    </row>
    <row r="1624" spans="14:17" x14ac:dyDescent="0.45">
      <c r="N1624" t="s">
        <v>27</v>
      </c>
      <c r="O1624" t="s">
        <v>3494</v>
      </c>
      <c r="P1624" t="s">
        <v>2065</v>
      </c>
      <c r="Q1624">
        <v>0.85</v>
      </c>
    </row>
    <row r="1625" spans="14:17" x14ac:dyDescent="0.45">
      <c r="N1625" t="s">
        <v>27</v>
      </c>
      <c r="O1625" t="s">
        <v>3495</v>
      </c>
      <c r="P1625" t="s">
        <v>2075</v>
      </c>
      <c r="Q1625">
        <v>0.85</v>
      </c>
    </row>
    <row r="1626" spans="14:17" x14ac:dyDescent="0.45">
      <c r="N1626" t="s">
        <v>27</v>
      </c>
      <c r="O1626" t="s">
        <v>3496</v>
      </c>
      <c r="P1626" t="s">
        <v>2071</v>
      </c>
      <c r="Q1626">
        <v>0.85</v>
      </c>
    </row>
    <row r="1627" spans="14:17" x14ac:dyDescent="0.45">
      <c r="N1627" t="s">
        <v>27</v>
      </c>
      <c r="O1627" t="s">
        <v>3497</v>
      </c>
      <c r="P1627" t="s">
        <v>2106</v>
      </c>
      <c r="Q1627">
        <v>0.85</v>
      </c>
    </row>
    <row r="1628" spans="14:17" x14ac:dyDescent="0.45">
      <c r="N1628" t="s">
        <v>27</v>
      </c>
      <c r="O1628" t="s">
        <v>3498</v>
      </c>
      <c r="P1628" t="s">
        <v>2080</v>
      </c>
      <c r="Q1628">
        <v>0.85</v>
      </c>
    </row>
    <row r="1629" spans="14:17" x14ac:dyDescent="0.45">
      <c r="N1629" t="s">
        <v>27</v>
      </c>
      <c r="O1629" t="s">
        <v>3499</v>
      </c>
      <c r="P1629" t="s">
        <v>2075</v>
      </c>
      <c r="Q1629">
        <v>0.85</v>
      </c>
    </row>
    <row r="1630" spans="14:17" x14ac:dyDescent="0.45">
      <c r="N1630" t="s">
        <v>27</v>
      </c>
      <c r="O1630" t="s">
        <v>3500</v>
      </c>
      <c r="P1630" t="s">
        <v>2099</v>
      </c>
      <c r="Q1630">
        <v>0.85</v>
      </c>
    </row>
    <row r="1631" spans="14:17" x14ac:dyDescent="0.45">
      <c r="N1631" t="s">
        <v>27</v>
      </c>
      <c r="O1631" t="s">
        <v>3501</v>
      </c>
      <c r="P1631" t="s">
        <v>2071</v>
      </c>
      <c r="Q1631">
        <v>0.85</v>
      </c>
    </row>
    <row r="1632" spans="14:17" x14ac:dyDescent="0.45">
      <c r="N1632" t="s">
        <v>27</v>
      </c>
      <c r="O1632" t="s">
        <v>3502</v>
      </c>
      <c r="P1632" t="s">
        <v>2052</v>
      </c>
      <c r="Q1632">
        <v>0.85</v>
      </c>
    </row>
    <row r="1633" spans="14:17" x14ac:dyDescent="0.45">
      <c r="N1633" t="s">
        <v>27</v>
      </c>
      <c r="O1633" t="s">
        <v>3503</v>
      </c>
      <c r="P1633" t="s">
        <v>2052</v>
      </c>
      <c r="Q1633">
        <v>0.85</v>
      </c>
    </row>
    <row r="1634" spans="14:17" x14ac:dyDescent="0.45">
      <c r="N1634" t="s">
        <v>27</v>
      </c>
      <c r="O1634" t="s">
        <v>3504</v>
      </c>
      <c r="P1634" t="s">
        <v>2059</v>
      </c>
      <c r="Q1634">
        <v>0.85</v>
      </c>
    </row>
    <row r="1635" spans="14:17" x14ac:dyDescent="0.45">
      <c r="N1635" t="s">
        <v>27</v>
      </c>
      <c r="O1635" t="s">
        <v>3505</v>
      </c>
      <c r="P1635" t="s">
        <v>2051</v>
      </c>
      <c r="Q1635">
        <v>0.85</v>
      </c>
    </row>
    <row r="1636" spans="14:17" x14ac:dyDescent="0.45">
      <c r="N1636" t="s">
        <v>27</v>
      </c>
      <c r="O1636" t="s">
        <v>3506</v>
      </c>
      <c r="P1636" t="s">
        <v>2073</v>
      </c>
      <c r="Q1636">
        <v>0.85</v>
      </c>
    </row>
    <row r="1637" spans="14:17" x14ac:dyDescent="0.45">
      <c r="N1637" t="s">
        <v>27</v>
      </c>
      <c r="O1637" t="s">
        <v>3507</v>
      </c>
      <c r="P1637" t="s">
        <v>2075</v>
      </c>
      <c r="Q1637">
        <v>0.85</v>
      </c>
    </row>
    <row r="1638" spans="14:17" x14ac:dyDescent="0.45">
      <c r="N1638" t="s">
        <v>27</v>
      </c>
      <c r="O1638" t="s">
        <v>3508</v>
      </c>
      <c r="P1638" t="s">
        <v>2071</v>
      </c>
      <c r="Q1638">
        <v>0.85</v>
      </c>
    </row>
    <row r="1639" spans="14:17" x14ac:dyDescent="0.45">
      <c r="N1639" t="s">
        <v>27</v>
      </c>
      <c r="O1639" t="s">
        <v>3509</v>
      </c>
      <c r="P1639" t="s">
        <v>2089</v>
      </c>
      <c r="Q1639">
        <v>0.85</v>
      </c>
    </row>
    <row r="1640" spans="14:17" x14ac:dyDescent="0.45">
      <c r="N1640" t="s">
        <v>27</v>
      </c>
      <c r="O1640" t="s">
        <v>3510</v>
      </c>
      <c r="P1640" t="s">
        <v>2078</v>
      </c>
      <c r="Q1640">
        <v>0.85</v>
      </c>
    </row>
    <row r="1641" spans="14:17" x14ac:dyDescent="0.45">
      <c r="N1641" t="s">
        <v>27</v>
      </c>
      <c r="O1641" t="s">
        <v>3511</v>
      </c>
      <c r="P1641" t="s">
        <v>2101</v>
      </c>
      <c r="Q1641">
        <v>0.85</v>
      </c>
    </row>
    <row r="1642" spans="14:17" x14ac:dyDescent="0.45">
      <c r="N1642" t="s">
        <v>27</v>
      </c>
      <c r="O1642" t="s">
        <v>3512</v>
      </c>
      <c r="P1642" t="s">
        <v>2071</v>
      </c>
      <c r="Q1642">
        <v>0.95</v>
      </c>
    </row>
    <row r="1643" spans="14:17" x14ac:dyDescent="0.45">
      <c r="N1643" t="s">
        <v>27</v>
      </c>
      <c r="O1643" t="s">
        <v>3513</v>
      </c>
      <c r="P1643" t="s">
        <v>2089</v>
      </c>
      <c r="Q1643">
        <v>0.95</v>
      </c>
    </row>
    <row r="1644" spans="14:17" x14ac:dyDescent="0.45">
      <c r="N1644" t="s">
        <v>27</v>
      </c>
      <c r="O1644" t="s">
        <v>3514</v>
      </c>
      <c r="P1644" t="s">
        <v>2089</v>
      </c>
      <c r="Q1644">
        <v>0.95</v>
      </c>
    </row>
    <row r="1645" spans="14:17" x14ac:dyDescent="0.45">
      <c r="N1645" t="s">
        <v>27</v>
      </c>
      <c r="O1645" t="s">
        <v>3515</v>
      </c>
      <c r="P1645" t="s">
        <v>2077</v>
      </c>
      <c r="Q1645">
        <v>0.95</v>
      </c>
    </row>
    <row r="1646" spans="14:17" x14ac:dyDescent="0.45">
      <c r="N1646" t="s">
        <v>27</v>
      </c>
      <c r="O1646" t="s">
        <v>3516</v>
      </c>
      <c r="P1646" t="s">
        <v>2089</v>
      </c>
      <c r="Q1646">
        <v>0.95</v>
      </c>
    </row>
    <row r="1647" spans="14:17" x14ac:dyDescent="0.45">
      <c r="N1647" t="s">
        <v>27</v>
      </c>
      <c r="O1647" t="s">
        <v>3517</v>
      </c>
      <c r="P1647" t="s">
        <v>2053</v>
      </c>
      <c r="Q1647">
        <v>0.95</v>
      </c>
    </row>
    <row r="1648" spans="14:17" x14ac:dyDescent="0.45">
      <c r="N1648" t="s">
        <v>27</v>
      </c>
      <c r="O1648" t="s">
        <v>3518</v>
      </c>
      <c r="P1648" t="s">
        <v>2058</v>
      </c>
      <c r="Q1648">
        <v>0.95</v>
      </c>
    </row>
    <row r="1649" spans="14:17" x14ac:dyDescent="0.45">
      <c r="N1649" t="s">
        <v>27</v>
      </c>
      <c r="O1649" t="s">
        <v>3519</v>
      </c>
      <c r="P1649" t="s">
        <v>2071</v>
      </c>
      <c r="Q1649">
        <v>0.95</v>
      </c>
    </row>
    <row r="1650" spans="14:17" x14ac:dyDescent="0.45">
      <c r="N1650" t="s">
        <v>27</v>
      </c>
      <c r="O1650" t="s">
        <v>3520</v>
      </c>
      <c r="P1650" t="s">
        <v>2089</v>
      </c>
      <c r="Q1650">
        <v>0.95</v>
      </c>
    </row>
    <row r="1651" spans="14:17" x14ac:dyDescent="0.45">
      <c r="N1651" t="s">
        <v>27</v>
      </c>
      <c r="O1651" t="s">
        <v>3521</v>
      </c>
      <c r="P1651" t="s">
        <v>2065</v>
      </c>
      <c r="Q1651">
        <v>0.95</v>
      </c>
    </row>
    <row r="1652" spans="14:17" x14ac:dyDescent="0.45">
      <c r="N1652" t="s">
        <v>27</v>
      </c>
      <c r="O1652" t="s">
        <v>3522</v>
      </c>
      <c r="P1652" t="s">
        <v>2093</v>
      </c>
      <c r="Q1652">
        <v>0.85</v>
      </c>
    </row>
    <row r="1653" spans="14:17" x14ac:dyDescent="0.45">
      <c r="N1653" t="s">
        <v>27</v>
      </c>
      <c r="O1653" t="s">
        <v>3523</v>
      </c>
      <c r="P1653" t="s">
        <v>2106</v>
      </c>
      <c r="Q1653">
        <v>0.85</v>
      </c>
    </row>
    <row r="1654" spans="14:17" x14ac:dyDescent="0.45">
      <c r="N1654" t="s">
        <v>27</v>
      </c>
      <c r="O1654" t="s">
        <v>3524</v>
      </c>
      <c r="P1654" t="s">
        <v>2069</v>
      </c>
      <c r="Q1654">
        <v>0.85</v>
      </c>
    </row>
    <row r="1655" spans="14:17" x14ac:dyDescent="0.45">
      <c r="N1655" t="s">
        <v>27</v>
      </c>
      <c r="O1655" t="s">
        <v>3525</v>
      </c>
      <c r="P1655" t="s">
        <v>2087</v>
      </c>
      <c r="Q1655">
        <v>0.85</v>
      </c>
    </row>
    <row r="1656" spans="14:17" x14ac:dyDescent="0.45">
      <c r="N1656" t="s">
        <v>27</v>
      </c>
      <c r="O1656" t="s">
        <v>3526</v>
      </c>
      <c r="P1656" t="s">
        <v>2063</v>
      </c>
      <c r="Q1656">
        <v>0.85</v>
      </c>
    </row>
    <row r="1657" spans="14:17" x14ac:dyDescent="0.45">
      <c r="N1657" t="s">
        <v>27</v>
      </c>
      <c r="O1657" t="s">
        <v>3527</v>
      </c>
      <c r="P1657" t="s">
        <v>2107</v>
      </c>
      <c r="Q1657">
        <v>0.85</v>
      </c>
    </row>
    <row r="1658" spans="14:17" x14ac:dyDescent="0.45">
      <c r="N1658" t="s">
        <v>27</v>
      </c>
      <c r="O1658" t="s">
        <v>3528</v>
      </c>
      <c r="P1658" t="s">
        <v>2051</v>
      </c>
      <c r="Q1658">
        <v>0.85</v>
      </c>
    </row>
    <row r="1659" spans="14:17" x14ac:dyDescent="0.45">
      <c r="N1659" t="s">
        <v>27</v>
      </c>
      <c r="O1659" t="s">
        <v>3529</v>
      </c>
      <c r="P1659" t="s">
        <v>2105</v>
      </c>
      <c r="Q1659">
        <v>0.85</v>
      </c>
    </row>
    <row r="1660" spans="14:17" x14ac:dyDescent="0.45">
      <c r="N1660" t="s">
        <v>27</v>
      </c>
      <c r="O1660" t="s">
        <v>3530</v>
      </c>
      <c r="P1660" t="s">
        <v>2079</v>
      </c>
      <c r="Q1660">
        <v>0.85</v>
      </c>
    </row>
    <row r="1661" spans="14:17" x14ac:dyDescent="0.45">
      <c r="N1661" t="s">
        <v>27</v>
      </c>
      <c r="O1661" t="s">
        <v>3531</v>
      </c>
      <c r="P1661" t="s">
        <v>2090</v>
      </c>
      <c r="Q1661">
        <v>0.85</v>
      </c>
    </row>
    <row r="1662" spans="14:17" x14ac:dyDescent="0.45">
      <c r="N1662" t="s">
        <v>27</v>
      </c>
      <c r="O1662" t="s">
        <v>3532</v>
      </c>
      <c r="P1662" t="s">
        <v>2101</v>
      </c>
      <c r="Q1662">
        <v>0.85</v>
      </c>
    </row>
    <row r="1663" spans="14:17" x14ac:dyDescent="0.45">
      <c r="N1663" t="s">
        <v>27</v>
      </c>
      <c r="O1663" t="s">
        <v>3533</v>
      </c>
      <c r="P1663" t="s">
        <v>2086</v>
      </c>
      <c r="Q1663">
        <v>0.85</v>
      </c>
    </row>
    <row r="1664" spans="14:17" x14ac:dyDescent="0.45">
      <c r="N1664" t="s">
        <v>27</v>
      </c>
      <c r="O1664" t="s">
        <v>3534</v>
      </c>
      <c r="P1664" t="s">
        <v>2053</v>
      </c>
      <c r="Q1664">
        <v>0.85</v>
      </c>
    </row>
    <row r="1665" spans="14:17" x14ac:dyDescent="0.45">
      <c r="N1665" t="s">
        <v>27</v>
      </c>
      <c r="O1665" t="s">
        <v>3535</v>
      </c>
      <c r="P1665" t="s">
        <v>2082</v>
      </c>
      <c r="Q1665">
        <v>0.85</v>
      </c>
    </row>
    <row r="1666" spans="14:17" x14ac:dyDescent="0.45">
      <c r="N1666" t="s">
        <v>27</v>
      </c>
      <c r="O1666" t="s">
        <v>3536</v>
      </c>
      <c r="P1666" t="s">
        <v>2106</v>
      </c>
      <c r="Q1666">
        <v>0.85</v>
      </c>
    </row>
    <row r="1667" spans="14:17" x14ac:dyDescent="0.45">
      <c r="N1667" t="s">
        <v>27</v>
      </c>
      <c r="O1667" t="s">
        <v>3537</v>
      </c>
      <c r="P1667" t="s">
        <v>2051</v>
      </c>
      <c r="Q1667">
        <v>0.85</v>
      </c>
    </row>
    <row r="1668" spans="14:17" x14ac:dyDescent="0.45">
      <c r="N1668" t="s">
        <v>27</v>
      </c>
      <c r="O1668" t="s">
        <v>3538</v>
      </c>
      <c r="P1668" t="s">
        <v>2060</v>
      </c>
      <c r="Q1668">
        <v>0.85</v>
      </c>
    </row>
    <row r="1669" spans="14:17" x14ac:dyDescent="0.45">
      <c r="N1669" t="s">
        <v>27</v>
      </c>
      <c r="O1669" t="s">
        <v>3539</v>
      </c>
      <c r="P1669" t="s">
        <v>2075</v>
      </c>
      <c r="Q1669">
        <v>0.85</v>
      </c>
    </row>
    <row r="1670" spans="14:17" x14ac:dyDescent="0.45">
      <c r="N1670" t="s">
        <v>27</v>
      </c>
      <c r="O1670" t="s">
        <v>3540</v>
      </c>
      <c r="P1670" t="s">
        <v>2098</v>
      </c>
      <c r="Q1670">
        <v>0.85</v>
      </c>
    </row>
    <row r="1671" spans="14:17" x14ac:dyDescent="0.45">
      <c r="N1671" t="s">
        <v>27</v>
      </c>
      <c r="O1671" t="s">
        <v>3541</v>
      </c>
      <c r="P1671" t="s">
        <v>2108</v>
      </c>
      <c r="Q1671">
        <v>0.85</v>
      </c>
    </row>
    <row r="1672" spans="14:17" x14ac:dyDescent="0.45">
      <c r="N1672" t="s">
        <v>27</v>
      </c>
      <c r="O1672" t="s">
        <v>3542</v>
      </c>
      <c r="P1672" t="s">
        <v>2067</v>
      </c>
      <c r="Q1672">
        <v>0.85</v>
      </c>
    </row>
    <row r="1673" spans="14:17" x14ac:dyDescent="0.45">
      <c r="N1673" t="s">
        <v>27</v>
      </c>
      <c r="O1673" t="s">
        <v>3543</v>
      </c>
      <c r="P1673" t="s">
        <v>2103</v>
      </c>
      <c r="Q1673">
        <v>0.85</v>
      </c>
    </row>
    <row r="1674" spans="14:17" x14ac:dyDescent="0.45">
      <c r="N1674" t="s">
        <v>27</v>
      </c>
      <c r="O1674" t="s">
        <v>3544</v>
      </c>
      <c r="P1674" t="s">
        <v>2086</v>
      </c>
      <c r="Q1674">
        <v>0.85</v>
      </c>
    </row>
    <row r="1675" spans="14:17" x14ac:dyDescent="0.45">
      <c r="N1675" t="s">
        <v>27</v>
      </c>
      <c r="O1675" t="s">
        <v>3545</v>
      </c>
      <c r="P1675" t="s">
        <v>2071</v>
      </c>
      <c r="Q1675">
        <v>0.85</v>
      </c>
    </row>
    <row r="1676" spans="14:17" x14ac:dyDescent="0.45">
      <c r="N1676" t="s">
        <v>27</v>
      </c>
      <c r="O1676" t="s">
        <v>3546</v>
      </c>
      <c r="P1676" t="s">
        <v>2065</v>
      </c>
      <c r="Q1676">
        <v>0.85</v>
      </c>
    </row>
    <row r="1677" spans="14:17" x14ac:dyDescent="0.45">
      <c r="N1677" t="s">
        <v>27</v>
      </c>
      <c r="O1677" t="s">
        <v>3547</v>
      </c>
      <c r="P1677" t="s">
        <v>2075</v>
      </c>
      <c r="Q1677">
        <v>0.85</v>
      </c>
    </row>
    <row r="1678" spans="14:17" x14ac:dyDescent="0.45">
      <c r="N1678" t="s">
        <v>27</v>
      </c>
      <c r="O1678" t="s">
        <v>3548</v>
      </c>
      <c r="P1678" t="s">
        <v>2107</v>
      </c>
      <c r="Q1678">
        <v>0.85</v>
      </c>
    </row>
    <row r="1679" spans="14:17" x14ac:dyDescent="0.45">
      <c r="N1679" t="s">
        <v>27</v>
      </c>
      <c r="O1679" t="s">
        <v>3549</v>
      </c>
      <c r="P1679" t="s">
        <v>2103</v>
      </c>
      <c r="Q1679">
        <v>0.85</v>
      </c>
    </row>
    <row r="1680" spans="14:17" x14ac:dyDescent="0.45">
      <c r="N1680" t="s">
        <v>27</v>
      </c>
      <c r="O1680" t="s">
        <v>3550</v>
      </c>
      <c r="P1680" t="s">
        <v>2075</v>
      </c>
      <c r="Q1680">
        <v>0.85</v>
      </c>
    </row>
    <row r="1681" spans="14:17" x14ac:dyDescent="0.45">
      <c r="N1681" t="s">
        <v>27</v>
      </c>
      <c r="O1681" t="s">
        <v>3551</v>
      </c>
      <c r="P1681" t="s">
        <v>2081</v>
      </c>
      <c r="Q1681">
        <v>0.85</v>
      </c>
    </row>
    <row r="1682" spans="14:17" x14ac:dyDescent="0.45">
      <c r="N1682" t="s">
        <v>27</v>
      </c>
      <c r="O1682" t="s">
        <v>3552</v>
      </c>
      <c r="P1682" t="s">
        <v>2061</v>
      </c>
      <c r="Q1682">
        <v>0.85</v>
      </c>
    </row>
    <row r="1683" spans="14:17" x14ac:dyDescent="0.45">
      <c r="N1683" t="s">
        <v>27</v>
      </c>
      <c r="O1683" t="s">
        <v>3553</v>
      </c>
      <c r="P1683" t="s">
        <v>2055</v>
      </c>
      <c r="Q1683">
        <v>0.85</v>
      </c>
    </row>
    <row r="1684" spans="14:17" x14ac:dyDescent="0.45">
      <c r="N1684" t="s">
        <v>27</v>
      </c>
      <c r="O1684" t="s">
        <v>3554</v>
      </c>
      <c r="P1684" t="s">
        <v>2083</v>
      </c>
      <c r="Q1684">
        <v>0.85</v>
      </c>
    </row>
    <row r="1685" spans="14:17" x14ac:dyDescent="0.45">
      <c r="N1685" t="s">
        <v>27</v>
      </c>
      <c r="O1685" t="s">
        <v>3555</v>
      </c>
      <c r="P1685" t="s">
        <v>2081</v>
      </c>
      <c r="Q1685">
        <v>0.85</v>
      </c>
    </row>
    <row r="1686" spans="14:17" x14ac:dyDescent="0.45">
      <c r="N1686" t="s">
        <v>27</v>
      </c>
      <c r="O1686" t="s">
        <v>3556</v>
      </c>
      <c r="P1686" t="s">
        <v>2098</v>
      </c>
      <c r="Q1686">
        <v>0.85</v>
      </c>
    </row>
    <row r="1687" spans="14:17" x14ac:dyDescent="0.45">
      <c r="N1687" t="s">
        <v>27</v>
      </c>
      <c r="O1687" t="s">
        <v>3557</v>
      </c>
      <c r="P1687" t="s">
        <v>2070</v>
      </c>
      <c r="Q1687">
        <v>0.85</v>
      </c>
    </row>
    <row r="1688" spans="14:17" x14ac:dyDescent="0.45">
      <c r="N1688" t="s">
        <v>27</v>
      </c>
      <c r="O1688" t="s">
        <v>3558</v>
      </c>
      <c r="P1688" t="s">
        <v>2077</v>
      </c>
      <c r="Q1688">
        <v>0.85</v>
      </c>
    </row>
    <row r="1689" spans="14:17" x14ac:dyDescent="0.45">
      <c r="N1689" t="s">
        <v>27</v>
      </c>
      <c r="O1689" t="s">
        <v>3559</v>
      </c>
      <c r="P1689" t="s">
        <v>2087</v>
      </c>
      <c r="Q1689">
        <v>0.85</v>
      </c>
    </row>
    <row r="1690" spans="14:17" x14ac:dyDescent="0.45">
      <c r="N1690" t="s">
        <v>27</v>
      </c>
      <c r="O1690" t="s">
        <v>3560</v>
      </c>
      <c r="P1690" t="s">
        <v>2054</v>
      </c>
      <c r="Q1690">
        <v>0.85</v>
      </c>
    </row>
    <row r="1691" spans="14:17" x14ac:dyDescent="0.45">
      <c r="N1691" t="s">
        <v>27</v>
      </c>
      <c r="O1691" t="s">
        <v>3561</v>
      </c>
      <c r="P1691" t="s">
        <v>2064</v>
      </c>
      <c r="Q1691">
        <v>0.85</v>
      </c>
    </row>
    <row r="1692" spans="14:17" x14ac:dyDescent="0.45">
      <c r="N1692" t="s">
        <v>27</v>
      </c>
      <c r="O1692" t="s">
        <v>3562</v>
      </c>
      <c r="P1692" t="s">
        <v>2093</v>
      </c>
      <c r="Q1692">
        <v>0.85</v>
      </c>
    </row>
    <row r="1693" spans="14:17" x14ac:dyDescent="0.45">
      <c r="N1693" t="s">
        <v>27</v>
      </c>
      <c r="O1693" t="s">
        <v>3563</v>
      </c>
      <c r="P1693" t="s">
        <v>2073</v>
      </c>
      <c r="Q1693">
        <v>0.85</v>
      </c>
    </row>
    <row r="1694" spans="14:17" x14ac:dyDescent="0.45">
      <c r="N1694" t="s">
        <v>27</v>
      </c>
      <c r="O1694" t="s">
        <v>3564</v>
      </c>
      <c r="P1694" t="s">
        <v>2102</v>
      </c>
      <c r="Q1694">
        <v>0.85</v>
      </c>
    </row>
    <row r="1695" spans="14:17" x14ac:dyDescent="0.45">
      <c r="N1695" t="s">
        <v>27</v>
      </c>
      <c r="O1695" t="s">
        <v>3565</v>
      </c>
      <c r="P1695" t="s">
        <v>2073</v>
      </c>
      <c r="Q1695">
        <v>0.85</v>
      </c>
    </row>
    <row r="1696" spans="14:17" x14ac:dyDescent="0.45">
      <c r="N1696" t="s">
        <v>27</v>
      </c>
      <c r="O1696" t="s">
        <v>3566</v>
      </c>
      <c r="P1696" t="s">
        <v>2056</v>
      </c>
      <c r="Q1696">
        <v>0.85</v>
      </c>
    </row>
    <row r="1697" spans="14:17" x14ac:dyDescent="0.45">
      <c r="N1697" t="s">
        <v>27</v>
      </c>
      <c r="O1697" t="s">
        <v>3567</v>
      </c>
      <c r="P1697" t="s">
        <v>2096</v>
      </c>
      <c r="Q1697">
        <v>0.85</v>
      </c>
    </row>
    <row r="1698" spans="14:17" x14ac:dyDescent="0.45">
      <c r="N1698" t="s">
        <v>27</v>
      </c>
      <c r="O1698" t="s">
        <v>3568</v>
      </c>
      <c r="P1698" t="s">
        <v>2078</v>
      </c>
      <c r="Q1698">
        <v>0.85</v>
      </c>
    </row>
    <row r="1699" spans="14:17" x14ac:dyDescent="0.45">
      <c r="N1699" t="s">
        <v>27</v>
      </c>
      <c r="O1699" t="s">
        <v>3569</v>
      </c>
      <c r="P1699" t="s">
        <v>2089</v>
      </c>
      <c r="Q1699">
        <v>0.85</v>
      </c>
    </row>
    <row r="1700" spans="14:17" x14ac:dyDescent="0.45">
      <c r="N1700" t="s">
        <v>27</v>
      </c>
      <c r="O1700" t="s">
        <v>3570</v>
      </c>
      <c r="P1700" t="s">
        <v>2075</v>
      </c>
      <c r="Q1700">
        <v>0.85</v>
      </c>
    </row>
    <row r="1701" spans="14:17" x14ac:dyDescent="0.45">
      <c r="N1701" t="s">
        <v>27</v>
      </c>
      <c r="O1701" t="s">
        <v>3571</v>
      </c>
      <c r="P1701" t="s">
        <v>2078</v>
      </c>
      <c r="Q1701">
        <v>0.85</v>
      </c>
    </row>
    <row r="1702" spans="14:17" x14ac:dyDescent="0.45">
      <c r="N1702" t="s">
        <v>27</v>
      </c>
      <c r="O1702" t="s">
        <v>3572</v>
      </c>
      <c r="P1702" t="s">
        <v>2051</v>
      </c>
      <c r="Q1702">
        <v>0.85</v>
      </c>
    </row>
    <row r="1703" spans="14:17" x14ac:dyDescent="0.45">
      <c r="N1703" t="s">
        <v>27</v>
      </c>
      <c r="O1703" t="s">
        <v>3573</v>
      </c>
      <c r="P1703" t="s">
        <v>2093</v>
      </c>
      <c r="Q1703">
        <v>0.85</v>
      </c>
    </row>
    <row r="1704" spans="14:17" x14ac:dyDescent="0.45">
      <c r="N1704" t="s">
        <v>27</v>
      </c>
      <c r="O1704" t="s">
        <v>3574</v>
      </c>
      <c r="P1704" t="s">
        <v>2092</v>
      </c>
      <c r="Q1704">
        <v>0.85</v>
      </c>
    </row>
    <row r="1705" spans="14:17" x14ac:dyDescent="0.45">
      <c r="N1705" t="s">
        <v>27</v>
      </c>
      <c r="O1705" t="s">
        <v>3575</v>
      </c>
      <c r="P1705" t="s">
        <v>2070</v>
      </c>
      <c r="Q1705">
        <v>0.85</v>
      </c>
    </row>
    <row r="1706" spans="14:17" x14ac:dyDescent="0.45">
      <c r="N1706" t="s">
        <v>27</v>
      </c>
      <c r="O1706" t="s">
        <v>3576</v>
      </c>
      <c r="P1706" t="s">
        <v>2096</v>
      </c>
      <c r="Q1706">
        <v>0.85</v>
      </c>
    </row>
    <row r="1707" spans="14:17" x14ac:dyDescent="0.45">
      <c r="N1707" t="s">
        <v>27</v>
      </c>
      <c r="O1707" t="s">
        <v>3577</v>
      </c>
      <c r="P1707" t="s">
        <v>2078</v>
      </c>
      <c r="Q1707">
        <v>0.85</v>
      </c>
    </row>
    <row r="1708" spans="14:17" x14ac:dyDescent="0.45">
      <c r="N1708" t="s">
        <v>27</v>
      </c>
      <c r="O1708" t="s">
        <v>3578</v>
      </c>
      <c r="P1708" t="s">
        <v>2059</v>
      </c>
      <c r="Q1708">
        <v>0.85</v>
      </c>
    </row>
    <row r="1709" spans="14:17" x14ac:dyDescent="0.45">
      <c r="N1709" t="s">
        <v>27</v>
      </c>
      <c r="O1709" t="s">
        <v>3579</v>
      </c>
      <c r="P1709" t="s">
        <v>2106</v>
      </c>
      <c r="Q1709">
        <v>0.85</v>
      </c>
    </row>
    <row r="1710" spans="14:17" x14ac:dyDescent="0.45">
      <c r="N1710" t="s">
        <v>27</v>
      </c>
      <c r="O1710" t="s">
        <v>3580</v>
      </c>
      <c r="P1710" t="s">
        <v>2073</v>
      </c>
      <c r="Q1710">
        <v>0.85</v>
      </c>
    </row>
    <row r="1711" spans="14:17" x14ac:dyDescent="0.45">
      <c r="N1711" t="s">
        <v>27</v>
      </c>
      <c r="O1711" t="s">
        <v>3581</v>
      </c>
      <c r="P1711" t="s">
        <v>2051</v>
      </c>
      <c r="Q1711">
        <v>0.85</v>
      </c>
    </row>
    <row r="1712" spans="14:17" x14ac:dyDescent="0.45">
      <c r="N1712" t="s">
        <v>27</v>
      </c>
      <c r="O1712" t="s">
        <v>3582</v>
      </c>
      <c r="P1712" t="s">
        <v>2069</v>
      </c>
      <c r="Q1712">
        <v>0.85</v>
      </c>
    </row>
    <row r="1713" spans="14:17" x14ac:dyDescent="0.45">
      <c r="N1713" t="s">
        <v>27</v>
      </c>
      <c r="O1713" t="s">
        <v>3583</v>
      </c>
      <c r="P1713" t="s">
        <v>2078</v>
      </c>
      <c r="Q1713">
        <v>0.85</v>
      </c>
    </row>
    <row r="1714" spans="14:17" x14ac:dyDescent="0.45">
      <c r="N1714" t="s">
        <v>27</v>
      </c>
      <c r="O1714" t="s">
        <v>3584</v>
      </c>
      <c r="P1714" t="s">
        <v>2093</v>
      </c>
      <c r="Q1714">
        <v>0.85</v>
      </c>
    </row>
    <row r="1715" spans="14:17" x14ac:dyDescent="0.45">
      <c r="N1715" t="s">
        <v>27</v>
      </c>
      <c r="O1715" t="s">
        <v>3585</v>
      </c>
      <c r="P1715" t="s">
        <v>2073</v>
      </c>
      <c r="Q1715">
        <v>0.85</v>
      </c>
    </row>
    <row r="1716" spans="14:17" x14ac:dyDescent="0.45">
      <c r="N1716" t="s">
        <v>27</v>
      </c>
      <c r="O1716" t="s">
        <v>3586</v>
      </c>
      <c r="P1716" t="s">
        <v>2103</v>
      </c>
      <c r="Q1716">
        <v>0.85</v>
      </c>
    </row>
    <row r="1717" spans="14:17" x14ac:dyDescent="0.45">
      <c r="N1717" t="s">
        <v>27</v>
      </c>
      <c r="O1717" t="s">
        <v>3587</v>
      </c>
      <c r="P1717" t="s">
        <v>2106</v>
      </c>
      <c r="Q1717">
        <v>0.85</v>
      </c>
    </row>
    <row r="1718" spans="14:17" x14ac:dyDescent="0.45">
      <c r="N1718" t="s">
        <v>27</v>
      </c>
      <c r="O1718" t="s">
        <v>3588</v>
      </c>
      <c r="P1718" t="s">
        <v>2106</v>
      </c>
      <c r="Q1718">
        <v>0.85</v>
      </c>
    </row>
    <row r="1719" spans="14:17" x14ac:dyDescent="0.45">
      <c r="N1719" t="s">
        <v>27</v>
      </c>
      <c r="O1719" t="s">
        <v>3589</v>
      </c>
      <c r="P1719" t="s">
        <v>2091</v>
      </c>
      <c r="Q1719">
        <v>0.85</v>
      </c>
    </row>
    <row r="1720" spans="14:17" x14ac:dyDescent="0.45">
      <c r="N1720" t="s">
        <v>27</v>
      </c>
      <c r="O1720" t="s">
        <v>3590</v>
      </c>
      <c r="P1720" t="s">
        <v>2089</v>
      </c>
      <c r="Q1720">
        <v>0.85</v>
      </c>
    </row>
    <row r="1721" spans="14:17" x14ac:dyDescent="0.45">
      <c r="N1721" t="s">
        <v>27</v>
      </c>
      <c r="O1721" t="s">
        <v>3591</v>
      </c>
      <c r="P1721" t="s">
        <v>2065</v>
      </c>
      <c r="Q1721">
        <v>0.85</v>
      </c>
    </row>
    <row r="1722" spans="14:17" x14ac:dyDescent="0.45">
      <c r="N1722" t="s">
        <v>27</v>
      </c>
      <c r="O1722" t="s">
        <v>3592</v>
      </c>
      <c r="P1722" t="s">
        <v>2059</v>
      </c>
      <c r="Q1722">
        <v>0.85</v>
      </c>
    </row>
    <row r="1723" spans="14:17" x14ac:dyDescent="0.45">
      <c r="N1723" t="s">
        <v>27</v>
      </c>
      <c r="O1723" t="s">
        <v>3593</v>
      </c>
      <c r="P1723" t="s">
        <v>2078</v>
      </c>
      <c r="Q1723">
        <v>0.85</v>
      </c>
    </row>
    <row r="1724" spans="14:17" x14ac:dyDescent="0.45">
      <c r="N1724" t="s">
        <v>27</v>
      </c>
      <c r="O1724" t="s">
        <v>3594</v>
      </c>
      <c r="P1724" t="s">
        <v>2057</v>
      </c>
      <c r="Q1724">
        <v>0.85</v>
      </c>
    </row>
    <row r="1725" spans="14:17" x14ac:dyDescent="0.45">
      <c r="N1725" t="s">
        <v>27</v>
      </c>
      <c r="O1725" t="s">
        <v>3595</v>
      </c>
      <c r="P1725" t="s">
        <v>2057</v>
      </c>
      <c r="Q1725">
        <v>0.85</v>
      </c>
    </row>
    <row r="1726" spans="14:17" x14ac:dyDescent="0.45">
      <c r="N1726" t="s">
        <v>27</v>
      </c>
      <c r="O1726" t="s">
        <v>3596</v>
      </c>
      <c r="P1726" t="s">
        <v>2094</v>
      </c>
      <c r="Q1726">
        <v>0.85</v>
      </c>
    </row>
    <row r="1727" spans="14:17" x14ac:dyDescent="0.45">
      <c r="N1727" t="s">
        <v>27</v>
      </c>
      <c r="O1727" t="s">
        <v>3597</v>
      </c>
      <c r="P1727" t="s">
        <v>2057</v>
      </c>
      <c r="Q1727">
        <v>0.85</v>
      </c>
    </row>
    <row r="1728" spans="14:17" x14ac:dyDescent="0.45">
      <c r="N1728" t="s">
        <v>27</v>
      </c>
      <c r="O1728" t="s">
        <v>3598</v>
      </c>
      <c r="P1728" t="s">
        <v>2103</v>
      </c>
      <c r="Q1728">
        <v>0.85</v>
      </c>
    </row>
    <row r="1729" spans="14:17" x14ac:dyDescent="0.45">
      <c r="N1729" t="s">
        <v>27</v>
      </c>
      <c r="O1729" t="s">
        <v>3599</v>
      </c>
      <c r="P1729" t="s">
        <v>2073</v>
      </c>
      <c r="Q1729">
        <v>0.85</v>
      </c>
    </row>
    <row r="1730" spans="14:17" x14ac:dyDescent="0.45">
      <c r="N1730" t="s">
        <v>27</v>
      </c>
      <c r="O1730" t="s">
        <v>3600</v>
      </c>
      <c r="P1730" t="s">
        <v>2052</v>
      </c>
      <c r="Q1730">
        <v>0.85</v>
      </c>
    </row>
    <row r="1731" spans="14:17" x14ac:dyDescent="0.45">
      <c r="N1731" t="s">
        <v>27</v>
      </c>
      <c r="O1731" t="s">
        <v>3601</v>
      </c>
      <c r="P1731" t="s">
        <v>2096</v>
      </c>
      <c r="Q1731">
        <v>0.85</v>
      </c>
    </row>
    <row r="1732" spans="14:17" x14ac:dyDescent="0.45">
      <c r="N1732" t="s">
        <v>27</v>
      </c>
      <c r="O1732" t="s">
        <v>3602</v>
      </c>
      <c r="P1732" t="s">
        <v>2076</v>
      </c>
      <c r="Q1732">
        <v>0.85</v>
      </c>
    </row>
    <row r="1733" spans="14:17" x14ac:dyDescent="0.45">
      <c r="N1733" t="s">
        <v>27</v>
      </c>
      <c r="O1733" t="s">
        <v>3603</v>
      </c>
      <c r="P1733" t="s">
        <v>2083</v>
      </c>
      <c r="Q1733">
        <v>0.85</v>
      </c>
    </row>
    <row r="1734" spans="14:17" x14ac:dyDescent="0.45">
      <c r="N1734" t="s">
        <v>27</v>
      </c>
      <c r="O1734" t="s">
        <v>3604</v>
      </c>
      <c r="P1734" t="s">
        <v>2087</v>
      </c>
      <c r="Q1734">
        <v>0.85</v>
      </c>
    </row>
    <row r="1735" spans="14:17" x14ac:dyDescent="0.45">
      <c r="N1735" t="s">
        <v>27</v>
      </c>
      <c r="O1735" t="s">
        <v>3605</v>
      </c>
      <c r="P1735" t="s">
        <v>2101</v>
      </c>
      <c r="Q1735">
        <v>0.85</v>
      </c>
    </row>
    <row r="1736" spans="14:17" x14ac:dyDescent="0.45">
      <c r="N1736" t="s">
        <v>27</v>
      </c>
      <c r="O1736" t="s">
        <v>3606</v>
      </c>
      <c r="P1736" t="s">
        <v>2105</v>
      </c>
      <c r="Q1736">
        <v>0.85</v>
      </c>
    </row>
    <row r="1737" spans="14:17" x14ac:dyDescent="0.45">
      <c r="N1737" t="s">
        <v>27</v>
      </c>
      <c r="O1737" t="s">
        <v>3607</v>
      </c>
      <c r="P1737" t="s">
        <v>2081</v>
      </c>
      <c r="Q1737">
        <v>0.85</v>
      </c>
    </row>
    <row r="1738" spans="14:17" x14ac:dyDescent="0.45">
      <c r="N1738" t="s">
        <v>27</v>
      </c>
      <c r="O1738" t="s">
        <v>3608</v>
      </c>
      <c r="P1738" t="s">
        <v>2092</v>
      </c>
      <c r="Q1738">
        <v>0.85</v>
      </c>
    </row>
    <row r="1739" spans="14:17" x14ac:dyDescent="0.45">
      <c r="N1739" t="s">
        <v>27</v>
      </c>
      <c r="O1739" t="s">
        <v>3609</v>
      </c>
      <c r="P1739" t="s">
        <v>2086</v>
      </c>
      <c r="Q1739">
        <v>0.85</v>
      </c>
    </row>
    <row r="1740" spans="14:17" x14ac:dyDescent="0.45">
      <c r="N1740" t="s">
        <v>27</v>
      </c>
      <c r="O1740" t="s">
        <v>3610</v>
      </c>
      <c r="P1740" t="s">
        <v>2070</v>
      </c>
      <c r="Q1740">
        <v>0.85</v>
      </c>
    </row>
    <row r="1741" spans="14:17" x14ac:dyDescent="0.45">
      <c r="N1741" t="s">
        <v>27</v>
      </c>
      <c r="O1741" t="s">
        <v>3611</v>
      </c>
      <c r="P1741" t="s">
        <v>2059</v>
      </c>
      <c r="Q1741">
        <v>0.85</v>
      </c>
    </row>
    <row r="1742" spans="14:17" x14ac:dyDescent="0.45">
      <c r="N1742" t="s">
        <v>27</v>
      </c>
      <c r="O1742" t="s">
        <v>3612</v>
      </c>
      <c r="P1742" t="s">
        <v>2097</v>
      </c>
      <c r="Q1742">
        <v>0.85</v>
      </c>
    </row>
    <row r="1743" spans="14:17" x14ac:dyDescent="0.45">
      <c r="N1743" t="s">
        <v>27</v>
      </c>
      <c r="O1743" t="s">
        <v>3613</v>
      </c>
      <c r="P1743" t="s">
        <v>2076</v>
      </c>
      <c r="Q1743">
        <v>0.85</v>
      </c>
    </row>
    <row r="1744" spans="14:17" x14ac:dyDescent="0.45">
      <c r="N1744" t="s">
        <v>27</v>
      </c>
      <c r="O1744" t="s">
        <v>3614</v>
      </c>
      <c r="P1744" t="s">
        <v>2087</v>
      </c>
      <c r="Q1744">
        <v>0.85</v>
      </c>
    </row>
    <row r="1745" spans="14:17" x14ac:dyDescent="0.45">
      <c r="N1745" t="s">
        <v>27</v>
      </c>
      <c r="O1745" t="s">
        <v>3615</v>
      </c>
      <c r="P1745" t="s">
        <v>2076</v>
      </c>
      <c r="Q1745">
        <v>0.85</v>
      </c>
    </row>
    <row r="1746" spans="14:17" x14ac:dyDescent="0.45">
      <c r="N1746" t="s">
        <v>27</v>
      </c>
      <c r="O1746" t="s">
        <v>3616</v>
      </c>
      <c r="P1746" t="s">
        <v>2060</v>
      </c>
      <c r="Q1746">
        <v>0.85</v>
      </c>
    </row>
    <row r="1747" spans="14:17" x14ac:dyDescent="0.45">
      <c r="N1747" t="s">
        <v>27</v>
      </c>
      <c r="O1747" t="s">
        <v>3617</v>
      </c>
      <c r="P1747" t="s">
        <v>2075</v>
      </c>
      <c r="Q1747">
        <v>0.85</v>
      </c>
    </row>
    <row r="1748" spans="14:17" x14ac:dyDescent="0.45">
      <c r="N1748" t="s">
        <v>27</v>
      </c>
      <c r="O1748" t="s">
        <v>3618</v>
      </c>
      <c r="P1748" t="s">
        <v>2083</v>
      </c>
      <c r="Q1748">
        <v>0.85</v>
      </c>
    </row>
    <row r="1749" spans="14:17" x14ac:dyDescent="0.45">
      <c r="N1749" t="s">
        <v>27</v>
      </c>
      <c r="O1749" t="s">
        <v>3619</v>
      </c>
      <c r="P1749" t="s">
        <v>2092</v>
      </c>
      <c r="Q1749">
        <v>0.85</v>
      </c>
    </row>
    <row r="1750" spans="14:17" x14ac:dyDescent="0.45">
      <c r="N1750" t="s">
        <v>27</v>
      </c>
      <c r="O1750" t="s">
        <v>3620</v>
      </c>
      <c r="P1750" t="s">
        <v>2075</v>
      </c>
      <c r="Q1750">
        <v>0.85</v>
      </c>
    </row>
    <row r="1751" spans="14:17" x14ac:dyDescent="0.45">
      <c r="N1751" t="s">
        <v>27</v>
      </c>
      <c r="O1751" t="s">
        <v>3621</v>
      </c>
      <c r="P1751" t="s">
        <v>2078</v>
      </c>
      <c r="Q1751">
        <v>0.85</v>
      </c>
    </row>
    <row r="1752" spans="14:17" x14ac:dyDescent="0.45">
      <c r="N1752" t="s">
        <v>27</v>
      </c>
      <c r="O1752" t="s">
        <v>3622</v>
      </c>
      <c r="P1752" t="s">
        <v>2068</v>
      </c>
      <c r="Q1752">
        <v>0.85</v>
      </c>
    </row>
    <row r="1753" spans="14:17" x14ac:dyDescent="0.45">
      <c r="N1753" t="s">
        <v>27</v>
      </c>
      <c r="O1753" t="s">
        <v>3623</v>
      </c>
      <c r="P1753" t="s">
        <v>2107</v>
      </c>
      <c r="Q1753">
        <v>0.85</v>
      </c>
    </row>
    <row r="1754" spans="14:17" x14ac:dyDescent="0.45">
      <c r="N1754" t="s">
        <v>27</v>
      </c>
      <c r="O1754" t="s">
        <v>3624</v>
      </c>
      <c r="P1754" t="s">
        <v>2107</v>
      </c>
      <c r="Q1754">
        <v>0.85</v>
      </c>
    </row>
    <row r="1755" spans="14:17" x14ac:dyDescent="0.45">
      <c r="N1755" t="s">
        <v>27</v>
      </c>
      <c r="O1755" t="s">
        <v>3625</v>
      </c>
      <c r="P1755" t="s">
        <v>2052</v>
      </c>
      <c r="Q1755">
        <v>0.85</v>
      </c>
    </row>
    <row r="1756" spans="14:17" x14ac:dyDescent="0.45">
      <c r="N1756" t="s">
        <v>27</v>
      </c>
      <c r="O1756" t="s">
        <v>3626</v>
      </c>
      <c r="P1756" t="s">
        <v>2094</v>
      </c>
      <c r="Q1756">
        <v>0.85</v>
      </c>
    </row>
    <row r="1757" spans="14:17" x14ac:dyDescent="0.45">
      <c r="N1757" t="s">
        <v>27</v>
      </c>
      <c r="O1757" t="s">
        <v>3627</v>
      </c>
      <c r="P1757" t="s">
        <v>2109</v>
      </c>
      <c r="Q1757">
        <v>0.85</v>
      </c>
    </row>
    <row r="1758" spans="14:17" x14ac:dyDescent="0.45">
      <c r="N1758" t="s">
        <v>27</v>
      </c>
      <c r="O1758" t="s">
        <v>3628</v>
      </c>
      <c r="P1758" t="s">
        <v>2093</v>
      </c>
      <c r="Q1758">
        <v>0.85</v>
      </c>
    </row>
    <row r="1759" spans="14:17" x14ac:dyDescent="0.45">
      <c r="N1759" t="s">
        <v>27</v>
      </c>
      <c r="O1759" t="s">
        <v>3629</v>
      </c>
      <c r="P1759" t="s">
        <v>2093</v>
      </c>
      <c r="Q1759">
        <v>0.85</v>
      </c>
    </row>
    <row r="1760" spans="14:17" x14ac:dyDescent="0.45">
      <c r="N1760" t="s">
        <v>27</v>
      </c>
      <c r="O1760" t="s">
        <v>3630</v>
      </c>
      <c r="P1760" t="s">
        <v>2055</v>
      </c>
      <c r="Q1760">
        <v>0.85</v>
      </c>
    </row>
    <row r="1761" spans="14:17" x14ac:dyDescent="0.45">
      <c r="N1761" t="s">
        <v>27</v>
      </c>
      <c r="O1761" t="s">
        <v>3631</v>
      </c>
      <c r="P1761" t="s">
        <v>2102</v>
      </c>
      <c r="Q1761">
        <v>0.85</v>
      </c>
    </row>
    <row r="1762" spans="14:17" x14ac:dyDescent="0.45">
      <c r="N1762" t="s">
        <v>27</v>
      </c>
      <c r="O1762" t="s">
        <v>3632</v>
      </c>
      <c r="P1762" t="s">
        <v>2089</v>
      </c>
      <c r="Q1762">
        <v>0.85</v>
      </c>
    </row>
    <row r="1763" spans="14:17" x14ac:dyDescent="0.45">
      <c r="N1763" t="s">
        <v>27</v>
      </c>
      <c r="O1763" t="s">
        <v>3633</v>
      </c>
      <c r="P1763" t="s">
        <v>2078</v>
      </c>
      <c r="Q1763">
        <v>0.85</v>
      </c>
    </row>
    <row r="1764" spans="14:17" x14ac:dyDescent="0.45">
      <c r="N1764" t="s">
        <v>27</v>
      </c>
      <c r="O1764" t="s">
        <v>3634</v>
      </c>
      <c r="P1764" t="s">
        <v>2075</v>
      </c>
      <c r="Q1764">
        <v>0.85</v>
      </c>
    </row>
    <row r="1765" spans="14:17" x14ac:dyDescent="0.45">
      <c r="N1765" t="s">
        <v>27</v>
      </c>
      <c r="O1765" t="s">
        <v>3635</v>
      </c>
      <c r="P1765" t="s">
        <v>2058</v>
      </c>
      <c r="Q1765">
        <v>0.85</v>
      </c>
    </row>
    <row r="1766" spans="14:17" x14ac:dyDescent="0.45">
      <c r="N1766" t="s">
        <v>27</v>
      </c>
      <c r="O1766" t="s">
        <v>3636</v>
      </c>
      <c r="P1766" t="s">
        <v>2096</v>
      </c>
      <c r="Q1766">
        <v>0.85</v>
      </c>
    </row>
    <row r="1767" spans="14:17" x14ac:dyDescent="0.45">
      <c r="N1767" t="s">
        <v>27</v>
      </c>
      <c r="O1767" t="s">
        <v>3637</v>
      </c>
      <c r="P1767" t="s">
        <v>2071</v>
      </c>
      <c r="Q1767">
        <v>0.85</v>
      </c>
    </row>
    <row r="1768" spans="14:17" x14ac:dyDescent="0.45">
      <c r="N1768" t="s">
        <v>27</v>
      </c>
      <c r="O1768" t="s">
        <v>3638</v>
      </c>
      <c r="P1768" t="s">
        <v>2060</v>
      </c>
      <c r="Q1768">
        <v>0.85</v>
      </c>
    </row>
    <row r="1769" spans="14:17" x14ac:dyDescent="0.45">
      <c r="N1769" t="s">
        <v>27</v>
      </c>
      <c r="O1769" t="s">
        <v>3639</v>
      </c>
      <c r="P1769" t="s">
        <v>2084</v>
      </c>
      <c r="Q1769">
        <v>0.85</v>
      </c>
    </row>
    <row r="1770" spans="14:17" x14ac:dyDescent="0.45">
      <c r="N1770" t="s">
        <v>27</v>
      </c>
      <c r="O1770" t="s">
        <v>3640</v>
      </c>
      <c r="P1770" t="s">
        <v>2106</v>
      </c>
      <c r="Q1770">
        <v>0.85</v>
      </c>
    </row>
    <row r="1771" spans="14:17" x14ac:dyDescent="0.45">
      <c r="N1771" t="s">
        <v>27</v>
      </c>
      <c r="O1771" t="s">
        <v>3641</v>
      </c>
      <c r="P1771" t="s">
        <v>2069</v>
      </c>
      <c r="Q1771">
        <v>0.85</v>
      </c>
    </row>
    <row r="1772" spans="14:17" x14ac:dyDescent="0.45">
      <c r="N1772" t="s">
        <v>27</v>
      </c>
      <c r="O1772" t="s">
        <v>3642</v>
      </c>
      <c r="P1772" t="s">
        <v>2103</v>
      </c>
      <c r="Q1772">
        <v>0.85</v>
      </c>
    </row>
    <row r="1773" spans="14:17" x14ac:dyDescent="0.45">
      <c r="N1773" t="s">
        <v>27</v>
      </c>
      <c r="O1773" t="s">
        <v>3643</v>
      </c>
      <c r="P1773" t="s">
        <v>2078</v>
      </c>
      <c r="Q1773">
        <v>0.85</v>
      </c>
    </row>
    <row r="1774" spans="14:17" x14ac:dyDescent="0.45">
      <c r="N1774" t="s">
        <v>27</v>
      </c>
      <c r="O1774" t="s">
        <v>3644</v>
      </c>
      <c r="P1774" t="s">
        <v>2081</v>
      </c>
      <c r="Q1774">
        <v>0.85</v>
      </c>
    </row>
    <row r="1775" spans="14:17" x14ac:dyDescent="0.45">
      <c r="N1775" t="s">
        <v>27</v>
      </c>
      <c r="O1775" t="s">
        <v>3645</v>
      </c>
      <c r="P1775" t="s">
        <v>2108</v>
      </c>
      <c r="Q1775">
        <v>0.85</v>
      </c>
    </row>
    <row r="1776" spans="14:17" x14ac:dyDescent="0.45">
      <c r="N1776" t="s">
        <v>27</v>
      </c>
      <c r="O1776" t="s">
        <v>3646</v>
      </c>
      <c r="P1776" t="s">
        <v>2099</v>
      </c>
      <c r="Q1776">
        <v>0.85</v>
      </c>
    </row>
    <row r="1777" spans="14:17" x14ac:dyDescent="0.45">
      <c r="N1777" t="s">
        <v>27</v>
      </c>
      <c r="O1777" t="s">
        <v>3647</v>
      </c>
      <c r="P1777" t="s">
        <v>2053</v>
      </c>
      <c r="Q1777">
        <v>0.85</v>
      </c>
    </row>
    <row r="1778" spans="14:17" x14ac:dyDescent="0.45">
      <c r="N1778" t="s">
        <v>27</v>
      </c>
      <c r="O1778" t="s">
        <v>3648</v>
      </c>
      <c r="P1778" t="s">
        <v>2079</v>
      </c>
      <c r="Q1778">
        <v>0.85</v>
      </c>
    </row>
    <row r="1779" spans="14:17" x14ac:dyDescent="0.45">
      <c r="N1779" t="s">
        <v>27</v>
      </c>
      <c r="O1779" t="s">
        <v>3649</v>
      </c>
      <c r="P1779" t="s">
        <v>2078</v>
      </c>
      <c r="Q1779">
        <v>0.85</v>
      </c>
    </row>
    <row r="1780" spans="14:17" x14ac:dyDescent="0.45">
      <c r="N1780" t="s">
        <v>27</v>
      </c>
      <c r="O1780" t="s">
        <v>3650</v>
      </c>
      <c r="P1780" t="s">
        <v>2107</v>
      </c>
      <c r="Q1780">
        <v>0.85</v>
      </c>
    </row>
    <row r="1781" spans="14:17" x14ac:dyDescent="0.45">
      <c r="N1781" t="s">
        <v>27</v>
      </c>
      <c r="O1781" t="s">
        <v>3651</v>
      </c>
      <c r="P1781" t="s">
        <v>2056</v>
      </c>
      <c r="Q1781">
        <v>0.85</v>
      </c>
    </row>
    <row r="1782" spans="14:17" x14ac:dyDescent="0.45">
      <c r="N1782" t="s">
        <v>27</v>
      </c>
      <c r="O1782" t="s">
        <v>3652</v>
      </c>
      <c r="P1782" t="s">
        <v>2081</v>
      </c>
      <c r="Q1782">
        <v>0.85</v>
      </c>
    </row>
    <row r="1783" spans="14:17" x14ac:dyDescent="0.45">
      <c r="N1783" t="s">
        <v>27</v>
      </c>
      <c r="O1783" t="s">
        <v>3653</v>
      </c>
      <c r="P1783" t="s">
        <v>2075</v>
      </c>
      <c r="Q1783">
        <v>0.85</v>
      </c>
    </row>
    <row r="1784" spans="14:17" x14ac:dyDescent="0.45">
      <c r="N1784" t="s">
        <v>27</v>
      </c>
      <c r="O1784" t="s">
        <v>3654</v>
      </c>
      <c r="P1784" t="s">
        <v>2094</v>
      </c>
      <c r="Q1784">
        <v>0.85</v>
      </c>
    </row>
    <row r="1785" spans="14:17" x14ac:dyDescent="0.45">
      <c r="N1785" t="s">
        <v>27</v>
      </c>
      <c r="O1785" t="s">
        <v>3655</v>
      </c>
      <c r="P1785" t="s">
        <v>2076</v>
      </c>
      <c r="Q1785">
        <v>0.85</v>
      </c>
    </row>
    <row r="1786" spans="14:17" x14ac:dyDescent="0.45">
      <c r="N1786" t="s">
        <v>27</v>
      </c>
      <c r="O1786" t="s">
        <v>3656</v>
      </c>
      <c r="P1786" t="s">
        <v>2071</v>
      </c>
      <c r="Q1786">
        <v>0.85</v>
      </c>
    </row>
    <row r="1787" spans="14:17" x14ac:dyDescent="0.45">
      <c r="N1787" t="s">
        <v>27</v>
      </c>
      <c r="O1787" t="s">
        <v>3657</v>
      </c>
      <c r="P1787" t="s">
        <v>2094</v>
      </c>
      <c r="Q1787">
        <v>0.85</v>
      </c>
    </row>
    <row r="1788" spans="14:17" x14ac:dyDescent="0.45">
      <c r="N1788" t="s">
        <v>27</v>
      </c>
      <c r="O1788" t="s">
        <v>3658</v>
      </c>
      <c r="P1788" t="s">
        <v>2098</v>
      </c>
      <c r="Q1788">
        <v>0.85</v>
      </c>
    </row>
    <row r="1789" spans="14:17" x14ac:dyDescent="0.45">
      <c r="N1789" t="s">
        <v>27</v>
      </c>
      <c r="O1789" t="s">
        <v>3659</v>
      </c>
      <c r="P1789" t="s">
        <v>2071</v>
      </c>
      <c r="Q1789">
        <v>0.85</v>
      </c>
    </row>
    <row r="1790" spans="14:17" x14ac:dyDescent="0.45">
      <c r="N1790" t="s">
        <v>27</v>
      </c>
      <c r="O1790" t="s">
        <v>3660</v>
      </c>
      <c r="P1790" t="s">
        <v>2107</v>
      </c>
      <c r="Q1790">
        <v>0.85</v>
      </c>
    </row>
    <row r="1791" spans="14:17" x14ac:dyDescent="0.45">
      <c r="N1791" t="s">
        <v>27</v>
      </c>
      <c r="O1791" t="s">
        <v>3661</v>
      </c>
      <c r="P1791" t="s">
        <v>2083</v>
      </c>
      <c r="Q1791">
        <v>0.85</v>
      </c>
    </row>
    <row r="1792" spans="14:17" x14ac:dyDescent="0.45">
      <c r="N1792" t="s">
        <v>27</v>
      </c>
      <c r="O1792" t="s">
        <v>3662</v>
      </c>
      <c r="P1792" t="s">
        <v>2051</v>
      </c>
      <c r="Q1792">
        <v>0.85</v>
      </c>
    </row>
    <row r="1793" spans="14:17" x14ac:dyDescent="0.45">
      <c r="N1793" t="s">
        <v>27</v>
      </c>
      <c r="O1793" t="s">
        <v>3663</v>
      </c>
      <c r="P1793" t="s">
        <v>2086</v>
      </c>
      <c r="Q1793">
        <v>0.85</v>
      </c>
    </row>
    <row r="1794" spans="14:17" x14ac:dyDescent="0.45">
      <c r="N1794" t="s">
        <v>27</v>
      </c>
      <c r="O1794" t="s">
        <v>3664</v>
      </c>
      <c r="P1794" t="s">
        <v>2075</v>
      </c>
      <c r="Q1794">
        <v>0.85</v>
      </c>
    </row>
    <row r="1795" spans="14:17" x14ac:dyDescent="0.45">
      <c r="N1795" t="s">
        <v>27</v>
      </c>
      <c r="O1795" t="s">
        <v>3665</v>
      </c>
      <c r="P1795" t="s">
        <v>2086</v>
      </c>
      <c r="Q1795">
        <v>0.85</v>
      </c>
    </row>
    <row r="1796" spans="14:17" x14ac:dyDescent="0.45">
      <c r="N1796" t="s">
        <v>27</v>
      </c>
      <c r="O1796" t="s">
        <v>3666</v>
      </c>
      <c r="P1796" t="s">
        <v>2075</v>
      </c>
      <c r="Q1796">
        <v>0.85</v>
      </c>
    </row>
    <row r="1797" spans="14:17" x14ac:dyDescent="0.45">
      <c r="N1797" t="s">
        <v>27</v>
      </c>
      <c r="O1797" t="s">
        <v>3667</v>
      </c>
      <c r="P1797" t="s">
        <v>2107</v>
      </c>
      <c r="Q1797">
        <v>0.85</v>
      </c>
    </row>
    <row r="1798" spans="14:17" x14ac:dyDescent="0.45">
      <c r="N1798" t="s">
        <v>27</v>
      </c>
      <c r="O1798" t="s">
        <v>3668</v>
      </c>
      <c r="P1798" t="s">
        <v>2107</v>
      </c>
      <c r="Q1798">
        <v>0.85</v>
      </c>
    </row>
    <row r="1799" spans="14:17" x14ac:dyDescent="0.45">
      <c r="N1799" t="s">
        <v>27</v>
      </c>
      <c r="O1799" t="s">
        <v>3669</v>
      </c>
      <c r="P1799" t="s">
        <v>2073</v>
      </c>
      <c r="Q1799">
        <v>0.85</v>
      </c>
    </row>
    <row r="1800" spans="14:17" x14ac:dyDescent="0.45">
      <c r="N1800" t="s">
        <v>27</v>
      </c>
      <c r="O1800" t="s">
        <v>3670</v>
      </c>
      <c r="P1800" t="s">
        <v>2107</v>
      </c>
      <c r="Q1800">
        <v>0.85</v>
      </c>
    </row>
    <row r="1801" spans="14:17" x14ac:dyDescent="0.45">
      <c r="N1801" t="s">
        <v>27</v>
      </c>
      <c r="O1801" t="s">
        <v>3671</v>
      </c>
      <c r="P1801" t="s">
        <v>2096</v>
      </c>
      <c r="Q1801">
        <v>0.85</v>
      </c>
    </row>
    <row r="1802" spans="14:17" x14ac:dyDescent="0.45">
      <c r="N1802" t="s">
        <v>27</v>
      </c>
      <c r="O1802" t="s">
        <v>3672</v>
      </c>
      <c r="P1802" t="s">
        <v>2052</v>
      </c>
      <c r="Q1802">
        <v>0.85</v>
      </c>
    </row>
    <row r="1803" spans="14:17" x14ac:dyDescent="0.45">
      <c r="N1803" t="s">
        <v>27</v>
      </c>
      <c r="O1803" t="s">
        <v>3673</v>
      </c>
      <c r="P1803" t="s">
        <v>2064</v>
      </c>
      <c r="Q1803">
        <v>0.85</v>
      </c>
    </row>
    <row r="1804" spans="14:17" x14ac:dyDescent="0.45">
      <c r="N1804" t="s">
        <v>27</v>
      </c>
      <c r="O1804" t="s">
        <v>3674</v>
      </c>
      <c r="P1804" t="s">
        <v>2067</v>
      </c>
      <c r="Q1804">
        <v>0.85</v>
      </c>
    </row>
    <row r="1805" spans="14:17" x14ac:dyDescent="0.45">
      <c r="N1805" t="s">
        <v>27</v>
      </c>
      <c r="O1805" t="s">
        <v>3675</v>
      </c>
      <c r="P1805" t="s">
        <v>2068</v>
      </c>
      <c r="Q1805">
        <v>0.85</v>
      </c>
    </row>
    <row r="1806" spans="14:17" x14ac:dyDescent="0.45">
      <c r="N1806" t="s">
        <v>27</v>
      </c>
      <c r="O1806" t="s">
        <v>3676</v>
      </c>
      <c r="P1806" t="s">
        <v>2106</v>
      </c>
      <c r="Q1806">
        <v>0.85</v>
      </c>
    </row>
    <row r="1807" spans="14:17" x14ac:dyDescent="0.45">
      <c r="N1807" t="s">
        <v>27</v>
      </c>
      <c r="O1807" t="s">
        <v>3677</v>
      </c>
      <c r="P1807" t="s">
        <v>2051</v>
      </c>
      <c r="Q1807">
        <v>0.95</v>
      </c>
    </row>
    <row r="1808" spans="14:17" x14ac:dyDescent="0.45">
      <c r="N1808" t="s">
        <v>27</v>
      </c>
      <c r="O1808" t="s">
        <v>3678</v>
      </c>
      <c r="P1808" t="s">
        <v>2089</v>
      </c>
      <c r="Q1808">
        <v>0.95</v>
      </c>
    </row>
    <row r="1809" spans="14:17" x14ac:dyDescent="0.45">
      <c r="N1809" t="s">
        <v>27</v>
      </c>
      <c r="O1809" t="s">
        <v>3679</v>
      </c>
      <c r="P1809" t="s">
        <v>2090</v>
      </c>
      <c r="Q1809">
        <v>0.95</v>
      </c>
    </row>
    <row r="1810" spans="14:17" x14ac:dyDescent="0.45">
      <c r="N1810" t="s">
        <v>27</v>
      </c>
      <c r="O1810" t="s">
        <v>3680</v>
      </c>
      <c r="P1810" t="s">
        <v>2094</v>
      </c>
      <c r="Q1810">
        <v>0.95</v>
      </c>
    </row>
    <row r="1811" spans="14:17" x14ac:dyDescent="0.45">
      <c r="N1811" t="s">
        <v>27</v>
      </c>
      <c r="O1811" t="s">
        <v>3681</v>
      </c>
      <c r="P1811" t="s">
        <v>2065</v>
      </c>
      <c r="Q1811">
        <v>0.95</v>
      </c>
    </row>
    <row r="1812" spans="14:17" x14ac:dyDescent="0.45">
      <c r="N1812" t="s">
        <v>27</v>
      </c>
      <c r="O1812" t="s">
        <v>3682</v>
      </c>
      <c r="P1812" t="s">
        <v>2058</v>
      </c>
      <c r="Q1812">
        <v>0.95</v>
      </c>
    </row>
    <row r="1813" spans="14:17" x14ac:dyDescent="0.45">
      <c r="N1813" t="s">
        <v>27</v>
      </c>
      <c r="O1813" t="s">
        <v>3683</v>
      </c>
      <c r="P1813" t="s">
        <v>2089</v>
      </c>
      <c r="Q1813">
        <v>0.95</v>
      </c>
    </row>
    <row r="1814" spans="14:17" x14ac:dyDescent="0.45">
      <c r="N1814" t="s">
        <v>27</v>
      </c>
      <c r="O1814" t="s">
        <v>3684</v>
      </c>
      <c r="P1814" t="s">
        <v>2104</v>
      </c>
      <c r="Q1814">
        <v>0.95</v>
      </c>
    </row>
    <row r="1815" spans="14:17" x14ac:dyDescent="0.45">
      <c r="N1815" t="s">
        <v>27</v>
      </c>
      <c r="O1815" t="s">
        <v>3685</v>
      </c>
      <c r="P1815" t="s">
        <v>2089</v>
      </c>
      <c r="Q1815">
        <v>0.95</v>
      </c>
    </row>
    <row r="1816" spans="14:17" x14ac:dyDescent="0.45">
      <c r="N1816" t="s">
        <v>27</v>
      </c>
      <c r="O1816" t="s">
        <v>3686</v>
      </c>
      <c r="P1816" t="s">
        <v>2071</v>
      </c>
      <c r="Q1816">
        <v>0.95</v>
      </c>
    </row>
    <row r="1817" spans="14:17" x14ac:dyDescent="0.45">
      <c r="N1817" t="s">
        <v>27</v>
      </c>
      <c r="O1817" t="s">
        <v>3687</v>
      </c>
      <c r="P1817" t="s">
        <v>2051</v>
      </c>
      <c r="Q1817">
        <v>0.95</v>
      </c>
    </row>
    <row r="1818" spans="14:17" x14ac:dyDescent="0.45">
      <c r="N1818" t="s">
        <v>27</v>
      </c>
      <c r="O1818" t="s">
        <v>3688</v>
      </c>
      <c r="P1818" t="s">
        <v>2051</v>
      </c>
      <c r="Q1818">
        <v>0.95</v>
      </c>
    </row>
    <row r="1819" spans="14:17" x14ac:dyDescent="0.45">
      <c r="N1819" t="s">
        <v>27</v>
      </c>
      <c r="O1819" t="s">
        <v>3689</v>
      </c>
      <c r="P1819" t="s">
        <v>2077</v>
      </c>
      <c r="Q1819">
        <v>0.95</v>
      </c>
    </row>
    <row r="1820" spans="14:17" x14ac:dyDescent="0.45">
      <c r="N1820" t="s">
        <v>27</v>
      </c>
      <c r="O1820" t="s">
        <v>3690</v>
      </c>
      <c r="P1820" t="s">
        <v>2091</v>
      </c>
      <c r="Q1820">
        <v>0.95</v>
      </c>
    </row>
    <row r="1821" spans="14:17" x14ac:dyDescent="0.45">
      <c r="N1821" t="s">
        <v>27</v>
      </c>
      <c r="O1821" t="s">
        <v>3691</v>
      </c>
      <c r="P1821" t="s">
        <v>2071</v>
      </c>
      <c r="Q1821">
        <v>0.95</v>
      </c>
    </row>
    <row r="1822" spans="14:17" x14ac:dyDescent="0.45">
      <c r="N1822" t="s">
        <v>27</v>
      </c>
      <c r="O1822" t="s">
        <v>3692</v>
      </c>
      <c r="P1822" t="s">
        <v>2065</v>
      </c>
      <c r="Q1822">
        <v>0.95</v>
      </c>
    </row>
    <row r="1823" spans="14:17" x14ac:dyDescent="0.45">
      <c r="N1823" t="s">
        <v>27</v>
      </c>
      <c r="O1823" t="s">
        <v>3693</v>
      </c>
      <c r="P1823" t="s">
        <v>2077</v>
      </c>
      <c r="Q1823">
        <v>0.95</v>
      </c>
    </row>
    <row r="1824" spans="14:17" x14ac:dyDescent="0.45">
      <c r="N1824" t="s">
        <v>27</v>
      </c>
      <c r="O1824" t="s">
        <v>3694</v>
      </c>
      <c r="P1824" t="s">
        <v>2084</v>
      </c>
      <c r="Q1824">
        <v>0.95</v>
      </c>
    </row>
    <row r="1825" spans="14:17" x14ac:dyDescent="0.45">
      <c r="N1825" t="s">
        <v>27</v>
      </c>
      <c r="O1825" t="s">
        <v>3695</v>
      </c>
      <c r="P1825" t="s">
        <v>2063</v>
      </c>
      <c r="Q1825">
        <v>0.85</v>
      </c>
    </row>
    <row r="1826" spans="14:17" x14ac:dyDescent="0.45">
      <c r="N1826" t="s">
        <v>27</v>
      </c>
      <c r="O1826" t="s">
        <v>3696</v>
      </c>
      <c r="P1826" t="s">
        <v>2055</v>
      </c>
      <c r="Q1826">
        <v>0.85</v>
      </c>
    </row>
    <row r="1827" spans="14:17" x14ac:dyDescent="0.45">
      <c r="N1827" t="s">
        <v>27</v>
      </c>
      <c r="O1827" t="s">
        <v>3697</v>
      </c>
      <c r="P1827" t="s">
        <v>2103</v>
      </c>
      <c r="Q1827">
        <v>0.85</v>
      </c>
    </row>
    <row r="1828" spans="14:17" x14ac:dyDescent="0.45">
      <c r="N1828" t="s">
        <v>27</v>
      </c>
      <c r="O1828" t="s">
        <v>3698</v>
      </c>
      <c r="P1828" t="s">
        <v>2055</v>
      </c>
      <c r="Q1828">
        <v>0.85</v>
      </c>
    </row>
    <row r="1829" spans="14:17" x14ac:dyDescent="0.45">
      <c r="N1829" t="s">
        <v>27</v>
      </c>
      <c r="O1829" t="s">
        <v>3699</v>
      </c>
      <c r="P1829" t="s">
        <v>2095</v>
      </c>
      <c r="Q1829">
        <v>0.85</v>
      </c>
    </row>
    <row r="1830" spans="14:17" x14ac:dyDescent="0.45">
      <c r="N1830" t="s">
        <v>27</v>
      </c>
      <c r="O1830" t="s">
        <v>3700</v>
      </c>
      <c r="P1830" t="s">
        <v>2076</v>
      </c>
      <c r="Q1830">
        <v>0.85</v>
      </c>
    </row>
    <row r="1831" spans="14:17" x14ac:dyDescent="0.45">
      <c r="N1831" t="s">
        <v>27</v>
      </c>
      <c r="O1831" t="s">
        <v>3701</v>
      </c>
      <c r="P1831" t="s">
        <v>2089</v>
      </c>
      <c r="Q1831">
        <v>0.85</v>
      </c>
    </row>
    <row r="1832" spans="14:17" x14ac:dyDescent="0.45">
      <c r="N1832" t="s">
        <v>27</v>
      </c>
      <c r="O1832" t="s">
        <v>3702</v>
      </c>
      <c r="P1832" t="s">
        <v>2059</v>
      </c>
      <c r="Q1832">
        <v>0.85</v>
      </c>
    </row>
    <row r="1833" spans="14:17" x14ac:dyDescent="0.45">
      <c r="N1833" t="s">
        <v>27</v>
      </c>
      <c r="O1833" t="s">
        <v>3703</v>
      </c>
      <c r="P1833" t="s">
        <v>2101</v>
      </c>
      <c r="Q1833">
        <v>0.85</v>
      </c>
    </row>
    <row r="1834" spans="14:17" x14ac:dyDescent="0.45">
      <c r="N1834" t="s">
        <v>27</v>
      </c>
      <c r="O1834" t="s">
        <v>3704</v>
      </c>
      <c r="P1834" t="s">
        <v>2108</v>
      </c>
      <c r="Q1834">
        <v>0.85</v>
      </c>
    </row>
    <row r="1835" spans="14:17" x14ac:dyDescent="0.45">
      <c r="N1835" t="s">
        <v>27</v>
      </c>
      <c r="O1835" t="s">
        <v>3705</v>
      </c>
      <c r="P1835" t="s">
        <v>2098</v>
      </c>
      <c r="Q1835">
        <v>0.85</v>
      </c>
    </row>
    <row r="1836" spans="14:17" x14ac:dyDescent="0.45">
      <c r="N1836" t="s">
        <v>27</v>
      </c>
      <c r="O1836" t="s">
        <v>3706</v>
      </c>
      <c r="P1836" t="s">
        <v>2086</v>
      </c>
      <c r="Q1836">
        <v>0.85</v>
      </c>
    </row>
    <row r="1837" spans="14:17" x14ac:dyDescent="0.45">
      <c r="N1837" t="s">
        <v>27</v>
      </c>
      <c r="O1837" t="s">
        <v>3707</v>
      </c>
      <c r="P1837" t="s">
        <v>2052</v>
      </c>
      <c r="Q1837">
        <v>0.85</v>
      </c>
    </row>
    <row r="1838" spans="14:17" x14ac:dyDescent="0.45">
      <c r="N1838" t="s">
        <v>27</v>
      </c>
      <c r="O1838" t="s">
        <v>3708</v>
      </c>
      <c r="P1838" t="s">
        <v>2059</v>
      </c>
      <c r="Q1838">
        <v>0.85</v>
      </c>
    </row>
    <row r="1839" spans="14:17" x14ac:dyDescent="0.45">
      <c r="N1839" t="s">
        <v>27</v>
      </c>
      <c r="O1839" t="s">
        <v>3709</v>
      </c>
      <c r="P1839" t="s">
        <v>2086</v>
      </c>
      <c r="Q1839">
        <v>0.85</v>
      </c>
    </row>
    <row r="1840" spans="14:17" x14ac:dyDescent="0.45">
      <c r="N1840" t="s">
        <v>27</v>
      </c>
      <c r="O1840" t="s">
        <v>3710</v>
      </c>
      <c r="P1840" t="s">
        <v>2051</v>
      </c>
      <c r="Q1840">
        <v>0.85</v>
      </c>
    </row>
    <row r="1841" spans="14:17" x14ac:dyDescent="0.45">
      <c r="N1841" t="s">
        <v>27</v>
      </c>
      <c r="O1841" t="s">
        <v>3711</v>
      </c>
      <c r="P1841" t="s">
        <v>2059</v>
      </c>
      <c r="Q1841">
        <v>0.85</v>
      </c>
    </row>
    <row r="1842" spans="14:17" x14ac:dyDescent="0.45">
      <c r="N1842" t="s">
        <v>27</v>
      </c>
      <c r="O1842" t="s">
        <v>3712</v>
      </c>
      <c r="P1842" t="s">
        <v>2069</v>
      </c>
      <c r="Q1842">
        <v>0.85</v>
      </c>
    </row>
    <row r="1843" spans="14:17" x14ac:dyDescent="0.45">
      <c r="N1843" t="s">
        <v>27</v>
      </c>
      <c r="O1843" t="s">
        <v>3713</v>
      </c>
      <c r="P1843" t="s">
        <v>2057</v>
      </c>
      <c r="Q1843">
        <v>0.85</v>
      </c>
    </row>
    <row r="1844" spans="14:17" x14ac:dyDescent="0.45">
      <c r="N1844" t="s">
        <v>27</v>
      </c>
      <c r="O1844" t="s">
        <v>3714</v>
      </c>
      <c r="P1844" t="s">
        <v>2101</v>
      </c>
      <c r="Q1844">
        <v>0.85</v>
      </c>
    </row>
    <row r="1845" spans="14:17" x14ac:dyDescent="0.45">
      <c r="N1845" t="s">
        <v>27</v>
      </c>
      <c r="O1845" t="s">
        <v>3715</v>
      </c>
      <c r="P1845" t="s">
        <v>2078</v>
      </c>
      <c r="Q1845">
        <v>0.85</v>
      </c>
    </row>
    <row r="1846" spans="14:17" x14ac:dyDescent="0.45">
      <c r="N1846" t="s">
        <v>27</v>
      </c>
      <c r="O1846" t="s">
        <v>3716</v>
      </c>
      <c r="P1846" t="s">
        <v>2106</v>
      </c>
      <c r="Q1846">
        <v>0.85</v>
      </c>
    </row>
    <row r="1847" spans="14:17" x14ac:dyDescent="0.45">
      <c r="N1847" t="s">
        <v>27</v>
      </c>
      <c r="O1847" t="s">
        <v>3717</v>
      </c>
      <c r="P1847" t="s">
        <v>2095</v>
      </c>
      <c r="Q1847">
        <v>0.85</v>
      </c>
    </row>
    <row r="1848" spans="14:17" x14ac:dyDescent="0.45">
      <c r="N1848" t="s">
        <v>27</v>
      </c>
      <c r="O1848" t="s">
        <v>3718</v>
      </c>
      <c r="P1848" t="s">
        <v>2087</v>
      </c>
      <c r="Q1848">
        <v>0.85</v>
      </c>
    </row>
    <row r="1849" spans="14:17" x14ac:dyDescent="0.45">
      <c r="N1849" t="s">
        <v>27</v>
      </c>
      <c r="O1849" t="s">
        <v>3719</v>
      </c>
      <c r="P1849" t="s">
        <v>2062</v>
      </c>
      <c r="Q1849">
        <v>0.85</v>
      </c>
    </row>
    <row r="1850" spans="14:17" x14ac:dyDescent="0.45">
      <c r="N1850" t="s">
        <v>27</v>
      </c>
      <c r="O1850" t="s">
        <v>3720</v>
      </c>
      <c r="P1850" t="s">
        <v>2086</v>
      </c>
      <c r="Q1850">
        <v>0.85</v>
      </c>
    </row>
    <row r="1851" spans="14:17" x14ac:dyDescent="0.45">
      <c r="N1851" t="s">
        <v>27</v>
      </c>
      <c r="O1851" t="s">
        <v>3721</v>
      </c>
      <c r="P1851" t="s">
        <v>2069</v>
      </c>
      <c r="Q1851">
        <v>0.85</v>
      </c>
    </row>
    <row r="1852" spans="14:17" x14ac:dyDescent="0.45">
      <c r="N1852" t="s">
        <v>27</v>
      </c>
      <c r="O1852" t="s">
        <v>3722</v>
      </c>
      <c r="P1852" t="s">
        <v>2054</v>
      </c>
      <c r="Q1852">
        <v>0.85</v>
      </c>
    </row>
    <row r="1853" spans="14:17" x14ac:dyDescent="0.45">
      <c r="N1853" t="s">
        <v>27</v>
      </c>
      <c r="O1853" t="s">
        <v>3723</v>
      </c>
      <c r="P1853" t="s">
        <v>2089</v>
      </c>
      <c r="Q1853">
        <v>0.85</v>
      </c>
    </row>
    <row r="1854" spans="14:17" x14ac:dyDescent="0.45">
      <c r="N1854" t="s">
        <v>27</v>
      </c>
      <c r="O1854" t="s">
        <v>3724</v>
      </c>
      <c r="P1854" t="s">
        <v>2089</v>
      </c>
      <c r="Q1854">
        <v>0.85</v>
      </c>
    </row>
    <row r="1855" spans="14:17" x14ac:dyDescent="0.45">
      <c r="N1855" t="s">
        <v>27</v>
      </c>
      <c r="O1855" t="s">
        <v>3725</v>
      </c>
      <c r="P1855" t="s">
        <v>2088</v>
      </c>
      <c r="Q1855">
        <v>0.85</v>
      </c>
    </row>
    <row r="1856" spans="14:17" x14ac:dyDescent="0.45">
      <c r="N1856" t="s">
        <v>27</v>
      </c>
      <c r="O1856" t="s">
        <v>3726</v>
      </c>
      <c r="P1856" t="s">
        <v>2086</v>
      </c>
      <c r="Q1856">
        <v>0.85</v>
      </c>
    </row>
    <row r="1857" spans="14:17" x14ac:dyDescent="0.45">
      <c r="N1857" t="s">
        <v>27</v>
      </c>
      <c r="O1857" t="s">
        <v>3727</v>
      </c>
      <c r="P1857" t="s">
        <v>2059</v>
      </c>
      <c r="Q1857">
        <v>0.85</v>
      </c>
    </row>
    <row r="1858" spans="14:17" x14ac:dyDescent="0.45">
      <c r="N1858" t="s">
        <v>27</v>
      </c>
      <c r="O1858" t="s">
        <v>3728</v>
      </c>
      <c r="P1858" t="s">
        <v>2076</v>
      </c>
      <c r="Q1858">
        <v>0.85</v>
      </c>
    </row>
    <row r="1859" spans="14:17" x14ac:dyDescent="0.45">
      <c r="N1859" t="s">
        <v>27</v>
      </c>
      <c r="O1859" t="s">
        <v>3729</v>
      </c>
      <c r="P1859" t="s">
        <v>2075</v>
      </c>
      <c r="Q1859">
        <v>0.85</v>
      </c>
    </row>
    <row r="1860" spans="14:17" x14ac:dyDescent="0.45">
      <c r="N1860" t="s">
        <v>27</v>
      </c>
      <c r="O1860" t="s">
        <v>3730</v>
      </c>
      <c r="P1860" t="s">
        <v>2074</v>
      </c>
      <c r="Q1860">
        <v>0.85</v>
      </c>
    </row>
    <row r="1861" spans="14:17" x14ac:dyDescent="0.45">
      <c r="N1861" t="s">
        <v>27</v>
      </c>
      <c r="O1861" t="s">
        <v>3731</v>
      </c>
      <c r="P1861" t="s">
        <v>2081</v>
      </c>
      <c r="Q1861">
        <v>0.85</v>
      </c>
    </row>
    <row r="1862" spans="14:17" x14ac:dyDescent="0.45">
      <c r="N1862" t="s">
        <v>27</v>
      </c>
      <c r="O1862" t="s">
        <v>3732</v>
      </c>
      <c r="P1862" t="s">
        <v>2081</v>
      </c>
      <c r="Q1862">
        <v>0.85</v>
      </c>
    </row>
    <row r="1863" spans="14:17" x14ac:dyDescent="0.45">
      <c r="N1863" t="s">
        <v>27</v>
      </c>
      <c r="O1863" t="s">
        <v>3733</v>
      </c>
      <c r="P1863" t="s">
        <v>2072</v>
      </c>
      <c r="Q1863">
        <v>0.85</v>
      </c>
    </row>
    <row r="1864" spans="14:17" x14ac:dyDescent="0.45">
      <c r="N1864" t="s">
        <v>27</v>
      </c>
      <c r="O1864" t="s">
        <v>3734</v>
      </c>
      <c r="P1864" t="s">
        <v>2053</v>
      </c>
      <c r="Q1864">
        <v>0.85</v>
      </c>
    </row>
    <row r="1865" spans="14:17" x14ac:dyDescent="0.45">
      <c r="N1865" t="s">
        <v>27</v>
      </c>
      <c r="O1865" t="s">
        <v>3735</v>
      </c>
      <c r="P1865" t="s">
        <v>2086</v>
      </c>
      <c r="Q1865">
        <v>0.85</v>
      </c>
    </row>
    <row r="1866" spans="14:17" x14ac:dyDescent="0.45">
      <c r="N1866" t="s">
        <v>27</v>
      </c>
      <c r="O1866" t="s">
        <v>3736</v>
      </c>
      <c r="P1866" t="s">
        <v>2075</v>
      </c>
      <c r="Q1866">
        <v>0.85</v>
      </c>
    </row>
    <row r="1867" spans="14:17" x14ac:dyDescent="0.45">
      <c r="N1867" t="s">
        <v>27</v>
      </c>
      <c r="O1867" t="s">
        <v>3737</v>
      </c>
      <c r="P1867" t="s">
        <v>2064</v>
      </c>
      <c r="Q1867">
        <v>0.85</v>
      </c>
    </row>
    <row r="1868" spans="14:17" x14ac:dyDescent="0.45">
      <c r="N1868" t="s">
        <v>27</v>
      </c>
      <c r="O1868" t="s">
        <v>3738</v>
      </c>
      <c r="P1868" t="s">
        <v>2067</v>
      </c>
      <c r="Q1868">
        <v>0.85</v>
      </c>
    </row>
    <row r="1869" spans="14:17" x14ac:dyDescent="0.45">
      <c r="N1869" t="s">
        <v>27</v>
      </c>
      <c r="O1869" t="s">
        <v>3739</v>
      </c>
      <c r="P1869" t="s">
        <v>2099</v>
      </c>
      <c r="Q1869">
        <v>0.85</v>
      </c>
    </row>
    <row r="1870" spans="14:17" x14ac:dyDescent="0.45">
      <c r="N1870" t="s">
        <v>27</v>
      </c>
      <c r="O1870" t="s">
        <v>3740</v>
      </c>
      <c r="P1870" t="s">
        <v>2055</v>
      </c>
      <c r="Q1870">
        <v>0.85</v>
      </c>
    </row>
    <row r="1871" spans="14:17" x14ac:dyDescent="0.45">
      <c r="N1871" t="s">
        <v>27</v>
      </c>
      <c r="O1871" t="s">
        <v>3741</v>
      </c>
      <c r="P1871" t="s">
        <v>2058</v>
      </c>
      <c r="Q1871">
        <v>0.85</v>
      </c>
    </row>
    <row r="1872" spans="14:17" x14ac:dyDescent="0.45">
      <c r="N1872" t="s">
        <v>27</v>
      </c>
      <c r="O1872" t="s">
        <v>3742</v>
      </c>
      <c r="P1872" t="s">
        <v>2107</v>
      </c>
      <c r="Q1872">
        <v>0.85</v>
      </c>
    </row>
    <row r="1873" spans="14:17" x14ac:dyDescent="0.45">
      <c r="N1873" t="s">
        <v>27</v>
      </c>
      <c r="O1873" t="s">
        <v>3743</v>
      </c>
      <c r="P1873" t="s">
        <v>2060</v>
      </c>
      <c r="Q1873">
        <v>0.85</v>
      </c>
    </row>
    <row r="1874" spans="14:17" x14ac:dyDescent="0.45">
      <c r="N1874" t="s">
        <v>27</v>
      </c>
      <c r="O1874" t="s">
        <v>3744</v>
      </c>
      <c r="P1874" t="s">
        <v>2087</v>
      </c>
      <c r="Q1874">
        <v>0.85</v>
      </c>
    </row>
    <row r="1875" spans="14:17" x14ac:dyDescent="0.45">
      <c r="N1875" t="s">
        <v>27</v>
      </c>
      <c r="O1875" t="s">
        <v>3745</v>
      </c>
      <c r="P1875" t="s">
        <v>2089</v>
      </c>
      <c r="Q1875">
        <v>0.85</v>
      </c>
    </row>
    <row r="1876" spans="14:17" x14ac:dyDescent="0.45">
      <c r="N1876" t="s">
        <v>27</v>
      </c>
      <c r="O1876" t="s">
        <v>3746</v>
      </c>
      <c r="P1876" t="s">
        <v>2075</v>
      </c>
      <c r="Q1876">
        <v>0.85</v>
      </c>
    </row>
    <row r="1877" spans="14:17" x14ac:dyDescent="0.45">
      <c r="N1877" t="s">
        <v>27</v>
      </c>
      <c r="O1877" t="s">
        <v>3747</v>
      </c>
      <c r="P1877" t="s">
        <v>2076</v>
      </c>
      <c r="Q1877">
        <v>0.85</v>
      </c>
    </row>
    <row r="1878" spans="14:17" x14ac:dyDescent="0.45">
      <c r="N1878" t="s">
        <v>27</v>
      </c>
      <c r="O1878" t="s">
        <v>3748</v>
      </c>
      <c r="P1878" t="s">
        <v>2055</v>
      </c>
      <c r="Q1878">
        <v>0.85</v>
      </c>
    </row>
    <row r="1879" spans="14:17" x14ac:dyDescent="0.45">
      <c r="N1879" t="s">
        <v>27</v>
      </c>
      <c r="O1879" t="s">
        <v>3749</v>
      </c>
      <c r="P1879" t="s">
        <v>2051</v>
      </c>
      <c r="Q1879">
        <v>0.85</v>
      </c>
    </row>
    <row r="1880" spans="14:17" x14ac:dyDescent="0.45">
      <c r="N1880" t="s">
        <v>27</v>
      </c>
      <c r="O1880" t="s">
        <v>3750</v>
      </c>
      <c r="P1880" t="s">
        <v>2076</v>
      </c>
      <c r="Q1880">
        <v>0.85</v>
      </c>
    </row>
    <row r="1881" spans="14:17" x14ac:dyDescent="0.45">
      <c r="N1881" t="s">
        <v>27</v>
      </c>
      <c r="O1881" t="s">
        <v>3751</v>
      </c>
      <c r="P1881" t="s">
        <v>2051</v>
      </c>
      <c r="Q1881">
        <v>0.85</v>
      </c>
    </row>
    <row r="1882" spans="14:17" x14ac:dyDescent="0.45">
      <c r="N1882" t="s">
        <v>27</v>
      </c>
      <c r="O1882" t="s">
        <v>3752</v>
      </c>
      <c r="P1882" t="s">
        <v>2088</v>
      </c>
      <c r="Q1882">
        <v>0.85</v>
      </c>
    </row>
    <row r="1883" spans="14:17" x14ac:dyDescent="0.45">
      <c r="N1883" t="s">
        <v>27</v>
      </c>
      <c r="O1883" t="s">
        <v>3753</v>
      </c>
      <c r="P1883" t="s">
        <v>2106</v>
      </c>
      <c r="Q1883">
        <v>0.85</v>
      </c>
    </row>
    <row r="1884" spans="14:17" x14ac:dyDescent="0.45">
      <c r="N1884" t="s">
        <v>27</v>
      </c>
      <c r="O1884" t="s">
        <v>3754</v>
      </c>
      <c r="P1884" t="s">
        <v>2082</v>
      </c>
      <c r="Q1884">
        <v>0.85</v>
      </c>
    </row>
    <row r="1885" spans="14:17" x14ac:dyDescent="0.45">
      <c r="N1885" t="s">
        <v>27</v>
      </c>
      <c r="O1885" t="s">
        <v>3755</v>
      </c>
      <c r="P1885" t="s">
        <v>2086</v>
      </c>
      <c r="Q1885">
        <v>0.85</v>
      </c>
    </row>
    <row r="1886" spans="14:17" x14ac:dyDescent="0.45">
      <c r="N1886" t="s">
        <v>27</v>
      </c>
      <c r="O1886" t="s">
        <v>3756</v>
      </c>
      <c r="P1886" t="s">
        <v>2105</v>
      </c>
      <c r="Q1886">
        <v>0.85</v>
      </c>
    </row>
    <row r="1887" spans="14:17" x14ac:dyDescent="0.45">
      <c r="N1887" t="s">
        <v>27</v>
      </c>
      <c r="O1887" t="s">
        <v>3757</v>
      </c>
      <c r="P1887" t="s">
        <v>2059</v>
      </c>
      <c r="Q1887">
        <v>0.85</v>
      </c>
    </row>
    <row r="1888" spans="14:17" x14ac:dyDescent="0.45">
      <c r="N1888" t="s">
        <v>27</v>
      </c>
      <c r="O1888" t="s">
        <v>3758</v>
      </c>
      <c r="P1888" t="s">
        <v>2087</v>
      </c>
      <c r="Q1888">
        <v>0.85</v>
      </c>
    </row>
    <row r="1889" spans="14:17" x14ac:dyDescent="0.45">
      <c r="N1889" t="s">
        <v>27</v>
      </c>
      <c r="O1889" t="s">
        <v>3759</v>
      </c>
      <c r="P1889" t="s">
        <v>2054</v>
      </c>
      <c r="Q1889">
        <v>0.85</v>
      </c>
    </row>
    <row r="1890" spans="14:17" x14ac:dyDescent="0.45">
      <c r="N1890" t="s">
        <v>27</v>
      </c>
      <c r="O1890" t="s">
        <v>3760</v>
      </c>
      <c r="P1890" t="s">
        <v>2065</v>
      </c>
      <c r="Q1890">
        <v>0.85</v>
      </c>
    </row>
    <row r="1891" spans="14:17" x14ac:dyDescent="0.45">
      <c r="N1891" t="s">
        <v>27</v>
      </c>
      <c r="O1891" t="s">
        <v>3761</v>
      </c>
      <c r="P1891" t="s">
        <v>2083</v>
      </c>
      <c r="Q1891">
        <v>0.85</v>
      </c>
    </row>
    <row r="1892" spans="14:17" x14ac:dyDescent="0.45">
      <c r="N1892" t="s">
        <v>27</v>
      </c>
      <c r="O1892" t="s">
        <v>3762</v>
      </c>
      <c r="P1892" t="s">
        <v>2103</v>
      </c>
      <c r="Q1892">
        <v>0.85</v>
      </c>
    </row>
    <row r="1893" spans="14:17" x14ac:dyDescent="0.45">
      <c r="N1893" t="s">
        <v>27</v>
      </c>
      <c r="O1893" t="s">
        <v>3763</v>
      </c>
      <c r="P1893" t="s">
        <v>2059</v>
      </c>
      <c r="Q1893">
        <v>0.85</v>
      </c>
    </row>
    <row r="1894" spans="14:17" x14ac:dyDescent="0.45">
      <c r="N1894" t="s">
        <v>27</v>
      </c>
      <c r="O1894" t="s">
        <v>3764</v>
      </c>
      <c r="P1894" t="s">
        <v>2069</v>
      </c>
      <c r="Q1894">
        <v>0.85</v>
      </c>
    </row>
    <row r="1895" spans="14:17" x14ac:dyDescent="0.45">
      <c r="N1895" t="s">
        <v>27</v>
      </c>
      <c r="O1895" t="s">
        <v>3765</v>
      </c>
      <c r="P1895" t="s">
        <v>2059</v>
      </c>
      <c r="Q1895">
        <v>0.85</v>
      </c>
    </row>
    <row r="1896" spans="14:17" x14ac:dyDescent="0.45">
      <c r="N1896" t="s">
        <v>27</v>
      </c>
      <c r="O1896" t="s">
        <v>3766</v>
      </c>
      <c r="P1896" t="s">
        <v>2101</v>
      </c>
      <c r="Q1896">
        <v>0.85</v>
      </c>
    </row>
    <row r="1897" spans="14:17" x14ac:dyDescent="0.45">
      <c r="N1897" t="s">
        <v>27</v>
      </c>
      <c r="O1897" t="s">
        <v>3767</v>
      </c>
      <c r="P1897" t="s">
        <v>2069</v>
      </c>
      <c r="Q1897">
        <v>0.85</v>
      </c>
    </row>
    <row r="1898" spans="14:17" x14ac:dyDescent="0.45">
      <c r="N1898" t="s">
        <v>27</v>
      </c>
      <c r="O1898" t="s">
        <v>3768</v>
      </c>
      <c r="P1898" t="s">
        <v>2069</v>
      </c>
      <c r="Q1898">
        <v>0.85</v>
      </c>
    </row>
    <row r="1899" spans="14:17" x14ac:dyDescent="0.45">
      <c r="N1899" t="s">
        <v>27</v>
      </c>
      <c r="O1899" t="s">
        <v>3769</v>
      </c>
      <c r="P1899" t="s">
        <v>2081</v>
      </c>
      <c r="Q1899">
        <v>0.85</v>
      </c>
    </row>
    <row r="1900" spans="14:17" x14ac:dyDescent="0.45">
      <c r="N1900" t="s">
        <v>27</v>
      </c>
      <c r="O1900" t="s">
        <v>3770</v>
      </c>
      <c r="P1900" t="s">
        <v>2053</v>
      </c>
      <c r="Q1900">
        <v>0.85</v>
      </c>
    </row>
    <row r="1901" spans="14:17" x14ac:dyDescent="0.45">
      <c r="N1901" t="s">
        <v>27</v>
      </c>
      <c r="O1901" t="s">
        <v>3771</v>
      </c>
      <c r="P1901" t="s">
        <v>2102</v>
      </c>
      <c r="Q1901">
        <v>0.85</v>
      </c>
    </row>
    <row r="1902" spans="14:17" x14ac:dyDescent="0.45">
      <c r="N1902" t="s">
        <v>27</v>
      </c>
      <c r="O1902" t="s">
        <v>3772</v>
      </c>
      <c r="P1902" t="s">
        <v>2053</v>
      </c>
      <c r="Q1902">
        <v>0.85</v>
      </c>
    </row>
    <row r="1903" spans="14:17" x14ac:dyDescent="0.45">
      <c r="N1903" t="s">
        <v>27</v>
      </c>
      <c r="O1903" t="s">
        <v>3773</v>
      </c>
      <c r="P1903" t="s">
        <v>2062</v>
      </c>
      <c r="Q1903">
        <v>0.85</v>
      </c>
    </row>
    <row r="1904" spans="14:17" x14ac:dyDescent="0.45">
      <c r="N1904" t="s">
        <v>27</v>
      </c>
      <c r="O1904" t="s">
        <v>3774</v>
      </c>
      <c r="P1904" t="s">
        <v>2092</v>
      </c>
      <c r="Q1904">
        <v>0.85</v>
      </c>
    </row>
    <row r="1905" spans="14:17" x14ac:dyDescent="0.45">
      <c r="N1905" t="s">
        <v>27</v>
      </c>
      <c r="O1905" t="s">
        <v>3775</v>
      </c>
      <c r="P1905" t="s">
        <v>2076</v>
      </c>
      <c r="Q1905">
        <v>0.85</v>
      </c>
    </row>
    <row r="1906" spans="14:17" x14ac:dyDescent="0.45">
      <c r="N1906" t="s">
        <v>27</v>
      </c>
      <c r="O1906" t="s">
        <v>3776</v>
      </c>
      <c r="P1906" t="s">
        <v>2055</v>
      </c>
      <c r="Q1906">
        <v>0.85</v>
      </c>
    </row>
    <row r="1907" spans="14:17" x14ac:dyDescent="0.45">
      <c r="N1907" t="s">
        <v>27</v>
      </c>
      <c r="O1907" t="s">
        <v>3777</v>
      </c>
      <c r="P1907" t="s">
        <v>2103</v>
      </c>
      <c r="Q1907">
        <v>0.85</v>
      </c>
    </row>
    <row r="1908" spans="14:17" x14ac:dyDescent="0.45">
      <c r="N1908" t="s">
        <v>27</v>
      </c>
      <c r="O1908" t="s">
        <v>3778</v>
      </c>
      <c r="P1908" t="s">
        <v>2051</v>
      </c>
      <c r="Q1908">
        <v>0.85</v>
      </c>
    </row>
    <row r="1909" spans="14:17" x14ac:dyDescent="0.45">
      <c r="N1909" t="s">
        <v>27</v>
      </c>
      <c r="O1909" t="s">
        <v>3779</v>
      </c>
      <c r="P1909" t="s">
        <v>2086</v>
      </c>
      <c r="Q1909">
        <v>0.85</v>
      </c>
    </row>
    <row r="1910" spans="14:17" x14ac:dyDescent="0.45">
      <c r="N1910" t="s">
        <v>27</v>
      </c>
      <c r="O1910" t="s">
        <v>3780</v>
      </c>
      <c r="P1910" t="s">
        <v>2107</v>
      </c>
      <c r="Q1910">
        <v>0.85</v>
      </c>
    </row>
    <row r="1911" spans="14:17" x14ac:dyDescent="0.45">
      <c r="N1911" t="s">
        <v>27</v>
      </c>
      <c r="O1911" t="s">
        <v>3781</v>
      </c>
      <c r="P1911" t="s">
        <v>2103</v>
      </c>
      <c r="Q1911">
        <v>0.85</v>
      </c>
    </row>
    <row r="1912" spans="14:17" x14ac:dyDescent="0.45">
      <c r="N1912" t="s">
        <v>27</v>
      </c>
      <c r="O1912" t="s">
        <v>3782</v>
      </c>
      <c r="P1912" t="s">
        <v>2102</v>
      </c>
      <c r="Q1912">
        <v>0.85</v>
      </c>
    </row>
    <row r="1913" spans="14:17" x14ac:dyDescent="0.45">
      <c r="N1913" t="s">
        <v>27</v>
      </c>
      <c r="O1913" t="s">
        <v>3783</v>
      </c>
      <c r="P1913" t="s">
        <v>2058</v>
      </c>
      <c r="Q1913">
        <v>0.85</v>
      </c>
    </row>
    <row r="1914" spans="14:17" x14ac:dyDescent="0.45">
      <c r="N1914" t="s">
        <v>27</v>
      </c>
      <c r="O1914" t="s">
        <v>3784</v>
      </c>
      <c r="P1914" t="s">
        <v>2082</v>
      </c>
      <c r="Q1914">
        <v>0.85</v>
      </c>
    </row>
    <row r="1915" spans="14:17" x14ac:dyDescent="0.45">
      <c r="N1915" t="s">
        <v>27</v>
      </c>
      <c r="O1915" t="s">
        <v>3785</v>
      </c>
      <c r="P1915" t="s">
        <v>2059</v>
      </c>
      <c r="Q1915">
        <v>0.85</v>
      </c>
    </row>
    <row r="1916" spans="14:17" x14ac:dyDescent="0.45">
      <c r="N1916" t="s">
        <v>27</v>
      </c>
      <c r="O1916" t="s">
        <v>3786</v>
      </c>
      <c r="P1916" t="s">
        <v>2075</v>
      </c>
      <c r="Q1916">
        <v>0.85</v>
      </c>
    </row>
    <row r="1917" spans="14:17" x14ac:dyDescent="0.45">
      <c r="N1917" t="s">
        <v>27</v>
      </c>
      <c r="O1917" t="s">
        <v>3787</v>
      </c>
      <c r="P1917" t="s">
        <v>2108</v>
      </c>
      <c r="Q1917">
        <v>0.85</v>
      </c>
    </row>
    <row r="1918" spans="14:17" x14ac:dyDescent="0.45">
      <c r="N1918" t="s">
        <v>27</v>
      </c>
      <c r="O1918" t="s">
        <v>3788</v>
      </c>
      <c r="P1918" t="s">
        <v>2090</v>
      </c>
      <c r="Q1918">
        <v>0.85</v>
      </c>
    </row>
    <row r="1919" spans="14:17" x14ac:dyDescent="0.45">
      <c r="N1919" t="s">
        <v>27</v>
      </c>
      <c r="O1919" t="s">
        <v>3789</v>
      </c>
      <c r="P1919" t="s">
        <v>2078</v>
      </c>
      <c r="Q1919">
        <v>0.85</v>
      </c>
    </row>
    <row r="1920" spans="14:17" x14ac:dyDescent="0.45">
      <c r="N1920" t="s">
        <v>27</v>
      </c>
      <c r="O1920" t="s">
        <v>3790</v>
      </c>
      <c r="P1920" t="s">
        <v>2106</v>
      </c>
      <c r="Q1920">
        <v>0.85</v>
      </c>
    </row>
    <row r="1921" spans="14:17" x14ac:dyDescent="0.45">
      <c r="N1921" t="s">
        <v>27</v>
      </c>
      <c r="O1921" t="s">
        <v>3791</v>
      </c>
      <c r="P1921" t="s">
        <v>2086</v>
      </c>
      <c r="Q1921">
        <v>0.85</v>
      </c>
    </row>
    <row r="1922" spans="14:17" x14ac:dyDescent="0.45">
      <c r="N1922" t="s">
        <v>27</v>
      </c>
      <c r="O1922" t="s">
        <v>3792</v>
      </c>
      <c r="P1922" t="s">
        <v>2053</v>
      </c>
      <c r="Q1922">
        <v>0.85</v>
      </c>
    </row>
    <row r="1923" spans="14:17" x14ac:dyDescent="0.45">
      <c r="N1923" t="s">
        <v>27</v>
      </c>
      <c r="O1923" t="s">
        <v>3793</v>
      </c>
      <c r="P1923" t="s">
        <v>2103</v>
      </c>
      <c r="Q1923">
        <v>0.85</v>
      </c>
    </row>
    <row r="1924" spans="14:17" x14ac:dyDescent="0.45">
      <c r="N1924" t="s">
        <v>27</v>
      </c>
      <c r="O1924" t="s">
        <v>3794</v>
      </c>
      <c r="P1924" t="s">
        <v>2078</v>
      </c>
      <c r="Q1924">
        <v>0.85</v>
      </c>
    </row>
    <row r="1925" spans="14:17" x14ac:dyDescent="0.45">
      <c r="N1925" t="s">
        <v>27</v>
      </c>
      <c r="O1925" t="s">
        <v>3795</v>
      </c>
      <c r="P1925" t="s">
        <v>2098</v>
      </c>
      <c r="Q1925">
        <v>0.85</v>
      </c>
    </row>
    <row r="1926" spans="14:17" x14ac:dyDescent="0.45">
      <c r="N1926" t="s">
        <v>27</v>
      </c>
      <c r="O1926" t="s">
        <v>3796</v>
      </c>
      <c r="P1926" t="s">
        <v>2099</v>
      </c>
      <c r="Q1926">
        <v>0.85</v>
      </c>
    </row>
    <row r="1927" spans="14:17" x14ac:dyDescent="0.45">
      <c r="N1927" t="s">
        <v>27</v>
      </c>
      <c r="O1927" t="s">
        <v>3797</v>
      </c>
      <c r="P1927" t="s">
        <v>2070</v>
      </c>
      <c r="Q1927">
        <v>0.85</v>
      </c>
    </row>
    <row r="1928" spans="14:17" x14ac:dyDescent="0.45">
      <c r="N1928" t="s">
        <v>27</v>
      </c>
      <c r="O1928" t="s">
        <v>3798</v>
      </c>
      <c r="P1928" t="s">
        <v>2107</v>
      </c>
      <c r="Q1928">
        <v>0.85</v>
      </c>
    </row>
    <row r="1929" spans="14:17" x14ac:dyDescent="0.45">
      <c r="N1929" t="s">
        <v>27</v>
      </c>
      <c r="O1929" t="s">
        <v>3799</v>
      </c>
      <c r="P1929" t="s">
        <v>2075</v>
      </c>
      <c r="Q1929">
        <v>0.85</v>
      </c>
    </row>
    <row r="1930" spans="14:17" x14ac:dyDescent="0.45">
      <c r="N1930" t="s">
        <v>27</v>
      </c>
      <c r="O1930" t="s">
        <v>3800</v>
      </c>
      <c r="P1930" t="s">
        <v>2095</v>
      </c>
      <c r="Q1930">
        <v>0.85</v>
      </c>
    </row>
    <row r="1931" spans="14:17" x14ac:dyDescent="0.45">
      <c r="N1931" t="s">
        <v>27</v>
      </c>
      <c r="O1931" t="s">
        <v>3801</v>
      </c>
      <c r="P1931" t="s">
        <v>2108</v>
      </c>
      <c r="Q1931">
        <v>0.85</v>
      </c>
    </row>
    <row r="1932" spans="14:17" x14ac:dyDescent="0.45">
      <c r="N1932" t="s">
        <v>27</v>
      </c>
      <c r="O1932" t="s">
        <v>3802</v>
      </c>
      <c r="P1932" t="s">
        <v>2058</v>
      </c>
      <c r="Q1932">
        <v>0.85</v>
      </c>
    </row>
    <row r="1933" spans="14:17" x14ac:dyDescent="0.45">
      <c r="N1933" t="s">
        <v>27</v>
      </c>
      <c r="O1933" t="s">
        <v>3803</v>
      </c>
      <c r="P1933" t="s">
        <v>2108</v>
      </c>
      <c r="Q1933">
        <v>0.85</v>
      </c>
    </row>
    <row r="1934" spans="14:17" x14ac:dyDescent="0.45">
      <c r="N1934" t="s">
        <v>27</v>
      </c>
      <c r="O1934" t="s">
        <v>3804</v>
      </c>
      <c r="P1934" t="s">
        <v>2081</v>
      </c>
      <c r="Q1934">
        <v>0.85</v>
      </c>
    </row>
    <row r="1935" spans="14:17" x14ac:dyDescent="0.45">
      <c r="N1935" t="s">
        <v>27</v>
      </c>
      <c r="O1935" t="s">
        <v>3805</v>
      </c>
      <c r="P1935" t="s">
        <v>2106</v>
      </c>
      <c r="Q1935">
        <v>0.85</v>
      </c>
    </row>
    <row r="1936" spans="14:17" x14ac:dyDescent="0.45">
      <c r="N1936" t="s">
        <v>27</v>
      </c>
      <c r="O1936" t="s">
        <v>3806</v>
      </c>
      <c r="P1936" t="s">
        <v>2062</v>
      </c>
      <c r="Q1936">
        <v>0.85</v>
      </c>
    </row>
    <row r="1937" spans="14:17" x14ac:dyDescent="0.45">
      <c r="N1937" t="s">
        <v>27</v>
      </c>
      <c r="O1937" t="s">
        <v>3807</v>
      </c>
      <c r="P1937" t="s">
        <v>2107</v>
      </c>
      <c r="Q1937">
        <v>0.85</v>
      </c>
    </row>
    <row r="1938" spans="14:17" x14ac:dyDescent="0.45">
      <c r="N1938" t="s">
        <v>27</v>
      </c>
      <c r="O1938" t="s">
        <v>3808</v>
      </c>
      <c r="P1938" t="s">
        <v>2058</v>
      </c>
      <c r="Q1938">
        <v>0.85</v>
      </c>
    </row>
    <row r="1939" spans="14:17" x14ac:dyDescent="0.45">
      <c r="N1939" t="s">
        <v>27</v>
      </c>
      <c r="O1939" t="s">
        <v>3809</v>
      </c>
      <c r="P1939" t="s">
        <v>2078</v>
      </c>
      <c r="Q1939">
        <v>0.85</v>
      </c>
    </row>
    <row r="1940" spans="14:17" x14ac:dyDescent="0.45">
      <c r="N1940" t="s">
        <v>27</v>
      </c>
      <c r="O1940" t="s">
        <v>3810</v>
      </c>
      <c r="P1940" t="s">
        <v>2060</v>
      </c>
      <c r="Q1940">
        <v>0.85</v>
      </c>
    </row>
    <row r="1941" spans="14:17" x14ac:dyDescent="0.45">
      <c r="N1941" t="s">
        <v>27</v>
      </c>
      <c r="O1941" t="s">
        <v>3811</v>
      </c>
      <c r="P1941" t="s">
        <v>2078</v>
      </c>
      <c r="Q1941">
        <v>0.85</v>
      </c>
    </row>
    <row r="1942" spans="14:17" x14ac:dyDescent="0.45">
      <c r="N1942" t="s">
        <v>27</v>
      </c>
      <c r="O1942" t="s">
        <v>3812</v>
      </c>
      <c r="P1942" t="s">
        <v>2075</v>
      </c>
      <c r="Q1942">
        <v>0.85</v>
      </c>
    </row>
    <row r="1943" spans="14:17" x14ac:dyDescent="0.45">
      <c r="N1943" t="s">
        <v>27</v>
      </c>
      <c r="O1943" t="s">
        <v>3813</v>
      </c>
      <c r="P1943" t="s">
        <v>2086</v>
      </c>
      <c r="Q1943">
        <v>0.85</v>
      </c>
    </row>
    <row r="1944" spans="14:17" x14ac:dyDescent="0.45">
      <c r="N1944" t="s">
        <v>27</v>
      </c>
      <c r="O1944" t="s">
        <v>3814</v>
      </c>
      <c r="P1944" t="s">
        <v>2089</v>
      </c>
      <c r="Q1944">
        <v>0.85</v>
      </c>
    </row>
    <row r="1945" spans="14:17" x14ac:dyDescent="0.45">
      <c r="N1945" t="s">
        <v>27</v>
      </c>
      <c r="O1945" t="s">
        <v>3815</v>
      </c>
      <c r="P1945" t="s">
        <v>2071</v>
      </c>
      <c r="Q1945">
        <v>0.85</v>
      </c>
    </row>
    <row r="1946" spans="14:17" x14ac:dyDescent="0.45">
      <c r="N1946" t="s">
        <v>27</v>
      </c>
      <c r="O1946" t="s">
        <v>3816</v>
      </c>
      <c r="P1946" t="s">
        <v>2075</v>
      </c>
      <c r="Q1946">
        <v>0.85</v>
      </c>
    </row>
    <row r="1947" spans="14:17" x14ac:dyDescent="0.45">
      <c r="N1947" t="s">
        <v>27</v>
      </c>
      <c r="O1947" t="s">
        <v>3817</v>
      </c>
      <c r="P1947" t="s">
        <v>2103</v>
      </c>
      <c r="Q1947">
        <v>0.85</v>
      </c>
    </row>
    <row r="1948" spans="14:17" x14ac:dyDescent="0.45">
      <c r="N1948" t="s">
        <v>27</v>
      </c>
      <c r="O1948" t="s">
        <v>3818</v>
      </c>
      <c r="P1948" t="s">
        <v>2095</v>
      </c>
      <c r="Q1948">
        <v>0.85</v>
      </c>
    </row>
    <row r="1949" spans="14:17" x14ac:dyDescent="0.45">
      <c r="N1949" t="s">
        <v>27</v>
      </c>
      <c r="O1949" t="s">
        <v>3819</v>
      </c>
      <c r="P1949" t="s">
        <v>2087</v>
      </c>
      <c r="Q1949">
        <v>0.85</v>
      </c>
    </row>
    <row r="1950" spans="14:17" x14ac:dyDescent="0.45">
      <c r="N1950" t="s">
        <v>27</v>
      </c>
      <c r="O1950" t="s">
        <v>3820</v>
      </c>
      <c r="P1950" t="s">
        <v>2060</v>
      </c>
      <c r="Q1950">
        <v>0.85</v>
      </c>
    </row>
    <row r="1951" spans="14:17" x14ac:dyDescent="0.45">
      <c r="N1951" t="s">
        <v>27</v>
      </c>
      <c r="O1951" t="s">
        <v>3821</v>
      </c>
      <c r="P1951" t="s">
        <v>2063</v>
      </c>
      <c r="Q1951">
        <v>0.85</v>
      </c>
    </row>
    <row r="1952" spans="14:17" x14ac:dyDescent="0.45">
      <c r="N1952" t="s">
        <v>27</v>
      </c>
      <c r="O1952" t="s">
        <v>3822</v>
      </c>
      <c r="P1952" t="s">
        <v>2075</v>
      </c>
      <c r="Q1952">
        <v>0.85</v>
      </c>
    </row>
    <row r="1953" spans="14:17" x14ac:dyDescent="0.45">
      <c r="N1953" t="s">
        <v>27</v>
      </c>
      <c r="O1953" t="s">
        <v>3823</v>
      </c>
      <c r="P1953" t="s">
        <v>2076</v>
      </c>
      <c r="Q1953">
        <v>0.85</v>
      </c>
    </row>
    <row r="1954" spans="14:17" x14ac:dyDescent="0.45">
      <c r="N1954" t="s">
        <v>27</v>
      </c>
      <c r="O1954" t="s">
        <v>3824</v>
      </c>
      <c r="P1954" t="s">
        <v>2098</v>
      </c>
      <c r="Q1954">
        <v>0.85</v>
      </c>
    </row>
    <row r="1955" spans="14:17" x14ac:dyDescent="0.45">
      <c r="N1955" t="s">
        <v>27</v>
      </c>
      <c r="O1955" t="s">
        <v>3825</v>
      </c>
      <c r="P1955" t="s">
        <v>2053</v>
      </c>
      <c r="Q1955">
        <v>0.85</v>
      </c>
    </row>
    <row r="1956" spans="14:17" x14ac:dyDescent="0.45">
      <c r="N1956" t="s">
        <v>27</v>
      </c>
      <c r="O1956" t="s">
        <v>3826</v>
      </c>
      <c r="P1956" t="s">
        <v>2075</v>
      </c>
      <c r="Q1956">
        <v>0.85</v>
      </c>
    </row>
    <row r="1957" spans="14:17" x14ac:dyDescent="0.45">
      <c r="N1957" t="s">
        <v>27</v>
      </c>
      <c r="O1957" t="s">
        <v>3827</v>
      </c>
      <c r="P1957" t="s">
        <v>2088</v>
      </c>
      <c r="Q1957">
        <v>0.85</v>
      </c>
    </row>
    <row r="1958" spans="14:17" x14ac:dyDescent="0.45">
      <c r="N1958" t="s">
        <v>27</v>
      </c>
      <c r="O1958" t="s">
        <v>3828</v>
      </c>
      <c r="P1958" t="s">
        <v>2086</v>
      </c>
      <c r="Q1958">
        <v>0.85</v>
      </c>
    </row>
    <row r="1959" spans="14:17" x14ac:dyDescent="0.45">
      <c r="N1959" t="s">
        <v>27</v>
      </c>
      <c r="O1959" t="s">
        <v>3829</v>
      </c>
      <c r="P1959" t="s">
        <v>2092</v>
      </c>
      <c r="Q1959">
        <v>0.85</v>
      </c>
    </row>
    <row r="1960" spans="14:17" x14ac:dyDescent="0.45">
      <c r="N1960" t="s">
        <v>27</v>
      </c>
      <c r="O1960" t="s">
        <v>3830</v>
      </c>
      <c r="P1960" t="s">
        <v>2071</v>
      </c>
      <c r="Q1960">
        <v>0.85</v>
      </c>
    </row>
    <row r="1961" spans="14:17" x14ac:dyDescent="0.45">
      <c r="N1961" t="s">
        <v>27</v>
      </c>
      <c r="O1961" t="s">
        <v>3831</v>
      </c>
      <c r="P1961" t="s">
        <v>2101</v>
      </c>
      <c r="Q1961">
        <v>0.85</v>
      </c>
    </row>
    <row r="1962" spans="14:17" x14ac:dyDescent="0.45">
      <c r="N1962" t="s">
        <v>27</v>
      </c>
      <c r="O1962" t="s">
        <v>3832</v>
      </c>
      <c r="P1962" t="s">
        <v>2078</v>
      </c>
      <c r="Q1962">
        <v>0.85</v>
      </c>
    </row>
    <row r="1963" spans="14:17" x14ac:dyDescent="0.45">
      <c r="N1963" t="s">
        <v>27</v>
      </c>
      <c r="O1963" t="s">
        <v>3833</v>
      </c>
      <c r="P1963" t="s">
        <v>2086</v>
      </c>
      <c r="Q1963">
        <v>0.85</v>
      </c>
    </row>
    <row r="1964" spans="14:17" x14ac:dyDescent="0.45">
      <c r="N1964" t="s">
        <v>27</v>
      </c>
      <c r="O1964" t="s">
        <v>3834</v>
      </c>
      <c r="P1964" t="s">
        <v>2079</v>
      </c>
      <c r="Q1964">
        <v>0.85</v>
      </c>
    </row>
    <row r="1965" spans="14:17" x14ac:dyDescent="0.45">
      <c r="N1965" t="s">
        <v>27</v>
      </c>
      <c r="O1965" t="s">
        <v>3835</v>
      </c>
      <c r="P1965" t="s">
        <v>2078</v>
      </c>
      <c r="Q1965">
        <v>0.85</v>
      </c>
    </row>
    <row r="1966" spans="14:17" x14ac:dyDescent="0.45">
      <c r="N1966" t="s">
        <v>27</v>
      </c>
      <c r="O1966" t="s">
        <v>3836</v>
      </c>
      <c r="P1966" t="s">
        <v>2076</v>
      </c>
      <c r="Q1966">
        <v>0.85</v>
      </c>
    </row>
    <row r="1967" spans="14:17" x14ac:dyDescent="0.45">
      <c r="N1967" t="s">
        <v>27</v>
      </c>
      <c r="O1967" t="s">
        <v>3837</v>
      </c>
      <c r="P1967" t="s">
        <v>2086</v>
      </c>
      <c r="Q1967">
        <v>0.85</v>
      </c>
    </row>
    <row r="1968" spans="14:17" x14ac:dyDescent="0.45">
      <c r="N1968" t="s">
        <v>27</v>
      </c>
      <c r="O1968" t="s">
        <v>3838</v>
      </c>
      <c r="P1968" t="s">
        <v>2096</v>
      </c>
      <c r="Q1968">
        <v>0.85</v>
      </c>
    </row>
    <row r="1969" spans="14:17" x14ac:dyDescent="0.45">
      <c r="N1969" t="s">
        <v>27</v>
      </c>
      <c r="O1969" t="s">
        <v>3839</v>
      </c>
      <c r="P1969" t="s">
        <v>2087</v>
      </c>
      <c r="Q1969">
        <v>0.85</v>
      </c>
    </row>
    <row r="1970" spans="14:17" x14ac:dyDescent="0.45">
      <c r="N1970" t="s">
        <v>27</v>
      </c>
      <c r="O1970" t="s">
        <v>3840</v>
      </c>
      <c r="P1970" t="s">
        <v>2071</v>
      </c>
      <c r="Q1970">
        <v>0.95</v>
      </c>
    </row>
    <row r="1971" spans="14:17" x14ac:dyDescent="0.45">
      <c r="N1971" t="s">
        <v>27</v>
      </c>
      <c r="O1971" t="s">
        <v>3841</v>
      </c>
      <c r="P1971" t="s">
        <v>2053</v>
      </c>
      <c r="Q1971">
        <v>0.95</v>
      </c>
    </row>
    <row r="1972" spans="14:17" x14ac:dyDescent="0.45">
      <c r="N1972" t="s">
        <v>27</v>
      </c>
      <c r="O1972" t="s">
        <v>3842</v>
      </c>
      <c r="P1972" t="s">
        <v>2089</v>
      </c>
      <c r="Q1972">
        <v>0.95</v>
      </c>
    </row>
    <row r="1973" spans="14:17" x14ac:dyDescent="0.45">
      <c r="N1973" t="s">
        <v>27</v>
      </c>
      <c r="O1973" t="s">
        <v>3843</v>
      </c>
      <c r="P1973" t="s">
        <v>2089</v>
      </c>
      <c r="Q1973">
        <v>0.95</v>
      </c>
    </row>
    <row r="1974" spans="14:17" x14ac:dyDescent="0.45">
      <c r="N1974" t="s">
        <v>27</v>
      </c>
      <c r="O1974" t="s">
        <v>3844</v>
      </c>
      <c r="P1974" t="s">
        <v>2089</v>
      </c>
      <c r="Q1974">
        <v>0.95</v>
      </c>
    </row>
    <row r="1975" spans="14:17" x14ac:dyDescent="0.45">
      <c r="N1975" t="s">
        <v>27</v>
      </c>
      <c r="O1975" t="s">
        <v>3845</v>
      </c>
      <c r="P1975" t="s">
        <v>2058</v>
      </c>
      <c r="Q1975">
        <v>0.95</v>
      </c>
    </row>
    <row r="1976" spans="14:17" x14ac:dyDescent="0.45">
      <c r="N1976" t="s">
        <v>27</v>
      </c>
      <c r="O1976" t="s">
        <v>3846</v>
      </c>
      <c r="P1976" t="s">
        <v>2089</v>
      </c>
      <c r="Q1976">
        <v>0.95</v>
      </c>
    </row>
    <row r="1977" spans="14:17" x14ac:dyDescent="0.45">
      <c r="N1977" t="s">
        <v>27</v>
      </c>
      <c r="O1977" t="s">
        <v>3847</v>
      </c>
      <c r="P1977" t="s">
        <v>2065</v>
      </c>
      <c r="Q1977">
        <v>0.95</v>
      </c>
    </row>
    <row r="1978" spans="14:17" x14ac:dyDescent="0.45">
      <c r="N1978" t="s">
        <v>27</v>
      </c>
      <c r="O1978" t="s">
        <v>3848</v>
      </c>
      <c r="P1978" t="s">
        <v>2089</v>
      </c>
      <c r="Q1978">
        <v>0.95</v>
      </c>
    </row>
    <row r="1979" spans="14:17" x14ac:dyDescent="0.45">
      <c r="N1979" t="s">
        <v>27</v>
      </c>
      <c r="O1979" t="s">
        <v>3849</v>
      </c>
      <c r="P1979" t="s">
        <v>2063</v>
      </c>
      <c r="Q1979">
        <v>0.95</v>
      </c>
    </row>
    <row r="1980" spans="14:17" x14ac:dyDescent="0.45">
      <c r="N1980" t="s">
        <v>27</v>
      </c>
      <c r="O1980" t="s">
        <v>3850</v>
      </c>
      <c r="P1980" t="s">
        <v>2055</v>
      </c>
      <c r="Q1980">
        <v>0.85</v>
      </c>
    </row>
    <row r="1981" spans="14:17" x14ac:dyDescent="0.45">
      <c r="N1981" t="s">
        <v>27</v>
      </c>
      <c r="O1981" t="s">
        <v>3851</v>
      </c>
      <c r="P1981" t="s">
        <v>2083</v>
      </c>
      <c r="Q1981">
        <v>0.85</v>
      </c>
    </row>
    <row r="1982" spans="14:17" x14ac:dyDescent="0.45">
      <c r="N1982" t="s">
        <v>27</v>
      </c>
      <c r="O1982" t="s">
        <v>3852</v>
      </c>
      <c r="P1982" t="s">
        <v>2107</v>
      </c>
      <c r="Q1982">
        <v>0.85</v>
      </c>
    </row>
    <row r="1983" spans="14:17" x14ac:dyDescent="0.45">
      <c r="N1983" t="s">
        <v>27</v>
      </c>
      <c r="O1983" t="s">
        <v>3853</v>
      </c>
      <c r="P1983" t="s">
        <v>2051</v>
      </c>
      <c r="Q1983">
        <v>0.85</v>
      </c>
    </row>
    <row r="1984" spans="14:17" x14ac:dyDescent="0.45">
      <c r="N1984" t="s">
        <v>27</v>
      </c>
      <c r="O1984" t="s">
        <v>3854</v>
      </c>
      <c r="P1984" t="s">
        <v>2105</v>
      </c>
      <c r="Q1984">
        <v>0.85</v>
      </c>
    </row>
    <row r="1985" spans="14:17" x14ac:dyDescent="0.45">
      <c r="N1985" t="s">
        <v>27</v>
      </c>
      <c r="O1985" t="s">
        <v>3855</v>
      </c>
      <c r="P1985" t="s">
        <v>2107</v>
      </c>
      <c r="Q1985">
        <v>0.85</v>
      </c>
    </row>
    <row r="1986" spans="14:17" x14ac:dyDescent="0.45">
      <c r="N1986" t="s">
        <v>27</v>
      </c>
      <c r="O1986" t="s">
        <v>3856</v>
      </c>
      <c r="P1986" t="s">
        <v>2094</v>
      </c>
      <c r="Q1986">
        <v>0.85</v>
      </c>
    </row>
    <row r="1987" spans="14:17" x14ac:dyDescent="0.45">
      <c r="N1987" t="s">
        <v>27</v>
      </c>
      <c r="O1987" t="s">
        <v>3857</v>
      </c>
      <c r="P1987" t="s">
        <v>2061</v>
      </c>
      <c r="Q1987">
        <v>0.85</v>
      </c>
    </row>
    <row r="1988" spans="14:17" x14ac:dyDescent="0.45">
      <c r="N1988" t="s">
        <v>27</v>
      </c>
      <c r="O1988" t="s">
        <v>3858</v>
      </c>
      <c r="P1988" t="s">
        <v>2090</v>
      </c>
      <c r="Q1988">
        <v>0.85</v>
      </c>
    </row>
    <row r="1989" spans="14:17" x14ac:dyDescent="0.45">
      <c r="N1989" t="s">
        <v>27</v>
      </c>
      <c r="O1989" t="s">
        <v>3859</v>
      </c>
      <c r="P1989" t="s">
        <v>2075</v>
      </c>
      <c r="Q1989">
        <v>0.85</v>
      </c>
    </row>
    <row r="1990" spans="14:17" x14ac:dyDescent="0.45">
      <c r="N1990" t="s">
        <v>27</v>
      </c>
      <c r="O1990" t="s">
        <v>3860</v>
      </c>
      <c r="P1990" t="s">
        <v>2105</v>
      </c>
      <c r="Q1990">
        <v>0.85</v>
      </c>
    </row>
    <row r="1991" spans="14:17" x14ac:dyDescent="0.45">
      <c r="N1991" t="s">
        <v>27</v>
      </c>
      <c r="O1991" t="s">
        <v>3861</v>
      </c>
      <c r="P1991" t="s">
        <v>2106</v>
      </c>
      <c r="Q1991">
        <v>0.85</v>
      </c>
    </row>
    <row r="1992" spans="14:17" x14ac:dyDescent="0.45">
      <c r="N1992" t="s">
        <v>27</v>
      </c>
      <c r="O1992" t="s">
        <v>3862</v>
      </c>
      <c r="P1992" t="s">
        <v>2067</v>
      </c>
      <c r="Q1992">
        <v>0.85</v>
      </c>
    </row>
    <row r="1993" spans="14:17" x14ac:dyDescent="0.45">
      <c r="N1993" t="s">
        <v>27</v>
      </c>
      <c r="O1993" t="s">
        <v>3863</v>
      </c>
      <c r="P1993" t="s">
        <v>2069</v>
      </c>
      <c r="Q1993">
        <v>0.85</v>
      </c>
    </row>
    <row r="1994" spans="14:17" x14ac:dyDescent="0.45">
      <c r="N1994" t="s">
        <v>27</v>
      </c>
      <c r="O1994" t="s">
        <v>3864</v>
      </c>
      <c r="P1994" t="s">
        <v>2086</v>
      </c>
      <c r="Q1994">
        <v>0.85</v>
      </c>
    </row>
    <row r="1995" spans="14:17" x14ac:dyDescent="0.45">
      <c r="N1995" t="s">
        <v>27</v>
      </c>
      <c r="O1995" t="s">
        <v>3865</v>
      </c>
      <c r="P1995" t="s">
        <v>2059</v>
      </c>
      <c r="Q1995">
        <v>0.85</v>
      </c>
    </row>
    <row r="1996" spans="14:17" x14ac:dyDescent="0.45">
      <c r="N1996" t="s">
        <v>27</v>
      </c>
      <c r="O1996" t="s">
        <v>3866</v>
      </c>
      <c r="P1996" t="s">
        <v>2053</v>
      </c>
      <c r="Q1996">
        <v>0.85</v>
      </c>
    </row>
    <row r="1997" spans="14:17" x14ac:dyDescent="0.45">
      <c r="N1997" t="s">
        <v>27</v>
      </c>
      <c r="O1997" t="s">
        <v>3867</v>
      </c>
      <c r="P1997" t="s">
        <v>2103</v>
      </c>
      <c r="Q1997">
        <v>0.85</v>
      </c>
    </row>
    <row r="1998" spans="14:17" x14ac:dyDescent="0.45">
      <c r="N1998" t="s">
        <v>27</v>
      </c>
      <c r="O1998" t="s">
        <v>3868</v>
      </c>
      <c r="P1998" t="s">
        <v>2065</v>
      </c>
      <c r="Q1998">
        <v>0.85</v>
      </c>
    </row>
    <row r="1999" spans="14:17" x14ac:dyDescent="0.45">
      <c r="N1999" t="s">
        <v>27</v>
      </c>
      <c r="O1999" t="s">
        <v>3869</v>
      </c>
      <c r="P1999" t="s">
        <v>2069</v>
      </c>
      <c r="Q1999">
        <v>0.85</v>
      </c>
    </row>
    <row r="2000" spans="14:17" x14ac:dyDescent="0.45">
      <c r="N2000" t="s">
        <v>27</v>
      </c>
      <c r="O2000" t="s">
        <v>3870</v>
      </c>
      <c r="P2000" t="s">
        <v>2099</v>
      </c>
      <c r="Q2000">
        <v>0.85</v>
      </c>
    </row>
    <row r="2001" spans="14:17" x14ac:dyDescent="0.45">
      <c r="N2001" t="s">
        <v>27</v>
      </c>
      <c r="O2001" t="s">
        <v>3871</v>
      </c>
      <c r="P2001" t="s">
        <v>2071</v>
      </c>
      <c r="Q2001">
        <v>0.85</v>
      </c>
    </row>
    <row r="2002" spans="14:17" x14ac:dyDescent="0.45">
      <c r="N2002" t="s">
        <v>27</v>
      </c>
      <c r="O2002" t="s">
        <v>3872</v>
      </c>
      <c r="P2002" t="s">
        <v>2065</v>
      </c>
      <c r="Q2002">
        <v>0.85</v>
      </c>
    </row>
    <row r="2003" spans="14:17" x14ac:dyDescent="0.45">
      <c r="N2003" t="s">
        <v>27</v>
      </c>
      <c r="O2003" t="s">
        <v>3873</v>
      </c>
      <c r="P2003" t="s">
        <v>2080</v>
      </c>
      <c r="Q2003">
        <v>0.85</v>
      </c>
    </row>
    <row r="2004" spans="14:17" x14ac:dyDescent="0.45">
      <c r="N2004" t="s">
        <v>27</v>
      </c>
      <c r="O2004" t="s">
        <v>3874</v>
      </c>
      <c r="P2004" t="s">
        <v>2092</v>
      </c>
      <c r="Q2004">
        <v>0.85</v>
      </c>
    </row>
    <row r="2005" spans="14:17" x14ac:dyDescent="0.45">
      <c r="N2005" t="s">
        <v>27</v>
      </c>
      <c r="O2005" t="s">
        <v>3875</v>
      </c>
      <c r="P2005" t="s">
        <v>2101</v>
      </c>
      <c r="Q2005">
        <v>0.85</v>
      </c>
    </row>
    <row r="2006" spans="14:17" x14ac:dyDescent="0.45">
      <c r="N2006" t="s">
        <v>27</v>
      </c>
      <c r="O2006" t="s">
        <v>3876</v>
      </c>
      <c r="P2006" t="s">
        <v>2105</v>
      </c>
      <c r="Q2006">
        <v>0.85</v>
      </c>
    </row>
    <row r="2007" spans="14:17" x14ac:dyDescent="0.45">
      <c r="N2007" t="s">
        <v>27</v>
      </c>
      <c r="O2007" t="s">
        <v>3877</v>
      </c>
      <c r="P2007" t="s">
        <v>2071</v>
      </c>
      <c r="Q2007">
        <v>0.85</v>
      </c>
    </row>
    <row r="2008" spans="14:17" x14ac:dyDescent="0.45">
      <c r="N2008" t="s">
        <v>27</v>
      </c>
      <c r="O2008" t="s">
        <v>3878</v>
      </c>
      <c r="P2008" t="s">
        <v>2103</v>
      </c>
      <c r="Q2008">
        <v>0.85</v>
      </c>
    </row>
    <row r="2009" spans="14:17" x14ac:dyDescent="0.45">
      <c r="N2009" t="s">
        <v>27</v>
      </c>
      <c r="O2009" t="s">
        <v>3879</v>
      </c>
      <c r="P2009" t="s">
        <v>2079</v>
      </c>
      <c r="Q2009">
        <v>0.85</v>
      </c>
    </row>
    <row r="2010" spans="14:17" x14ac:dyDescent="0.45">
      <c r="N2010" t="s">
        <v>27</v>
      </c>
      <c r="O2010" t="s">
        <v>3880</v>
      </c>
      <c r="P2010" t="s">
        <v>2052</v>
      </c>
      <c r="Q2010">
        <v>0.85</v>
      </c>
    </row>
    <row r="2011" spans="14:17" x14ac:dyDescent="0.45">
      <c r="N2011" t="s">
        <v>27</v>
      </c>
      <c r="O2011" t="s">
        <v>3881</v>
      </c>
      <c r="P2011" t="s">
        <v>2063</v>
      </c>
      <c r="Q2011">
        <v>0.85</v>
      </c>
    </row>
    <row r="2012" spans="14:17" x14ac:dyDescent="0.45">
      <c r="N2012" t="s">
        <v>27</v>
      </c>
      <c r="O2012" t="s">
        <v>3882</v>
      </c>
      <c r="P2012" t="s">
        <v>2086</v>
      </c>
      <c r="Q2012">
        <v>0.85</v>
      </c>
    </row>
    <row r="2013" spans="14:17" x14ac:dyDescent="0.45">
      <c r="N2013" t="s">
        <v>27</v>
      </c>
      <c r="O2013" t="s">
        <v>3883</v>
      </c>
      <c r="P2013" t="s">
        <v>2068</v>
      </c>
      <c r="Q2013">
        <v>0.85</v>
      </c>
    </row>
    <row r="2014" spans="14:17" x14ac:dyDescent="0.45">
      <c r="N2014" t="s">
        <v>27</v>
      </c>
      <c r="O2014" t="s">
        <v>3884</v>
      </c>
      <c r="P2014" t="s">
        <v>2075</v>
      </c>
      <c r="Q2014">
        <v>0.85</v>
      </c>
    </row>
    <row r="2015" spans="14:17" x14ac:dyDescent="0.45">
      <c r="N2015" t="s">
        <v>27</v>
      </c>
      <c r="O2015" t="s">
        <v>3885</v>
      </c>
      <c r="P2015" t="s">
        <v>2080</v>
      </c>
      <c r="Q2015">
        <v>0.85</v>
      </c>
    </row>
    <row r="2016" spans="14:17" x14ac:dyDescent="0.45">
      <c r="N2016" t="s">
        <v>27</v>
      </c>
      <c r="O2016" t="s">
        <v>3886</v>
      </c>
      <c r="P2016" t="s">
        <v>2079</v>
      </c>
      <c r="Q2016">
        <v>0.85</v>
      </c>
    </row>
    <row r="2017" spans="14:17" x14ac:dyDescent="0.45">
      <c r="N2017" t="s">
        <v>27</v>
      </c>
      <c r="O2017" t="s">
        <v>3887</v>
      </c>
      <c r="P2017" t="s">
        <v>2086</v>
      </c>
      <c r="Q2017">
        <v>0.85</v>
      </c>
    </row>
    <row r="2018" spans="14:17" x14ac:dyDescent="0.45">
      <c r="N2018" t="s">
        <v>27</v>
      </c>
      <c r="O2018" t="s">
        <v>3888</v>
      </c>
      <c r="P2018" t="s">
        <v>2103</v>
      </c>
      <c r="Q2018">
        <v>0.85</v>
      </c>
    </row>
    <row r="2019" spans="14:17" x14ac:dyDescent="0.45">
      <c r="N2019" t="s">
        <v>27</v>
      </c>
      <c r="O2019" t="s">
        <v>3889</v>
      </c>
      <c r="P2019" t="s">
        <v>2103</v>
      </c>
      <c r="Q2019">
        <v>0.85</v>
      </c>
    </row>
    <row r="2020" spans="14:17" x14ac:dyDescent="0.45">
      <c r="N2020" t="s">
        <v>27</v>
      </c>
      <c r="O2020" t="s">
        <v>3890</v>
      </c>
      <c r="P2020" t="s">
        <v>2059</v>
      </c>
      <c r="Q2020">
        <v>0.85</v>
      </c>
    </row>
    <row r="2021" spans="14:17" x14ac:dyDescent="0.45">
      <c r="N2021" t="s">
        <v>27</v>
      </c>
      <c r="O2021" t="s">
        <v>3891</v>
      </c>
      <c r="P2021" t="s">
        <v>2065</v>
      </c>
      <c r="Q2021">
        <v>0.85</v>
      </c>
    </row>
    <row r="2022" spans="14:17" x14ac:dyDescent="0.45">
      <c r="N2022" t="s">
        <v>27</v>
      </c>
      <c r="O2022" t="s">
        <v>3892</v>
      </c>
      <c r="P2022" t="s">
        <v>2071</v>
      </c>
      <c r="Q2022">
        <v>0.85</v>
      </c>
    </row>
    <row r="2023" spans="14:17" x14ac:dyDescent="0.45">
      <c r="N2023" t="s">
        <v>27</v>
      </c>
      <c r="O2023" t="s">
        <v>3893</v>
      </c>
      <c r="P2023" t="s">
        <v>2076</v>
      </c>
      <c r="Q2023">
        <v>0.85</v>
      </c>
    </row>
    <row r="2024" spans="14:17" x14ac:dyDescent="0.45">
      <c r="N2024" t="s">
        <v>27</v>
      </c>
      <c r="O2024" t="s">
        <v>3894</v>
      </c>
      <c r="P2024" t="s">
        <v>2101</v>
      </c>
      <c r="Q2024">
        <v>0.85</v>
      </c>
    </row>
    <row r="2025" spans="14:17" x14ac:dyDescent="0.45">
      <c r="N2025" t="s">
        <v>27</v>
      </c>
      <c r="O2025" t="s">
        <v>3895</v>
      </c>
      <c r="P2025" t="s">
        <v>2059</v>
      </c>
      <c r="Q2025">
        <v>0.85</v>
      </c>
    </row>
    <row r="2026" spans="14:17" x14ac:dyDescent="0.45">
      <c r="N2026" t="s">
        <v>27</v>
      </c>
      <c r="O2026" t="s">
        <v>3896</v>
      </c>
      <c r="P2026" t="s">
        <v>2081</v>
      </c>
      <c r="Q2026">
        <v>0.85</v>
      </c>
    </row>
    <row r="2027" spans="14:17" x14ac:dyDescent="0.45">
      <c r="N2027" t="s">
        <v>27</v>
      </c>
      <c r="O2027" t="s">
        <v>3897</v>
      </c>
      <c r="P2027" t="s">
        <v>2102</v>
      </c>
      <c r="Q2027">
        <v>0.85</v>
      </c>
    </row>
    <row r="2028" spans="14:17" x14ac:dyDescent="0.45">
      <c r="N2028" t="s">
        <v>27</v>
      </c>
      <c r="O2028" t="s">
        <v>3898</v>
      </c>
      <c r="P2028" t="s">
        <v>2100</v>
      </c>
      <c r="Q2028">
        <v>0.85</v>
      </c>
    </row>
    <row r="2029" spans="14:17" x14ac:dyDescent="0.45">
      <c r="N2029" t="s">
        <v>27</v>
      </c>
      <c r="O2029" t="s">
        <v>3899</v>
      </c>
      <c r="P2029" t="s">
        <v>2101</v>
      </c>
      <c r="Q2029">
        <v>0.85</v>
      </c>
    </row>
    <row r="2030" spans="14:17" x14ac:dyDescent="0.45">
      <c r="N2030" t="s">
        <v>27</v>
      </c>
      <c r="O2030" t="s">
        <v>3900</v>
      </c>
      <c r="P2030" t="s">
        <v>2076</v>
      </c>
      <c r="Q2030">
        <v>0.85</v>
      </c>
    </row>
    <row r="2031" spans="14:17" x14ac:dyDescent="0.45">
      <c r="N2031" t="s">
        <v>27</v>
      </c>
      <c r="O2031" t="s">
        <v>3901</v>
      </c>
      <c r="P2031" t="s">
        <v>2103</v>
      </c>
      <c r="Q2031">
        <v>0.85</v>
      </c>
    </row>
    <row r="2032" spans="14:17" x14ac:dyDescent="0.45">
      <c r="N2032" t="s">
        <v>27</v>
      </c>
      <c r="O2032" t="s">
        <v>3902</v>
      </c>
      <c r="P2032" t="s">
        <v>2106</v>
      </c>
      <c r="Q2032">
        <v>0.85</v>
      </c>
    </row>
    <row r="2033" spans="14:17" x14ac:dyDescent="0.45">
      <c r="N2033" t="s">
        <v>27</v>
      </c>
      <c r="O2033" t="s">
        <v>3903</v>
      </c>
      <c r="P2033" t="s">
        <v>2089</v>
      </c>
      <c r="Q2033">
        <v>0.85</v>
      </c>
    </row>
    <row r="2034" spans="14:17" x14ac:dyDescent="0.45">
      <c r="N2034" t="s">
        <v>27</v>
      </c>
      <c r="O2034" t="s">
        <v>3904</v>
      </c>
      <c r="P2034" t="s">
        <v>2098</v>
      </c>
      <c r="Q2034">
        <v>0.85</v>
      </c>
    </row>
    <row r="2035" spans="14:17" x14ac:dyDescent="0.45">
      <c r="N2035" t="s">
        <v>27</v>
      </c>
      <c r="O2035" t="s">
        <v>3905</v>
      </c>
      <c r="P2035" t="s">
        <v>2084</v>
      </c>
      <c r="Q2035">
        <v>0.85</v>
      </c>
    </row>
    <row r="2036" spans="14:17" x14ac:dyDescent="0.45">
      <c r="N2036" t="s">
        <v>27</v>
      </c>
      <c r="O2036" t="s">
        <v>3906</v>
      </c>
      <c r="P2036" t="s">
        <v>2051</v>
      </c>
      <c r="Q2036">
        <v>0.85</v>
      </c>
    </row>
    <row r="2037" spans="14:17" x14ac:dyDescent="0.45">
      <c r="N2037" t="s">
        <v>27</v>
      </c>
      <c r="O2037" t="s">
        <v>3907</v>
      </c>
      <c r="P2037" t="s">
        <v>2083</v>
      </c>
      <c r="Q2037">
        <v>0.85</v>
      </c>
    </row>
    <row r="2038" spans="14:17" x14ac:dyDescent="0.45">
      <c r="N2038" t="s">
        <v>27</v>
      </c>
      <c r="O2038" t="s">
        <v>3908</v>
      </c>
      <c r="P2038" t="s">
        <v>2073</v>
      </c>
      <c r="Q2038">
        <v>0.85</v>
      </c>
    </row>
    <row r="2039" spans="14:17" x14ac:dyDescent="0.45">
      <c r="N2039" t="s">
        <v>27</v>
      </c>
      <c r="O2039" t="s">
        <v>3909</v>
      </c>
      <c r="P2039" t="s">
        <v>2078</v>
      </c>
      <c r="Q2039">
        <v>0.85</v>
      </c>
    </row>
    <row r="2040" spans="14:17" x14ac:dyDescent="0.45">
      <c r="N2040" t="s">
        <v>27</v>
      </c>
      <c r="O2040" t="s">
        <v>3910</v>
      </c>
      <c r="P2040" t="s">
        <v>2098</v>
      </c>
      <c r="Q2040">
        <v>0.85</v>
      </c>
    </row>
    <row r="2041" spans="14:17" x14ac:dyDescent="0.45">
      <c r="N2041" t="s">
        <v>27</v>
      </c>
      <c r="O2041" t="s">
        <v>3911</v>
      </c>
      <c r="P2041" t="s">
        <v>2081</v>
      </c>
      <c r="Q2041">
        <v>0.85</v>
      </c>
    </row>
    <row r="2042" spans="14:17" x14ac:dyDescent="0.45">
      <c r="N2042" t="s">
        <v>27</v>
      </c>
      <c r="O2042" t="s">
        <v>3912</v>
      </c>
      <c r="P2042" t="s">
        <v>2075</v>
      </c>
      <c r="Q2042">
        <v>0.85</v>
      </c>
    </row>
    <row r="2043" spans="14:17" x14ac:dyDescent="0.45">
      <c r="N2043" t="s">
        <v>27</v>
      </c>
      <c r="O2043" t="s">
        <v>3913</v>
      </c>
      <c r="P2043" t="s">
        <v>2052</v>
      </c>
      <c r="Q2043">
        <v>0.85</v>
      </c>
    </row>
    <row r="2044" spans="14:17" x14ac:dyDescent="0.45">
      <c r="N2044" t="s">
        <v>27</v>
      </c>
      <c r="O2044" t="s">
        <v>3914</v>
      </c>
      <c r="P2044" t="s">
        <v>2087</v>
      </c>
      <c r="Q2044">
        <v>0.85</v>
      </c>
    </row>
    <row r="2045" spans="14:17" x14ac:dyDescent="0.45">
      <c r="N2045" t="s">
        <v>27</v>
      </c>
      <c r="O2045" t="s">
        <v>3915</v>
      </c>
      <c r="P2045" t="s">
        <v>2086</v>
      </c>
      <c r="Q2045">
        <v>0.85</v>
      </c>
    </row>
    <row r="2046" spans="14:17" x14ac:dyDescent="0.45">
      <c r="N2046" t="s">
        <v>27</v>
      </c>
      <c r="O2046" t="s">
        <v>3916</v>
      </c>
      <c r="P2046" t="s">
        <v>2054</v>
      </c>
      <c r="Q2046">
        <v>0.85</v>
      </c>
    </row>
    <row r="2047" spans="14:17" x14ac:dyDescent="0.45">
      <c r="N2047" t="s">
        <v>27</v>
      </c>
      <c r="O2047" t="s">
        <v>3917</v>
      </c>
      <c r="P2047" t="s">
        <v>2060</v>
      </c>
      <c r="Q2047">
        <v>0.85</v>
      </c>
    </row>
    <row r="2048" spans="14:17" x14ac:dyDescent="0.45">
      <c r="N2048" t="s">
        <v>27</v>
      </c>
      <c r="O2048" t="s">
        <v>3918</v>
      </c>
      <c r="P2048" t="s">
        <v>2105</v>
      </c>
      <c r="Q2048">
        <v>0.85</v>
      </c>
    </row>
    <row r="2049" spans="14:17" x14ac:dyDescent="0.45">
      <c r="N2049" t="s">
        <v>27</v>
      </c>
      <c r="O2049" t="s">
        <v>3919</v>
      </c>
      <c r="P2049" t="s">
        <v>2076</v>
      </c>
      <c r="Q2049">
        <v>0.85</v>
      </c>
    </row>
    <row r="2050" spans="14:17" x14ac:dyDescent="0.45">
      <c r="N2050" t="s">
        <v>27</v>
      </c>
      <c r="O2050" t="s">
        <v>3920</v>
      </c>
      <c r="P2050" t="s">
        <v>2051</v>
      </c>
      <c r="Q2050">
        <v>0.85</v>
      </c>
    </row>
    <row r="2051" spans="14:17" x14ac:dyDescent="0.45">
      <c r="N2051" t="s">
        <v>27</v>
      </c>
      <c r="O2051" t="s">
        <v>3921</v>
      </c>
      <c r="P2051" t="s">
        <v>2057</v>
      </c>
      <c r="Q2051">
        <v>0.85</v>
      </c>
    </row>
    <row r="2052" spans="14:17" x14ac:dyDescent="0.45">
      <c r="N2052" t="s">
        <v>27</v>
      </c>
      <c r="O2052" t="s">
        <v>3922</v>
      </c>
      <c r="P2052" t="s">
        <v>2054</v>
      </c>
      <c r="Q2052">
        <v>0.85</v>
      </c>
    </row>
    <row r="2053" spans="14:17" x14ac:dyDescent="0.45">
      <c r="N2053" t="s">
        <v>27</v>
      </c>
      <c r="O2053" t="s">
        <v>3923</v>
      </c>
      <c r="P2053" t="s">
        <v>2078</v>
      </c>
      <c r="Q2053">
        <v>0.85</v>
      </c>
    </row>
    <row r="2054" spans="14:17" x14ac:dyDescent="0.45">
      <c r="N2054" t="s">
        <v>27</v>
      </c>
      <c r="O2054" t="s">
        <v>3924</v>
      </c>
      <c r="P2054" t="s">
        <v>2099</v>
      </c>
      <c r="Q2054">
        <v>0.85</v>
      </c>
    </row>
    <row r="2055" spans="14:17" x14ac:dyDescent="0.45">
      <c r="N2055" t="s">
        <v>27</v>
      </c>
      <c r="O2055" t="s">
        <v>3925</v>
      </c>
      <c r="P2055" t="s">
        <v>2057</v>
      </c>
      <c r="Q2055">
        <v>0.85</v>
      </c>
    </row>
    <row r="2056" spans="14:17" x14ac:dyDescent="0.45">
      <c r="N2056" t="s">
        <v>27</v>
      </c>
      <c r="O2056" t="s">
        <v>3926</v>
      </c>
      <c r="P2056" t="s">
        <v>2079</v>
      </c>
      <c r="Q2056">
        <v>0.85</v>
      </c>
    </row>
    <row r="2057" spans="14:17" x14ac:dyDescent="0.45">
      <c r="N2057" t="s">
        <v>27</v>
      </c>
      <c r="O2057" t="s">
        <v>3927</v>
      </c>
      <c r="P2057" t="s">
        <v>2101</v>
      </c>
      <c r="Q2057">
        <v>0.85</v>
      </c>
    </row>
    <row r="2058" spans="14:17" x14ac:dyDescent="0.45">
      <c r="N2058" t="s">
        <v>27</v>
      </c>
      <c r="O2058" t="s">
        <v>3928</v>
      </c>
      <c r="P2058" t="s">
        <v>2075</v>
      </c>
      <c r="Q2058">
        <v>0.85</v>
      </c>
    </row>
    <row r="2059" spans="14:17" x14ac:dyDescent="0.45">
      <c r="N2059" t="s">
        <v>27</v>
      </c>
      <c r="O2059" t="s">
        <v>3929</v>
      </c>
      <c r="P2059" t="s">
        <v>2086</v>
      </c>
      <c r="Q2059">
        <v>0.85</v>
      </c>
    </row>
    <row r="2060" spans="14:17" x14ac:dyDescent="0.45">
      <c r="N2060" t="s">
        <v>27</v>
      </c>
      <c r="O2060" t="s">
        <v>3930</v>
      </c>
      <c r="P2060" t="s">
        <v>2107</v>
      </c>
      <c r="Q2060">
        <v>0.85</v>
      </c>
    </row>
    <row r="2061" spans="14:17" x14ac:dyDescent="0.45">
      <c r="N2061" t="s">
        <v>27</v>
      </c>
      <c r="O2061" t="s">
        <v>3931</v>
      </c>
      <c r="P2061" t="s">
        <v>2059</v>
      </c>
      <c r="Q2061">
        <v>0.85</v>
      </c>
    </row>
    <row r="2062" spans="14:17" x14ac:dyDescent="0.45">
      <c r="N2062" t="s">
        <v>27</v>
      </c>
      <c r="O2062" t="s">
        <v>3932</v>
      </c>
      <c r="P2062" t="s">
        <v>2107</v>
      </c>
      <c r="Q2062">
        <v>0.85</v>
      </c>
    </row>
    <row r="2063" spans="14:17" x14ac:dyDescent="0.45">
      <c r="N2063" t="s">
        <v>27</v>
      </c>
      <c r="O2063" t="s">
        <v>3933</v>
      </c>
      <c r="P2063" t="s">
        <v>2076</v>
      </c>
      <c r="Q2063">
        <v>0.85</v>
      </c>
    </row>
    <row r="2064" spans="14:17" x14ac:dyDescent="0.45">
      <c r="N2064" t="s">
        <v>27</v>
      </c>
      <c r="O2064" t="s">
        <v>3934</v>
      </c>
      <c r="P2064" t="s">
        <v>2082</v>
      </c>
      <c r="Q2064">
        <v>0.85</v>
      </c>
    </row>
    <row r="2065" spans="14:17" x14ac:dyDescent="0.45">
      <c r="N2065" t="s">
        <v>27</v>
      </c>
      <c r="O2065" t="s">
        <v>3935</v>
      </c>
      <c r="P2065" t="s">
        <v>2094</v>
      </c>
      <c r="Q2065">
        <v>0.85</v>
      </c>
    </row>
    <row r="2066" spans="14:17" x14ac:dyDescent="0.45">
      <c r="N2066" t="s">
        <v>27</v>
      </c>
      <c r="O2066" t="s">
        <v>3936</v>
      </c>
      <c r="P2066" t="s">
        <v>2059</v>
      </c>
      <c r="Q2066">
        <v>0.85</v>
      </c>
    </row>
    <row r="2067" spans="14:17" x14ac:dyDescent="0.45">
      <c r="N2067" t="s">
        <v>27</v>
      </c>
      <c r="O2067" t="s">
        <v>3937</v>
      </c>
      <c r="P2067" t="s">
        <v>2078</v>
      </c>
      <c r="Q2067">
        <v>0.85</v>
      </c>
    </row>
    <row r="2068" spans="14:17" x14ac:dyDescent="0.45">
      <c r="N2068" t="s">
        <v>27</v>
      </c>
      <c r="O2068" t="s">
        <v>3938</v>
      </c>
      <c r="P2068" t="s">
        <v>2057</v>
      </c>
      <c r="Q2068">
        <v>0.85</v>
      </c>
    </row>
    <row r="2069" spans="14:17" x14ac:dyDescent="0.45">
      <c r="N2069" t="s">
        <v>27</v>
      </c>
      <c r="O2069" t="s">
        <v>3939</v>
      </c>
      <c r="P2069" t="s">
        <v>2078</v>
      </c>
      <c r="Q2069">
        <v>0.85</v>
      </c>
    </row>
    <row r="2070" spans="14:17" x14ac:dyDescent="0.45">
      <c r="N2070" t="s">
        <v>27</v>
      </c>
      <c r="O2070" t="s">
        <v>3940</v>
      </c>
      <c r="P2070" t="s">
        <v>2083</v>
      </c>
      <c r="Q2070">
        <v>0.85</v>
      </c>
    </row>
    <row r="2071" spans="14:17" x14ac:dyDescent="0.45">
      <c r="N2071" t="s">
        <v>27</v>
      </c>
      <c r="O2071" t="s">
        <v>3941</v>
      </c>
      <c r="P2071" t="s">
        <v>2083</v>
      </c>
      <c r="Q2071">
        <v>0.85</v>
      </c>
    </row>
    <row r="2072" spans="14:17" x14ac:dyDescent="0.45">
      <c r="N2072" t="s">
        <v>27</v>
      </c>
      <c r="O2072" t="s">
        <v>3942</v>
      </c>
      <c r="P2072" t="s">
        <v>2062</v>
      </c>
      <c r="Q2072">
        <v>0.85</v>
      </c>
    </row>
    <row r="2073" spans="14:17" x14ac:dyDescent="0.45">
      <c r="N2073" t="s">
        <v>27</v>
      </c>
      <c r="O2073" t="s">
        <v>3943</v>
      </c>
      <c r="P2073" t="s">
        <v>2065</v>
      </c>
      <c r="Q2073">
        <v>0.85</v>
      </c>
    </row>
    <row r="2074" spans="14:17" x14ac:dyDescent="0.45">
      <c r="N2074" t="s">
        <v>27</v>
      </c>
      <c r="O2074" t="s">
        <v>3944</v>
      </c>
      <c r="P2074" t="s">
        <v>2099</v>
      </c>
      <c r="Q2074">
        <v>0.85</v>
      </c>
    </row>
    <row r="2075" spans="14:17" x14ac:dyDescent="0.45">
      <c r="N2075" t="s">
        <v>27</v>
      </c>
      <c r="O2075" t="s">
        <v>3945</v>
      </c>
      <c r="P2075" t="s">
        <v>2106</v>
      </c>
      <c r="Q2075">
        <v>0.85</v>
      </c>
    </row>
    <row r="2076" spans="14:17" x14ac:dyDescent="0.45">
      <c r="N2076" t="s">
        <v>27</v>
      </c>
      <c r="O2076" t="s">
        <v>3946</v>
      </c>
      <c r="P2076" t="s">
        <v>2103</v>
      </c>
      <c r="Q2076">
        <v>0.85</v>
      </c>
    </row>
    <row r="2077" spans="14:17" x14ac:dyDescent="0.45">
      <c r="N2077" t="s">
        <v>27</v>
      </c>
      <c r="O2077" t="s">
        <v>3947</v>
      </c>
      <c r="P2077" t="s">
        <v>2076</v>
      </c>
      <c r="Q2077">
        <v>0.85</v>
      </c>
    </row>
    <row r="2078" spans="14:17" x14ac:dyDescent="0.45">
      <c r="N2078" t="s">
        <v>27</v>
      </c>
      <c r="O2078" t="s">
        <v>3948</v>
      </c>
      <c r="P2078" t="s">
        <v>2065</v>
      </c>
      <c r="Q2078">
        <v>0.85</v>
      </c>
    </row>
    <row r="2079" spans="14:17" x14ac:dyDescent="0.45">
      <c r="N2079" t="s">
        <v>27</v>
      </c>
      <c r="O2079" t="s">
        <v>3949</v>
      </c>
      <c r="P2079" t="s">
        <v>2089</v>
      </c>
      <c r="Q2079">
        <v>0.85</v>
      </c>
    </row>
    <row r="2080" spans="14:17" x14ac:dyDescent="0.45">
      <c r="N2080" t="s">
        <v>27</v>
      </c>
      <c r="O2080" t="s">
        <v>3950</v>
      </c>
      <c r="P2080" t="s">
        <v>2103</v>
      </c>
      <c r="Q2080">
        <v>0.85</v>
      </c>
    </row>
    <row r="2081" spans="14:17" x14ac:dyDescent="0.45">
      <c r="N2081" t="s">
        <v>27</v>
      </c>
      <c r="O2081" t="s">
        <v>3951</v>
      </c>
      <c r="P2081" t="s">
        <v>2067</v>
      </c>
      <c r="Q2081">
        <v>0.85</v>
      </c>
    </row>
    <row r="2082" spans="14:17" x14ac:dyDescent="0.45">
      <c r="N2082" t="s">
        <v>27</v>
      </c>
      <c r="O2082" t="s">
        <v>3952</v>
      </c>
      <c r="P2082" t="s">
        <v>2100</v>
      </c>
      <c r="Q2082">
        <v>0.85</v>
      </c>
    </row>
    <row r="2083" spans="14:17" x14ac:dyDescent="0.45">
      <c r="N2083" t="s">
        <v>27</v>
      </c>
      <c r="O2083" t="s">
        <v>3953</v>
      </c>
      <c r="P2083" t="s">
        <v>2086</v>
      </c>
      <c r="Q2083">
        <v>0.85</v>
      </c>
    </row>
    <row r="2084" spans="14:17" x14ac:dyDescent="0.45">
      <c r="N2084" t="s">
        <v>27</v>
      </c>
      <c r="O2084" t="s">
        <v>3954</v>
      </c>
      <c r="P2084" t="s">
        <v>2081</v>
      </c>
      <c r="Q2084">
        <v>0.85</v>
      </c>
    </row>
    <row r="2085" spans="14:17" x14ac:dyDescent="0.45">
      <c r="N2085" t="s">
        <v>27</v>
      </c>
      <c r="O2085" t="s">
        <v>3955</v>
      </c>
      <c r="P2085" t="s">
        <v>2086</v>
      </c>
      <c r="Q2085">
        <v>0.85</v>
      </c>
    </row>
    <row r="2086" spans="14:17" x14ac:dyDescent="0.45">
      <c r="N2086" t="s">
        <v>27</v>
      </c>
      <c r="O2086" t="s">
        <v>3956</v>
      </c>
      <c r="P2086" t="s">
        <v>2109</v>
      </c>
      <c r="Q2086">
        <v>0.85</v>
      </c>
    </row>
    <row r="2087" spans="14:17" x14ac:dyDescent="0.45">
      <c r="N2087" t="s">
        <v>27</v>
      </c>
      <c r="O2087" t="s">
        <v>3957</v>
      </c>
      <c r="P2087" t="s">
        <v>2055</v>
      </c>
      <c r="Q2087">
        <v>0.85</v>
      </c>
    </row>
    <row r="2088" spans="14:17" x14ac:dyDescent="0.45">
      <c r="N2088" t="s">
        <v>27</v>
      </c>
      <c r="O2088" t="s">
        <v>3958</v>
      </c>
      <c r="P2088" t="s">
        <v>2058</v>
      </c>
      <c r="Q2088">
        <v>0.85</v>
      </c>
    </row>
    <row r="2089" spans="14:17" x14ac:dyDescent="0.45">
      <c r="N2089" t="s">
        <v>27</v>
      </c>
      <c r="O2089" t="s">
        <v>3959</v>
      </c>
      <c r="P2089" t="s">
        <v>2107</v>
      </c>
      <c r="Q2089">
        <v>0.85</v>
      </c>
    </row>
    <row r="2090" spans="14:17" x14ac:dyDescent="0.45">
      <c r="N2090" t="s">
        <v>27</v>
      </c>
      <c r="O2090" t="s">
        <v>3960</v>
      </c>
      <c r="P2090" t="s">
        <v>2107</v>
      </c>
      <c r="Q2090">
        <v>0.85</v>
      </c>
    </row>
    <row r="2091" spans="14:17" x14ac:dyDescent="0.45">
      <c r="N2091" t="s">
        <v>27</v>
      </c>
      <c r="O2091" t="s">
        <v>3961</v>
      </c>
      <c r="P2091" t="s">
        <v>2078</v>
      </c>
      <c r="Q2091">
        <v>0.85</v>
      </c>
    </row>
    <row r="2092" spans="14:17" x14ac:dyDescent="0.45">
      <c r="N2092" t="s">
        <v>27</v>
      </c>
      <c r="O2092" t="s">
        <v>3962</v>
      </c>
      <c r="P2092" t="s">
        <v>2052</v>
      </c>
      <c r="Q2092">
        <v>0.85</v>
      </c>
    </row>
    <row r="2093" spans="14:17" x14ac:dyDescent="0.45">
      <c r="N2093" t="s">
        <v>27</v>
      </c>
      <c r="O2093" t="s">
        <v>3963</v>
      </c>
      <c r="P2093" t="s">
        <v>2086</v>
      </c>
      <c r="Q2093">
        <v>0.85</v>
      </c>
    </row>
    <row r="2094" spans="14:17" x14ac:dyDescent="0.45">
      <c r="N2094" t="s">
        <v>27</v>
      </c>
      <c r="O2094" t="s">
        <v>3964</v>
      </c>
      <c r="P2094" t="s">
        <v>2107</v>
      </c>
      <c r="Q2094">
        <v>0.85</v>
      </c>
    </row>
    <row r="2095" spans="14:17" x14ac:dyDescent="0.45">
      <c r="N2095" t="s">
        <v>27</v>
      </c>
      <c r="O2095" t="s">
        <v>3965</v>
      </c>
      <c r="P2095" t="s">
        <v>2076</v>
      </c>
      <c r="Q2095">
        <v>0.85</v>
      </c>
    </row>
    <row r="2096" spans="14:17" x14ac:dyDescent="0.45">
      <c r="N2096" t="s">
        <v>27</v>
      </c>
      <c r="O2096" t="s">
        <v>3966</v>
      </c>
      <c r="P2096" t="s">
        <v>2075</v>
      </c>
      <c r="Q2096">
        <v>0.85</v>
      </c>
    </row>
    <row r="2097" spans="14:17" x14ac:dyDescent="0.45">
      <c r="N2097" t="s">
        <v>27</v>
      </c>
      <c r="O2097" t="s">
        <v>3967</v>
      </c>
      <c r="P2097" t="s">
        <v>2090</v>
      </c>
      <c r="Q2097">
        <v>0.85</v>
      </c>
    </row>
    <row r="2098" spans="14:17" x14ac:dyDescent="0.45">
      <c r="N2098" t="s">
        <v>27</v>
      </c>
      <c r="O2098" t="s">
        <v>3968</v>
      </c>
      <c r="P2098" t="s">
        <v>2075</v>
      </c>
      <c r="Q2098">
        <v>0.85</v>
      </c>
    </row>
    <row r="2099" spans="14:17" x14ac:dyDescent="0.45">
      <c r="N2099" t="s">
        <v>27</v>
      </c>
      <c r="O2099" t="s">
        <v>3969</v>
      </c>
      <c r="P2099" t="s">
        <v>2108</v>
      </c>
      <c r="Q2099">
        <v>0.85</v>
      </c>
    </row>
    <row r="2100" spans="14:17" x14ac:dyDescent="0.45">
      <c r="N2100" t="s">
        <v>27</v>
      </c>
      <c r="O2100" t="s">
        <v>3970</v>
      </c>
      <c r="P2100" t="s">
        <v>2103</v>
      </c>
      <c r="Q2100">
        <v>0.85</v>
      </c>
    </row>
    <row r="2101" spans="14:17" x14ac:dyDescent="0.45">
      <c r="N2101" t="s">
        <v>27</v>
      </c>
      <c r="O2101" t="s">
        <v>3971</v>
      </c>
      <c r="P2101" t="s">
        <v>2092</v>
      </c>
      <c r="Q2101">
        <v>0.85</v>
      </c>
    </row>
    <row r="2102" spans="14:17" x14ac:dyDescent="0.45">
      <c r="N2102" t="s">
        <v>27</v>
      </c>
      <c r="O2102" t="s">
        <v>3972</v>
      </c>
      <c r="P2102" t="s">
        <v>2101</v>
      </c>
      <c r="Q2102">
        <v>0.85</v>
      </c>
    </row>
    <row r="2103" spans="14:17" x14ac:dyDescent="0.45">
      <c r="N2103" t="s">
        <v>27</v>
      </c>
      <c r="O2103" t="s">
        <v>3973</v>
      </c>
      <c r="P2103" t="s">
        <v>2052</v>
      </c>
      <c r="Q2103">
        <v>0.85</v>
      </c>
    </row>
    <row r="2104" spans="14:17" x14ac:dyDescent="0.45">
      <c r="N2104" t="s">
        <v>27</v>
      </c>
      <c r="O2104" t="s">
        <v>3974</v>
      </c>
      <c r="P2104" t="s">
        <v>2077</v>
      </c>
      <c r="Q2104">
        <v>0.85</v>
      </c>
    </row>
    <row r="2105" spans="14:17" x14ac:dyDescent="0.45">
      <c r="N2105" t="s">
        <v>27</v>
      </c>
      <c r="O2105" t="s">
        <v>3975</v>
      </c>
      <c r="P2105" t="s">
        <v>2107</v>
      </c>
      <c r="Q2105">
        <v>0.85</v>
      </c>
    </row>
    <row r="2106" spans="14:17" x14ac:dyDescent="0.45">
      <c r="N2106" t="s">
        <v>27</v>
      </c>
      <c r="O2106" t="s">
        <v>3976</v>
      </c>
      <c r="P2106" t="s">
        <v>2069</v>
      </c>
      <c r="Q2106">
        <v>0.85</v>
      </c>
    </row>
    <row r="2107" spans="14:17" x14ac:dyDescent="0.45">
      <c r="N2107" t="s">
        <v>27</v>
      </c>
      <c r="O2107" t="s">
        <v>3977</v>
      </c>
      <c r="P2107" t="s">
        <v>2053</v>
      </c>
      <c r="Q2107">
        <v>0.85</v>
      </c>
    </row>
    <row r="2108" spans="14:17" x14ac:dyDescent="0.45">
      <c r="N2108" t="s">
        <v>27</v>
      </c>
      <c r="O2108" t="s">
        <v>3978</v>
      </c>
      <c r="P2108" t="s">
        <v>2106</v>
      </c>
      <c r="Q2108">
        <v>0.85</v>
      </c>
    </row>
    <row r="2109" spans="14:17" x14ac:dyDescent="0.45">
      <c r="N2109" t="s">
        <v>27</v>
      </c>
      <c r="O2109" t="s">
        <v>3979</v>
      </c>
      <c r="P2109" t="s">
        <v>2095</v>
      </c>
      <c r="Q2109">
        <v>0.85</v>
      </c>
    </row>
    <row r="2110" spans="14:17" x14ac:dyDescent="0.45">
      <c r="N2110" t="s">
        <v>27</v>
      </c>
      <c r="O2110" t="s">
        <v>3980</v>
      </c>
      <c r="P2110" t="s">
        <v>2101</v>
      </c>
      <c r="Q2110">
        <v>0.85</v>
      </c>
    </row>
    <row r="2111" spans="14:17" x14ac:dyDescent="0.45">
      <c r="N2111" t="s">
        <v>27</v>
      </c>
      <c r="O2111" t="s">
        <v>3981</v>
      </c>
      <c r="P2111" t="s">
        <v>2103</v>
      </c>
      <c r="Q2111">
        <v>0.85</v>
      </c>
    </row>
    <row r="2112" spans="14:17" x14ac:dyDescent="0.45">
      <c r="N2112" t="s">
        <v>27</v>
      </c>
      <c r="O2112" t="s">
        <v>3982</v>
      </c>
      <c r="P2112" t="s">
        <v>2101</v>
      </c>
      <c r="Q2112">
        <v>0.85</v>
      </c>
    </row>
    <row r="2113" spans="14:17" x14ac:dyDescent="0.45">
      <c r="N2113" t="s">
        <v>27</v>
      </c>
      <c r="O2113" t="s">
        <v>3983</v>
      </c>
      <c r="P2113" t="s">
        <v>2087</v>
      </c>
      <c r="Q2113">
        <v>0.85</v>
      </c>
    </row>
    <row r="2114" spans="14:17" x14ac:dyDescent="0.45">
      <c r="N2114" t="s">
        <v>27</v>
      </c>
      <c r="O2114" t="s">
        <v>3984</v>
      </c>
      <c r="P2114" t="s">
        <v>2108</v>
      </c>
      <c r="Q2114">
        <v>0.85</v>
      </c>
    </row>
    <row r="2115" spans="14:17" x14ac:dyDescent="0.45">
      <c r="N2115" t="s">
        <v>27</v>
      </c>
      <c r="O2115" t="s">
        <v>3985</v>
      </c>
      <c r="P2115" t="s">
        <v>2086</v>
      </c>
      <c r="Q2115">
        <v>0.85</v>
      </c>
    </row>
    <row r="2116" spans="14:17" x14ac:dyDescent="0.45">
      <c r="N2116" t="s">
        <v>27</v>
      </c>
      <c r="O2116" t="s">
        <v>3986</v>
      </c>
      <c r="P2116" t="s">
        <v>2105</v>
      </c>
      <c r="Q2116">
        <v>0.85</v>
      </c>
    </row>
    <row r="2117" spans="14:17" x14ac:dyDescent="0.45">
      <c r="N2117" t="s">
        <v>27</v>
      </c>
      <c r="O2117" t="s">
        <v>3987</v>
      </c>
      <c r="P2117" t="s">
        <v>2093</v>
      </c>
      <c r="Q2117">
        <v>0.85</v>
      </c>
    </row>
    <row r="2118" spans="14:17" x14ac:dyDescent="0.45">
      <c r="N2118" t="s">
        <v>27</v>
      </c>
      <c r="O2118" t="s">
        <v>3988</v>
      </c>
      <c r="P2118" t="s">
        <v>2098</v>
      </c>
      <c r="Q2118">
        <v>0.85</v>
      </c>
    </row>
    <row r="2119" spans="14:17" x14ac:dyDescent="0.45">
      <c r="N2119" t="s">
        <v>27</v>
      </c>
      <c r="O2119" t="s">
        <v>3989</v>
      </c>
      <c r="P2119" t="s">
        <v>2058</v>
      </c>
      <c r="Q2119">
        <v>0.85</v>
      </c>
    </row>
    <row r="2120" spans="14:17" x14ac:dyDescent="0.45">
      <c r="N2120" t="s">
        <v>27</v>
      </c>
      <c r="O2120" t="s">
        <v>3990</v>
      </c>
      <c r="P2120" t="s">
        <v>2109</v>
      </c>
      <c r="Q2120">
        <v>0.85</v>
      </c>
    </row>
    <row r="2121" spans="14:17" x14ac:dyDescent="0.45">
      <c r="N2121" t="s">
        <v>27</v>
      </c>
      <c r="O2121" t="s">
        <v>3991</v>
      </c>
      <c r="P2121" t="s">
        <v>2076</v>
      </c>
      <c r="Q2121">
        <v>0.85</v>
      </c>
    </row>
    <row r="2122" spans="14:17" x14ac:dyDescent="0.45">
      <c r="N2122" t="s">
        <v>27</v>
      </c>
      <c r="O2122" t="s">
        <v>3992</v>
      </c>
      <c r="P2122" t="s">
        <v>2099</v>
      </c>
      <c r="Q2122">
        <v>0.85</v>
      </c>
    </row>
    <row r="2123" spans="14:17" x14ac:dyDescent="0.45">
      <c r="N2123" t="s">
        <v>27</v>
      </c>
      <c r="O2123" t="s">
        <v>3993</v>
      </c>
      <c r="P2123" t="s">
        <v>2109</v>
      </c>
      <c r="Q2123">
        <v>0.85</v>
      </c>
    </row>
    <row r="2124" spans="14:17" x14ac:dyDescent="0.45">
      <c r="N2124" t="s">
        <v>27</v>
      </c>
      <c r="O2124" t="s">
        <v>3994</v>
      </c>
      <c r="P2124" t="s">
        <v>2076</v>
      </c>
      <c r="Q2124">
        <v>0.85</v>
      </c>
    </row>
    <row r="2125" spans="14:17" x14ac:dyDescent="0.45">
      <c r="N2125" t="s">
        <v>27</v>
      </c>
      <c r="O2125" t="s">
        <v>3995</v>
      </c>
      <c r="P2125" t="s">
        <v>2102</v>
      </c>
      <c r="Q2125">
        <v>0.85</v>
      </c>
    </row>
    <row r="2126" spans="14:17" x14ac:dyDescent="0.45">
      <c r="N2126" t="s">
        <v>27</v>
      </c>
      <c r="O2126" t="s">
        <v>3996</v>
      </c>
      <c r="P2126" t="s">
        <v>2099</v>
      </c>
      <c r="Q2126">
        <v>0.85</v>
      </c>
    </row>
    <row r="2127" spans="14:17" x14ac:dyDescent="0.45">
      <c r="N2127" t="s">
        <v>27</v>
      </c>
      <c r="O2127" t="s">
        <v>3997</v>
      </c>
      <c r="P2127" t="s">
        <v>2107</v>
      </c>
      <c r="Q2127">
        <v>0.85</v>
      </c>
    </row>
    <row r="2128" spans="14:17" x14ac:dyDescent="0.45">
      <c r="N2128" t="s">
        <v>27</v>
      </c>
      <c r="O2128" t="s">
        <v>3998</v>
      </c>
      <c r="P2128" t="s">
        <v>2103</v>
      </c>
      <c r="Q2128">
        <v>0.85</v>
      </c>
    </row>
    <row r="2129" spans="14:17" x14ac:dyDescent="0.45">
      <c r="N2129" t="s">
        <v>27</v>
      </c>
      <c r="O2129" t="s">
        <v>3999</v>
      </c>
      <c r="P2129" t="s">
        <v>2076</v>
      </c>
      <c r="Q2129">
        <v>0.85</v>
      </c>
    </row>
    <row r="2130" spans="14:17" x14ac:dyDescent="0.45">
      <c r="N2130" t="s">
        <v>27</v>
      </c>
      <c r="O2130" t="s">
        <v>4000</v>
      </c>
      <c r="P2130" t="s">
        <v>2082</v>
      </c>
      <c r="Q2130">
        <v>0.85</v>
      </c>
    </row>
    <row r="2131" spans="14:17" x14ac:dyDescent="0.45">
      <c r="N2131" t="s">
        <v>27</v>
      </c>
      <c r="O2131" t="s">
        <v>4001</v>
      </c>
      <c r="P2131" t="s">
        <v>2106</v>
      </c>
      <c r="Q2131">
        <v>0.85</v>
      </c>
    </row>
    <row r="2132" spans="14:17" x14ac:dyDescent="0.45">
      <c r="N2132" t="s">
        <v>27</v>
      </c>
      <c r="O2132" t="s">
        <v>4002</v>
      </c>
      <c r="P2132" t="s">
        <v>2064</v>
      </c>
      <c r="Q2132">
        <v>0.85</v>
      </c>
    </row>
    <row r="2133" spans="14:17" x14ac:dyDescent="0.45">
      <c r="N2133" t="s">
        <v>27</v>
      </c>
      <c r="O2133" t="s">
        <v>4003</v>
      </c>
      <c r="P2133" t="s">
        <v>2052</v>
      </c>
      <c r="Q2133">
        <v>0.85</v>
      </c>
    </row>
    <row r="2134" spans="14:17" x14ac:dyDescent="0.45">
      <c r="N2134" t="s">
        <v>27</v>
      </c>
      <c r="O2134" t="s">
        <v>4004</v>
      </c>
      <c r="P2134" t="s">
        <v>2107</v>
      </c>
      <c r="Q2134">
        <v>0.85</v>
      </c>
    </row>
    <row r="2135" spans="14:17" x14ac:dyDescent="0.45">
      <c r="N2135" t="s">
        <v>27</v>
      </c>
      <c r="O2135" t="s">
        <v>4005</v>
      </c>
      <c r="P2135" t="s">
        <v>2108</v>
      </c>
      <c r="Q2135">
        <v>0.95</v>
      </c>
    </row>
    <row r="2136" spans="14:17" x14ac:dyDescent="0.45">
      <c r="N2136" t="s">
        <v>27</v>
      </c>
      <c r="O2136" t="s">
        <v>4006</v>
      </c>
      <c r="P2136" t="s">
        <v>2089</v>
      </c>
      <c r="Q2136">
        <v>0.95</v>
      </c>
    </row>
    <row r="2137" spans="14:17" x14ac:dyDescent="0.45">
      <c r="N2137" t="s">
        <v>27</v>
      </c>
      <c r="O2137" t="s">
        <v>4007</v>
      </c>
      <c r="P2137" t="s">
        <v>2065</v>
      </c>
      <c r="Q2137">
        <v>0.95</v>
      </c>
    </row>
    <row r="2138" spans="14:17" x14ac:dyDescent="0.45">
      <c r="N2138" t="s">
        <v>27</v>
      </c>
      <c r="O2138" t="s">
        <v>4008</v>
      </c>
      <c r="P2138" t="s">
        <v>2089</v>
      </c>
      <c r="Q2138">
        <v>0.95</v>
      </c>
    </row>
    <row r="2139" spans="14:17" x14ac:dyDescent="0.45">
      <c r="N2139" t="s">
        <v>27</v>
      </c>
      <c r="O2139" t="s">
        <v>4009</v>
      </c>
      <c r="P2139" t="s">
        <v>2098</v>
      </c>
      <c r="Q2139">
        <v>0.95</v>
      </c>
    </row>
    <row r="2140" spans="14:17" x14ac:dyDescent="0.45">
      <c r="N2140" t="s">
        <v>27</v>
      </c>
      <c r="O2140" t="s">
        <v>4010</v>
      </c>
      <c r="P2140" t="s">
        <v>2084</v>
      </c>
      <c r="Q2140">
        <v>0.95</v>
      </c>
    </row>
    <row r="2141" spans="14:17" x14ac:dyDescent="0.45">
      <c r="N2141" t="s">
        <v>27</v>
      </c>
      <c r="O2141" t="s">
        <v>4011</v>
      </c>
      <c r="P2141" t="s">
        <v>2104</v>
      </c>
      <c r="Q2141">
        <v>0.95</v>
      </c>
    </row>
    <row r="2142" spans="14:17" x14ac:dyDescent="0.45">
      <c r="N2142" t="s">
        <v>27</v>
      </c>
      <c r="O2142" t="s">
        <v>4012</v>
      </c>
      <c r="P2142" t="s">
        <v>2089</v>
      </c>
      <c r="Q2142">
        <v>0.95</v>
      </c>
    </row>
    <row r="2143" spans="14:17" x14ac:dyDescent="0.45">
      <c r="N2143" t="s">
        <v>27</v>
      </c>
      <c r="O2143" t="s">
        <v>4013</v>
      </c>
      <c r="P2143" t="s">
        <v>2065</v>
      </c>
      <c r="Q2143">
        <v>0.95</v>
      </c>
    </row>
    <row r="2144" spans="14:17" x14ac:dyDescent="0.45">
      <c r="N2144" t="s">
        <v>27</v>
      </c>
      <c r="O2144" t="s">
        <v>4014</v>
      </c>
      <c r="P2144" t="s">
        <v>2089</v>
      </c>
      <c r="Q2144">
        <v>0.95</v>
      </c>
    </row>
    <row r="2145" spans="14:17" x14ac:dyDescent="0.45">
      <c r="N2145" t="s">
        <v>27</v>
      </c>
      <c r="O2145" t="s">
        <v>4015</v>
      </c>
      <c r="P2145" t="s">
        <v>2084</v>
      </c>
      <c r="Q2145">
        <v>0.95</v>
      </c>
    </row>
    <row r="2146" spans="14:17" x14ac:dyDescent="0.45">
      <c r="N2146" t="s">
        <v>27</v>
      </c>
      <c r="O2146" t="s">
        <v>4016</v>
      </c>
      <c r="P2146" t="s">
        <v>2089</v>
      </c>
      <c r="Q2146">
        <v>0.95</v>
      </c>
    </row>
    <row r="2147" spans="14:17" x14ac:dyDescent="0.45">
      <c r="N2147" t="s">
        <v>27</v>
      </c>
      <c r="O2147" t="s">
        <v>4017</v>
      </c>
      <c r="P2147" t="s">
        <v>2063</v>
      </c>
      <c r="Q2147">
        <v>0.95</v>
      </c>
    </row>
    <row r="2148" spans="14:17" x14ac:dyDescent="0.45">
      <c r="N2148" t="s">
        <v>27</v>
      </c>
      <c r="O2148" t="s">
        <v>4018</v>
      </c>
      <c r="P2148" t="s">
        <v>2089</v>
      </c>
      <c r="Q2148">
        <v>0.95</v>
      </c>
    </row>
    <row r="2149" spans="14:17" x14ac:dyDescent="0.45">
      <c r="N2149" t="s">
        <v>27</v>
      </c>
      <c r="O2149" t="s">
        <v>4019</v>
      </c>
      <c r="P2149" t="s">
        <v>2071</v>
      </c>
      <c r="Q2149">
        <v>0.95</v>
      </c>
    </row>
    <row r="2150" spans="14:17" x14ac:dyDescent="0.45">
      <c r="N2150" t="s">
        <v>27</v>
      </c>
      <c r="O2150" t="s">
        <v>4020</v>
      </c>
      <c r="P2150" t="s">
        <v>2053</v>
      </c>
      <c r="Q2150">
        <v>0.95</v>
      </c>
    </row>
    <row r="2151" spans="14:17" x14ac:dyDescent="0.45">
      <c r="N2151" t="s">
        <v>27</v>
      </c>
      <c r="O2151" t="s">
        <v>4021</v>
      </c>
      <c r="P2151" t="s">
        <v>2089</v>
      </c>
      <c r="Q2151">
        <v>0.95</v>
      </c>
    </row>
    <row r="2152" spans="14:17" x14ac:dyDescent="0.45">
      <c r="N2152" t="s">
        <v>27</v>
      </c>
      <c r="O2152" t="s">
        <v>4022</v>
      </c>
      <c r="P2152" t="s">
        <v>2089</v>
      </c>
      <c r="Q2152">
        <v>0.85</v>
      </c>
    </row>
    <row r="2153" spans="14:17" x14ac:dyDescent="0.45">
      <c r="N2153" t="s">
        <v>27</v>
      </c>
      <c r="O2153" t="s">
        <v>4023</v>
      </c>
      <c r="P2153" t="s">
        <v>2093</v>
      </c>
      <c r="Q2153">
        <v>0.85</v>
      </c>
    </row>
    <row r="2154" spans="14:17" x14ac:dyDescent="0.45">
      <c r="N2154" t="s">
        <v>27</v>
      </c>
      <c r="O2154" t="s">
        <v>4024</v>
      </c>
      <c r="P2154" t="s">
        <v>2076</v>
      </c>
      <c r="Q2154">
        <v>0.85</v>
      </c>
    </row>
    <row r="2155" spans="14:17" x14ac:dyDescent="0.45">
      <c r="N2155" t="s">
        <v>27</v>
      </c>
      <c r="O2155" t="s">
        <v>4025</v>
      </c>
      <c r="P2155" t="s">
        <v>2098</v>
      </c>
      <c r="Q2155">
        <v>0.85</v>
      </c>
    </row>
    <row r="2156" spans="14:17" x14ac:dyDescent="0.45">
      <c r="N2156" t="s">
        <v>27</v>
      </c>
      <c r="O2156" t="s">
        <v>4026</v>
      </c>
      <c r="P2156" t="s">
        <v>2059</v>
      </c>
      <c r="Q2156">
        <v>0.85</v>
      </c>
    </row>
    <row r="2157" spans="14:17" x14ac:dyDescent="0.45">
      <c r="N2157" t="s">
        <v>27</v>
      </c>
      <c r="O2157" t="s">
        <v>4027</v>
      </c>
      <c r="P2157" t="s">
        <v>2059</v>
      </c>
      <c r="Q2157">
        <v>0.85</v>
      </c>
    </row>
    <row r="2158" spans="14:17" x14ac:dyDescent="0.45">
      <c r="N2158" t="s">
        <v>27</v>
      </c>
      <c r="O2158" t="s">
        <v>4028</v>
      </c>
      <c r="P2158" t="s">
        <v>2103</v>
      </c>
      <c r="Q2158">
        <v>0.85</v>
      </c>
    </row>
    <row r="2159" spans="14:17" x14ac:dyDescent="0.45">
      <c r="N2159" t="s">
        <v>27</v>
      </c>
      <c r="O2159" t="s">
        <v>4029</v>
      </c>
      <c r="P2159" t="s">
        <v>2075</v>
      </c>
      <c r="Q2159">
        <v>0.85</v>
      </c>
    </row>
    <row r="2160" spans="14:17" x14ac:dyDescent="0.45">
      <c r="N2160" t="s">
        <v>27</v>
      </c>
      <c r="O2160" t="s">
        <v>4030</v>
      </c>
      <c r="P2160" t="s">
        <v>2075</v>
      </c>
      <c r="Q2160">
        <v>0.85</v>
      </c>
    </row>
    <row r="2161" spans="14:17" x14ac:dyDescent="0.45">
      <c r="N2161" t="s">
        <v>27</v>
      </c>
      <c r="O2161" t="s">
        <v>4031</v>
      </c>
      <c r="P2161" t="s">
        <v>2090</v>
      </c>
      <c r="Q2161">
        <v>0.85</v>
      </c>
    </row>
    <row r="2162" spans="14:17" x14ac:dyDescent="0.45">
      <c r="N2162" t="s">
        <v>27</v>
      </c>
      <c r="O2162" t="s">
        <v>4032</v>
      </c>
      <c r="P2162" t="s">
        <v>2092</v>
      </c>
      <c r="Q2162">
        <v>0.85</v>
      </c>
    </row>
    <row r="2163" spans="14:17" x14ac:dyDescent="0.45">
      <c r="N2163" t="s">
        <v>27</v>
      </c>
      <c r="O2163" t="s">
        <v>4033</v>
      </c>
      <c r="P2163" t="s">
        <v>2106</v>
      </c>
      <c r="Q2163">
        <v>0.85</v>
      </c>
    </row>
    <row r="2164" spans="14:17" x14ac:dyDescent="0.45">
      <c r="N2164" t="s">
        <v>27</v>
      </c>
      <c r="O2164" t="s">
        <v>4034</v>
      </c>
      <c r="P2164" t="s">
        <v>2078</v>
      </c>
      <c r="Q2164">
        <v>0.85</v>
      </c>
    </row>
    <row r="2165" spans="14:17" x14ac:dyDescent="0.45">
      <c r="N2165" t="s">
        <v>27</v>
      </c>
      <c r="O2165" t="s">
        <v>4035</v>
      </c>
      <c r="P2165" t="s">
        <v>2089</v>
      </c>
      <c r="Q2165">
        <v>0.85</v>
      </c>
    </row>
    <row r="2166" spans="14:17" x14ac:dyDescent="0.45">
      <c r="N2166" t="s">
        <v>27</v>
      </c>
      <c r="O2166" t="s">
        <v>4036</v>
      </c>
      <c r="P2166" t="s">
        <v>2089</v>
      </c>
      <c r="Q2166">
        <v>0.85</v>
      </c>
    </row>
    <row r="2167" spans="14:17" x14ac:dyDescent="0.45">
      <c r="N2167" t="s">
        <v>27</v>
      </c>
      <c r="O2167" t="s">
        <v>4037</v>
      </c>
      <c r="P2167" t="s">
        <v>2069</v>
      </c>
      <c r="Q2167">
        <v>0.85</v>
      </c>
    </row>
    <row r="2168" spans="14:17" x14ac:dyDescent="0.45">
      <c r="N2168" t="s">
        <v>27</v>
      </c>
      <c r="O2168" t="s">
        <v>4038</v>
      </c>
      <c r="P2168" t="s">
        <v>2067</v>
      </c>
      <c r="Q2168">
        <v>0.85</v>
      </c>
    </row>
    <row r="2169" spans="14:17" x14ac:dyDescent="0.45">
      <c r="N2169" t="s">
        <v>27</v>
      </c>
      <c r="O2169" t="s">
        <v>4039</v>
      </c>
      <c r="P2169" t="s">
        <v>2082</v>
      </c>
      <c r="Q2169">
        <v>0.85</v>
      </c>
    </row>
    <row r="2170" spans="14:17" x14ac:dyDescent="0.45">
      <c r="N2170" t="s">
        <v>27</v>
      </c>
      <c r="O2170" t="s">
        <v>4040</v>
      </c>
      <c r="P2170" t="s">
        <v>2057</v>
      </c>
      <c r="Q2170">
        <v>0.85</v>
      </c>
    </row>
    <row r="2171" spans="14:17" x14ac:dyDescent="0.45">
      <c r="N2171" t="s">
        <v>27</v>
      </c>
      <c r="O2171" t="s">
        <v>4041</v>
      </c>
      <c r="P2171" t="s">
        <v>2102</v>
      </c>
      <c r="Q2171">
        <v>0.85</v>
      </c>
    </row>
    <row r="2172" spans="14:17" x14ac:dyDescent="0.45">
      <c r="N2172" t="s">
        <v>27</v>
      </c>
      <c r="O2172" t="s">
        <v>4042</v>
      </c>
      <c r="P2172" t="s">
        <v>2075</v>
      </c>
      <c r="Q2172">
        <v>0.85</v>
      </c>
    </row>
    <row r="2173" spans="14:17" x14ac:dyDescent="0.45">
      <c r="N2173" t="s">
        <v>27</v>
      </c>
      <c r="O2173" t="s">
        <v>4043</v>
      </c>
      <c r="P2173" t="s">
        <v>2075</v>
      </c>
      <c r="Q2173">
        <v>0.85</v>
      </c>
    </row>
    <row r="2174" spans="14:17" x14ac:dyDescent="0.45">
      <c r="N2174" t="s">
        <v>27</v>
      </c>
      <c r="O2174" t="s">
        <v>4044</v>
      </c>
      <c r="P2174" t="s">
        <v>2054</v>
      </c>
      <c r="Q2174">
        <v>0.85</v>
      </c>
    </row>
    <row r="2175" spans="14:17" x14ac:dyDescent="0.45">
      <c r="N2175" t="s">
        <v>27</v>
      </c>
      <c r="O2175" t="s">
        <v>4045</v>
      </c>
      <c r="P2175" t="s">
        <v>2099</v>
      </c>
      <c r="Q2175">
        <v>0.85</v>
      </c>
    </row>
    <row r="2176" spans="14:17" x14ac:dyDescent="0.45">
      <c r="N2176" t="s">
        <v>27</v>
      </c>
      <c r="O2176" t="s">
        <v>4046</v>
      </c>
      <c r="P2176" t="s">
        <v>2052</v>
      </c>
      <c r="Q2176">
        <v>0.85</v>
      </c>
    </row>
    <row r="2177" spans="14:17" x14ac:dyDescent="0.45">
      <c r="N2177" t="s">
        <v>27</v>
      </c>
      <c r="O2177" t="s">
        <v>4047</v>
      </c>
      <c r="P2177" t="s">
        <v>2054</v>
      </c>
      <c r="Q2177">
        <v>0.85</v>
      </c>
    </row>
    <row r="2178" spans="14:17" x14ac:dyDescent="0.45">
      <c r="N2178" t="s">
        <v>27</v>
      </c>
      <c r="O2178" t="s">
        <v>4048</v>
      </c>
      <c r="P2178" t="s">
        <v>2086</v>
      </c>
      <c r="Q2178">
        <v>0.85</v>
      </c>
    </row>
    <row r="2179" spans="14:17" x14ac:dyDescent="0.45">
      <c r="N2179" t="s">
        <v>27</v>
      </c>
      <c r="O2179" t="s">
        <v>4049</v>
      </c>
      <c r="P2179" t="s">
        <v>2093</v>
      </c>
      <c r="Q2179">
        <v>0.85</v>
      </c>
    </row>
    <row r="2180" spans="14:17" x14ac:dyDescent="0.45">
      <c r="N2180" t="s">
        <v>27</v>
      </c>
      <c r="O2180" t="s">
        <v>4050</v>
      </c>
      <c r="P2180" t="s">
        <v>2098</v>
      </c>
      <c r="Q2180">
        <v>0.85</v>
      </c>
    </row>
    <row r="2181" spans="14:17" x14ac:dyDescent="0.45">
      <c r="N2181" t="s">
        <v>27</v>
      </c>
      <c r="O2181" t="s">
        <v>4051</v>
      </c>
      <c r="P2181" t="s">
        <v>2104</v>
      </c>
      <c r="Q2181">
        <v>0.85</v>
      </c>
    </row>
    <row r="2182" spans="14:17" x14ac:dyDescent="0.45">
      <c r="N2182" t="s">
        <v>27</v>
      </c>
      <c r="O2182" t="s">
        <v>4052</v>
      </c>
      <c r="P2182" t="s">
        <v>2076</v>
      </c>
      <c r="Q2182">
        <v>0.85</v>
      </c>
    </row>
    <row r="2183" spans="14:17" x14ac:dyDescent="0.45">
      <c r="N2183" t="s">
        <v>27</v>
      </c>
      <c r="O2183" t="s">
        <v>4053</v>
      </c>
      <c r="P2183" t="s">
        <v>2071</v>
      </c>
      <c r="Q2183">
        <v>0.85</v>
      </c>
    </row>
    <row r="2184" spans="14:17" x14ac:dyDescent="0.45">
      <c r="N2184" t="s">
        <v>27</v>
      </c>
      <c r="O2184" t="s">
        <v>4054</v>
      </c>
      <c r="P2184" t="s">
        <v>2103</v>
      </c>
      <c r="Q2184">
        <v>0.85</v>
      </c>
    </row>
    <row r="2185" spans="14:17" x14ac:dyDescent="0.45">
      <c r="N2185" t="s">
        <v>27</v>
      </c>
      <c r="O2185" t="s">
        <v>4055</v>
      </c>
      <c r="P2185" t="s">
        <v>2099</v>
      </c>
      <c r="Q2185">
        <v>0.85</v>
      </c>
    </row>
    <row r="2186" spans="14:17" x14ac:dyDescent="0.45">
      <c r="N2186" t="s">
        <v>27</v>
      </c>
      <c r="O2186" t="s">
        <v>4056</v>
      </c>
      <c r="P2186" t="s">
        <v>2051</v>
      </c>
      <c r="Q2186">
        <v>0.85</v>
      </c>
    </row>
    <row r="2187" spans="14:17" x14ac:dyDescent="0.45">
      <c r="N2187" t="s">
        <v>27</v>
      </c>
      <c r="O2187" t="s">
        <v>4057</v>
      </c>
      <c r="P2187" t="s">
        <v>2096</v>
      </c>
      <c r="Q2187">
        <v>0.85</v>
      </c>
    </row>
    <row r="2188" spans="14:17" x14ac:dyDescent="0.45">
      <c r="N2188" t="s">
        <v>27</v>
      </c>
      <c r="O2188" t="s">
        <v>4058</v>
      </c>
      <c r="P2188" t="s">
        <v>2061</v>
      </c>
      <c r="Q2188">
        <v>0.85</v>
      </c>
    </row>
    <row r="2189" spans="14:17" x14ac:dyDescent="0.45">
      <c r="N2189" t="s">
        <v>27</v>
      </c>
      <c r="O2189" t="s">
        <v>4059</v>
      </c>
      <c r="P2189" t="s">
        <v>2084</v>
      </c>
      <c r="Q2189">
        <v>0.85</v>
      </c>
    </row>
    <row r="2190" spans="14:17" x14ac:dyDescent="0.45">
      <c r="N2190" t="s">
        <v>27</v>
      </c>
      <c r="O2190" t="s">
        <v>4060</v>
      </c>
      <c r="P2190" t="s">
        <v>2105</v>
      </c>
      <c r="Q2190">
        <v>0.85</v>
      </c>
    </row>
    <row r="2191" spans="14:17" x14ac:dyDescent="0.45">
      <c r="N2191" t="s">
        <v>27</v>
      </c>
      <c r="O2191" t="s">
        <v>4061</v>
      </c>
      <c r="P2191" t="s">
        <v>2086</v>
      </c>
      <c r="Q2191">
        <v>0.85</v>
      </c>
    </row>
    <row r="2192" spans="14:17" x14ac:dyDescent="0.45">
      <c r="N2192" t="s">
        <v>27</v>
      </c>
      <c r="O2192" t="s">
        <v>4062</v>
      </c>
      <c r="P2192" t="s">
        <v>2081</v>
      </c>
      <c r="Q2192">
        <v>0.85</v>
      </c>
    </row>
    <row r="2193" spans="14:17" x14ac:dyDescent="0.45">
      <c r="N2193" t="s">
        <v>27</v>
      </c>
      <c r="O2193" t="s">
        <v>4063</v>
      </c>
      <c r="P2193" t="s">
        <v>2095</v>
      </c>
      <c r="Q2193">
        <v>0.85</v>
      </c>
    </row>
    <row r="2194" spans="14:17" x14ac:dyDescent="0.45">
      <c r="N2194" t="s">
        <v>27</v>
      </c>
      <c r="O2194" t="s">
        <v>4064</v>
      </c>
      <c r="P2194" t="s">
        <v>2051</v>
      </c>
      <c r="Q2194">
        <v>0.85</v>
      </c>
    </row>
    <row r="2195" spans="14:17" x14ac:dyDescent="0.45">
      <c r="N2195" t="s">
        <v>27</v>
      </c>
      <c r="O2195" t="s">
        <v>4065</v>
      </c>
      <c r="P2195" t="s">
        <v>2101</v>
      </c>
      <c r="Q2195">
        <v>0.85</v>
      </c>
    </row>
    <row r="2196" spans="14:17" x14ac:dyDescent="0.45">
      <c r="N2196" t="s">
        <v>27</v>
      </c>
      <c r="O2196" t="s">
        <v>4066</v>
      </c>
      <c r="P2196" t="s">
        <v>2081</v>
      </c>
      <c r="Q2196">
        <v>0.85</v>
      </c>
    </row>
    <row r="2197" spans="14:17" x14ac:dyDescent="0.45">
      <c r="N2197" t="s">
        <v>27</v>
      </c>
      <c r="O2197" t="s">
        <v>4067</v>
      </c>
      <c r="P2197" t="s">
        <v>2078</v>
      </c>
      <c r="Q2197">
        <v>0.85</v>
      </c>
    </row>
    <row r="2198" spans="14:17" x14ac:dyDescent="0.45">
      <c r="N2198" t="s">
        <v>27</v>
      </c>
      <c r="O2198" t="s">
        <v>4068</v>
      </c>
      <c r="P2198" t="s">
        <v>2060</v>
      </c>
      <c r="Q2198">
        <v>0.85</v>
      </c>
    </row>
    <row r="2199" spans="14:17" x14ac:dyDescent="0.45">
      <c r="N2199" t="s">
        <v>27</v>
      </c>
      <c r="O2199" t="s">
        <v>4069</v>
      </c>
      <c r="P2199" t="s">
        <v>2093</v>
      </c>
      <c r="Q2199">
        <v>0.85</v>
      </c>
    </row>
    <row r="2200" spans="14:17" x14ac:dyDescent="0.45">
      <c r="N2200" t="s">
        <v>27</v>
      </c>
      <c r="O2200" t="s">
        <v>4070</v>
      </c>
      <c r="P2200" t="s">
        <v>2081</v>
      </c>
      <c r="Q2200">
        <v>0.85</v>
      </c>
    </row>
    <row r="2201" spans="14:17" x14ac:dyDescent="0.45">
      <c r="N2201" t="s">
        <v>27</v>
      </c>
      <c r="O2201" t="s">
        <v>4071</v>
      </c>
      <c r="P2201" t="s">
        <v>2095</v>
      </c>
      <c r="Q2201">
        <v>0.85</v>
      </c>
    </row>
    <row r="2202" spans="14:17" x14ac:dyDescent="0.45">
      <c r="N2202" t="s">
        <v>27</v>
      </c>
      <c r="O2202" t="s">
        <v>4072</v>
      </c>
      <c r="P2202" t="s">
        <v>2069</v>
      </c>
      <c r="Q2202">
        <v>0.85</v>
      </c>
    </row>
    <row r="2203" spans="14:17" x14ac:dyDescent="0.45">
      <c r="N2203" t="s">
        <v>27</v>
      </c>
      <c r="O2203" t="s">
        <v>4073</v>
      </c>
      <c r="P2203" t="s">
        <v>2064</v>
      </c>
      <c r="Q2203">
        <v>0.85</v>
      </c>
    </row>
    <row r="2204" spans="14:17" x14ac:dyDescent="0.45">
      <c r="N2204" t="s">
        <v>27</v>
      </c>
      <c r="O2204" t="s">
        <v>4074</v>
      </c>
      <c r="P2204" t="s">
        <v>2078</v>
      </c>
      <c r="Q2204">
        <v>0.85</v>
      </c>
    </row>
    <row r="2205" spans="14:17" x14ac:dyDescent="0.45">
      <c r="N2205" t="s">
        <v>27</v>
      </c>
      <c r="O2205" t="s">
        <v>4075</v>
      </c>
      <c r="P2205" t="s">
        <v>2065</v>
      </c>
      <c r="Q2205">
        <v>0.85</v>
      </c>
    </row>
    <row r="2206" spans="14:17" x14ac:dyDescent="0.45">
      <c r="N2206" t="s">
        <v>27</v>
      </c>
      <c r="O2206" t="s">
        <v>4076</v>
      </c>
      <c r="P2206" t="s">
        <v>2101</v>
      </c>
      <c r="Q2206">
        <v>0.85</v>
      </c>
    </row>
    <row r="2207" spans="14:17" x14ac:dyDescent="0.45">
      <c r="N2207" t="s">
        <v>27</v>
      </c>
      <c r="O2207" t="s">
        <v>4077</v>
      </c>
      <c r="P2207" t="s">
        <v>2094</v>
      </c>
      <c r="Q2207">
        <v>0.85</v>
      </c>
    </row>
    <row r="2208" spans="14:17" x14ac:dyDescent="0.45">
      <c r="N2208" t="s">
        <v>27</v>
      </c>
      <c r="O2208" t="s">
        <v>4078</v>
      </c>
      <c r="P2208" t="s">
        <v>2052</v>
      </c>
      <c r="Q2208">
        <v>0.85</v>
      </c>
    </row>
    <row r="2209" spans="14:17" x14ac:dyDescent="0.45">
      <c r="N2209" t="s">
        <v>27</v>
      </c>
      <c r="O2209" t="s">
        <v>4079</v>
      </c>
      <c r="P2209" t="s">
        <v>2105</v>
      </c>
      <c r="Q2209">
        <v>0.85</v>
      </c>
    </row>
    <row r="2210" spans="14:17" x14ac:dyDescent="0.45">
      <c r="N2210" t="s">
        <v>27</v>
      </c>
      <c r="O2210" t="s">
        <v>4080</v>
      </c>
      <c r="P2210" t="s">
        <v>2054</v>
      </c>
      <c r="Q2210">
        <v>0.85</v>
      </c>
    </row>
    <row r="2211" spans="14:17" x14ac:dyDescent="0.45">
      <c r="N2211" t="s">
        <v>27</v>
      </c>
      <c r="O2211" t="s">
        <v>4081</v>
      </c>
      <c r="P2211" t="s">
        <v>2083</v>
      </c>
      <c r="Q2211">
        <v>0.85</v>
      </c>
    </row>
    <row r="2212" spans="14:17" x14ac:dyDescent="0.45">
      <c r="N2212" t="s">
        <v>27</v>
      </c>
      <c r="O2212" t="s">
        <v>4082</v>
      </c>
      <c r="P2212" t="s">
        <v>2076</v>
      </c>
      <c r="Q2212">
        <v>0.85</v>
      </c>
    </row>
    <row r="2213" spans="14:17" x14ac:dyDescent="0.45">
      <c r="N2213" t="s">
        <v>27</v>
      </c>
      <c r="O2213" t="s">
        <v>4083</v>
      </c>
      <c r="P2213" t="s">
        <v>2056</v>
      </c>
      <c r="Q2213">
        <v>0.85</v>
      </c>
    </row>
    <row r="2214" spans="14:17" x14ac:dyDescent="0.45">
      <c r="N2214" t="s">
        <v>27</v>
      </c>
      <c r="O2214" t="s">
        <v>4084</v>
      </c>
      <c r="P2214" t="s">
        <v>2087</v>
      </c>
      <c r="Q2214">
        <v>0.85</v>
      </c>
    </row>
    <row r="2215" spans="14:17" x14ac:dyDescent="0.45">
      <c r="N2215" t="s">
        <v>27</v>
      </c>
      <c r="O2215" t="s">
        <v>4085</v>
      </c>
      <c r="P2215" t="s">
        <v>2102</v>
      </c>
      <c r="Q2215">
        <v>0.85</v>
      </c>
    </row>
    <row r="2216" spans="14:17" x14ac:dyDescent="0.45">
      <c r="N2216" t="s">
        <v>27</v>
      </c>
      <c r="O2216" t="s">
        <v>4086</v>
      </c>
      <c r="P2216" t="s">
        <v>2105</v>
      </c>
      <c r="Q2216">
        <v>0.85</v>
      </c>
    </row>
    <row r="2217" spans="14:17" x14ac:dyDescent="0.45">
      <c r="N2217" t="s">
        <v>27</v>
      </c>
      <c r="O2217" t="s">
        <v>4087</v>
      </c>
      <c r="P2217" t="s">
        <v>2078</v>
      </c>
      <c r="Q2217">
        <v>0.85</v>
      </c>
    </row>
    <row r="2218" spans="14:17" x14ac:dyDescent="0.45">
      <c r="N2218" t="s">
        <v>27</v>
      </c>
      <c r="O2218" t="s">
        <v>4088</v>
      </c>
      <c r="P2218" t="s">
        <v>2077</v>
      </c>
      <c r="Q2218">
        <v>0.85</v>
      </c>
    </row>
    <row r="2219" spans="14:17" x14ac:dyDescent="0.45">
      <c r="N2219" t="s">
        <v>27</v>
      </c>
      <c r="O2219" t="s">
        <v>4089</v>
      </c>
      <c r="P2219" t="s">
        <v>2105</v>
      </c>
      <c r="Q2219">
        <v>0.85</v>
      </c>
    </row>
    <row r="2220" spans="14:17" x14ac:dyDescent="0.45">
      <c r="N2220" t="s">
        <v>27</v>
      </c>
      <c r="O2220" t="s">
        <v>4090</v>
      </c>
      <c r="P2220" t="s">
        <v>2073</v>
      </c>
      <c r="Q2220">
        <v>0.85</v>
      </c>
    </row>
    <row r="2221" spans="14:17" x14ac:dyDescent="0.45">
      <c r="N2221" t="s">
        <v>27</v>
      </c>
      <c r="O2221" t="s">
        <v>4091</v>
      </c>
      <c r="P2221" t="s">
        <v>2106</v>
      </c>
      <c r="Q2221">
        <v>0.85</v>
      </c>
    </row>
    <row r="2222" spans="14:17" x14ac:dyDescent="0.45">
      <c r="N2222" t="s">
        <v>27</v>
      </c>
      <c r="O2222" t="s">
        <v>4092</v>
      </c>
      <c r="P2222" t="s">
        <v>2051</v>
      </c>
      <c r="Q2222">
        <v>0.85</v>
      </c>
    </row>
    <row r="2223" spans="14:17" x14ac:dyDescent="0.45">
      <c r="N2223" t="s">
        <v>27</v>
      </c>
      <c r="O2223" t="s">
        <v>4093</v>
      </c>
      <c r="P2223" t="s">
        <v>2075</v>
      </c>
      <c r="Q2223">
        <v>0.85</v>
      </c>
    </row>
    <row r="2224" spans="14:17" x14ac:dyDescent="0.45">
      <c r="N2224" t="s">
        <v>27</v>
      </c>
      <c r="O2224" t="s">
        <v>4094</v>
      </c>
      <c r="P2224" t="s">
        <v>2106</v>
      </c>
      <c r="Q2224">
        <v>0.85</v>
      </c>
    </row>
    <row r="2225" spans="14:17" x14ac:dyDescent="0.45">
      <c r="N2225" t="s">
        <v>27</v>
      </c>
      <c r="O2225" t="s">
        <v>4095</v>
      </c>
      <c r="P2225" t="s">
        <v>2055</v>
      </c>
      <c r="Q2225">
        <v>0.85</v>
      </c>
    </row>
    <row r="2226" spans="14:17" x14ac:dyDescent="0.45">
      <c r="N2226" t="s">
        <v>27</v>
      </c>
      <c r="O2226" t="s">
        <v>4096</v>
      </c>
      <c r="P2226" t="s">
        <v>2071</v>
      </c>
      <c r="Q2226">
        <v>0.85</v>
      </c>
    </row>
    <row r="2227" spans="14:17" x14ac:dyDescent="0.45">
      <c r="N2227" t="s">
        <v>27</v>
      </c>
      <c r="O2227" t="s">
        <v>4097</v>
      </c>
      <c r="P2227" t="s">
        <v>2097</v>
      </c>
      <c r="Q2227">
        <v>0.85</v>
      </c>
    </row>
    <row r="2228" spans="14:17" x14ac:dyDescent="0.45">
      <c r="N2228" t="s">
        <v>27</v>
      </c>
      <c r="O2228" t="s">
        <v>4098</v>
      </c>
      <c r="P2228" t="s">
        <v>2065</v>
      </c>
      <c r="Q2228">
        <v>0.85</v>
      </c>
    </row>
    <row r="2229" spans="14:17" x14ac:dyDescent="0.45">
      <c r="N2229" t="s">
        <v>27</v>
      </c>
      <c r="O2229" t="s">
        <v>4099</v>
      </c>
      <c r="P2229" t="s">
        <v>2067</v>
      </c>
      <c r="Q2229">
        <v>0.85</v>
      </c>
    </row>
    <row r="2230" spans="14:17" x14ac:dyDescent="0.45">
      <c r="N2230" t="s">
        <v>27</v>
      </c>
      <c r="O2230" t="s">
        <v>4100</v>
      </c>
      <c r="P2230" t="s">
        <v>2051</v>
      </c>
      <c r="Q2230">
        <v>0.85</v>
      </c>
    </row>
    <row r="2231" spans="14:17" x14ac:dyDescent="0.45">
      <c r="N2231" t="s">
        <v>27</v>
      </c>
      <c r="O2231" t="s">
        <v>4101</v>
      </c>
      <c r="P2231" t="s">
        <v>2062</v>
      </c>
      <c r="Q2231">
        <v>0.85</v>
      </c>
    </row>
    <row r="2232" spans="14:17" x14ac:dyDescent="0.45">
      <c r="N2232" t="s">
        <v>27</v>
      </c>
      <c r="O2232" t="s">
        <v>4102</v>
      </c>
      <c r="P2232" t="s">
        <v>2081</v>
      </c>
      <c r="Q2232">
        <v>0.85</v>
      </c>
    </row>
    <row r="2233" spans="14:17" x14ac:dyDescent="0.45">
      <c r="N2233" t="s">
        <v>27</v>
      </c>
      <c r="O2233" t="s">
        <v>4103</v>
      </c>
      <c r="P2233" t="s">
        <v>2078</v>
      </c>
      <c r="Q2233">
        <v>0.85</v>
      </c>
    </row>
    <row r="2234" spans="14:17" x14ac:dyDescent="0.45">
      <c r="N2234" t="s">
        <v>27</v>
      </c>
      <c r="O2234" t="s">
        <v>4104</v>
      </c>
      <c r="P2234" t="s">
        <v>2107</v>
      </c>
      <c r="Q2234">
        <v>0.85</v>
      </c>
    </row>
    <row r="2235" spans="14:17" x14ac:dyDescent="0.45">
      <c r="N2235" t="s">
        <v>27</v>
      </c>
      <c r="O2235" t="s">
        <v>4105</v>
      </c>
      <c r="P2235" t="s">
        <v>2068</v>
      </c>
      <c r="Q2235">
        <v>0.85</v>
      </c>
    </row>
    <row r="2236" spans="14:17" x14ac:dyDescent="0.45">
      <c r="N2236" t="s">
        <v>27</v>
      </c>
      <c r="O2236" t="s">
        <v>4106</v>
      </c>
      <c r="P2236" t="s">
        <v>2051</v>
      </c>
      <c r="Q2236">
        <v>0.85</v>
      </c>
    </row>
    <row r="2237" spans="14:17" x14ac:dyDescent="0.45">
      <c r="N2237" t="s">
        <v>27</v>
      </c>
      <c r="O2237" t="s">
        <v>4107</v>
      </c>
      <c r="P2237" t="s">
        <v>2069</v>
      </c>
      <c r="Q2237">
        <v>0.85</v>
      </c>
    </row>
    <row r="2238" spans="14:17" x14ac:dyDescent="0.45">
      <c r="N2238" t="s">
        <v>27</v>
      </c>
      <c r="O2238" t="s">
        <v>4108</v>
      </c>
      <c r="P2238" t="s">
        <v>2106</v>
      </c>
      <c r="Q2238">
        <v>0.85</v>
      </c>
    </row>
    <row r="2239" spans="14:17" x14ac:dyDescent="0.45">
      <c r="N2239" t="s">
        <v>27</v>
      </c>
      <c r="O2239" t="s">
        <v>4109</v>
      </c>
      <c r="P2239" t="s">
        <v>2089</v>
      </c>
      <c r="Q2239">
        <v>0.85</v>
      </c>
    </row>
    <row r="2240" spans="14:17" x14ac:dyDescent="0.45">
      <c r="N2240" t="s">
        <v>27</v>
      </c>
      <c r="O2240" t="s">
        <v>4110</v>
      </c>
      <c r="P2240" t="s">
        <v>2083</v>
      </c>
      <c r="Q2240">
        <v>0.85</v>
      </c>
    </row>
    <row r="2241" spans="14:17" x14ac:dyDescent="0.45">
      <c r="N2241" t="s">
        <v>27</v>
      </c>
      <c r="O2241" t="s">
        <v>4111</v>
      </c>
      <c r="P2241" t="s">
        <v>2057</v>
      </c>
      <c r="Q2241">
        <v>0.85</v>
      </c>
    </row>
    <row r="2242" spans="14:17" x14ac:dyDescent="0.45">
      <c r="N2242" t="s">
        <v>27</v>
      </c>
      <c r="O2242" t="s">
        <v>4112</v>
      </c>
      <c r="P2242" t="s">
        <v>2106</v>
      </c>
      <c r="Q2242">
        <v>0.85</v>
      </c>
    </row>
    <row r="2243" spans="14:17" x14ac:dyDescent="0.45">
      <c r="N2243" t="s">
        <v>27</v>
      </c>
      <c r="O2243" t="s">
        <v>4113</v>
      </c>
      <c r="P2243" t="s">
        <v>2106</v>
      </c>
      <c r="Q2243">
        <v>0.85</v>
      </c>
    </row>
    <row r="2244" spans="14:17" x14ac:dyDescent="0.45">
      <c r="N2244" t="s">
        <v>27</v>
      </c>
      <c r="O2244" t="s">
        <v>4114</v>
      </c>
      <c r="P2244" t="s">
        <v>2076</v>
      </c>
      <c r="Q2244">
        <v>0.85</v>
      </c>
    </row>
    <row r="2245" spans="14:17" x14ac:dyDescent="0.45">
      <c r="N2245" t="s">
        <v>27</v>
      </c>
      <c r="O2245" t="s">
        <v>4115</v>
      </c>
      <c r="P2245" t="s">
        <v>2087</v>
      </c>
      <c r="Q2245">
        <v>0.85</v>
      </c>
    </row>
    <row r="2246" spans="14:17" x14ac:dyDescent="0.45">
      <c r="N2246" t="s">
        <v>27</v>
      </c>
      <c r="O2246" t="s">
        <v>4116</v>
      </c>
      <c r="P2246" t="s">
        <v>2086</v>
      </c>
      <c r="Q2246">
        <v>0.85</v>
      </c>
    </row>
    <row r="2247" spans="14:17" x14ac:dyDescent="0.45">
      <c r="N2247" t="s">
        <v>27</v>
      </c>
      <c r="O2247" t="s">
        <v>4117</v>
      </c>
      <c r="P2247" t="s">
        <v>2054</v>
      </c>
      <c r="Q2247">
        <v>0.85</v>
      </c>
    </row>
    <row r="2248" spans="14:17" x14ac:dyDescent="0.45">
      <c r="N2248" t="s">
        <v>27</v>
      </c>
      <c r="O2248" t="s">
        <v>4118</v>
      </c>
      <c r="P2248" t="s">
        <v>2103</v>
      </c>
      <c r="Q2248">
        <v>0.85</v>
      </c>
    </row>
    <row r="2249" spans="14:17" x14ac:dyDescent="0.45">
      <c r="N2249" t="s">
        <v>27</v>
      </c>
      <c r="O2249" t="s">
        <v>4119</v>
      </c>
      <c r="P2249" t="s">
        <v>2086</v>
      </c>
      <c r="Q2249">
        <v>0.85</v>
      </c>
    </row>
    <row r="2250" spans="14:17" x14ac:dyDescent="0.45">
      <c r="N2250" t="s">
        <v>27</v>
      </c>
      <c r="O2250" t="s">
        <v>4120</v>
      </c>
      <c r="P2250" t="s">
        <v>2067</v>
      </c>
      <c r="Q2250">
        <v>0.85</v>
      </c>
    </row>
    <row r="2251" spans="14:17" x14ac:dyDescent="0.45">
      <c r="N2251" t="s">
        <v>27</v>
      </c>
      <c r="O2251" t="s">
        <v>4121</v>
      </c>
      <c r="P2251" t="s">
        <v>2069</v>
      </c>
      <c r="Q2251">
        <v>0.85</v>
      </c>
    </row>
    <row r="2252" spans="14:17" x14ac:dyDescent="0.45">
      <c r="N2252" t="s">
        <v>27</v>
      </c>
      <c r="O2252" t="s">
        <v>4122</v>
      </c>
      <c r="P2252" t="s">
        <v>2069</v>
      </c>
      <c r="Q2252">
        <v>0.85</v>
      </c>
    </row>
    <row r="2253" spans="14:17" x14ac:dyDescent="0.45">
      <c r="N2253" t="s">
        <v>27</v>
      </c>
      <c r="O2253" t="s">
        <v>4123</v>
      </c>
      <c r="P2253" t="s">
        <v>2103</v>
      </c>
      <c r="Q2253">
        <v>0.85</v>
      </c>
    </row>
    <row r="2254" spans="14:17" x14ac:dyDescent="0.45">
      <c r="N2254" t="s">
        <v>27</v>
      </c>
      <c r="O2254" t="s">
        <v>4124</v>
      </c>
      <c r="P2254" t="s">
        <v>2089</v>
      </c>
      <c r="Q2254">
        <v>0.85</v>
      </c>
    </row>
    <row r="2255" spans="14:17" x14ac:dyDescent="0.45">
      <c r="N2255" t="s">
        <v>27</v>
      </c>
      <c r="O2255" t="s">
        <v>4125</v>
      </c>
      <c r="P2255" t="s">
        <v>2103</v>
      </c>
      <c r="Q2255">
        <v>0.85</v>
      </c>
    </row>
    <row r="2256" spans="14:17" x14ac:dyDescent="0.45">
      <c r="N2256" t="s">
        <v>27</v>
      </c>
      <c r="O2256" t="s">
        <v>4126</v>
      </c>
      <c r="P2256" t="s">
        <v>2081</v>
      </c>
      <c r="Q2256">
        <v>0.85</v>
      </c>
    </row>
    <row r="2257" spans="14:17" x14ac:dyDescent="0.45">
      <c r="N2257" t="s">
        <v>27</v>
      </c>
      <c r="O2257" t="s">
        <v>4127</v>
      </c>
      <c r="P2257" t="s">
        <v>2068</v>
      </c>
      <c r="Q2257">
        <v>0.85</v>
      </c>
    </row>
    <row r="2258" spans="14:17" x14ac:dyDescent="0.45">
      <c r="N2258" t="s">
        <v>27</v>
      </c>
      <c r="O2258" t="s">
        <v>4128</v>
      </c>
      <c r="P2258" t="s">
        <v>2100</v>
      </c>
      <c r="Q2258">
        <v>0.85</v>
      </c>
    </row>
    <row r="2259" spans="14:17" x14ac:dyDescent="0.45">
      <c r="N2259" t="s">
        <v>27</v>
      </c>
      <c r="O2259" t="s">
        <v>4129</v>
      </c>
      <c r="P2259" t="s">
        <v>2078</v>
      </c>
      <c r="Q2259">
        <v>0.85</v>
      </c>
    </row>
    <row r="2260" spans="14:17" x14ac:dyDescent="0.45">
      <c r="N2260" t="s">
        <v>27</v>
      </c>
      <c r="O2260" t="s">
        <v>4130</v>
      </c>
      <c r="P2260" t="s">
        <v>2102</v>
      </c>
      <c r="Q2260">
        <v>0.85</v>
      </c>
    </row>
    <row r="2261" spans="14:17" x14ac:dyDescent="0.45">
      <c r="N2261" t="s">
        <v>27</v>
      </c>
      <c r="O2261" t="s">
        <v>4131</v>
      </c>
      <c r="P2261" t="s">
        <v>2060</v>
      </c>
      <c r="Q2261">
        <v>0.85</v>
      </c>
    </row>
    <row r="2262" spans="14:17" x14ac:dyDescent="0.45">
      <c r="N2262" t="s">
        <v>27</v>
      </c>
      <c r="O2262" t="s">
        <v>4132</v>
      </c>
      <c r="P2262" t="s">
        <v>2098</v>
      </c>
      <c r="Q2262">
        <v>0.85</v>
      </c>
    </row>
    <row r="2263" spans="14:17" x14ac:dyDescent="0.45">
      <c r="N2263" t="s">
        <v>27</v>
      </c>
      <c r="O2263" t="s">
        <v>4133</v>
      </c>
      <c r="P2263" t="s">
        <v>2106</v>
      </c>
      <c r="Q2263">
        <v>0.85</v>
      </c>
    </row>
    <row r="2264" spans="14:17" x14ac:dyDescent="0.45">
      <c r="N2264" t="s">
        <v>27</v>
      </c>
      <c r="O2264" t="s">
        <v>4134</v>
      </c>
      <c r="P2264" t="s">
        <v>2107</v>
      </c>
      <c r="Q2264">
        <v>0.85</v>
      </c>
    </row>
    <row r="2265" spans="14:17" x14ac:dyDescent="0.45">
      <c r="N2265" t="s">
        <v>27</v>
      </c>
      <c r="O2265" t="s">
        <v>4135</v>
      </c>
      <c r="P2265" t="s">
        <v>2086</v>
      </c>
      <c r="Q2265">
        <v>0.85</v>
      </c>
    </row>
    <row r="2266" spans="14:17" x14ac:dyDescent="0.45">
      <c r="N2266" t="s">
        <v>27</v>
      </c>
      <c r="O2266" t="s">
        <v>4136</v>
      </c>
      <c r="P2266" t="s">
        <v>2094</v>
      </c>
      <c r="Q2266">
        <v>0.85</v>
      </c>
    </row>
    <row r="2267" spans="14:17" x14ac:dyDescent="0.45">
      <c r="N2267" t="s">
        <v>27</v>
      </c>
      <c r="O2267" t="s">
        <v>4137</v>
      </c>
      <c r="P2267" t="s">
        <v>2102</v>
      </c>
      <c r="Q2267">
        <v>0.85</v>
      </c>
    </row>
    <row r="2268" spans="14:17" x14ac:dyDescent="0.45">
      <c r="N2268" t="s">
        <v>27</v>
      </c>
      <c r="O2268" t="s">
        <v>4138</v>
      </c>
      <c r="P2268" t="s">
        <v>2080</v>
      </c>
      <c r="Q2268">
        <v>0.85</v>
      </c>
    </row>
    <row r="2269" spans="14:17" x14ac:dyDescent="0.45">
      <c r="N2269" t="s">
        <v>27</v>
      </c>
      <c r="O2269" t="s">
        <v>4139</v>
      </c>
      <c r="P2269" t="s">
        <v>2057</v>
      </c>
      <c r="Q2269">
        <v>0.85</v>
      </c>
    </row>
    <row r="2270" spans="14:17" x14ac:dyDescent="0.45">
      <c r="N2270" t="s">
        <v>27</v>
      </c>
      <c r="O2270" t="s">
        <v>4140</v>
      </c>
      <c r="P2270" t="s">
        <v>2076</v>
      </c>
      <c r="Q2270">
        <v>0.85</v>
      </c>
    </row>
    <row r="2271" spans="14:17" x14ac:dyDescent="0.45">
      <c r="N2271" t="s">
        <v>27</v>
      </c>
      <c r="O2271" t="s">
        <v>4141</v>
      </c>
      <c r="P2271" t="s">
        <v>2071</v>
      </c>
      <c r="Q2271">
        <v>0.85</v>
      </c>
    </row>
    <row r="2272" spans="14:17" x14ac:dyDescent="0.45">
      <c r="N2272" t="s">
        <v>27</v>
      </c>
      <c r="O2272" t="s">
        <v>4142</v>
      </c>
      <c r="P2272" t="s">
        <v>2102</v>
      </c>
      <c r="Q2272">
        <v>0.85</v>
      </c>
    </row>
    <row r="2273" spans="14:17" x14ac:dyDescent="0.45">
      <c r="N2273" t="s">
        <v>27</v>
      </c>
      <c r="O2273" t="s">
        <v>4143</v>
      </c>
      <c r="P2273" t="s">
        <v>2092</v>
      </c>
      <c r="Q2273">
        <v>0.85</v>
      </c>
    </row>
    <row r="2274" spans="14:17" x14ac:dyDescent="0.45">
      <c r="N2274" t="s">
        <v>27</v>
      </c>
      <c r="O2274" t="s">
        <v>4144</v>
      </c>
      <c r="P2274" t="s">
        <v>2056</v>
      </c>
      <c r="Q2274">
        <v>0.85</v>
      </c>
    </row>
    <row r="2275" spans="14:17" x14ac:dyDescent="0.45">
      <c r="N2275" t="s">
        <v>27</v>
      </c>
      <c r="O2275" t="s">
        <v>4145</v>
      </c>
      <c r="P2275" t="s">
        <v>2052</v>
      </c>
      <c r="Q2275">
        <v>0.85</v>
      </c>
    </row>
    <row r="2276" spans="14:17" x14ac:dyDescent="0.45">
      <c r="N2276" t="s">
        <v>27</v>
      </c>
      <c r="O2276" t="s">
        <v>4146</v>
      </c>
      <c r="P2276" t="s">
        <v>2051</v>
      </c>
      <c r="Q2276">
        <v>0.85</v>
      </c>
    </row>
    <row r="2277" spans="14:17" x14ac:dyDescent="0.45">
      <c r="N2277" t="s">
        <v>27</v>
      </c>
      <c r="O2277" t="s">
        <v>4147</v>
      </c>
      <c r="P2277" t="s">
        <v>2102</v>
      </c>
      <c r="Q2277">
        <v>0.85</v>
      </c>
    </row>
    <row r="2278" spans="14:17" x14ac:dyDescent="0.45">
      <c r="N2278" t="s">
        <v>27</v>
      </c>
      <c r="O2278" t="s">
        <v>4148</v>
      </c>
      <c r="P2278" t="s">
        <v>2077</v>
      </c>
      <c r="Q2278">
        <v>0.85</v>
      </c>
    </row>
    <row r="2279" spans="14:17" x14ac:dyDescent="0.45">
      <c r="N2279" t="s">
        <v>27</v>
      </c>
      <c r="O2279" t="s">
        <v>4149</v>
      </c>
      <c r="P2279" t="s">
        <v>2052</v>
      </c>
      <c r="Q2279">
        <v>0.85</v>
      </c>
    </row>
    <row r="2280" spans="14:17" x14ac:dyDescent="0.45">
      <c r="N2280" t="s">
        <v>27</v>
      </c>
      <c r="O2280" t="s">
        <v>4150</v>
      </c>
      <c r="P2280" t="s">
        <v>2096</v>
      </c>
      <c r="Q2280">
        <v>0.85</v>
      </c>
    </row>
    <row r="2281" spans="14:17" x14ac:dyDescent="0.45">
      <c r="N2281" t="s">
        <v>27</v>
      </c>
      <c r="O2281" t="s">
        <v>4151</v>
      </c>
      <c r="P2281" t="s">
        <v>2095</v>
      </c>
      <c r="Q2281">
        <v>0.85</v>
      </c>
    </row>
    <row r="2282" spans="14:17" x14ac:dyDescent="0.45">
      <c r="N2282" t="s">
        <v>27</v>
      </c>
      <c r="O2282" t="s">
        <v>4152</v>
      </c>
      <c r="P2282" t="s">
        <v>2086</v>
      </c>
      <c r="Q2282">
        <v>0.85</v>
      </c>
    </row>
    <row r="2283" spans="14:17" x14ac:dyDescent="0.45">
      <c r="N2283" t="s">
        <v>27</v>
      </c>
      <c r="O2283" t="s">
        <v>4153</v>
      </c>
      <c r="P2283" t="s">
        <v>2092</v>
      </c>
      <c r="Q2283">
        <v>0.85</v>
      </c>
    </row>
    <row r="2284" spans="14:17" x14ac:dyDescent="0.45">
      <c r="N2284" t="s">
        <v>27</v>
      </c>
      <c r="O2284" t="s">
        <v>4154</v>
      </c>
      <c r="P2284" t="s">
        <v>2053</v>
      </c>
      <c r="Q2284">
        <v>0.85</v>
      </c>
    </row>
    <row r="2285" spans="14:17" x14ac:dyDescent="0.45">
      <c r="N2285" t="s">
        <v>27</v>
      </c>
      <c r="O2285" t="s">
        <v>4155</v>
      </c>
      <c r="P2285" t="s">
        <v>2071</v>
      </c>
      <c r="Q2285">
        <v>0.85</v>
      </c>
    </row>
    <row r="2286" spans="14:17" x14ac:dyDescent="0.45">
      <c r="N2286" t="s">
        <v>27</v>
      </c>
      <c r="O2286" t="s">
        <v>4156</v>
      </c>
      <c r="P2286" t="s">
        <v>2088</v>
      </c>
      <c r="Q2286">
        <v>0.85</v>
      </c>
    </row>
    <row r="2287" spans="14:17" x14ac:dyDescent="0.45">
      <c r="N2287" t="s">
        <v>27</v>
      </c>
      <c r="O2287" t="s">
        <v>4157</v>
      </c>
      <c r="P2287" t="s">
        <v>2095</v>
      </c>
      <c r="Q2287">
        <v>0.85</v>
      </c>
    </row>
    <row r="2288" spans="14:17" x14ac:dyDescent="0.45">
      <c r="N2288" t="s">
        <v>27</v>
      </c>
      <c r="O2288" t="s">
        <v>4158</v>
      </c>
      <c r="P2288" t="s">
        <v>2087</v>
      </c>
      <c r="Q2288">
        <v>0.85</v>
      </c>
    </row>
    <row r="2289" spans="14:17" x14ac:dyDescent="0.45">
      <c r="N2289" t="s">
        <v>27</v>
      </c>
      <c r="O2289" t="s">
        <v>4159</v>
      </c>
      <c r="P2289" t="s">
        <v>2086</v>
      </c>
      <c r="Q2289">
        <v>0.85</v>
      </c>
    </row>
    <row r="2290" spans="14:17" x14ac:dyDescent="0.45">
      <c r="N2290" t="s">
        <v>27</v>
      </c>
      <c r="O2290" t="s">
        <v>4160</v>
      </c>
      <c r="P2290" t="s">
        <v>2096</v>
      </c>
      <c r="Q2290">
        <v>0.85</v>
      </c>
    </row>
    <row r="2291" spans="14:17" x14ac:dyDescent="0.45">
      <c r="N2291" t="s">
        <v>27</v>
      </c>
      <c r="O2291" t="s">
        <v>4161</v>
      </c>
      <c r="P2291" t="s">
        <v>2073</v>
      </c>
      <c r="Q2291">
        <v>0.85</v>
      </c>
    </row>
    <row r="2292" spans="14:17" x14ac:dyDescent="0.45">
      <c r="N2292" t="s">
        <v>27</v>
      </c>
      <c r="O2292" t="s">
        <v>4162</v>
      </c>
      <c r="P2292" t="s">
        <v>2083</v>
      </c>
      <c r="Q2292">
        <v>0.85</v>
      </c>
    </row>
    <row r="2293" spans="14:17" x14ac:dyDescent="0.45">
      <c r="N2293" t="s">
        <v>27</v>
      </c>
      <c r="O2293" t="s">
        <v>4163</v>
      </c>
      <c r="P2293" t="s">
        <v>2093</v>
      </c>
      <c r="Q2293">
        <v>0.85</v>
      </c>
    </row>
    <row r="2294" spans="14:17" x14ac:dyDescent="0.45">
      <c r="N2294" t="s">
        <v>27</v>
      </c>
      <c r="O2294" t="s">
        <v>4164</v>
      </c>
      <c r="P2294" t="s">
        <v>2095</v>
      </c>
      <c r="Q2294">
        <v>0.85</v>
      </c>
    </row>
    <row r="2295" spans="14:17" x14ac:dyDescent="0.45">
      <c r="N2295" t="s">
        <v>27</v>
      </c>
      <c r="O2295" t="s">
        <v>4165</v>
      </c>
      <c r="P2295" t="s">
        <v>2054</v>
      </c>
      <c r="Q2295">
        <v>0.85</v>
      </c>
    </row>
    <row r="2296" spans="14:17" x14ac:dyDescent="0.45">
      <c r="N2296" t="s">
        <v>27</v>
      </c>
      <c r="O2296" t="s">
        <v>4166</v>
      </c>
      <c r="P2296" t="s">
        <v>2075</v>
      </c>
      <c r="Q2296">
        <v>0.85</v>
      </c>
    </row>
    <row r="2297" spans="14:17" x14ac:dyDescent="0.45">
      <c r="N2297" t="s">
        <v>27</v>
      </c>
      <c r="O2297" t="s">
        <v>4167</v>
      </c>
      <c r="P2297" t="s">
        <v>2088</v>
      </c>
      <c r="Q2297">
        <v>0.85</v>
      </c>
    </row>
    <row r="2298" spans="14:17" x14ac:dyDescent="0.45">
      <c r="N2298" t="s">
        <v>27</v>
      </c>
      <c r="O2298" t="s">
        <v>4168</v>
      </c>
      <c r="P2298" t="s">
        <v>2087</v>
      </c>
      <c r="Q2298">
        <v>0.85</v>
      </c>
    </row>
    <row r="2299" spans="14:17" x14ac:dyDescent="0.45">
      <c r="N2299" t="s">
        <v>27</v>
      </c>
      <c r="O2299" t="s">
        <v>4169</v>
      </c>
      <c r="P2299" t="s">
        <v>2086</v>
      </c>
      <c r="Q2299">
        <v>0.85</v>
      </c>
    </row>
    <row r="2300" spans="14:17" x14ac:dyDescent="0.45">
      <c r="N2300" t="s">
        <v>27</v>
      </c>
      <c r="O2300" t="s">
        <v>4170</v>
      </c>
      <c r="P2300" t="s">
        <v>2056</v>
      </c>
      <c r="Q2300">
        <v>0.85</v>
      </c>
    </row>
    <row r="2301" spans="14:17" x14ac:dyDescent="0.45">
      <c r="N2301" t="s">
        <v>27</v>
      </c>
      <c r="O2301" t="s">
        <v>4171</v>
      </c>
      <c r="P2301" t="s">
        <v>2094</v>
      </c>
      <c r="Q2301">
        <v>0.85</v>
      </c>
    </row>
    <row r="2302" spans="14:17" x14ac:dyDescent="0.45">
      <c r="N2302" t="s">
        <v>27</v>
      </c>
      <c r="O2302" t="s">
        <v>4172</v>
      </c>
      <c r="P2302" t="s">
        <v>2057</v>
      </c>
      <c r="Q2302">
        <v>0.85</v>
      </c>
    </row>
    <row r="2303" spans="14:17" x14ac:dyDescent="0.45">
      <c r="N2303" t="s">
        <v>27</v>
      </c>
      <c r="O2303" t="s">
        <v>4173</v>
      </c>
      <c r="P2303" t="s">
        <v>2059</v>
      </c>
      <c r="Q2303">
        <v>0.85</v>
      </c>
    </row>
    <row r="2304" spans="14:17" x14ac:dyDescent="0.45">
      <c r="N2304" t="s">
        <v>27</v>
      </c>
      <c r="O2304" t="s">
        <v>4174</v>
      </c>
      <c r="P2304" t="s">
        <v>2107</v>
      </c>
      <c r="Q2304">
        <v>0.85</v>
      </c>
    </row>
    <row r="2305" spans="14:17" x14ac:dyDescent="0.45">
      <c r="N2305" t="s">
        <v>27</v>
      </c>
      <c r="O2305" t="s">
        <v>4175</v>
      </c>
      <c r="P2305" t="s">
        <v>2092</v>
      </c>
      <c r="Q2305">
        <v>0.85</v>
      </c>
    </row>
    <row r="2306" spans="14:17" x14ac:dyDescent="0.45">
      <c r="N2306" t="s">
        <v>27</v>
      </c>
      <c r="O2306" t="s">
        <v>4176</v>
      </c>
      <c r="P2306" t="s">
        <v>2086</v>
      </c>
      <c r="Q2306">
        <v>0.85</v>
      </c>
    </row>
    <row r="2307" spans="14:17" x14ac:dyDescent="0.45">
      <c r="N2307" t="s">
        <v>27</v>
      </c>
      <c r="O2307" t="s">
        <v>4177</v>
      </c>
      <c r="P2307" t="s">
        <v>2087</v>
      </c>
      <c r="Q2307">
        <v>0.85</v>
      </c>
    </row>
    <row r="2308" spans="14:17" x14ac:dyDescent="0.45">
      <c r="N2308" t="s">
        <v>27</v>
      </c>
      <c r="O2308" t="s">
        <v>4178</v>
      </c>
      <c r="P2308" t="s">
        <v>2069</v>
      </c>
      <c r="Q2308">
        <v>0.85</v>
      </c>
    </row>
    <row r="2309" spans="14:17" x14ac:dyDescent="0.45">
      <c r="N2309" t="s">
        <v>27</v>
      </c>
      <c r="O2309" t="s">
        <v>4179</v>
      </c>
      <c r="P2309" t="s">
        <v>2100</v>
      </c>
      <c r="Q2309">
        <v>0.85</v>
      </c>
    </row>
    <row r="2310" spans="14:17" x14ac:dyDescent="0.45">
      <c r="N2310" t="s">
        <v>27</v>
      </c>
      <c r="O2310" t="s">
        <v>4180</v>
      </c>
      <c r="P2310" t="s">
        <v>2053</v>
      </c>
      <c r="Q2310">
        <v>0.95</v>
      </c>
    </row>
    <row r="2311" spans="14:17" x14ac:dyDescent="0.45">
      <c r="N2311" t="s">
        <v>27</v>
      </c>
      <c r="O2311" t="s">
        <v>4181</v>
      </c>
      <c r="P2311" t="s">
        <v>2104</v>
      </c>
      <c r="Q2311">
        <v>0.95</v>
      </c>
    </row>
    <row r="2312" spans="14:17" x14ac:dyDescent="0.45">
      <c r="N2312" t="s">
        <v>27</v>
      </c>
      <c r="O2312" t="s">
        <v>4182</v>
      </c>
      <c r="P2312" t="s">
        <v>2071</v>
      </c>
      <c r="Q2312">
        <v>0.95</v>
      </c>
    </row>
    <row r="2313" spans="14:17" x14ac:dyDescent="0.45">
      <c r="N2313" t="s">
        <v>27</v>
      </c>
      <c r="O2313" t="s">
        <v>4183</v>
      </c>
      <c r="P2313" t="s">
        <v>2071</v>
      </c>
      <c r="Q2313">
        <v>0.95</v>
      </c>
    </row>
    <row r="2314" spans="14:17" x14ac:dyDescent="0.45">
      <c r="N2314" t="s">
        <v>27</v>
      </c>
      <c r="O2314" t="s">
        <v>4184</v>
      </c>
      <c r="P2314" t="s">
        <v>2089</v>
      </c>
      <c r="Q2314">
        <v>0.95</v>
      </c>
    </row>
    <row r="2315" spans="14:17" x14ac:dyDescent="0.45">
      <c r="N2315" t="s">
        <v>27</v>
      </c>
      <c r="O2315" t="s">
        <v>4185</v>
      </c>
      <c r="P2315" t="s">
        <v>2060</v>
      </c>
      <c r="Q2315">
        <v>0.95</v>
      </c>
    </row>
    <row r="2316" spans="14:17" x14ac:dyDescent="0.45">
      <c r="N2316" t="s">
        <v>27</v>
      </c>
      <c r="O2316" t="s">
        <v>4186</v>
      </c>
      <c r="P2316" t="s">
        <v>2053</v>
      </c>
      <c r="Q2316">
        <v>0.95</v>
      </c>
    </row>
    <row r="2317" spans="14:17" x14ac:dyDescent="0.45">
      <c r="N2317" t="s">
        <v>27</v>
      </c>
      <c r="O2317" t="s">
        <v>4187</v>
      </c>
      <c r="P2317" t="s">
        <v>2106</v>
      </c>
      <c r="Q2317">
        <v>0.95</v>
      </c>
    </row>
    <row r="2318" spans="14:17" x14ac:dyDescent="0.45">
      <c r="N2318" t="s">
        <v>27</v>
      </c>
      <c r="O2318" t="s">
        <v>4188</v>
      </c>
      <c r="P2318" t="s">
        <v>2098</v>
      </c>
      <c r="Q2318">
        <v>0.95</v>
      </c>
    </row>
    <row r="2319" spans="14:17" x14ac:dyDescent="0.45">
      <c r="N2319" t="s">
        <v>27</v>
      </c>
      <c r="O2319" t="s">
        <v>4189</v>
      </c>
      <c r="P2319" t="s">
        <v>2098</v>
      </c>
      <c r="Q2319">
        <v>0.95</v>
      </c>
    </row>
    <row r="2320" spans="14:17" x14ac:dyDescent="0.45">
      <c r="N2320" t="s">
        <v>27</v>
      </c>
      <c r="O2320" t="s">
        <v>4190</v>
      </c>
      <c r="P2320" t="s">
        <v>2089</v>
      </c>
      <c r="Q2320">
        <v>0.95</v>
      </c>
    </row>
    <row r="2321" spans="14:17" x14ac:dyDescent="0.45">
      <c r="N2321" t="s">
        <v>27</v>
      </c>
      <c r="O2321" t="s">
        <v>4191</v>
      </c>
      <c r="P2321" t="s">
        <v>2058</v>
      </c>
      <c r="Q2321">
        <v>0.95</v>
      </c>
    </row>
    <row r="2322" spans="14:17" x14ac:dyDescent="0.45">
      <c r="N2322" t="s">
        <v>27</v>
      </c>
      <c r="O2322" t="s">
        <v>4192</v>
      </c>
      <c r="P2322" t="s">
        <v>2051</v>
      </c>
      <c r="Q2322">
        <v>0.95</v>
      </c>
    </row>
    <row r="2323" spans="14:17" x14ac:dyDescent="0.45">
      <c r="N2323" t="s">
        <v>27</v>
      </c>
      <c r="O2323" t="s">
        <v>4193</v>
      </c>
      <c r="P2323" t="s">
        <v>2089</v>
      </c>
      <c r="Q2323">
        <v>0.95</v>
      </c>
    </row>
    <row r="2324" spans="14:17" x14ac:dyDescent="0.45">
      <c r="N2324" t="s">
        <v>27</v>
      </c>
      <c r="O2324" t="s">
        <v>4194</v>
      </c>
      <c r="P2324" t="s">
        <v>2056</v>
      </c>
      <c r="Q2324">
        <v>0.95</v>
      </c>
    </row>
    <row r="2325" spans="14:17" x14ac:dyDescent="0.45">
      <c r="N2325" t="s">
        <v>27</v>
      </c>
      <c r="O2325" t="s">
        <v>4195</v>
      </c>
      <c r="P2325" t="s">
        <v>2077</v>
      </c>
      <c r="Q2325">
        <v>0.95</v>
      </c>
    </row>
    <row r="2326" spans="14:17" x14ac:dyDescent="0.45">
      <c r="N2326" t="s">
        <v>27</v>
      </c>
      <c r="O2326" t="s">
        <v>4196</v>
      </c>
      <c r="P2326" t="s">
        <v>2051</v>
      </c>
      <c r="Q2326">
        <v>0.95</v>
      </c>
    </row>
    <row r="2327" spans="14:17" x14ac:dyDescent="0.45">
      <c r="N2327" t="s">
        <v>27</v>
      </c>
      <c r="O2327" t="s">
        <v>4197</v>
      </c>
      <c r="P2327" t="s">
        <v>2065</v>
      </c>
      <c r="Q2327">
        <v>0.95</v>
      </c>
    </row>
    <row r="2328" spans="14:17" x14ac:dyDescent="0.45">
      <c r="N2328" t="s">
        <v>27</v>
      </c>
      <c r="O2328" t="s">
        <v>4198</v>
      </c>
      <c r="P2328" t="s">
        <v>2089</v>
      </c>
      <c r="Q2328">
        <v>0.95</v>
      </c>
    </row>
    <row r="2329" spans="14:17" x14ac:dyDescent="0.45">
      <c r="N2329" t="s">
        <v>27</v>
      </c>
      <c r="O2329" t="s">
        <v>4199</v>
      </c>
      <c r="P2329" t="s">
        <v>2089</v>
      </c>
      <c r="Q2329">
        <v>0.95</v>
      </c>
    </row>
    <row r="2330" spans="14:17" x14ac:dyDescent="0.45">
      <c r="N2330" t="s">
        <v>27</v>
      </c>
      <c r="O2330" t="s">
        <v>4200</v>
      </c>
      <c r="P2330" t="s">
        <v>2063</v>
      </c>
      <c r="Q2330">
        <v>0.95</v>
      </c>
    </row>
    <row r="2331" spans="14:17" x14ac:dyDescent="0.45">
      <c r="N2331" t="s">
        <v>27</v>
      </c>
      <c r="O2331" t="s">
        <v>4201</v>
      </c>
      <c r="P2331" t="s">
        <v>2084</v>
      </c>
      <c r="Q2331">
        <v>0.95</v>
      </c>
    </row>
    <row r="2332" spans="14:17" x14ac:dyDescent="0.45">
      <c r="N2332" t="s">
        <v>27</v>
      </c>
      <c r="O2332" t="s">
        <v>4202</v>
      </c>
      <c r="P2332" t="s">
        <v>2063</v>
      </c>
      <c r="Q2332">
        <v>0.95</v>
      </c>
    </row>
    <row r="2333" spans="14:17" x14ac:dyDescent="0.45">
      <c r="N2333" t="s">
        <v>27</v>
      </c>
      <c r="O2333" t="s">
        <v>4203</v>
      </c>
      <c r="P2333" t="s">
        <v>2078</v>
      </c>
      <c r="Q2333">
        <v>0.85</v>
      </c>
    </row>
    <row r="2334" spans="14:17" x14ac:dyDescent="0.45">
      <c r="N2334" t="s">
        <v>27</v>
      </c>
      <c r="O2334" t="s">
        <v>4204</v>
      </c>
      <c r="P2334" t="s">
        <v>2053</v>
      </c>
      <c r="Q2334">
        <v>0.85</v>
      </c>
    </row>
    <row r="2335" spans="14:17" x14ac:dyDescent="0.45">
      <c r="N2335" t="s">
        <v>27</v>
      </c>
      <c r="O2335" t="s">
        <v>4205</v>
      </c>
      <c r="P2335" t="s">
        <v>2078</v>
      </c>
      <c r="Q2335">
        <v>0.85</v>
      </c>
    </row>
    <row r="2336" spans="14:17" x14ac:dyDescent="0.45">
      <c r="N2336" t="s">
        <v>27</v>
      </c>
      <c r="O2336" t="s">
        <v>4206</v>
      </c>
      <c r="P2336" t="s">
        <v>2108</v>
      </c>
      <c r="Q2336">
        <v>0.85</v>
      </c>
    </row>
    <row r="2337" spans="14:17" x14ac:dyDescent="0.45">
      <c r="N2337" t="s">
        <v>27</v>
      </c>
      <c r="O2337" t="s">
        <v>4207</v>
      </c>
      <c r="P2337" t="s">
        <v>2106</v>
      </c>
      <c r="Q2337">
        <v>0.85</v>
      </c>
    </row>
    <row r="2338" spans="14:17" x14ac:dyDescent="0.45">
      <c r="N2338" t="s">
        <v>27</v>
      </c>
      <c r="O2338" t="s">
        <v>4208</v>
      </c>
      <c r="P2338" t="s">
        <v>2071</v>
      </c>
      <c r="Q2338">
        <v>0.85</v>
      </c>
    </row>
    <row r="2339" spans="14:17" x14ac:dyDescent="0.45">
      <c r="N2339" t="s">
        <v>27</v>
      </c>
      <c r="O2339" t="s">
        <v>4209</v>
      </c>
      <c r="P2339" t="s">
        <v>2105</v>
      </c>
      <c r="Q2339">
        <v>0.85</v>
      </c>
    </row>
    <row r="2340" spans="14:17" x14ac:dyDescent="0.45">
      <c r="N2340" t="s">
        <v>27</v>
      </c>
      <c r="O2340" t="s">
        <v>4210</v>
      </c>
      <c r="P2340" t="s">
        <v>2106</v>
      </c>
      <c r="Q2340">
        <v>0.85</v>
      </c>
    </row>
    <row r="2341" spans="14:17" x14ac:dyDescent="0.45">
      <c r="N2341" t="s">
        <v>27</v>
      </c>
      <c r="O2341" t="s">
        <v>4211</v>
      </c>
      <c r="P2341" t="s">
        <v>2083</v>
      </c>
      <c r="Q2341">
        <v>0.85</v>
      </c>
    </row>
    <row r="2342" spans="14:17" x14ac:dyDescent="0.45">
      <c r="N2342" t="s">
        <v>27</v>
      </c>
      <c r="O2342" t="s">
        <v>4212</v>
      </c>
      <c r="P2342" t="s">
        <v>2086</v>
      </c>
      <c r="Q2342">
        <v>0.85</v>
      </c>
    </row>
    <row r="2343" spans="14:17" x14ac:dyDescent="0.45">
      <c r="N2343" t="s">
        <v>27</v>
      </c>
      <c r="O2343" t="s">
        <v>4213</v>
      </c>
      <c r="P2343" t="s">
        <v>2061</v>
      </c>
      <c r="Q2343">
        <v>0.85</v>
      </c>
    </row>
    <row r="2344" spans="14:17" x14ac:dyDescent="0.45">
      <c r="N2344" t="s">
        <v>27</v>
      </c>
      <c r="O2344" t="s">
        <v>4214</v>
      </c>
      <c r="P2344" t="s">
        <v>2080</v>
      </c>
      <c r="Q2344">
        <v>0.85</v>
      </c>
    </row>
    <row r="2345" spans="14:17" x14ac:dyDescent="0.45">
      <c r="N2345" t="s">
        <v>27</v>
      </c>
      <c r="O2345" t="s">
        <v>4215</v>
      </c>
      <c r="P2345" t="s">
        <v>2098</v>
      </c>
      <c r="Q2345">
        <v>0.85</v>
      </c>
    </row>
    <row r="2346" spans="14:17" x14ac:dyDescent="0.45">
      <c r="N2346" t="s">
        <v>27</v>
      </c>
      <c r="O2346" t="s">
        <v>4216</v>
      </c>
      <c r="P2346" t="s">
        <v>2065</v>
      </c>
      <c r="Q2346">
        <v>0.85</v>
      </c>
    </row>
    <row r="2347" spans="14:17" x14ac:dyDescent="0.45">
      <c r="N2347" t="s">
        <v>27</v>
      </c>
      <c r="O2347" t="s">
        <v>4217</v>
      </c>
      <c r="P2347" t="s">
        <v>2086</v>
      </c>
      <c r="Q2347">
        <v>0.85</v>
      </c>
    </row>
    <row r="2348" spans="14:17" x14ac:dyDescent="0.45">
      <c r="N2348" t="s">
        <v>27</v>
      </c>
      <c r="O2348" t="s">
        <v>4218</v>
      </c>
      <c r="P2348" t="s">
        <v>2088</v>
      </c>
      <c r="Q2348">
        <v>0.85</v>
      </c>
    </row>
    <row r="2349" spans="14:17" x14ac:dyDescent="0.45">
      <c r="N2349" t="s">
        <v>27</v>
      </c>
      <c r="O2349" t="s">
        <v>4219</v>
      </c>
      <c r="P2349" t="s">
        <v>2053</v>
      </c>
      <c r="Q2349">
        <v>0.85</v>
      </c>
    </row>
    <row r="2350" spans="14:17" x14ac:dyDescent="0.45">
      <c r="N2350" t="s">
        <v>27</v>
      </c>
      <c r="O2350" t="s">
        <v>4220</v>
      </c>
      <c r="P2350" t="s">
        <v>2103</v>
      </c>
      <c r="Q2350">
        <v>0.85</v>
      </c>
    </row>
    <row r="2351" spans="14:17" x14ac:dyDescent="0.45">
      <c r="N2351" t="s">
        <v>27</v>
      </c>
      <c r="O2351" t="s">
        <v>4221</v>
      </c>
      <c r="P2351" t="s">
        <v>2055</v>
      </c>
      <c r="Q2351">
        <v>0.85</v>
      </c>
    </row>
    <row r="2352" spans="14:17" x14ac:dyDescent="0.45">
      <c r="N2352" t="s">
        <v>27</v>
      </c>
      <c r="O2352" t="s">
        <v>4222</v>
      </c>
      <c r="P2352" t="s">
        <v>2092</v>
      </c>
      <c r="Q2352">
        <v>0.85</v>
      </c>
    </row>
    <row r="2353" spans="14:17" x14ac:dyDescent="0.45">
      <c r="N2353" t="s">
        <v>27</v>
      </c>
      <c r="O2353" t="s">
        <v>4223</v>
      </c>
      <c r="P2353" t="s">
        <v>2081</v>
      </c>
      <c r="Q2353">
        <v>0.85</v>
      </c>
    </row>
    <row r="2354" spans="14:17" x14ac:dyDescent="0.45">
      <c r="N2354" t="s">
        <v>27</v>
      </c>
      <c r="O2354" t="s">
        <v>4224</v>
      </c>
      <c r="P2354" t="s">
        <v>2069</v>
      </c>
      <c r="Q2354">
        <v>0.85</v>
      </c>
    </row>
    <row r="2355" spans="14:17" x14ac:dyDescent="0.45">
      <c r="N2355" t="s">
        <v>27</v>
      </c>
      <c r="O2355" t="s">
        <v>4225</v>
      </c>
      <c r="P2355" t="s">
        <v>2086</v>
      </c>
      <c r="Q2355">
        <v>0.85</v>
      </c>
    </row>
    <row r="2356" spans="14:17" x14ac:dyDescent="0.45">
      <c r="N2356" t="s">
        <v>27</v>
      </c>
      <c r="O2356" t="s">
        <v>4226</v>
      </c>
      <c r="P2356" t="s">
        <v>2068</v>
      </c>
      <c r="Q2356">
        <v>0.85</v>
      </c>
    </row>
    <row r="2357" spans="14:17" x14ac:dyDescent="0.45">
      <c r="N2357" t="s">
        <v>27</v>
      </c>
      <c r="O2357" t="s">
        <v>4227</v>
      </c>
      <c r="P2357" t="s">
        <v>2100</v>
      </c>
      <c r="Q2357">
        <v>0.85</v>
      </c>
    </row>
    <row r="2358" spans="14:17" x14ac:dyDescent="0.45">
      <c r="N2358" t="s">
        <v>27</v>
      </c>
      <c r="O2358" t="s">
        <v>4228</v>
      </c>
      <c r="P2358" t="s">
        <v>2077</v>
      </c>
      <c r="Q2358">
        <v>0.85</v>
      </c>
    </row>
    <row r="2359" spans="14:17" x14ac:dyDescent="0.45">
      <c r="N2359" t="s">
        <v>27</v>
      </c>
      <c r="O2359" t="s">
        <v>4229</v>
      </c>
      <c r="P2359" t="s">
        <v>2054</v>
      </c>
      <c r="Q2359">
        <v>0.85</v>
      </c>
    </row>
    <row r="2360" spans="14:17" x14ac:dyDescent="0.45">
      <c r="N2360" t="s">
        <v>27</v>
      </c>
      <c r="O2360" t="s">
        <v>4230</v>
      </c>
      <c r="P2360" t="s">
        <v>2059</v>
      </c>
      <c r="Q2360">
        <v>0.85</v>
      </c>
    </row>
    <row r="2361" spans="14:17" x14ac:dyDescent="0.45">
      <c r="N2361" t="s">
        <v>27</v>
      </c>
      <c r="O2361" t="s">
        <v>4231</v>
      </c>
      <c r="P2361" t="s">
        <v>2077</v>
      </c>
      <c r="Q2361">
        <v>0.85</v>
      </c>
    </row>
    <row r="2362" spans="14:17" x14ac:dyDescent="0.45">
      <c r="N2362" t="s">
        <v>27</v>
      </c>
      <c r="O2362" t="s">
        <v>4232</v>
      </c>
      <c r="P2362" t="s">
        <v>2093</v>
      </c>
      <c r="Q2362">
        <v>0.85</v>
      </c>
    </row>
    <row r="2363" spans="14:17" x14ac:dyDescent="0.45">
      <c r="N2363" t="s">
        <v>27</v>
      </c>
      <c r="O2363" t="s">
        <v>4233</v>
      </c>
      <c r="P2363" t="s">
        <v>2071</v>
      </c>
      <c r="Q2363">
        <v>0.85</v>
      </c>
    </row>
    <row r="2364" spans="14:17" x14ac:dyDescent="0.45">
      <c r="N2364" t="s">
        <v>27</v>
      </c>
      <c r="O2364" t="s">
        <v>4234</v>
      </c>
      <c r="P2364" t="s">
        <v>2081</v>
      </c>
      <c r="Q2364">
        <v>0.85</v>
      </c>
    </row>
    <row r="2365" spans="14:17" x14ac:dyDescent="0.45">
      <c r="N2365" t="s">
        <v>27</v>
      </c>
      <c r="O2365" t="s">
        <v>4235</v>
      </c>
      <c r="P2365" t="s">
        <v>2068</v>
      </c>
      <c r="Q2365">
        <v>0.85</v>
      </c>
    </row>
    <row r="2366" spans="14:17" x14ac:dyDescent="0.45">
      <c r="N2366" t="s">
        <v>27</v>
      </c>
      <c r="O2366" t="s">
        <v>4236</v>
      </c>
      <c r="P2366" t="s">
        <v>2106</v>
      </c>
      <c r="Q2366">
        <v>0.85</v>
      </c>
    </row>
    <row r="2367" spans="14:17" x14ac:dyDescent="0.45">
      <c r="N2367" t="s">
        <v>27</v>
      </c>
      <c r="O2367" t="s">
        <v>4237</v>
      </c>
      <c r="P2367" t="s">
        <v>2075</v>
      </c>
      <c r="Q2367">
        <v>0.85</v>
      </c>
    </row>
    <row r="2368" spans="14:17" x14ac:dyDescent="0.45">
      <c r="N2368" t="s">
        <v>27</v>
      </c>
      <c r="O2368" t="s">
        <v>4238</v>
      </c>
      <c r="P2368" t="s">
        <v>2091</v>
      </c>
      <c r="Q2368">
        <v>0.85</v>
      </c>
    </row>
    <row r="2369" spans="14:17" x14ac:dyDescent="0.45">
      <c r="N2369" t="s">
        <v>27</v>
      </c>
      <c r="O2369" t="s">
        <v>4239</v>
      </c>
      <c r="P2369" t="s">
        <v>2081</v>
      </c>
      <c r="Q2369">
        <v>0.85</v>
      </c>
    </row>
    <row r="2370" spans="14:17" x14ac:dyDescent="0.45">
      <c r="N2370" t="s">
        <v>27</v>
      </c>
      <c r="O2370" t="s">
        <v>4240</v>
      </c>
      <c r="P2370" t="s">
        <v>2084</v>
      </c>
      <c r="Q2370">
        <v>0.85</v>
      </c>
    </row>
    <row r="2371" spans="14:17" x14ac:dyDescent="0.45">
      <c r="N2371" t="s">
        <v>27</v>
      </c>
      <c r="O2371" t="s">
        <v>4241</v>
      </c>
      <c r="P2371" t="s">
        <v>2092</v>
      </c>
      <c r="Q2371">
        <v>0.85</v>
      </c>
    </row>
    <row r="2372" spans="14:17" x14ac:dyDescent="0.45">
      <c r="N2372" t="s">
        <v>27</v>
      </c>
      <c r="O2372" t="s">
        <v>4242</v>
      </c>
      <c r="P2372" t="s">
        <v>2055</v>
      </c>
      <c r="Q2372">
        <v>0.85</v>
      </c>
    </row>
    <row r="2373" spans="14:17" x14ac:dyDescent="0.45">
      <c r="N2373" t="s">
        <v>27</v>
      </c>
      <c r="O2373" t="s">
        <v>4243</v>
      </c>
      <c r="P2373" t="s">
        <v>2052</v>
      </c>
      <c r="Q2373">
        <v>0.85</v>
      </c>
    </row>
    <row r="2374" spans="14:17" x14ac:dyDescent="0.45">
      <c r="N2374" t="s">
        <v>27</v>
      </c>
      <c r="O2374" t="s">
        <v>4244</v>
      </c>
      <c r="P2374" t="s">
        <v>2096</v>
      </c>
      <c r="Q2374">
        <v>0.85</v>
      </c>
    </row>
    <row r="2375" spans="14:17" x14ac:dyDescent="0.45">
      <c r="N2375" t="s">
        <v>27</v>
      </c>
      <c r="O2375" t="s">
        <v>4245</v>
      </c>
      <c r="P2375" t="s">
        <v>2068</v>
      </c>
      <c r="Q2375">
        <v>0.85</v>
      </c>
    </row>
    <row r="2376" spans="14:17" x14ac:dyDescent="0.45">
      <c r="N2376" t="s">
        <v>27</v>
      </c>
      <c r="O2376" t="s">
        <v>4246</v>
      </c>
      <c r="P2376" t="s">
        <v>2086</v>
      </c>
      <c r="Q2376">
        <v>0.85</v>
      </c>
    </row>
    <row r="2377" spans="14:17" x14ac:dyDescent="0.45">
      <c r="N2377" t="s">
        <v>27</v>
      </c>
      <c r="O2377" t="s">
        <v>4247</v>
      </c>
      <c r="P2377" t="s">
        <v>2076</v>
      </c>
      <c r="Q2377">
        <v>0.85</v>
      </c>
    </row>
    <row r="2378" spans="14:17" x14ac:dyDescent="0.45">
      <c r="N2378" t="s">
        <v>27</v>
      </c>
      <c r="O2378" t="s">
        <v>4248</v>
      </c>
      <c r="P2378" t="s">
        <v>2086</v>
      </c>
      <c r="Q2378">
        <v>0.85</v>
      </c>
    </row>
    <row r="2379" spans="14:17" x14ac:dyDescent="0.45">
      <c r="N2379" t="s">
        <v>27</v>
      </c>
      <c r="O2379" t="s">
        <v>4249</v>
      </c>
      <c r="P2379" t="s">
        <v>2086</v>
      </c>
      <c r="Q2379">
        <v>0.85</v>
      </c>
    </row>
    <row r="2380" spans="14:17" x14ac:dyDescent="0.45">
      <c r="N2380" t="s">
        <v>27</v>
      </c>
      <c r="O2380" t="s">
        <v>4250</v>
      </c>
      <c r="P2380" t="s">
        <v>2093</v>
      </c>
      <c r="Q2380">
        <v>0.85</v>
      </c>
    </row>
    <row r="2381" spans="14:17" x14ac:dyDescent="0.45">
      <c r="N2381" t="s">
        <v>27</v>
      </c>
      <c r="O2381" t="s">
        <v>4251</v>
      </c>
      <c r="P2381" t="s">
        <v>2059</v>
      </c>
      <c r="Q2381">
        <v>0.85</v>
      </c>
    </row>
    <row r="2382" spans="14:17" x14ac:dyDescent="0.45">
      <c r="N2382" t="s">
        <v>27</v>
      </c>
      <c r="O2382" t="s">
        <v>4252</v>
      </c>
      <c r="P2382" t="s">
        <v>2069</v>
      </c>
      <c r="Q2382">
        <v>0.85</v>
      </c>
    </row>
    <row r="2383" spans="14:17" x14ac:dyDescent="0.45">
      <c r="N2383" t="s">
        <v>27</v>
      </c>
      <c r="O2383" t="s">
        <v>4253</v>
      </c>
      <c r="P2383" t="s">
        <v>2078</v>
      </c>
      <c r="Q2383">
        <v>0.85</v>
      </c>
    </row>
    <row r="2384" spans="14:17" x14ac:dyDescent="0.45">
      <c r="N2384" t="s">
        <v>27</v>
      </c>
      <c r="O2384" t="s">
        <v>4254</v>
      </c>
      <c r="P2384" t="s">
        <v>2059</v>
      </c>
      <c r="Q2384">
        <v>0.85</v>
      </c>
    </row>
    <row r="2385" spans="14:17" x14ac:dyDescent="0.45">
      <c r="N2385" t="s">
        <v>27</v>
      </c>
      <c r="O2385" t="s">
        <v>4255</v>
      </c>
      <c r="P2385" t="s">
        <v>2056</v>
      </c>
      <c r="Q2385">
        <v>0.85</v>
      </c>
    </row>
    <row r="2386" spans="14:17" x14ac:dyDescent="0.45">
      <c r="N2386" t="s">
        <v>27</v>
      </c>
      <c r="O2386" t="s">
        <v>4256</v>
      </c>
      <c r="P2386" t="s">
        <v>2052</v>
      </c>
      <c r="Q2386">
        <v>0.85</v>
      </c>
    </row>
    <row r="2387" spans="14:17" x14ac:dyDescent="0.45">
      <c r="N2387" t="s">
        <v>27</v>
      </c>
      <c r="O2387" t="s">
        <v>4257</v>
      </c>
      <c r="P2387" t="s">
        <v>2069</v>
      </c>
      <c r="Q2387">
        <v>0.85</v>
      </c>
    </row>
    <row r="2388" spans="14:17" x14ac:dyDescent="0.45">
      <c r="N2388" t="s">
        <v>27</v>
      </c>
      <c r="O2388" t="s">
        <v>4258</v>
      </c>
      <c r="P2388" t="s">
        <v>2068</v>
      </c>
      <c r="Q2388">
        <v>0.85</v>
      </c>
    </row>
    <row r="2389" spans="14:17" x14ac:dyDescent="0.45">
      <c r="N2389" t="s">
        <v>27</v>
      </c>
      <c r="O2389" t="s">
        <v>4259</v>
      </c>
      <c r="P2389" t="s">
        <v>2055</v>
      </c>
      <c r="Q2389">
        <v>0.85</v>
      </c>
    </row>
    <row r="2390" spans="14:17" x14ac:dyDescent="0.45">
      <c r="N2390" t="s">
        <v>27</v>
      </c>
      <c r="O2390" t="s">
        <v>4260</v>
      </c>
      <c r="P2390" t="s">
        <v>2052</v>
      </c>
      <c r="Q2390">
        <v>0.85</v>
      </c>
    </row>
    <row r="2391" spans="14:17" x14ac:dyDescent="0.45">
      <c r="N2391" t="s">
        <v>27</v>
      </c>
      <c r="O2391" t="s">
        <v>4261</v>
      </c>
      <c r="P2391" t="s">
        <v>2103</v>
      </c>
      <c r="Q2391">
        <v>0.85</v>
      </c>
    </row>
    <row r="2392" spans="14:17" x14ac:dyDescent="0.45">
      <c r="N2392" t="s">
        <v>27</v>
      </c>
      <c r="O2392" t="s">
        <v>4262</v>
      </c>
      <c r="P2392" t="s">
        <v>2102</v>
      </c>
      <c r="Q2392">
        <v>0.85</v>
      </c>
    </row>
    <row r="2393" spans="14:17" x14ac:dyDescent="0.45">
      <c r="N2393" t="s">
        <v>27</v>
      </c>
      <c r="O2393" t="s">
        <v>4263</v>
      </c>
      <c r="P2393" t="s">
        <v>2104</v>
      </c>
      <c r="Q2393">
        <v>0.85</v>
      </c>
    </row>
    <row r="2394" spans="14:17" x14ac:dyDescent="0.45">
      <c r="N2394" t="s">
        <v>27</v>
      </c>
      <c r="O2394" t="s">
        <v>4264</v>
      </c>
      <c r="P2394" t="s">
        <v>2086</v>
      </c>
      <c r="Q2394">
        <v>0.85</v>
      </c>
    </row>
    <row r="2395" spans="14:17" x14ac:dyDescent="0.45">
      <c r="N2395" t="s">
        <v>27</v>
      </c>
      <c r="O2395" t="s">
        <v>4265</v>
      </c>
      <c r="P2395" t="s">
        <v>2055</v>
      </c>
      <c r="Q2395">
        <v>0.85</v>
      </c>
    </row>
    <row r="2396" spans="14:17" x14ac:dyDescent="0.45">
      <c r="N2396" t="s">
        <v>27</v>
      </c>
      <c r="O2396" t="s">
        <v>4266</v>
      </c>
      <c r="P2396" t="s">
        <v>2059</v>
      </c>
      <c r="Q2396">
        <v>0.85</v>
      </c>
    </row>
    <row r="2397" spans="14:17" x14ac:dyDescent="0.45">
      <c r="N2397" t="s">
        <v>27</v>
      </c>
      <c r="O2397" t="s">
        <v>4267</v>
      </c>
      <c r="P2397" t="s">
        <v>2078</v>
      </c>
      <c r="Q2397">
        <v>0.85</v>
      </c>
    </row>
    <row r="2398" spans="14:17" x14ac:dyDescent="0.45">
      <c r="N2398" t="s">
        <v>27</v>
      </c>
      <c r="O2398" t="s">
        <v>4268</v>
      </c>
      <c r="P2398" t="s">
        <v>2106</v>
      </c>
      <c r="Q2398">
        <v>0.85</v>
      </c>
    </row>
    <row r="2399" spans="14:17" x14ac:dyDescent="0.45">
      <c r="N2399" t="s">
        <v>27</v>
      </c>
      <c r="O2399" t="s">
        <v>4269</v>
      </c>
      <c r="P2399" t="s">
        <v>2088</v>
      </c>
      <c r="Q2399">
        <v>0.85</v>
      </c>
    </row>
    <row r="2400" spans="14:17" x14ac:dyDescent="0.45">
      <c r="N2400" t="s">
        <v>27</v>
      </c>
      <c r="O2400" t="s">
        <v>4270</v>
      </c>
      <c r="P2400" t="s">
        <v>2067</v>
      </c>
      <c r="Q2400">
        <v>0.85</v>
      </c>
    </row>
    <row r="2401" spans="14:17" x14ac:dyDescent="0.45">
      <c r="N2401" t="s">
        <v>27</v>
      </c>
      <c r="O2401" t="s">
        <v>4271</v>
      </c>
      <c r="P2401" t="s">
        <v>2069</v>
      </c>
      <c r="Q2401">
        <v>0.85</v>
      </c>
    </row>
    <row r="2402" spans="14:17" x14ac:dyDescent="0.45">
      <c r="N2402" t="s">
        <v>27</v>
      </c>
      <c r="O2402" t="s">
        <v>4272</v>
      </c>
      <c r="P2402" t="s">
        <v>2106</v>
      </c>
      <c r="Q2402">
        <v>0.85</v>
      </c>
    </row>
    <row r="2403" spans="14:17" x14ac:dyDescent="0.45">
      <c r="N2403" t="s">
        <v>27</v>
      </c>
      <c r="O2403" t="s">
        <v>4273</v>
      </c>
      <c r="P2403" t="s">
        <v>2087</v>
      </c>
      <c r="Q2403">
        <v>0.85</v>
      </c>
    </row>
    <row r="2404" spans="14:17" x14ac:dyDescent="0.45">
      <c r="N2404" t="s">
        <v>27</v>
      </c>
      <c r="O2404" t="s">
        <v>4274</v>
      </c>
      <c r="P2404" t="s">
        <v>2055</v>
      </c>
      <c r="Q2404">
        <v>0.85</v>
      </c>
    </row>
    <row r="2405" spans="14:17" x14ac:dyDescent="0.45">
      <c r="N2405" t="s">
        <v>27</v>
      </c>
      <c r="O2405" t="s">
        <v>4275</v>
      </c>
      <c r="P2405" t="s">
        <v>2103</v>
      </c>
      <c r="Q2405">
        <v>0.85</v>
      </c>
    </row>
    <row r="2406" spans="14:17" x14ac:dyDescent="0.45">
      <c r="N2406" t="s">
        <v>27</v>
      </c>
      <c r="O2406" t="s">
        <v>4276</v>
      </c>
      <c r="P2406" t="s">
        <v>2087</v>
      </c>
      <c r="Q2406">
        <v>0.85</v>
      </c>
    </row>
    <row r="2407" spans="14:17" x14ac:dyDescent="0.45">
      <c r="N2407" t="s">
        <v>27</v>
      </c>
      <c r="O2407" t="s">
        <v>4277</v>
      </c>
      <c r="P2407" t="s">
        <v>2061</v>
      </c>
      <c r="Q2407">
        <v>0.85</v>
      </c>
    </row>
    <row r="2408" spans="14:17" x14ac:dyDescent="0.45">
      <c r="N2408" t="s">
        <v>27</v>
      </c>
      <c r="O2408" t="s">
        <v>4278</v>
      </c>
      <c r="P2408" t="s">
        <v>2069</v>
      </c>
      <c r="Q2408">
        <v>0.85</v>
      </c>
    </row>
    <row r="2409" spans="14:17" x14ac:dyDescent="0.45">
      <c r="N2409" t="s">
        <v>27</v>
      </c>
      <c r="O2409" t="s">
        <v>4279</v>
      </c>
      <c r="P2409" t="s">
        <v>2086</v>
      </c>
      <c r="Q2409">
        <v>0.85</v>
      </c>
    </row>
    <row r="2410" spans="14:17" x14ac:dyDescent="0.45">
      <c r="N2410" t="s">
        <v>27</v>
      </c>
      <c r="O2410" t="s">
        <v>4280</v>
      </c>
      <c r="P2410" t="s">
        <v>2106</v>
      </c>
      <c r="Q2410">
        <v>0.85</v>
      </c>
    </row>
    <row r="2411" spans="14:17" x14ac:dyDescent="0.45">
      <c r="N2411" t="s">
        <v>27</v>
      </c>
      <c r="O2411" t="s">
        <v>4281</v>
      </c>
      <c r="P2411" t="s">
        <v>2051</v>
      </c>
      <c r="Q2411">
        <v>0.85</v>
      </c>
    </row>
    <row r="2412" spans="14:17" x14ac:dyDescent="0.45">
      <c r="N2412" t="s">
        <v>27</v>
      </c>
      <c r="O2412" t="s">
        <v>4282</v>
      </c>
      <c r="P2412" t="s">
        <v>2067</v>
      </c>
      <c r="Q2412">
        <v>0.85</v>
      </c>
    </row>
    <row r="2413" spans="14:17" x14ac:dyDescent="0.45">
      <c r="N2413" t="s">
        <v>27</v>
      </c>
      <c r="O2413" t="s">
        <v>4283</v>
      </c>
      <c r="P2413" t="s">
        <v>2081</v>
      </c>
      <c r="Q2413">
        <v>0.85</v>
      </c>
    </row>
    <row r="2414" spans="14:17" x14ac:dyDescent="0.45">
      <c r="N2414" t="s">
        <v>27</v>
      </c>
      <c r="O2414" t="s">
        <v>4284</v>
      </c>
      <c r="P2414" t="s">
        <v>2093</v>
      </c>
      <c r="Q2414">
        <v>0.85</v>
      </c>
    </row>
    <row r="2415" spans="14:17" x14ac:dyDescent="0.45">
      <c r="N2415" t="s">
        <v>27</v>
      </c>
      <c r="O2415" t="s">
        <v>4285</v>
      </c>
      <c r="P2415" t="s">
        <v>2105</v>
      </c>
      <c r="Q2415">
        <v>0.85</v>
      </c>
    </row>
    <row r="2416" spans="14:17" x14ac:dyDescent="0.45">
      <c r="N2416" t="s">
        <v>27</v>
      </c>
      <c r="O2416" t="s">
        <v>4286</v>
      </c>
      <c r="P2416" t="s">
        <v>2106</v>
      </c>
      <c r="Q2416">
        <v>0.85</v>
      </c>
    </row>
    <row r="2417" spans="14:17" x14ac:dyDescent="0.45">
      <c r="N2417" t="s">
        <v>27</v>
      </c>
      <c r="O2417" t="s">
        <v>4287</v>
      </c>
      <c r="P2417" t="s">
        <v>2097</v>
      </c>
      <c r="Q2417">
        <v>0.85</v>
      </c>
    </row>
    <row r="2418" spans="14:17" x14ac:dyDescent="0.45">
      <c r="N2418" t="s">
        <v>27</v>
      </c>
      <c r="O2418" t="s">
        <v>4288</v>
      </c>
      <c r="P2418" t="s">
        <v>2078</v>
      </c>
      <c r="Q2418">
        <v>0.85</v>
      </c>
    </row>
    <row r="2419" spans="14:17" x14ac:dyDescent="0.45">
      <c r="N2419" t="s">
        <v>27</v>
      </c>
      <c r="O2419" t="s">
        <v>4289</v>
      </c>
      <c r="P2419" t="s">
        <v>2081</v>
      </c>
      <c r="Q2419">
        <v>0.85</v>
      </c>
    </row>
    <row r="2420" spans="14:17" x14ac:dyDescent="0.45">
      <c r="N2420" t="s">
        <v>27</v>
      </c>
      <c r="O2420" t="s">
        <v>4290</v>
      </c>
      <c r="P2420" t="s">
        <v>2076</v>
      </c>
      <c r="Q2420">
        <v>0.85</v>
      </c>
    </row>
    <row r="2421" spans="14:17" x14ac:dyDescent="0.45">
      <c r="N2421" t="s">
        <v>27</v>
      </c>
      <c r="O2421" t="s">
        <v>4291</v>
      </c>
      <c r="P2421" t="s">
        <v>2089</v>
      </c>
      <c r="Q2421">
        <v>0.85</v>
      </c>
    </row>
    <row r="2422" spans="14:17" x14ac:dyDescent="0.45">
      <c r="N2422" t="s">
        <v>27</v>
      </c>
      <c r="O2422" t="s">
        <v>4292</v>
      </c>
      <c r="P2422" t="s">
        <v>2058</v>
      </c>
      <c r="Q2422">
        <v>0.85</v>
      </c>
    </row>
    <row r="2423" spans="14:17" x14ac:dyDescent="0.45">
      <c r="N2423" t="s">
        <v>27</v>
      </c>
      <c r="O2423" t="s">
        <v>4293</v>
      </c>
      <c r="P2423" t="s">
        <v>2086</v>
      </c>
      <c r="Q2423">
        <v>0.85</v>
      </c>
    </row>
    <row r="2424" spans="14:17" x14ac:dyDescent="0.45">
      <c r="N2424" t="s">
        <v>27</v>
      </c>
      <c r="O2424" t="s">
        <v>4294</v>
      </c>
      <c r="P2424" t="s">
        <v>2060</v>
      </c>
      <c r="Q2424">
        <v>0.85</v>
      </c>
    </row>
    <row r="2425" spans="14:17" x14ac:dyDescent="0.45">
      <c r="N2425" t="s">
        <v>27</v>
      </c>
      <c r="O2425" t="s">
        <v>4295</v>
      </c>
      <c r="P2425" t="s">
        <v>2102</v>
      </c>
      <c r="Q2425">
        <v>0.85</v>
      </c>
    </row>
    <row r="2426" spans="14:17" x14ac:dyDescent="0.45">
      <c r="N2426" t="s">
        <v>27</v>
      </c>
      <c r="O2426" t="s">
        <v>4296</v>
      </c>
      <c r="P2426" t="s">
        <v>2103</v>
      </c>
      <c r="Q2426">
        <v>0.85</v>
      </c>
    </row>
    <row r="2427" spans="14:17" x14ac:dyDescent="0.45">
      <c r="N2427" t="s">
        <v>27</v>
      </c>
      <c r="O2427" t="s">
        <v>4297</v>
      </c>
      <c r="P2427" t="s">
        <v>2086</v>
      </c>
      <c r="Q2427">
        <v>0.85</v>
      </c>
    </row>
    <row r="2428" spans="14:17" x14ac:dyDescent="0.45">
      <c r="N2428" t="s">
        <v>27</v>
      </c>
      <c r="O2428" t="s">
        <v>4298</v>
      </c>
      <c r="P2428" t="s">
        <v>2076</v>
      </c>
      <c r="Q2428">
        <v>0.85</v>
      </c>
    </row>
    <row r="2429" spans="14:17" x14ac:dyDescent="0.45">
      <c r="N2429" t="s">
        <v>27</v>
      </c>
      <c r="O2429" t="s">
        <v>4299</v>
      </c>
      <c r="P2429" t="s">
        <v>2092</v>
      </c>
      <c r="Q2429">
        <v>0.85</v>
      </c>
    </row>
    <row r="2430" spans="14:17" x14ac:dyDescent="0.45">
      <c r="N2430" t="s">
        <v>27</v>
      </c>
      <c r="O2430" t="s">
        <v>4300</v>
      </c>
      <c r="P2430" t="s">
        <v>2101</v>
      </c>
      <c r="Q2430">
        <v>0.85</v>
      </c>
    </row>
    <row r="2431" spans="14:17" x14ac:dyDescent="0.45">
      <c r="N2431" t="s">
        <v>27</v>
      </c>
      <c r="O2431" t="s">
        <v>4301</v>
      </c>
      <c r="P2431" t="s">
        <v>2100</v>
      </c>
      <c r="Q2431">
        <v>0.85</v>
      </c>
    </row>
    <row r="2432" spans="14:17" x14ac:dyDescent="0.45">
      <c r="N2432" t="s">
        <v>27</v>
      </c>
      <c r="O2432" t="s">
        <v>4302</v>
      </c>
      <c r="P2432" t="s">
        <v>2092</v>
      </c>
      <c r="Q2432">
        <v>0.85</v>
      </c>
    </row>
    <row r="2433" spans="14:17" x14ac:dyDescent="0.45">
      <c r="N2433" t="s">
        <v>27</v>
      </c>
      <c r="O2433" t="s">
        <v>4303</v>
      </c>
      <c r="P2433" t="s">
        <v>2106</v>
      </c>
      <c r="Q2433">
        <v>0.85</v>
      </c>
    </row>
    <row r="2434" spans="14:17" x14ac:dyDescent="0.45">
      <c r="N2434" t="s">
        <v>27</v>
      </c>
      <c r="O2434" t="s">
        <v>4304</v>
      </c>
      <c r="P2434" t="s">
        <v>2058</v>
      </c>
      <c r="Q2434">
        <v>0.85</v>
      </c>
    </row>
    <row r="2435" spans="14:17" x14ac:dyDescent="0.45">
      <c r="N2435" t="s">
        <v>27</v>
      </c>
      <c r="O2435" t="s">
        <v>4305</v>
      </c>
      <c r="P2435" t="s">
        <v>2081</v>
      </c>
      <c r="Q2435">
        <v>0.85</v>
      </c>
    </row>
    <row r="2436" spans="14:17" x14ac:dyDescent="0.45">
      <c r="N2436" t="s">
        <v>27</v>
      </c>
      <c r="O2436" t="s">
        <v>4306</v>
      </c>
      <c r="P2436" t="s">
        <v>2098</v>
      </c>
      <c r="Q2436">
        <v>0.85</v>
      </c>
    </row>
    <row r="2437" spans="14:17" x14ac:dyDescent="0.45">
      <c r="N2437" t="s">
        <v>27</v>
      </c>
      <c r="O2437" t="s">
        <v>4307</v>
      </c>
      <c r="P2437" t="s">
        <v>2086</v>
      </c>
      <c r="Q2437">
        <v>0.85</v>
      </c>
    </row>
    <row r="2438" spans="14:17" x14ac:dyDescent="0.45">
      <c r="N2438" t="s">
        <v>27</v>
      </c>
      <c r="O2438" t="s">
        <v>4308</v>
      </c>
      <c r="P2438" t="s">
        <v>2073</v>
      </c>
      <c r="Q2438">
        <v>0.85</v>
      </c>
    </row>
    <row r="2439" spans="14:17" x14ac:dyDescent="0.45">
      <c r="N2439" t="s">
        <v>27</v>
      </c>
      <c r="O2439" t="s">
        <v>4309</v>
      </c>
      <c r="P2439" t="s">
        <v>2053</v>
      </c>
      <c r="Q2439">
        <v>0.85</v>
      </c>
    </row>
    <row r="2440" spans="14:17" x14ac:dyDescent="0.45">
      <c r="N2440" t="s">
        <v>27</v>
      </c>
      <c r="O2440" t="s">
        <v>4310</v>
      </c>
      <c r="P2440" t="s">
        <v>2084</v>
      </c>
      <c r="Q2440">
        <v>0.85</v>
      </c>
    </row>
    <row r="2441" spans="14:17" x14ac:dyDescent="0.45">
      <c r="N2441" t="s">
        <v>27</v>
      </c>
      <c r="O2441" t="s">
        <v>4311</v>
      </c>
      <c r="P2441" t="s">
        <v>2099</v>
      </c>
      <c r="Q2441">
        <v>0.85</v>
      </c>
    </row>
    <row r="2442" spans="14:17" x14ac:dyDescent="0.45">
      <c r="N2442" t="s">
        <v>27</v>
      </c>
      <c r="O2442" t="s">
        <v>4312</v>
      </c>
      <c r="P2442" t="s">
        <v>2057</v>
      </c>
      <c r="Q2442">
        <v>0.85</v>
      </c>
    </row>
    <row r="2443" spans="14:17" x14ac:dyDescent="0.45">
      <c r="N2443" t="s">
        <v>27</v>
      </c>
      <c r="O2443" t="s">
        <v>4313</v>
      </c>
      <c r="P2443" t="s">
        <v>2081</v>
      </c>
      <c r="Q2443">
        <v>0.85</v>
      </c>
    </row>
    <row r="2444" spans="14:17" x14ac:dyDescent="0.45">
      <c r="N2444" t="s">
        <v>27</v>
      </c>
      <c r="O2444" t="s">
        <v>4314</v>
      </c>
      <c r="P2444" t="s">
        <v>2092</v>
      </c>
      <c r="Q2444">
        <v>0.85</v>
      </c>
    </row>
    <row r="2445" spans="14:17" x14ac:dyDescent="0.45">
      <c r="N2445" t="s">
        <v>27</v>
      </c>
      <c r="O2445" t="s">
        <v>4315</v>
      </c>
      <c r="P2445" t="s">
        <v>2089</v>
      </c>
      <c r="Q2445">
        <v>0.85</v>
      </c>
    </row>
    <row r="2446" spans="14:17" x14ac:dyDescent="0.45">
      <c r="N2446" t="s">
        <v>27</v>
      </c>
      <c r="O2446" t="s">
        <v>4316</v>
      </c>
      <c r="P2446" t="s">
        <v>2103</v>
      </c>
      <c r="Q2446">
        <v>0.85</v>
      </c>
    </row>
    <row r="2447" spans="14:17" x14ac:dyDescent="0.45">
      <c r="N2447" t="s">
        <v>27</v>
      </c>
      <c r="O2447" t="s">
        <v>4317</v>
      </c>
      <c r="P2447" t="s">
        <v>2109</v>
      </c>
      <c r="Q2447">
        <v>0.85</v>
      </c>
    </row>
    <row r="2448" spans="14:17" x14ac:dyDescent="0.45">
      <c r="N2448" t="s">
        <v>27</v>
      </c>
      <c r="O2448" t="s">
        <v>4318</v>
      </c>
      <c r="P2448" t="s">
        <v>2095</v>
      </c>
      <c r="Q2448">
        <v>0.85</v>
      </c>
    </row>
    <row r="2449" spans="14:17" x14ac:dyDescent="0.45">
      <c r="N2449" t="s">
        <v>27</v>
      </c>
      <c r="O2449" t="s">
        <v>4319</v>
      </c>
      <c r="P2449" t="s">
        <v>2059</v>
      </c>
      <c r="Q2449">
        <v>0.85</v>
      </c>
    </row>
    <row r="2450" spans="14:17" x14ac:dyDescent="0.45">
      <c r="N2450" t="s">
        <v>27</v>
      </c>
      <c r="O2450" t="s">
        <v>4320</v>
      </c>
      <c r="P2450" t="s">
        <v>2086</v>
      </c>
      <c r="Q2450">
        <v>0.85</v>
      </c>
    </row>
    <row r="2451" spans="14:17" x14ac:dyDescent="0.45">
      <c r="N2451" t="s">
        <v>27</v>
      </c>
      <c r="O2451" t="s">
        <v>4321</v>
      </c>
      <c r="P2451" t="s">
        <v>2105</v>
      </c>
      <c r="Q2451">
        <v>0.85</v>
      </c>
    </row>
    <row r="2452" spans="14:17" x14ac:dyDescent="0.45">
      <c r="N2452" t="s">
        <v>27</v>
      </c>
      <c r="O2452" t="s">
        <v>4322</v>
      </c>
      <c r="P2452" t="s">
        <v>2082</v>
      </c>
      <c r="Q2452">
        <v>0.85</v>
      </c>
    </row>
    <row r="2453" spans="14:17" x14ac:dyDescent="0.45">
      <c r="N2453" t="s">
        <v>27</v>
      </c>
      <c r="O2453" t="s">
        <v>4323</v>
      </c>
      <c r="P2453" t="s">
        <v>2089</v>
      </c>
      <c r="Q2453">
        <v>0.85</v>
      </c>
    </row>
    <row r="2454" spans="14:17" x14ac:dyDescent="0.45">
      <c r="N2454" t="s">
        <v>27</v>
      </c>
      <c r="O2454" t="s">
        <v>4324</v>
      </c>
      <c r="P2454" t="s">
        <v>2081</v>
      </c>
      <c r="Q2454">
        <v>0.85</v>
      </c>
    </row>
    <row r="2455" spans="14:17" x14ac:dyDescent="0.45">
      <c r="N2455" t="s">
        <v>27</v>
      </c>
      <c r="O2455" t="s">
        <v>4325</v>
      </c>
      <c r="P2455" t="s">
        <v>2106</v>
      </c>
      <c r="Q2455">
        <v>0.85</v>
      </c>
    </row>
    <row r="2456" spans="14:17" x14ac:dyDescent="0.45">
      <c r="N2456" t="s">
        <v>27</v>
      </c>
      <c r="O2456" t="s">
        <v>4326</v>
      </c>
      <c r="P2456" t="s">
        <v>2082</v>
      </c>
      <c r="Q2456">
        <v>0.85</v>
      </c>
    </row>
    <row r="2457" spans="14:17" x14ac:dyDescent="0.45">
      <c r="N2457" t="s">
        <v>27</v>
      </c>
      <c r="O2457" t="s">
        <v>4327</v>
      </c>
      <c r="P2457" t="s">
        <v>2086</v>
      </c>
      <c r="Q2457">
        <v>0.85</v>
      </c>
    </row>
    <row r="2458" spans="14:17" x14ac:dyDescent="0.45">
      <c r="N2458" t="s">
        <v>27</v>
      </c>
      <c r="O2458" t="s">
        <v>4328</v>
      </c>
      <c r="P2458" t="s">
        <v>2075</v>
      </c>
      <c r="Q2458">
        <v>0.85</v>
      </c>
    </row>
    <row r="2459" spans="14:17" x14ac:dyDescent="0.45">
      <c r="N2459" t="s">
        <v>27</v>
      </c>
      <c r="O2459" t="s">
        <v>4329</v>
      </c>
      <c r="P2459" t="s">
        <v>2106</v>
      </c>
      <c r="Q2459">
        <v>0.85</v>
      </c>
    </row>
    <row r="2460" spans="14:17" x14ac:dyDescent="0.45">
      <c r="N2460" t="s">
        <v>27</v>
      </c>
      <c r="O2460" t="s">
        <v>4330</v>
      </c>
      <c r="P2460" t="s">
        <v>2106</v>
      </c>
      <c r="Q2460">
        <v>0.85</v>
      </c>
    </row>
    <row r="2461" spans="14:17" x14ac:dyDescent="0.45">
      <c r="N2461" t="s">
        <v>27</v>
      </c>
      <c r="O2461" t="s">
        <v>4331</v>
      </c>
      <c r="P2461" t="s">
        <v>2055</v>
      </c>
      <c r="Q2461">
        <v>0.85</v>
      </c>
    </row>
    <row r="2462" spans="14:17" x14ac:dyDescent="0.45">
      <c r="N2462" t="s">
        <v>27</v>
      </c>
      <c r="O2462" t="s">
        <v>4332</v>
      </c>
      <c r="P2462" t="s">
        <v>2068</v>
      </c>
      <c r="Q2462">
        <v>0.85</v>
      </c>
    </row>
    <row r="2463" spans="14:17" x14ac:dyDescent="0.45">
      <c r="N2463" t="s">
        <v>27</v>
      </c>
      <c r="O2463" t="s">
        <v>4333</v>
      </c>
      <c r="P2463" t="s">
        <v>2056</v>
      </c>
      <c r="Q2463">
        <v>0.85</v>
      </c>
    </row>
    <row r="2464" spans="14:17" x14ac:dyDescent="0.45">
      <c r="N2464" t="s">
        <v>27</v>
      </c>
      <c r="O2464" t="s">
        <v>4334</v>
      </c>
      <c r="P2464" t="s">
        <v>2101</v>
      </c>
      <c r="Q2464">
        <v>0.85</v>
      </c>
    </row>
    <row r="2465" spans="14:17" x14ac:dyDescent="0.45">
      <c r="N2465" t="s">
        <v>27</v>
      </c>
      <c r="O2465" t="s">
        <v>4335</v>
      </c>
      <c r="P2465" t="s">
        <v>2077</v>
      </c>
      <c r="Q2465">
        <v>0.85</v>
      </c>
    </row>
    <row r="2466" spans="14:17" x14ac:dyDescent="0.45">
      <c r="N2466" t="s">
        <v>27</v>
      </c>
      <c r="O2466" t="s">
        <v>4336</v>
      </c>
      <c r="P2466" t="s">
        <v>2075</v>
      </c>
      <c r="Q2466">
        <v>0.85</v>
      </c>
    </row>
    <row r="2467" spans="14:17" x14ac:dyDescent="0.45">
      <c r="N2467" t="s">
        <v>27</v>
      </c>
      <c r="O2467" t="s">
        <v>4337</v>
      </c>
      <c r="P2467" t="s">
        <v>2089</v>
      </c>
      <c r="Q2467">
        <v>0.85</v>
      </c>
    </row>
    <row r="2468" spans="14:17" x14ac:dyDescent="0.45">
      <c r="N2468" t="s">
        <v>27</v>
      </c>
      <c r="O2468" t="s">
        <v>4338</v>
      </c>
      <c r="P2468" t="s">
        <v>2071</v>
      </c>
      <c r="Q2468">
        <v>0.85</v>
      </c>
    </row>
    <row r="2469" spans="14:17" x14ac:dyDescent="0.45">
      <c r="N2469" t="s">
        <v>27</v>
      </c>
      <c r="O2469" t="s">
        <v>4339</v>
      </c>
      <c r="P2469" t="s">
        <v>2063</v>
      </c>
      <c r="Q2469">
        <v>0.85</v>
      </c>
    </row>
    <row r="2470" spans="14:17" x14ac:dyDescent="0.45">
      <c r="N2470" t="s">
        <v>27</v>
      </c>
      <c r="O2470" t="s">
        <v>4340</v>
      </c>
      <c r="P2470" t="s">
        <v>2086</v>
      </c>
      <c r="Q2470">
        <v>0.85</v>
      </c>
    </row>
    <row r="2471" spans="14:17" x14ac:dyDescent="0.45">
      <c r="N2471" t="s">
        <v>27</v>
      </c>
      <c r="O2471" t="s">
        <v>4341</v>
      </c>
      <c r="P2471" t="s">
        <v>2051</v>
      </c>
      <c r="Q2471">
        <v>0.85</v>
      </c>
    </row>
    <row r="2472" spans="14:17" x14ac:dyDescent="0.45">
      <c r="N2472" t="s">
        <v>27</v>
      </c>
      <c r="O2472" t="s">
        <v>4342</v>
      </c>
      <c r="P2472" t="s">
        <v>2059</v>
      </c>
      <c r="Q2472">
        <v>0.85</v>
      </c>
    </row>
    <row r="2473" spans="14:17" x14ac:dyDescent="0.45">
      <c r="N2473" t="s">
        <v>27</v>
      </c>
      <c r="O2473" t="s">
        <v>4343</v>
      </c>
      <c r="P2473" t="s">
        <v>2069</v>
      </c>
      <c r="Q2473">
        <v>0.85</v>
      </c>
    </row>
    <row r="2474" spans="14:17" x14ac:dyDescent="0.45">
      <c r="N2474" t="s">
        <v>27</v>
      </c>
      <c r="O2474" t="s">
        <v>4344</v>
      </c>
      <c r="P2474" t="s">
        <v>2096</v>
      </c>
      <c r="Q2474">
        <v>0.85</v>
      </c>
    </row>
    <row r="2475" spans="14:17" x14ac:dyDescent="0.45">
      <c r="N2475" t="s">
        <v>27</v>
      </c>
      <c r="O2475" t="s">
        <v>4345</v>
      </c>
      <c r="P2475" t="s">
        <v>2107</v>
      </c>
      <c r="Q2475">
        <v>0.85</v>
      </c>
    </row>
    <row r="2476" spans="14:17" x14ac:dyDescent="0.45">
      <c r="N2476" t="s">
        <v>27</v>
      </c>
      <c r="O2476" t="s">
        <v>4346</v>
      </c>
      <c r="P2476" t="s">
        <v>2103</v>
      </c>
      <c r="Q2476">
        <v>0.85</v>
      </c>
    </row>
    <row r="2477" spans="14:17" x14ac:dyDescent="0.45">
      <c r="N2477" t="s">
        <v>27</v>
      </c>
      <c r="O2477" t="s">
        <v>4347</v>
      </c>
      <c r="P2477" t="s">
        <v>2074</v>
      </c>
      <c r="Q2477">
        <v>0.85</v>
      </c>
    </row>
    <row r="2478" spans="14:17" x14ac:dyDescent="0.45">
      <c r="N2478" t="s">
        <v>27</v>
      </c>
      <c r="O2478" t="s">
        <v>4348</v>
      </c>
      <c r="P2478" t="s">
        <v>2081</v>
      </c>
      <c r="Q2478">
        <v>0.85</v>
      </c>
    </row>
    <row r="2479" spans="14:17" x14ac:dyDescent="0.45">
      <c r="N2479" t="s">
        <v>27</v>
      </c>
      <c r="O2479" t="s">
        <v>4349</v>
      </c>
      <c r="P2479" t="s">
        <v>2052</v>
      </c>
      <c r="Q2479">
        <v>0.85</v>
      </c>
    </row>
    <row r="2480" spans="14:17" x14ac:dyDescent="0.45">
      <c r="N2480" t="s">
        <v>27</v>
      </c>
      <c r="O2480" t="s">
        <v>4350</v>
      </c>
      <c r="P2480" t="s">
        <v>2096</v>
      </c>
      <c r="Q2480">
        <v>0.85</v>
      </c>
    </row>
    <row r="2481" spans="14:17" x14ac:dyDescent="0.45">
      <c r="N2481" t="s">
        <v>27</v>
      </c>
      <c r="O2481" t="s">
        <v>4351</v>
      </c>
      <c r="P2481" t="s">
        <v>2071</v>
      </c>
      <c r="Q2481">
        <v>0.85</v>
      </c>
    </row>
    <row r="2482" spans="14:17" x14ac:dyDescent="0.45">
      <c r="N2482" t="s">
        <v>27</v>
      </c>
      <c r="O2482" t="s">
        <v>4352</v>
      </c>
      <c r="P2482" t="s">
        <v>2059</v>
      </c>
      <c r="Q2482">
        <v>0.85</v>
      </c>
    </row>
    <row r="2483" spans="14:17" x14ac:dyDescent="0.45">
      <c r="N2483" t="s">
        <v>27</v>
      </c>
      <c r="O2483" t="s">
        <v>4353</v>
      </c>
      <c r="P2483" t="s">
        <v>2056</v>
      </c>
      <c r="Q2483">
        <v>0.85</v>
      </c>
    </row>
    <row r="2484" spans="14:17" x14ac:dyDescent="0.45">
      <c r="N2484" t="s">
        <v>27</v>
      </c>
      <c r="O2484" t="s">
        <v>4354</v>
      </c>
      <c r="P2484" t="s">
        <v>2076</v>
      </c>
      <c r="Q2484">
        <v>0.85</v>
      </c>
    </row>
    <row r="2485" spans="14:17" x14ac:dyDescent="0.45">
      <c r="N2485" t="s">
        <v>27</v>
      </c>
      <c r="O2485" t="s">
        <v>4355</v>
      </c>
      <c r="P2485" t="s">
        <v>2059</v>
      </c>
      <c r="Q2485">
        <v>0.85</v>
      </c>
    </row>
    <row r="2486" spans="14:17" x14ac:dyDescent="0.45">
      <c r="N2486" t="s">
        <v>27</v>
      </c>
      <c r="O2486" t="s">
        <v>4356</v>
      </c>
      <c r="P2486" t="s">
        <v>2081</v>
      </c>
      <c r="Q2486">
        <v>0.85</v>
      </c>
    </row>
    <row r="2487" spans="14:17" x14ac:dyDescent="0.45">
      <c r="N2487" t="s">
        <v>27</v>
      </c>
      <c r="O2487" t="s">
        <v>4357</v>
      </c>
      <c r="P2487" t="s">
        <v>2089</v>
      </c>
      <c r="Q2487">
        <v>0.85</v>
      </c>
    </row>
    <row r="2488" spans="14:17" x14ac:dyDescent="0.45">
      <c r="N2488" t="s">
        <v>27</v>
      </c>
      <c r="O2488" t="s">
        <v>4358</v>
      </c>
      <c r="P2488" t="s">
        <v>2069</v>
      </c>
      <c r="Q2488">
        <v>0.85</v>
      </c>
    </row>
    <row r="2489" spans="14:17" x14ac:dyDescent="0.45">
      <c r="N2489" t="s">
        <v>27</v>
      </c>
      <c r="O2489" t="s">
        <v>4359</v>
      </c>
      <c r="P2489" t="s">
        <v>2081</v>
      </c>
      <c r="Q2489">
        <v>0.85</v>
      </c>
    </row>
    <row r="2490" spans="14:17" x14ac:dyDescent="0.45">
      <c r="N2490" t="s">
        <v>27</v>
      </c>
      <c r="O2490" t="s">
        <v>4360</v>
      </c>
      <c r="P2490" t="s">
        <v>2107</v>
      </c>
      <c r="Q2490">
        <v>0.85</v>
      </c>
    </row>
    <row r="2491" spans="14:17" x14ac:dyDescent="0.45">
      <c r="N2491" t="s">
        <v>27</v>
      </c>
      <c r="O2491" t="s">
        <v>4361</v>
      </c>
      <c r="P2491" t="s">
        <v>2105</v>
      </c>
      <c r="Q2491">
        <v>0.85</v>
      </c>
    </row>
    <row r="2492" spans="14:17" x14ac:dyDescent="0.45">
      <c r="N2492" t="s">
        <v>27</v>
      </c>
      <c r="O2492" t="s">
        <v>4362</v>
      </c>
      <c r="P2492" t="s">
        <v>2080</v>
      </c>
      <c r="Q2492">
        <v>0.85</v>
      </c>
    </row>
    <row r="2493" spans="14:17" x14ac:dyDescent="0.45">
      <c r="N2493" t="s">
        <v>27</v>
      </c>
      <c r="O2493" t="s">
        <v>4363</v>
      </c>
      <c r="P2493" t="s">
        <v>2075</v>
      </c>
      <c r="Q2493">
        <v>0.85</v>
      </c>
    </row>
    <row r="2494" spans="14:17" x14ac:dyDescent="0.45">
      <c r="N2494" t="s">
        <v>27</v>
      </c>
      <c r="O2494" t="s">
        <v>4364</v>
      </c>
      <c r="P2494" t="s">
        <v>2089</v>
      </c>
      <c r="Q2494">
        <v>0.95</v>
      </c>
    </row>
    <row r="2495" spans="14:17" x14ac:dyDescent="0.45">
      <c r="N2495" t="s">
        <v>27</v>
      </c>
      <c r="O2495" t="s">
        <v>4365</v>
      </c>
      <c r="P2495" t="s">
        <v>2051</v>
      </c>
      <c r="Q2495">
        <v>0.95</v>
      </c>
    </row>
    <row r="2496" spans="14:17" x14ac:dyDescent="0.45">
      <c r="N2496" t="s">
        <v>27</v>
      </c>
      <c r="O2496" t="s">
        <v>4366</v>
      </c>
      <c r="P2496" t="s">
        <v>2056</v>
      </c>
      <c r="Q2496">
        <v>0.95</v>
      </c>
    </row>
    <row r="2497" spans="14:17" x14ac:dyDescent="0.45">
      <c r="N2497" t="s">
        <v>27</v>
      </c>
      <c r="O2497" t="s">
        <v>4367</v>
      </c>
      <c r="P2497" t="s">
        <v>2089</v>
      </c>
      <c r="Q2497">
        <v>0.95</v>
      </c>
    </row>
    <row r="2498" spans="14:17" x14ac:dyDescent="0.45">
      <c r="N2498" t="s">
        <v>27</v>
      </c>
      <c r="O2498" t="s">
        <v>4368</v>
      </c>
      <c r="P2498" t="s">
        <v>2051</v>
      </c>
      <c r="Q2498">
        <v>0.95</v>
      </c>
    </row>
    <row r="2499" spans="14:17" x14ac:dyDescent="0.45">
      <c r="N2499" t="s">
        <v>27</v>
      </c>
      <c r="O2499" t="s">
        <v>4369</v>
      </c>
      <c r="P2499" t="s">
        <v>2089</v>
      </c>
      <c r="Q2499">
        <v>0.95</v>
      </c>
    </row>
    <row r="2500" spans="14:17" x14ac:dyDescent="0.45">
      <c r="N2500" t="s">
        <v>27</v>
      </c>
      <c r="O2500" t="s">
        <v>4370</v>
      </c>
      <c r="P2500" t="s">
        <v>2071</v>
      </c>
      <c r="Q2500">
        <v>0.95</v>
      </c>
    </row>
    <row r="2501" spans="14:17" x14ac:dyDescent="0.45">
      <c r="N2501" t="s">
        <v>27</v>
      </c>
      <c r="O2501" t="s">
        <v>4371</v>
      </c>
      <c r="P2501" t="s">
        <v>2063</v>
      </c>
      <c r="Q2501">
        <v>0.95</v>
      </c>
    </row>
    <row r="2502" spans="14:17" x14ac:dyDescent="0.45">
      <c r="N2502" t="s">
        <v>27</v>
      </c>
      <c r="O2502" t="s">
        <v>4372</v>
      </c>
      <c r="P2502" t="s">
        <v>2071</v>
      </c>
      <c r="Q2502">
        <v>0.95</v>
      </c>
    </row>
    <row r="2503" spans="14:17" x14ac:dyDescent="0.45">
      <c r="N2503" t="s">
        <v>27</v>
      </c>
      <c r="O2503" t="s">
        <v>4373</v>
      </c>
      <c r="P2503" t="s">
        <v>2065</v>
      </c>
      <c r="Q2503">
        <v>0.95</v>
      </c>
    </row>
    <row r="2504" spans="14:17" x14ac:dyDescent="0.45">
      <c r="N2504" t="s">
        <v>27</v>
      </c>
      <c r="O2504" t="s">
        <v>4374</v>
      </c>
      <c r="P2504" t="s">
        <v>2089</v>
      </c>
      <c r="Q2504">
        <v>0.95</v>
      </c>
    </row>
    <row r="2505" spans="14:17" x14ac:dyDescent="0.45">
      <c r="N2505" t="s">
        <v>27</v>
      </c>
      <c r="O2505" t="s">
        <v>4375</v>
      </c>
      <c r="P2505" t="s">
        <v>2071</v>
      </c>
      <c r="Q2505">
        <v>0.95</v>
      </c>
    </row>
    <row r="2506" spans="14:17" x14ac:dyDescent="0.45">
      <c r="N2506" t="s">
        <v>27</v>
      </c>
      <c r="O2506" t="s">
        <v>4376</v>
      </c>
      <c r="P2506" t="s">
        <v>2089</v>
      </c>
      <c r="Q2506">
        <v>0.95</v>
      </c>
    </row>
    <row r="2507" spans="14:17" x14ac:dyDescent="0.45">
      <c r="N2507" t="s">
        <v>27</v>
      </c>
      <c r="O2507" t="s">
        <v>4377</v>
      </c>
      <c r="P2507" t="s">
        <v>2056</v>
      </c>
      <c r="Q2507">
        <v>0.95</v>
      </c>
    </row>
    <row r="2508" spans="14:17" x14ac:dyDescent="0.45">
      <c r="N2508" t="s">
        <v>27</v>
      </c>
      <c r="O2508" t="s">
        <v>4378</v>
      </c>
      <c r="P2508" t="s">
        <v>2089</v>
      </c>
      <c r="Q2508">
        <v>0.95</v>
      </c>
    </row>
    <row r="2509" spans="14:17" x14ac:dyDescent="0.45">
      <c r="N2509" t="s">
        <v>27</v>
      </c>
      <c r="O2509" t="s">
        <v>4379</v>
      </c>
      <c r="P2509" t="s">
        <v>2109</v>
      </c>
      <c r="Q2509">
        <v>0.85</v>
      </c>
    </row>
    <row r="2510" spans="14:17" x14ac:dyDescent="0.45">
      <c r="N2510" t="s">
        <v>27</v>
      </c>
      <c r="O2510" t="s">
        <v>4380</v>
      </c>
      <c r="P2510" t="s">
        <v>2103</v>
      </c>
      <c r="Q2510">
        <v>0.85</v>
      </c>
    </row>
    <row r="2511" spans="14:17" x14ac:dyDescent="0.45">
      <c r="N2511" t="s">
        <v>27</v>
      </c>
      <c r="O2511" t="s">
        <v>4381</v>
      </c>
      <c r="P2511" t="s">
        <v>2081</v>
      </c>
      <c r="Q2511">
        <v>0.85</v>
      </c>
    </row>
    <row r="2512" spans="14:17" x14ac:dyDescent="0.45">
      <c r="N2512" t="s">
        <v>27</v>
      </c>
      <c r="O2512" t="s">
        <v>4382</v>
      </c>
      <c r="P2512" t="s">
        <v>2060</v>
      </c>
      <c r="Q2512">
        <v>0.85</v>
      </c>
    </row>
    <row r="2513" spans="14:17" x14ac:dyDescent="0.45">
      <c r="N2513" t="s">
        <v>27</v>
      </c>
      <c r="O2513" t="s">
        <v>4383</v>
      </c>
      <c r="P2513" t="s">
        <v>2059</v>
      </c>
      <c r="Q2513">
        <v>0.85</v>
      </c>
    </row>
    <row r="2514" spans="14:17" x14ac:dyDescent="0.45">
      <c r="N2514" t="s">
        <v>27</v>
      </c>
      <c r="O2514" t="s">
        <v>4384</v>
      </c>
      <c r="P2514" t="s">
        <v>2106</v>
      </c>
      <c r="Q2514">
        <v>0.85</v>
      </c>
    </row>
    <row r="2515" spans="14:17" x14ac:dyDescent="0.45">
      <c r="N2515" t="s">
        <v>27</v>
      </c>
      <c r="O2515" t="s">
        <v>4385</v>
      </c>
      <c r="P2515" t="s">
        <v>2088</v>
      </c>
      <c r="Q2515">
        <v>0.85</v>
      </c>
    </row>
    <row r="2516" spans="14:17" x14ac:dyDescent="0.45">
      <c r="N2516" t="s">
        <v>27</v>
      </c>
      <c r="O2516" t="s">
        <v>4386</v>
      </c>
      <c r="P2516" t="s">
        <v>2081</v>
      </c>
      <c r="Q2516">
        <v>0.85</v>
      </c>
    </row>
    <row r="2517" spans="14:17" x14ac:dyDescent="0.45">
      <c r="N2517" t="s">
        <v>27</v>
      </c>
      <c r="O2517" t="s">
        <v>4387</v>
      </c>
      <c r="P2517" t="s">
        <v>2106</v>
      </c>
      <c r="Q2517">
        <v>0.85</v>
      </c>
    </row>
    <row r="2518" spans="14:17" x14ac:dyDescent="0.45">
      <c r="N2518" t="s">
        <v>27</v>
      </c>
      <c r="O2518" t="s">
        <v>4388</v>
      </c>
      <c r="P2518" t="s">
        <v>2087</v>
      </c>
      <c r="Q2518">
        <v>0.85</v>
      </c>
    </row>
    <row r="2519" spans="14:17" x14ac:dyDescent="0.45">
      <c r="N2519" t="s">
        <v>27</v>
      </c>
      <c r="O2519" t="s">
        <v>4389</v>
      </c>
      <c r="P2519" t="s">
        <v>2075</v>
      </c>
      <c r="Q2519">
        <v>0.85</v>
      </c>
    </row>
    <row r="2520" spans="14:17" x14ac:dyDescent="0.45">
      <c r="N2520" t="s">
        <v>27</v>
      </c>
      <c r="O2520" t="s">
        <v>4390</v>
      </c>
      <c r="P2520" t="s">
        <v>2106</v>
      </c>
      <c r="Q2520">
        <v>0.85</v>
      </c>
    </row>
    <row r="2521" spans="14:17" x14ac:dyDescent="0.45">
      <c r="N2521" t="s">
        <v>27</v>
      </c>
      <c r="O2521" t="s">
        <v>4391</v>
      </c>
      <c r="P2521" t="s">
        <v>2059</v>
      </c>
      <c r="Q2521">
        <v>0.85</v>
      </c>
    </row>
    <row r="2522" spans="14:17" x14ac:dyDescent="0.45">
      <c r="N2522" t="s">
        <v>27</v>
      </c>
      <c r="O2522" t="s">
        <v>4392</v>
      </c>
      <c r="P2522" t="s">
        <v>2086</v>
      </c>
      <c r="Q2522">
        <v>0.85</v>
      </c>
    </row>
    <row r="2523" spans="14:17" x14ac:dyDescent="0.45">
      <c r="N2523" t="s">
        <v>27</v>
      </c>
      <c r="O2523" t="s">
        <v>4393</v>
      </c>
      <c r="P2523" t="s">
        <v>2081</v>
      </c>
      <c r="Q2523">
        <v>0.85</v>
      </c>
    </row>
    <row r="2524" spans="14:17" x14ac:dyDescent="0.45">
      <c r="N2524" t="s">
        <v>27</v>
      </c>
      <c r="O2524" t="s">
        <v>4394</v>
      </c>
      <c r="P2524" t="s">
        <v>2075</v>
      </c>
      <c r="Q2524">
        <v>0.85</v>
      </c>
    </row>
    <row r="2525" spans="14:17" x14ac:dyDescent="0.45">
      <c r="N2525" t="s">
        <v>27</v>
      </c>
      <c r="O2525" t="s">
        <v>4395</v>
      </c>
      <c r="P2525" t="s">
        <v>2103</v>
      </c>
      <c r="Q2525">
        <v>0.85</v>
      </c>
    </row>
    <row r="2526" spans="14:17" x14ac:dyDescent="0.45">
      <c r="N2526" t="s">
        <v>27</v>
      </c>
      <c r="O2526" t="s">
        <v>4396</v>
      </c>
      <c r="P2526" t="s">
        <v>2087</v>
      </c>
      <c r="Q2526">
        <v>0.85</v>
      </c>
    </row>
    <row r="2527" spans="14:17" x14ac:dyDescent="0.45">
      <c r="N2527" t="s">
        <v>27</v>
      </c>
      <c r="O2527" t="s">
        <v>4397</v>
      </c>
      <c r="P2527" t="s">
        <v>2054</v>
      </c>
      <c r="Q2527">
        <v>0.85</v>
      </c>
    </row>
    <row r="2528" spans="14:17" x14ac:dyDescent="0.45">
      <c r="N2528" t="s">
        <v>27</v>
      </c>
      <c r="O2528" t="s">
        <v>4398</v>
      </c>
      <c r="P2528" t="s">
        <v>2077</v>
      </c>
      <c r="Q2528">
        <v>0.85</v>
      </c>
    </row>
    <row r="2529" spans="14:17" x14ac:dyDescent="0.45">
      <c r="N2529" t="s">
        <v>27</v>
      </c>
      <c r="O2529" t="s">
        <v>4399</v>
      </c>
      <c r="P2529" t="s">
        <v>2065</v>
      </c>
      <c r="Q2529">
        <v>0.85</v>
      </c>
    </row>
    <row r="2530" spans="14:17" x14ac:dyDescent="0.45">
      <c r="N2530" t="s">
        <v>27</v>
      </c>
      <c r="O2530" t="s">
        <v>4400</v>
      </c>
      <c r="P2530" t="s">
        <v>2099</v>
      </c>
      <c r="Q2530">
        <v>0.85</v>
      </c>
    </row>
    <row r="2531" spans="14:17" x14ac:dyDescent="0.45">
      <c r="N2531" t="s">
        <v>27</v>
      </c>
      <c r="O2531" t="s">
        <v>4401</v>
      </c>
      <c r="P2531" t="s">
        <v>2059</v>
      </c>
      <c r="Q2531">
        <v>0.85</v>
      </c>
    </row>
    <row r="2532" spans="14:17" x14ac:dyDescent="0.45">
      <c r="N2532" t="s">
        <v>27</v>
      </c>
      <c r="O2532" t="s">
        <v>4402</v>
      </c>
      <c r="P2532" t="s">
        <v>2101</v>
      </c>
      <c r="Q2532">
        <v>0.85</v>
      </c>
    </row>
    <row r="2533" spans="14:17" x14ac:dyDescent="0.45">
      <c r="N2533" t="s">
        <v>27</v>
      </c>
      <c r="O2533" t="s">
        <v>4403</v>
      </c>
      <c r="P2533" t="s">
        <v>2089</v>
      </c>
      <c r="Q2533">
        <v>0.85</v>
      </c>
    </row>
    <row r="2534" spans="14:17" x14ac:dyDescent="0.45">
      <c r="N2534" t="s">
        <v>27</v>
      </c>
      <c r="O2534" t="s">
        <v>4404</v>
      </c>
      <c r="P2534" t="s">
        <v>2088</v>
      </c>
      <c r="Q2534">
        <v>0.85</v>
      </c>
    </row>
    <row r="2535" spans="14:17" x14ac:dyDescent="0.45">
      <c r="N2535" t="s">
        <v>27</v>
      </c>
      <c r="O2535" t="s">
        <v>4405</v>
      </c>
      <c r="P2535" t="s">
        <v>2081</v>
      </c>
      <c r="Q2535">
        <v>0.85</v>
      </c>
    </row>
    <row r="2536" spans="14:17" x14ac:dyDescent="0.45">
      <c r="N2536" t="s">
        <v>27</v>
      </c>
      <c r="O2536" t="s">
        <v>4406</v>
      </c>
      <c r="P2536" t="s">
        <v>2098</v>
      </c>
      <c r="Q2536">
        <v>0.85</v>
      </c>
    </row>
    <row r="2537" spans="14:17" x14ac:dyDescent="0.45">
      <c r="N2537" t="s">
        <v>27</v>
      </c>
      <c r="O2537" t="s">
        <v>4407</v>
      </c>
      <c r="P2537" t="s">
        <v>2086</v>
      </c>
      <c r="Q2537">
        <v>0.85</v>
      </c>
    </row>
    <row r="2538" spans="14:17" x14ac:dyDescent="0.45">
      <c r="N2538" t="s">
        <v>27</v>
      </c>
      <c r="O2538" t="s">
        <v>4408</v>
      </c>
      <c r="P2538" t="s">
        <v>2106</v>
      </c>
      <c r="Q2538">
        <v>0.85</v>
      </c>
    </row>
    <row r="2539" spans="14:17" x14ac:dyDescent="0.45">
      <c r="N2539" t="s">
        <v>27</v>
      </c>
      <c r="O2539" t="s">
        <v>4409</v>
      </c>
      <c r="P2539" t="s">
        <v>2051</v>
      </c>
      <c r="Q2539">
        <v>0.85</v>
      </c>
    </row>
    <row r="2540" spans="14:17" x14ac:dyDescent="0.45">
      <c r="N2540" t="s">
        <v>27</v>
      </c>
      <c r="O2540" t="s">
        <v>4410</v>
      </c>
      <c r="P2540" t="s">
        <v>2075</v>
      </c>
      <c r="Q2540">
        <v>0.85</v>
      </c>
    </row>
    <row r="2541" spans="14:17" x14ac:dyDescent="0.45">
      <c r="N2541" t="s">
        <v>27</v>
      </c>
      <c r="O2541" t="s">
        <v>4411</v>
      </c>
      <c r="P2541" t="s">
        <v>2094</v>
      </c>
      <c r="Q2541">
        <v>0.85</v>
      </c>
    </row>
    <row r="2542" spans="14:17" x14ac:dyDescent="0.45">
      <c r="N2542" t="s">
        <v>27</v>
      </c>
      <c r="O2542" t="s">
        <v>4412</v>
      </c>
      <c r="P2542" t="s">
        <v>2106</v>
      </c>
      <c r="Q2542">
        <v>0.85</v>
      </c>
    </row>
    <row r="2543" spans="14:17" x14ac:dyDescent="0.45">
      <c r="N2543" t="s">
        <v>27</v>
      </c>
      <c r="O2543" t="s">
        <v>4413</v>
      </c>
      <c r="P2543" t="s">
        <v>2096</v>
      </c>
      <c r="Q2543">
        <v>0.85</v>
      </c>
    </row>
    <row r="2544" spans="14:17" x14ac:dyDescent="0.45">
      <c r="N2544" t="s">
        <v>27</v>
      </c>
      <c r="O2544" t="s">
        <v>4414</v>
      </c>
      <c r="P2544" t="s">
        <v>2068</v>
      </c>
      <c r="Q2544">
        <v>0.85</v>
      </c>
    </row>
    <row r="2545" spans="14:17" x14ac:dyDescent="0.45">
      <c r="N2545" t="s">
        <v>27</v>
      </c>
      <c r="O2545" t="s">
        <v>4415</v>
      </c>
      <c r="P2545" t="s">
        <v>2076</v>
      </c>
      <c r="Q2545">
        <v>0.85</v>
      </c>
    </row>
    <row r="2546" spans="14:17" x14ac:dyDescent="0.45">
      <c r="N2546" t="s">
        <v>27</v>
      </c>
      <c r="O2546" t="s">
        <v>4416</v>
      </c>
      <c r="P2546" t="s">
        <v>2075</v>
      </c>
      <c r="Q2546">
        <v>0.85</v>
      </c>
    </row>
    <row r="2547" spans="14:17" x14ac:dyDescent="0.45">
      <c r="N2547" t="s">
        <v>27</v>
      </c>
      <c r="O2547" t="s">
        <v>4417</v>
      </c>
      <c r="P2547" t="s">
        <v>2069</v>
      </c>
      <c r="Q2547">
        <v>0.85</v>
      </c>
    </row>
    <row r="2548" spans="14:17" x14ac:dyDescent="0.45">
      <c r="N2548" t="s">
        <v>27</v>
      </c>
      <c r="O2548" t="s">
        <v>4418</v>
      </c>
      <c r="P2548" t="s">
        <v>2053</v>
      </c>
      <c r="Q2548">
        <v>0.85</v>
      </c>
    </row>
    <row r="2549" spans="14:17" x14ac:dyDescent="0.45">
      <c r="N2549" t="s">
        <v>27</v>
      </c>
      <c r="O2549" t="s">
        <v>4419</v>
      </c>
      <c r="P2549" t="s">
        <v>2095</v>
      </c>
      <c r="Q2549">
        <v>0.85</v>
      </c>
    </row>
    <row r="2550" spans="14:17" x14ac:dyDescent="0.45">
      <c r="N2550" t="s">
        <v>27</v>
      </c>
      <c r="O2550" t="s">
        <v>4420</v>
      </c>
      <c r="P2550" t="s">
        <v>2102</v>
      </c>
      <c r="Q2550">
        <v>0.85</v>
      </c>
    </row>
    <row r="2551" spans="14:17" x14ac:dyDescent="0.45">
      <c r="N2551" t="s">
        <v>27</v>
      </c>
      <c r="O2551" t="s">
        <v>4421</v>
      </c>
      <c r="P2551" t="s">
        <v>2079</v>
      </c>
      <c r="Q2551">
        <v>0.85</v>
      </c>
    </row>
    <row r="2552" spans="14:17" x14ac:dyDescent="0.45">
      <c r="N2552" t="s">
        <v>27</v>
      </c>
      <c r="O2552" t="s">
        <v>4422</v>
      </c>
      <c r="P2552" t="s">
        <v>2101</v>
      </c>
      <c r="Q2552">
        <v>0.85</v>
      </c>
    </row>
    <row r="2553" spans="14:17" x14ac:dyDescent="0.45">
      <c r="N2553" t="s">
        <v>27</v>
      </c>
      <c r="O2553" t="s">
        <v>4423</v>
      </c>
      <c r="P2553" t="s">
        <v>2082</v>
      </c>
      <c r="Q2553">
        <v>0.85</v>
      </c>
    </row>
    <row r="2554" spans="14:17" x14ac:dyDescent="0.45">
      <c r="N2554" t="s">
        <v>27</v>
      </c>
      <c r="O2554" t="s">
        <v>4424</v>
      </c>
      <c r="P2554" t="s">
        <v>2078</v>
      </c>
      <c r="Q2554">
        <v>0.85</v>
      </c>
    </row>
    <row r="2555" spans="14:17" x14ac:dyDescent="0.45">
      <c r="N2555" t="s">
        <v>27</v>
      </c>
      <c r="O2555" t="s">
        <v>4425</v>
      </c>
      <c r="P2555" t="s">
        <v>2106</v>
      </c>
      <c r="Q2555">
        <v>0.85</v>
      </c>
    </row>
    <row r="2556" spans="14:17" x14ac:dyDescent="0.45">
      <c r="N2556" t="s">
        <v>27</v>
      </c>
      <c r="O2556" t="s">
        <v>4426</v>
      </c>
      <c r="P2556" t="s">
        <v>2101</v>
      </c>
      <c r="Q2556">
        <v>0.85</v>
      </c>
    </row>
    <row r="2557" spans="14:17" x14ac:dyDescent="0.45">
      <c r="N2557" t="s">
        <v>27</v>
      </c>
      <c r="O2557" t="s">
        <v>4427</v>
      </c>
      <c r="P2557" t="s">
        <v>2101</v>
      </c>
      <c r="Q2557">
        <v>0.85</v>
      </c>
    </row>
    <row r="2558" spans="14:17" x14ac:dyDescent="0.45">
      <c r="N2558" t="s">
        <v>27</v>
      </c>
      <c r="O2558" t="s">
        <v>4428</v>
      </c>
      <c r="P2558" t="s">
        <v>2051</v>
      </c>
      <c r="Q2558">
        <v>0.85</v>
      </c>
    </row>
    <row r="2559" spans="14:17" x14ac:dyDescent="0.45">
      <c r="N2559" t="s">
        <v>27</v>
      </c>
      <c r="O2559" t="s">
        <v>4429</v>
      </c>
      <c r="P2559" t="s">
        <v>2082</v>
      </c>
      <c r="Q2559">
        <v>0.85</v>
      </c>
    </row>
    <row r="2560" spans="14:17" x14ac:dyDescent="0.45">
      <c r="N2560" t="s">
        <v>27</v>
      </c>
      <c r="O2560" t="s">
        <v>4430</v>
      </c>
      <c r="P2560" t="s">
        <v>2086</v>
      </c>
      <c r="Q2560">
        <v>0.85</v>
      </c>
    </row>
    <row r="2561" spans="14:17" x14ac:dyDescent="0.45">
      <c r="N2561" t="s">
        <v>27</v>
      </c>
      <c r="O2561" t="s">
        <v>4431</v>
      </c>
      <c r="P2561" t="s">
        <v>2087</v>
      </c>
      <c r="Q2561">
        <v>0.85</v>
      </c>
    </row>
    <row r="2562" spans="14:17" x14ac:dyDescent="0.45">
      <c r="N2562" t="s">
        <v>27</v>
      </c>
      <c r="O2562" t="s">
        <v>4432</v>
      </c>
      <c r="P2562" t="s">
        <v>2106</v>
      </c>
      <c r="Q2562">
        <v>0.85</v>
      </c>
    </row>
    <row r="2563" spans="14:17" x14ac:dyDescent="0.45">
      <c r="N2563" t="s">
        <v>27</v>
      </c>
      <c r="O2563" t="s">
        <v>4433</v>
      </c>
      <c r="P2563" t="s">
        <v>2104</v>
      </c>
      <c r="Q2563">
        <v>0.85</v>
      </c>
    </row>
    <row r="2564" spans="14:17" x14ac:dyDescent="0.45">
      <c r="N2564" t="s">
        <v>27</v>
      </c>
      <c r="O2564" t="s">
        <v>4434</v>
      </c>
      <c r="P2564" t="s">
        <v>2083</v>
      </c>
      <c r="Q2564">
        <v>0.85</v>
      </c>
    </row>
    <row r="2565" spans="14:17" x14ac:dyDescent="0.45">
      <c r="N2565" t="s">
        <v>27</v>
      </c>
      <c r="O2565" t="s">
        <v>4435</v>
      </c>
      <c r="P2565" t="s">
        <v>2104</v>
      </c>
      <c r="Q2565">
        <v>0.85</v>
      </c>
    </row>
    <row r="2566" spans="14:17" x14ac:dyDescent="0.45">
      <c r="N2566" t="s">
        <v>27</v>
      </c>
      <c r="O2566" t="s">
        <v>4436</v>
      </c>
      <c r="P2566" t="s">
        <v>2092</v>
      </c>
      <c r="Q2566">
        <v>0.85</v>
      </c>
    </row>
    <row r="2567" spans="14:17" x14ac:dyDescent="0.45">
      <c r="N2567" t="s">
        <v>27</v>
      </c>
      <c r="O2567" t="s">
        <v>4437</v>
      </c>
      <c r="P2567" t="s">
        <v>2086</v>
      </c>
      <c r="Q2567">
        <v>0.85</v>
      </c>
    </row>
    <row r="2568" spans="14:17" x14ac:dyDescent="0.45">
      <c r="N2568" t="s">
        <v>27</v>
      </c>
      <c r="O2568" t="s">
        <v>4438</v>
      </c>
      <c r="P2568" t="s">
        <v>2078</v>
      </c>
      <c r="Q2568">
        <v>0.85</v>
      </c>
    </row>
    <row r="2569" spans="14:17" x14ac:dyDescent="0.45">
      <c r="N2569" t="s">
        <v>27</v>
      </c>
      <c r="O2569" t="s">
        <v>4439</v>
      </c>
      <c r="P2569" t="s">
        <v>2051</v>
      </c>
      <c r="Q2569">
        <v>0.85</v>
      </c>
    </row>
    <row r="2570" spans="14:17" x14ac:dyDescent="0.45">
      <c r="N2570" t="s">
        <v>27</v>
      </c>
      <c r="O2570" t="s">
        <v>4440</v>
      </c>
      <c r="P2570" t="s">
        <v>2060</v>
      </c>
      <c r="Q2570">
        <v>0.85</v>
      </c>
    </row>
    <row r="2571" spans="14:17" x14ac:dyDescent="0.45">
      <c r="N2571" t="s">
        <v>27</v>
      </c>
      <c r="O2571" t="s">
        <v>4441</v>
      </c>
      <c r="P2571" t="s">
        <v>2065</v>
      </c>
      <c r="Q2571">
        <v>0.85</v>
      </c>
    </row>
    <row r="2572" spans="14:17" x14ac:dyDescent="0.45">
      <c r="N2572" t="s">
        <v>27</v>
      </c>
      <c r="O2572" t="s">
        <v>4442</v>
      </c>
      <c r="P2572" t="s">
        <v>2089</v>
      </c>
      <c r="Q2572">
        <v>0.85</v>
      </c>
    </row>
    <row r="2573" spans="14:17" x14ac:dyDescent="0.45">
      <c r="N2573" t="s">
        <v>27</v>
      </c>
      <c r="O2573" t="s">
        <v>4443</v>
      </c>
      <c r="P2573" t="s">
        <v>2102</v>
      </c>
      <c r="Q2573">
        <v>0.85</v>
      </c>
    </row>
    <row r="2574" spans="14:17" x14ac:dyDescent="0.45">
      <c r="N2574" t="s">
        <v>27</v>
      </c>
      <c r="O2574" t="s">
        <v>4444</v>
      </c>
      <c r="P2574" t="s">
        <v>2075</v>
      </c>
      <c r="Q2574">
        <v>0.85</v>
      </c>
    </row>
    <row r="2575" spans="14:17" x14ac:dyDescent="0.45">
      <c r="N2575" t="s">
        <v>27</v>
      </c>
      <c r="O2575" t="s">
        <v>4445</v>
      </c>
      <c r="P2575" t="s">
        <v>2053</v>
      </c>
      <c r="Q2575">
        <v>0.85</v>
      </c>
    </row>
    <row r="2576" spans="14:17" x14ac:dyDescent="0.45">
      <c r="N2576" t="s">
        <v>27</v>
      </c>
      <c r="O2576" t="s">
        <v>4446</v>
      </c>
      <c r="P2576" t="s">
        <v>2106</v>
      </c>
      <c r="Q2576">
        <v>0.85</v>
      </c>
    </row>
    <row r="2577" spans="14:17" x14ac:dyDescent="0.45">
      <c r="N2577" t="s">
        <v>27</v>
      </c>
      <c r="O2577" t="s">
        <v>4447</v>
      </c>
      <c r="P2577" t="s">
        <v>2067</v>
      </c>
      <c r="Q2577">
        <v>0.85</v>
      </c>
    </row>
    <row r="2578" spans="14:17" x14ac:dyDescent="0.45">
      <c r="N2578" t="s">
        <v>27</v>
      </c>
      <c r="O2578" t="s">
        <v>4448</v>
      </c>
      <c r="P2578" t="s">
        <v>2103</v>
      </c>
      <c r="Q2578">
        <v>0.85</v>
      </c>
    </row>
    <row r="2579" spans="14:17" x14ac:dyDescent="0.45">
      <c r="N2579" t="s">
        <v>27</v>
      </c>
      <c r="O2579" t="s">
        <v>4449</v>
      </c>
      <c r="P2579" t="s">
        <v>2082</v>
      </c>
      <c r="Q2579">
        <v>0.85</v>
      </c>
    </row>
    <row r="2580" spans="14:17" x14ac:dyDescent="0.45">
      <c r="N2580" t="s">
        <v>27</v>
      </c>
      <c r="O2580" t="s">
        <v>4450</v>
      </c>
      <c r="P2580" t="s">
        <v>2059</v>
      </c>
      <c r="Q2580">
        <v>0.85</v>
      </c>
    </row>
    <row r="2581" spans="14:17" x14ac:dyDescent="0.45">
      <c r="N2581" t="s">
        <v>27</v>
      </c>
      <c r="O2581" t="s">
        <v>4451</v>
      </c>
      <c r="P2581" t="s">
        <v>2068</v>
      </c>
      <c r="Q2581">
        <v>0.85</v>
      </c>
    </row>
    <row r="2582" spans="14:17" x14ac:dyDescent="0.45">
      <c r="N2582" t="s">
        <v>27</v>
      </c>
      <c r="O2582" t="s">
        <v>4452</v>
      </c>
      <c r="P2582" t="s">
        <v>2107</v>
      </c>
      <c r="Q2582">
        <v>0.85</v>
      </c>
    </row>
    <row r="2583" spans="14:17" x14ac:dyDescent="0.45">
      <c r="N2583" t="s">
        <v>27</v>
      </c>
      <c r="O2583" t="s">
        <v>4453</v>
      </c>
      <c r="P2583" t="s">
        <v>2075</v>
      </c>
      <c r="Q2583">
        <v>0.85</v>
      </c>
    </row>
    <row r="2584" spans="14:17" x14ac:dyDescent="0.45">
      <c r="N2584" t="s">
        <v>27</v>
      </c>
      <c r="O2584" t="s">
        <v>4454</v>
      </c>
      <c r="P2584" t="s">
        <v>2078</v>
      </c>
      <c r="Q2584">
        <v>0.85</v>
      </c>
    </row>
    <row r="2585" spans="14:17" x14ac:dyDescent="0.45">
      <c r="N2585" t="s">
        <v>27</v>
      </c>
      <c r="O2585" t="s">
        <v>4455</v>
      </c>
      <c r="P2585" t="s">
        <v>2102</v>
      </c>
      <c r="Q2585">
        <v>0.85</v>
      </c>
    </row>
    <row r="2586" spans="14:17" x14ac:dyDescent="0.45">
      <c r="N2586" t="s">
        <v>27</v>
      </c>
      <c r="O2586" t="s">
        <v>4456</v>
      </c>
      <c r="P2586" t="s">
        <v>2101</v>
      </c>
      <c r="Q2586">
        <v>0.85</v>
      </c>
    </row>
    <row r="2587" spans="14:17" x14ac:dyDescent="0.45">
      <c r="N2587" t="s">
        <v>27</v>
      </c>
      <c r="O2587" t="s">
        <v>4457</v>
      </c>
      <c r="P2587" t="s">
        <v>2104</v>
      </c>
      <c r="Q2587">
        <v>0.85</v>
      </c>
    </row>
    <row r="2588" spans="14:17" x14ac:dyDescent="0.45">
      <c r="N2588" t="s">
        <v>27</v>
      </c>
      <c r="O2588" t="s">
        <v>4458</v>
      </c>
      <c r="P2588" t="s">
        <v>2103</v>
      </c>
      <c r="Q2588">
        <v>0.85</v>
      </c>
    </row>
    <row r="2589" spans="14:17" x14ac:dyDescent="0.45">
      <c r="N2589" t="s">
        <v>27</v>
      </c>
      <c r="O2589" t="s">
        <v>4459</v>
      </c>
      <c r="P2589" t="s">
        <v>2094</v>
      </c>
      <c r="Q2589">
        <v>0.85</v>
      </c>
    </row>
    <row r="2590" spans="14:17" x14ac:dyDescent="0.45">
      <c r="N2590" t="s">
        <v>27</v>
      </c>
      <c r="O2590" t="s">
        <v>4460</v>
      </c>
      <c r="P2590" t="s">
        <v>2071</v>
      </c>
      <c r="Q2590">
        <v>0.85</v>
      </c>
    </row>
    <row r="2591" spans="14:17" x14ac:dyDescent="0.45">
      <c r="N2591" t="s">
        <v>27</v>
      </c>
      <c r="O2591" t="s">
        <v>4461</v>
      </c>
      <c r="P2591" t="s">
        <v>2106</v>
      </c>
      <c r="Q2591">
        <v>0.85</v>
      </c>
    </row>
    <row r="2592" spans="14:17" x14ac:dyDescent="0.45">
      <c r="N2592" t="s">
        <v>27</v>
      </c>
      <c r="O2592" t="s">
        <v>4462</v>
      </c>
      <c r="P2592" t="s">
        <v>2083</v>
      </c>
      <c r="Q2592">
        <v>0.85</v>
      </c>
    </row>
    <row r="2593" spans="14:17" x14ac:dyDescent="0.45">
      <c r="N2593" t="s">
        <v>27</v>
      </c>
      <c r="O2593" t="s">
        <v>4463</v>
      </c>
      <c r="P2593" t="s">
        <v>2051</v>
      </c>
      <c r="Q2593">
        <v>0.85</v>
      </c>
    </row>
    <row r="2594" spans="14:17" x14ac:dyDescent="0.45">
      <c r="N2594" t="s">
        <v>27</v>
      </c>
      <c r="O2594" t="s">
        <v>4464</v>
      </c>
      <c r="P2594" t="s">
        <v>2065</v>
      </c>
      <c r="Q2594">
        <v>0.85</v>
      </c>
    </row>
    <row r="2595" spans="14:17" x14ac:dyDescent="0.45">
      <c r="N2595" t="s">
        <v>27</v>
      </c>
      <c r="O2595" t="s">
        <v>4465</v>
      </c>
      <c r="P2595" t="s">
        <v>2086</v>
      </c>
      <c r="Q2595">
        <v>0.85</v>
      </c>
    </row>
    <row r="2596" spans="14:17" x14ac:dyDescent="0.45">
      <c r="N2596" t="s">
        <v>27</v>
      </c>
      <c r="O2596" t="s">
        <v>4466</v>
      </c>
      <c r="P2596" t="s">
        <v>2094</v>
      </c>
      <c r="Q2596">
        <v>0.85</v>
      </c>
    </row>
    <row r="2597" spans="14:17" x14ac:dyDescent="0.45">
      <c r="N2597" t="s">
        <v>27</v>
      </c>
      <c r="O2597" t="s">
        <v>4467</v>
      </c>
      <c r="P2597" t="s">
        <v>2089</v>
      </c>
      <c r="Q2597">
        <v>0.85</v>
      </c>
    </row>
    <row r="2598" spans="14:17" x14ac:dyDescent="0.45">
      <c r="N2598" t="s">
        <v>27</v>
      </c>
      <c r="O2598" t="s">
        <v>4468</v>
      </c>
      <c r="P2598" t="s">
        <v>2106</v>
      </c>
      <c r="Q2598">
        <v>0.85</v>
      </c>
    </row>
    <row r="2599" spans="14:17" x14ac:dyDescent="0.45">
      <c r="N2599" t="s">
        <v>27</v>
      </c>
      <c r="O2599" t="s">
        <v>4469</v>
      </c>
      <c r="P2599" t="s">
        <v>2088</v>
      </c>
      <c r="Q2599">
        <v>0.85</v>
      </c>
    </row>
    <row r="2600" spans="14:17" x14ac:dyDescent="0.45">
      <c r="N2600" t="s">
        <v>27</v>
      </c>
      <c r="O2600" t="s">
        <v>4470</v>
      </c>
      <c r="P2600" t="s">
        <v>2086</v>
      </c>
      <c r="Q2600">
        <v>0.85</v>
      </c>
    </row>
    <row r="2601" spans="14:17" x14ac:dyDescent="0.45">
      <c r="N2601" t="s">
        <v>27</v>
      </c>
      <c r="O2601" t="s">
        <v>4471</v>
      </c>
      <c r="P2601" t="s">
        <v>2107</v>
      </c>
      <c r="Q2601">
        <v>0.85</v>
      </c>
    </row>
    <row r="2602" spans="14:17" x14ac:dyDescent="0.45">
      <c r="N2602" t="s">
        <v>27</v>
      </c>
      <c r="O2602" t="s">
        <v>4472</v>
      </c>
      <c r="P2602" t="s">
        <v>2096</v>
      </c>
      <c r="Q2602">
        <v>0.85</v>
      </c>
    </row>
    <row r="2603" spans="14:17" x14ac:dyDescent="0.45">
      <c r="N2603" t="s">
        <v>27</v>
      </c>
      <c r="O2603" t="s">
        <v>4473</v>
      </c>
      <c r="P2603" t="s">
        <v>2079</v>
      </c>
      <c r="Q2603">
        <v>0.85</v>
      </c>
    </row>
    <row r="2604" spans="14:17" x14ac:dyDescent="0.45">
      <c r="N2604" t="s">
        <v>27</v>
      </c>
      <c r="O2604" t="s">
        <v>4474</v>
      </c>
      <c r="P2604" t="s">
        <v>2086</v>
      </c>
      <c r="Q2604">
        <v>0.85</v>
      </c>
    </row>
    <row r="2605" spans="14:17" x14ac:dyDescent="0.45">
      <c r="N2605" t="s">
        <v>27</v>
      </c>
      <c r="O2605" t="s">
        <v>4475</v>
      </c>
      <c r="P2605" t="s">
        <v>2056</v>
      </c>
      <c r="Q2605">
        <v>0.85</v>
      </c>
    </row>
    <row r="2606" spans="14:17" x14ac:dyDescent="0.45">
      <c r="N2606" t="s">
        <v>27</v>
      </c>
      <c r="O2606" t="s">
        <v>4476</v>
      </c>
      <c r="P2606" t="s">
        <v>2086</v>
      </c>
      <c r="Q2606">
        <v>0.85</v>
      </c>
    </row>
    <row r="2607" spans="14:17" x14ac:dyDescent="0.45">
      <c r="N2607" t="s">
        <v>27</v>
      </c>
      <c r="O2607" t="s">
        <v>4477</v>
      </c>
      <c r="P2607" t="s">
        <v>2078</v>
      </c>
      <c r="Q2607">
        <v>0.85</v>
      </c>
    </row>
    <row r="2608" spans="14:17" x14ac:dyDescent="0.45">
      <c r="N2608" t="s">
        <v>27</v>
      </c>
      <c r="O2608" t="s">
        <v>4478</v>
      </c>
      <c r="P2608" t="s">
        <v>2087</v>
      </c>
      <c r="Q2608">
        <v>0.85</v>
      </c>
    </row>
    <row r="2609" spans="14:17" x14ac:dyDescent="0.45">
      <c r="N2609" t="s">
        <v>27</v>
      </c>
      <c r="O2609" t="s">
        <v>4479</v>
      </c>
      <c r="P2609" t="s">
        <v>2075</v>
      </c>
      <c r="Q2609">
        <v>0.85</v>
      </c>
    </row>
    <row r="2610" spans="14:17" x14ac:dyDescent="0.45">
      <c r="N2610" t="s">
        <v>27</v>
      </c>
      <c r="O2610" t="s">
        <v>4480</v>
      </c>
      <c r="P2610" t="s">
        <v>2052</v>
      </c>
      <c r="Q2610">
        <v>0.85</v>
      </c>
    </row>
    <row r="2611" spans="14:17" x14ac:dyDescent="0.45">
      <c r="N2611" t="s">
        <v>27</v>
      </c>
      <c r="O2611" t="s">
        <v>4481</v>
      </c>
      <c r="P2611" t="s">
        <v>2080</v>
      </c>
      <c r="Q2611">
        <v>0.85</v>
      </c>
    </row>
    <row r="2612" spans="14:17" x14ac:dyDescent="0.45">
      <c r="N2612" t="s">
        <v>27</v>
      </c>
      <c r="O2612" t="s">
        <v>4482</v>
      </c>
      <c r="P2612" t="s">
        <v>2083</v>
      </c>
      <c r="Q2612">
        <v>0.85</v>
      </c>
    </row>
    <row r="2613" spans="14:17" x14ac:dyDescent="0.45">
      <c r="N2613" t="s">
        <v>27</v>
      </c>
      <c r="O2613" t="s">
        <v>4483</v>
      </c>
      <c r="P2613" t="s">
        <v>2059</v>
      </c>
      <c r="Q2613">
        <v>0.85</v>
      </c>
    </row>
    <row r="2614" spans="14:17" x14ac:dyDescent="0.45">
      <c r="N2614" t="s">
        <v>27</v>
      </c>
      <c r="O2614" t="s">
        <v>4484</v>
      </c>
      <c r="P2614" t="s">
        <v>2063</v>
      </c>
      <c r="Q2614">
        <v>0.85</v>
      </c>
    </row>
    <row r="2615" spans="14:17" x14ac:dyDescent="0.45">
      <c r="N2615" t="s">
        <v>27</v>
      </c>
      <c r="O2615" t="s">
        <v>4485</v>
      </c>
      <c r="P2615" t="s">
        <v>2055</v>
      </c>
      <c r="Q2615">
        <v>0.85</v>
      </c>
    </row>
    <row r="2616" spans="14:17" x14ac:dyDescent="0.45">
      <c r="N2616" t="s">
        <v>27</v>
      </c>
      <c r="O2616" t="s">
        <v>4486</v>
      </c>
      <c r="P2616" t="s">
        <v>2068</v>
      </c>
      <c r="Q2616">
        <v>0.85</v>
      </c>
    </row>
    <row r="2617" spans="14:17" x14ac:dyDescent="0.45">
      <c r="N2617" t="s">
        <v>27</v>
      </c>
      <c r="O2617" t="s">
        <v>4487</v>
      </c>
      <c r="P2617" t="s">
        <v>2095</v>
      </c>
      <c r="Q2617">
        <v>0.85</v>
      </c>
    </row>
    <row r="2618" spans="14:17" x14ac:dyDescent="0.45">
      <c r="N2618" t="s">
        <v>27</v>
      </c>
      <c r="O2618" t="s">
        <v>4488</v>
      </c>
      <c r="P2618" t="s">
        <v>2106</v>
      </c>
      <c r="Q2618">
        <v>0.85</v>
      </c>
    </row>
    <row r="2619" spans="14:17" x14ac:dyDescent="0.45">
      <c r="N2619" t="s">
        <v>27</v>
      </c>
      <c r="O2619" t="s">
        <v>4489</v>
      </c>
      <c r="P2619" t="s">
        <v>2068</v>
      </c>
      <c r="Q2619">
        <v>0.85</v>
      </c>
    </row>
    <row r="2620" spans="14:17" x14ac:dyDescent="0.45">
      <c r="N2620" t="s">
        <v>27</v>
      </c>
      <c r="O2620" t="s">
        <v>4490</v>
      </c>
      <c r="P2620" t="s">
        <v>2081</v>
      </c>
      <c r="Q2620">
        <v>0.85</v>
      </c>
    </row>
    <row r="2621" spans="14:17" x14ac:dyDescent="0.45">
      <c r="N2621" t="s">
        <v>27</v>
      </c>
      <c r="O2621" t="s">
        <v>4491</v>
      </c>
      <c r="P2621" t="s">
        <v>2086</v>
      </c>
      <c r="Q2621">
        <v>0.85</v>
      </c>
    </row>
    <row r="2622" spans="14:17" x14ac:dyDescent="0.45">
      <c r="N2622" t="s">
        <v>27</v>
      </c>
      <c r="O2622" t="s">
        <v>4492</v>
      </c>
      <c r="P2622" t="s">
        <v>2056</v>
      </c>
      <c r="Q2622">
        <v>0.85</v>
      </c>
    </row>
    <row r="2623" spans="14:17" x14ac:dyDescent="0.45">
      <c r="N2623" t="s">
        <v>27</v>
      </c>
      <c r="O2623" t="s">
        <v>4493</v>
      </c>
      <c r="P2623" t="s">
        <v>2103</v>
      </c>
      <c r="Q2623">
        <v>0.85</v>
      </c>
    </row>
    <row r="2624" spans="14:17" x14ac:dyDescent="0.45">
      <c r="N2624" t="s">
        <v>27</v>
      </c>
      <c r="O2624" t="s">
        <v>4494</v>
      </c>
      <c r="P2624" t="s">
        <v>2069</v>
      </c>
      <c r="Q2624">
        <v>0.85</v>
      </c>
    </row>
    <row r="2625" spans="14:17" x14ac:dyDescent="0.45">
      <c r="N2625" t="s">
        <v>27</v>
      </c>
      <c r="O2625" t="s">
        <v>4495</v>
      </c>
      <c r="P2625" t="s">
        <v>2059</v>
      </c>
      <c r="Q2625">
        <v>0.85</v>
      </c>
    </row>
    <row r="2626" spans="14:17" x14ac:dyDescent="0.45">
      <c r="N2626" t="s">
        <v>27</v>
      </c>
      <c r="O2626" t="s">
        <v>4496</v>
      </c>
      <c r="P2626" t="s">
        <v>2101</v>
      </c>
      <c r="Q2626">
        <v>0.85</v>
      </c>
    </row>
    <row r="2627" spans="14:17" x14ac:dyDescent="0.45">
      <c r="N2627" t="s">
        <v>27</v>
      </c>
      <c r="O2627" t="s">
        <v>4497</v>
      </c>
      <c r="P2627" t="s">
        <v>2075</v>
      </c>
      <c r="Q2627">
        <v>0.85</v>
      </c>
    </row>
    <row r="2628" spans="14:17" x14ac:dyDescent="0.45">
      <c r="N2628" t="s">
        <v>27</v>
      </c>
      <c r="O2628" t="s">
        <v>4498</v>
      </c>
      <c r="P2628" t="s">
        <v>2087</v>
      </c>
      <c r="Q2628">
        <v>0.85</v>
      </c>
    </row>
    <row r="2629" spans="14:17" x14ac:dyDescent="0.45">
      <c r="N2629" t="s">
        <v>27</v>
      </c>
      <c r="O2629" t="s">
        <v>4499</v>
      </c>
      <c r="P2629" t="s">
        <v>2087</v>
      </c>
      <c r="Q2629">
        <v>0.85</v>
      </c>
    </row>
    <row r="2630" spans="14:17" x14ac:dyDescent="0.45">
      <c r="N2630" t="s">
        <v>27</v>
      </c>
      <c r="O2630" t="s">
        <v>4500</v>
      </c>
      <c r="P2630" t="s">
        <v>2106</v>
      </c>
      <c r="Q2630">
        <v>0.85</v>
      </c>
    </row>
    <row r="2631" spans="14:17" x14ac:dyDescent="0.45">
      <c r="N2631" t="s">
        <v>27</v>
      </c>
      <c r="O2631" t="s">
        <v>4501</v>
      </c>
      <c r="P2631" t="s">
        <v>2078</v>
      </c>
      <c r="Q2631">
        <v>0.85</v>
      </c>
    </row>
    <row r="2632" spans="14:17" x14ac:dyDescent="0.45">
      <c r="N2632" t="s">
        <v>27</v>
      </c>
      <c r="O2632" t="s">
        <v>4502</v>
      </c>
      <c r="P2632" t="s">
        <v>2089</v>
      </c>
      <c r="Q2632">
        <v>0.85</v>
      </c>
    </row>
    <row r="2633" spans="14:17" x14ac:dyDescent="0.45">
      <c r="N2633" t="s">
        <v>27</v>
      </c>
      <c r="O2633" t="s">
        <v>4503</v>
      </c>
      <c r="P2633" t="s">
        <v>2081</v>
      </c>
      <c r="Q2633">
        <v>0.85</v>
      </c>
    </row>
    <row r="2634" spans="14:17" x14ac:dyDescent="0.45">
      <c r="N2634" t="s">
        <v>27</v>
      </c>
      <c r="O2634" t="s">
        <v>4504</v>
      </c>
      <c r="P2634" t="s">
        <v>2088</v>
      </c>
      <c r="Q2634">
        <v>0.85</v>
      </c>
    </row>
    <row r="2635" spans="14:17" x14ac:dyDescent="0.45">
      <c r="N2635" t="s">
        <v>27</v>
      </c>
      <c r="O2635" t="s">
        <v>4505</v>
      </c>
      <c r="P2635" t="s">
        <v>2068</v>
      </c>
      <c r="Q2635">
        <v>0.85</v>
      </c>
    </row>
    <row r="2636" spans="14:17" x14ac:dyDescent="0.45">
      <c r="N2636" t="s">
        <v>27</v>
      </c>
      <c r="O2636" t="s">
        <v>4506</v>
      </c>
      <c r="P2636" t="s">
        <v>2089</v>
      </c>
      <c r="Q2636">
        <v>0.85</v>
      </c>
    </row>
    <row r="2637" spans="14:17" x14ac:dyDescent="0.45">
      <c r="N2637" t="s">
        <v>27</v>
      </c>
      <c r="O2637" t="s">
        <v>4507</v>
      </c>
      <c r="P2637" t="s">
        <v>2052</v>
      </c>
      <c r="Q2637">
        <v>0.85</v>
      </c>
    </row>
    <row r="2638" spans="14:17" x14ac:dyDescent="0.45">
      <c r="N2638" t="s">
        <v>27</v>
      </c>
      <c r="O2638" t="s">
        <v>4508</v>
      </c>
      <c r="P2638" t="s">
        <v>2053</v>
      </c>
      <c r="Q2638">
        <v>0.85</v>
      </c>
    </row>
    <row r="2639" spans="14:17" x14ac:dyDescent="0.45">
      <c r="N2639" t="s">
        <v>27</v>
      </c>
      <c r="O2639" t="s">
        <v>4509</v>
      </c>
      <c r="P2639" t="s">
        <v>2060</v>
      </c>
      <c r="Q2639">
        <v>0.85</v>
      </c>
    </row>
    <row r="2640" spans="14:17" x14ac:dyDescent="0.45">
      <c r="N2640" t="s">
        <v>27</v>
      </c>
      <c r="O2640" t="s">
        <v>4510</v>
      </c>
      <c r="P2640" t="s">
        <v>2076</v>
      </c>
      <c r="Q2640">
        <v>0.85</v>
      </c>
    </row>
    <row r="2641" spans="14:17" x14ac:dyDescent="0.45">
      <c r="N2641" t="s">
        <v>27</v>
      </c>
      <c r="O2641" t="s">
        <v>4511</v>
      </c>
      <c r="P2641" t="s">
        <v>2104</v>
      </c>
      <c r="Q2641">
        <v>0.85</v>
      </c>
    </row>
    <row r="2642" spans="14:17" x14ac:dyDescent="0.45">
      <c r="N2642" t="s">
        <v>27</v>
      </c>
      <c r="O2642" t="s">
        <v>4512</v>
      </c>
      <c r="P2642" t="s">
        <v>2082</v>
      </c>
      <c r="Q2642">
        <v>0.85</v>
      </c>
    </row>
    <row r="2643" spans="14:17" x14ac:dyDescent="0.45">
      <c r="N2643" t="s">
        <v>27</v>
      </c>
      <c r="O2643" t="s">
        <v>4513</v>
      </c>
      <c r="P2643" t="s">
        <v>2087</v>
      </c>
      <c r="Q2643">
        <v>0.85</v>
      </c>
    </row>
    <row r="2644" spans="14:17" x14ac:dyDescent="0.45">
      <c r="N2644" t="s">
        <v>27</v>
      </c>
      <c r="O2644" t="s">
        <v>4514</v>
      </c>
      <c r="P2644" t="s">
        <v>2081</v>
      </c>
      <c r="Q2644">
        <v>0.85</v>
      </c>
    </row>
    <row r="2645" spans="14:17" x14ac:dyDescent="0.45">
      <c r="N2645" t="s">
        <v>27</v>
      </c>
      <c r="O2645" t="s">
        <v>4515</v>
      </c>
      <c r="P2645" t="s">
        <v>2051</v>
      </c>
      <c r="Q2645">
        <v>0.85</v>
      </c>
    </row>
    <row r="2646" spans="14:17" x14ac:dyDescent="0.45">
      <c r="N2646" t="s">
        <v>27</v>
      </c>
      <c r="O2646" t="s">
        <v>4516</v>
      </c>
      <c r="P2646" t="s">
        <v>2081</v>
      </c>
      <c r="Q2646">
        <v>0.85</v>
      </c>
    </row>
    <row r="2647" spans="14:17" x14ac:dyDescent="0.45">
      <c r="N2647" t="s">
        <v>27</v>
      </c>
      <c r="O2647" t="s">
        <v>4517</v>
      </c>
      <c r="P2647" t="s">
        <v>2103</v>
      </c>
      <c r="Q2647">
        <v>0.85</v>
      </c>
    </row>
    <row r="2648" spans="14:17" x14ac:dyDescent="0.45">
      <c r="N2648" t="s">
        <v>27</v>
      </c>
      <c r="O2648" t="s">
        <v>4518</v>
      </c>
      <c r="P2648" t="s">
        <v>2057</v>
      </c>
      <c r="Q2648">
        <v>0.85</v>
      </c>
    </row>
    <row r="2649" spans="14:17" x14ac:dyDescent="0.45">
      <c r="N2649" t="s">
        <v>27</v>
      </c>
      <c r="O2649" t="s">
        <v>4519</v>
      </c>
      <c r="P2649" t="s">
        <v>2097</v>
      </c>
      <c r="Q2649">
        <v>0.85</v>
      </c>
    </row>
    <row r="2650" spans="14:17" x14ac:dyDescent="0.45">
      <c r="N2650" t="s">
        <v>27</v>
      </c>
      <c r="O2650" t="s">
        <v>4520</v>
      </c>
      <c r="P2650" t="s">
        <v>2088</v>
      </c>
      <c r="Q2650">
        <v>0.85</v>
      </c>
    </row>
    <row r="2651" spans="14:17" x14ac:dyDescent="0.45">
      <c r="N2651" t="s">
        <v>27</v>
      </c>
      <c r="O2651" t="s">
        <v>4521</v>
      </c>
      <c r="P2651" t="s">
        <v>2083</v>
      </c>
      <c r="Q2651">
        <v>0.85</v>
      </c>
    </row>
    <row r="2652" spans="14:17" x14ac:dyDescent="0.45">
      <c r="N2652" t="s">
        <v>27</v>
      </c>
      <c r="O2652" t="s">
        <v>4522</v>
      </c>
      <c r="P2652" t="s">
        <v>2108</v>
      </c>
      <c r="Q2652">
        <v>0.85</v>
      </c>
    </row>
    <row r="2653" spans="14:17" x14ac:dyDescent="0.45">
      <c r="N2653" t="s">
        <v>27</v>
      </c>
      <c r="O2653" t="s">
        <v>4523</v>
      </c>
      <c r="P2653" t="s">
        <v>2090</v>
      </c>
      <c r="Q2653">
        <v>0.85</v>
      </c>
    </row>
    <row r="2654" spans="14:17" x14ac:dyDescent="0.45">
      <c r="N2654" t="s">
        <v>27</v>
      </c>
      <c r="O2654" t="s">
        <v>4524</v>
      </c>
      <c r="P2654" t="s">
        <v>2086</v>
      </c>
      <c r="Q2654">
        <v>0.85</v>
      </c>
    </row>
    <row r="2655" spans="14:17" x14ac:dyDescent="0.45">
      <c r="N2655" t="s">
        <v>27</v>
      </c>
      <c r="O2655" t="s">
        <v>4525</v>
      </c>
      <c r="P2655" t="s">
        <v>2099</v>
      </c>
      <c r="Q2655">
        <v>0.85</v>
      </c>
    </row>
    <row r="2656" spans="14:17" x14ac:dyDescent="0.45">
      <c r="N2656" t="s">
        <v>27</v>
      </c>
      <c r="O2656" t="s">
        <v>4526</v>
      </c>
      <c r="P2656" t="s">
        <v>2078</v>
      </c>
      <c r="Q2656">
        <v>0.85</v>
      </c>
    </row>
    <row r="2657" spans="14:17" x14ac:dyDescent="0.45">
      <c r="N2657" t="s">
        <v>27</v>
      </c>
      <c r="O2657" t="s">
        <v>4527</v>
      </c>
      <c r="P2657" t="s">
        <v>2101</v>
      </c>
      <c r="Q2657">
        <v>0.85</v>
      </c>
    </row>
    <row r="2658" spans="14:17" x14ac:dyDescent="0.45">
      <c r="N2658" t="s">
        <v>27</v>
      </c>
      <c r="O2658" t="s">
        <v>4528</v>
      </c>
      <c r="P2658" t="s">
        <v>2087</v>
      </c>
      <c r="Q2658">
        <v>0.85</v>
      </c>
    </row>
    <row r="2659" spans="14:17" x14ac:dyDescent="0.45">
      <c r="N2659" t="s">
        <v>27</v>
      </c>
      <c r="O2659" t="s">
        <v>4529</v>
      </c>
      <c r="P2659" t="s">
        <v>2078</v>
      </c>
      <c r="Q2659">
        <v>0.85</v>
      </c>
    </row>
    <row r="2660" spans="14:17" x14ac:dyDescent="0.45">
      <c r="N2660" t="s">
        <v>27</v>
      </c>
      <c r="O2660" t="s">
        <v>4530</v>
      </c>
      <c r="P2660" t="s">
        <v>2106</v>
      </c>
      <c r="Q2660">
        <v>0.85</v>
      </c>
    </row>
    <row r="2661" spans="14:17" x14ac:dyDescent="0.45">
      <c r="N2661" t="s">
        <v>27</v>
      </c>
      <c r="O2661" t="s">
        <v>4531</v>
      </c>
      <c r="P2661" t="s">
        <v>2051</v>
      </c>
      <c r="Q2661">
        <v>0.95</v>
      </c>
    </row>
    <row r="2662" spans="14:17" x14ac:dyDescent="0.45">
      <c r="N2662" t="s">
        <v>27</v>
      </c>
      <c r="O2662" t="s">
        <v>4532</v>
      </c>
      <c r="P2662" t="s">
        <v>2058</v>
      </c>
      <c r="Q2662">
        <v>0.95</v>
      </c>
    </row>
    <row r="2663" spans="14:17" x14ac:dyDescent="0.45">
      <c r="N2663" t="s">
        <v>27</v>
      </c>
      <c r="O2663" t="s">
        <v>4533</v>
      </c>
      <c r="P2663" t="s">
        <v>2056</v>
      </c>
      <c r="Q2663">
        <v>0.95</v>
      </c>
    </row>
    <row r="2664" spans="14:17" x14ac:dyDescent="0.45">
      <c r="N2664" t="s">
        <v>27</v>
      </c>
      <c r="O2664" t="s">
        <v>4534</v>
      </c>
      <c r="P2664" t="s">
        <v>2063</v>
      </c>
      <c r="Q2664">
        <v>0.95</v>
      </c>
    </row>
    <row r="2665" spans="14:17" x14ac:dyDescent="0.45">
      <c r="N2665" t="s">
        <v>27</v>
      </c>
      <c r="O2665" t="s">
        <v>4535</v>
      </c>
      <c r="P2665" t="s">
        <v>2065</v>
      </c>
      <c r="Q2665">
        <v>0.95</v>
      </c>
    </row>
    <row r="2666" spans="14:17" x14ac:dyDescent="0.45">
      <c r="N2666" t="s">
        <v>27</v>
      </c>
      <c r="O2666" t="s">
        <v>4536</v>
      </c>
      <c r="P2666" t="s">
        <v>2065</v>
      </c>
      <c r="Q2666">
        <v>0.95</v>
      </c>
    </row>
    <row r="2667" spans="14:17" x14ac:dyDescent="0.45">
      <c r="N2667" t="s">
        <v>27</v>
      </c>
      <c r="O2667" t="s">
        <v>4537</v>
      </c>
      <c r="P2667" t="s">
        <v>2051</v>
      </c>
      <c r="Q2667">
        <v>0.95</v>
      </c>
    </row>
    <row r="2668" spans="14:17" x14ac:dyDescent="0.45">
      <c r="N2668" t="s">
        <v>27</v>
      </c>
      <c r="O2668" t="s">
        <v>4538</v>
      </c>
      <c r="P2668" t="s">
        <v>2077</v>
      </c>
      <c r="Q2668">
        <v>0.95</v>
      </c>
    </row>
    <row r="2669" spans="14:17" x14ac:dyDescent="0.45">
      <c r="N2669" t="s">
        <v>27</v>
      </c>
      <c r="O2669" t="s">
        <v>4539</v>
      </c>
      <c r="P2669" t="s">
        <v>2098</v>
      </c>
      <c r="Q2669">
        <v>0.95</v>
      </c>
    </row>
    <row r="2670" spans="14:17" x14ac:dyDescent="0.45">
      <c r="N2670" t="s">
        <v>27</v>
      </c>
      <c r="O2670" t="s">
        <v>4540</v>
      </c>
      <c r="P2670" t="s">
        <v>2089</v>
      </c>
      <c r="Q2670">
        <v>0.95</v>
      </c>
    </row>
    <row r="2671" spans="14:17" x14ac:dyDescent="0.45">
      <c r="N2671" t="s">
        <v>27</v>
      </c>
      <c r="O2671" t="s">
        <v>4541</v>
      </c>
      <c r="P2671" t="s">
        <v>2063</v>
      </c>
      <c r="Q2671">
        <v>0.95</v>
      </c>
    </row>
    <row r="2672" spans="14:17" x14ac:dyDescent="0.45">
      <c r="N2672" t="s">
        <v>27</v>
      </c>
      <c r="O2672" t="s">
        <v>4542</v>
      </c>
      <c r="P2672" t="s">
        <v>2089</v>
      </c>
      <c r="Q2672">
        <v>0.95</v>
      </c>
    </row>
    <row r="2673" spans="14:17" x14ac:dyDescent="0.45">
      <c r="N2673" t="s">
        <v>27</v>
      </c>
      <c r="O2673" t="s">
        <v>4543</v>
      </c>
      <c r="P2673" t="s">
        <v>2063</v>
      </c>
      <c r="Q2673">
        <v>0.95</v>
      </c>
    </row>
    <row r="2674" spans="14:17" x14ac:dyDescent="0.45">
      <c r="N2674" t="s">
        <v>27</v>
      </c>
      <c r="O2674" t="s">
        <v>4544</v>
      </c>
      <c r="P2674" t="s">
        <v>2065</v>
      </c>
      <c r="Q2674">
        <v>0.95</v>
      </c>
    </row>
    <row r="2675" spans="14:17" x14ac:dyDescent="0.45">
      <c r="N2675" t="s">
        <v>27</v>
      </c>
      <c r="O2675" t="s">
        <v>4545</v>
      </c>
      <c r="P2675" t="s">
        <v>2089</v>
      </c>
      <c r="Q2675">
        <v>0.95</v>
      </c>
    </row>
    <row r="2676" spans="14:17" x14ac:dyDescent="0.45">
      <c r="N2676" t="s">
        <v>27</v>
      </c>
      <c r="O2676" t="s">
        <v>4546</v>
      </c>
      <c r="P2676" t="s">
        <v>2063</v>
      </c>
      <c r="Q2676">
        <v>0.95</v>
      </c>
    </row>
    <row r="2677" spans="14:17" x14ac:dyDescent="0.45">
      <c r="N2677" t="s">
        <v>27</v>
      </c>
      <c r="O2677" t="s">
        <v>4547</v>
      </c>
      <c r="P2677" t="s">
        <v>2077</v>
      </c>
      <c r="Q2677">
        <v>0.95</v>
      </c>
    </row>
    <row r="2678" spans="14:17" x14ac:dyDescent="0.45">
      <c r="N2678" t="s">
        <v>27</v>
      </c>
      <c r="O2678" t="s">
        <v>4548</v>
      </c>
      <c r="P2678" t="s">
        <v>2089</v>
      </c>
      <c r="Q2678">
        <v>0.95</v>
      </c>
    </row>
    <row r="2679" spans="14:17" x14ac:dyDescent="0.45">
      <c r="N2679" t="s">
        <v>27</v>
      </c>
      <c r="O2679" t="s">
        <v>4549</v>
      </c>
      <c r="P2679" t="s">
        <v>2089</v>
      </c>
      <c r="Q2679">
        <v>0.95</v>
      </c>
    </row>
    <row r="2680" spans="14:17" x14ac:dyDescent="0.45">
      <c r="N2680" t="s">
        <v>27</v>
      </c>
      <c r="O2680" t="s">
        <v>4550</v>
      </c>
      <c r="P2680" t="s">
        <v>2094</v>
      </c>
      <c r="Q2680">
        <v>0.95</v>
      </c>
    </row>
    <row r="2681" spans="14:17" x14ac:dyDescent="0.45">
      <c r="N2681" t="s">
        <v>27</v>
      </c>
      <c r="O2681" t="s">
        <v>4551</v>
      </c>
      <c r="P2681" t="s">
        <v>2089</v>
      </c>
      <c r="Q2681">
        <v>0.85</v>
      </c>
    </row>
    <row r="2682" spans="14:17" x14ac:dyDescent="0.45">
      <c r="N2682" t="s">
        <v>27</v>
      </c>
      <c r="O2682" t="s">
        <v>4552</v>
      </c>
      <c r="P2682" t="s">
        <v>2080</v>
      </c>
      <c r="Q2682">
        <v>0.85</v>
      </c>
    </row>
    <row r="2683" spans="14:17" x14ac:dyDescent="0.45">
      <c r="N2683" t="s">
        <v>27</v>
      </c>
      <c r="O2683" t="s">
        <v>4553</v>
      </c>
      <c r="P2683" t="s">
        <v>2076</v>
      </c>
      <c r="Q2683">
        <v>0.85</v>
      </c>
    </row>
    <row r="2684" spans="14:17" x14ac:dyDescent="0.45">
      <c r="N2684" t="s">
        <v>27</v>
      </c>
      <c r="O2684" t="s">
        <v>4554</v>
      </c>
      <c r="P2684" t="s">
        <v>2089</v>
      </c>
      <c r="Q2684">
        <v>0.85</v>
      </c>
    </row>
    <row r="2685" spans="14:17" x14ac:dyDescent="0.45">
      <c r="N2685" t="s">
        <v>27</v>
      </c>
      <c r="O2685" t="s">
        <v>4555</v>
      </c>
      <c r="P2685" t="s">
        <v>2086</v>
      </c>
      <c r="Q2685">
        <v>0.85</v>
      </c>
    </row>
    <row r="2686" spans="14:17" x14ac:dyDescent="0.45">
      <c r="N2686" t="s">
        <v>27</v>
      </c>
      <c r="O2686" t="s">
        <v>4556</v>
      </c>
      <c r="P2686" t="s">
        <v>2092</v>
      </c>
      <c r="Q2686">
        <v>0.85</v>
      </c>
    </row>
    <row r="2687" spans="14:17" x14ac:dyDescent="0.45">
      <c r="N2687" t="s">
        <v>27</v>
      </c>
      <c r="O2687" t="s">
        <v>4557</v>
      </c>
      <c r="P2687" t="s">
        <v>2106</v>
      </c>
      <c r="Q2687">
        <v>0.85</v>
      </c>
    </row>
    <row r="2688" spans="14:17" x14ac:dyDescent="0.45">
      <c r="N2688" t="s">
        <v>27</v>
      </c>
      <c r="O2688" t="s">
        <v>4558</v>
      </c>
      <c r="P2688" t="s">
        <v>2086</v>
      </c>
      <c r="Q2688">
        <v>0.85</v>
      </c>
    </row>
    <row r="2689" spans="14:17" x14ac:dyDescent="0.45">
      <c r="N2689" t="s">
        <v>27</v>
      </c>
      <c r="O2689" t="s">
        <v>4559</v>
      </c>
      <c r="P2689" t="s">
        <v>2107</v>
      </c>
      <c r="Q2689">
        <v>0.85</v>
      </c>
    </row>
    <row r="2690" spans="14:17" x14ac:dyDescent="0.45">
      <c r="N2690" t="s">
        <v>27</v>
      </c>
      <c r="O2690" t="s">
        <v>4560</v>
      </c>
      <c r="P2690" t="s">
        <v>2103</v>
      </c>
      <c r="Q2690">
        <v>0.85</v>
      </c>
    </row>
    <row r="2691" spans="14:17" x14ac:dyDescent="0.45">
      <c r="N2691" t="s">
        <v>27</v>
      </c>
      <c r="O2691" t="s">
        <v>4561</v>
      </c>
      <c r="P2691" t="s">
        <v>2099</v>
      </c>
      <c r="Q2691">
        <v>0.85</v>
      </c>
    </row>
    <row r="2692" spans="14:17" x14ac:dyDescent="0.45">
      <c r="N2692" t="s">
        <v>27</v>
      </c>
      <c r="O2692" t="s">
        <v>4562</v>
      </c>
      <c r="P2692" t="s">
        <v>2068</v>
      </c>
      <c r="Q2692">
        <v>0.85</v>
      </c>
    </row>
    <row r="2693" spans="14:17" x14ac:dyDescent="0.45">
      <c r="N2693" t="s">
        <v>27</v>
      </c>
      <c r="O2693" t="s">
        <v>4563</v>
      </c>
      <c r="P2693" t="s">
        <v>2086</v>
      </c>
      <c r="Q2693">
        <v>0.85</v>
      </c>
    </row>
    <row r="2694" spans="14:17" x14ac:dyDescent="0.45">
      <c r="N2694" t="s">
        <v>27</v>
      </c>
      <c r="O2694" t="s">
        <v>4564</v>
      </c>
      <c r="P2694" t="s">
        <v>2106</v>
      </c>
      <c r="Q2694">
        <v>0.85</v>
      </c>
    </row>
    <row r="2695" spans="14:17" x14ac:dyDescent="0.45">
      <c r="N2695" t="s">
        <v>27</v>
      </c>
      <c r="O2695" t="s">
        <v>4565</v>
      </c>
      <c r="P2695" t="s">
        <v>2107</v>
      </c>
      <c r="Q2695">
        <v>0.85</v>
      </c>
    </row>
    <row r="2696" spans="14:17" x14ac:dyDescent="0.45">
      <c r="N2696" t="s">
        <v>27</v>
      </c>
      <c r="O2696" t="s">
        <v>4566</v>
      </c>
      <c r="P2696" t="s">
        <v>2107</v>
      </c>
      <c r="Q2696">
        <v>0.85</v>
      </c>
    </row>
    <row r="2697" spans="14:17" x14ac:dyDescent="0.45">
      <c r="N2697" t="s">
        <v>27</v>
      </c>
      <c r="O2697" t="s">
        <v>4567</v>
      </c>
      <c r="P2697" t="s">
        <v>2067</v>
      </c>
      <c r="Q2697">
        <v>0.85</v>
      </c>
    </row>
    <row r="2698" spans="14:17" x14ac:dyDescent="0.45">
      <c r="N2698" t="s">
        <v>27</v>
      </c>
      <c r="O2698" t="s">
        <v>4568</v>
      </c>
      <c r="P2698" t="s">
        <v>2086</v>
      </c>
      <c r="Q2698">
        <v>0.85</v>
      </c>
    </row>
    <row r="2699" spans="14:17" x14ac:dyDescent="0.45">
      <c r="N2699" t="s">
        <v>27</v>
      </c>
      <c r="O2699" t="s">
        <v>4569</v>
      </c>
      <c r="P2699" t="s">
        <v>2092</v>
      </c>
      <c r="Q2699">
        <v>0.85</v>
      </c>
    </row>
    <row r="2700" spans="14:17" x14ac:dyDescent="0.45">
      <c r="N2700" t="s">
        <v>27</v>
      </c>
      <c r="O2700" t="s">
        <v>4570</v>
      </c>
      <c r="P2700" t="s">
        <v>2107</v>
      </c>
      <c r="Q2700">
        <v>0.85</v>
      </c>
    </row>
    <row r="2701" spans="14:17" x14ac:dyDescent="0.45">
      <c r="N2701" t="s">
        <v>27</v>
      </c>
      <c r="O2701" t="s">
        <v>4571</v>
      </c>
      <c r="P2701" t="s">
        <v>2075</v>
      </c>
      <c r="Q2701">
        <v>0.85</v>
      </c>
    </row>
    <row r="2702" spans="14:17" x14ac:dyDescent="0.45">
      <c r="N2702" t="s">
        <v>27</v>
      </c>
      <c r="O2702" t="s">
        <v>4572</v>
      </c>
      <c r="P2702" t="s">
        <v>2070</v>
      </c>
      <c r="Q2702">
        <v>0.85</v>
      </c>
    </row>
    <row r="2703" spans="14:17" x14ac:dyDescent="0.45">
      <c r="N2703" t="s">
        <v>27</v>
      </c>
      <c r="O2703" t="s">
        <v>4573</v>
      </c>
      <c r="P2703" t="s">
        <v>2103</v>
      </c>
      <c r="Q2703">
        <v>0.85</v>
      </c>
    </row>
    <row r="2704" spans="14:17" x14ac:dyDescent="0.45">
      <c r="N2704" t="s">
        <v>27</v>
      </c>
      <c r="O2704" t="s">
        <v>4574</v>
      </c>
      <c r="P2704" t="s">
        <v>2103</v>
      </c>
      <c r="Q2704">
        <v>0.85</v>
      </c>
    </row>
    <row r="2705" spans="14:17" x14ac:dyDescent="0.45">
      <c r="N2705" t="s">
        <v>27</v>
      </c>
      <c r="O2705" t="s">
        <v>4575</v>
      </c>
      <c r="P2705" t="s">
        <v>2089</v>
      </c>
      <c r="Q2705">
        <v>0.85</v>
      </c>
    </row>
    <row r="2706" spans="14:17" x14ac:dyDescent="0.45">
      <c r="N2706" t="s">
        <v>27</v>
      </c>
      <c r="O2706" t="s">
        <v>4576</v>
      </c>
      <c r="P2706" t="s">
        <v>2107</v>
      </c>
      <c r="Q2706">
        <v>0.85</v>
      </c>
    </row>
    <row r="2707" spans="14:17" x14ac:dyDescent="0.45">
      <c r="N2707" t="s">
        <v>27</v>
      </c>
      <c r="O2707" t="s">
        <v>4577</v>
      </c>
      <c r="P2707" t="s">
        <v>2089</v>
      </c>
      <c r="Q2707">
        <v>0.85</v>
      </c>
    </row>
    <row r="2708" spans="14:17" x14ac:dyDescent="0.45">
      <c r="N2708" t="s">
        <v>27</v>
      </c>
      <c r="O2708" t="s">
        <v>4578</v>
      </c>
      <c r="P2708" t="s">
        <v>2093</v>
      </c>
      <c r="Q2708">
        <v>0.85</v>
      </c>
    </row>
    <row r="2709" spans="14:17" x14ac:dyDescent="0.45">
      <c r="N2709" t="s">
        <v>27</v>
      </c>
      <c r="O2709" t="s">
        <v>4579</v>
      </c>
      <c r="P2709" t="s">
        <v>2055</v>
      </c>
      <c r="Q2709">
        <v>0.85</v>
      </c>
    </row>
    <row r="2710" spans="14:17" x14ac:dyDescent="0.45">
      <c r="N2710" t="s">
        <v>27</v>
      </c>
      <c r="O2710" t="s">
        <v>4580</v>
      </c>
      <c r="P2710" t="s">
        <v>2098</v>
      </c>
      <c r="Q2710">
        <v>0.85</v>
      </c>
    </row>
    <row r="2711" spans="14:17" x14ac:dyDescent="0.45">
      <c r="N2711" t="s">
        <v>27</v>
      </c>
      <c r="O2711" t="s">
        <v>4581</v>
      </c>
      <c r="P2711" t="s">
        <v>2089</v>
      </c>
      <c r="Q2711">
        <v>0.85</v>
      </c>
    </row>
    <row r="2712" spans="14:17" x14ac:dyDescent="0.45">
      <c r="N2712" t="s">
        <v>27</v>
      </c>
      <c r="O2712" t="s">
        <v>4582</v>
      </c>
      <c r="P2712" t="s">
        <v>2094</v>
      </c>
      <c r="Q2712">
        <v>0.85</v>
      </c>
    </row>
    <row r="2713" spans="14:17" x14ac:dyDescent="0.45">
      <c r="N2713" t="s">
        <v>27</v>
      </c>
      <c r="O2713" t="s">
        <v>4583</v>
      </c>
      <c r="P2713" t="s">
        <v>2078</v>
      </c>
      <c r="Q2713">
        <v>0.85</v>
      </c>
    </row>
    <row r="2714" spans="14:17" x14ac:dyDescent="0.45">
      <c r="N2714" t="s">
        <v>27</v>
      </c>
      <c r="O2714" t="s">
        <v>4584</v>
      </c>
      <c r="P2714" t="s">
        <v>2059</v>
      </c>
      <c r="Q2714">
        <v>0.85</v>
      </c>
    </row>
    <row r="2715" spans="14:17" x14ac:dyDescent="0.45">
      <c r="N2715" t="s">
        <v>27</v>
      </c>
      <c r="O2715" t="s">
        <v>4585</v>
      </c>
      <c r="P2715" t="s">
        <v>2060</v>
      </c>
      <c r="Q2715">
        <v>0.85</v>
      </c>
    </row>
    <row r="2716" spans="14:17" x14ac:dyDescent="0.45">
      <c r="N2716" t="s">
        <v>27</v>
      </c>
      <c r="O2716" t="s">
        <v>4586</v>
      </c>
      <c r="P2716" t="s">
        <v>2059</v>
      </c>
      <c r="Q2716">
        <v>0.85</v>
      </c>
    </row>
    <row r="2717" spans="14:17" x14ac:dyDescent="0.45">
      <c r="N2717" t="s">
        <v>27</v>
      </c>
      <c r="O2717" t="s">
        <v>4587</v>
      </c>
      <c r="P2717" t="s">
        <v>2056</v>
      </c>
      <c r="Q2717">
        <v>0.85</v>
      </c>
    </row>
    <row r="2718" spans="14:17" x14ac:dyDescent="0.45">
      <c r="N2718" t="s">
        <v>27</v>
      </c>
      <c r="O2718" t="s">
        <v>4588</v>
      </c>
      <c r="P2718" t="s">
        <v>2097</v>
      </c>
      <c r="Q2718">
        <v>0.85</v>
      </c>
    </row>
    <row r="2719" spans="14:17" x14ac:dyDescent="0.45">
      <c r="N2719" t="s">
        <v>27</v>
      </c>
      <c r="O2719" t="s">
        <v>4589</v>
      </c>
      <c r="P2719" t="s">
        <v>2094</v>
      </c>
      <c r="Q2719">
        <v>0.85</v>
      </c>
    </row>
    <row r="2720" spans="14:17" x14ac:dyDescent="0.45">
      <c r="N2720" t="s">
        <v>27</v>
      </c>
      <c r="O2720" t="s">
        <v>4590</v>
      </c>
      <c r="P2720" t="s">
        <v>2103</v>
      </c>
      <c r="Q2720">
        <v>0.85</v>
      </c>
    </row>
    <row r="2721" spans="14:17" x14ac:dyDescent="0.45">
      <c r="N2721" t="s">
        <v>27</v>
      </c>
      <c r="O2721" t="s">
        <v>4591</v>
      </c>
      <c r="P2721" t="s">
        <v>2081</v>
      </c>
      <c r="Q2721">
        <v>0.85</v>
      </c>
    </row>
    <row r="2722" spans="14:17" x14ac:dyDescent="0.45">
      <c r="N2722" t="s">
        <v>27</v>
      </c>
      <c r="O2722" t="s">
        <v>4592</v>
      </c>
      <c r="P2722" t="s">
        <v>2054</v>
      </c>
      <c r="Q2722">
        <v>0.85</v>
      </c>
    </row>
    <row r="2723" spans="14:17" x14ac:dyDescent="0.45">
      <c r="N2723" t="s">
        <v>27</v>
      </c>
      <c r="O2723" t="s">
        <v>4593</v>
      </c>
      <c r="P2723" t="s">
        <v>2057</v>
      </c>
      <c r="Q2723">
        <v>0.85</v>
      </c>
    </row>
    <row r="2724" spans="14:17" x14ac:dyDescent="0.45">
      <c r="N2724" t="s">
        <v>27</v>
      </c>
      <c r="O2724" t="s">
        <v>4594</v>
      </c>
      <c r="P2724" t="s">
        <v>2058</v>
      </c>
      <c r="Q2724">
        <v>0.85</v>
      </c>
    </row>
    <row r="2725" spans="14:17" x14ac:dyDescent="0.45">
      <c r="N2725" t="s">
        <v>27</v>
      </c>
      <c r="O2725" t="s">
        <v>4595</v>
      </c>
      <c r="P2725" t="s">
        <v>2067</v>
      </c>
      <c r="Q2725">
        <v>0.85</v>
      </c>
    </row>
    <row r="2726" spans="14:17" x14ac:dyDescent="0.45">
      <c r="N2726" t="s">
        <v>27</v>
      </c>
      <c r="O2726" t="s">
        <v>4596</v>
      </c>
      <c r="P2726" t="s">
        <v>2106</v>
      </c>
      <c r="Q2726">
        <v>0.85</v>
      </c>
    </row>
    <row r="2727" spans="14:17" x14ac:dyDescent="0.45">
      <c r="N2727" t="s">
        <v>27</v>
      </c>
      <c r="O2727" t="s">
        <v>4597</v>
      </c>
      <c r="P2727" t="s">
        <v>2068</v>
      </c>
      <c r="Q2727">
        <v>0.85</v>
      </c>
    </row>
    <row r="2728" spans="14:17" x14ac:dyDescent="0.45">
      <c r="N2728" t="s">
        <v>27</v>
      </c>
      <c r="O2728" t="s">
        <v>4598</v>
      </c>
      <c r="P2728" t="s">
        <v>2094</v>
      </c>
      <c r="Q2728">
        <v>0.85</v>
      </c>
    </row>
    <row r="2729" spans="14:17" x14ac:dyDescent="0.45">
      <c r="N2729" t="s">
        <v>27</v>
      </c>
      <c r="O2729" t="s">
        <v>4599</v>
      </c>
      <c r="P2729" t="s">
        <v>2098</v>
      </c>
      <c r="Q2729">
        <v>0.85</v>
      </c>
    </row>
    <row r="2730" spans="14:17" x14ac:dyDescent="0.45">
      <c r="N2730" t="s">
        <v>27</v>
      </c>
      <c r="O2730" t="s">
        <v>4600</v>
      </c>
      <c r="P2730" t="s">
        <v>2103</v>
      </c>
      <c r="Q2730">
        <v>0.85</v>
      </c>
    </row>
    <row r="2731" spans="14:17" x14ac:dyDescent="0.45">
      <c r="N2731" t="s">
        <v>27</v>
      </c>
      <c r="O2731" t="s">
        <v>4601</v>
      </c>
      <c r="P2731" t="s">
        <v>2098</v>
      </c>
      <c r="Q2731">
        <v>0.85</v>
      </c>
    </row>
    <row r="2732" spans="14:17" x14ac:dyDescent="0.45">
      <c r="N2732" t="s">
        <v>27</v>
      </c>
      <c r="O2732" t="s">
        <v>4602</v>
      </c>
      <c r="P2732" t="s">
        <v>2051</v>
      </c>
      <c r="Q2732">
        <v>0.85</v>
      </c>
    </row>
    <row r="2733" spans="14:17" x14ac:dyDescent="0.45">
      <c r="N2733" t="s">
        <v>27</v>
      </c>
      <c r="O2733" t="s">
        <v>4603</v>
      </c>
      <c r="P2733" t="s">
        <v>2083</v>
      </c>
      <c r="Q2733">
        <v>0.85</v>
      </c>
    </row>
    <row r="2734" spans="14:17" x14ac:dyDescent="0.45">
      <c r="N2734" t="s">
        <v>27</v>
      </c>
      <c r="O2734" t="s">
        <v>4604</v>
      </c>
      <c r="P2734" t="s">
        <v>2067</v>
      </c>
      <c r="Q2734">
        <v>0.85</v>
      </c>
    </row>
    <row r="2735" spans="14:17" x14ac:dyDescent="0.45">
      <c r="N2735" t="s">
        <v>27</v>
      </c>
      <c r="O2735" t="s">
        <v>4605</v>
      </c>
      <c r="P2735" t="s">
        <v>2071</v>
      </c>
      <c r="Q2735">
        <v>0.85</v>
      </c>
    </row>
    <row r="2736" spans="14:17" x14ac:dyDescent="0.45">
      <c r="N2736" t="s">
        <v>27</v>
      </c>
      <c r="O2736" t="s">
        <v>4606</v>
      </c>
      <c r="P2736" t="s">
        <v>2104</v>
      </c>
      <c r="Q2736">
        <v>0.85</v>
      </c>
    </row>
    <row r="2737" spans="14:17" x14ac:dyDescent="0.45">
      <c r="N2737" t="s">
        <v>27</v>
      </c>
      <c r="O2737" t="s">
        <v>4607</v>
      </c>
      <c r="P2737" t="s">
        <v>2106</v>
      </c>
      <c r="Q2737">
        <v>0.85</v>
      </c>
    </row>
    <row r="2738" spans="14:17" x14ac:dyDescent="0.45">
      <c r="N2738" t="s">
        <v>27</v>
      </c>
      <c r="O2738" t="s">
        <v>4608</v>
      </c>
      <c r="P2738" t="s">
        <v>2093</v>
      </c>
      <c r="Q2738">
        <v>0.85</v>
      </c>
    </row>
    <row r="2739" spans="14:17" x14ac:dyDescent="0.45">
      <c r="N2739" t="s">
        <v>27</v>
      </c>
      <c r="O2739" t="s">
        <v>4609</v>
      </c>
      <c r="P2739" t="s">
        <v>2086</v>
      </c>
      <c r="Q2739">
        <v>0.85</v>
      </c>
    </row>
    <row r="2740" spans="14:17" x14ac:dyDescent="0.45">
      <c r="N2740" t="s">
        <v>27</v>
      </c>
      <c r="O2740" t="s">
        <v>4610</v>
      </c>
      <c r="P2740" t="s">
        <v>2083</v>
      </c>
      <c r="Q2740">
        <v>0.85</v>
      </c>
    </row>
    <row r="2741" spans="14:17" x14ac:dyDescent="0.45">
      <c r="N2741" t="s">
        <v>27</v>
      </c>
      <c r="O2741" t="s">
        <v>4611</v>
      </c>
      <c r="P2741" t="s">
        <v>2080</v>
      </c>
      <c r="Q2741">
        <v>0.85</v>
      </c>
    </row>
    <row r="2742" spans="14:17" x14ac:dyDescent="0.45">
      <c r="N2742" t="s">
        <v>27</v>
      </c>
      <c r="O2742" t="s">
        <v>4612</v>
      </c>
      <c r="P2742" t="s">
        <v>2069</v>
      </c>
      <c r="Q2742">
        <v>0.85</v>
      </c>
    </row>
    <row r="2743" spans="14:17" x14ac:dyDescent="0.45">
      <c r="N2743" t="s">
        <v>27</v>
      </c>
      <c r="O2743" t="s">
        <v>4613</v>
      </c>
      <c r="P2743" t="s">
        <v>2053</v>
      </c>
      <c r="Q2743">
        <v>0.85</v>
      </c>
    </row>
    <row r="2744" spans="14:17" x14ac:dyDescent="0.45">
      <c r="N2744" t="s">
        <v>27</v>
      </c>
      <c r="O2744" t="s">
        <v>4614</v>
      </c>
      <c r="P2744" t="s">
        <v>2055</v>
      </c>
      <c r="Q2744">
        <v>0.85</v>
      </c>
    </row>
    <row r="2745" spans="14:17" x14ac:dyDescent="0.45">
      <c r="N2745" t="s">
        <v>27</v>
      </c>
      <c r="O2745" t="s">
        <v>4615</v>
      </c>
      <c r="P2745" t="s">
        <v>2076</v>
      </c>
      <c r="Q2745">
        <v>0.85</v>
      </c>
    </row>
    <row r="2746" spans="14:17" x14ac:dyDescent="0.45">
      <c r="N2746" t="s">
        <v>27</v>
      </c>
      <c r="O2746" t="s">
        <v>4616</v>
      </c>
      <c r="P2746" t="s">
        <v>2065</v>
      </c>
      <c r="Q2746">
        <v>0.85</v>
      </c>
    </row>
    <row r="2747" spans="14:17" x14ac:dyDescent="0.45">
      <c r="N2747" t="s">
        <v>27</v>
      </c>
      <c r="O2747" t="s">
        <v>4617</v>
      </c>
      <c r="P2747" t="s">
        <v>2084</v>
      </c>
      <c r="Q2747">
        <v>0.85</v>
      </c>
    </row>
    <row r="2748" spans="14:17" x14ac:dyDescent="0.45">
      <c r="N2748" t="s">
        <v>27</v>
      </c>
      <c r="O2748" t="s">
        <v>4618</v>
      </c>
      <c r="P2748" t="s">
        <v>2103</v>
      </c>
      <c r="Q2748">
        <v>0.85</v>
      </c>
    </row>
    <row r="2749" spans="14:17" x14ac:dyDescent="0.45">
      <c r="N2749" t="s">
        <v>27</v>
      </c>
      <c r="O2749" t="s">
        <v>4619</v>
      </c>
      <c r="P2749" t="s">
        <v>2094</v>
      </c>
      <c r="Q2749">
        <v>0.85</v>
      </c>
    </row>
    <row r="2750" spans="14:17" x14ac:dyDescent="0.45">
      <c r="N2750" t="s">
        <v>27</v>
      </c>
      <c r="O2750" t="s">
        <v>4620</v>
      </c>
      <c r="P2750" t="s">
        <v>2052</v>
      </c>
      <c r="Q2750">
        <v>0.85</v>
      </c>
    </row>
    <row r="2751" spans="14:17" x14ac:dyDescent="0.45">
      <c r="N2751" t="s">
        <v>27</v>
      </c>
      <c r="O2751" t="s">
        <v>4621</v>
      </c>
      <c r="P2751" t="s">
        <v>2092</v>
      </c>
      <c r="Q2751">
        <v>0.85</v>
      </c>
    </row>
    <row r="2752" spans="14:17" x14ac:dyDescent="0.45">
      <c r="N2752" t="s">
        <v>27</v>
      </c>
      <c r="O2752" t="s">
        <v>4622</v>
      </c>
      <c r="P2752" t="s">
        <v>2078</v>
      </c>
      <c r="Q2752">
        <v>0.85</v>
      </c>
    </row>
    <row r="2753" spans="14:17" x14ac:dyDescent="0.45">
      <c r="N2753" t="s">
        <v>27</v>
      </c>
      <c r="O2753" t="s">
        <v>4623</v>
      </c>
      <c r="P2753" t="s">
        <v>2051</v>
      </c>
      <c r="Q2753">
        <v>0.85</v>
      </c>
    </row>
    <row r="2754" spans="14:17" x14ac:dyDescent="0.45">
      <c r="N2754" t="s">
        <v>27</v>
      </c>
      <c r="O2754" t="s">
        <v>4624</v>
      </c>
      <c r="P2754" t="s">
        <v>2056</v>
      </c>
      <c r="Q2754">
        <v>0.85</v>
      </c>
    </row>
    <row r="2755" spans="14:17" x14ac:dyDescent="0.45">
      <c r="N2755" t="s">
        <v>27</v>
      </c>
      <c r="O2755" t="s">
        <v>4625</v>
      </c>
      <c r="P2755" t="s">
        <v>2054</v>
      </c>
      <c r="Q2755">
        <v>0.85</v>
      </c>
    </row>
    <row r="2756" spans="14:17" x14ac:dyDescent="0.45">
      <c r="N2756" t="s">
        <v>27</v>
      </c>
      <c r="O2756" t="s">
        <v>4626</v>
      </c>
      <c r="P2756" t="s">
        <v>2068</v>
      </c>
      <c r="Q2756">
        <v>0.85</v>
      </c>
    </row>
    <row r="2757" spans="14:17" x14ac:dyDescent="0.45">
      <c r="N2757" t="s">
        <v>27</v>
      </c>
      <c r="O2757" t="s">
        <v>4627</v>
      </c>
      <c r="P2757" t="s">
        <v>2052</v>
      </c>
      <c r="Q2757">
        <v>0.85</v>
      </c>
    </row>
    <row r="2758" spans="14:17" x14ac:dyDescent="0.45">
      <c r="N2758" t="s">
        <v>27</v>
      </c>
      <c r="O2758" t="s">
        <v>4628</v>
      </c>
      <c r="P2758" t="s">
        <v>2101</v>
      </c>
      <c r="Q2758">
        <v>0.85</v>
      </c>
    </row>
    <row r="2759" spans="14:17" x14ac:dyDescent="0.45">
      <c r="N2759" t="s">
        <v>27</v>
      </c>
      <c r="O2759" t="s">
        <v>4629</v>
      </c>
      <c r="P2759" t="s">
        <v>2065</v>
      </c>
      <c r="Q2759">
        <v>0.85</v>
      </c>
    </row>
    <row r="2760" spans="14:17" x14ac:dyDescent="0.45">
      <c r="N2760" t="s">
        <v>27</v>
      </c>
      <c r="O2760" t="s">
        <v>4630</v>
      </c>
      <c r="P2760" t="s">
        <v>2089</v>
      </c>
      <c r="Q2760">
        <v>0.85</v>
      </c>
    </row>
    <row r="2761" spans="14:17" x14ac:dyDescent="0.45">
      <c r="N2761" t="s">
        <v>27</v>
      </c>
      <c r="O2761" t="s">
        <v>4631</v>
      </c>
      <c r="P2761" t="s">
        <v>2106</v>
      </c>
      <c r="Q2761">
        <v>0.85</v>
      </c>
    </row>
    <row r="2762" spans="14:17" x14ac:dyDescent="0.45">
      <c r="N2762" t="s">
        <v>27</v>
      </c>
      <c r="O2762" t="s">
        <v>4632</v>
      </c>
      <c r="P2762" t="s">
        <v>2086</v>
      </c>
      <c r="Q2762">
        <v>0.85</v>
      </c>
    </row>
    <row r="2763" spans="14:17" x14ac:dyDescent="0.45">
      <c r="N2763" t="s">
        <v>27</v>
      </c>
      <c r="O2763" t="s">
        <v>4633</v>
      </c>
      <c r="P2763" t="s">
        <v>2057</v>
      </c>
      <c r="Q2763">
        <v>0.85</v>
      </c>
    </row>
    <row r="2764" spans="14:17" x14ac:dyDescent="0.45">
      <c r="N2764" t="s">
        <v>27</v>
      </c>
      <c r="O2764" t="s">
        <v>4634</v>
      </c>
      <c r="P2764" t="s">
        <v>2057</v>
      </c>
      <c r="Q2764">
        <v>0.85</v>
      </c>
    </row>
    <row r="2765" spans="14:17" x14ac:dyDescent="0.45">
      <c r="N2765" t="s">
        <v>27</v>
      </c>
      <c r="O2765" t="s">
        <v>4635</v>
      </c>
      <c r="P2765" t="s">
        <v>2106</v>
      </c>
      <c r="Q2765">
        <v>0.85</v>
      </c>
    </row>
    <row r="2766" spans="14:17" x14ac:dyDescent="0.45">
      <c r="N2766" t="s">
        <v>27</v>
      </c>
      <c r="O2766" t="s">
        <v>4636</v>
      </c>
      <c r="P2766" t="s">
        <v>2103</v>
      </c>
      <c r="Q2766">
        <v>0.85</v>
      </c>
    </row>
    <row r="2767" spans="14:17" x14ac:dyDescent="0.45">
      <c r="N2767" t="s">
        <v>27</v>
      </c>
      <c r="O2767" t="s">
        <v>4637</v>
      </c>
      <c r="P2767" t="s">
        <v>2080</v>
      </c>
      <c r="Q2767">
        <v>0.85</v>
      </c>
    </row>
    <row r="2768" spans="14:17" x14ac:dyDescent="0.45">
      <c r="N2768" t="s">
        <v>27</v>
      </c>
      <c r="O2768" t="s">
        <v>4638</v>
      </c>
      <c r="P2768" t="s">
        <v>2057</v>
      </c>
      <c r="Q2768">
        <v>0.85</v>
      </c>
    </row>
    <row r="2769" spans="14:17" x14ac:dyDescent="0.45">
      <c r="N2769" t="s">
        <v>27</v>
      </c>
      <c r="O2769" t="s">
        <v>4639</v>
      </c>
      <c r="P2769" t="s">
        <v>2063</v>
      </c>
      <c r="Q2769">
        <v>0.85</v>
      </c>
    </row>
    <row r="2770" spans="14:17" x14ac:dyDescent="0.45">
      <c r="N2770" t="s">
        <v>27</v>
      </c>
      <c r="O2770" t="s">
        <v>4640</v>
      </c>
      <c r="P2770" t="s">
        <v>2087</v>
      </c>
      <c r="Q2770">
        <v>0.85</v>
      </c>
    </row>
    <row r="2771" spans="14:17" x14ac:dyDescent="0.45">
      <c r="N2771" t="s">
        <v>27</v>
      </c>
      <c r="O2771" t="s">
        <v>4641</v>
      </c>
      <c r="P2771" t="s">
        <v>2069</v>
      </c>
      <c r="Q2771">
        <v>0.85</v>
      </c>
    </row>
    <row r="2772" spans="14:17" x14ac:dyDescent="0.45">
      <c r="N2772" t="s">
        <v>27</v>
      </c>
      <c r="O2772" t="s">
        <v>4642</v>
      </c>
      <c r="P2772" t="s">
        <v>2107</v>
      </c>
      <c r="Q2772">
        <v>0.85</v>
      </c>
    </row>
    <row r="2773" spans="14:17" x14ac:dyDescent="0.45">
      <c r="N2773" t="s">
        <v>27</v>
      </c>
      <c r="O2773" t="s">
        <v>4643</v>
      </c>
      <c r="P2773" t="s">
        <v>2076</v>
      </c>
      <c r="Q2773">
        <v>0.85</v>
      </c>
    </row>
    <row r="2774" spans="14:17" x14ac:dyDescent="0.45">
      <c r="N2774" t="s">
        <v>27</v>
      </c>
      <c r="O2774" t="s">
        <v>4644</v>
      </c>
      <c r="P2774" t="s">
        <v>2105</v>
      </c>
      <c r="Q2774">
        <v>0.85</v>
      </c>
    </row>
    <row r="2775" spans="14:17" x14ac:dyDescent="0.45">
      <c r="N2775" t="s">
        <v>27</v>
      </c>
      <c r="O2775" t="s">
        <v>4645</v>
      </c>
      <c r="P2775" t="s">
        <v>2093</v>
      </c>
      <c r="Q2775">
        <v>0.85</v>
      </c>
    </row>
    <row r="2776" spans="14:17" x14ac:dyDescent="0.45">
      <c r="N2776" t="s">
        <v>27</v>
      </c>
      <c r="O2776" t="s">
        <v>4646</v>
      </c>
      <c r="P2776" t="s">
        <v>2095</v>
      </c>
      <c r="Q2776">
        <v>0.85</v>
      </c>
    </row>
    <row r="2777" spans="14:17" x14ac:dyDescent="0.45">
      <c r="N2777" t="s">
        <v>27</v>
      </c>
      <c r="O2777" t="s">
        <v>4647</v>
      </c>
      <c r="P2777" t="s">
        <v>2054</v>
      </c>
      <c r="Q2777">
        <v>0.85</v>
      </c>
    </row>
    <row r="2778" spans="14:17" x14ac:dyDescent="0.45">
      <c r="N2778" t="s">
        <v>27</v>
      </c>
      <c r="O2778" t="s">
        <v>4648</v>
      </c>
      <c r="P2778" t="s">
        <v>2052</v>
      </c>
      <c r="Q2778">
        <v>0.85</v>
      </c>
    </row>
    <row r="2779" spans="14:17" x14ac:dyDescent="0.45">
      <c r="N2779" t="s">
        <v>27</v>
      </c>
      <c r="O2779" t="s">
        <v>4649</v>
      </c>
      <c r="P2779" t="s">
        <v>2059</v>
      </c>
      <c r="Q2779">
        <v>0.85</v>
      </c>
    </row>
    <row r="2780" spans="14:17" x14ac:dyDescent="0.45">
      <c r="N2780" t="s">
        <v>27</v>
      </c>
      <c r="O2780" t="s">
        <v>4650</v>
      </c>
      <c r="P2780" t="s">
        <v>2069</v>
      </c>
      <c r="Q2780">
        <v>0.85</v>
      </c>
    </row>
    <row r="2781" spans="14:17" x14ac:dyDescent="0.45">
      <c r="N2781" t="s">
        <v>27</v>
      </c>
      <c r="O2781" t="s">
        <v>4651</v>
      </c>
      <c r="P2781" t="s">
        <v>2052</v>
      </c>
      <c r="Q2781">
        <v>0.85</v>
      </c>
    </row>
    <row r="2782" spans="14:17" x14ac:dyDescent="0.45">
      <c r="N2782" t="s">
        <v>27</v>
      </c>
      <c r="O2782" t="s">
        <v>4652</v>
      </c>
      <c r="P2782" t="s">
        <v>2102</v>
      </c>
      <c r="Q2782">
        <v>0.85</v>
      </c>
    </row>
    <row r="2783" spans="14:17" x14ac:dyDescent="0.45">
      <c r="N2783" t="s">
        <v>27</v>
      </c>
      <c r="O2783" t="s">
        <v>4653</v>
      </c>
      <c r="P2783" t="s">
        <v>2101</v>
      </c>
      <c r="Q2783">
        <v>0.85</v>
      </c>
    </row>
    <row r="2784" spans="14:17" x14ac:dyDescent="0.45">
      <c r="N2784" t="s">
        <v>27</v>
      </c>
      <c r="O2784" t="s">
        <v>4654</v>
      </c>
      <c r="P2784" t="s">
        <v>2079</v>
      </c>
      <c r="Q2784">
        <v>0.85</v>
      </c>
    </row>
    <row r="2785" spans="14:17" x14ac:dyDescent="0.45">
      <c r="N2785" t="s">
        <v>27</v>
      </c>
      <c r="O2785" t="s">
        <v>4655</v>
      </c>
      <c r="P2785" t="s">
        <v>2103</v>
      </c>
      <c r="Q2785">
        <v>0.85</v>
      </c>
    </row>
    <row r="2786" spans="14:17" x14ac:dyDescent="0.45">
      <c r="N2786" t="s">
        <v>27</v>
      </c>
      <c r="O2786" t="s">
        <v>4656</v>
      </c>
      <c r="P2786" t="s">
        <v>2103</v>
      </c>
      <c r="Q2786">
        <v>0.85</v>
      </c>
    </row>
    <row r="2787" spans="14:17" x14ac:dyDescent="0.45">
      <c r="N2787" t="s">
        <v>27</v>
      </c>
      <c r="O2787" t="s">
        <v>4657</v>
      </c>
      <c r="P2787" t="s">
        <v>2103</v>
      </c>
      <c r="Q2787">
        <v>0.85</v>
      </c>
    </row>
    <row r="2788" spans="14:17" x14ac:dyDescent="0.45">
      <c r="N2788" t="s">
        <v>27</v>
      </c>
      <c r="O2788" t="s">
        <v>4658</v>
      </c>
      <c r="P2788" t="s">
        <v>2086</v>
      </c>
      <c r="Q2788">
        <v>0.85</v>
      </c>
    </row>
    <row r="2789" spans="14:17" x14ac:dyDescent="0.45">
      <c r="N2789" t="s">
        <v>27</v>
      </c>
      <c r="O2789" t="s">
        <v>4659</v>
      </c>
      <c r="P2789" t="s">
        <v>2065</v>
      </c>
      <c r="Q2789">
        <v>0.85</v>
      </c>
    </row>
    <row r="2790" spans="14:17" x14ac:dyDescent="0.45">
      <c r="N2790" t="s">
        <v>27</v>
      </c>
      <c r="O2790" t="s">
        <v>4660</v>
      </c>
      <c r="P2790" t="s">
        <v>2078</v>
      </c>
      <c r="Q2790">
        <v>0.85</v>
      </c>
    </row>
    <row r="2791" spans="14:17" x14ac:dyDescent="0.45">
      <c r="N2791" t="s">
        <v>27</v>
      </c>
      <c r="O2791" t="s">
        <v>4661</v>
      </c>
      <c r="P2791" t="s">
        <v>2106</v>
      </c>
      <c r="Q2791">
        <v>0.85</v>
      </c>
    </row>
    <row r="2792" spans="14:17" x14ac:dyDescent="0.45">
      <c r="N2792" t="s">
        <v>27</v>
      </c>
      <c r="O2792" t="s">
        <v>4662</v>
      </c>
      <c r="P2792" t="s">
        <v>2068</v>
      </c>
      <c r="Q2792">
        <v>0.85</v>
      </c>
    </row>
    <row r="2793" spans="14:17" x14ac:dyDescent="0.45">
      <c r="N2793" t="s">
        <v>27</v>
      </c>
      <c r="O2793" t="s">
        <v>4663</v>
      </c>
      <c r="P2793" t="s">
        <v>2100</v>
      </c>
      <c r="Q2793">
        <v>0.85</v>
      </c>
    </row>
    <row r="2794" spans="14:17" x14ac:dyDescent="0.45">
      <c r="N2794" t="s">
        <v>27</v>
      </c>
      <c r="O2794" t="s">
        <v>4664</v>
      </c>
      <c r="P2794" t="s">
        <v>2069</v>
      </c>
      <c r="Q2794">
        <v>0.85</v>
      </c>
    </row>
    <row r="2795" spans="14:17" x14ac:dyDescent="0.45">
      <c r="N2795" t="s">
        <v>27</v>
      </c>
      <c r="O2795" t="s">
        <v>4665</v>
      </c>
      <c r="P2795" t="s">
        <v>2063</v>
      </c>
      <c r="Q2795">
        <v>0.85</v>
      </c>
    </row>
    <row r="2796" spans="14:17" x14ac:dyDescent="0.45">
      <c r="N2796" t="s">
        <v>27</v>
      </c>
      <c r="O2796" t="s">
        <v>4666</v>
      </c>
      <c r="P2796" t="s">
        <v>2075</v>
      </c>
      <c r="Q2796">
        <v>0.85</v>
      </c>
    </row>
    <row r="2797" spans="14:17" x14ac:dyDescent="0.45">
      <c r="N2797" t="s">
        <v>27</v>
      </c>
      <c r="O2797" t="s">
        <v>4667</v>
      </c>
      <c r="P2797" t="s">
        <v>2065</v>
      </c>
      <c r="Q2797">
        <v>0.85</v>
      </c>
    </row>
    <row r="2798" spans="14:17" x14ac:dyDescent="0.45">
      <c r="N2798" t="s">
        <v>27</v>
      </c>
      <c r="O2798" t="s">
        <v>4668</v>
      </c>
      <c r="P2798" t="s">
        <v>2087</v>
      </c>
      <c r="Q2798">
        <v>0.85</v>
      </c>
    </row>
    <row r="2799" spans="14:17" x14ac:dyDescent="0.45">
      <c r="N2799" t="s">
        <v>27</v>
      </c>
      <c r="O2799" t="s">
        <v>4669</v>
      </c>
      <c r="P2799" t="s">
        <v>2056</v>
      </c>
      <c r="Q2799">
        <v>0.85</v>
      </c>
    </row>
    <row r="2800" spans="14:17" x14ac:dyDescent="0.45">
      <c r="N2800" t="s">
        <v>27</v>
      </c>
      <c r="O2800" t="s">
        <v>4670</v>
      </c>
      <c r="P2800" t="s">
        <v>2080</v>
      </c>
      <c r="Q2800">
        <v>0.85</v>
      </c>
    </row>
    <row r="2801" spans="14:17" x14ac:dyDescent="0.45">
      <c r="N2801" t="s">
        <v>27</v>
      </c>
      <c r="O2801" t="s">
        <v>4671</v>
      </c>
      <c r="P2801" t="s">
        <v>2106</v>
      </c>
      <c r="Q2801">
        <v>0.85</v>
      </c>
    </row>
    <row r="2802" spans="14:17" x14ac:dyDescent="0.45">
      <c r="N2802" t="s">
        <v>27</v>
      </c>
      <c r="O2802" t="s">
        <v>4672</v>
      </c>
      <c r="P2802" t="s">
        <v>2071</v>
      </c>
      <c r="Q2802">
        <v>0.85</v>
      </c>
    </row>
    <row r="2803" spans="14:17" x14ac:dyDescent="0.45">
      <c r="N2803" t="s">
        <v>27</v>
      </c>
      <c r="O2803" t="s">
        <v>4673</v>
      </c>
      <c r="P2803" t="s">
        <v>2106</v>
      </c>
      <c r="Q2803">
        <v>0.85</v>
      </c>
    </row>
    <row r="2804" spans="14:17" x14ac:dyDescent="0.45">
      <c r="N2804" t="s">
        <v>27</v>
      </c>
      <c r="O2804" t="s">
        <v>4674</v>
      </c>
      <c r="P2804" t="s">
        <v>2079</v>
      </c>
      <c r="Q2804">
        <v>0.85</v>
      </c>
    </row>
    <row r="2805" spans="14:17" x14ac:dyDescent="0.45">
      <c r="N2805" t="s">
        <v>27</v>
      </c>
      <c r="O2805" t="s">
        <v>4675</v>
      </c>
      <c r="P2805" t="s">
        <v>2052</v>
      </c>
      <c r="Q2805">
        <v>0.85</v>
      </c>
    </row>
    <row r="2806" spans="14:17" x14ac:dyDescent="0.45">
      <c r="N2806" t="s">
        <v>27</v>
      </c>
      <c r="O2806" t="s">
        <v>4676</v>
      </c>
      <c r="P2806" t="s">
        <v>2075</v>
      </c>
      <c r="Q2806">
        <v>0.85</v>
      </c>
    </row>
    <row r="2807" spans="14:17" x14ac:dyDescent="0.45">
      <c r="N2807" t="s">
        <v>27</v>
      </c>
      <c r="O2807" t="s">
        <v>4677</v>
      </c>
      <c r="P2807" t="s">
        <v>2079</v>
      </c>
      <c r="Q2807">
        <v>0.85</v>
      </c>
    </row>
    <row r="2808" spans="14:17" x14ac:dyDescent="0.45">
      <c r="N2808" t="s">
        <v>27</v>
      </c>
      <c r="O2808" t="s">
        <v>4678</v>
      </c>
      <c r="P2808" t="s">
        <v>2101</v>
      </c>
      <c r="Q2808">
        <v>0.85</v>
      </c>
    </row>
    <row r="2809" spans="14:17" x14ac:dyDescent="0.45">
      <c r="N2809" t="s">
        <v>27</v>
      </c>
      <c r="O2809" t="s">
        <v>4679</v>
      </c>
      <c r="P2809" t="s">
        <v>2062</v>
      </c>
      <c r="Q2809">
        <v>0.85</v>
      </c>
    </row>
    <row r="2810" spans="14:17" x14ac:dyDescent="0.45">
      <c r="N2810" t="s">
        <v>27</v>
      </c>
      <c r="O2810" t="s">
        <v>4680</v>
      </c>
      <c r="P2810" t="s">
        <v>2106</v>
      </c>
      <c r="Q2810">
        <v>0.85</v>
      </c>
    </row>
    <row r="2811" spans="14:17" x14ac:dyDescent="0.45">
      <c r="N2811" t="s">
        <v>27</v>
      </c>
      <c r="O2811" t="s">
        <v>4681</v>
      </c>
      <c r="P2811" t="s">
        <v>2086</v>
      </c>
      <c r="Q2811">
        <v>0.85</v>
      </c>
    </row>
    <row r="2812" spans="14:17" x14ac:dyDescent="0.45">
      <c r="N2812" t="s">
        <v>27</v>
      </c>
      <c r="O2812" t="s">
        <v>4682</v>
      </c>
      <c r="P2812" t="s">
        <v>2078</v>
      </c>
      <c r="Q2812">
        <v>0.85</v>
      </c>
    </row>
    <row r="2813" spans="14:17" x14ac:dyDescent="0.45">
      <c r="N2813" t="s">
        <v>27</v>
      </c>
      <c r="O2813" t="s">
        <v>4683</v>
      </c>
      <c r="P2813" t="s">
        <v>2075</v>
      </c>
      <c r="Q2813">
        <v>0.85</v>
      </c>
    </row>
    <row r="2814" spans="14:17" x14ac:dyDescent="0.45">
      <c r="N2814" t="s">
        <v>27</v>
      </c>
      <c r="O2814" t="s">
        <v>4684</v>
      </c>
      <c r="P2814" t="s">
        <v>2102</v>
      </c>
      <c r="Q2814">
        <v>0.85</v>
      </c>
    </row>
    <row r="2815" spans="14:17" x14ac:dyDescent="0.45">
      <c r="N2815" t="s">
        <v>27</v>
      </c>
      <c r="O2815" t="s">
        <v>4685</v>
      </c>
      <c r="P2815" t="s">
        <v>2059</v>
      </c>
      <c r="Q2815">
        <v>0.85</v>
      </c>
    </row>
    <row r="2816" spans="14:17" x14ac:dyDescent="0.45">
      <c r="N2816" t="s">
        <v>27</v>
      </c>
      <c r="O2816" t="s">
        <v>4686</v>
      </c>
      <c r="P2816" t="s">
        <v>2081</v>
      </c>
      <c r="Q2816">
        <v>0.85</v>
      </c>
    </row>
    <row r="2817" spans="14:17" x14ac:dyDescent="0.45">
      <c r="N2817" t="s">
        <v>27</v>
      </c>
      <c r="O2817" t="s">
        <v>4687</v>
      </c>
      <c r="P2817" t="s">
        <v>2067</v>
      </c>
      <c r="Q2817">
        <v>0.85</v>
      </c>
    </row>
    <row r="2818" spans="14:17" x14ac:dyDescent="0.45">
      <c r="N2818" t="s">
        <v>27</v>
      </c>
      <c r="O2818" t="s">
        <v>4688</v>
      </c>
      <c r="P2818" t="s">
        <v>2053</v>
      </c>
      <c r="Q2818">
        <v>0.85</v>
      </c>
    </row>
    <row r="2819" spans="14:17" x14ac:dyDescent="0.45">
      <c r="N2819" t="s">
        <v>27</v>
      </c>
      <c r="O2819" t="s">
        <v>4689</v>
      </c>
      <c r="P2819" t="s">
        <v>2068</v>
      </c>
      <c r="Q2819">
        <v>0.85</v>
      </c>
    </row>
    <row r="2820" spans="14:17" x14ac:dyDescent="0.45">
      <c r="N2820" t="s">
        <v>27</v>
      </c>
      <c r="O2820" t="s">
        <v>4690</v>
      </c>
      <c r="P2820" t="s">
        <v>2057</v>
      </c>
      <c r="Q2820">
        <v>0.85</v>
      </c>
    </row>
    <row r="2821" spans="14:17" x14ac:dyDescent="0.45">
      <c r="N2821" t="s">
        <v>27</v>
      </c>
      <c r="O2821" t="s">
        <v>4691</v>
      </c>
      <c r="P2821" t="s">
        <v>2053</v>
      </c>
      <c r="Q2821">
        <v>0.85</v>
      </c>
    </row>
    <row r="2822" spans="14:17" x14ac:dyDescent="0.45">
      <c r="N2822" t="s">
        <v>27</v>
      </c>
      <c r="O2822" t="s">
        <v>4692</v>
      </c>
      <c r="P2822" t="s">
        <v>2106</v>
      </c>
      <c r="Q2822">
        <v>0.85</v>
      </c>
    </row>
    <row r="2823" spans="14:17" x14ac:dyDescent="0.45">
      <c r="N2823" t="s">
        <v>27</v>
      </c>
      <c r="O2823" t="s">
        <v>4693</v>
      </c>
      <c r="P2823" t="s">
        <v>2059</v>
      </c>
      <c r="Q2823">
        <v>0.85</v>
      </c>
    </row>
    <row r="2824" spans="14:17" x14ac:dyDescent="0.45">
      <c r="N2824" t="s">
        <v>27</v>
      </c>
      <c r="O2824" t="s">
        <v>4694</v>
      </c>
      <c r="P2824" t="s">
        <v>2109</v>
      </c>
      <c r="Q2824">
        <v>0.85</v>
      </c>
    </row>
    <row r="2825" spans="14:17" x14ac:dyDescent="0.45">
      <c r="N2825" t="s">
        <v>27</v>
      </c>
      <c r="O2825" t="s">
        <v>4695</v>
      </c>
      <c r="P2825" t="s">
        <v>2053</v>
      </c>
      <c r="Q2825">
        <v>0.85</v>
      </c>
    </row>
    <row r="2826" spans="14:17" x14ac:dyDescent="0.45">
      <c r="N2826" t="s">
        <v>27</v>
      </c>
      <c r="O2826" t="s">
        <v>4696</v>
      </c>
      <c r="P2826" t="s">
        <v>2081</v>
      </c>
      <c r="Q2826">
        <v>0.85</v>
      </c>
    </row>
    <row r="2827" spans="14:17" x14ac:dyDescent="0.45">
      <c r="N2827" t="s">
        <v>27</v>
      </c>
      <c r="O2827" t="s">
        <v>4697</v>
      </c>
      <c r="P2827" t="s">
        <v>2059</v>
      </c>
      <c r="Q2827">
        <v>0.85</v>
      </c>
    </row>
    <row r="2828" spans="14:17" x14ac:dyDescent="0.45">
      <c r="N2828" t="s">
        <v>27</v>
      </c>
      <c r="O2828" t="s">
        <v>4698</v>
      </c>
      <c r="P2828" t="s">
        <v>2086</v>
      </c>
      <c r="Q2828">
        <v>0.85</v>
      </c>
    </row>
    <row r="2829" spans="14:17" x14ac:dyDescent="0.45">
      <c r="N2829" t="s">
        <v>27</v>
      </c>
      <c r="O2829" t="s">
        <v>4699</v>
      </c>
      <c r="P2829" t="s">
        <v>2059</v>
      </c>
      <c r="Q2829">
        <v>0.85</v>
      </c>
    </row>
    <row r="2830" spans="14:17" x14ac:dyDescent="0.45">
      <c r="N2830" t="s">
        <v>27</v>
      </c>
      <c r="O2830" t="s">
        <v>4700</v>
      </c>
      <c r="P2830" t="s">
        <v>2052</v>
      </c>
      <c r="Q2830">
        <v>0.85</v>
      </c>
    </row>
    <row r="2831" spans="14:17" x14ac:dyDescent="0.45">
      <c r="N2831" t="s">
        <v>27</v>
      </c>
      <c r="O2831" t="s">
        <v>4701</v>
      </c>
      <c r="P2831" t="s">
        <v>2059</v>
      </c>
      <c r="Q2831">
        <v>0.85</v>
      </c>
    </row>
    <row r="2832" spans="14:17" x14ac:dyDescent="0.45">
      <c r="N2832" t="s">
        <v>27</v>
      </c>
      <c r="O2832" t="s">
        <v>4702</v>
      </c>
      <c r="P2832" t="s">
        <v>2065</v>
      </c>
      <c r="Q2832">
        <v>0.85</v>
      </c>
    </row>
    <row r="2833" spans="14:17" x14ac:dyDescent="0.45">
      <c r="N2833" t="s">
        <v>27</v>
      </c>
      <c r="O2833" t="s">
        <v>4703</v>
      </c>
      <c r="P2833" t="s">
        <v>2097</v>
      </c>
      <c r="Q2833">
        <v>0.85</v>
      </c>
    </row>
    <row r="2834" spans="14:17" x14ac:dyDescent="0.45">
      <c r="N2834" t="s">
        <v>27</v>
      </c>
      <c r="O2834" t="s">
        <v>4704</v>
      </c>
      <c r="P2834" t="s">
        <v>2078</v>
      </c>
      <c r="Q2834">
        <v>0.85</v>
      </c>
    </row>
    <row r="2835" spans="14:17" x14ac:dyDescent="0.45">
      <c r="N2835" t="s">
        <v>27</v>
      </c>
      <c r="O2835" t="s">
        <v>4705</v>
      </c>
      <c r="P2835" t="s">
        <v>2078</v>
      </c>
      <c r="Q2835">
        <v>0.85</v>
      </c>
    </row>
    <row r="2836" spans="14:17" x14ac:dyDescent="0.45">
      <c r="N2836" t="s">
        <v>27</v>
      </c>
      <c r="O2836" t="s">
        <v>4706</v>
      </c>
      <c r="P2836" t="s">
        <v>2086</v>
      </c>
      <c r="Q2836">
        <v>0.85</v>
      </c>
    </row>
    <row r="2837" spans="14:17" x14ac:dyDescent="0.45">
      <c r="N2837" t="s">
        <v>27</v>
      </c>
      <c r="O2837" t="s">
        <v>4707</v>
      </c>
      <c r="P2837" t="s">
        <v>2106</v>
      </c>
      <c r="Q2837">
        <v>0.85</v>
      </c>
    </row>
    <row r="2838" spans="14:17" x14ac:dyDescent="0.45">
      <c r="N2838" t="s">
        <v>27</v>
      </c>
      <c r="O2838" t="s">
        <v>4708</v>
      </c>
      <c r="P2838" t="s">
        <v>2055</v>
      </c>
      <c r="Q2838">
        <v>0.85</v>
      </c>
    </row>
    <row r="2839" spans="14:17" x14ac:dyDescent="0.45">
      <c r="N2839" t="s">
        <v>27</v>
      </c>
      <c r="O2839" t="s">
        <v>4709</v>
      </c>
      <c r="P2839" t="s">
        <v>2059</v>
      </c>
      <c r="Q2839">
        <v>0.85</v>
      </c>
    </row>
    <row r="2840" spans="14:17" x14ac:dyDescent="0.45">
      <c r="N2840" t="s">
        <v>27</v>
      </c>
      <c r="O2840" t="s">
        <v>4710</v>
      </c>
      <c r="P2840" t="s">
        <v>2106</v>
      </c>
      <c r="Q2840">
        <v>0.85</v>
      </c>
    </row>
    <row r="2841" spans="14:17" x14ac:dyDescent="0.45">
      <c r="N2841" t="s">
        <v>27</v>
      </c>
      <c r="O2841" t="s">
        <v>4711</v>
      </c>
      <c r="P2841" t="s">
        <v>2052</v>
      </c>
      <c r="Q2841">
        <v>0.85</v>
      </c>
    </row>
    <row r="2842" spans="14:17" x14ac:dyDescent="0.45">
      <c r="N2842" t="s">
        <v>27</v>
      </c>
      <c r="O2842" t="s">
        <v>4712</v>
      </c>
      <c r="P2842" t="s">
        <v>2087</v>
      </c>
      <c r="Q2842">
        <v>0.85</v>
      </c>
    </row>
    <row r="2843" spans="14:17" x14ac:dyDescent="0.45">
      <c r="N2843" t="s">
        <v>27</v>
      </c>
      <c r="O2843" t="s">
        <v>4713</v>
      </c>
      <c r="P2843" t="s">
        <v>2053</v>
      </c>
      <c r="Q2843">
        <v>0.95</v>
      </c>
    </row>
    <row r="2844" spans="14:17" x14ac:dyDescent="0.45">
      <c r="N2844" t="s">
        <v>27</v>
      </c>
      <c r="O2844" t="s">
        <v>4714</v>
      </c>
      <c r="P2844" t="s">
        <v>2058</v>
      </c>
      <c r="Q2844">
        <v>0.95</v>
      </c>
    </row>
    <row r="2845" spans="14:17" x14ac:dyDescent="0.45">
      <c r="N2845" t="s">
        <v>27</v>
      </c>
      <c r="O2845" t="s">
        <v>4715</v>
      </c>
      <c r="P2845" t="s">
        <v>2051</v>
      </c>
      <c r="Q2845">
        <v>0.95</v>
      </c>
    </row>
    <row r="2846" spans="14:17" x14ac:dyDescent="0.45">
      <c r="N2846" t="s">
        <v>27</v>
      </c>
      <c r="O2846" t="s">
        <v>4716</v>
      </c>
      <c r="P2846" t="s">
        <v>2076</v>
      </c>
      <c r="Q2846">
        <v>0.95</v>
      </c>
    </row>
    <row r="2847" spans="14:17" x14ac:dyDescent="0.45">
      <c r="N2847" t="s">
        <v>27</v>
      </c>
      <c r="O2847" t="s">
        <v>4717</v>
      </c>
      <c r="P2847" t="s">
        <v>2078</v>
      </c>
      <c r="Q2847">
        <v>0.95</v>
      </c>
    </row>
    <row r="2848" spans="14:17" x14ac:dyDescent="0.45">
      <c r="N2848" t="s">
        <v>27</v>
      </c>
      <c r="O2848" t="s">
        <v>4718</v>
      </c>
      <c r="P2848" t="s">
        <v>2107</v>
      </c>
      <c r="Q2848">
        <v>0.95</v>
      </c>
    </row>
    <row r="2849" spans="14:17" x14ac:dyDescent="0.45">
      <c r="N2849" t="s">
        <v>27</v>
      </c>
      <c r="O2849" t="s">
        <v>4719</v>
      </c>
      <c r="P2849" t="s">
        <v>2063</v>
      </c>
      <c r="Q2849">
        <v>0.95</v>
      </c>
    </row>
    <row r="2850" spans="14:17" x14ac:dyDescent="0.45">
      <c r="N2850" t="s">
        <v>27</v>
      </c>
      <c r="O2850" t="s">
        <v>4720</v>
      </c>
      <c r="P2850" t="s">
        <v>2084</v>
      </c>
      <c r="Q2850">
        <v>0.95</v>
      </c>
    </row>
    <row r="2851" spans="14:17" x14ac:dyDescent="0.45">
      <c r="N2851" t="s">
        <v>27</v>
      </c>
      <c r="O2851" t="s">
        <v>4721</v>
      </c>
      <c r="P2851" t="s">
        <v>2065</v>
      </c>
      <c r="Q2851">
        <v>0.95</v>
      </c>
    </row>
    <row r="2852" spans="14:17" x14ac:dyDescent="0.45">
      <c r="N2852" t="s">
        <v>27</v>
      </c>
      <c r="O2852" t="s">
        <v>4722</v>
      </c>
      <c r="P2852" t="s">
        <v>2098</v>
      </c>
      <c r="Q2852">
        <v>0.95</v>
      </c>
    </row>
    <row r="2853" spans="14:17" x14ac:dyDescent="0.45">
      <c r="N2853" t="s">
        <v>27</v>
      </c>
      <c r="O2853" t="s">
        <v>4723</v>
      </c>
      <c r="P2853" t="s">
        <v>2051</v>
      </c>
      <c r="Q2853">
        <v>0.95</v>
      </c>
    </row>
    <row r="2854" spans="14:17" x14ac:dyDescent="0.45">
      <c r="N2854" t="s">
        <v>27</v>
      </c>
      <c r="O2854" t="s">
        <v>4724</v>
      </c>
      <c r="P2854" t="s">
        <v>2071</v>
      </c>
      <c r="Q2854">
        <v>0.95</v>
      </c>
    </row>
    <row r="2855" spans="14:17" x14ac:dyDescent="0.45">
      <c r="N2855" t="s">
        <v>27</v>
      </c>
      <c r="O2855" t="s">
        <v>4725</v>
      </c>
      <c r="P2855" t="s">
        <v>2089</v>
      </c>
      <c r="Q2855">
        <v>0.95</v>
      </c>
    </row>
    <row r="2856" spans="14:17" x14ac:dyDescent="0.45">
      <c r="N2856" t="s">
        <v>27</v>
      </c>
      <c r="O2856" t="s">
        <v>4726</v>
      </c>
      <c r="P2856" t="s">
        <v>2089</v>
      </c>
      <c r="Q2856">
        <v>0.95</v>
      </c>
    </row>
    <row r="2857" spans="14:17" x14ac:dyDescent="0.45">
      <c r="N2857" t="s">
        <v>27</v>
      </c>
      <c r="O2857" t="s">
        <v>4727</v>
      </c>
      <c r="P2857" t="s">
        <v>2056</v>
      </c>
      <c r="Q2857">
        <v>0.95</v>
      </c>
    </row>
    <row r="2858" spans="14:17" x14ac:dyDescent="0.45">
      <c r="N2858" t="s">
        <v>27</v>
      </c>
      <c r="O2858" t="s">
        <v>4728</v>
      </c>
      <c r="P2858" t="s">
        <v>2103</v>
      </c>
      <c r="Q2858">
        <v>0.85</v>
      </c>
    </row>
    <row r="2859" spans="14:17" x14ac:dyDescent="0.45">
      <c r="N2859" t="s">
        <v>27</v>
      </c>
      <c r="O2859" t="s">
        <v>4729</v>
      </c>
      <c r="P2859" t="s">
        <v>2065</v>
      </c>
      <c r="Q2859">
        <v>0.85</v>
      </c>
    </row>
    <row r="2860" spans="14:17" x14ac:dyDescent="0.45">
      <c r="N2860" t="s">
        <v>27</v>
      </c>
      <c r="O2860" t="s">
        <v>4730</v>
      </c>
      <c r="P2860" t="s">
        <v>2071</v>
      </c>
      <c r="Q2860">
        <v>0.85</v>
      </c>
    </row>
    <row r="2861" spans="14:17" x14ac:dyDescent="0.45">
      <c r="N2861" t="s">
        <v>27</v>
      </c>
      <c r="O2861" t="s">
        <v>4731</v>
      </c>
      <c r="P2861" t="s">
        <v>2087</v>
      </c>
      <c r="Q2861">
        <v>0.85</v>
      </c>
    </row>
    <row r="2862" spans="14:17" x14ac:dyDescent="0.45">
      <c r="N2862" t="s">
        <v>27</v>
      </c>
      <c r="O2862" t="s">
        <v>4732</v>
      </c>
      <c r="P2862" t="s">
        <v>2092</v>
      </c>
      <c r="Q2862">
        <v>0.85</v>
      </c>
    </row>
    <row r="2863" spans="14:17" x14ac:dyDescent="0.45">
      <c r="N2863" t="s">
        <v>27</v>
      </c>
      <c r="O2863" t="s">
        <v>4733</v>
      </c>
      <c r="P2863" t="s">
        <v>2057</v>
      </c>
      <c r="Q2863">
        <v>0.85</v>
      </c>
    </row>
    <row r="2864" spans="14:17" x14ac:dyDescent="0.45">
      <c r="N2864" t="s">
        <v>27</v>
      </c>
      <c r="O2864" t="s">
        <v>4734</v>
      </c>
      <c r="P2864" t="s">
        <v>2093</v>
      </c>
      <c r="Q2864">
        <v>0.85</v>
      </c>
    </row>
    <row r="2865" spans="14:17" x14ac:dyDescent="0.45">
      <c r="N2865" t="s">
        <v>27</v>
      </c>
      <c r="O2865" t="s">
        <v>4735</v>
      </c>
      <c r="P2865" t="s">
        <v>2051</v>
      </c>
      <c r="Q2865">
        <v>0.85</v>
      </c>
    </row>
    <row r="2866" spans="14:17" x14ac:dyDescent="0.45">
      <c r="N2866" t="s">
        <v>27</v>
      </c>
      <c r="O2866" t="s">
        <v>4736</v>
      </c>
      <c r="P2866" t="s">
        <v>2098</v>
      </c>
      <c r="Q2866">
        <v>0.85</v>
      </c>
    </row>
    <row r="2867" spans="14:17" x14ac:dyDescent="0.45">
      <c r="N2867" t="s">
        <v>27</v>
      </c>
      <c r="O2867" t="s">
        <v>4737</v>
      </c>
      <c r="P2867" t="s">
        <v>2109</v>
      </c>
      <c r="Q2867">
        <v>0.85</v>
      </c>
    </row>
    <row r="2868" spans="14:17" x14ac:dyDescent="0.45">
      <c r="N2868" t="s">
        <v>27</v>
      </c>
      <c r="O2868" t="s">
        <v>4738</v>
      </c>
      <c r="P2868" t="s">
        <v>2086</v>
      </c>
      <c r="Q2868">
        <v>0.85</v>
      </c>
    </row>
    <row r="2869" spans="14:17" x14ac:dyDescent="0.45">
      <c r="N2869" t="s">
        <v>27</v>
      </c>
      <c r="O2869" t="s">
        <v>4739</v>
      </c>
      <c r="P2869" t="s">
        <v>2089</v>
      </c>
      <c r="Q2869">
        <v>0.85</v>
      </c>
    </row>
    <row r="2870" spans="14:17" x14ac:dyDescent="0.45">
      <c r="N2870" t="s">
        <v>27</v>
      </c>
      <c r="O2870" t="s">
        <v>4740</v>
      </c>
      <c r="P2870" t="s">
        <v>2051</v>
      </c>
      <c r="Q2870">
        <v>0.85</v>
      </c>
    </row>
    <row r="2871" spans="14:17" x14ac:dyDescent="0.45">
      <c r="N2871" t="s">
        <v>27</v>
      </c>
      <c r="O2871" t="s">
        <v>4741</v>
      </c>
      <c r="P2871" t="s">
        <v>2053</v>
      </c>
      <c r="Q2871">
        <v>0.85</v>
      </c>
    </row>
    <row r="2872" spans="14:17" x14ac:dyDescent="0.45">
      <c r="N2872" t="s">
        <v>27</v>
      </c>
      <c r="O2872" t="s">
        <v>4742</v>
      </c>
      <c r="P2872" t="s">
        <v>2073</v>
      </c>
      <c r="Q2872">
        <v>0.85</v>
      </c>
    </row>
    <row r="2873" spans="14:17" x14ac:dyDescent="0.45">
      <c r="N2873" t="s">
        <v>27</v>
      </c>
      <c r="O2873" t="s">
        <v>4743</v>
      </c>
      <c r="P2873" t="s">
        <v>2075</v>
      </c>
      <c r="Q2873">
        <v>0.85</v>
      </c>
    </row>
    <row r="2874" spans="14:17" x14ac:dyDescent="0.45">
      <c r="N2874" t="s">
        <v>27</v>
      </c>
      <c r="O2874" t="s">
        <v>4744</v>
      </c>
      <c r="P2874" t="s">
        <v>2057</v>
      </c>
      <c r="Q2874">
        <v>0.85</v>
      </c>
    </row>
    <row r="2875" spans="14:17" x14ac:dyDescent="0.45">
      <c r="N2875" t="s">
        <v>27</v>
      </c>
      <c r="O2875" t="s">
        <v>4745</v>
      </c>
      <c r="P2875" t="s">
        <v>2069</v>
      </c>
      <c r="Q2875">
        <v>0.85</v>
      </c>
    </row>
    <row r="2876" spans="14:17" x14ac:dyDescent="0.45">
      <c r="N2876" t="s">
        <v>27</v>
      </c>
      <c r="O2876" t="s">
        <v>4746</v>
      </c>
      <c r="P2876" t="s">
        <v>2082</v>
      </c>
      <c r="Q2876">
        <v>0.85</v>
      </c>
    </row>
    <row r="2877" spans="14:17" x14ac:dyDescent="0.45">
      <c r="N2877" t="s">
        <v>27</v>
      </c>
      <c r="O2877" t="s">
        <v>4747</v>
      </c>
      <c r="P2877" t="s">
        <v>2076</v>
      </c>
      <c r="Q2877">
        <v>0.85</v>
      </c>
    </row>
    <row r="2878" spans="14:17" x14ac:dyDescent="0.45">
      <c r="N2878" t="s">
        <v>27</v>
      </c>
      <c r="O2878" t="s">
        <v>4748</v>
      </c>
      <c r="P2878" t="s">
        <v>2093</v>
      </c>
      <c r="Q2878">
        <v>0.85</v>
      </c>
    </row>
    <row r="2879" spans="14:17" x14ac:dyDescent="0.45">
      <c r="N2879" t="s">
        <v>27</v>
      </c>
      <c r="O2879" t="s">
        <v>4749</v>
      </c>
      <c r="P2879" t="s">
        <v>2103</v>
      </c>
      <c r="Q2879">
        <v>0.85</v>
      </c>
    </row>
    <row r="2880" spans="14:17" x14ac:dyDescent="0.45">
      <c r="N2880" t="s">
        <v>27</v>
      </c>
      <c r="O2880" t="s">
        <v>4750</v>
      </c>
      <c r="P2880" t="s">
        <v>2089</v>
      </c>
      <c r="Q2880">
        <v>0.85</v>
      </c>
    </row>
    <row r="2881" spans="14:17" x14ac:dyDescent="0.45">
      <c r="N2881" t="s">
        <v>27</v>
      </c>
      <c r="O2881" t="s">
        <v>4751</v>
      </c>
      <c r="P2881" t="s">
        <v>2071</v>
      </c>
      <c r="Q2881">
        <v>0.85</v>
      </c>
    </row>
    <row r="2882" spans="14:17" x14ac:dyDescent="0.45">
      <c r="N2882" t="s">
        <v>27</v>
      </c>
      <c r="O2882" t="s">
        <v>4752</v>
      </c>
      <c r="P2882" t="s">
        <v>2076</v>
      </c>
      <c r="Q2882">
        <v>0.85</v>
      </c>
    </row>
    <row r="2883" spans="14:17" x14ac:dyDescent="0.45">
      <c r="N2883" t="s">
        <v>27</v>
      </c>
      <c r="O2883" t="s">
        <v>4753</v>
      </c>
      <c r="P2883" t="s">
        <v>2106</v>
      </c>
      <c r="Q2883">
        <v>0.85</v>
      </c>
    </row>
    <row r="2884" spans="14:17" x14ac:dyDescent="0.45">
      <c r="N2884" t="s">
        <v>27</v>
      </c>
      <c r="O2884" t="s">
        <v>4754</v>
      </c>
      <c r="P2884" t="s">
        <v>2059</v>
      </c>
      <c r="Q2884">
        <v>0.85</v>
      </c>
    </row>
    <row r="2885" spans="14:17" x14ac:dyDescent="0.45">
      <c r="N2885" t="s">
        <v>27</v>
      </c>
      <c r="O2885" t="s">
        <v>4755</v>
      </c>
      <c r="P2885" t="s">
        <v>2078</v>
      </c>
      <c r="Q2885">
        <v>0.85</v>
      </c>
    </row>
    <row r="2886" spans="14:17" x14ac:dyDescent="0.45">
      <c r="N2886" t="s">
        <v>27</v>
      </c>
      <c r="O2886" t="s">
        <v>4756</v>
      </c>
      <c r="P2886" t="s">
        <v>2087</v>
      </c>
      <c r="Q2886">
        <v>0.85</v>
      </c>
    </row>
    <row r="2887" spans="14:17" x14ac:dyDescent="0.45">
      <c r="N2887" t="s">
        <v>27</v>
      </c>
      <c r="O2887" t="s">
        <v>4757</v>
      </c>
      <c r="P2887" t="s">
        <v>2065</v>
      </c>
      <c r="Q2887">
        <v>0.85</v>
      </c>
    </row>
    <row r="2888" spans="14:17" x14ac:dyDescent="0.45">
      <c r="N2888" t="s">
        <v>27</v>
      </c>
      <c r="O2888" t="s">
        <v>4758</v>
      </c>
      <c r="P2888" t="s">
        <v>2086</v>
      </c>
      <c r="Q2888">
        <v>0.85</v>
      </c>
    </row>
    <row r="2889" spans="14:17" x14ac:dyDescent="0.45">
      <c r="N2889" t="s">
        <v>27</v>
      </c>
      <c r="O2889" t="s">
        <v>4759</v>
      </c>
      <c r="P2889" t="s">
        <v>2077</v>
      </c>
      <c r="Q2889">
        <v>0.85</v>
      </c>
    </row>
    <row r="2890" spans="14:17" x14ac:dyDescent="0.45">
      <c r="N2890" t="s">
        <v>27</v>
      </c>
      <c r="O2890" t="s">
        <v>4760</v>
      </c>
      <c r="P2890" t="s">
        <v>2075</v>
      </c>
      <c r="Q2890">
        <v>0.85</v>
      </c>
    </row>
    <row r="2891" spans="14:17" x14ac:dyDescent="0.45">
      <c r="N2891" t="s">
        <v>27</v>
      </c>
      <c r="O2891" t="s">
        <v>4761</v>
      </c>
      <c r="P2891" t="s">
        <v>2076</v>
      </c>
      <c r="Q2891">
        <v>0.85</v>
      </c>
    </row>
    <row r="2892" spans="14:17" x14ac:dyDescent="0.45">
      <c r="N2892" t="s">
        <v>27</v>
      </c>
      <c r="O2892" t="s">
        <v>4762</v>
      </c>
      <c r="P2892" t="s">
        <v>2063</v>
      </c>
      <c r="Q2892">
        <v>0.85</v>
      </c>
    </row>
    <row r="2893" spans="14:17" x14ac:dyDescent="0.45">
      <c r="N2893" t="s">
        <v>27</v>
      </c>
      <c r="O2893" t="s">
        <v>4763</v>
      </c>
      <c r="P2893" t="s">
        <v>2055</v>
      </c>
      <c r="Q2893">
        <v>0.85</v>
      </c>
    </row>
    <row r="2894" spans="14:17" x14ac:dyDescent="0.45">
      <c r="N2894" t="s">
        <v>27</v>
      </c>
      <c r="O2894" t="s">
        <v>4764</v>
      </c>
      <c r="P2894" t="s">
        <v>2055</v>
      </c>
      <c r="Q2894">
        <v>0.85</v>
      </c>
    </row>
    <row r="2895" spans="14:17" x14ac:dyDescent="0.45">
      <c r="N2895" t="s">
        <v>27</v>
      </c>
      <c r="O2895" t="s">
        <v>4765</v>
      </c>
      <c r="P2895" t="s">
        <v>2051</v>
      </c>
      <c r="Q2895">
        <v>0.85</v>
      </c>
    </row>
    <row r="2896" spans="14:17" x14ac:dyDescent="0.45">
      <c r="N2896" t="s">
        <v>27</v>
      </c>
      <c r="O2896" t="s">
        <v>4766</v>
      </c>
      <c r="P2896" t="s">
        <v>2086</v>
      </c>
      <c r="Q2896">
        <v>0.85</v>
      </c>
    </row>
    <row r="2897" spans="14:17" x14ac:dyDescent="0.45">
      <c r="N2897" t="s">
        <v>27</v>
      </c>
      <c r="O2897" t="s">
        <v>4767</v>
      </c>
      <c r="P2897" t="s">
        <v>2069</v>
      </c>
      <c r="Q2897">
        <v>0.85</v>
      </c>
    </row>
    <row r="2898" spans="14:17" x14ac:dyDescent="0.45">
      <c r="N2898" t="s">
        <v>27</v>
      </c>
      <c r="O2898" t="s">
        <v>4768</v>
      </c>
      <c r="P2898" t="s">
        <v>2075</v>
      </c>
      <c r="Q2898">
        <v>0.85</v>
      </c>
    </row>
    <row r="2899" spans="14:17" x14ac:dyDescent="0.45">
      <c r="N2899" t="s">
        <v>27</v>
      </c>
      <c r="O2899" t="s">
        <v>4769</v>
      </c>
      <c r="P2899" t="s">
        <v>2056</v>
      </c>
      <c r="Q2899">
        <v>0.85</v>
      </c>
    </row>
    <row r="2900" spans="14:17" x14ac:dyDescent="0.45">
      <c r="N2900" t="s">
        <v>27</v>
      </c>
      <c r="O2900" t="s">
        <v>4770</v>
      </c>
      <c r="P2900" t="s">
        <v>2092</v>
      </c>
      <c r="Q2900">
        <v>0.85</v>
      </c>
    </row>
    <row r="2901" spans="14:17" x14ac:dyDescent="0.45">
      <c r="N2901" t="s">
        <v>27</v>
      </c>
      <c r="O2901" t="s">
        <v>4771</v>
      </c>
      <c r="P2901" t="s">
        <v>2059</v>
      </c>
      <c r="Q2901">
        <v>0.85</v>
      </c>
    </row>
    <row r="2902" spans="14:17" x14ac:dyDescent="0.45">
      <c r="N2902" t="s">
        <v>27</v>
      </c>
      <c r="O2902" t="s">
        <v>4772</v>
      </c>
      <c r="P2902" t="s">
        <v>2078</v>
      </c>
      <c r="Q2902">
        <v>0.85</v>
      </c>
    </row>
    <row r="2903" spans="14:17" x14ac:dyDescent="0.45">
      <c r="N2903" t="s">
        <v>27</v>
      </c>
      <c r="O2903" t="s">
        <v>4773</v>
      </c>
      <c r="P2903" t="s">
        <v>2095</v>
      </c>
      <c r="Q2903">
        <v>0.85</v>
      </c>
    </row>
    <row r="2904" spans="14:17" x14ac:dyDescent="0.45">
      <c r="N2904" t="s">
        <v>27</v>
      </c>
      <c r="O2904" t="s">
        <v>4774</v>
      </c>
      <c r="P2904" t="s">
        <v>2087</v>
      </c>
      <c r="Q2904">
        <v>0.85</v>
      </c>
    </row>
    <row r="2905" spans="14:17" x14ac:dyDescent="0.45">
      <c r="N2905" t="s">
        <v>27</v>
      </c>
      <c r="O2905" t="s">
        <v>4775</v>
      </c>
      <c r="P2905" t="s">
        <v>2058</v>
      </c>
      <c r="Q2905">
        <v>0.85</v>
      </c>
    </row>
    <row r="2906" spans="14:17" x14ac:dyDescent="0.45">
      <c r="N2906" t="s">
        <v>27</v>
      </c>
      <c r="O2906" t="s">
        <v>4776</v>
      </c>
      <c r="P2906" t="s">
        <v>2063</v>
      </c>
      <c r="Q2906">
        <v>0.85</v>
      </c>
    </row>
    <row r="2907" spans="14:17" x14ac:dyDescent="0.45">
      <c r="N2907" t="s">
        <v>27</v>
      </c>
      <c r="O2907" t="s">
        <v>4777</v>
      </c>
      <c r="P2907" t="s">
        <v>2089</v>
      </c>
      <c r="Q2907">
        <v>0.85</v>
      </c>
    </row>
    <row r="2908" spans="14:17" x14ac:dyDescent="0.45">
      <c r="N2908" t="s">
        <v>27</v>
      </c>
      <c r="O2908" t="s">
        <v>4778</v>
      </c>
      <c r="P2908" t="s">
        <v>2109</v>
      </c>
      <c r="Q2908">
        <v>0.85</v>
      </c>
    </row>
    <row r="2909" spans="14:17" x14ac:dyDescent="0.45">
      <c r="N2909" t="s">
        <v>27</v>
      </c>
      <c r="O2909" t="s">
        <v>4779</v>
      </c>
      <c r="P2909" t="s">
        <v>2096</v>
      </c>
      <c r="Q2909">
        <v>0.85</v>
      </c>
    </row>
    <row r="2910" spans="14:17" x14ac:dyDescent="0.45">
      <c r="N2910" t="s">
        <v>27</v>
      </c>
      <c r="O2910" t="s">
        <v>4780</v>
      </c>
      <c r="P2910" t="s">
        <v>2103</v>
      </c>
      <c r="Q2910">
        <v>0.85</v>
      </c>
    </row>
    <row r="2911" spans="14:17" x14ac:dyDescent="0.45">
      <c r="N2911" t="s">
        <v>27</v>
      </c>
      <c r="O2911" t="s">
        <v>4781</v>
      </c>
      <c r="P2911" t="s">
        <v>2089</v>
      </c>
      <c r="Q2911">
        <v>0.85</v>
      </c>
    </row>
    <row r="2912" spans="14:17" x14ac:dyDescent="0.45">
      <c r="N2912" t="s">
        <v>27</v>
      </c>
      <c r="O2912" t="s">
        <v>4782</v>
      </c>
      <c r="P2912" t="s">
        <v>2101</v>
      </c>
      <c r="Q2912">
        <v>0.85</v>
      </c>
    </row>
    <row r="2913" spans="14:17" x14ac:dyDescent="0.45">
      <c r="N2913" t="s">
        <v>27</v>
      </c>
      <c r="O2913" t="s">
        <v>4783</v>
      </c>
      <c r="P2913" t="s">
        <v>2076</v>
      </c>
      <c r="Q2913">
        <v>0.85</v>
      </c>
    </row>
    <row r="2914" spans="14:17" x14ac:dyDescent="0.45">
      <c r="N2914" t="s">
        <v>27</v>
      </c>
      <c r="O2914" t="s">
        <v>4784</v>
      </c>
      <c r="P2914" t="s">
        <v>2089</v>
      </c>
      <c r="Q2914">
        <v>0.85</v>
      </c>
    </row>
    <row r="2915" spans="14:17" x14ac:dyDescent="0.45">
      <c r="N2915" t="s">
        <v>27</v>
      </c>
      <c r="O2915" t="s">
        <v>4785</v>
      </c>
      <c r="P2915" t="s">
        <v>2086</v>
      </c>
      <c r="Q2915">
        <v>0.85</v>
      </c>
    </row>
    <row r="2916" spans="14:17" x14ac:dyDescent="0.45">
      <c r="N2916" t="s">
        <v>27</v>
      </c>
      <c r="O2916" t="s">
        <v>4786</v>
      </c>
      <c r="P2916" t="s">
        <v>2108</v>
      </c>
      <c r="Q2916">
        <v>0.85</v>
      </c>
    </row>
    <row r="2917" spans="14:17" x14ac:dyDescent="0.45">
      <c r="N2917" t="s">
        <v>27</v>
      </c>
      <c r="O2917" t="s">
        <v>4787</v>
      </c>
      <c r="P2917" t="s">
        <v>2101</v>
      </c>
      <c r="Q2917">
        <v>0.85</v>
      </c>
    </row>
    <row r="2918" spans="14:17" x14ac:dyDescent="0.45">
      <c r="N2918" t="s">
        <v>27</v>
      </c>
      <c r="O2918" t="s">
        <v>4788</v>
      </c>
      <c r="P2918" t="s">
        <v>2069</v>
      </c>
      <c r="Q2918">
        <v>0.85</v>
      </c>
    </row>
    <row r="2919" spans="14:17" x14ac:dyDescent="0.45">
      <c r="N2919" t="s">
        <v>27</v>
      </c>
      <c r="O2919" t="s">
        <v>4789</v>
      </c>
      <c r="P2919" t="s">
        <v>2051</v>
      </c>
      <c r="Q2919">
        <v>0.85</v>
      </c>
    </row>
    <row r="2920" spans="14:17" x14ac:dyDescent="0.45">
      <c r="N2920" t="s">
        <v>27</v>
      </c>
      <c r="O2920" t="s">
        <v>4790</v>
      </c>
      <c r="P2920" t="s">
        <v>2065</v>
      </c>
      <c r="Q2920">
        <v>0.85</v>
      </c>
    </row>
    <row r="2921" spans="14:17" x14ac:dyDescent="0.45">
      <c r="N2921" t="s">
        <v>27</v>
      </c>
      <c r="O2921" t="s">
        <v>4791</v>
      </c>
      <c r="P2921" t="s">
        <v>2089</v>
      </c>
      <c r="Q2921">
        <v>0.85</v>
      </c>
    </row>
    <row r="2922" spans="14:17" x14ac:dyDescent="0.45">
      <c r="N2922" t="s">
        <v>27</v>
      </c>
      <c r="O2922" t="s">
        <v>4792</v>
      </c>
      <c r="P2922" t="s">
        <v>2078</v>
      </c>
      <c r="Q2922">
        <v>0.85</v>
      </c>
    </row>
    <row r="2923" spans="14:17" x14ac:dyDescent="0.45">
      <c r="N2923" t="s">
        <v>27</v>
      </c>
      <c r="O2923" t="s">
        <v>4793</v>
      </c>
      <c r="P2923" t="s">
        <v>2103</v>
      </c>
      <c r="Q2923">
        <v>0.85</v>
      </c>
    </row>
    <row r="2924" spans="14:17" x14ac:dyDescent="0.45">
      <c r="N2924" t="s">
        <v>27</v>
      </c>
      <c r="O2924" t="s">
        <v>4794</v>
      </c>
      <c r="P2924" t="s">
        <v>2055</v>
      </c>
      <c r="Q2924">
        <v>0.85</v>
      </c>
    </row>
    <row r="2925" spans="14:17" x14ac:dyDescent="0.45">
      <c r="N2925" t="s">
        <v>27</v>
      </c>
      <c r="O2925" t="s">
        <v>4795</v>
      </c>
      <c r="P2925" t="s">
        <v>2087</v>
      </c>
      <c r="Q2925">
        <v>0.85</v>
      </c>
    </row>
    <row r="2926" spans="14:17" x14ac:dyDescent="0.45">
      <c r="N2926" t="s">
        <v>27</v>
      </c>
      <c r="O2926" t="s">
        <v>4796</v>
      </c>
      <c r="P2926" t="s">
        <v>2071</v>
      </c>
      <c r="Q2926">
        <v>0.85</v>
      </c>
    </row>
    <row r="2927" spans="14:17" x14ac:dyDescent="0.45">
      <c r="N2927" t="s">
        <v>27</v>
      </c>
      <c r="O2927" t="s">
        <v>4797</v>
      </c>
      <c r="P2927" t="s">
        <v>2075</v>
      </c>
      <c r="Q2927">
        <v>0.85</v>
      </c>
    </row>
    <row r="2928" spans="14:17" x14ac:dyDescent="0.45">
      <c r="N2928" t="s">
        <v>27</v>
      </c>
      <c r="O2928" t="s">
        <v>4798</v>
      </c>
      <c r="P2928" t="s">
        <v>2095</v>
      </c>
      <c r="Q2928">
        <v>0.85</v>
      </c>
    </row>
    <row r="2929" spans="14:17" x14ac:dyDescent="0.45">
      <c r="N2929" t="s">
        <v>27</v>
      </c>
      <c r="O2929" t="s">
        <v>4799</v>
      </c>
      <c r="P2929" t="s">
        <v>2086</v>
      </c>
      <c r="Q2929">
        <v>0.85</v>
      </c>
    </row>
    <row r="2930" spans="14:17" x14ac:dyDescent="0.45">
      <c r="N2930" t="s">
        <v>27</v>
      </c>
      <c r="O2930" t="s">
        <v>4800</v>
      </c>
      <c r="P2930" t="s">
        <v>2094</v>
      </c>
      <c r="Q2930">
        <v>0.85</v>
      </c>
    </row>
    <row r="2931" spans="14:17" x14ac:dyDescent="0.45">
      <c r="N2931" t="s">
        <v>27</v>
      </c>
      <c r="O2931" t="s">
        <v>4801</v>
      </c>
      <c r="P2931" t="s">
        <v>2059</v>
      </c>
      <c r="Q2931">
        <v>0.85</v>
      </c>
    </row>
    <row r="2932" spans="14:17" x14ac:dyDescent="0.45">
      <c r="N2932" t="s">
        <v>27</v>
      </c>
      <c r="O2932" t="s">
        <v>4802</v>
      </c>
      <c r="P2932" t="s">
        <v>2103</v>
      </c>
      <c r="Q2932">
        <v>0.85</v>
      </c>
    </row>
    <row r="2933" spans="14:17" x14ac:dyDescent="0.45">
      <c r="N2933" t="s">
        <v>27</v>
      </c>
      <c r="O2933" t="s">
        <v>4803</v>
      </c>
      <c r="P2933" t="s">
        <v>2052</v>
      </c>
      <c r="Q2933">
        <v>0.85</v>
      </c>
    </row>
    <row r="2934" spans="14:17" x14ac:dyDescent="0.45">
      <c r="N2934" t="s">
        <v>27</v>
      </c>
      <c r="O2934" t="s">
        <v>4804</v>
      </c>
      <c r="P2934" t="s">
        <v>2070</v>
      </c>
      <c r="Q2934">
        <v>0.85</v>
      </c>
    </row>
    <row r="2935" spans="14:17" x14ac:dyDescent="0.45">
      <c r="N2935" t="s">
        <v>27</v>
      </c>
      <c r="O2935" t="s">
        <v>4805</v>
      </c>
      <c r="P2935" t="s">
        <v>2053</v>
      </c>
      <c r="Q2935">
        <v>0.85</v>
      </c>
    </row>
    <row r="2936" spans="14:17" x14ac:dyDescent="0.45">
      <c r="N2936" t="s">
        <v>27</v>
      </c>
      <c r="O2936" t="s">
        <v>4806</v>
      </c>
      <c r="P2936" t="s">
        <v>2101</v>
      </c>
      <c r="Q2936">
        <v>0.85</v>
      </c>
    </row>
    <row r="2937" spans="14:17" x14ac:dyDescent="0.45">
      <c r="N2937" t="s">
        <v>27</v>
      </c>
      <c r="O2937" t="s">
        <v>4807</v>
      </c>
      <c r="P2937" t="s">
        <v>2067</v>
      </c>
      <c r="Q2937">
        <v>0.85</v>
      </c>
    </row>
    <row r="2938" spans="14:17" x14ac:dyDescent="0.45">
      <c r="N2938" t="s">
        <v>27</v>
      </c>
      <c r="O2938" t="s">
        <v>4808</v>
      </c>
      <c r="P2938" t="s">
        <v>2094</v>
      </c>
      <c r="Q2938">
        <v>0.85</v>
      </c>
    </row>
    <row r="2939" spans="14:17" x14ac:dyDescent="0.45">
      <c r="N2939" t="s">
        <v>27</v>
      </c>
      <c r="O2939" t="s">
        <v>4809</v>
      </c>
      <c r="P2939" t="s">
        <v>2057</v>
      </c>
      <c r="Q2939">
        <v>0.85</v>
      </c>
    </row>
    <row r="2940" spans="14:17" x14ac:dyDescent="0.45">
      <c r="N2940" t="s">
        <v>27</v>
      </c>
      <c r="O2940" t="s">
        <v>4810</v>
      </c>
      <c r="P2940" t="s">
        <v>2051</v>
      </c>
      <c r="Q2940">
        <v>0.85</v>
      </c>
    </row>
    <row r="2941" spans="14:17" x14ac:dyDescent="0.45">
      <c r="N2941" t="s">
        <v>27</v>
      </c>
      <c r="O2941" t="s">
        <v>4811</v>
      </c>
      <c r="P2941" t="s">
        <v>2055</v>
      </c>
      <c r="Q2941">
        <v>0.85</v>
      </c>
    </row>
    <row r="2942" spans="14:17" x14ac:dyDescent="0.45">
      <c r="N2942" t="s">
        <v>27</v>
      </c>
      <c r="O2942" t="s">
        <v>4812</v>
      </c>
      <c r="P2942" t="s">
        <v>2081</v>
      </c>
      <c r="Q2942">
        <v>0.85</v>
      </c>
    </row>
    <row r="2943" spans="14:17" x14ac:dyDescent="0.45">
      <c r="N2943" t="s">
        <v>27</v>
      </c>
      <c r="O2943" t="s">
        <v>4813</v>
      </c>
      <c r="P2943" t="s">
        <v>2086</v>
      </c>
      <c r="Q2943">
        <v>0.85</v>
      </c>
    </row>
    <row r="2944" spans="14:17" x14ac:dyDescent="0.45">
      <c r="N2944" t="s">
        <v>27</v>
      </c>
      <c r="O2944" t="s">
        <v>4814</v>
      </c>
      <c r="P2944" t="s">
        <v>2079</v>
      </c>
      <c r="Q2944">
        <v>0.85</v>
      </c>
    </row>
    <row r="2945" spans="14:17" x14ac:dyDescent="0.45">
      <c r="N2945" t="s">
        <v>27</v>
      </c>
      <c r="O2945" t="s">
        <v>4815</v>
      </c>
      <c r="P2945" t="s">
        <v>2103</v>
      </c>
      <c r="Q2945">
        <v>0.85</v>
      </c>
    </row>
    <row r="2946" spans="14:17" x14ac:dyDescent="0.45">
      <c r="N2946" t="s">
        <v>27</v>
      </c>
      <c r="O2946" t="s">
        <v>4816</v>
      </c>
      <c r="P2946" t="s">
        <v>2086</v>
      </c>
      <c r="Q2946">
        <v>0.85</v>
      </c>
    </row>
    <row r="2947" spans="14:17" x14ac:dyDescent="0.45">
      <c r="N2947" t="s">
        <v>27</v>
      </c>
      <c r="O2947" t="s">
        <v>4817</v>
      </c>
      <c r="P2947" t="s">
        <v>2098</v>
      </c>
      <c r="Q2947">
        <v>0.85</v>
      </c>
    </row>
    <row r="2948" spans="14:17" x14ac:dyDescent="0.45">
      <c r="N2948" t="s">
        <v>27</v>
      </c>
      <c r="O2948" t="s">
        <v>4818</v>
      </c>
      <c r="P2948" t="s">
        <v>2069</v>
      </c>
      <c r="Q2948">
        <v>0.85</v>
      </c>
    </row>
    <row r="2949" spans="14:17" x14ac:dyDescent="0.45">
      <c r="N2949" t="s">
        <v>27</v>
      </c>
      <c r="O2949" t="s">
        <v>4819</v>
      </c>
      <c r="P2949" t="s">
        <v>2076</v>
      </c>
      <c r="Q2949">
        <v>0.85</v>
      </c>
    </row>
    <row r="2950" spans="14:17" x14ac:dyDescent="0.45">
      <c r="N2950" t="s">
        <v>27</v>
      </c>
      <c r="O2950" t="s">
        <v>4820</v>
      </c>
      <c r="P2950" t="s">
        <v>2059</v>
      </c>
      <c r="Q2950">
        <v>0.85</v>
      </c>
    </row>
    <row r="2951" spans="14:17" x14ac:dyDescent="0.45">
      <c r="N2951" t="s">
        <v>27</v>
      </c>
      <c r="O2951" t="s">
        <v>4821</v>
      </c>
      <c r="P2951" t="s">
        <v>2106</v>
      </c>
      <c r="Q2951">
        <v>0.85</v>
      </c>
    </row>
    <row r="2952" spans="14:17" x14ac:dyDescent="0.45">
      <c r="N2952" t="s">
        <v>27</v>
      </c>
      <c r="O2952" t="s">
        <v>4822</v>
      </c>
      <c r="P2952" t="s">
        <v>2081</v>
      </c>
      <c r="Q2952">
        <v>0.85</v>
      </c>
    </row>
    <row r="2953" spans="14:17" x14ac:dyDescent="0.45">
      <c r="N2953" t="s">
        <v>27</v>
      </c>
      <c r="O2953" t="s">
        <v>4823</v>
      </c>
      <c r="P2953" t="s">
        <v>2106</v>
      </c>
      <c r="Q2953">
        <v>0.85</v>
      </c>
    </row>
    <row r="2954" spans="14:17" x14ac:dyDescent="0.45">
      <c r="N2954" t="s">
        <v>27</v>
      </c>
      <c r="O2954" t="s">
        <v>4824</v>
      </c>
      <c r="P2954" t="s">
        <v>2101</v>
      </c>
      <c r="Q2954">
        <v>0.85</v>
      </c>
    </row>
    <row r="2955" spans="14:17" x14ac:dyDescent="0.45">
      <c r="N2955" t="s">
        <v>27</v>
      </c>
      <c r="O2955" t="s">
        <v>4825</v>
      </c>
      <c r="P2955" t="s">
        <v>2090</v>
      </c>
      <c r="Q2955">
        <v>0.85</v>
      </c>
    </row>
    <row r="2956" spans="14:17" x14ac:dyDescent="0.45">
      <c r="N2956" t="s">
        <v>27</v>
      </c>
      <c r="O2956" t="s">
        <v>4826</v>
      </c>
      <c r="P2956" t="s">
        <v>2086</v>
      </c>
      <c r="Q2956">
        <v>0.85</v>
      </c>
    </row>
    <row r="2957" spans="14:17" x14ac:dyDescent="0.45">
      <c r="N2957" t="s">
        <v>27</v>
      </c>
      <c r="O2957" t="s">
        <v>4827</v>
      </c>
      <c r="P2957" t="s">
        <v>2087</v>
      </c>
      <c r="Q2957">
        <v>0.85</v>
      </c>
    </row>
    <row r="2958" spans="14:17" x14ac:dyDescent="0.45">
      <c r="N2958" t="s">
        <v>27</v>
      </c>
      <c r="O2958" t="s">
        <v>4828</v>
      </c>
      <c r="P2958" t="s">
        <v>2099</v>
      </c>
      <c r="Q2958">
        <v>0.85</v>
      </c>
    </row>
    <row r="2959" spans="14:17" x14ac:dyDescent="0.45">
      <c r="N2959" t="s">
        <v>27</v>
      </c>
      <c r="O2959" t="s">
        <v>4829</v>
      </c>
      <c r="P2959" t="s">
        <v>2106</v>
      </c>
      <c r="Q2959">
        <v>0.85</v>
      </c>
    </row>
    <row r="2960" spans="14:17" x14ac:dyDescent="0.45">
      <c r="N2960" t="s">
        <v>27</v>
      </c>
      <c r="O2960" t="s">
        <v>4830</v>
      </c>
      <c r="P2960" t="s">
        <v>2067</v>
      </c>
      <c r="Q2960">
        <v>0.85</v>
      </c>
    </row>
    <row r="2961" spans="14:17" x14ac:dyDescent="0.45">
      <c r="N2961" t="s">
        <v>27</v>
      </c>
      <c r="O2961" t="s">
        <v>4831</v>
      </c>
      <c r="P2961" t="s">
        <v>2097</v>
      </c>
      <c r="Q2961">
        <v>0.85</v>
      </c>
    </row>
    <row r="2962" spans="14:17" x14ac:dyDescent="0.45">
      <c r="N2962" t="s">
        <v>27</v>
      </c>
      <c r="O2962" t="s">
        <v>4832</v>
      </c>
      <c r="P2962" t="s">
        <v>2107</v>
      </c>
      <c r="Q2962">
        <v>0.85</v>
      </c>
    </row>
    <row r="2963" spans="14:17" x14ac:dyDescent="0.45">
      <c r="N2963" t="s">
        <v>27</v>
      </c>
      <c r="O2963" t="s">
        <v>4833</v>
      </c>
      <c r="P2963" t="s">
        <v>2075</v>
      </c>
      <c r="Q2963">
        <v>0.85</v>
      </c>
    </row>
    <row r="2964" spans="14:17" x14ac:dyDescent="0.45">
      <c r="N2964" t="s">
        <v>27</v>
      </c>
      <c r="O2964" t="s">
        <v>4834</v>
      </c>
      <c r="P2964" t="s">
        <v>2103</v>
      </c>
      <c r="Q2964">
        <v>0.85</v>
      </c>
    </row>
    <row r="2965" spans="14:17" x14ac:dyDescent="0.45">
      <c r="N2965" t="s">
        <v>27</v>
      </c>
      <c r="O2965" t="s">
        <v>4835</v>
      </c>
      <c r="P2965" t="s">
        <v>2083</v>
      </c>
      <c r="Q2965">
        <v>0.85</v>
      </c>
    </row>
    <row r="2966" spans="14:17" x14ac:dyDescent="0.45">
      <c r="N2966" t="s">
        <v>27</v>
      </c>
      <c r="O2966" t="s">
        <v>4836</v>
      </c>
      <c r="P2966" t="s">
        <v>2086</v>
      </c>
      <c r="Q2966">
        <v>0.85</v>
      </c>
    </row>
    <row r="2967" spans="14:17" x14ac:dyDescent="0.45">
      <c r="N2967" t="s">
        <v>27</v>
      </c>
      <c r="O2967" t="s">
        <v>4837</v>
      </c>
      <c r="P2967" t="s">
        <v>2077</v>
      </c>
      <c r="Q2967">
        <v>0.85</v>
      </c>
    </row>
    <row r="2968" spans="14:17" x14ac:dyDescent="0.45">
      <c r="N2968" t="s">
        <v>27</v>
      </c>
      <c r="O2968" t="s">
        <v>4838</v>
      </c>
      <c r="P2968" t="s">
        <v>2051</v>
      </c>
      <c r="Q2968">
        <v>0.85</v>
      </c>
    </row>
    <row r="2969" spans="14:17" x14ac:dyDescent="0.45">
      <c r="N2969" t="s">
        <v>27</v>
      </c>
      <c r="O2969" t="s">
        <v>4839</v>
      </c>
      <c r="P2969" t="s">
        <v>2087</v>
      </c>
      <c r="Q2969">
        <v>0.85</v>
      </c>
    </row>
    <row r="2970" spans="14:17" x14ac:dyDescent="0.45">
      <c r="N2970" t="s">
        <v>27</v>
      </c>
      <c r="O2970" t="s">
        <v>4840</v>
      </c>
      <c r="P2970" t="s">
        <v>2061</v>
      </c>
      <c r="Q2970">
        <v>0.85</v>
      </c>
    </row>
    <row r="2971" spans="14:17" x14ac:dyDescent="0.45">
      <c r="N2971" t="s">
        <v>27</v>
      </c>
      <c r="O2971" t="s">
        <v>4841</v>
      </c>
      <c r="P2971" t="s">
        <v>2068</v>
      </c>
      <c r="Q2971">
        <v>0.85</v>
      </c>
    </row>
    <row r="2972" spans="14:17" x14ac:dyDescent="0.45">
      <c r="N2972" t="s">
        <v>27</v>
      </c>
      <c r="O2972" t="s">
        <v>4842</v>
      </c>
      <c r="P2972" t="s">
        <v>2086</v>
      </c>
      <c r="Q2972">
        <v>0.85</v>
      </c>
    </row>
    <row r="2973" spans="14:17" x14ac:dyDescent="0.45">
      <c r="N2973" t="s">
        <v>27</v>
      </c>
      <c r="O2973" t="s">
        <v>4843</v>
      </c>
      <c r="P2973" t="s">
        <v>2051</v>
      </c>
      <c r="Q2973">
        <v>0.85</v>
      </c>
    </row>
    <row r="2974" spans="14:17" x14ac:dyDescent="0.45">
      <c r="N2974" t="s">
        <v>27</v>
      </c>
      <c r="O2974" t="s">
        <v>4844</v>
      </c>
      <c r="P2974" t="s">
        <v>2093</v>
      </c>
      <c r="Q2974">
        <v>0.85</v>
      </c>
    </row>
    <row r="2975" spans="14:17" x14ac:dyDescent="0.45">
      <c r="N2975" t="s">
        <v>27</v>
      </c>
      <c r="O2975" t="s">
        <v>4845</v>
      </c>
      <c r="P2975" t="s">
        <v>2069</v>
      </c>
      <c r="Q2975">
        <v>0.85</v>
      </c>
    </row>
    <row r="2976" spans="14:17" x14ac:dyDescent="0.45">
      <c r="N2976" t="s">
        <v>27</v>
      </c>
      <c r="O2976" t="s">
        <v>4846</v>
      </c>
      <c r="P2976" t="s">
        <v>2055</v>
      </c>
      <c r="Q2976">
        <v>0.85</v>
      </c>
    </row>
    <row r="2977" spans="14:17" x14ac:dyDescent="0.45">
      <c r="N2977" t="s">
        <v>27</v>
      </c>
      <c r="O2977" t="s">
        <v>4847</v>
      </c>
      <c r="P2977" t="s">
        <v>2078</v>
      </c>
      <c r="Q2977">
        <v>0.85</v>
      </c>
    </row>
    <row r="2978" spans="14:17" x14ac:dyDescent="0.45">
      <c r="N2978" t="s">
        <v>27</v>
      </c>
      <c r="O2978" t="s">
        <v>4848</v>
      </c>
      <c r="P2978" t="s">
        <v>2078</v>
      </c>
      <c r="Q2978">
        <v>0.85</v>
      </c>
    </row>
    <row r="2979" spans="14:17" x14ac:dyDescent="0.45">
      <c r="N2979" t="s">
        <v>27</v>
      </c>
      <c r="O2979" t="s">
        <v>4849</v>
      </c>
      <c r="P2979" t="s">
        <v>2059</v>
      </c>
      <c r="Q2979">
        <v>0.85</v>
      </c>
    </row>
    <row r="2980" spans="14:17" x14ac:dyDescent="0.45">
      <c r="N2980" t="s">
        <v>27</v>
      </c>
      <c r="O2980" t="s">
        <v>4850</v>
      </c>
      <c r="P2980" t="s">
        <v>2055</v>
      </c>
      <c r="Q2980">
        <v>0.85</v>
      </c>
    </row>
    <row r="2981" spans="14:17" x14ac:dyDescent="0.45">
      <c r="N2981" t="s">
        <v>27</v>
      </c>
      <c r="O2981" t="s">
        <v>4851</v>
      </c>
      <c r="P2981" t="s">
        <v>2058</v>
      </c>
      <c r="Q2981">
        <v>0.85</v>
      </c>
    </row>
    <row r="2982" spans="14:17" x14ac:dyDescent="0.45">
      <c r="N2982" t="s">
        <v>27</v>
      </c>
      <c r="O2982" t="s">
        <v>4852</v>
      </c>
      <c r="P2982" t="s">
        <v>2101</v>
      </c>
      <c r="Q2982">
        <v>0.85</v>
      </c>
    </row>
    <row r="2983" spans="14:17" x14ac:dyDescent="0.45">
      <c r="N2983" t="s">
        <v>27</v>
      </c>
      <c r="O2983" t="s">
        <v>4853</v>
      </c>
      <c r="P2983" t="s">
        <v>2077</v>
      </c>
      <c r="Q2983">
        <v>0.85</v>
      </c>
    </row>
    <row r="2984" spans="14:17" x14ac:dyDescent="0.45">
      <c r="N2984" t="s">
        <v>27</v>
      </c>
      <c r="O2984" t="s">
        <v>4854</v>
      </c>
      <c r="P2984" t="s">
        <v>2059</v>
      </c>
      <c r="Q2984">
        <v>0.85</v>
      </c>
    </row>
    <row r="2985" spans="14:17" x14ac:dyDescent="0.45">
      <c r="N2985" t="s">
        <v>27</v>
      </c>
      <c r="O2985" t="s">
        <v>4855</v>
      </c>
      <c r="P2985" t="s">
        <v>2068</v>
      </c>
      <c r="Q2985">
        <v>0.85</v>
      </c>
    </row>
    <row r="2986" spans="14:17" x14ac:dyDescent="0.45">
      <c r="N2986" t="s">
        <v>27</v>
      </c>
      <c r="O2986" t="s">
        <v>4856</v>
      </c>
      <c r="P2986" t="s">
        <v>2069</v>
      </c>
      <c r="Q2986">
        <v>0.85</v>
      </c>
    </row>
    <row r="2987" spans="14:17" x14ac:dyDescent="0.45">
      <c r="N2987" t="s">
        <v>27</v>
      </c>
      <c r="O2987" t="s">
        <v>4857</v>
      </c>
      <c r="P2987" t="s">
        <v>2067</v>
      </c>
      <c r="Q2987">
        <v>0.85</v>
      </c>
    </row>
    <row r="2988" spans="14:17" x14ac:dyDescent="0.45">
      <c r="N2988" t="s">
        <v>27</v>
      </c>
      <c r="O2988" t="s">
        <v>4858</v>
      </c>
      <c r="P2988" t="s">
        <v>2051</v>
      </c>
      <c r="Q2988">
        <v>0.85</v>
      </c>
    </row>
    <row r="2989" spans="14:17" x14ac:dyDescent="0.45">
      <c r="N2989" t="s">
        <v>27</v>
      </c>
      <c r="O2989" t="s">
        <v>4859</v>
      </c>
      <c r="P2989" t="s">
        <v>2089</v>
      </c>
      <c r="Q2989">
        <v>0.85</v>
      </c>
    </row>
    <row r="2990" spans="14:17" x14ac:dyDescent="0.45">
      <c r="N2990" t="s">
        <v>27</v>
      </c>
      <c r="O2990" t="s">
        <v>4860</v>
      </c>
      <c r="P2990" t="s">
        <v>2105</v>
      </c>
      <c r="Q2990">
        <v>0.85</v>
      </c>
    </row>
    <row r="2991" spans="14:17" x14ac:dyDescent="0.45">
      <c r="N2991" t="s">
        <v>27</v>
      </c>
      <c r="O2991" t="s">
        <v>4861</v>
      </c>
      <c r="P2991" t="s">
        <v>2072</v>
      </c>
      <c r="Q2991">
        <v>0.85</v>
      </c>
    </row>
    <row r="2992" spans="14:17" x14ac:dyDescent="0.45">
      <c r="N2992" t="s">
        <v>27</v>
      </c>
      <c r="O2992" t="s">
        <v>4862</v>
      </c>
      <c r="P2992" t="s">
        <v>2054</v>
      </c>
      <c r="Q2992">
        <v>0.85</v>
      </c>
    </row>
    <row r="2993" spans="14:17" x14ac:dyDescent="0.45">
      <c r="N2993" t="s">
        <v>27</v>
      </c>
      <c r="O2993" t="s">
        <v>4863</v>
      </c>
      <c r="P2993" t="s">
        <v>2065</v>
      </c>
      <c r="Q2993">
        <v>0.85</v>
      </c>
    </row>
    <row r="2994" spans="14:17" x14ac:dyDescent="0.45">
      <c r="N2994" t="s">
        <v>27</v>
      </c>
      <c r="O2994" t="s">
        <v>4864</v>
      </c>
      <c r="P2994" t="s">
        <v>2078</v>
      </c>
      <c r="Q2994">
        <v>0.85</v>
      </c>
    </row>
    <row r="2995" spans="14:17" x14ac:dyDescent="0.45">
      <c r="N2995" t="s">
        <v>27</v>
      </c>
      <c r="O2995" t="s">
        <v>4865</v>
      </c>
      <c r="P2995" t="s">
        <v>2078</v>
      </c>
      <c r="Q2995">
        <v>0.85</v>
      </c>
    </row>
    <row r="2996" spans="14:17" x14ac:dyDescent="0.45">
      <c r="N2996" t="s">
        <v>27</v>
      </c>
      <c r="O2996" t="s">
        <v>4866</v>
      </c>
      <c r="P2996" t="s">
        <v>2075</v>
      </c>
      <c r="Q2996">
        <v>0.85</v>
      </c>
    </row>
    <row r="2997" spans="14:17" x14ac:dyDescent="0.45">
      <c r="N2997" t="s">
        <v>27</v>
      </c>
      <c r="O2997" t="s">
        <v>4867</v>
      </c>
      <c r="P2997" t="s">
        <v>2092</v>
      </c>
      <c r="Q2997">
        <v>0.85</v>
      </c>
    </row>
    <row r="2998" spans="14:17" x14ac:dyDescent="0.45">
      <c r="N2998" t="s">
        <v>27</v>
      </c>
      <c r="O2998" t="s">
        <v>4868</v>
      </c>
      <c r="P2998" t="s">
        <v>2084</v>
      </c>
      <c r="Q2998">
        <v>0.85</v>
      </c>
    </row>
    <row r="2999" spans="14:17" x14ac:dyDescent="0.45">
      <c r="N2999" t="s">
        <v>27</v>
      </c>
      <c r="O2999" t="s">
        <v>4869</v>
      </c>
      <c r="P2999" t="s">
        <v>2079</v>
      </c>
      <c r="Q2999">
        <v>0.85</v>
      </c>
    </row>
    <row r="3000" spans="14:17" x14ac:dyDescent="0.45">
      <c r="N3000" t="s">
        <v>27</v>
      </c>
      <c r="O3000" t="s">
        <v>4870</v>
      </c>
      <c r="P3000" t="s">
        <v>2092</v>
      </c>
      <c r="Q3000">
        <v>0.85</v>
      </c>
    </row>
    <row r="3001" spans="14:17" x14ac:dyDescent="0.45">
      <c r="N3001" t="s">
        <v>27</v>
      </c>
      <c r="O3001" t="s">
        <v>4871</v>
      </c>
      <c r="P3001" t="s">
        <v>2107</v>
      </c>
      <c r="Q3001">
        <v>0.85</v>
      </c>
    </row>
    <row r="3002" spans="14:17" x14ac:dyDescent="0.45">
      <c r="N3002" t="s">
        <v>27</v>
      </c>
      <c r="O3002" t="s">
        <v>4872</v>
      </c>
      <c r="P3002" t="s">
        <v>2055</v>
      </c>
      <c r="Q3002">
        <v>0.85</v>
      </c>
    </row>
    <row r="3003" spans="14:17" x14ac:dyDescent="0.45">
      <c r="N3003" t="s">
        <v>27</v>
      </c>
      <c r="O3003" t="s">
        <v>4873</v>
      </c>
      <c r="P3003" t="s">
        <v>2101</v>
      </c>
      <c r="Q3003">
        <v>0.85</v>
      </c>
    </row>
    <row r="3004" spans="14:17" x14ac:dyDescent="0.45">
      <c r="N3004" t="s">
        <v>27</v>
      </c>
      <c r="O3004" t="s">
        <v>4874</v>
      </c>
      <c r="P3004" t="s">
        <v>2062</v>
      </c>
      <c r="Q3004">
        <v>0.85</v>
      </c>
    </row>
    <row r="3005" spans="14:17" x14ac:dyDescent="0.45">
      <c r="N3005" t="s">
        <v>27</v>
      </c>
      <c r="O3005" t="s">
        <v>4875</v>
      </c>
      <c r="P3005" t="s">
        <v>2087</v>
      </c>
      <c r="Q3005">
        <v>0.85</v>
      </c>
    </row>
    <row r="3006" spans="14:17" x14ac:dyDescent="0.45">
      <c r="N3006" t="s">
        <v>27</v>
      </c>
      <c r="O3006" t="s">
        <v>4876</v>
      </c>
      <c r="P3006" t="s">
        <v>2075</v>
      </c>
      <c r="Q3006">
        <v>0.85</v>
      </c>
    </row>
    <row r="3007" spans="14:17" x14ac:dyDescent="0.45">
      <c r="N3007" t="s">
        <v>27</v>
      </c>
      <c r="O3007" t="s">
        <v>4877</v>
      </c>
      <c r="P3007" t="s">
        <v>2097</v>
      </c>
      <c r="Q3007">
        <v>0.85</v>
      </c>
    </row>
    <row r="3008" spans="14:17" x14ac:dyDescent="0.45">
      <c r="N3008" t="s">
        <v>27</v>
      </c>
      <c r="O3008" t="s">
        <v>4878</v>
      </c>
      <c r="P3008" t="s">
        <v>2102</v>
      </c>
      <c r="Q3008">
        <v>0.85</v>
      </c>
    </row>
    <row r="3009" spans="14:17" x14ac:dyDescent="0.45">
      <c r="N3009" t="s">
        <v>27</v>
      </c>
      <c r="O3009" t="s">
        <v>4879</v>
      </c>
      <c r="P3009" t="s">
        <v>2089</v>
      </c>
      <c r="Q3009">
        <v>0.95</v>
      </c>
    </row>
    <row r="3010" spans="14:17" x14ac:dyDescent="0.45">
      <c r="N3010" t="s">
        <v>27</v>
      </c>
      <c r="O3010" t="s">
        <v>4880</v>
      </c>
      <c r="P3010" t="s">
        <v>2089</v>
      </c>
      <c r="Q3010">
        <v>0.95</v>
      </c>
    </row>
    <row r="3011" spans="14:17" x14ac:dyDescent="0.45">
      <c r="N3011" t="s">
        <v>27</v>
      </c>
      <c r="O3011" t="s">
        <v>4881</v>
      </c>
      <c r="P3011" t="s">
        <v>2077</v>
      </c>
      <c r="Q3011">
        <v>0.95</v>
      </c>
    </row>
    <row r="3012" spans="14:17" x14ac:dyDescent="0.45">
      <c r="N3012" t="s">
        <v>27</v>
      </c>
      <c r="O3012" t="s">
        <v>4882</v>
      </c>
      <c r="P3012" t="s">
        <v>2063</v>
      </c>
      <c r="Q3012">
        <v>0.95</v>
      </c>
    </row>
    <row r="3013" spans="14:17" x14ac:dyDescent="0.45">
      <c r="N3013" t="s">
        <v>27</v>
      </c>
      <c r="O3013" t="s">
        <v>4883</v>
      </c>
      <c r="P3013" t="s">
        <v>2084</v>
      </c>
      <c r="Q3013">
        <v>0.95</v>
      </c>
    </row>
    <row r="3014" spans="14:17" x14ac:dyDescent="0.45">
      <c r="N3014" t="s">
        <v>27</v>
      </c>
      <c r="O3014" t="s">
        <v>4884</v>
      </c>
      <c r="P3014" t="s">
        <v>2098</v>
      </c>
      <c r="Q3014">
        <v>0.95</v>
      </c>
    </row>
    <row r="3015" spans="14:17" x14ac:dyDescent="0.45">
      <c r="N3015" t="s">
        <v>27</v>
      </c>
      <c r="O3015" t="s">
        <v>4885</v>
      </c>
      <c r="P3015" t="s">
        <v>2051</v>
      </c>
      <c r="Q3015">
        <v>0.95</v>
      </c>
    </row>
    <row r="3016" spans="14:17" x14ac:dyDescent="0.45">
      <c r="N3016" t="s">
        <v>27</v>
      </c>
      <c r="O3016" t="s">
        <v>4886</v>
      </c>
      <c r="P3016" t="s">
        <v>2098</v>
      </c>
      <c r="Q3016">
        <v>0.95</v>
      </c>
    </row>
    <row r="3017" spans="14:17" x14ac:dyDescent="0.45">
      <c r="N3017" t="s">
        <v>27</v>
      </c>
      <c r="O3017" t="s">
        <v>4887</v>
      </c>
      <c r="P3017" t="s">
        <v>2104</v>
      </c>
      <c r="Q3017">
        <v>0.95</v>
      </c>
    </row>
    <row r="3018" spans="14:17" x14ac:dyDescent="0.45">
      <c r="N3018" t="s">
        <v>27</v>
      </c>
      <c r="O3018" t="s">
        <v>4888</v>
      </c>
      <c r="P3018" t="s">
        <v>2089</v>
      </c>
      <c r="Q3018">
        <v>0.95</v>
      </c>
    </row>
    <row r="3019" spans="14:17" x14ac:dyDescent="0.45">
      <c r="N3019" t="s">
        <v>27</v>
      </c>
      <c r="O3019" t="s">
        <v>4889</v>
      </c>
      <c r="P3019" t="s">
        <v>2084</v>
      </c>
      <c r="Q3019">
        <v>0.95</v>
      </c>
    </row>
    <row r="3020" spans="14:17" x14ac:dyDescent="0.45">
      <c r="N3020" t="s">
        <v>27</v>
      </c>
      <c r="O3020" t="s">
        <v>4890</v>
      </c>
      <c r="P3020" t="s">
        <v>2089</v>
      </c>
      <c r="Q3020">
        <v>0.95</v>
      </c>
    </row>
    <row r="3021" spans="14:17" x14ac:dyDescent="0.45">
      <c r="N3021" t="s">
        <v>27</v>
      </c>
      <c r="O3021" t="s">
        <v>4891</v>
      </c>
      <c r="P3021" t="s">
        <v>2107</v>
      </c>
      <c r="Q3021">
        <v>0.95</v>
      </c>
    </row>
    <row r="3022" spans="14:17" x14ac:dyDescent="0.45">
      <c r="N3022" t="s">
        <v>27</v>
      </c>
      <c r="O3022" t="s">
        <v>4892</v>
      </c>
      <c r="P3022" t="s">
        <v>2077</v>
      </c>
      <c r="Q3022">
        <v>0.95</v>
      </c>
    </row>
    <row r="3023" spans="14:17" x14ac:dyDescent="0.45">
      <c r="N3023" t="s">
        <v>27</v>
      </c>
      <c r="O3023" t="s">
        <v>4893</v>
      </c>
      <c r="P3023" t="s">
        <v>2091</v>
      </c>
      <c r="Q3023">
        <v>0.95</v>
      </c>
    </row>
    <row r="3024" spans="14:17" x14ac:dyDescent="0.45">
      <c r="N3024" t="s">
        <v>27</v>
      </c>
      <c r="O3024" t="s">
        <v>4894</v>
      </c>
      <c r="P3024" t="s">
        <v>2052</v>
      </c>
      <c r="Q3024">
        <v>0.95</v>
      </c>
    </row>
    <row r="3025" spans="14:17" x14ac:dyDescent="0.45">
      <c r="N3025" t="s">
        <v>27</v>
      </c>
      <c r="O3025" t="s">
        <v>4895</v>
      </c>
      <c r="P3025" t="s">
        <v>2089</v>
      </c>
      <c r="Q3025">
        <v>0.95</v>
      </c>
    </row>
    <row r="3026" spans="14:17" x14ac:dyDescent="0.45">
      <c r="N3026" t="s">
        <v>27</v>
      </c>
      <c r="O3026" t="s">
        <v>4896</v>
      </c>
      <c r="P3026" t="s">
        <v>2089</v>
      </c>
      <c r="Q3026">
        <v>0.95</v>
      </c>
    </row>
    <row r="3027" spans="14:17" x14ac:dyDescent="0.45">
      <c r="N3027" t="s">
        <v>27</v>
      </c>
      <c r="O3027" t="s">
        <v>4897</v>
      </c>
      <c r="P3027" t="s">
        <v>2089</v>
      </c>
      <c r="Q3027">
        <v>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E2891-0374-41F8-9BF1-1C160E8EAF49}">
  <dimension ref="A1:I287"/>
  <sheetViews>
    <sheetView tabSelected="1" workbookViewId="0"/>
  </sheetViews>
  <sheetFormatPr defaultRowHeight="14.25" x14ac:dyDescent="0.45"/>
  <sheetData>
    <row r="1" spans="1:9" x14ac:dyDescent="0.45">
      <c r="C1" t="s">
        <v>4898</v>
      </c>
    </row>
    <row r="3" spans="1:9" x14ac:dyDescent="0.45">
      <c r="C3" t="s">
        <v>28</v>
      </c>
      <c r="G3" t="s">
        <v>4899</v>
      </c>
    </row>
    <row r="4" spans="1:9" x14ac:dyDescent="0.45">
      <c r="A4" t="s">
        <v>1912</v>
      </c>
      <c r="B4" t="s">
        <v>60</v>
      </c>
      <c r="C4" t="s">
        <v>10</v>
      </c>
      <c r="D4" t="s">
        <v>4900</v>
      </c>
      <c r="E4" t="s">
        <v>4901</v>
      </c>
      <c r="G4" t="s">
        <v>60</v>
      </c>
      <c r="H4" t="s">
        <v>1</v>
      </c>
      <c r="I4" t="s">
        <v>4900</v>
      </c>
    </row>
    <row r="5" spans="1:9" x14ac:dyDescent="0.45">
      <c r="A5" t="s">
        <v>4902</v>
      </c>
      <c r="B5" t="s">
        <v>4903</v>
      </c>
      <c r="C5" t="s">
        <v>4904</v>
      </c>
      <c r="D5">
        <v>1</v>
      </c>
      <c r="E5">
        <v>2</v>
      </c>
      <c r="G5" t="s">
        <v>4903</v>
      </c>
      <c r="H5" t="s">
        <v>4904</v>
      </c>
      <c r="I5">
        <v>-1</v>
      </c>
    </row>
    <row r="6" spans="1:9" x14ac:dyDescent="0.45">
      <c r="A6" t="s">
        <v>4902</v>
      </c>
      <c r="B6" t="s">
        <v>4905</v>
      </c>
      <c r="C6" t="s">
        <v>4906</v>
      </c>
      <c r="D6">
        <v>1</v>
      </c>
      <c r="E6">
        <v>2</v>
      </c>
      <c r="G6" t="s">
        <v>4905</v>
      </c>
      <c r="H6" t="s">
        <v>4906</v>
      </c>
      <c r="I6">
        <v>-1</v>
      </c>
    </row>
    <row r="7" spans="1:9" x14ac:dyDescent="0.45">
      <c r="A7" t="s">
        <v>4902</v>
      </c>
      <c r="B7" t="s">
        <v>4907</v>
      </c>
      <c r="C7" t="s">
        <v>4908</v>
      </c>
      <c r="D7">
        <v>1</v>
      </c>
      <c r="E7">
        <v>2</v>
      </c>
      <c r="G7" t="s">
        <v>4907</v>
      </c>
      <c r="H7" t="s">
        <v>4908</v>
      </c>
      <c r="I7">
        <v>-1</v>
      </c>
    </row>
    <row r="8" spans="1:9" x14ac:dyDescent="0.45">
      <c r="A8" t="s">
        <v>4902</v>
      </c>
      <c r="B8" t="s">
        <v>4909</v>
      </c>
      <c r="C8" t="s">
        <v>4910</v>
      </c>
      <c r="D8">
        <v>1</v>
      </c>
      <c r="E8">
        <v>2</v>
      </c>
      <c r="G8" t="s">
        <v>4909</v>
      </c>
      <c r="H8" t="s">
        <v>4910</v>
      </c>
      <c r="I8">
        <v>-1</v>
      </c>
    </row>
    <row r="9" spans="1:9" x14ac:dyDescent="0.45">
      <c r="A9" t="s">
        <v>4902</v>
      </c>
      <c r="B9" t="s">
        <v>4911</v>
      </c>
      <c r="C9" t="s">
        <v>4912</v>
      </c>
      <c r="D9">
        <v>1</v>
      </c>
      <c r="E9">
        <v>2</v>
      </c>
      <c r="G9" t="s">
        <v>4911</v>
      </c>
      <c r="H9" t="s">
        <v>4912</v>
      </c>
      <c r="I9">
        <v>-1</v>
      </c>
    </row>
    <row r="10" spans="1:9" x14ac:dyDescent="0.45">
      <c r="A10" t="s">
        <v>4902</v>
      </c>
      <c r="B10" t="s">
        <v>4913</v>
      </c>
      <c r="C10" t="s">
        <v>4914</v>
      </c>
      <c r="D10">
        <v>1</v>
      </c>
      <c r="E10">
        <v>2</v>
      </c>
      <c r="G10" t="s">
        <v>4913</v>
      </c>
      <c r="H10" t="s">
        <v>4914</v>
      </c>
      <c r="I10">
        <v>-1</v>
      </c>
    </row>
    <row r="11" spans="1:9" x14ac:dyDescent="0.45">
      <c r="A11" t="s">
        <v>4902</v>
      </c>
      <c r="B11" t="s">
        <v>4915</v>
      </c>
      <c r="C11" t="s">
        <v>4916</v>
      </c>
      <c r="D11">
        <v>1</v>
      </c>
      <c r="E11">
        <v>2</v>
      </c>
      <c r="G11" t="s">
        <v>4915</v>
      </c>
      <c r="H11" t="s">
        <v>4916</v>
      </c>
      <c r="I11">
        <v>-1</v>
      </c>
    </row>
    <row r="12" spans="1:9" x14ac:dyDescent="0.45">
      <c r="A12" t="s">
        <v>4902</v>
      </c>
      <c r="B12" t="s">
        <v>4917</v>
      </c>
      <c r="C12" t="s">
        <v>4918</v>
      </c>
      <c r="D12">
        <v>1</v>
      </c>
      <c r="E12">
        <v>2</v>
      </c>
      <c r="G12" t="s">
        <v>4917</v>
      </c>
      <c r="H12" t="s">
        <v>4918</v>
      </c>
      <c r="I12">
        <v>-1</v>
      </c>
    </row>
    <row r="13" spans="1:9" x14ac:dyDescent="0.45">
      <c r="A13" t="s">
        <v>4902</v>
      </c>
      <c r="B13" t="s">
        <v>4919</v>
      </c>
      <c r="C13" t="s">
        <v>4920</v>
      </c>
      <c r="D13">
        <v>1</v>
      </c>
      <c r="E13">
        <v>2</v>
      </c>
      <c r="G13" t="s">
        <v>4919</v>
      </c>
      <c r="H13" t="s">
        <v>4920</v>
      </c>
      <c r="I13">
        <v>-1</v>
      </c>
    </row>
    <row r="14" spans="1:9" x14ac:dyDescent="0.45">
      <c r="A14" t="s">
        <v>4902</v>
      </c>
      <c r="B14" t="s">
        <v>4921</v>
      </c>
      <c r="C14" t="s">
        <v>4922</v>
      </c>
      <c r="D14">
        <v>1</v>
      </c>
      <c r="E14">
        <v>2</v>
      </c>
      <c r="G14" t="s">
        <v>4921</v>
      </c>
      <c r="H14" t="s">
        <v>4922</v>
      </c>
      <c r="I14">
        <v>-1</v>
      </c>
    </row>
    <row r="15" spans="1:9" x14ac:dyDescent="0.45">
      <c r="A15" t="s">
        <v>4902</v>
      </c>
      <c r="B15" t="s">
        <v>4923</v>
      </c>
      <c r="C15" t="s">
        <v>4924</v>
      </c>
      <c r="D15">
        <v>1</v>
      </c>
      <c r="E15">
        <v>2</v>
      </c>
      <c r="G15" t="s">
        <v>4923</v>
      </c>
      <c r="H15" t="s">
        <v>4924</v>
      </c>
      <c r="I15">
        <v>-1</v>
      </c>
    </row>
    <row r="16" spans="1:9" x14ac:dyDescent="0.45">
      <c r="A16" t="s">
        <v>4902</v>
      </c>
      <c r="B16" t="s">
        <v>4925</v>
      </c>
      <c r="C16" t="s">
        <v>4926</v>
      </c>
      <c r="D16">
        <v>1</v>
      </c>
      <c r="E16">
        <v>2</v>
      </c>
      <c r="G16" t="s">
        <v>4925</v>
      </c>
      <c r="H16" t="s">
        <v>4926</v>
      </c>
      <c r="I16">
        <v>-1</v>
      </c>
    </row>
    <row r="17" spans="1:9" x14ac:dyDescent="0.45">
      <c r="A17" t="s">
        <v>4902</v>
      </c>
      <c r="B17" t="s">
        <v>4927</v>
      </c>
      <c r="C17" t="s">
        <v>4928</v>
      </c>
      <c r="D17">
        <v>1</v>
      </c>
      <c r="E17">
        <v>2</v>
      </c>
      <c r="G17" t="s">
        <v>4927</v>
      </c>
      <c r="H17" t="s">
        <v>4928</v>
      </c>
      <c r="I17">
        <v>-1</v>
      </c>
    </row>
    <row r="18" spans="1:9" x14ac:dyDescent="0.45">
      <c r="A18" t="s">
        <v>4902</v>
      </c>
      <c r="B18" t="s">
        <v>4929</v>
      </c>
      <c r="C18" t="s">
        <v>4930</v>
      </c>
      <c r="D18">
        <v>1</v>
      </c>
      <c r="E18">
        <v>2</v>
      </c>
      <c r="G18" t="s">
        <v>4929</v>
      </c>
      <c r="H18" t="s">
        <v>4930</v>
      </c>
      <c r="I18">
        <v>-1</v>
      </c>
    </row>
    <row r="19" spans="1:9" x14ac:dyDescent="0.45">
      <c r="A19" t="s">
        <v>4902</v>
      </c>
      <c r="B19" t="s">
        <v>4931</v>
      </c>
      <c r="C19" t="s">
        <v>4932</v>
      </c>
      <c r="D19">
        <v>1</v>
      </c>
      <c r="E19">
        <v>2</v>
      </c>
      <c r="G19" t="s">
        <v>4931</v>
      </c>
      <c r="H19" t="s">
        <v>4932</v>
      </c>
      <c r="I19">
        <v>-1</v>
      </c>
    </row>
    <row r="20" spans="1:9" x14ac:dyDescent="0.45">
      <c r="A20" t="s">
        <v>4902</v>
      </c>
      <c r="B20" t="s">
        <v>4933</v>
      </c>
      <c r="C20" t="s">
        <v>4934</v>
      </c>
      <c r="D20">
        <v>1</v>
      </c>
      <c r="E20">
        <v>2</v>
      </c>
      <c r="G20" t="s">
        <v>4933</v>
      </c>
      <c r="H20" t="s">
        <v>4934</v>
      </c>
      <c r="I20">
        <v>-1</v>
      </c>
    </row>
    <row r="21" spans="1:9" x14ac:dyDescent="0.45">
      <c r="A21" t="s">
        <v>4902</v>
      </c>
      <c r="B21" t="s">
        <v>4935</v>
      </c>
      <c r="C21" t="s">
        <v>4936</v>
      </c>
      <c r="D21">
        <v>1</v>
      </c>
      <c r="E21">
        <v>2</v>
      </c>
      <c r="G21" t="s">
        <v>4935</v>
      </c>
      <c r="H21" t="s">
        <v>4936</v>
      </c>
      <c r="I21">
        <v>-1</v>
      </c>
    </row>
    <row r="22" spans="1:9" x14ac:dyDescent="0.45">
      <c r="A22" t="s">
        <v>4902</v>
      </c>
      <c r="B22" t="s">
        <v>4937</v>
      </c>
      <c r="C22" t="s">
        <v>4938</v>
      </c>
      <c r="D22">
        <v>1</v>
      </c>
      <c r="E22">
        <v>2</v>
      </c>
      <c r="G22" t="s">
        <v>4937</v>
      </c>
      <c r="H22" t="s">
        <v>4938</v>
      </c>
      <c r="I22">
        <v>-1</v>
      </c>
    </row>
    <row r="23" spans="1:9" x14ac:dyDescent="0.45">
      <c r="A23" t="s">
        <v>4902</v>
      </c>
      <c r="B23" t="s">
        <v>4939</v>
      </c>
      <c r="C23" t="s">
        <v>4940</v>
      </c>
      <c r="D23">
        <v>1</v>
      </c>
      <c r="E23">
        <v>2</v>
      </c>
      <c r="G23" t="s">
        <v>4939</v>
      </c>
      <c r="H23" t="s">
        <v>4940</v>
      </c>
      <c r="I23">
        <v>-1</v>
      </c>
    </row>
    <row r="24" spans="1:9" x14ac:dyDescent="0.45">
      <c r="A24" t="s">
        <v>4902</v>
      </c>
      <c r="B24" t="s">
        <v>4941</v>
      </c>
      <c r="C24" t="s">
        <v>4942</v>
      </c>
      <c r="D24">
        <v>1</v>
      </c>
      <c r="E24">
        <v>2</v>
      </c>
      <c r="G24" t="s">
        <v>4941</v>
      </c>
      <c r="H24" t="s">
        <v>4942</v>
      </c>
      <c r="I24">
        <v>-1</v>
      </c>
    </row>
    <row r="25" spans="1:9" x14ac:dyDescent="0.45">
      <c r="A25" t="s">
        <v>4902</v>
      </c>
      <c r="B25" t="s">
        <v>4943</v>
      </c>
      <c r="C25" t="s">
        <v>4944</v>
      </c>
      <c r="D25">
        <v>1</v>
      </c>
      <c r="E25">
        <v>2</v>
      </c>
      <c r="G25" t="s">
        <v>4943</v>
      </c>
      <c r="H25" t="s">
        <v>4944</v>
      </c>
      <c r="I25">
        <v>-1</v>
      </c>
    </row>
    <row r="26" spans="1:9" x14ac:dyDescent="0.45">
      <c r="A26" t="s">
        <v>4902</v>
      </c>
      <c r="B26" t="s">
        <v>4945</v>
      </c>
      <c r="C26" t="s">
        <v>4946</v>
      </c>
      <c r="D26">
        <v>1</v>
      </c>
      <c r="E26">
        <v>2</v>
      </c>
      <c r="G26" t="s">
        <v>4945</v>
      </c>
      <c r="H26" t="s">
        <v>4946</v>
      </c>
      <c r="I26">
        <v>-1</v>
      </c>
    </row>
    <row r="27" spans="1:9" x14ac:dyDescent="0.45">
      <c r="A27" t="s">
        <v>4902</v>
      </c>
      <c r="B27" t="s">
        <v>4947</v>
      </c>
      <c r="C27" t="s">
        <v>4948</v>
      </c>
      <c r="D27">
        <v>1</v>
      </c>
      <c r="E27">
        <v>2</v>
      </c>
      <c r="G27" t="s">
        <v>4947</v>
      </c>
      <c r="H27" t="s">
        <v>4948</v>
      </c>
      <c r="I27">
        <v>-1</v>
      </c>
    </row>
    <row r="28" spans="1:9" x14ac:dyDescent="0.45">
      <c r="A28" t="s">
        <v>4902</v>
      </c>
      <c r="B28" t="s">
        <v>4949</v>
      </c>
      <c r="C28" t="s">
        <v>4950</v>
      </c>
      <c r="D28">
        <v>1</v>
      </c>
      <c r="E28">
        <v>2</v>
      </c>
      <c r="G28" t="s">
        <v>4949</v>
      </c>
      <c r="H28" t="s">
        <v>4950</v>
      </c>
      <c r="I28">
        <v>-1</v>
      </c>
    </row>
    <row r="29" spans="1:9" x14ac:dyDescent="0.45">
      <c r="A29" t="s">
        <v>4902</v>
      </c>
      <c r="B29" t="s">
        <v>4951</v>
      </c>
      <c r="C29" t="s">
        <v>4952</v>
      </c>
      <c r="D29">
        <v>1</v>
      </c>
      <c r="E29">
        <v>2</v>
      </c>
      <c r="G29" t="s">
        <v>4951</v>
      </c>
      <c r="H29" t="s">
        <v>4952</v>
      </c>
      <c r="I29">
        <v>-1</v>
      </c>
    </row>
    <row r="30" spans="1:9" x14ac:dyDescent="0.45">
      <c r="A30" t="s">
        <v>4902</v>
      </c>
      <c r="B30" t="s">
        <v>4953</v>
      </c>
      <c r="C30" t="s">
        <v>4954</v>
      </c>
      <c r="D30">
        <v>1</v>
      </c>
      <c r="E30">
        <v>2</v>
      </c>
      <c r="G30" t="s">
        <v>4953</v>
      </c>
      <c r="H30" t="s">
        <v>4954</v>
      </c>
      <c r="I30">
        <v>-1</v>
      </c>
    </row>
    <row r="31" spans="1:9" x14ac:dyDescent="0.45">
      <c r="A31" t="s">
        <v>4902</v>
      </c>
      <c r="B31" t="s">
        <v>4955</v>
      </c>
      <c r="C31" t="s">
        <v>4956</v>
      </c>
      <c r="D31">
        <v>1</v>
      </c>
      <c r="E31">
        <v>2</v>
      </c>
      <c r="G31" t="s">
        <v>4955</v>
      </c>
      <c r="H31" t="s">
        <v>4956</v>
      </c>
      <c r="I31">
        <v>-1</v>
      </c>
    </row>
    <row r="32" spans="1:9" x14ac:dyDescent="0.45">
      <c r="A32" t="s">
        <v>4902</v>
      </c>
      <c r="B32" t="s">
        <v>4957</v>
      </c>
      <c r="C32" t="s">
        <v>4958</v>
      </c>
      <c r="D32">
        <v>1</v>
      </c>
      <c r="E32">
        <v>2</v>
      </c>
      <c r="G32" t="s">
        <v>4957</v>
      </c>
      <c r="H32" t="s">
        <v>4958</v>
      </c>
      <c r="I32">
        <v>-1</v>
      </c>
    </row>
    <row r="33" spans="1:9" x14ac:dyDescent="0.45">
      <c r="A33" t="s">
        <v>4902</v>
      </c>
      <c r="B33" t="s">
        <v>4959</v>
      </c>
      <c r="C33" t="s">
        <v>4960</v>
      </c>
      <c r="D33">
        <v>1</v>
      </c>
      <c r="E33">
        <v>2</v>
      </c>
      <c r="G33" t="s">
        <v>4959</v>
      </c>
      <c r="H33" t="s">
        <v>4960</v>
      </c>
      <c r="I33">
        <v>-1</v>
      </c>
    </row>
    <row r="34" spans="1:9" x14ac:dyDescent="0.45">
      <c r="A34" t="s">
        <v>4902</v>
      </c>
      <c r="B34" t="s">
        <v>4961</v>
      </c>
      <c r="C34" t="s">
        <v>4962</v>
      </c>
      <c r="D34">
        <v>1</v>
      </c>
      <c r="E34">
        <v>2</v>
      </c>
      <c r="G34" t="s">
        <v>4961</v>
      </c>
      <c r="H34" t="s">
        <v>4962</v>
      </c>
      <c r="I34">
        <v>-1</v>
      </c>
    </row>
    <row r="35" spans="1:9" x14ac:dyDescent="0.45">
      <c r="A35" t="s">
        <v>4902</v>
      </c>
      <c r="B35" t="s">
        <v>4963</v>
      </c>
      <c r="C35" t="s">
        <v>4964</v>
      </c>
      <c r="D35">
        <v>1</v>
      </c>
      <c r="E35">
        <v>2</v>
      </c>
      <c r="G35" t="s">
        <v>4963</v>
      </c>
      <c r="H35" t="s">
        <v>4964</v>
      </c>
      <c r="I35">
        <v>-1</v>
      </c>
    </row>
    <row r="36" spans="1:9" x14ac:dyDescent="0.45">
      <c r="A36" t="s">
        <v>4902</v>
      </c>
      <c r="B36" t="s">
        <v>4965</v>
      </c>
      <c r="C36" t="s">
        <v>4966</v>
      </c>
      <c r="D36">
        <v>1</v>
      </c>
      <c r="E36">
        <v>2</v>
      </c>
      <c r="G36" t="s">
        <v>4965</v>
      </c>
      <c r="H36" t="s">
        <v>4966</v>
      </c>
      <c r="I36">
        <v>-1</v>
      </c>
    </row>
    <row r="37" spans="1:9" x14ac:dyDescent="0.45">
      <c r="A37" t="s">
        <v>4902</v>
      </c>
      <c r="B37" t="s">
        <v>4967</v>
      </c>
      <c r="C37" t="s">
        <v>4968</v>
      </c>
      <c r="D37">
        <v>1</v>
      </c>
      <c r="E37">
        <v>2</v>
      </c>
      <c r="G37" t="s">
        <v>4967</v>
      </c>
      <c r="H37" t="s">
        <v>4968</v>
      </c>
      <c r="I37">
        <v>-1</v>
      </c>
    </row>
    <row r="38" spans="1:9" x14ac:dyDescent="0.45">
      <c r="A38" t="s">
        <v>4902</v>
      </c>
      <c r="B38" t="s">
        <v>4969</v>
      </c>
      <c r="C38" t="s">
        <v>4970</v>
      </c>
      <c r="D38">
        <v>1</v>
      </c>
      <c r="E38">
        <v>2</v>
      </c>
      <c r="G38" t="s">
        <v>4969</v>
      </c>
      <c r="H38" t="s">
        <v>4970</v>
      </c>
      <c r="I38">
        <v>-1</v>
      </c>
    </row>
    <row r="39" spans="1:9" x14ac:dyDescent="0.45">
      <c r="A39" t="s">
        <v>4902</v>
      </c>
      <c r="B39" t="s">
        <v>4971</v>
      </c>
      <c r="C39" t="s">
        <v>4972</v>
      </c>
      <c r="D39">
        <v>1</v>
      </c>
      <c r="E39">
        <v>2</v>
      </c>
      <c r="G39" t="s">
        <v>4971</v>
      </c>
      <c r="H39" t="s">
        <v>4972</v>
      </c>
      <c r="I39">
        <v>-1</v>
      </c>
    </row>
    <row r="40" spans="1:9" x14ac:dyDescent="0.45">
      <c r="A40" t="s">
        <v>4902</v>
      </c>
      <c r="B40" t="s">
        <v>4973</v>
      </c>
      <c r="C40" t="s">
        <v>4974</v>
      </c>
      <c r="D40">
        <v>1</v>
      </c>
      <c r="E40">
        <v>2</v>
      </c>
      <c r="G40" t="s">
        <v>4973</v>
      </c>
      <c r="H40" t="s">
        <v>4974</v>
      </c>
      <c r="I40">
        <v>-1</v>
      </c>
    </row>
    <row r="41" spans="1:9" x14ac:dyDescent="0.45">
      <c r="A41" t="s">
        <v>4902</v>
      </c>
      <c r="B41" t="s">
        <v>4975</v>
      </c>
      <c r="C41" t="s">
        <v>4976</v>
      </c>
      <c r="D41">
        <v>1</v>
      </c>
      <c r="E41">
        <v>2</v>
      </c>
      <c r="G41" t="s">
        <v>4975</v>
      </c>
      <c r="H41" t="s">
        <v>4976</v>
      </c>
      <c r="I41">
        <v>-1</v>
      </c>
    </row>
    <row r="42" spans="1:9" x14ac:dyDescent="0.45">
      <c r="A42" t="s">
        <v>4902</v>
      </c>
      <c r="B42" t="s">
        <v>4977</v>
      </c>
      <c r="C42" t="s">
        <v>4978</v>
      </c>
      <c r="D42">
        <v>1</v>
      </c>
      <c r="E42">
        <v>2</v>
      </c>
      <c r="G42" t="s">
        <v>4977</v>
      </c>
      <c r="H42" t="s">
        <v>4978</v>
      </c>
      <c r="I42">
        <v>-1</v>
      </c>
    </row>
    <row r="43" spans="1:9" x14ac:dyDescent="0.45">
      <c r="A43" t="s">
        <v>4902</v>
      </c>
      <c r="B43" t="s">
        <v>4979</v>
      </c>
      <c r="C43" t="s">
        <v>4980</v>
      </c>
      <c r="D43">
        <v>1</v>
      </c>
      <c r="E43">
        <v>2</v>
      </c>
      <c r="G43" t="s">
        <v>4979</v>
      </c>
      <c r="H43" t="s">
        <v>4980</v>
      </c>
      <c r="I43">
        <v>-1</v>
      </c>
    </row>
    <row r="44" spans="1:9" x14ac:dyDescent="0.45">
      <c r="A44" t="s">
        <v>4902</v>
      </c>
      <c r="B44" t="s">
        <v>4981</v>
      </c>
      <c r="C44" t="s">
        <v>4982</v>
      </c>
      <c r="D44">
        <v>1</v>
      </c>
      <c r="E44">
        <v>2</v>
      </c>
      <c r="G44" t="s">
        <v>4981</v>
      </c>
      <c r="H44" t="s">
        <v>4982</v>
      </c>
      <c r="I44">
        <v>-1</v>
      </c>
    </row>
    <row r="45" spans="1:9" x14ac:dyDescent="0.45">
      <c r="A45" t="s">
        <v>4902</v>
      </c>
      <c r="B45" t="s">
        <v>4983</v>
      </c>
      <c r="C45" t="s">
        <v>4984</v>
      </c>
      <c r="D45">
        <v>1</v>
      </c>
      <c r="E45">
        <v>2</v>
      </c>
      <c r="G45" t="s">
        <v>4983</v>
      </c>
      <c r="H45" t="s">
        <v>4984</v>
      </c>
      <c r="I45">
        <v>-1</v>
      </c>
    </row>
    <row r="46" spans="1:9" x14ac:dyDescent="0.45">
      <c r="A46" t="s">
        <v>4902</v>
      </c>
      <c r="B46" t="s">
        <v>4985</v>
      </c>
      <c r="C46" t="s">
        <v>4986</v>
      </c>
      <c r="D46">
        <v>1</v>
      </c>
      <c r="E46">
        <v>2</v>
      </c>
      <c r="G46" t="s">
        <v>4985</v>
      </c>
      <c r="H46" t="s">
        <v>4986</v>
      </c>
      <c r="I46">
        <v>-1</v>
      </c>
    </row>
    <row r="47" spans="1:9" x14ac:dyDescent="0.45">
      <c r="A47" t="s">
        <v>4902</v>
      </c>
      <c r="B47" t="s">
        <v>4987</v>
      </c>
      <c r="C47" t="s">
        <v>4988</v>
      </c>
      <c r="D47">
        <v>1</v>
      </c>
      <c r="E47">
        <v>2</v>
      </c>
      <c r="G47" t="s">
        <v>4987</v>
      </c>
      <c r="H47" t="s">
        <v>4988</v>
      </c>
      <c r="I47">
        <v>-1</v>
      </c>
    </row>
    <row r="48" spans="1:9" x14ac:dyDescent="0.45">
      <c r="A48" t="s">
        <v>4902</v>
      </c>
      <c r="B48" t="s">
        <v>4989</v>
      </c>
      <c r="C48" t="s">
        <v>4990</v>
      </c>
      <c r="D48">
        <v>1</v>
      </c>
      <c r="E48">
        <v>2</v>
      </c>
      <c r="G48" t="s">
        <v>4989</v>
      </c>
      <c r="H48" t="s">
        <v>4990</v>
      </c>
      <c r="I48">
        <v>-1</v>
      </c>
    </row>
    <row r="49" spans="1:9" x14ac:dyDescent="0.45">
      <c r="A49" t="s">
        <v>4902</v>
      </c>
      <c r="B49" t="s">
        <v>4991</v>
      </c>
      <c r="C49" t="s">
        <v>4992</v>
      </c>
      <c r="D49">
        <v>1</v>
      </c>
      <c r="E49">
        <v>2</v>
      </c>
      <c r="G49" t="s">
        <v>4991</v>
      </c>
      <c r="H49" t="s">
        <v>4992</v>
      </c>
      <c r="I49">
        <v>-1</v>
      </c>
    </row>
    <row r="50" spans="1:9" x14ac:dyDescent="0.45">
      <c r="A50" t="s">
        <v>4902</v>
      </c>
      <c r="B50" t="s">
        <v>4993</v>
      </c>
      <c r="C50" t="s">
        <v>4994</v>
      </c>
      <c r="D50">
        <v>1</v>
      </c>
      <c r="E50">
        <v>2</v>
      </c>
      <c r="G50" t="s">
        <v>4993</v>
      </c>
      <c r="H50" t="s">
        <v>4994</v>
      </c>
      <c r="I50">
        <v>-1</v>
      </c>
    </row>
    <row r="51" spans="1:9" x14ac:dyDescent="0.45">
      <c r="A51" t="s">
        <v>4902</v>
      </c>
      <c r="B51" t="s">
        <v>4995</v>
      </c>
      <c r="C51" t="s">
        <v>4996</v>
      </c>
      <c r="D51">
        <v>1</v>
      </c>
      <c r="E51">
        <v>2</v>
      </c>
      <c r="G51" t="s">
        <v>4995</v>
      </c>
      <c r="H51" t="s">
        <v>4996</v>
      </c>
      <c r="I51">
        <v>-1</v>
      </c>
    </row>
    <row r="52" spans="1:9" x14ac:dyDescent="0.45">
      <c r="A52" t="s">
        <v>4902</v>
      </c>
      <c r="B52" t="s">
        <v>4997</v>
      </c>
      <c r="C52" t="s">
        <v>4998</v>
      </c>
      <c r="D52">
        <v>1</v>
      </c>
      <c r="E52">
        <v>2</v>
      </c>
      <c r="G52" t="s">
        <v>4997</v>
      </c>
      <c r="H52" t="s">
        <v>4998</v>
      </c>
      <c r="I52">
        <v>-1</v>
      </c>
    </row>
    <row r="53" spans="1:9" x14ac:dyDescent="0.45">
      <c r="A53" t="s">
        <v>4902</v>
      </c>
      <c r="B53" t="s">
        <v>4999</v>
      </c>
      <c r="C53" t="s">
        <v>5000</v>
      </c>
      <c r="D53">
        <v>1</v>
      </c>
      <c r="E53">
        <v>2</v>
      </c>
      <c r="G53" t="s">
        <v>4999</v>
      </c>
      <c r="H53" t="s">
        <v>5000</v>
      </c>
      <c r="I53">
        <v>-1</v>
      </c>
    </row>
    <row r="54" spans="1:9" x14ac:dyDescent="0.45">
      <c r="A54" t="s">
        <v>4902</v>
      </c>
      <c r="B54" t="s">
        <v>5001</v>
      </c>
      <c r="C54" t="s">
        <v>5002</v>
      </c>
      <c r="D54">
        <v>1</v>
      </c>
      <c r="E54">
        <v>2</v>
      </c>
      <c r="G54" t="s">
        <v>5001</v>
      </c>
      <c r="H54" t="s">
        <v>5002</v>
      </c>
      <c r="I54">
        <v>-1</v>
      </c>
    </row>
    <row r="55" spans="1:9" x14ac:dyDescent="0.45">
      <c r="A55" t="s">
        <v>4902</v>
      </c>
      <c r="B55" t="s">
        <v>5003</v>
      </c>
      <c r="C55" t="s">
        <v>5004</v>
      </c>
      <c r="D55">
        <v>1</v>
      </c>
      <c r="E55">
        <v>2</v>
      </c>
      <c r="G55" t="s">
        <v>5003</v>
      </c>
      <c r="H55" t="s">
        <v>5004</v>
      </c>
      <c r="I55">
        <v>-1</v>
      </c>
    </row>
    <row r="56" spans="1:9" x14ac:dyDescent="0.45">
      <c r="A56" t="s">
        <v>4902</v>
      </c>
      <c r="B56" t="s">
        <v>5005</v>
      </c>
      <c r="C56" t="s">
        <v>5006</v>
      </c>
      <c r="D56">
        <v>1</v>
      </c>
      <c r="E56">
        <v>2</v>
      </c>
      <c r="G56" t="s">
        <v>5005</v>
      </c>
      <c r="H56" t="s">
        <v>5006</v>
      </c>
      <c r="I56">
        <v>-1</v>
      </c>
    </row>
    <row r="57" spans="1:9" x14ac:dyDescent="0.45">
      <c r="A57" t="s">
        <v>4902</v>
      </c>
      <c r="B57" t="s">
        <v>5007</v>
      </c>
      <c r="C57" t="s">
        <v>5008</v>
      </c>
      <c r="D57">
        <v>1</v>
      </c>
      <c r="E57">
        <v>2</v>
      </c>
      <c r="G57" t="s">
        <v>5007</v>
      </c>
      <c r="H57" t="s">
        <v>5008</v>
      </c>
      <c r="I57">
        <v>-1</v>
      </c>
    </row>
    <row r="58" spans="1:9" x14ac:dyDescent="0.45">
      <c r="A58" t="s">
        <v>4902</v>
      </c>
      <c r="B58" t="s">
        <v>5009</v>
      </c>
      <c r="C58" t="s">
        <v>5010</v>
      </c>
      <c r="D58">
        <v>1</v>
      </c>
      <c r="E58">
        <v>2</v>
      </c>
      <c r="G58" t="s">
        <v>5009</v>
      </c>
      <c r="H58" t="s">
        <v>5010</v>
      </c>
      <c r="I58">
        <v>-1</v>
      </c>
    </row>
    <row r="59" spans="1:9" x14ac:dyDescent="0.45">
      <c r="A59" t="s">
        <v>4902</v>
      </c>
      <c r="B59" t="s">
        <v>5011</v>
      </c>
      <c r="C59" t="s">
        <v>5012</v>
      </c>
      <c r="D59">
        <v>1</v>
      </c>
      <c r="E59">
        <v>2</v>
      </c>
      <c r="G59" t="s">
        <v>5011</v>
      </c>
      <c r="H59" t="s">
        <v>5012</v>
      </c>
      <c r="I59">
        <v>-1</v>
      </c>
    </row>
    <row r="60" spans="1:9" x14ac:dyDescent="0.45">
      <c r="A60" t="s">
        <v>4902</v>
      </c>
      <c r="B60" t="s">
        <v>5013</v>
      </c>
      <c r="C60" t="s">
        <v>5014</v>
      </c>
      <c r="D60">
        <v>1</v>
      </c>
      <c r="E60">
        <v>2</v>
      </c>
      <c r="G60" t="s">
        <v>5013</v>
      </c>
      <c r="H60" t="s">
        <v>5014</v>
      </c>
      <c r="I60">
        <v>-1</v>
      </c>
    </row>
    <row r="61" spans="1:9" x14ac:dyDescent="0.45">
      <c r="A61" t="s">
        <v>4902</v>
      </c>
      <c r="B61" t="s">
        <v>5015</v>
      </c>
      <c r="C61" t="s">
        <v>5016</v>
      </c>
      <c r="D61">
        <v>1</v>
      </c>
      <c r="E61">
        <v>2</v>
      </c>
      <c r="G61" t="s">
        <v>5015</v>
      </c>
      <c r="H61" t="s">
        <v>5016</v>
      </c>
      <c r="I61">
        <v>-1</v>
      </c>
    </row>
    <row r="62" spans="1:9" x14ac:dyDescent="0.45">
      <c r="A62" t="s">
        <v>4902</v>
      </c>
      <c r="B62" t="s">
        <v>5017</v>
      </c>
      <c r="C62" t="s">
        <v>5018</v>
      </c>
      <c r="D62">
        <v>1</v>
      </c>
      <c r="E62">
        <v>2</v>
      </c>
      <c r="G62" t="s">
        <v>5017</v>
      </c>
      <c r="H62" t="s">
        <v>5018</v>
      </c>
      <c r="I62">
        <v>-1</v>
      </c>
    </row>
    <row r="63" spans="1:9" x14ac:dyDescent="0.45">
      <c r="A63" t="s">
        <v>4902</v>
      </c>
      <c r="B63" t="s">
        <v>5019</v>
      </c>
      <c r="C63" t="s">
        <v>5020</v>
      </c>
      <c r="D63">
        <v>1</v>
      </c>
      <c r="E63">
        <v>2</v>
      </c>
      <c r="G63" t="s">
        <v>5019</v>
      </c>
      <c r="H63" t="s">
        <v>5020</v>
      </c>
      <c r="I63">
        <v>-1</v>
      </c>
    </row>
    <row r="64" spans="1:9" x14ac:dyDescent="0.45">
      <c r="A64" t="s">
        <v>4902</v>
      </c>
      <c r="B64" t="s">
        <v>5021</v>
      </c>
      <c r="C64" t="s">
        <v>5022</v>
      </c>
      <c r="D64">
        <v>1</v>
      </c>
      <c r="E64">
        <v>2</v>
      </c>
      <c r="G64" t="s">
        <v>5021</v>
      </c>
      <c r="H64" t="s">
        <v>5022</v>
      </c>
      <c r="I64">
        <v>-1</v>
      </c>
    </row>
    <row r="65" spans="1:9" x14ac:dyDescent="0.45">
      <c r="A65" t="s">
        <v>4902</v>
      </c>
      <c r="B65" t="s">
        <v>5023</v>
      </c>
      <c r="C65" t="s">
        <v>5024</v>
      </c>
      <c r="D65">
        <v>1</v>
      </c>
      <c r="E65">
        <v>2</v>
      </c>
      <c r="G65" t="s">
        <v>5023</v>
      </c>
      <c r="H65" t="s">
        <v>5024</v>
      </c>
      <c r="I65">
        <v>-1</v>
      </c>
    </row>
    <row r="66" spans="1:9" x14ac:dyDescent="0.45">
      <c r="A66" t="s">
        <v>4902</v>
      </c>
      <c r="B66" t="s">
        <v>5025</v>
      </c>
      <c r="C66" t="s">
        <v>5026</v>
      </c>
      <c r="D66">
        <v>1</v>
      </c>
      <c r="E66">
        <v>2</v>
      </c>
      <c r="G66" t="s">
        <v>5025</v>
      </c>
      <c r="H66" t="s">
        <v>5026</v>
      </c>
      <c r="I66">
        <v>-1</v>
      </c>
    </row>
    <row r="67" spans="1:9" x14ac:dyDescent="0.45">
      <c r="A67" t="s">
        <v>4902</v>
      </c>
      <c r="B67" t="s">
        <v>5027</v>
      </c>
      <c r="C67" t="s">
        <v>5028</v>
      </c>
      <c r="D67">
        <v>1</v>
      </c>
      <c r="E67">
        <v>2</v>
      </c>
      <c r="G67" t="s">
        <v>5027</v>
      </c>
      <c r="H67" t="s">
        <v>5028</v>
      </c>
      <c r="I67">
        <v>-1</v>
      </c>
    </row>
    <row r="68" spans="1:9" x14ac:dyDescent="0.45">
      <c r="A68" t="s">
        <v>4902</v>
      </c>
      <c r="B68" t="s">
        <v>5029</v>
      </c>
      <c r="C68" t="s">
        <v>5030</v>
      </c>
      <c r="D68">
        <v>1</v>
      </c>
      <c r="E68">
        <v>2</v>
      </c>
      <c r="G68" t="s">
        <v>5029</v>
      </c>
      <c r="H68" t="s">
        <v>5030</v>
      </c>
      <c r="I68">
        <v>-1</v>
      </c>
    </row>
    <row r="69" spans="1:9" x14ac:dyDescent="0.45">
      <c r="A69" t="s">
        <v>4902</v>
      </c>
      <c r="B69" t="s">
        <v>5031</v>
      </c>
      <c r="C69" t="s">
        <v>5032</v>
      </c>
      <c r="D69">
        <v>1</v>
      </c>
      <c r="E69">
        <v>2</v>
      </c>
      <c r="G69" t="s">
        <v>5031</v>
      </c>
      <c r="H69" t="s">
        <v>5032</v>
      </c>
      <c r="I69">
        <v>-1</v>
      </c>
    </row>
    <row r="70" spans="1:9" x14ac:dyDescent="0.45">
      <c r="A70" t="s">
        <v>4902</v>
      </c>
      <c r="B70" t="s">
        <v>5033</v>
      </c>
      <c r="C70" t="s">
        <v>5034</v>
      </c>
      <c r="D70">
        <v>1</v>
      </c>
      <c r="E70">
        <v>2</v>
      </c>
      <c r="G70" t="s">
        <v>5033</v>
      </c>
      <c r="H70" t="s">
        <v>5034</v>
      </c>
      <c r="I70">
        <v>-1</v>
      </c>
    </row>
    <row r="71" spans="1:9" x14ac:dyDescent="0.45">
      <c r="A71" t="s">
        <v>4902</v>
      </c>
      <c r="B71" t="s">
        <v>5035</v>
      </c>
      <c r="C71" t="s">
        <v>5036</v>
      </c>
      <c r="D71">
        <v>1</v>
      </c>
      <c r="E71">
        <v>2</v>
      </c>
      <c r="G71" t="s">
        <v>5035</v>
      </c>
      <c r="H71" t="s">
        <v>5036</v>
      </c>
      <c r="I71">
        <v>-1</v>
      </c>
    </row>
    <row r="72" spans="1:9" x14ac:dyDescent="0.45">
      <c r="A72" t="s">
        <v>4902</v>
      </c>
      <c r="B72" t="s">
        <v>5037</v>
      </c>
      <c r="C72" t="s">
        <v>5038</v>
      </c>
      <c r="D72">
        <v>1</v>
      </c>
      <c r="E72">
        <v>2</v>
      </c>
      <c r="G72" t="s">
        <v>5037</v>
      </c>
      <c r="H72" t="s">
        <v>5038</v>
      </c>
      <c r="I72">
        <v>-1</v>
      </c>
    </row>
    <row r="73" spans="1:9" x14ac:dyDescent="0.45">
      <c r="A73" t="s">
        <v>4902</v>
      </c>
      <c r="B73" t="s">
        <v>5039</v>
      </c>
      <c r="C73" t="s">
        <v>5040</v>
      </c>
      <c r="D73">
        <v>1</v>
      </c>
      <c r="E73">
        <v>2</v>
      </c>
      <c r="G73" t="s">
        <v>5039</v>
      </c>
      <c r="H73" t="s">
        <v>5040</v>
      </c>
      <c r="I73">
        <v>-1</v>
      </c>
    </row>
    <row r="74" spans="1:9" x14ac:dyDescent="0.45">
      <c r="A74" t="s">
        <v>4902</v>
      </c>
      <c r="B74" t="s">
        <v>5041</v>
      </c>
      <c r="C74" t="s">
        <v>5042</v>
      </c>
      <c r="D74">
        <v>1</v>
      </c>
      <c r="E74">
        <v>2</v>
      </c>
      <c r="G74" t="s">
        <v>5041</v>
      </c>
      <c r="H74" t="s">
        <v>5042</v>
      </c>
      <c r="I74">
        <v>-1</v>
      </c>
    </row>
    <row r="75" spans="1:9" x14ac:dyDescent="0.45">
      <c r="A75" t="s">
        <v>4902</v>
      </c>
      <c r="B75" t="s">
        <v>5043</v>
      </c>
      <c r="C75" t="s">
        <v>5044</v>
      </c>
      <c r="D75">
        <v>1</v>
      </c>
      <c r="E75">
        <v>2</v>
      </c>
      <c r="G75" t="s">
        <v>5043</v>
      </c>
      <c r="H75" t="s">
        <v>5044</v>
      </c>
      <c r="I75">
        <v>-1</v>
      </c>
    </row>
    <row r="76" spans="1:9" x14ac:dyDescent="0.45">
      <c r="A76" t="s">
        <v>4902</v>
      </c>
      <c r="B76" t="s">
        <v>5045</v>
      </c>
      <c r="C76" t="s">
        <v>5046</v>
      </c>
      <c r="D76">
        <v>1</v>
      </c>
      <c r="E76">
        <v>2</v>
      </c>
      <c r="G76" t="s">
        <v>5045</v>
      </c>
      <c r="H76" t="s">
        <v>5046</v>
      </c>
      <c r="I76">
        <v>-1</v>
      </c>
    </row>
    <row r="77" spans="1:9" x14ac:dyDescent="0.45">
      <c r="A77" t="s">
        <v>4902</v>
      </c>
      <c r="B77" t="s">
        <v>5047</v>
      </c>
      <c r="C77" t="s">
        <v>5048</v>
      </c>
      <c r="D77">
        <v>1</v>
      </c>
      <c r="E77">
        <v>2</v>
      </c>
      <c r="G77" t="s">
        <v>5047</v>
      </c>
      <c r="H77" t="s">
        <v>5048</v>
      </c>
      <c r="I77">
        <v>-1</v>
      </c>
    </row>
    <row r="78" spans="1:9" x14ac:dyDescent="0.45">
      <c r="A78" t="s">
        <v>4902</v>
      </c>
      <c r="B78" t="s">
        <v>5049</v>
      </c>
      <c r="C78" t="s">
        <v>5050</v>
      </c>
      <c r="D78">
        <v>1</v>
      </c>
      <c r="E78">
        <v>2</v>
      </c>
      <c r="G78" t="s">
        <v>5049</v>
      </c>
      <c r="H78" t="s">
        <v>5050</v>
      </c>
      <c r="I78">
        <v>-1</v>
      </c>
    </row>
    <row r="79" spans="1:9" x14ac:dyDescent="0.45">
      <c r="A79" t="s">
        <v>4902</v>
      </c>
      <c r="B79" t="s">
        <v>5051</v>
      </c>
      <c r="C79" t="s">
        <v>5052</v>
      </c>
      <c r="D79">
        <v>1</v>
      </c>
      <c r="E79">
        <v>2</v>
      </c>
      <c r="G79" t="s">
        <v>5051</v>
      </c>
      <c r="H79" t="s">
        <v>5052</v>
      </c>
      <c r="I79">
        <v>-1</v>
      </c>
    </row>
    <row r="80" spans="1:9" x14ac:dyDescent="0.45">
      <c r="A80" t="s">
        <v>4902</v>
      </c>
      <c r="B80" t="s">
        <v>5053</v>
      </c>
      <c r="C80" t="s">
        <v>5054</v>
      </c>
      <c r="D80">
        <v>1</v>
      </c>
      <c r="E80">
        <v>2</v>
      </c>
      <c r="G80" t="s">
        <v>5053</v>
      </c>
      <c r="H80" t="s">
        <v>5054</v>
      </c>
      <c r="I80">
        <v>-1</v>
      </c>
    </row>
    <row r="81" spans="1:9" x14ac:dyDescent="0.45">
      <c r="A81" t="s">
        <v>4902</v>
      </c>
      <c r="B81" t="s">
        <v>5055</v>
      </c>
      <c r="C81" t="s">
        <v>5056</v>
      </c>
      <c r="D81">
        <v>1</v>
      </c>
      <c r="E81">
        <v>2</v>
      </c>
      <c r="G81" t="s">
        <v>5055</v>
      </c>
      <c r="H81" t="s">
        <v>5056</v>
      </c>
      <c r="I81">
        <v>-1</v>
      </c>
    </row>
    <row r="82" spans="1:9" x14ac:dyDescent="0.45">
      <c r="A82" t="s">
        <v>4902</v>
      </c>
      <c r="B82" t="s">
        <v>5057</v>
      </c>
      <c r="C82" t="s">
        <v>5058</v>
      </c>
      <c r="D82">
        <v>1</v>
      </c>
      <c r="E82">
        <v>2</v>
      </c>
      <c r="G82" t="s">
        <v>5057</v>
      </c>
      <c r="H82" t="s">
        <v>5058</v>
      </c>
      <c r="I82">
        <v>-1</v>
      </c>
    </row>
    <row r="83" spans="1:9" x14ac:dyDescent="0.45">
      <c r="A83" t="s">
        <v>4902</v>
      </c>
      <c r="B83" t="s">
        <v>5059</v>
      </c>
      <c r="C83" t="s">
        <v>5060</v>
      </c>
      <c r="D83">
        <v>1</v>
      </c>
      <c r="E83">
        <v>2</v>
      </c>
      <c r="G83" t="s">
        <v>5059</v>
      </c>
      <c r="H83" t="s">
        <v>5060</v>
      </c>
      <c r="I83">
        <v>-1</v>
      </c>
    </row>
    <row r="84" spans="1:9" x14ac:dyDescent="0.45">
      <c r="A84" t="s">
        <v>4902</v>
      </c>
      <c r="B84" t="s">
        <v>5061</v>
      </c>
      <c r="C84" t="s">
        <v>5062</v>
      </c>
      <c r="D84">
        <v>1</v>
      </c>
      <c r="E84">
        <v>2</v>
      </c>
      <c r="G84" t="s">
        <v>5061</v>
      </c>
      <c r="H84" t="s">
        <v>5062</v>
      </c>
      <c r="I84">
        <v>-1</v>
      </c>
    </row>
    <row r="85" spans="1:9" x14ac:dyDescent="0.45">
      <c r="A85" t="s">
        <v>4902</v>
      </c>
      <c r="B85" t="s">
        <v>5063</v>
      </c>
      <c r="C85" t="s">
        <v>5064</v>
      </c>
      <c r="D85">
        <v>1</v>
      </c>
      <c r="E85">
        <v>2</v>
      </c>
      <c r="G85" t="s">
        <v>5063</v>
      </c>
      <c r="H85" t="s">
        <v>5064</v>
      </c>
      <c r="I85">
        <v>-1</v>
      </c>
    </row>
    <row r="86" spans="1:9" x14ac:dyDescent="0.45">
      <c r="A86" t="s">
        <v>4902</v>
      </c>
      <c r="B86" t="s">
        <v>5065</v>
      </c>
      <c r="C86" t="s">
        <v>5066</v>
      </c>
      <c r="D86">
        <v>1</v>
      </c>
      <c r="E86">
        <v>2</v>
      </c>
      <c r="G86" t="s">
        <v>5065</v>
      </c>
      <c r="H86" t="s">
        <v>5066</v>
      </c>
      <c r="I86">
        <v>-1</v>
      </c>
    </row>
    <row r="87" spans="1:9" x14ac:dyDescent="0.45">
      <c r="A87" t="s">
        <v>4902</v>
      </c>
      <c r="B87" t="s">
        <v>5067</v>
      </c>
      <c r="C87" t="s">
        <v>5068</v>
      </c>
      <c r="D87">
        <v>1</v>
      </c>
      <c r="E87">
        <v>2</v>
      </c>
      <c r="G87" t="s">
        <v>5067</v>
      </c>
      <c r="H87" t="s">
        <v>5068</v>
      </c>
      <c r="I87">
        <v>-1</v>
      </c>
    </row>
    <row r="88" spans="1:9" x14ac:dyDescent="0.45">
      <c r="A88" t="s">
        <v>4902</v>
      </c>
      <c r="B88" t="s">
        <v>5069</v>
      </c>
      <c r="C88" t="s">
        <v>5070</v>
      </c>
      <c r="D88">
        <v>1</v>
      </c>
      <c r="E88">
        <v>2</v>
      </c>
      <c r="G88" t="s">
        <v>5069</v>
      </c>
      <c r="H88" t="s">
        <v>5070</v>
      </c>
      <c r="I88">
        <v>-1</v>
      </c>
    </row>
    <row r="89" spans="1:9" x14ac:dyDescent="0.45">
      <c r="A89" t="s">
        <v>4902</v>
      </c>
      <c r="B89" t="s">
        <v>5071</v>
      </c>
      <c r="C89" t="s">
        <v>5072</v>
      </c>
      <c r="D89">
        <v>1</v>
      </c>
      <c r="E89">
        <v>2</v>
      </c>
      <c r="G89" t="s">
        <v>5071</v>
      </c>
      <c r="H89" t="s">
        <v>5072</v>
      </c>
      <c r="I89">
        <v>-1</v>
      </c>
    </row>
    <row r="90" spans="1:9" x14ac:dyDescent="0.45">
      <c r="A90" t="s">
        <v>4902</v>
      </c>
      <c r="B90" t="s">
        <v>5073</v>
      </c>
      <c r="C90" t="s">
        <v>5074</v>
      </c>
      <c r="D90">
        <v>1</v>
      </c>
      <c r="E90">
        <v>2</v>
      </c>
      <c r="G90" t="s">
        <v>5073</v>
      </c>
      <c r="H90" t="s">
        <v>5074</v>
      </c>
      <c r="I90">
        <v>-1</v>
      </c>
    </row>
    <row r="91" spans="1:9" x14ac:dyDescent="0.45">
      <c r="A91" t="s">
        <v>4902</v>
      </c>
      <c r="B91" t="s">
        <v>5075</v>
      </c>
      <c r="C91" t="s">
        <v>5076</v>
      </c>
      <c r="D91">
        <v>1</v>
      </c>
      <c r="E91">
        <v>2</v>
      </c>
      <c r="G91" t="s">
        <v>5075</v>
      </c>
      <c r="H91" t="s">
        <v>5076</v>
      </c>
      <c r="I91">
        <v>-1</v>
      </c>
    </row>
    <row r="92" spans="1:9" x14ac:dyDescent="0.45">
      <c r="A92" t="s">
        <v>4902</v>
      </c>
      <c r="B92" t="s">
        <v>5077</v>
      </c>
      <c r="C92" t="s">
        <v>5078</v>
      </c>
      <c r="D92">
        <v>1</v>
      </c>
      <c r="E92">
        <v>2</v>
      </c>
      <c r="G92" t="s">
        <v>5077</v>
      </c>
      <c r="H92" t="s">
        <v>5078</v>
      </c>
      <c r="I92">
        <v>-1</v>
      </c>
    </row>
    <row r="93" spans="1:9" x14ac:dyDescent="0.45">
      <c r="A93" t="s">
        <v>4902</v>
      </c>
      <c r="B93" t="s">
        <v>5079</v>
      </c>
      <c r="C93" t="s">
        <v>5080</v>
      </c>
      <c r="D93">
        <v>1</v>
      </c>
      <c r="E93">
        <v>2</v>
      </c>
      <c r="G93" t="s">
        <v>5079</v>
      </c>
      <c r="H93" t="s">
        <v>5080</v>
      </c>
      <c r="I93">
        <v>-1</v>
      </c>
    </row>
    <row r="94" spans="1:9" x14ac:dyDescent="0.45">
      <c r="A94" t="s">
        <v>4902</v>
      </c>
      <c r="B94" t="s">
        <v>5081</v>
      </c>
      <c r="C94" t="s">
        <v>5082</v>
      </c>
      <c r="D94">
        <v>1</v>
      </c>
      <c r="E94">
        <v>2</v>
      </c>
      <c r="G94" t="s">
        <v>5081</v>
      </c>
      <c r="H94" t="s">
        <v>5082</v>
      </c>
      <c r="I94">
        <v>-1</v>
      </c>
    </row>
    <row r="95" spans="1:9" x14ac:dyDescent="0.45">
      <c r="A95" t="s">
        <v>4902</v>
      </c>
      <c r="B95" t="s">
        <v>5083</v>
      </c>
      <c r="C95" t="s">
        <v>5084</v>
      </c>
      <c r="D95">
        <v>1</v>
      </c>
      <c r="E95">
        <v>2</v>
      </c>
      <c r="G95" t="s">
        <v>5083</v>
      </c>
      <c r="H95" t="s">
        <v>5084</v>
      </c>
      <c r="I95">
        <v>-1</v>
      </c>
    </row>
    <row r="96" spans="1:9" x14ac:dyDescent="0.45">
      <c r="A96" t="s">
        <v>4902</v>
      </c>
      <c r="B96" t="s">
        <v>5085</v>
      </c>
      <c r="C96" t="s">
        <v>5086</v>
      </c>
      <c r="D96">
        <v>1</v>
      </c>
      <c r="E96">
        <v>2</v>
      </c>
      <c r="G96" t="s">
        <v>5085</v>
      </c>
      <c r="H96" t="s">
        <v>5086</v>
      </c>
      <c r="I96">
        <v>-1</v>
      </c>
    </row>
    <row r="97" spans="1:9" x14ac:dyDescent="0.45">
      <c r="A97" t="s">
        <v>4902</v>
      </c>
      <c r="B97" t="s">
        <v>5087</v>
      </c>
      <c r="C97" t="s">
        <v>5088</v>
      </c>
      <c r="D97">
        <v>1</v>
      </c>
      <c r="E97">
        <v>2</v>
      </c>
      <c r="G97" t="s">
        <v>5087</v>
      </c>
      <c r="H97" t="s">
        <v>5088</v>
      </c>
      <c r="I97">
        <v>-1</v>
      </c>
    </row>
    <row r="98" spans="1:9" x14ac:dyDescent="0.45">
      <c r="A98" t="s">
        <v>4902</v>
      </c>
      <c r="B98" t="s">
        <v>5089</v>
      </c>
      <c r="C98" t="s">
        <v>5090</v>
      </c>
      <c r="D98">
        <v>1</v>
      </c>
      <c r="E98">
        <v>2</v>
      </c>
      <c r="G98" t="s">
        <v>5089</v>
      </c>
      <c r="H98" t="s">
        <v>5090</v>
      </c>
      <c r="I98">
        <v>-1</v>
      </c>
    </row>
    <row r="99" spans="1:9" x14ac:dyDescent="0.45">
      <c r="A99" t="s">
        <v>4902</v>
      </c>
      <c r="B99" t="s">
        <v>5091</v>
      </c>
      <c r="C99" t="s">
        <v>5092</v>
      </c>
      <c r="D99">
        <v>1</v>
      </c>
      <c r="E99">
        <v>2</v>
      </c>
      <c r="G99" t="s">
        <v>5091</v>
      </c>
      <c r="H99" t="s">
        <v>5092</v>
      </c>
      <c r="I99">
        <v>-1</v>
      </c>
    </row>
    <row r="100" spans="1:9" x14ac:dyDescent="0.45">
      <c r="A100" t="s">
        <v>4902</v>
      </c>
      <c r="B100" t="s">
        <v>5093</v>
      </c>
      <c r="C100" t="s">
        <v>5094</v>
      </c>
      <c r="D100">
        <v>1</v>
      </c>
      <c r="E100">
        <v>2</v>
      </c>
      <c r="G100" t="s">
        <v>5093</v>
      </c>
      <c r="H100" t="s">
        <v>5094</v>
      </c>
      <c r="I100">
        <v>-1</v>
      </c>
    </row>
    <row r="101" spans="1:9" x14ac:dyDescent="0.45">
      <c r="A101" t="s">
        <v>4902</v>
      </c>
      <c r="B101" t="s">
        <v>5095</v>
      </c>
      <c r="C101" t="s">
        <v>5096</v>
      </c>
      <c r="D101">
        <v>1</v>
      </c>
      <c r="E101">
        <v>2</v>
      </c>
      <c r="G101" t="s">
        <v>5095</v>
      </c>
      <c r="H101" t="s">
        <v>5096</v>
      </c>
      <c r="I101">
        <v>-1</v>
      </c>
    </row>
    <row r="102" spans="1:9" x14ac:dyDescent="0.45">
      <c r="A102" t="s">
        <v>4902</v>
      </c>
      <c r="B102" t="s">
        <v>5097</v>
      </c>
      <c r="C102" t="s">
        <v>5098</v>
      </c>
      <c r="D102">
        <v>1</v>
      </c>
      <c r="E102">
        <v>2</v>
      </c>
      <c r="G102" t="s">
        <v>5097</v>
      </c>
      <c r="H102" t="s">
        <v>5098</v>
      </c>
      <c r="I102">
        <v>-1</v>
      </c>
    </row>
    <row r="103" spans="1:9" x14ac:dyDescent="0.45">
      <c r="A103" t="s">
        <v>4902</v>
      </c>
      <c r="B103" t="s">
        <v>5099</v>
      </c>
      <c r="C103" t="s">
        <v>5100</v>
      </c>
      <c r="D103">
        <v>1</v>
      </c>
      <c r="E103">
        <v>2</v>
      </c>
      <c r="G103" t="s">
        <v>5099</v>
      </c>
      <c r="H103" t="s">
        <v>5100</v>
      </c>
      <c r="I103">
        <v>-1</v>
      </c>
    </row>
    <row r="104" spans="1:9" x14ac:dyDescent="0.45">
      <c r="A104" t="s">
        <v>4902</v>
      </c>
      <c r="B104" t="s">
        <v>5101</v>
      </c>
      <c r="C104" t="s">
        <v>5102</v>
      </c>
      <c r="D104">
        <v>1</v>
      </c>
      <c r="E104">
        <v>2</v>
      </c>
      <c r="G104" t="s">
        <v>5101</v>
      </c>
      <c r="H104" t="s">
        <v>5102</v>
      </c>
      <c r="I104">
        <v>-1</v>
      </c>
    </row>
    <row r="105" spans="1:9" x14ac:dyDescent="0.45">
      <c r="A105" t="s">
        <v>4902</v>
      </c>
      <c r="B105" t="s">
        <v>5103</v>
      </c>
      <c r="C105" t="s">
        <v>5104</v>
      </c>
      <c r="D105">
        <v>1</v>
      </c>
      <c r="E105">
        <v>2</v>
      </c>
      <c r="G105" t="s">
        <v>5103</v>
      </c>
      <c r="H105" t="s">
        <v>5104</v>
      </c>
      <c r="I105">
        <v>-1</v>
      </c>
    </row>
    <row r="106" spans="1:9" x14ac:dyDescent="0.45">
      <c r="A106" t="s">
        <v>4902</v>
      </c>
      <c r="B106" t="s">
        <v>5105</v>
      </c>
      <c r="C106" t="s">
        <v>5106</v>
      </c>
      <c r="D106">
        <v>1</v>
      </c>
      <c r="E106">
        <v>2</v>
      </c>
      <c r="G106" t="s">
        <v>5105</v>
      </c>
      <c r="H106" t="s">
        <v>5106</v>
      </c>
      <c r="I106">
        <v>-1</v>
      </c>
    </row>
    <row r="107" spans="1:9" x14ac:dyDescent="0.45">
      <c r="A107" t="s">
        <v>4902</v>
      </c>
      <c r="B107" t="s">
        <v>5107</v>
      </c>
      <c r="C107" t="s">
        <v>5108</v>
      </c>
      <c r="D107">
        <v>1</v>
      </c>
      <c r="E107">
        <v>2</v>
      </c>
      <c r="G107" t="s">
        <v>5107</v>
      </c>
      <c r="H107" t="s">
        <v>5108</v>
      </c>
      <c r="I107">
        <v>-1</v>
      </c>
    </row>
    <row r="108" spans="1:9" x14ac:dyDescent="0.45">
      <c r="A108" t="s">
        <v>4902</v>
      </c>
      <c r="B108" t="s">
        <v>5109</v>
      </c>
      <c r="C108" t="s">
        <v>5110</v>
      </c>
      <c r="D108">
        <v>1</v>
      </c>
      <c r="E108">
        <v>2</v>
      </c>
      <c r="G108" t="s">
        <v>5109</v>
      </c>
      <c r="H108" t="s">
        <v>5110</v>
      </c>
      <c r="I108">
        <v>-1</v>
      </c>
    </row>
    <row r="109" spans="1:9" x14ac:dyDescent="0.45">
      <c r="A109" t="s">
        <v>4902</v>
      </c>
      <c r="B109" t="s">
        <v>5111</v>
      </c>
      <c r="C109" t="s">
        <v>5112</v>
      </c>
      <c r="D109">
        <v>1</v>
      </c>
      <c r="E109">
        <v>2</v>
      </c>
      <c r="G109" t="s">
        <v>5111</v>
      </c>
      <c r="H109" t="s">
        <v>5112</v>
      </c>
      <c r="I109">
        <v>-1</v>
      </c>
    </row>
    <row r="110" spans="1:9" x14ac:dyDescent="0.45">
      <c r="A110" t="s">
        <v>4902</v>
      </c>
      <c r="B110" t="s">
        <v>5113</v>
      </c>
      <c r="C110" t="s">
        <v>5114</v>
      </c>
      <c r="D110">
        <v>1</v>
      </c>
      <c r="E110">
        <v>2</v>
      </c>
      <c r="G110" t="s">
        <v>5113</v>
      </c>
      <c r="H110" t="s">
        <v>5114</v>
      </c>
      <c r="I110">
        <v>-1</v>
      </c>
    </row>
    <row r="111" spans="1:9" x14ac:dyDescent="0.45">
      <c r="A111" t="s">
        <v>4902</v>
      </c>
      <c r="B111" t="s">
        <v>5115</v>
      </c>
      <c r="C111" t="s">
        <v>5116</v>
      </c>
      <c r="D111">
        <v>1</v>
      </c>
      <c r="E111">
        <v>2</v>
      </c>
      <c r="G111" t="s">
        <v>5115</v>
      </c>
      <c r="H111" t="s">
        <v>5116</v>
      </c>
      <c r="I111">
        <v>-1</v>
      </c>
    </row>
    <row r="112" spans="1:9" x14ac:dyDescent="0.45">
      <c r="A112" t="s">
        <v>4902</v>
      </c>
      <c r="B112" t="s">
        <v>5117</v>
      </c>
      <c r="C112" t="s">
        <v>5118</v>
      </c>
      <c r="D112">
        <v>1</v>
      </c>
      <c r="E112">
        <v>2</v>
      </c>
      <c r="G112" t="s">
        <v>5117</v>
      </c>
      <c r="H112" t="s">
        <v>5118</v>
      </c>
      <c r="I112">
        <v>-1</v>
      </c>
    </row>
    <row r="113" spans="1:9" x14ac:dyDescent="0.45">
      <c r="A113" t="s">
        <v>4902</v>
      </c>
      <c r="B113" t="s">
        <v>5119</v>
      </c>
      <c r="C113" t="s">
        <v>5120</v>
      </c>
      <c r="D113">
        <v>1</v>
      </c>
      <c r="E113">
        <v>2</v>
      </c>
      <c r="G113" t="s">
        <v>5119</v>
      </c>
      <c r="H113" t="s">
        <v>5120</v>
      </c>
      <c r="I113">
        <v>-1</v>
      </c>
    </row>
    <row r="114" spans="1:9" x14ac:dyDescent="0.45">
      <c r="A114" t="s">
        <v>4902</v>
      </c>
      <c r="B114" t="s">
        <v>5121</v>
      </c>
      <c r="C114" t="s">
        <v>5122</v>
      </c>
      <c r="D114">
        <v>1</v>
      </c>
      <c r="E114">
        <v>2</v>
      </c>
      <c r="G114" t="s">
        <v>5121</v>
      </c>
      <c r="H114" t="s">
        <v>5122</v>
      </c>
      <c r="I114">
        <v>-1</v>
      </c>
    </row>
    <row r="115" spans="1:9" x14ac:dyDescent="0.45">
      <c r="A115" t="s">
        <v>4902</v>
      </c>
      <c r="B115" t="s">
        <v>5123</v>
      </c>
      <c r="C115" t="s">
        <v>5124</v>
      </c>
      <c r="D115">
        <v>1</v>
      </c>
      <c r="E115">
        <v>2</v>
      </c>
      <c r="G115" t="s">
        <v>5123</v>
      </c>
      <c r="H115" t="s">
        <v>5124</v>
      </c>
      <c r="I115">
        <v>-1</v>
      </c>
    </row>
    <row r="116" spans="1:9" x14ac:dyDescent="0.45">
      <c r="A116" t="s">
        <v>4902</v>
      </c>
      <c r="B116" t="s">
        <v>5125</v>
      </c>
      <c r="C116" t="s">
        <v>5126</v>
      </c>
      <c r="D116">
        <v>1</v>
      </c>
      <c r="E116">
        <v>2</v>
      </c>
      <c r="G116" t="s">
        <v>5125</v>
      </c>
      <c r="H116" t="s">
        <v>5126</v>
      </c>
      <c r="I116">
        <v>-1</v>
      </c>
    </row>
    <row r="117" spans="1:9" x14ac:dyDescent="0.45">
      <c r="A117" t="s">
        <v>4902</v>
      </c>
      <c r="B117" t="s">
        <v>5127</v>
      </c>
      <c r="C117" t="s">
        <v>5128</v>
      </c>
      <c r="D117">
        <v>1</v>
      </c>
      <c r="E117">
        <v>2</v>
      </c>
      <c r="G117" t="s">
        <v>5127</v>
      </c>
      <c r="H117" t="s">
        <v>5128</v>
      </c>
      <c r="I117">
        <v>-1</v>
      </c>
    </row>
    <row r="118" spans="1:9" x14ac:dyDescent="0.45">
      <c r="A118" t="s">
        <v>4902</v>
      </c>
      <c r="B118" t="s">
        <v>5129</v>
      </c>
      <c r="C118" t="s">
        <v>5130</v>
      </c>
      <c r="D118">
        <v>1</v>
      </c>
      <c r="E118">
        <v>2</v>
      </c>
      <c r="G118" t="s">
        <v>5129</v>
      </c>
      <c r="H118" t="s">
        <v>5130</v>
      </c>
      <c r="I118">
        <v>-1</v>
      </c>
    </row>
    <row r="119" spans="1:9" x14ac:dyDescent="0.45">
      <c r="A119" t="s">
        <v>4902</v>
      </c>
      <c r="B119" t="s">
        <v>5131</v>
      </c>
      <c r="C119" t="s">
        <v>5132</v>
      </c>
      <c r="D119">
        <v>1</v>
      </c>
      <c r="E119">
        <v>2</v>
      </c>
      <c r="G119" t="s">
        <v>5131</v>
      </c>
      <c r="H119" t="s">
        <v>5132</v>
      </c>
      <c r="I119">
        <v>-1</v>
      </c>
    </row>
    <row r="120" spans="1:9" x14ac:dyDescent="0.45">
      <c r="A120" t="s">
        <v>4902</v>
      </c>
      <c r="B120" t="s">
        <v>5133</v>
      </c>
      <c r="C120" t="s">
        <v>5134</v>
      </c>
      <c r="D120">
        <v>1</v>
      </c>
      <c r="E120">
        <v>2</v>
      </c>
      <c r="G120" t="s">
        <v>5133</v>
      </c>
      <c r="H120" t="s">
        <v>5134</v>
      </c>
      <c r="I120">
        <v>-1</v>
      </c>
    </row>
    <row r="121" spans="1:9" x14ac:dyDescent="0.45">
      <c r="A121" t="s">
        <v>4902</v>
      </c>
      <c r="B121" t="s">
        <v>5135</v>
      </c>
      <c r="C121" t="s">
        <v>5136</v>
      </c>
      <c r="D121">
        <v>1</v>
      </c>
      <c r="E121">
        <v>2</v>
      </c>
      <c r="G121" t="s">
        <v>5135</v>
      </c>
      <c r="H121" t="s">
        <v>5136</v>
      </c>
      <c r="I121">
        <v>-1</v>
      </c>
    </row>
    <row r="122" spans="1:9" x14ac:dyDescent="0.45">
      <c r="A122" t="s">
        <v>4902</v>
      </c>
      <c r="B122" t="s">
        <v>5137</v>
      </c>
      <c r="C122" t="s">
        <v>5138</v>
      </c>
      <c r="D122">
        <v>1</v>
      </c>
      <c r="E122">
        <v>2</v>
      </c>
      <c r="G122" t="s">
        <v>5137</v>
      </c>
      <c r="H122" t="s">
        <v>5138</v>
      </c>
      <c r="I122">
        <v>-1</v>
      </c>
    </row>
    <row r="123" spans="1:9" x14ac:dyDescent="0.45">
      <c r="A123" t="s">
        <v>4902</v>
      </c>
      <c r="B123" t="s">
        <v>5139</v>
      </c>
      <c r="C123" t="s">
        <v>5140</v>
      </c>
      <c r="D123">
        <v>1</v>
      </c>
      <c r="E123">
        <v>2</v>
      </c>
      <c r="G123" t="s">
        <v>5139</v>
      </c>
      <c r="H123" t="s">
        <v>5140</v>
      </c>
      <c r="I123">
        <v>-1</v>
      </c>
    </row>
    <row r="124" spans="1:9" x14ac:dyDescent="0.45">
      <c r="A124" t="s">
        <v>4902</v>
      </c>
      <c r="B124" t="s">
        <v>5141</v>
      </c>
      <c r="C124" t="s">
        <v>5142</v>
      </c>
      <c r="D124">
        <v>1</v>
      </c>
      <c r="E124">
        <v>2</v>
      </c>
      <c r="G124" t="s">
        <v>5141</v>
      </c>
      <c r="H124" t="s">
        <v>5142</v>
      </c>
      <c r="I124">
        <v>-1</v>
      </c>
    </row>
    <row r="125" spans="1:9" x14ac:dyDescent="0.45">
      <c r="A125" t="s">
        <v>4902</v>
      </c>
      <c r="B125" t="s">
        <v>5143</v>
      </c>
      <c r="C125" t="s">
        <v>5144</v>
      </c>
      <c r="D125">
        <v>1</v>
      </c>
      <c r="E125">
        <v>2</v>
      </c>
      <c r="G125" t="s">
        <v>5143</v>
      </c>
      <c r="H125" t="s">
        <v>5144</v>
      </c>
      <c r="I125">
        <v>-1</v>
      </c>
    </row>
    <row r="126" spans="1:9" x14ac:dyDescent="0.45">
      <c r="A126" t="s">
        <v>4902</v>
      </c>
      <c r="B126" t="s">
        <v>5145</v>
      </c>
      <c r="C126" t="s">
        <v>5146</v>
      </c>
      <c r="D126">
        <v>1</v>
      </c>
      <c r="E126">
        <v>2</v>
      </c>
      <c r="G126" t="s">
        <v>5145</v>
      </c>
      <c r="H126" t="s">
        <v>5146</v>
      </c>
      <c r="I126">
        <v>-1</v>
      </c>
    </row>
    <row r="127" spans="1:9" x14ac:dyDescent="0.45">
      <c r="A127" t="s">
        <v>4902</v>
      </c>
      <c r="B127" t="s">
        <v>5147</v>
      </c>
      <c r="C127" t="s">
        <v>5148</v>
      </c>
      <c r="D127">
        <v>1</v>
      </c>
      <c r="E127">
        <v>2</v>
      </c>
      <c r="G127" t="s">
        <v>5147</v>
      </c>
      <c r="H127" t="s">
        <v>5148</v>
      </c>
      <c r="I127">
        <v>-1</v>
      </c>
    </row>
    <row r="128" spans="1:9" x14ac:dyDescent="0.45">
      <c r="A128" t="s">
        <v>4902</v>
      </c>
      <c r="B128" t="s">
        <v>5149</v>
      </c>
      <c r="C128" t="s">
        <v>5150</v>
      </c>
      <c r="D128">
        <v>1</v>
      </c>
      <c r="E128">
        <v>2</v>
      </c>
      <c r="G128" t="s">
        <v>5149</v>
      </c>
      <c r="H128" t="s">
        <v>5150</v>
      </c>
      <c r="I128">
        <v>-1</v>
      </c>
    </row>
    <row r="129" spans="1:9" x14ac:dyDescent="0.45">
      <c r="A129" t="s">
        <v>4902</v>
      </c>
      <c r="B129" t="s">
        <v>5151</v>
      </c>
      <c r="C129" t="s">
        <v>5152</v>
      </c>
      <c r="D129">
        <v>1</v>
      </c>
      <c r="E129">
        <v>2</v>
      </c>
      <c r="G129" t="s">
        <v>5151</v>
      </c>
      <c r="H129" t="s">
        <v>5152</v>
      </c>
      <c r="I129">
        <v>-1</v>
      </c>
    </row>
    <row r="130" spans="1:9" x14ac:dyDescent="0.45">
      <c r="A130" t="s">
        <v>4902</v>
      </c>
      <c r="B130" t="s">
        <v>5153</v>
      </c>
      <c r="C130" t="s">
        <v>5154</v>
      </c>
      <c r="D130">
        <v>1</v>
      </c>
      <c r="E130">
        <v>2</v>
      </c>
      <c r="G130" t="s">
        <v>5153</v>
      </c>
      <c r="H130" t="s">
        <v>5154</v>
      </c>
      <c r="I130">
        <v>-1</v>
      </c>
    </row>
    <row r="131" spans="1:9" x14ac:dyDescent="0.45">
      <c r="A131" t="s">
        <v>4902</v>
      </c>
      <c r="B131" t="s">
        <v>5155</v>
      </c>
      <c r="C131" t="s">
        <v>5156</v>
      </c>
      <c r="D131">
        <v>1</v>
      </c>
      <c r="E131">
        <v>2</v>
      </c>
      <c r="G131" t="s">
        <v>5155</v>
      </c>
      <c r="H131" t="s">
        <v>5156</v>
      </c>
      <c r="I131">
        <v>-1</v>
      </c>
    </row>
    <row r="132" spans="1:9" x14ac:dyDescent="0.45">
      <c r="A132" t="s">
        <v>4902</v>
      </c>
      <c r="B132" t="s">
        <v>5157</v>
      </c>
      <c r="C132" t="s">
        <v>5158</v>
      </c>
      <c r="D132">
        <v>1</v>
      </c>
      <c r="E132">
        <v>2</v>
      </c>
      <c r="G132" t="s">
        <v>5157</v>
      </c>
      <c r="H132" t="s">
        <v>5158</v>
      </c>
      <c r="I132">
        <v>-1</v>
      </c>
    </row>
    <row r="133" spans="1:9" x14ac:dyDescent="0.45">
      <c r="A133" t="s">
        <v>4902</v>
      </c>
      <c r="B133" t="s">
        <v>5159</v>
      </c>
      <c r="C133" t="s">
        <v>5160</v>
      </c>
      <c r="D133">
        <v>1</v>
      </c>
      <c r="E133">
        <v>2</v>
      </c>
      <c r="G133" t="s">
        <v>5159</v>
      </c>
      <c r="H133" t="s">
        <v>5160</v>
      </c>
      <c r="I133">
        <v>-1</v>
      </c>
    </row>
    <row r="134" spans="1:9" x14ac:dyDescent="0.45">
      <c r="A134" t="s">
        <v>4902</v>
      </c>
      <c r="B134" t="s">
        <v>5161</v>
      </c>
      <c r="C134" t="s">
        <v>5162</v>
      </c>
      <c r="D134">
        <v>1</v>
      </c>
      <c r="E134">
        <v>2</v>
      </c>
      <c r="G134" t="s">
        <v>5161</v>
      </c>
      <c r="H134" t="s">
        <v>5162</v>
      </c>
      <c r="I134">
        <v>-1</v>
      </c>
    </row>
    <row r="135" spans="1:9" x14ac:dyDescent="0.45">
      <c r="A135" t="s">
        <v>4902</v>
      </c>
      <c r="B135" t="s">
        <v>5163</v>
      </c>
      <c r="C135" t="s">
        <v>5164</v>
      </c>
      <c r="D135">
        <v>1</v>
      </c>
      <c r="E135">
        <v>2</v>
      </c>
      <c r="G135" t="s">
        <v>5163</v>
      </c>
      <c r="H135" t="s">
        <v>5164</v>
      </c>
      <c r="I135">
        <v>-1</v>
      </c>
    </row>
    <row r="136" spans="1:9" x14ac:dyDescent="0.45">
      <c r="A136" t="s">
        <v>4902</v>
      </c>
      <c r="B136" t="s">
        <v>5165</v>
      </c>
      <c r="C136" t="s">
        <v>5166</v>
      </c>
      <c r="D136">
        <v>1</v>
      </c>
      <c r="E136">
        <v>2</v>
      </c>
      <c r="G136" t="s">
        <v>5165</v>
      </c>
      <c r="H136" t="s">
        <v>5166</v>
      </c>
      <c r="I136">
        <v>-1</v>
      </c>
    </row>
    <row r="137" spans="1:9" x14ac:dyDescent="0.45">
      <c r="A137" t="s">
        <v>4902</v>
      </c>
      <c r="B137" t="s">
        <v>5167</v>
      </c>
      <c r="C137" t="s">
        <v>5168</v>
      </c>
      <c r="D137">
        <v>1</v>
      </c>
      <c r="E137">
        <v>2</v>
      </c>
      <c r="G137" t="s">
        <v>5167</v>
      </c>
      <c r="H137" t="s">
        <v>5168</v>
      </c>
      <c r="I137">
        <v>-1</v>
      </c>
    </row>
    <row r="138" spans="1:9" x14ac:dyDescent="0.45">
      <c r="A138" t="s">
        <v>4902</v>
      </c>
      <c r="B138" t="s">
        <v>5169</v>
      </c>
      <c r="C138" t="s">
        <v>5170</v>
      </c>
      <c r="D138">
        <v>1</v>
      </c>
      <c r="E138">
        <v>2</v>
      </c>
      <c r="G138" t="s">
        <v>5169</v>
      </c>
      <c r="H138" t="s">
        <v>5170</v>
      </c>
      <c r="I138">
        <v>-1</v>
      </c>
    </row>
    <row r="139" spans="1:9" x14ac:dyDescent="0.45">
      <c r="A139" t="s">
        <v>4902</v>
      </c>
      <c r="B139" t="s">
        <v>5171</v>
      </c>
      <c r="C139" t="s">
        <v>5172</v>
      </c>
      <c r="D139">
        <v>1</v>
      </c>
      <c r="E139">
        <v>2</v>
      </c>
      <c r="G139" t="s">
        <v>5171</v>
      </c>
      <c r="H139" t="s">
        <v>5172</v>
      </c>
      <c r="I139">
        <v>-1</v>
      </c>
    </row>
    <row r="140" spans="1:9" x14ac:dyDescent="0.45">
      <c r="A140" t="s">
        <v>4902</v>
      </c>
      <c r="B140" t="s">
        <v>5173</v>
      </c>
      <c r="C140" t="s">
        <v>5174</v>
      </c>
      <c r="D140">
        <v>1</v>
      </c>
      <c r="E140">
        <v>2</v>
      </c>
      <c r="G140" t="s">
        <v>5173</v>
      </c>
      <c r="H140" t="s">
        <v>5174</v>
      </c>
      <c r="I140">
        <v>-1</v>
      </c>
    </row>
    <row r="141" spans="1:9" x14ac:dyDescent="0.45">
      <c r="A141" t="s">
        <v>4902</v>
      </c>
      <c r="B141" t="s">
        <v>5175</v>
      </c>
      <c r="C141" t="s">
        <v>5176</v>
      </c>
      <c r="D141">
        <v>1</v>
      </c>
      <c r="E141">
        <v>2</v>
      </c>
      <c r="G141" t="s">
        <v>5175</v>
      </c>
      <c r="H141" t="s">
        <v>5176</v>
      </c>
      <c r="I141">
        <v>-1</v>
      </c>
    </row>
    <row r="142" spans="1:9" x14ac:dyDescent="0.45">
      <c r="A142" t="s">
        <v>4902</v>
      </c>
      <c r="B142" t="s">
        <v>5177</v>
      </c>
      <c r="C142" t="s">
        <v>5178</v>
      </c>
      <c r="D142">
        <v>1</v>
      </c>
      <c r="E142">
        <v>2</v>
      </c>
      <c r="G142" t="s">
        <v>5177</v>
      </c>
      <c r="H142" t="s">
        <v>5178</v>
      </c>
      <c r="I142">
        <v>-1</v>
      </c>
    </row>
    <row r="143" spans="1:9" x14ac:dyDescent="0.45">
      <c r="A143" t="s">
        <v>4902</v>
      </c>
      <c r="B143" t="s">
        <v>5179</v>
      </c>
      <c r="C143" t="s">
        <v>5180</v>
      </c>
      <c r="D143">
        <v>1</v>
      </c>
      <c r="E143">
        <v>2</v>
      </c>
      <c r="G143" t="s">
        <v>5179</v>
      </c>
      <c r="H143" t="s">
        <v>5180</v>
      </c>
      <c r="I143">
        <v>-1</v>
      </c>
    </row>
    <row r="144" spans="1:9" x14ac:dyDescent="0.45">
      <c r="A144" t="s">
        <v>4902</v>
      </c>
      <c r="B144" t="s">
        <v>5181</v>
      </c>
      <c r="C144" t="s">
        <v>5182</v>
      </c>
      <c r="D144">
        <v>1</v>
      </c>
      <c r="E144">
        <v>2</v>
      </c>
      <c r="G144" t="s">
        <v>5181</v>
      </c>
      <c r="H144" t="s">
        <v>5182</v>
      </c>
      <c r="I144">
        <v>-1</v>
      </c>
    </row>
    <row r="145" spans="1:9" x14ac:dyDescent="0.45">
      <c r="A145" t="s">
        <v>4902</v>
      </c>
      <c r="B145" t="s">
        <v>5183</v>
      </c>
      <c r="C145" t="s">
        <v>5184</v>
      </c>
      <c r="D145">
        <v>1</v>
      </c>
      <c r="E145">
        <v>2</v>
      </c>
      <c r="G145" t="s">
        <v>5183</v>
      </c>
      <c r="H145" t="s">
        <v>5184</v>
      </c>
      <c r="I145">
        <v>-1</v>
      </c>
    </row>
    <row r="146" spans="1:9" x14ac:dyDescent="0.45">
      <c r="A146" t="s">
        <v>4902</v>
      </c>
      <c r="B146" t="s">
        <v>5185</v>
      </c>
      <c r="C146" t="s">
        <v>5186</v>
      </c>
      <c r="D146">
        <v>1</v>
      </c>
      <c r="E146">
        <v>2</v>
      </c>
      <c r="G146" t="s">
        <v>5185</v>
      </c>
      <c r="H146" t="s">
        <v>5186</v>
      </c>
      <c r="I146">
        <v>-1</v>
      </c>
    </row>
    <row r="147" spans="1:9" x14ac:dyDescent="0.45">
      <c r="A147" t="s">
        <v>4902</v>
      </c>
      <c r="B147" t="s">
        <v>5187</v>
      </c>
      <c r="C147" t="s">
        <v>5188</v>
      </c>
      <c r="D147">
        <v>1</v>
      </c>
      <c r="E147">
        <v>2</v>
      </c>
      <c r="G147" t="s">
        <v>5187</v>
      </c>
      <c r="H147" t="s">
        <v>5188</v>
      </c>
      <c r="I147">
        <v>-1</v>
      </c>
    </row>
    <row r="148" spans="1:9" x14ac:dyDescent="0.45">
      <c r="A148" t="s">
        <v>4902</v>
      </c>
      <c r="B148" t="s">
        <v>5189</v>
      </c>
      <c r="C148" t="s">
        <v>5190</v>
      </c>
      <c r="D148">
        <v>1</v>
      </c>
      <c r="E148">
        <v>2</v>
      </c>
      <c r="G148" t="s">
        <v>5189</v>
      </c>
      <c r="H148" t="s">
        <v>5190</v>
      </c>
      <c r="I148">
        <v>-1</v>
      </c>
    </row>
    <row r="149" spans="1:9" x14ac:dyDescent="0.45">
      <c r="A149" t="s">
        <v>4902</v>
      </c>
      <c r="B149" t="s">
        <v>5191</v>
      </c>
      <c r="C149" t="s">
        <v>5192</v>
      </c>
      <c r="D149">
        <v>1</v>
      </c>
      <c r="E149">
        <v>2</v>
      </c>
      <c r="G149" t="s">
        <v>5191</v>
      </c>
      <c r="H149" t="s">
        <v>5192</v>
      </c>
      <c r="I149">
        <v>-1</v>
      </c>
    </row>
    <row r="150" spans="1:9" x14ac:dyDescent="0.45">
      <c r="A150" t="s">
        <v>4902</v>
      </c>
      <c r="B150" t="s">
        <v>5193</v>
      </c>
      <c r="C150" t="s">
        <v>5194</v>
      </c>
      <c r="D150">
        <v>1</v>
      </c>
      <c r="E150">
        <v>2</v>
      </c>
      <c r="G150" t="s">
        <v>5193</v>
      </c>
      <c r="H150" t="s">
        <v>5194</v>
      </c>
      <c r="I150">
        <v>-1</v>
      </c>
    </row>
    <row r="151" spans="1:9" x14ac:dyDescent="0.45">
      <c r="A151" t="s">
        <v>4902</v>
      </c>
      <c r="B151" t="s">
        <v>5195</v>
      </c>
      <c r="C151" t="s">
        <v>5196</v>
      </c>
      <c r="D151">
        <v>1</v>
      </c>
      <c r="E151">
        <v>2</v>
      </c>
      <c r="G151" t="s">
        <v>5195</v>
      </c>
      <c r="H151" t="s">
        <v>5196</v>
      </c>
      <c r="I151">
        <v>-1</v>
      </c>
    </row>
    <row r="152" spans="1:9" x14ac:dyDescent="0.45">
      <c r="A152" t="s">
        <v>4902</v>
      </c>
      <c r="B152" t="s">
        <v>5197</v>
      </c>
      <c r="C152" t="s">
        <v>5198</v>
      </c>
      <c r="D152">
        <v>1</v>
      </c>
      <c r="E152">
        <v>2</v>
      </c>
      <c r="G152" t="s">
        <v>5197</v>
      </c>
      <c r="H152" t="s">
        <v>5198</v>
      </c>
      <c r="I152">
        <v>-1</v>
      </c>
    </row>
    <row r="153" spans="1:9" x14ac:dyDescent="0.45">
      <c r="A153" t="s">
        <v>4902</v>
      </c>
      <c r="B153" t="s">
        <v>5199</v>
      </c>
      <c r="C153" t="s">
        <v>5200</v>
      </c>
      <c r="D153">
        <v>1</v>
      </c>
      <c r="E153">
        <v>2</v>
      </c>
      <c r="G153" t="s">
        <v>5199</v>
      </c>
      <c r="H153" t="s">
        <v>5200</v>
      </c>
      <c r="I153">
        <v>-1</v>
      </c>
    </row>
    <row r="154" spans="1:9" x14ac:dyDescent="0.45">
      <c r="A154" t="s">
        <v>4902</v>
      </c>
      <c r="B154" t="s">
        <v>5201</v>
      </c>
      <c r="C154" t="s">
        <v>5202</v>
      </c>
      <c r="D154">
        <v>1</v>
      </c>
      <c r="E154">
        <v>2</v>
      </c>
      <c r="G154" t="s">
        <v>5201</v>
      </c>
      <c r="H154" t="s">
        <v>5202</v>
      </c>
      <c r="I154">
        <v>-1</v>
      </c>
    </row>
    <row r="155" spans="1:9" x14ac:dyDescent="0.45">
      <c r="A155" t="s">
        <v>4902</v>
      </c>
      <c r="B155" t="s">
        <v>5203</v>
      </c>
      <c r="C155" t="s">
        <v>5204</v>
      </c>
      <c r="D155">
        <v>1</v>
      </c>
      <c r="E155">
        <v>2</v>
      </c>
      <c r="G155" t="s">
        <v>5203</v>
      </c>
      <c r="H155" t="s">
        <v>5204</v>
      </c>
      <c r="I155">
        <v>-1</v>
      </c>
    </row>
    <row r="156" spans="1:9" x14ac:dyDescent="0.45">
      <c r="A156" t="s">
        <v>4902</v>
      </c>
      <c r="B156" t="s">
        <v>5205</v>
      </c>
      <c r="C156" t="s">
        <v>5206</v>
      </c>
      <c r="D156">
        <v>1</v>
      </c>
      <c r="E156">
        <v>2</v>
      </c>
      <c r="G156" t="s">
        <v>5205</v>
      </c>
      <c r="H156" t="s">
        <v>5206</v>
      </c>
      <c r="I156">
        <v>-1</v>
      </c>
    </row>
    <row r="157" spans="1:9" x14ac:dyDescent="0.45">
      <c r="A157" t="s">
        <v>4902</v>
      </c>
      <c r="B157" t="s">
        <v>5207</v>
      </c>
      <c r="C157" t="s">
        <v>5208</v>
      </c>
      <c r="D157">
        <v>1</v>
      </c>
      <c r="E157">
        <v>2</v>
      </c>
      <c r="G157" t="s">
        <v>5207</v>
      </c>
      <c r="H157" t="s">
        <v>5208</v>
      </c>
      <c r="I157">
        <v>-1</v>
      </c>
    </row>
    <row r="158" spans="1:9" x14ac:dyDescent="0.45">
      <c r="A158" t="s">
        <v>4902</v>
      </c>
      <c r="B158" t="s">
        <v>5209</v>
      </c>
      <c r="C158" t="s">
        <v>5210</v>
      </c>
      <c r="D158">
        <v>1</v>
      </c>
      <c r="E158">
        <v>2</v>
      </c>
      <c r="G158" t="s">
        <v>5209</v>
      </c>
      <c r="H158" t="s">
        <v>5210</v>
      </c>
      <c r="I158">
        <v>-1</v>
      </c>
    </row>
    <row r="159" spans="1:9" x14ac:dyDescent="0.45">
      <c r="A159" t="s">
        <v>4902</v>
      </c>
      <c r="B159" t="s">
        <v>5211</v>
      </c>
      <c r="C159" t="s">
        <v>5212</v>
      </c>
      <c r="D159">
        <v>1</v>
      </c>
      <c r="E159">
        <v>2</v>
      </c>
      <c r="G159" t="s">
        <v>5211</v>
      </c>
      <c r="H159" t="s">
        <v>5212</v>
      </c>
      <c r="I159">
        <v>-1</v>
      </c>
    </row>
    <row r="160" spans="1:9" x14ac:dyDescent="0.45">
      <c r="A160" t="s">
        <v>4902</v>
      </c>
      <c r="B160" t="s">
        <v>5213</v>
      </c>
      <c r="C160" t="s">
        <v>5214</v>
      </c>
      <c r="D160">
        <v>1</v>
      </c>
      <c r="E160">
        <v>2</v>
      </c>
      <c r="G160" t="s">
        <v>5213</v>
      </c>
      <c r="H160" t="s">
        <v>5214</v>
      </c>
      <c r="I160">
        <v>-1</v>
      </c>
    </row>
    <row r="161" spans="1:9" x14ac:dyDescent="0.45">
      <c r="A161" t="s">
        <v>4902</v>
      </c>
      <c r="B161" t="s">
        <v>5215</v>
      </c>
      <c r="C161" t="s">
        <v>5216</v>
      </c>
      <c r="D161">
        <v>1</v>
      </c>
      <c r="E161">
        <v>2</v>
      </c>
      <c r="G161" t="s">
        <v>5215</v>
      </c>
      <c r="H161" t="s">
        <v>5216</v>
      </c>
      <c r="I161">
        <v>-1</v>
      </c>
    </row>
    <row r="162" spans="1:9" x14ac:dyDescent="0.45">
      <c r="A162" t="s">
        <v>4902</v>
      </c>
      <c r="B162" t="s">
        <v>5217</v>
      </c>
      <c r="C162" t="s">
        <v>5218</v>
      </c>
      <c r="D162">
        <v>1</v>
      </c>
      <c r="E162">
        <v>2</v>
      </c>
      <c r="G162" t="s">
        <v>5217</v>
      </c>
      <c r="H162" t="s">
        <v>5218</v>
      </c>
      <c r="I162">
        <v>-1</v>
      </c>
    </row>
    <row r="163" spans="1:9" x14ac:dyDescent="0.45">
      <c r="A163" t="s">
        <v>4902</v>
      </c>
      <c r="B163" t="s">
        <v>5219</v>
      </c>
      <c r="C163" t="s">
        <v>5220</v>
      </c>
      <c r="D163">
        <v>1</v>
      </c>
      <c r="E163">
        <v>2</v>
      </c>
      <c r="G163" t="s">
        <v>5219</v>
      </c>
      <c r="H163" t="s">
        <v>5220</v>
      </c>
      <c r="I163">
        <v>-1</v>
      </c>
    </row>
    <row r="164" spans="1:9" x14ac:dyDescent="0.45">
      <c r="A164" t="s">
        <v>4902</v>
      </c>
      <c r="B164" t="s">
        <v>5221</v>
      </c>
      <c r="C164" t="s">
        <v>5222</v>
      </c>
      <c r="D164">
        <v>1</v>
      </c>
      <c r="E164">
        <v>2</v>
      </c>
      <c r="G164" t="s">
        <v>5221</v>
      </c>
      <c r="H164" t="s">
        <v>5222</v>
      </c>
      <c r="I164">
        <v>-1</v>
      </c>
    </row>
    <row r="165" spans="1:9" x14ac:dyDescent="0.45">
      <c r="A165" t="s">
        <v>4902</v>
      </c>
      <c r="B165" t="s">
        <v>5223</v>
      </c>
      <c r="C165" t="s">
        <v>5224</v>
      </c>
      <c r="D165">
        <v>1</v>
      </c>
      <c r="E165">
        <v>2</v>
      </c>
      <c r="G165" t="s">
        <v>5223</v>
      </c>
      <c r="H165" t="s">
        <v>5224</v>
      </c>
      <c r="I165">
        <v>-1</v>
      </c>
    </row>
    <row r="166" spans="1:9" x14ac:dyDescent="0.45">
      <c r="A166" t="s">
        <v>4902</v>
      </c>
      <c r="B166" t="s">
        <v>5225</v>
      </c>
      <c r="C166" t="s">
        <v>5226</v>
      </c>
      <c r="D166">
        <v>1</v>
      </c>
      <c r="E166">
        <v>2</v>
      </c>
      <c r="G166" t="s">
        <v>5225</v>
      </c>
      <c r="H166" t="s">
        <v>5226</v>
      </c>
      <c r="I166">
        <v>-1</v>
      </c>
    </row>
    <row r="167" spans="1:9" x14ac:dyDescent="0.45">
      <c r="A167" t="s">
        <v>4902</v>
      </c>
      <c r="B167" t="s">
        <v>5227</v>
      </c>
      <c r="C167" t="s">
        <v>5228</v>
      </c>
      <c r="D167">
        <v>1</v>
      </c>
      <c r="E167">
        <v>2</v>
      </c>
      <c r="G167" t="s">
        <v>5227</v>
      </c>
      <c r="H167" t="s">
        <v>5228</v>
      </c>
      <c r="I167">
        <v>-1</v>
      </c>
    </row>
    <row r="168" spans="1:9" x14ac:dyDescent="0.45">
      <c r="A168" t="s">
        <v>4902</v>
      </c>
      <c r="B168" t="s">
        <v>5229</v>
      </c>
      <c r="C168" t="s">
        <v>5230</v>
      </c>
      <c r="D168">
        <v>1</v>
      </c>
      <c r="E168">
        <v>2</v>
      </c>
      <c r="G168" t="s">
        <v>5229</v>
      </c>
      <c r="H168" t="s">
        <v>5230</v>
      </c>
      <c r="I168">
        <v>-1</v>
      </c>
    </row>
    <row r="169" spans="1:9" x14ac:dyDescent="0.45">
      <c r="A169" t="s">
        <v>4902</v>
      </c>
      <c r="B169" t="s">
        <v>5231</v>
      </c>
      <c r="C169" t="s">
        <v>5232</v>
      </c>
      <c r="D169">
        <v>1</v>
      </c>
      <c r="E169">
        <v>2</v>
      </c>
      <c r="G169" t="s">
        <v>5231</v>
      </c>
      <c r="H169" t="s">
        <v>5232</v>
      </c>
      <c r="I169">
        <v>-1</v>
      </c>
    </row>
    <row r="170" spans="1:9" x14ac:dyDescent="0.45">
      <c r="A170" t="s">
        <v>4902</v>
      </c>
      <c r="B170" t="s">
        <v>5233</v>
      </c>
      <c r="C170" t="s">
        <v>5234</v>
      </c>
      <c r="D170">
        <v>1</v>
      </c>
      <c r="E170">
        <v>2</v>
      </c>
      <c r="G170" t="s">
        <v>5233</v>
      </c>
      <c r="H170" t="s">
        <v>5234</v>
      </c>
      <c r="I170">
        <v>-1</v>
      </c>
    </row>
    <row r="171" spans="1:9" x14ac:dyDescent="0.45">
      <c r="A171" t="s">
        <v>4902</v>
      </c>
      <c r="B171" t="s">
        <v>5235</v>
      </c>
      <c r="C171" t="s">
        <v>5236</v>
      </c>
      <c r="D171">
        <v>1</v>
      </c>
      <c r="E171">
        <v>2</v>
      </c>
      <c r="G171" t="s">
        <v>5235</v>
      </c>
      <c r="H171" t="s">
        <v>5236</v>
      </c>
      <c r="I171">
        <v>-1</v>
      </c>
    </row>
    <row r="172" spans="1:9" x14ac:dyDescent="0.45">
      <c r="A172" t="s">
        <v>4902</v>
      </c>
      <c r="B172" t="s">
        <v>5237</v>
      </c>
      <c r="C172" t="s">
        <v>5238</v>
      </c>
      <c r="D172">
        <v>1</v>
      </c>
      <c r="E172">
        <v>2</v>
      </c>
      <c r="G172" t="s">
        <v>5237</v>
      </c>
      <c r="H172" t="s">
        <v>5238</v>
      </c>
      <c r="I172">
        <v>-1</v>
      </c>
    </row>
    <row r="173" spans="1:9" x14ac:dyDescent="0.45">
      <c r="A173" t="s">
        <v>4902</v>
      </c>
      <c r="B173" t="s">
        <v>5239</v>
      </c>
      <c r="C173" t="s">
        <v>5240</v>
      </c>
      <c r="D173">
        <v>1</v>
      </c>
      <c r="E173">
        <v>2</v>
      </c>
      <c r="G173" t="s">
        <v>5239</v>
      </c>
      <c r="H173" t="s">
        <v>5240</v>
      </c>
      <c r="I173">
        <v>-1</v>
      </c>
    </row>
    <row r="174" spans="1:9" x14ac:dyDescent="0.45">
      <c r="A174" t="s">
        <v>4902</v>
      </c>
      <c r="B174" t="s">
        <v>5241</v>
      </c>
      <c r="C174" t="s">
        <v>5242</v>
      </c>
      <c r="D174">
        <v>1</v>
      </c>
      <c r="E174">
        <v>2</v>
      </c>
      <c r="G174" t="s">
        <v>5241</v>
      </c>
      <c r="H174" t="s">
        <v>5242</v>
      </c>
      <c r="I174">
        <v>-1</v>
      </c>
    </row>
    <row r="175" spans="1:9" x14ac:dyDescent="0.45">
      <c r="A175" t="s">
        <v>4902</v>
      </c>
      <c r="B175" t="s">
        <v>5243</v>
      </c>
      <c r="C175" t="s">
        <v>5244</v>
      </c>
      <c r="D175">
        <v>1</v>
      </c>
      <c r="E175">
        <v>2</v>
      </c>
      <c r="G175" t="s">
        <v>5243</v>
      </c>
      <c r="H175" t="s">
        <v>5244</v>
      </c>
      <c r="I175">
        <v>-1</v>
      </c>
    </row>
    <row r="176" spans="1:9" x14ac:dyDescent="0.45">
      <c r="A176" t="s">
        <v>4902</v>
      </c>
      <c r="B176" t="s">
        <v>5245</v>
      </c>
      <c r="C176" t="s">
        <v>5246</v>
      </c>
      <c r="D176">
        <v>1</v>
      </c>
      <c r="E176">
        <v>2</v>
      </c>
      <c r="G176" t="s">
        <v>5245</v>
      </c>
      <c r="H176" t="s">
        <v>5246</v>
      </c>
      <c r="I176">
        <v>-1</v>
      </c>
    </row>
    <row r="177" spans="1:9" x14ac:dyDescent="0.45">
      <c r="A177" t="s">
        <v>4902</v>
      </c>
      <c r="B177" t="s">
        <v>5247</v>
      </c>
      <c r="C177" t="s">
        <v>5248</v>
      </c>
      <c r="D177">
        <v>1</v>
      </c>
      <c r="E177">
        <v>2</v>
      </c>
      <c r="G177" t="s">
        <v>5247</v>
      </c>
      <c r="H177" t="s">
        <v>5248</v>
      </c>
      <c r="I177">
        <v>-1</v>
      </c>
    </row>
    <row r="178" spans="1:9" x14ac:dyDescent="0.45">
      <c r="A178" t="s">
        <v>4902</v>
      </c>
      <c r="B178" t="s">
        <v>5249</v>
      </c>
      <c r="C178" t="s">
        <v>5250</v>
      </c>
      <c r="D178">
        <v>1</v>
      </c>
      <c r="E178">
        <v>2</v>
      </c>
      <c r="G178" t="s">
        <v>5249</v>
      </c>
      <c r="H178" t="s">
        <v>5250</v>
      </c>
      <c r="I178">
        <v>-1</v>
      </c>
    </row>
    <row r="179" spans="1:9" x14ac:dyDescent="0.45">
      <c r="A179" t="s">
        <v>4902</v>
      </c>
      <c r="B179" t="s">
        <v>5251</v>
      </c>
      <c r="C179" t="s">
        <v>5252</v>
      </c>
      <c r="D179">
        <v>1</v>
      </c>
      <c r="E179">
        <v>2</v>
      </c>
      <c r="G179" t="s">
        <v>5251</v>
      </c>
      <c r="H179" t="s">
        <v>5252</v>
      </c>
      <c r="I179">
        <v>-1</v>
      </c>
    </row>
    <row r="180" spans="1:9" x14ac:dyDescent="0.45">
      <c r="A180" t="s">
        <v>4902</v>
      </c>
      <c r="B180" t="s">
        <v>5253</v>
      </c>
      <c r="C180" t="s">
        <v>5254</v>
      </c>
      <c r="D180">
        <v>1</v>
      </c>
      <c r="E180">
        <v>2</v>
      </c>
      <c r="G180" t="s">
        <v>5253</v>
      </c>
      <c r="H180" t="s">
        <v>5254</v>
      </c>
      <c r="I180">
        <v>-1</v>
      </c>
    </row>
    <row r="181" spans="1:9" x14ac:dyDescent="0.45">
      <c r="A181" t="s">
        <v>4902</v>
      </c>
      <c r="B181" t="s">
        <v>5255</v>
      </c>
      <c r="C181" t="s">
        <v>5256</v>
      </c>
      <c r="D181">
        <v>1</v>
      </c>
      <c r="E181">
        <v>2</v>
      </c>
      <c r="G181" t="s">
        <v>5255</v>
      </c>
      <c r="H181" t="s">
        <v>5256</v>
      </c>
      <c r="I181">
        <v>-1</v>
      </c>
    </row>
    <row r="182" spans="1:9" x14ac:dyDescent="0.45">
      <c r="A182" t="s">
        <v>4902</v>
      </c>
      <c r="B182" t="s">
        <v>5257</v>
      </c>
      <c r="C182" t="s">
        <v>5258</v>
      </c>
      <c r="D182">
        <v>1</v>
      </c>
      <c r="E182">
        <v>2</v>
      </c>
      <c r="G182" t="s">
        <v>5257</v>
      </c>
      <c r="H182" t="s">
        <v>5258</v>
      </c>
      <c r="I182">
        <v>-1</v>
      </c>
    </row>
    <row r="183" spans="1:9" x14ac:dyDescent="0.45">
      <c r="A183" t="s">
        <v>4902</v>
      </c>
      <c r="B183" t="s">
        <v>5259</v>
      </c>
      <c r="C183" t="s">
        <v>5260</v>
      </c>
      <c r="D183">
        <v>1</v>
      </c>
      <c r="E183">
        <v>2</v>
      </c>
      <c r="G183" t="s">
        <v>5259</v>
      </c>
      <c r="H183" t="s">
        <v>5260</v>
      </c>
      <c r="I183">
        <v>-1</v>
      </c>
    </row>
    <row r="184" spans="1:9" x14ac:dyDescent="0.45">
      <c r="A184" t="s">
        <v>4902</v>
      </c>
      <c r="B184" t="s">
        <v>5261</v>
      </c>
      <c r="C184" t="s">
        <v>5262</v>
      </c>
      <c r="D184">
        <v>1</v>
      </c>
      <c r="E184">
        <v>2</v>
      </c>
      <c r="G184" t="s">
        <v>5261</v>
      </c>
      <c r="H184" t="s">
        <v>5262</v>
      </c>
      <c r="I184">
        <v>-1</v>
      </c>
    </row>
    <row r="185" spans="1:9" x14ac:dyDescent="0.45">
      <c r="A185" t="s">
        <v>4902</v>
      </c>
      <c r="B185" t="s">
        <v>5263</v>
      </c>
      <c r="C185" t="s">
        <v>5264</v>
      </c>
      <c r="D185">
        <v>1</v>
      </c>
      <c r="E185">
        <v>2</v>
      </c>
      <c r="G185" t="s">
        <v>5263</v>
      </c>
      <c r="H185" t="s">
        <v>5264</v>
      </c>
      <c r="I185">
        <v>-1</v>
      </c>
    </row>
    <row r="186" spans="1:9" x14ac:dyDescent="0.45">
      <c r="A186" t="s">
        <v>4902</v>
      </c>
      <c r="B186" t="s">
        <v>5265</v>
      </c>
      <c r="C186" t="s">
        <v>5266</v>
      </c>
      <c r="D186">
        <v>1</v>
      </c>
      <c r="E186">
        <v>2</v>
      </c>
      <c r="G186" t="s">
        <v>5265</v>
      </c>
      <c r="H186" t="s">
        <v>5266</v>
      </c>
      <c r="I186">
        <v>-1</v>
      </c>
    </row>
    <row r="187" spans="1:9" x14ac:dyDescent="0.45">
      <c r="A187" t="s">
        <v>4902</v>
      </c>
      <c r="B187" t="s">
        <v>5267</v>
      </c>
      <c r="C187" t="s">
        <v>5268</v>
      </c>
      <c r="D187">
        <v>1</v>
      </c>
      <c r="E187">
        <v>2</v>
      </c>
      <c r="G187" t="s">
        <v>5267</v>
      </c>
      <c r="H187" t="s">
        <v>5268</v>
      </c>
      <c r="I187">
        <v>-1</v>
      </c>
    </row>
    <row r="188" spans="1:9" x14ac:dyDescent="0.45">
      <c r="A188" t="s">
        <v>4902</v>
      </c>
      <c r="B188" t="s">
        <v>5269</v>
      </c>
      <c r="C188" t="s">
        <v>5270</v>
      </c>
      <c r="D188">
        <v>1</v>
      </c>
      <c r="E188">
        <v>2</v>
      </c>
      <c r="G188" t="s">
        <v>5269</v>
      </c>
      <c r="H188" t="s">
        <v>5270</v>
      </c>
      <c r="I188">
        <v>-1</v>
      </c>
    </row>
    <row r="189" spans="1:9" x14ac:dyDescent="0.45">
      <c r="A189" t="s">
        <v>4902</v>
      </c>
      <c r="B189" t="s">
        <v>5271</v>
      </c>
      <c r="C189" t="s">
        <v>5272</v>
      </c>
      <c r="D189">
        <v>1</v>
      </c>
      <c r="E189">
        <v>2</v>
      </c>
      <c r="G189" t="s">
        <v>5271</v>
      </c>
      <c r="H189" t="s">
        <v>5272</v>
      </c>
      <c r="I189">
        <v>-1</v>
      </c>
    </row>
    <row r="190" spans="1:9" x14ac:dyDescent="0.45">
      <c r="A190" t="s">
        <v>4902</v>
      </c>
      <c r="B190" t="s">
        <v>5273</v>
      </c>
      <c r="C190" t="s">
        <v>5274</v>
      </c>
      <c r="D190">
        <v>1</v>
      </c>
      <c r="E190">
        <v>2</v>
      </c>
      <c r="G190" t="s">
        <v>5273</v>
      </c>
      <c r="H190" t="s">
        <v>5274</v>
      </c>
      <c r="I190">
        <v>-1</v>
      </c>
    </row>
    <row r="191" spans="1:9" x14ac:dyDescent="0.45">
      <c r="A191" t="s">
        <v>4902</v>
      </c>
      <c r="B191" t="s">
        <v>5275</v>
      </c>
      <c r="C191" t="s">
        <v>5276</v>
      </c>
      <c r="D191">
        <v>1</v>
      </c>
      <c r="E191">
        <v>2</v>
      </c>
      <c r="G191" t="s">
        <v>5275</v>
      </c>
      <c r="H191" t="s">
        <v>5276</v>
      </c>
      <c r="I191">
        <v>-1</v>
      </c>
    </row>
    <row r="192" spans="1:9" x14ac:dyDescent="0.45">
      <c r="A192" t="s">
        <v>4902</v>
      </c>
      <c r="B192" t="s">
        <v>5277</v>
      </c>
      <c r="C192" t="s">
        <v>5278</v>
      </c>
      <c r="D192">
        <v>1</v>
      </c>
      <c r="E192">
        <v>2</v>
      </c>
      <c r="G192" t="s">
        <v>5277</v>
      </c>
      <c r="H192" t="s">
        <v>5278</v>
      </c>
      <c r="I192">
        <v>-1</v>
      </c>
    </row>
    <row r="193" spans="1:9" x14ac:dyDescent="0.45">
      <c r="A193" t="s">
        <v>4902</v>
      </c>
      <c r="B193" t="s">
        <v>5279</v>
      </c>
      <c r="C193" t="s">
        <v>5280</v>
      </c>
      <c r="D193">
        <v>1</v>
      </c>
      <c r="E193">
        <v>2</v>
      </c>
      <c r="G193" t="s">
        <v>5279</v>
      </c>
      <c r="H193" t="s">
        <v>5280</v>
      </c>
      <c r="I193">
        <v>-1</v>
      </c>
    </row>
    <row r="194" spans="1:9" x14ac:dyDescent="0.45">
      <c r="A194" t="s">
        <v>4902</v>
      </c>
      <c r="B194" t="s">
        <v>5281</v>
      </c>
      <c r="C194" t="s">
        <v>5282</v>
      </c>
      <c r="D194">
        <v>1</v>
      </c>
      <c r="E194">
        <v>2</v>
      </c>
      <c r="G194" t="s">
        <v>5281</v>
      </c>
      <c r="H194" t="s">
        <v>5282</v>
      </c>
      <c r="I194">
        <v>-1</v>
      </c>
    </row>
    <row r="195" spans="1:9" x14ac:dyDescent="0.45">
      <c r="A195" t="s">
        <v>4902</v>
      </c>
      <c r="B195" t="s">
        <v>5283</v>
      </c>
      <c r="C195" t="s">
        <v>5284</v>
      </c>
      <c r="D195">
        <v>1</v>
      </c>
      <c r="E195">
        <v>2</v>
      </c>
      <c r="G195" t="s">
        <v>5283</v>
      </c>
      <c r="H195" t="s">
        <v>5284</v>
      </c>
      <c r="I195">
        <v>-1</v>
      </c>
    </row>
    <row r="196" spans="1:9" x14ac:dyDescent="0.45">
      <c r="A196" t="s">
        <v>4902</v>
      </c>
      <c r="B196" t="s">
        <v>5285</v>
      </c>
      <c r="C196" t="s">
        <v>5286</v>
      </c>
      <c r="D196">
        <v>1</v>
      </c>
      <c r="E196">
        <v>2</v>
      </c>
      <c r="G196" t="s">
        <v>5285</v>
      </c>
      <c r="H196" t="s">
        <v>5286</v>
      </c>
      <c r="I196">
        <v>-1</v>
      </c>
    </row>
    <row r="197" spans="1:9" x14ac:dyDescent="0.45">
      <c r="A197" t="s">
        <v>4902</v>
      </c>
      <c r="B197" t="s">
        <v>5287</v>
      </c>
      <c r="C197" t="s">
        <v>5288</v>
      </c>
      <c r="D197">
        <v>1</v>
      </c>
      <c r="E197">
        <v>2</v>
      </c>
      <c r="G197" t="s">
        <v>5287</v>
      </c>
      <c r="H197" t="s">
        <v>5288</v>
      </c>
      <c r="I197">
        <v>-1</v>
      </c>
    </row>
    <row r="198" spans="1:9" x14ac:dyDescent="0.45">
      <c r="A198" t="s">
        <v>4902</v>
      </c>
      <c r="B198" t="s">
        <v>5289</v>
      </c>
      <c r="C198" t="s">
        <v>5290</v>
      </c>
      <c r="D198">
        <v>1</v>
      </c>
      <c r="E198">
        <v>2</v>
      </c>
      <c r="G198" t="s">
        <v>5289</v>
      </c>
      <c r="H198" t="s">
        <v>5290</v>
      </c>
      <c r="I198">
        <v>-1</v>
      </c>
    </row>
    <row r="199" spans="1:9" x14ac:dyDescent="0.45">
      <c r="A199" t="s">
        <v>4902</v>
      </c>
      <c r="B199" t="s">
        <v>5291</v>
      </c>
      <c r="C199" t="s">
        <v>5292</v>
      </c>
      <c r="D199">
        <v>1</v>
      </c>
      <c r="E199">
        <v>2</v>
      </c>
      <c r="G199" t="s">
        <v>5291</v>
      </c>
      <c r="H199" t="s">
        <v>5292</v>
      </c>
      <c r="I199">
        <v>-1</v>
      </c>
    </row>
    <row r="200" spans="1:9" x14ac:dyDescent="0.45">
      <c r="A200" t="s">
        <v>4902</v>
      </c>
      <c r="B200" t="s">
        <v>5293</v>
      </c>
      <c r="C200" t="s">
        <v>5294</v>
      </c>
      <c r="D200">
        <v>1</v>
      </c>
      <c r="E200">
        <v>2</v>
      </c>
      <c r="G200" t="s">
        <v>5293</v>
      </c>
      <c r="H200" t="s">
        <v>5294</v>
      </c>
      <c r="I200">
        <v>-1</v>
      </c>
    </row>
    <row r="201" spans="1:9" x14ac:dyDescent="0.45">
      <c r="A201" t="s">
        <v>4902</v>
      </c>
      <c r="B201" t="s">
        <v>5295</v>
      </c>
      <c r="C201" t="s">
        <v>5296</v>
      </c>
      <c r="D201">
        <v>1</v>
      </c>
      <c r="E201">
        <v>2</v>
      </c>
      <c r="G201" t="s">
        <v>5295</v>
      </c>
      <c r="H201" t="s">
        <v>5296</v>
      </c>
      <c r="I201">
        <v>-1</v>
      </c>
    </row>
    <row r="202" spans="1:9" x14ac:dyDescent="0.45">
      <c r="A202" t="s">
        <v>4902</v>
      </c>
      <c r="B202" t="s">
        <v>5297</v>
      </c>
      <c r="C202" t="s">
        <v>5298</v>
      </c>
      <c r="D202">
        <v>1</v>
      </c>
      <c r="E202">
        <v>2</v>
      </c>
      <c r="G202" t="s">
        <v>5297</v>
      </c>
      <c r="H202" t="s">
        <v>5298</v>
      </c>
      <c r="I202">
        <v>-1</v>
      </c>
    </row>
    <row r="203" spans="1:9" x14ac:dyDescent="0.45">
      <c r="A203" t="s">
        <v>4902</v>
      </c>
      <c r="B203" t="s">
        <v>5299</v>
      </c>
      <c r="C203" t="s">
        <v>5300</v>
      </c>
      <c r="D203">
        <v>1</v>
      </c>
      <c r="E203">
        <v>2</v>
      </c>
      <c r="G203" t="s">
        <v>5299</v>
      </c>
      <c r="H203" t="s">
        <v>5300</v>
      </c>
      <c r="I203">
        <v>-1</v>
      </c>
    </row>
    <row r="204" spans="1:9" x14ac:dyDescent="0.45">
      <c r="A204" t="s">
        <v>4902</v>
      </c>
      <c r="B204" t="s">
        <v>5301</v>
      </c>
      <c r="C204" t="s">
        <v>5302</v>
      </c>
      <c r="D204">
        <v>1</v>
      </c>
      <c r="E204">
        <v>2</v>
      </c>
      <c r="G204" t="s">
        <v>5301</v>
      </c>
      <c r="H204" t="s">
        <v>5302</v>
      </c>
      <c r="I204">
        <v>-1</v>
      </c>
    </row>
    <row r="205" spans="1:9" x14ac:dyDescent="0.45">
      <c r="A205" t="s">
        <v>4902</v>
      </c>
      <c r="B205" t="s">
        <v>5303</v>
      </c>
      <c r="C205" t="s">
        <v>5304</v>
      </c>
      <c r="D205">
        <v>1</v>
      </c>
      <c r="E205">
        <v>2</v>
      </c>
      <c r="G205" t="s">
        <v>5303</v>
      </c>
      <c r="H205" t="s">
        <v>5304</v>
      </c>
      <c r="I205">
        <v>-1</v>
      </c>
    </row>
    <row r="206" spans="1:9" x14ac:dyDescent="0.45">
      <c r="A206" t="s">
        <v>4902</v>
      </c>
      <c r="B206" t="s">
        <v>5305</v>
      </c>
      <c r="C206" t="s">
        <v>5306</v>
      </c>
      <c r="D206">
        <v>1</v>
      </c>
      <c r="E206">
        <v>2</v>
      </c>
      <c r="G206" t="s">
        <v>5305</v>
      </c>
      <c r="H206" t="s">
        <v>5306</v>
      </c>
      <c r="I206">
        <v>-1</v>
      </c>
    </row>
    <row r="207" spans="1:9" x14ac:dyDescent="0.45">
      <c r="A207" t="s">
        <v>4902</v>
      </c>
      <c r="B207" t="s">
        <v>5307</v>
      </c>
      <c r="C207" t="s">
        <v>5308</v>
      </c>
      <c r="D207">
        <v>1</v>
      </c>
      <c r="E207">
        <v>2</v>
      </c>
      <c r="G207" t="s">
        <v>5307</v>
      </c>
      <c r="H207" t="s">
        <v>5308</v>
      </c>
      <c r="I207">
        <v>-1</v>
      </c>
    </row>
    <row r="208" spans="1:9" x14ac:dyDescent="0.45">
      <c r="A208" t="s">
        <v>4902</v>
      </c>
      <c r="B208" t="s">
        <v>5309</v>
      </c>
      <c r="C208" t="s">
        <v>5310</v>
      </c>
      <c r="D208">
        <v>1</v>
      </c>
      <c r="E208">
        <v>2</v>
      </c>
      <c r="G208" t="s">
        <v>5309</v>
      </c>
      <c r="H208" t="s">
        <v>5310</v>
      </c>
      <c r="I208">
        <v>-1</v>
      </c>
    </row>
    <row r="209" spans="1:9" x14ac:dyDescent="0.45">
      <c r="A209" t="s">
        <v>4902</v>
      </c>
      <c r="B209" t="s">
        <v>5311</v>
      </c>
      <c r="C209" t="s">
        <v>5312</v>
      </c>
      <c r="D209">
        <v>1</v>
      </c>
      <c r="E209">
        <v>2</v>
      </c>
      <c r="G209" t="s">
        <v>5311</v>
      </c>
      <c r="H209" t="s">
        <v>5312</v>
      </c>
      <c r="I209">
        <v>-1</v>
      </c>
    </row>
    <row r="210" spans="1:9" x14ac:dyDescent="0.45">
      <c r="A210" t="s">
        <v>4902</v>
      </c>
      <c r="B210" t="s">
        <v>5313</v>
      </c>
      <c r="C210" t="s">
        <v>5314</v>
      </c>
      <c r="D210">
        <v>1</v>
      </c>
      <c r="E210">
        <v>2</v>
      </c>
      <c r="G210" t="s">
        <v>5313</v>
      </c>
      <c r="H210" t="s">
        <v>5314</v>
      </c>
      <c r="I210">
        <v>-1</v>
      </c>
    </row>
    <row r="211" spans="1:9" x14ac:dyDescent="0.45">
      <c r="A211" t="s">
        <v>4902</v>
      </c>
      <c r="B211" t="s">
        <v>5315</v>
      </c>
      <c r="C211" t="s">
        <v>5316</v>
      </c>
      <c r="D211">
        <v>1</v>
      </c>
      <c r="E211">
        <v>2</v>
      </c>
      <c r="G211" t="s">
        <v>5315</v>
      </c>
      <c r="H211" t="s">
        <v>5316</v>
      </c>
      <c r="I211">
        <v>-1</v>
      </c>
    </row>
    <row r="212" spans="1:9" x14ac:dyDescent="0.45">
      <c r="A212" t="s">
        <v>4902</v>
      </c>
      <c r="B212" t="s">
        <v>5317</v>
      </c>
      <c r="C212" t="s">
        <v>5318</v>
      </c>
      <c r="D212">
        <v>1</v>
      </c>
      <c r="E212">
        <v>2</v>
      </c>
      <c r="G212" t="s">
        <v>5317</v>
      </c>
      <c r="H212" t="s">
        <v>5318</v>
      </c>
      <c r="I212">
        <v>-1</v>
      </c>
    </row>
    <row r="213" spans="1:9" x14ac:dyDescent="0.45">
      <c r="A213" t="s">
        <v>4902</v>
      </c>
      <c r="B213" t="s">
        <v>5319</v>
      </c>
      <c r="C213" t="s">
        <v>5320</v>
      </c>
      <c r="D213">
        <v>1</v>
      </c>
      <c r="E213">
        <v>2</v>
      </c>
      <c r="G213" t="s">
        <v>5319</v>
      </c>
      <c r="H213" t="s">
        <v>5320</v>
      </c>
      <c r="I213">
        <v>-1</v>
      </c>
    </row>
    <row r="214" spans="1:9" x14ac:dyDescent="0.45">
      <c r="A214" t="s">
        <v>4902</v>
      </c>
      <c r="B214" t="s">
        <v>5321</v>
      </c>
      <c r="C214" t="s">
        <v>5322</v>
      </c>
      <c r="D214">
        <v>1</v>
      </c>
      <c r="E214">
        <v>2</v>
      </c>
      <c r="G214" t="s">
        <v>5321</v>
      </c>
      <c r="H214" t="s">
        <v>5322</v>
      </c>
      <c r="I214">
        <v>-1</v>
      </c>
    </row>
    <row r="215" spans="1:9" x14ac:dyDescent="0.45">
      <c r="A215" t="s">
        <v>4902</v>
      </c>
      <c r="B215" t="s">
        <v>5323</v>
      </c>
      <c r="C215" t="s">
        <v>5324</v>
      </c>
      <c r="D215">
        <v>1</v>
      </c>
      <c r="E215">
        <v>2</v>
      </c>
      <c r="G215" t="s">
        <v>5323</v>
      </c>
      <c r="H215" t="s">
        <v>5324</v>
      </c>
      <c r="I215">
        <v>-1</v>
      </c>
    </row>
    <row r="216" spans="1:9" x14ac:dyDescent="0.45">
      <c r="A216" t="s">
        <v>4902</v>
      </c>
      <c r="B216" t="s">
        <v>5325</v>
      </c>
      <c r="C216" t="s">
        <v>5326</v>
      </c>
      <c r="D216">
        <v>1</v>
      </c>
      <c r="E216">
        <v>2</v>
      </c>
      <c r="G216" t="s">
        <v>5325</v>
      </c>
      <c r="H216" t="s">
        <v>5326</v>
      </c>
      <c r="I216">
        <v>-1</v>
      </c>
    </row>
    <row r="217" spans="1:9" x14ac:dyDescent="0.45">
      <c r="A217" t="s">
        <v>4902</v>
      </c>
      <c r="B217" t="s">
        <v>5327</v>
      </c>
      <c r="C217" t="s">
        <v>5328</v>
      </c>
      <c r="D217">
        <v>1</v>
      </c>
      <c r="E217">
        <v>2</v>
      </c>
      <c r="G217" t="s">
        <v>5327</v>
      </c>
      <c r="H217" t="s">
        <v>5328</v>
      </c>
      <c r="I217">
        <v>-1</v>
      </c>
    </row>
    <row r="218" spans="1:9" x14ac:dyDescent="0.45">
      <c r="A218" t="s">
        <v>4902</v>
      </c>
      <c r="B218" t="s">
        <v>5329</v>
      </c>
      <c r="C218" t="s">
        <v>5330</v>
      </c>
      <c r="D218">
        <v>1</v>
      </c>
      <c r="E218">
        <v>2</v>
      </c>
      <c r="G218" t="s">
        <v>5329</v>
      </c>
      <c r="H218" t="s">
        <v>5330</v>
      </c>
      <c r="I218">
        <v>-1</v>
      </c>
    </row>
    <row r="219" spans="1:9" x14ac:dyDescent="0.45">
      <c r="A219" t="s">
        <v>4902</v>
      </c>
      <c r="B219" t="s">
        <v>5331</v>
      </c>
      <c r="C219" t="s">
        <v>5332</v>
      </c>
      <c r="D219">
        <v>1</v>
      </c>
      <c r="E219">
        <v>2</v>
      </c>
      <c r="G219" t="s">
        <v>5331</v>
      </c>
      <c r="H219" t="s">
        <v>5332</v>
      </c>
      <c r="I219">
        <v>-1</v>
      </c>
    </row>
    <row r="220" spans="1:9" x14ac:dyDescent="0.45">
      <c r="A220" t="s">
        <v>4902</v>
      </c>
      <c r="B220" t="s">
        <v>5333</v>
      </c>
      <c r="C220" t="s">
        <v>5334</v>
      </c>
      <c r="D220">
        <v>1</v>
      </c>
      <c r="E220">
        <v>2</v>
      </c>
      <c r="G220" t="s">
        <v>5333</v>
      </c>
      <c r="H220" t="s">
        <v>5334</v>
      </c>
      <c r="I220">
        <v>-1</v>
      </c>
    </row>
    <row r="221" spans="1:9" x14ac:dyDescent="0.45">
      <c r="A221" t="s">
        <v>4902</v>
      </c>
      <c r="B221" t="s">
        <v>5335</v>
      </c>
      <c r="C221" t="s">
        <v>5336</v>
      </c>
      <c r="D221">
        <v>1</v>
      </c>
      <c r="E221">
        <v>2</v>
      </c>
      <c r="G221" t="s">
        <v>5335</v>
      </c>
      <c r="H221" t="s">
        <v>5336</v>
      </c>
      <c r="I221">
        <v>-1</v>
      </c>
    </row>
    <row r="222" spans="1:9" x14ac:dyDescent="0.45">
      <c r="A222" t="s">
        <v>4902</v>
      </c>
      <c r="B222" t="s">
        <v>5337</v>
      </c>
      <c r="C222" t="s">
        <v>5338</v>
      </c>
      <c r="D222">
        <v>1</v>
      </c>
      <c r="E222">
        <v>2</v>
      </c>
      <c r="G222" t="s">
        <v>5337</v>
      </c>
      <c r="H222" t="s">
        <v>5338</v>
      </c>
      <c r="I222">
        <v>-1</v>
      </c>
    </row>
    <row r="223" spans="1:9" x14ac:dyDescent="0.45">
      <c r="A223" t="s">
        <v>4902</v>
      </c>
      <c r="B223" t="s">
        <v>5339</v>
      </c>
      <c r="C223" t="s">
        <v>5340</v>
      </c>
      <c r="D223">
        <v>1</v>
      </c>
      <c r="E223">
        <v>2</v>
      </c>
      <c r="G223" t="s">
        <v>5339</v>
      </c>
      <c r="H223" t="s">
        <v>5340</v>
      </c>
      <c r="I223">
        <v>-1</v>
      </c>
    </row>
    <row r="224" spans="1:9" x14ac:dyDescent="0.45">
      <c r="A224" t="s">
        <v>4902</v>
      </c>
      <c r="B224" t="s">
        <v>5341</v>
      </c>
      <c r="C224" t="s">
        <v>5342</v>
      </c>
      <c r="D224">
        <v>1</v>
      </c>
      <c r="E224">
        <v>2</v>
      </c>
      <c r="G224" t="s">
        <v>5341</v>
      </c>
      <c r="H224" t="s">
        <v>5342</v>
      </c>
      <c r="I224">
        <v>-1</v>
      </c>
    </row>
    <row r="225" spans="1:9" x14ac:dyDescent="0.45">
      <c r="A225" t="s">
        <v>4902</v>
      </c>
      <c r="B225" t="s">
        <v>5343</v>
      </c>
      <c r="C225" t="s">
        <v>5344</v>
      </c>
      <c r="D225">
        <v>1</v>
      </c>
      <c r="E225">
        <v>2</v>
      </c>
      <c r="G225" t="s">
        <v>5343</v>
      </c>
      <c r="H225" t="s">
        <v>5344</v>
      </c>
      <c r="I225">
        <v>-1</v>
      </c>
    </row>
    <row r="226" spans="1:9" x14ac:dyDescent="0.45">
      <c r="A226" t="s">
        <v>4902</v>
      </c>
      <c r="B226" t="s">
        <v>5345</v>
      </c>
      <c r="C226" t="s">
        <v>5346</v>
      </c>
      <c r="D226">
        <v>1</v>
      </c>
      <c r="E226">
        <v>2</v>
      </c>
      <c r="G226" t="s">
        <v>5345</v>
      </c>
      <c r="H226" t="s">
        <v>5346</v>
      </c>
      <c r="I226">
        <v>-1</v>
      </c>
    </row>
    <row r="227" spans="1:9" x14ac:dyDescent="0.45">
      <c r="A227" t="s">
        <v>4902</v>
      </c>
      <c r="B227" t="s">
        <v>5347</v>
      </c>
      <c r="C227" t="s">
        <v>5348</v>
      </c>
      <c r="D227">
        <v>1</v>
      </c>
      <c r="E227">
        <v>2</v>
      </c>
      <c r="G227" t="s">
        <v>5347</v>
      </c>
      <c r="H227" t="s">
        <v>5348</v>
      </c>
      <c r="I227">
        <v>-1</v>
      </c>
    </row>
    <row r="228" spans="1:9" x14ac:dyDescent="0.45">
      <c r="A228" t="s">
        <v>4902</v>
      </c>
      <c r="B228" t="s">
        <v>5349</v>
      </c>
      <c r="C228" t="s">
        <v>5350</v>
      </c>
      <c r="D228">
        <v>1</v>
      </c>
      <c r="E228">
        <v>2</v>
      </c>
      <c r="G228" t="s">
        <v>5349</v>
      </c>
      <c r="H228" t="s">
        <v>5350</v>
      </c>
      <c r="I228">
        <v>-1</v>
      </c>
    </row>
    <row r="229" spans="1:9" x14ac:dyDescent="0.45">
      <c r="A229" t="s">
        <v>4902</v>
      </c>
      <c r="B229" t="s">
        <v>5351</v>
      </c>
      <c r="C229" t="s">
        <v>5352</v>
      </c>
      <c r="D229">
        <v>1</v>
      </c>
      <c r="E229">
        <v>2</v>
      </c>
      <c r="G229" t="s">
        <v>5351</v>
      </c>
      <c r="H229" t="s">
        <v>5352</v>
      </c>
      <c r="I229">
        <v>-1</v>
      </c>
    </row>
    <row r="230" spans="1:9" x14ac:dyDescent="0.45">
      <c r="A230" t="s">
        <v>4902</v>
      </c>
      <c r="B230" t="s">
        <v>5353</v>
      </c>
      <c r="C230" t="s">
        <v>5354</v>
      </c>
      <c r="D230">
        <v>1</v>
      </c>
      <c r="E230">
        <v>2</v>
      </c>
      <c r="G230" t="s">
        <v>5353</v>
      </c>
      <c r="H230" t="s">
        <v>5354</v>
      </c>
      <c r="I230">
        <v>-1</v>
      </c>
    </row>
    <row r="231" spans="1:9" x14ac:dyDescent="0.45">
      <c r="A231" t="s">
        <v>4902</v>
      </c>
      <c r="B231" t="s">
        <v>5355</v>
      </c>
      <c r="C231" t="s">
        <v>5356</v>
      </c>
      <c r="D231">
        <v>1</v>
      </c>
      <c r="E231">
        <v>2</v>
      </c>
      <c r="G231" t="s">
        <v>5355</v>
      </c>
      <c r="H231" t="s">
        <v>5356</v>
      </c>
      <c r="I231">
        <v>-1</v>
      </c>
    </row>
    <row r="232" spans="1:9" x14ac:dyDescent="0.45">
      <c r="A232" t="s">
        <v>4902</v>
      </c>
      <c r="B232" t="s">
        <v>5357</v>
      </c>
      <c r="C232" t="s">
        <v>5358</v>
      </c>
      <c r="D232">
        <v>1</v>
      </c>
      <c r="E232">
        <v>2</v>
      </c>
      <c r="G232" t="s">
        <v>5357</v>
      </c>
      <c r="H232" t="s">
        <v>5358</v>
      </c>
      <c r="I232">
        <v>-1</v>
      </c>
    </row>
    <row r="233" spans="1:9" x14ac:dyDescent="0.45">
      <c r="A233" t="s">
        <v>4902</v>
      </c>
      <c r="B233" t="s">
        <v>5359</v>
      </c>
      <c r="C233" t="s">
        <v>5360</v>
      </c>
      <c r="D233">
        <v>1</v>
      </c>
      <c r="E233">
        <v>2</v>
      </c>
      <c r="G233" t="s">
        <v>5359</v>
      </c>
      <c r="H233" t="s">
        <v>5360</v>
      </c>
      <c r="I233">
        <v>-1</v>
      </c>
    </row>
    <row r="234" spans="1:9" x14ac:dyDescent="0.45">
      <c r="A234" t="s">
        <v>4902</v>
      </c>
      <c r="B234" t="s">
        <v>5361</v>
      </c>
      <c r="C234" t="s">
        <v>5362</v>
      </c>
      <c r="D234">
        <v>1</v>
      </c>
      <c r="E234">
        <v>2</v>
      </c>
      <c r="G234" t="s">
        <v>5361</v>
      </c>
      <c r="H234" t="s">
        <v>5362</v>
      </c>
      <c r="I234">
        <v>-1</v>
      </c>
    </row>
    <row r="235" spans="1:9" x14ac:dyDescent="0.45">
      <c r="A235" t="s">
        <v>4902</v>
      </c>
      <c r="B235" t="s">
        <v>5363</v>
      </c>
      <c r="C235" t="s">
        <v>5364</v>
      </c>
      <c r="D235">
        <v>1</v>
      </c>
      <c r="E235">
        <v>2</v>
      </c>
      <c r="G235" t="s">
        <v>5363</v>
      </c>
      <c r="H235" t="s">
        <v>5364</v>
      </c>
      <c r="I235">
        <v>-1</v>
      </c>
    </row>
    <row r="236" spans="1:9" x14ac:dyDescent="0.45">
      <c r="A236" t="s">
        <v>4902</v>
      </c>
      <c r="B236" t="s">
        <v>5365</v>
      </c>
      <c r="C236" t="s">
        <v>5366</v>
      </c>
      <c r="D236">
        <v>1</v>
      </c>
      <c r="E236">
        <v>2</v>
      </c>
      <c r="G236" t="s">
        <v>5365</v>
      </c>
      <c r="H236" t="s">
        <v>5366</v>
      </c>
      <c r="I236">
        <v>-1</v>
      </c>
    </row>
    <row r="237" spans="1:9" x14ac:dyDescent="0.45">
      <c r="A237" t="s">
        <v>4902</v>
      </c>
      <c r="B237" t="s">
        <v>5367</v>
      </c>
      <c r="C237" t="s">
        <v>5368</v>
      </c>
      <c r="D237">
        <v>1</v>
      </c>
      <c r="E237">
        <v>2</v>
      </c>
      <c r="G237" t="s">
        <v>5367</v>
      </c>
      <c r="H237" t="s">
        <v>5368</v>
      </c>
      <c r="I237">
        <v>-1</v>
      </c>
    </row>
    <row r="238" spans="1:9" x14ac:dyDescent="0.45">
      <c r="A238" t="s">
        <v>4902</v>
      </c>
      <c r="B238" t="s">
        <v>5369</v>
      </c>
      <c r="C238" t="s">
        <v>5370</v>
      </c>
      <c r="D238">
        <v>1</v>
      </c>
      <c r="E238">
        <v>2</v>
      </c>
      <c r="G238" t="s">
        <v>5369</v>
      </c>
      <c r="H238" t="s">
        <v>5370</v>
      </c>
      <c r="I238">
        <v>-1</v>
      </c>
    </row>
    <row r="239" spans="1:9" x14ac:dyDescent="0.45">
      <c r="A239" t="s">
        <v>4902</v>
      </c>
      <c r="B239" t="s">
        <v>5371</v>
      </c>
      <c r="C239" t="s">
        <v>5372</v>
      </c>
      <c r="D239">
        <v>1</v>
      </c>
      <c r="E239">
        <v>2</v>
      </c>
      <c r="G239" t="s">
        <v>5371</v>
      </c>
      <c r="H239" t="s">
        <v>5372</v>
      </c>
      <c r="I239">
        <v>-1</v>
      </c>
    </row>
    <row r="240" spans="1:9" x14ac:dyDescent="0.45">
      <c r="A240" t="s">
        <v>4902</v>
      </c>
      <c r="B240" t="s">
        <v>5373</v>
      </c>
      <c r="C240" t="s">
        <v>5374</v>
      </c>
      <c r="D240">
        <v>1</v>
      </c>
      <c r="E240">
        <v>2</v>
      </c>
      <c r="G240" t="s">
        <v>5373</v>
      </c>
      <c r="H240" t="s">
        <v>5374</v>
      </c>
      <c r="I240">
        <v>-1</v>
      </c>
    </row>
    <row r="241" spans="1:9" x14ac:dyDescent="0.45">
      <c r="A241" t="s">
        <v>4902</v>
      </c>
      <c r="B241" t="s">
        <v>5375</v>
      </c>
      <c r="C241" t="s">
        <v>5376</v>
      </c>
      <c r="D241">
        <v>1</v>
      </c>
      <c r="E241">
        <v>2</v>
      </c>
      <c r="G241" t="s">
        <v>5375</v>
      </c>
      <c r="H241" t="s">
        <v>5376</v>
      </c>
      <c r="I241">
        <v>-1</v>
      </c>
    </row>
    <row r="242" spans="1:9" x14ac:dyDescent="0.45">
      <c r="A242" t="s">
        <v>4902</v>
      </c>
      <c r="B242" t="s">
        <v>5377</v>
      </c>
      <c r="C242" t="s">
        <v>5378</v>
      </c>
      <c r="D242">
        <v>1</v>
      </c>
      <c r="E242">
        <v>2</v>
      </c>
      <c r="G242" t="s">
        <v>5377</v>
      </c>
      <c r="H242" t="s">
        <v>5378</v>
      </c>
      <c r="I242">
        <v>-1</v>
      </c>
    </row>
    <row r="243" spans="1:9" x14ac:dyDescent="0.45">
      <c r="A243" t="s">
        <v>4902</v>
      </c>
      <c r="B243" t="s">
        <v>5379</v>
      </c>
      <c r="C243" t="s">
        <v>5380</v>
      </c>
      <c r="D243">
        <v>1</v>
      </c>
      <c r="E243">
        <v>2</v>
      </c>
      <c r="G243" t="s">
        <v>5379</v>
      </c>
      <c r="H243" t="s">
        <v>5380</v>
      </c>
      <c r="I243">
        <v>-1</v>
      </c>
    </row>
    <row r="244" spans="1:9" x14ac:dyDescent="0.45">
      <c r="A244" t="s">
        <v>4902</v>
      </c>
      <c r="B244" t="s">
        <v>5381</v>
      </c>
      <c r="C244" t="s">
        <v>5382</v>
      </c>
      <c r="D244">
        <v>1</v>
      </c>
      <c r="E244">
        <v>2</v>
      </c>
      <c r="G244" t="s">
        <v>5381</v>
      </c>
      <c r="H244" t="s">
        <v>5382</v>
      </c>
      <c r="I244">
        <v>-1</v>
      </c>
    </row>
    <row r="245" spans="1:9" x14ac:dyDescent="0.45">
      <c r="A245" t="s">
        <v>4902</v>
      </c>
      <c r="B245" t="s">
        <v>5383</v>
      </c>
      <c r="C245" t="s">
        <v>5384</v>
      </c>
      <c r="D245">
        <v>1</v>
      </c>
      <c r="E245">
        <v>2</v>
      </c>
      <c r="G245" t="s">
        <v>5383</v>
      </c>
      <c r="H245" t="s">
        <v>5384</v>
      </c>
      <c r="I245">
        <v>-1</v>
      </c>
    </row>
    <row r="246" spans="1:9" x14ac:dyDescent="0.45">
      <c r="A246" t="s">
        <v>4902</v>
      </c>
      <c r="B246" t="s">
        <v>5385</v>
      </c>
      <c r="C246" t="s">
        <v>5386</v>
      </c>
      <c r="D246">
        <v>1</v>
      </c>
      <c r="E246">
        <v>2</v>
      </c>
      <c r="G246" t="s">
        <v>5385</v>
      </c>
      <c r="H246" t="s">
        <v>5386</v>
      </c>
      <c r="I246">
        <v>-1</v>
      </c>
    </row>
    <row r="247" spans="1:9" x14ac:dyDescent="0.45">
      <c r="A247" t="s">
        <v>4902</v>
      </c>
      <c r="B247" t="s">
        <v>5387</v>
      </c>
      <c r="C247" t="s">
        <v>5388</v>
      </c>
      <c r="D247">
        <v>1</v>
      </c>
      <c r="E247">
        <v>2</v>
      </c>
      <c r="G247" t="s">
        <v>5387</v>
      </c>
      <c r="H247" t="s">
        <v>5388</v>
      </c>
      <c r="I247">
        <v>-1</v>
      </c>
    </row>
    <row r="248" spans="1:9" x14ac:dyDescent="0.45">
      <c r="A248" t="s">
        <v>4902</v>
      </c>
      <c r="B248" t="s">
        <v>5389</v>
      </c>
      <c r="C248" t="s">
        <v>5390</v>
      </c>
      <c r="D248">
        <v>1</v>
      </c>
      <c r="E248">
        <v>2</v>
      </c>
      <c r="G248" t="s">
        <v>5389</v>
      </c>
      <c r="H248" t="s">
        <v>5390</v>
      </c>
      <c r="I248">
        <v>-1</v>
      </c>
    </row>
    <row r="249" spans="1:9" x14ac:dyDescent="0.45">
      <c r="A249" t="s">
        <v>4902</v>
      </c>
      <c r="B249" t="s">
        <v>5391</v>
      </c>
      <c r="C249" t="s">
        <v>5392</v>
      </c>
      <c r="D249">
        <v>1</v>
      </c>
      <c r="E249">
        <v>2</v>
      </c>
      <c r="G249" t="s">
        <v>5391</v>
      </c>
      <c r="H249" t="s">
        <v>5392</v>
      </c>
      <c r="I249">
        <v>-1</v>
      </c>
    </row>
    <row r="250" spans="1:9" x14ac:dyDescent="0.45">
      <c r="A250" t="s">
        <v>4902</v>
      </c>
      <c r="B250" t="s">
        <v>5393</v>
      </c>
      <c r="C250" t="s">
        <v>5394</v>
      </c>
      <c r="D250">
        <v>1</v>
      </c>
      <c r="E250">
        <v>2</v>
      </c>
      <c r="G250" t="s">
        <v>5393</v>
      </c>
      <c r="H250" t="s">
        <v>5394</v>
      </c>
      <c r="I250">
        <v>-1</v>
      </c>
    </row>
    <row r="251" spans="1:9" x14ac:dyDescent="0.45">
      <c r="A251" t="s">
        <v>4902</v>
      </c>
      <c r="B251" t="s">
        <v>5395</v>
      </c>
      <c r="C251" t="s">
        <v>5396</v>
      </c>
      <c r="D251">
        <v>1</v>
      </c>
      <c r="E251">
        <v>2</v>
      </c>
      <c r="G251" t="s">
        <v>5395</v>
      </c>
      <c r="H251" t="s">
        <v>5396</v>
      </c>
      <c r="I251">
        <v>-1</v>
      </c>
    </row>
    <row r="252" spans="1:9" x14ac:dyDescent="0.45">
      <c r="A252" t="s">
        <v>4902</v>
      </c>
      <c r="B252" t="s">
        <v>5397</v>
      </c>
      <c r="C252" t="s">
        <v>5398</v>
      </c>
      <c r="D252">
        <v>1</v>
      </c>
      <c r="E252">
        <v>2</v>
      </c>
      <c r="G252" t="s">
        <v>5397</v>
      </c>
      <c r="H252" t="s">
        <v>5398</v>
      </c>
      <c r="I252">
        <v>-1</v>
      </c>
    </row>
    <row r="253" spans="1:9" x14ac:dyDescent="0.45">
      <c r="A253" t="s">
        <v>4902</v>
      </c>
      <c r="B253" t="s">
        <v>5399</v>
      </c>
      <c r="C253" t="s">
        <v>5400</v>
      </c>
      <c r="D253">
        <v>1</v>
      </c>
      <c r="E253">
        <v>2</v>
      </c>
      <c r="G253" t="s">
        <v>5399</v>
      </c>
      <c r="H253" t="s">
        <v>5400</v>
      </c>
      <c r="I253">
        <v>-1</v>
      </c>
    </row>
    <row r="254" spans="1:9" x14ac:dyDescent="0.45">
      <c r="A254" t="s">
        <v>4902</v>
      </c>
      <c r="B254" t="s">
        <v>5401</v>
      </c>
      <c r="C254" t="s">
        <v>5402</v>
      </c>
      <c r="D254">
        <v>1</v>
      </c>
      <c r="E254">
        <v>2</v>
      </c>
      <c r="G254" t="s">
        <v>5401</v>
      </c>
      <c r="H254" t="s">
        <v>5402</v>
      </c>
      <c r="I254">
        <v>-1</v>
      </c>
    </row>
    <row r="255" spans="1:9" x14ac:dyDescent="0.45">
      <c r="A255" t="s">
        <v>4902</v>
      </c>
      <c r="B255" t="s">
        <v>5403</v>
      </c>
      <c r="C255" t="s">
        <v>5404</v>
      </c>
      <c r="D255">
        <v>1</v>
      </c>
      <c r="E255">
        <v>2</v>
      </c>
      <c r="G255" t="s">
        <v>5403</v>
      </c>
      <c r="H255" t="s">
        <v>5404</v>
      </c>
      <c r="I255">
        <v>-1</v>
      </c>
    </row>
    <row r="256" spans="1:9" x14ac:dyDescent="0.45">
      <c r="A256" t="s">
        <v>4902</v>
      </c>
      <c r="B256" t="s">
        <v>5405</v>
      </c>
      <c r="C256" t="s">
        <v>5406</v>
      </c>
      <c r="D256">
        <v>1</v>
      </c>
      <c r="E256">
        <v>2</v>
      </c>
      <c r="G256" t="s">
        <v>5405</v>
      </c>
      <c r="H256" t="s">
        <v>5406</v>
      </c>
      <c r="I256">
        <v>-1</v>
      </c>
    </row>
    <row r="257" spans="1:9" x14ac:dyDescent="0.45">
      <c r="A257" t="s">
        <v>4902</v>
      </c>
      <c r="B257" t="s">
        <v>5407</v>
      </c>
      <c r="C257" t="s">
        <v>5408</v>
      </c>
      <c r="D257">
        <v>1</v>
      </c>
      <c r="E257">
        <v>2</v>
      </c>
      <c r="G257" t="s">
        <v>5407</v>
      </c>
      <c r="H257" t="s">
        <v>5408</v>
      </c>
      <c r="I257">
        <v>-1</v>
      </c>
    </row>
    <row r="258" spans="1:9" x14ac:dyDescent="0.45">
      <c r="A258" t="s">
        <v>4902</v>
      </c>
      <c r="B258" t="s">
        <v>5409</v>
      </c>
      <c r="C258" t="s">
        <v>5410</v>
      </c>
      <c r="D258">
        <v>1</v>
      </c>
      <c r="E258">
        <v>2</v>
      </c>
      <c r="G258" t="s">
        <v>5409</v>
      </c>
      <c r="H258" t="s">
        <v>5410</v>
      </c>
      <c r="I258">
        <v>-1</v>
      </c>
    </row>
    <row r="259" spans="1:9" x14ac:dyDescent="0.45">
      <c r="A259" t="s">
        <v>4902</v>
      </c>
      <c r="B259" t="s">
        <v>5411</v>
      </c>
      <c r="C259" t="s">
        <v>5412</v>
      </c>
      <c r="D259">
        <v>1</v>
      </c>
      <c r="E259">
        <v>2</v>
      </c>
      <c r="G259" t="s">
        <v>5411</v>
      </c>
      <c r="H259" t="s">
        <v>5412</v>
      </c>
      <c r="I259">
        <v>-1</v>
      </c>
    </row>
    <row r="260" spans="1:9" x14ac:dyDescent="0.45">
      <c r="A260" t="s">
        <v>4902</v>
      </c>
      <c r="B260" t="s">
        <v>5413</v>
      </c>
      <c r="C260" t="s">
        <v>5414</v>
      </c>
      <c r="D260">
        <v>1</v>
      </c>
      <c r="E260">
        <v>2</v>
      </c>
      <c r="G260" t="s">
        <v>5413</v>
      </c>
      <c r="H260" t="s">
        <v>5414</v>
      </c>
      <c r="I260">
        <v>-1</v>
      </c>
    </row>
    <row r="261" spans="1:9" x14ac:dyDescent="0.45">
      <c r="A261" t="s">
        <v>4902</v>
      </c>
      <c r="B261" t="s">
        <v>5415</v>
      </c>
      <c r="C261" t="s">
        <v>5416</v>
      </c>
      <c r="D261">
        <v>1</v>
      </c>
      <c r="E261">
        <v>2</v>
      </c>
      <c r="G261" t="s">
        <v>5415</v>
      </c>
      <c r="H261" t="s">
        <v>5416</v>
      </c>
      <c r="I261">
        <v>-1</v>
      </c>
    </row>
    <row r="262" spans="1:9" x14ac:dyDescent="0.45">
      <c r="A262" t="s">
        <v>4902</v>
      </c>
      <c r="B262" t="s">
        <v>5417</v>
      </c>
      <c r="C262" t="s">
        <v>5418</v>
      </c>
      <c r="D262">
        <v>1</v>
      </c>
      <c r="E262">
        <v>2</v>
      </c>
      <c r="G262" t="s">
        <v>5417</v>
      </c>
      <c r="H262" t="s">
        <v>5418</v>
      </c>
      <c r="I262">
        <v>-1</v>
      </c>
    </row>
    <row r="263" spans="1:9" x14ac:dyDescent="0.45">
      <c r="A263" t="s">
        <v>4902</v>
      </c>
      <c r="B263" t="s">
        <v>5419</v>
      </c>
      <c r="C263" t="s">
        <v>5420</v>
      </c>
      <c r="D263">
        <v>1</v>
      </c>
      <c r="E263">
        <v>2</v>
      </c>
      <c r="G263" t="s">
        <v>5419</v>
      </c>
      <c r="H263" t="s">
        <v>5420</v>
      </c>
      <c r="I263">
        <v>-1</v>
      </c>
    </row>
    <row r="264" spans="1:9" x14ac:dyDescent="0.45">
      <c r="A264" t="s">
        <v>4902</v>
      </c>
      <c r="B264" t="s">
        <v>5421</v>
      </c>
      <c r="C264" t="s">
        <v>5422</v>
      </c>
      <c r="D264">
        <v>1</v>
      </c>
      <c r="E264">
        <v>2</v>
      </c>
      <c r="G264" t="s">
        <v>5421</v>
      </c>
      <c r="H264" t="s">
        <v>5422</v>
      </c>
      <c r="I264">
        <v>-1</v>
      </c>
    </row>
    <row r="265" spans="1:9" x14ac:dyDescent="0.45">
      <c r="A265" t="s">
        <v>4902</v>
      </c>
      <c r="B265" t="s">
        <v>5423</v>
      </c>
      <c r="C265" t="s">
        <v>5424</v>
      </c>
      <c r="D265">
        <v>1</v>
      </c>
      <c r="E265">
        <v>2</v>
      </c>
      <c r="G265" t="s">
        <v>5423</v>
      </c>
      <c r="H265" t="s">
        <v>5424</v>
      </c>
      <c r="I265">
        <v>-1</v>
      </c>
    </row>
    <row r="266" spans="1:9" x14ac:dyDescent="0.45">
      <c r="A266" t="s">
        <v>4902</v>
      </c>
      <c r="B266" t="s">
        <v>5425</v>
      </c>
      <c r="C266" t="s">
        <v>5426</v>
      </c>
      <c r="D266">
        <v>1</v>
      </c>
      <c r="E266">
        <v>2</v>
      </c>
      <c r="G266" t="s">
        <v>5425</v>
      </c>
      <c r="H266" t="s">
        <v>5426</v>
      </c>
      <c r="I266">
        <v>-1</v>
      </c>
    </row>
    <row r="267" spans="1:9" x14ac:dyDescent="0.45">
      <c r="A267" t="s">
        <v>4902</v>
      </c>
      <c r="B267" t="s">
        <v>5427</v>
      </c>
      <c r="C267" t="s">
        <v>5428</v>
      </c>
      <c r="D267">
        <v>1</v>
      </c>
      <c r="E267">
        <v>2</v>
      </c>
      <c r="G267" t="s">
        <v>5427</v>
      </c>
      <c r="H267" t="s">
        <v>5428</v>
      </c>
      <c r="I267">
        <v>-1</v>
      </c>
    </row>
    <row r="268" spans="1:9" x14ac:dyDescent="0.45">
      <c r="A268" t="s">
        <v>4902</v>
      </c>
      <c r="B268" t="s">
        <v>5429</v>
      </c>
      <c r="C268" t="s">
        <v>5430</v>
      </c>
      <c r="D268">
        <v>1</v>
      </c>
      <c r="E268">
        <v>2</v>
      </c>
      <c r="G268" t="s">
        <v>5429</v>
      </c>
      <c r="H268" t="s">
        <v>5430</v>
      </c>
      <c r="I268">
        <v>-1</v>
      </c>
    </row>
    <row r="269" spans="1:9" x14ac:dyDescent="0.45">
      <c r="A269" t="s">
        <v>4902</v>
      </c>
      <c r="B269" t="s">
        <v>5431</v>
      </c>
      <c r="C269" t="s">
        <v>5432</v>
      </c>
      <c r="D269">
        <v>1</v>
      </c>
      <c r="E269">
        <v>2</v>
      </c>
      <c r="G269" t="s">
        <v>5431</v>
      </c>
      <c r="H269" t="s">
        <v>5432</v>
      </c>
      <c r="I269">
        <v>-1</v>
      </c>
    </row>
    <row r="270" spans="1:9" x14ac:dyDescent="0.45">
      <c r="A270" t="s">
        <v>4902</v>
      </c>
      <c r="B270" t="s">
        <v>5433</v>
      </c>
      <c r="C270" t="s">
        <v>5434</v>
      </c>
      <c r="D270">
        <v>1</v>
      </c>
      <c r="E270">
        <v>2</v>
      </c>
      <c r="G270" t="s">
        <v>5433</v>
      </c>
      <c r="H270" t="s">
        <v>5434</v>
      </c>
      <c r="I270">
        <v>-1</v>
      </c>
    </row>
    <row r="271" spans="1:9" x14ac:dyDescent="0.45">
      <c r="A271" t="s">
        <v>4902</v>
      </c>
      <c r="B271" t="s">
        <v>5435</v>
      </c>
      <c r="C271" t="s">
        <v>5436</v>
      </c>
      <c r="D271">
        <v>1</v>
      </c>
      <c r="E271">
        <v>2</v>
      </c>
      <c r="G271" t="s">
        <v>5435</v>
      </c>
      <c r="H271" t="s">
        <v>5436</v>
      </c>
      <c r="I271">
        <v>-1</v>
      </c>
    </row>
    <row r="272" spans="1:9" x14ac:dyDescent="0.45">
      <c r="A272" t="s">
        <v>4902</v>
      </c>
      <c r="B272" t="s">
        <v>5437</v>
      </c>
      <c r="C272" t="s">
        <v>5438</v>
      </c>
      <c r="D272">
        <v>1</v>
      </c>
      <c r="E272">
        <v>2</v>
      </c>
      <c r="G272" t="s">
        <v>5437</v>
      </c>
      <c r="H272" t="s">
        <v>5438</v>
      </c>
      <c r="I272">
        <v>-1</v>
      </c>
    </row>
    <row r="273" spans="1:9" x14ac:dyDescent="0.45">
      <c r="A273" t="s">
        <v>4902</v>
      </c>
      <c r="B273" t="s">
        <v>5439</v>
      </c>
      <c r="C273" t="s">
        <v>5440</v>
      </c>
      <c r="D273">
        <v>1</v>
      </c>
      <c r="E273">
        <v>2</v>
      </c>
      <c r="G273" t="s">
        <v>5439</v>
      </c>
      <c r="H273" t="s">
        <v>5440</v>
      </c>
      <c r="I273">
        <v>-1</v>
      </c>
    </row>
    <row r="274" spans="1:9" x14ac:dyDescent="0.45">
      <c r="A274" t="s">
        <v>4902</v>
      </c>
      <c r="B274" t="s">
        <v>5441</v>
      </c>
      <c r="C274" t="s">
        <v>5442</v>
      </c>
      <c r="D274">
        <v>1</v>
      </c>
      <c r="E274">
        <v>2</v>
      </c>
      <c r="G274" t="s">
        <v>5441</v>
      </c>
      <c r="H274" t="s">
        <v>5442</v>
      </c>
      <c r="I274">
        <v>-1</v>
      </c>
    </row>
    <row r="275" spans="1:9" x14ac:dyDescent="0.45">
      <c r="A275" t="s">
        <v>4902</v>
      </c>
      <c r="B275" t="s">
        <v>5443</v>
      </c>
      <c r="C275" t="s">
        <v>5444</v>
      </c>
      <c r="D275">
        <v>1</v>
      </c>
      <c r="E275">
        <v>2</v>
      </c>
      <c r="G275" t="s">
        <v>5443</v>
      </c>
      <c r="H275" t="s">
        <v>5444</v>
      </c>
      <c r="I275">
        <v>-1</v>
      </c>
    </row>
    <row r="276" spans="1:9" x14ac:dyDescent="0.45">
      <c r="A276" t="s">
        <v>4902</v>
      </c>
      <c r="B276" t="s">
        <v>5445</v>
      </c>
      <c r="C276" t="s">
        <v>5446</v>
      </c>
      <c r="D276">
        <v>1</v>
      </c>
      <c r="E276">
        <v>2</v>
      </c>
      <c r="G276" t="s">
        <v>5445</v>
      </c>
      <c r="H276" t="s">
        <v>5446</v>
      </c>
      <c r="I276">
        <v>-1</v>
      </c>
    </row>
    <row r="277" spans="1:9" x14ac:dyDescent="0.45">
      <c r="A277" t="s">
        <v>4902</v>
      </c>
      <c r="B277" t="s">
        <v>5447</v>
      </c>
      <c r="C277" t="s">
        <v>5448</v>
      </c>
      <c r="D277">
        <v>1</v>
      </c>
      <c r="E277">
        <v>2</v>
      </c>
      <c r="G277" t="s">
        <v>5447</v>
      </c>
      <c r="H277" t="s">
        <v>5448</v>
      </c>
      <c r="I277">
        <v>-1</v>
      </c>
    </row>
    <row r="278" spans="1:9" x14ac:dyDescent="0.45">
      <c r="A278" t="s">
        <v>4902</v>
      </c>
      <c r="B278" t="s">
        <v>5449</v>
      </c>
      <c r="C278" t="s">
        <v>5450</v>
      </c>
      <c r="D278">
        <v>1</v>
      </c>
      <c r="E278">
        <v>2</v>
      </c>
      <c r="G278" t="s">
        <v>5449</v>
      </c>
      <c r="H278" t="s">
        <v>5450</v>
      </c>
      <c r="I278">
        <v>-1</v>
      </c>
    </row>
    <row r="279" spans="1:9" x14ac:dyDescent="0.45">
      <c r="A279" t="s">
        <v>4902</v>
      </c>
      <c r="B279" t="s">
        <v>5451</v>
      </c>
      <c r="C279" t="s">
        <v>5452</v>
      </c>
      <c r="D279">
        <v>1</v>
      </c>
      <c r="E279">
        <v>2</v>
      </c>
      <c r="G279" t="s">
        <v>5451</v>
      </c>
      <c r="H279" t="s">
        <v>5452</v>
      </c>
      <c r="I279">
        <v>-1</v>
      </c>
    </row>
    <row r="280" spans="1:9" x14ac:dyDescent="0.45">
      <c r="A280" t="s">
        <v>4902</v>
      </c>
      <c r="B280" t="s">
        <v>5453</v>
      </c>
      <c r="C280" t="s">
        <v>5454</v>
      </c>
      <c r="D280">
        <v>1</v>
      </c>
      <c r="E280">
        <v>2</v>
      </c>
      <c r="G280" t="s">
        <v>5453</v>
      </c>
      <c r="H280" t="s">
        <v>5454</v>
      </c>
      <c r="I280">
        <v>-1</v>
      </c>
    </row>
    <row r="281" spans="1:9" x14ac:dyDescent="0.45">
      <c r="A281" t="s">
        <v>4902</v>
      </c>
      <c r="B281" t="s">
        <v>5455</v>
      </c>
      <c r="C281" t="s">
        <v>5456</v>
      </c>
      <c r="D281">
        <v>1</v>
      </c>
      <c r="E281">
        <v>2</v>
      </c>
      <c r="G281" t="s">
        <v>5455</v>
      </c>
      <c r="H281" t="s">
        <v>5456</v>
      </c>
      <c r="I281">
        <v>-1</v>
      </c>
    </row>
    <row r="282" spans="1:9" x14ac:dyDescent="0.45">
      <c r="A282" t="s">
        <v>4902</v>
      </c>
      <c r="B282" t="s">
        <v>5457</v>
      </c>
      <c r="C282" t="s">
        <v>5458</v>
      </c>
      <c r="D282">
        <v>1</v>
      </c>
      <c r="E282">
        <v>2</v>
      </c>
      <c r="G282" t="s">
        <v>5457</v>
      </c>
      <c r="H282" t="s">
        <v>5458</v>
      </c>
      <c r="I282">
        <v>-1</v>
      </c>
    </row>
    <row r="283" spans="1:9" x14ac:dyDescent="0.45">
      <c r="A283" t="s">
        <v>4902</v>
      </c>
      <c r="B283" t="s">
        <v>5459</v>
      </c>
      <c r="C283" t="s">
        <v>5460</v>
      </c>
      <c r="D283">
        <v>1</v>
      </c>
      <c r="E283">
        <v>2</v>
      </c>
      <c r="G283" t="s">
        <v>5459</v>
      </c>
      <c r="H283" t="s">
        <v>5460</v>
      </c>
      <c r="I283">
        <v>-1</v>
      </c>
    </row>
    <row r="284" spans="1:9" x14ac:dyDescent="0.45">
      <c r="A284" t="s">
        <v>4902</v>
      </c>
      <c r="B284" t="s">
        <v>5461</v>
      </c>
      <c r="C284" t="s">
        <v>5462</v>
      </c>
      <c r="D284">
        <v>1</v>
      </c>
      <c r="E284">
        <v>2</v>
      </c>
      <c r="G284" t="s">
        <v>5461</v>
      </c>
      <c r="H284" t="s">
        <v>5462</v>
      </c>
      <c r="I284">
        <v>-1</v>
      </c>
    </row>
    <row r="285" spans="1:9" x14ac:dyDescent="0.45">
      <c r="A285" t="s">
        <v>4902</v>
      </c>
      <c r="B285" t="s">
        <v>5463</v>
      </c>
      <c r="C285" t="s">
        <v>5464</v>
      </c>
      <c r="D285">
        <v>1</v>
      </c>
      <c r="E285">
        <v>2</v>
      </c>
      <c r="G285" t="s">
        <v>5463</v>
      </c>
      <c r="H285" t="s">
        <v>5464</v>
      </c>
      <c r="I285">
        <v>-1</v>
      </c>
    </row>
    <row r="286" spans="1:9" x14ac:dyDescent="0.45">
      <c r="A286" t="s">
        <v>4902</v>
      </c>
      <c r="B286" t="s">
        <v>5465</v>
      </c>
      <c r="C286" t="s">
        <v>5466</v>
      </c>
      <c r="D286">
        <v>1</v>
      </c>
      <c r="E286">
        <v>2</v>
      </c>
      <c r="G286" t="s">
        <v>5465</v>
      </c>
      <c r="H286" t="s">
        <v>5466</v>
      </c>
      <c r="I286">
        <v>-1</v>
      </c>
    </row>
    <row r="287" spans="1:9" x14ac:dyDescent="0.45">
      <c r="A287" t="s">
        <v>4902</v>
      </c>
      <c r="B287" t="s">
        <v>5467</v>
      </c>
      <c r="C287" t="s">
        <v>5468</v>
      </c>
      <c r="D287">
        <v>1</v>
      </c>
      <c r="E287">
        <v>2</v>
      </c>
      <c r="G287" t="s">
        <v>5467</v>
      </c>
      <c r="H287" t="s">
        <v>5468</v>
      </c>
      <c r="I287">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2026-09-28T09:46:20Z</dcterms:modified>
</cp:coreProperties>
</file>