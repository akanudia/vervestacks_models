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2535447A-59E0-40A7-9B63-00894D9DBB4D}" xr6:coauthVersionLast="47" xr6:coauthVersionMax="47" xr10:uidLastSave="{00000000-0000-0000-0000-000000000000}"/>
  <bookViews>
    <workbookView xWindow="3675" yWindow="3675" windowWidth="21600" windowHeight="1277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<sst xmlns="http://schemas.openxmlformats.org/spreadsheetml/2006/main" count="1679" uniqueCount="106">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</sst>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1812.0100000000002</c:v>
                </c:pt>
                <c:pt idx="1">
                  <c:v>2265.0125000000003</c:v>
                </c:pt>
                <c:pt idx="2">
                  <c:v>2826.7356000000004</c:v>
                </c:pt>
                <c:pt idx="3">
                  <c:v>3406.5788000000002</c:v>
                </c:pt>
                <c:pt idx="4">
                  <c:v>3950.1818000000007</c:v>
                </c:pt>
                <c:pt idx="5">
                  <c:v>4638.7456000000011</c:v>
                </c:pt>
                <c:pt idx="6">
                  <c:v>5182.3486000000003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1812.0100000000002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0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0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1.25</v>
      </c>
      <c r="F15" s="11">
        <f>SUMIFS(ar6_r10!$F$2:$F$99999,ar6_r10!$A$2:$A$99999,$C$15,ar6_r10!$C$2:$C$99999,F$18,ar6_r10!$M$2:$M$99999,$B15,ar6_r10!$B$2:$B$99999,$A$2)</f>
        <v>1.56</v>
      </c>
      <c r="G15" s="11">
        <f>SUMIFS(ar6_r10!$F$2:$F$99999,ar6_r10!$A$2:$A$99999,$C$15,ar6_r10!$C$2:$C$99999,G$18,ar6_r10!$M$2:$M$99999,$B15,ar6_r10!$B$2:$B$99999,$A$2)</f>
        <v>1.88</v>
      </c>
      <c r="H15" s="11">
        <f>SUMIFS(ar6_r10!$F$2:$F$99999,ar6_r10!$A$2:$A$99999,$C$15,ar6_r10!$C$2:$C$99999,H$18,ar6_r10!$M$2:$M$99999,$B15,ar6_r10!$B$2:$B$99999,$A$2)</f>
        <v>2.1800000000000002</v>
      </c>
      <c r="I15" s="11">
        <f>SUMIFS(ar6_r10!$F$2:$F$99999,ar6_r10!$A$2:$A$99999,$C$15,ar6_r10!$C$2:$C$99999,I$18,ar6_r10!$M$2:$M$99999,$B15,ar6_r10!$B$2:$B$99999,$A$2)</f>
        <v>2.56</v>
      </c>
      <c r="J15" s="11">
        <f>SUMIFS(ar6_r10!$F$2:$F$99999,ar6_r10!$A$2:$A$99999,$C$15,ar6_r10!$C$2:$C$99999,J$18,ar6_r10!$M$2:$M$99999,$B15,ar6_r10!$B$2:$B$99999,$A$2)</f>
        <v>2.86</v>
      </c>
      <c r="O15" s="8">
        <f>N11</f>
        <v>1812.0100000000002</v>
      </c>
      <c r="P15" s="8">
        <f t="shared" ref="P15:U15" si="0">$N$11*E15</f>
        <v>2265.0125000000003</v>
      </c>
      <c r="Q15" s="8">
        <f t="shared" si="0"/>
        <v>2826.7356000000004</v>
      </c>
      <c r="R15" s="8">
        <f t="shared" si="0"/>
        <v>3406.5788000000002</v>
      </c>
      <c r="S15" s="8">
        <f t="shared" si="0"/>
        <v>3950.1818000000007</v>
      </c>
      <c r="T15" s="8">
        <f t="shared" si="0"/>
        <v>4638.7456000000011</v>
      </c>
      <c r="U15" s="8">
        <f t="shared" si="0"/>
        <v>5182.3486000000003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2.33</v>
      </c>
      <c r="F16" s="11">
        <f>SUMIFS(ar6_r10!$F$2:$F$99999,ar6_r10!$A$2:$A$99999,$C$15,ar6_r10!$C$2:$C$99999,F$18,ar6_r10!$M$2:$M$99999,$B16,ar6_r10!$B$2:$B$99999,$A$2)</f>
        <v>4.4000000000000004</v>
      </c>
      <c r="G16" s="11">
        <f>SUMIFS(ar6_r10!$F$2:$F$99999,ar6_r10!$A$2:$A$99999,$C$15,ar6_r10!$C$2:$C$99999,G$18,ar6_r10!$M$2:$M$99999,$B16,ar6_r10!$B$2:$B$99999,$A$2)</f>
        <v>7.61</v>
      </c>
      <c r="H16" s="11">
        <f>SUMIFS(ar6_r10!$F$2:$F$99999,ar6_r10!$A$2:$A$99999,$C$15,ar6_r10!$C$2:$C$99999,H$18,ar6_r10!$M$2:$M$99999,$B16,ar6_r10!$B$2:$B$99999,$A$2)</f>
        <v>11.82</v>
      </c>
      <c r="I16" s="11">
        <f>SUMIFS(ar6_r10!$F$2:$F$99999,ar6_r10!$A$2:$A$99999,$C$15,ar6_r10!$C$2:$C$99999,I$18,ar6_r10!$M$2:$M$99999,$B16,ar6_r10!$B$2:$B$99999,$A$2)</f>
        <v>19.03</v>
      </c>
      <c r="J16" s="11">
        <f>SUMIFS(ar6_r10!$F$2:$F$99999,ar6_r10!$A$2:$A$99999,$C$15,ar6_r10!$C$2:$C$99999,J$18,ar6_r10!$M$2:$M$99999,$B16,ar6_r10!$B$2:$B$99999,$A$2)</f>
        <v>30.24</v>
      </c>
    </row>
    <row r="17" spans="2:24" ht="17.649999999999999" customHeight="1" thickBot="1" x14ac:dyDescent="0.55000000000000004">
      <c r="N17" s="5" t="str">
        <f>"~TFM_INS-TS: region="&amp;$A$1</f>
        <v>~TFM_INS-TS: region=IND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46.387456000000014</v>
      </c>
      <c r="U19" s="6">
        <f t="shared" si="2"/>
        <v>51.823486000000003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0.47</v>
      </c>
      <c r="E20" s="11">
        <f>SUMIFS(ar6_r10!$F$2:$F$99999,ar6_r10!$A$2:$A$99999,$C$15,ar6_r10!$C$2:$C$99999,E$18,ar6_r10!$M$2:$M$99999,$B20,ar6_r10!$B$2:$B$99999,$A$2)</f>
        <v>0.46</v>
      </c>
      <c r="F20" s="11">
        <f>SUMIFS(ar6_r10!$F$2:$F$99999,ar6_r10!$A$2:$A$99999,$C$15,ar6_r10!$C$2:$C$99999,F$18,ar6_r10!$M$2:$M$99999,$B20,ar6_r10!$B$2:$B$99999,$A$2)</f>
        <v>0.41</v>
      </c>
      <c r="G20" s="11">
        <f>SUMIFS(ar6_r10!$F$2:$F$99999,ar6_r10!$A$2:$A$99999,$C$15,ar6_r10!$C$2:$C$99999,G$18,ar6_r10!$M$2:$M$99999,$B20,ar6_r10!$B$2:$B$99999,$A$2)</f>
        <v>0.44</v>
      </c>
      <c r="H20" s="11">
        <f>SUMIFS(ar6_r10!$F$2:$F$99999,ar6_r10!$A$2:$A$99999,$C$15,ar6_r10!$C$2:$C$99999,H$18,ar6_r10!$M$2:$M$99999,$B20,ar6_r10!$B$2:$B$99999,$A$2)</f>
        <v>0.42</v>
      </c>
      <c r="I20" s="11">
        <f>SUMIFS(ar6_r10!$F$2:$F$99999,ar6_r10!$A$2:$A$99999,$C$15,ar6_r10!$C$2:$C$99999,I$18,ar6_r10!$M$2:$M$99999,$B20,ar6_r10!$B$2:$B$99999,$A$2)</f>
        <v>0.42</v>
      </c>
      <c r="J20" s="11">
        <f>SUMIFS(ar6_r10!$F$2:$F$99999,ar6_r10!$A$2:$A$99999,$C$15,ar6_r10!$C$2:$C$99999,J$18,ar6_r10!$M$2:$M$99999,$B20,ar6_r10!$B$2:$B$99999,$A$2)</f>
        <v>0.43</v>
      </c>
      <c r="N20" s="10" t="s">
        <v>18</v>
      </c>
      <c r="O20" s="6">
        <f t="shared" si="2"/>
        <v>851.64470000000006</v>
      </c>
      <c r="P20" s="6">
        <f t="shared" si="2"/>
        <v>1041.9057500000001</v>
      </c>
      <c r="Q20" s="6">
        <f t="shared" si="2"/>
        <v>1158.9615960000001</v>
      </c>
      <c r="R20" s="6">
        <f t="shared" si="2"/>
        <v>1498.8946720000001</v>
      </c>
      <c r="S20" s="6">
        <f t="shared" si="2"/>
        <v>1659.0763560000003</v>
      </c>
      <c r="T20" s="6">
        <f t="shared" si="2"/>
        <v>1948.2731520000004</v>
      </c>
      <c r="U20" s="6">
        <f t="shared" si="2"/>
        <v>2228.4098979999999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0.4</v>
      </c>
      <c r="E21" s="11">
        <f>SUMIFS(ar6_r10!$F$2:$F$99999,ar6_r10!$A$2:$A$99999,$C$15,ar6_r10!$C$2:$C$99999,E$18,ar6_r10!$M$2:$M$99999,$B21,ar6_r10!$B$2:$B$99999,$A$2)</f>
        <v>0.46</v>
      </c>
      <c r="F21" s="11">
        <f>SUMIFS(ar6_r10!$F$2:$F$99999,ar6_r10!$A$2:$A$99999,$C$15,ar6_r10!$C$2:$C$99999,F$18,ar6_r10!$M$2:$M$99999,$B21,ar6_r10!$B$2:$B$99999,$A$2)</f>
        <v>0.46</v>
      </c>
      <c r="G21" s="11">
        <f>SUMIFS(ar6_r10!$F$2:$F$99999,ar6_r10!$A$2:$A$99999,$C$15,ar6_r10!$C$2:$C$99999,G$18,ar6_r10!$M$2:$M$99999,$B21,ar6_r10!$B$2:$B$99999,$A$2)</f>
        <v>0.46</v>
      </c>
      <c r="H21" s="11">
        <f>SUMIFS(ar6_r10!$F$2:$F$99999,ar6_r10!$A$2:$A$99999,$C$15,ar6_r10!$C$2:$C$99999,H$18,ar6_r10!$M$2:$M$99999,$B21,ar6_r10!$B$2:$B$99999,$A$2)</f>
        <v>0.48</v>
      </c>
      <c r="I21" s="11">
        <f>SUMIFS(ar6_r10!$F$2:$F$99999,ar6_r10!$A$2:$A$99999,$C$15,ar6_r10!$C$2:$C$99999,I$18,ar6_r10!$M$2:$M$99999,$B21,ar6_r10!$B$2:$B$99999,$A$2)</f>
        <v>0.48</v>
      </c>
      <c r="J21" s="11">
        <f>SUMIFS(ar6_r10!$F$2:$F$99999,ar6_r10!$A$2:$A$99999,$C$15,ar6_r10!$C$2:$C$99999,J$18,ar6_r10!$M$2:$M$99999,$B21,ar6_r10!$B$2:$B$99999,$A$2)</f>
        <v>0.47</v>
      </c>
      <c r="N21" s="10" t="s">
        <v>21</v>
      </c>
      <c r="O21" s="6">
        <f t="shared" si="2"/>
        <v>724.80400000000009</v>
      </c>
      <c r="P21" s="6">
        <f t="shared" si="2"/>
        <v>1041.9057500000001</v>
      </c>
      <c r="Q21" s="6">
        <f t="shared" si="2"/>
        <v>1300.2983760000002</v>
      </c>
      <c r="R21" s="6">
        <f t="shared" si="2"/>
        <v>1567.0262480000001</v>
      </c>
      <c r="S21" s="6">
        <f t="shared" si="2"/>
        <v>1896.0872640000002</v>
      </c>
      <c r="T21" s="6">
        <f t="shared" si="2"/>
        <v>2226.5978880000002</v>
      </c>
      <c r="U21" s="6">
        <f t="shared" si="2"/>
        <v>2435.7038419999999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0.02</v>
      </c>
      <c r="F22" s="11">
        <f>SUMIFS(ar6_r10!$F$2:$F$99999,ar6_r10!$A$2:$A$99999,$C$15,ar6_r10!$C$2:$C$99999,F$18,ar6_r10!$M$2:$M$99999,$B22,ar6_r10!$B$2:$B$99999,$A$2)</f>
        <v>0.02</v>
      </c>
      <c r="G22" s="11">
        <f>SUMIFS(ar6_r10!$F$2:$F$99999,ar6_r10!$A$2:$A$99999,$C$15,ar6_r10!$C$2:$C$99999,G$18,ar6_r10!$M$2:$M$99999,$B22,ar6_r10!$B$2:$B$99999,$A$2)</f>
        <v>0.03</v>
      </c>
      <c r="H22" s="11">
        <f>SUMIFS(ar6_r10!$F$2:$F$99999,ar6_r10!$A$2:$A$99999,$C$15,ar6_r10!$C$2:$C$99999,H$18,ar6_r10!$M$2:$M$99999,$B22,ar6_r10!$B$2:$B$99999,$A$2)</f>
        <v>0.04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0.05</v>
      </c>
      <c r="N22" s="10" t="s">
        <v>23</v>
      </c>
      <c r="O22" s="6">
        <f>D22*O$15</f>
        <v>36.240200000000009</v>
      </c>
      <c r="P22" s="6">
        <f t="shared" ref="P22:U22" si="3">O22</f>
        <v>36.240200000000009</v>
      </c>
      <c r="Q22" s="6">
        <f t="shared" si="3"/>
        <v>36.240200000000009</v>
      </c>
      <c r="R22" s="6">
        <f t="shared" si="3"/>
        <v>36.240200000000009</v>
      </c>
      <c r="S22" s="6">
        <f t="shared" si="3"/>
        <v>36.240200000000009</v>
      </c>
      <c r="T22" s="6">
        <f t="shared" si="3"/>
        <v>36.240200000000009</v>
      </c>
      <c r="U22" s="6">
        <f t="shared" si="3"/>
        <v>36.240200000000009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199.32110000000011</v>
      </c>
      <c r="P23" s="6">
        <f t="shared" si="4"/>
        <v>144.96079999999984</v>
      </c>
      <c r="Q23" s="6">
        <f t="shared" si="4"/>
        <v>331.23542799999996</v>
      </c>
      <c r="R23" s="6">
        <f t="shared" si="4"/>
        <v>304.41767999999956</v>
      </c>
      <c r="S23" s="6">
        <f t="shared" si="4"/>
        <v>358.7779800000003</v>
      </c>
      <c r="T23" s="6">
        <f t="shared" si="4"/>
        <v>427.63436000000002</v>
      </c>
      <c r="U23" s="6">
        <f t="shared" si="4"/>
        <v>481.99466000000029</v>
      </c>
      <c r="V23" t="s">
        <v>16</v>
      </c>
    </row>
    <row r="24" spans="2:24" x14ac:dyDescent="0.45">
      <c r="N24" s="18" t="s">
        <v>101</v>
      </c>
      <c r="O24" s="19">
        <f>N12</f>
        <v>0</v>
      </c>
      <c r="P24" s="20">
        <f>$N$12*E16</f>
        <v>0</v>
      </c>
      <c r="Q24" s="20">
        <f>$N$12*F16</f>
        <v>0</v>
      </c>
      <c r="R24" s="20">
        <f t="shared" ref="R24:U24" si="5">$N$12*G16</f>
        <v>0</v>
      </c>
      <c r="S24" s="20">
        <f t="shared" si="5"/>
        <v>0</v>
      </c>
      <c r="T24" s="20">
        <f t="shared" si="5"/>
        <v>0</v>
      </c>
      <c r="U24" s="20">
        <f t="shared" si="5"/>
        <v>0</v>
      </c>
      <c r="V24" s="18" t="s">
        <v>16</v>
      </c>
    </row>
    <row r="25" spans="2:24" x14ac:dyDescent="0.45">
      <c r="N25" s="18" t="s">
        <v>102</v>
      </c>
      <c r="O25" s="19">
        <f>N13</f>
        <v>0</v>
      </c>
      <c r="P25" s="20">
        <f>$N$13*E16</f>
        <v>0</v>
      </c>
      <c r="Q25" s="20">
        <f t="shared" ref="Q25:U25" si="6">$N$13*F16</f>
        <v>0</v>
      </c>
      <c r="R25" s="20">
        <f t="shared" si="6"/>
        <v>0</v>
      </c>
      <c r="S25" s="20">
        <f t="shared" si="6"/>
        <v>0</v>
      </c>
      <c r="T25" s="20">
        <f t="shared" si="6"/>
        <v>0</v>
      </c>
      <c r="U25" s="20">
        <f t="shared" si="6"/>
        <v>0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47.87</v>
      </c>
      <c r="G26" s="8">
        <f>SUMIFS(ar6_r10!$F$2:$F$99999,ar6_r10!$A$2:$A$99999,$C$26,ar6_r10!$C$2:$C$99999,G$18,ar6_r10!$M$2:$M$99999,$B26,ar6_r10!$B$2:$B$99999,$A$2)</f>
        <v>86.21</v>
      </c>
      <c r="H26" s="8">
        <f>SUMIFS(ar6_r10!$F$2:$F$99999,ar6_r10!$A$2:$A$99999,$C$26,ar6_r10!$C$2:$C$99999,H$18,ar6_r10!$M$2:$M$99999,$B26,ar6_r10!$B$2:$B$99999,$A$2)</f>
        <v>123.26</v>
      </c>
      <c r="I26" s="8">
        <f>SUMIFS(ar6_r10!$F$2:$F$99999,ar6_r10!$A$2:$A$99999,$C$26,ar6_r10!$C$2:$C$99999,I$18,ar6_r10!$M$2:$M$99999,$B26,ar6_r10!$B$2:$B$99999,$A$2)</f>
        <v>172.36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4.7869999999999996E-2</v>
      </c>
      <c r="R26" s="23">
        <f>G26/1000</f>
        <v>8.6209999999999995E-2</v>
      </c>
      <c r="S26" s="23">
        <f>H26/1000</f>
        <v>0.12326000000000001</v>
      </c>
      <c r="T26" s="23">
        <f>I26/1000</f>
        <v>0.17236000000000001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region=IND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7.64</v>
      </c>
      <c r="N30" t="s">
        <v>30</v>
      </c>
      <c r="O30" s="3">
        <f>L30</f>
        <v>7.64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13.79</v>
      </c>
      <c r="N31" t="s">
        <v>33</v>
      </c>
      <c r="O31" s="3">
        <f>ABS(L31)</f>
        <v>13.79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1.1100000000000001</v>
      </c>
      <c r="F39" s="11">
        <f>SUMIFS(ar6_r10!$F$2:$F$99999,ar6_r10!$A$2:$A$99999,$B$38,ar6_r10!$C$2:$C$99999,F$18,ar6_r10!$M$2:$M$99999,$B39,ar6_r10!$B$2:$B$99999,$A$2)</f>
        <v>1.21</v>
      </c>
      <c r="G39" s="11">
        <f>SUMIFS(ar6_r10!$F$2:$F$99999,ar6_r10!$A$2:$A$99999,$B$38,ar6_r10!$C$2:$C$99999,G$18,ar6_r10!$M$2:$M$99999,$B39,ar6_r10!$B$2:$B$99999,$A$2)</f>
        <v>1.1599999999999999</v>
      </c>
      <c r="H39" s="11">
        <f>SUMIFS(ar6_r10!$F$2:$F$99999,ar6_r10!$A$2:$A$99999,$B$38,ar6_r10!$C$2:$C$99999,H$18,ar6_r10!$M$2:$M$99999,$B39,ar6_r10!$B$2:$B$99999,$A$2)</f>
        <v>1.36</v>
      </c>
      <c r="I39" s="11">
        <f>SUMIFS(ar6_r10!$F$2:$F$99999,ar6_r10!$A$2:$A$99999,$B$38,ar6_r10!$C$2:$C$99999,I$18,ar6_r10!$M$2:$M$99999,$B39,ar6_r10!$B$2:$B$99999,$A$2)</f>
        <v>1.4</v>
      </c>
      <c r="J39" s="11">
        <f>SUMIFS(ar6_r10!$F$2:$F$99999,ar6_r10!$A$2:$A$99999,$B$38,ar6_r10!$C$2:$C$99999,J$18,ar6_r10!$M$2:$M$99999,$B39,ar6_r10!$B$2:$B$99999,$A$2)</f>
        <v>1.44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1.07</v>
      </c>
      <c r="F40" s="11">
        <f>SUMIFS(ar6_r10!$F$2:$F$99999,ar6_r10!$A$2:$A$99999,$B$38,ar6_r10!$C$2:$C$99999,F$18,ar6_r10!$M$2:$M$99999,$B40,ar6_r10!$B$2:$B$99999,$A$2)</f>
        <v>1.17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1.37</v>
      </c>
      <c r="I40" s="11">
        <f>SUMIFS(ar6_r10!$F$2:$F$99999,ar6_r10!$A$2:$A$99999,$B$38,ar6_r10!$C$2:$C$99999,I$18,ar6_r10!$M$2:$M$99999,$B40,ar6_r10!$B$2:$B$99999,$A$2)</f>
        <v>1.33</v>
      </c>
      <c r="J40" s="11">
        <f>SUMIFS(ar6_r10!$F$2:$F$99999,ar6_r10!$A$2:$A$99999,$B$38,ar6_r10!$C$2:$C$99999,J$18,ar6_r10!$M$2:$M$99999,$B40,ar6_r10!$B$2:$B$99999,$A$2)</f>
        <v>1.52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1.43</v>
      </c>
      <c r="F41" s="11">
        <f>SUMIFS(ar6_r10!$F$2:$F$99999,ar6_r10!$A$2:$A$99999,$B$38,ar6_r10!$C$2:$C$99999,F$18,ar6_r10!$M$2:$M$99999,$B41,ar6_r10!$B$2:$B$99999,$A$2)</f>
        <v>1.58</v>
      </c>
      <c r="G41" s="11">
        <f>SUMIFS(ar6_r10!$F$2:$F$99999,ar6_r10!$A$2:$A$99999,$B$38,ar6_r10!$C$2:$C$99999,G$18,ar6_r10!$M$2:$M$99999,$B41,ar6_r10!$B$2:$B$99999,$A$2)</f>
        <v>1.53</v>
      </c>
      <c r="H41" s="11">
        <f>SUMIFS(ar6_r10!$F$2:$F$99999,ar6_r10!$A$2:$A$99999,$B$38,ar6_r10!$C$2:$C$99999,H$18,ar6_r10!$M$2:$M$99999,$B41,ar6_r10!$B$2:$B$99999,$A$2)</f>
        <v>1.74</v>
      </c>
      <c r="I41" s="11">
        <f>SUMIFS(ar6_r10!$F$2:$F$99999,ar6_r10!$A$2:$A$99999,$B$38,ar6_r10!$C$2:$C$99999,I$18,ar6_r10!$M$2:$M$99999,$B41,ar6_r10!$B$2:$B$99999,$A$2)</f>
        <v>1.94</v>
      </c>
      <c r="J41" s="11">
        <f>SUMIFS(ar6_r10!$F$2:$F$99999,ar6_r10!$A$2:$A$99999,$B$38,ar6_r10!$C$2:$C$99999,J$18,ar6_r10!$M$2:$M$99999,$B41,ar6_r10!$B$2:$B$99999,$A$2)</f>
        <v>2.2000000000000002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1.05</v>
      </c>
      <c r="F42" s="11">
        <f>SUMIFS(ar6_r10!$F$2:$F$99999,ar6_r10!$A$2:$A$99999,$B$38,ar6_r10!$C$2:$C$99999,F$18,ar6_r10!$M$2:$M$99999,$B42,ar6_r10!$B$2:$B$99999,$A$2)</f>
        <v>1.06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1</v>
      </c>
      <c r="I42" s="11">
        <f>SUMIFS(ar6_r10!$F$2:$F$99999,ar6_r10!$A$2:$A$99999,$B$38,ar6_r10!$C$2:$C$99999,I$18,ar6_r10!$M$2:$M$99999,$B42,ar6_r10!$B$2:$B$99999,$A$2)</f>
        <v>0.95</v>
      </c>
      <c r="J42" s="11">
        <f>SUMIFS(ar6_r10!$F$2:$F$99999,ar6_r10!$A$2:$A$99999,$B$38,ar6_r10!$C$2:$C$99999,J$18,ar6_r10!$M$2:$M$99999,$B42,ar6_r10!$B$2:$B$99999,$A$2)</f>
        <v>0.93</v>
      </c>
    </row>
    <row r="45" spans="2:14" ht="17.25" thickBot="1" x14ac:dyDescent="0.55000000000000004">
      <c r="B45" s="5" t="str">
        <f>"~TFM_INS-TS: region="&amp;$A$1&amp;"; attribute=flo_cost;pset_pn=-IMP*Z"</f>
        <v>~TFM_INS-TS: region=IND;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36</v>
      </c>
      <c r="E47">
        <f t="shared" si="9"/>
        <v>39.96</v>
      </c>
      <c r="F47">
        <f t="shared" si="9"/>
        <v>43.56</v>
      </c>
      <c r="G47">
        <f t="shared" si="9"/>
        <v>41.76</v>
      </c>
      <c r="H47">
        <f t="shared" si="9"/>
        <v>48.96</v>
      </c>
      <c r="I47">
        <f t="shared" si="9"/>
        <v>50.4</v>
      </c>
      <c r="J47">
        <f t="shared" si="9"/>
        <v>51.839999999999996</v>
      </c>
      <c r="M47">
        <f>HLOOKUP($B47&amp;"_"&amp;M$46,fuel_prices!$B$10:$I$100,MATCH($A$1,fuel_prices!$A$10:$A$100,0),FALSE)</f>
        <v>30.9</v>
      </c>
      <c r="N47">
        <f>HLOOKUP($B47&amp;"_"&amp;N$46,fuel_prices!$B$10:$I$100,MATCH($A$1,fuel_prices!$A$10:$A$100,0),FALSE)</f>
        <v>41.1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9.8000000000000007</v>
      </c>
      <c r="E48">
        <f t="shared" si="9"/>
        <v>10.486000000000001</v>
      </c>
      <c r="F48">
        <f t="shared" si="9"/>
        <v>11.465999999999999</v>
      </c>
      <c r="G48">
        <f t="shared" si="9"/>
        <v>11.858000000000001</v>
      </c>
      <c r="H48">
        <f t="shared" si="9"/>
        <v>13.426000000000002</v>
      </c>
      <c r="I48">
        <f t="shared" si="9"/>
        <v>13.034000000000002</v>
      </c>
      <c r="J48">
        <f t="shared" si="9"/>
        <v>14.896000000000001</v>
      </c>
      <c r="M48">
        <f>HLOOKUP($B48&amp;"_"&amp;M$46,fuel_prices!$B$10:$I$100,MATCH($A$1,fuel_prices!$A$10:$A$100,0),FALSE)</f>
        <v>8.6</v>
      </c>
      <c r="N48">
        <f>HLOOKUP($B48&amp;"_"&amp;N$46,fuel_prices!$B$10:$I$100,MATCH($A$1,fuel_prices!$A$10:$A$100,0),FALSE)</f>
        <v>11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50</v>
      </c>
      <c r="E49">
        <f t="shared" si="9"/>
        <v>71.5</v>
      </c>
      <c r="F49">
        <f t="shared" si="9"/>
        <v>79</v>
      </c>
      <c r="G49">
        <f t="shared" si="9"/>
        <v>76.5</v>
      </c>
      <c r="H49">
        <f t="shared" si="9"/>
        <v>87</v>
      </c>
      <c r="I49">
        <f t="shared" si="9"/>
        <v>97</v>
      </c>
      <c r="J49">
        <f t="shared" si="9"/>
        <v>110.00000000000001</v>
      </c>
      <c r="M49">
        <f>HLOOKUP($B49&amp;"_"&amp;M$46,fuel_prices!$B$10:$I$100,MATCH($A$1,fuel_prices!$A$10:$A$100,0),FALSE)</f>
        <v>45</v>
      </c>
      <c r="N49">
        <f>HLOOKUP($B49&amp;"_"&amp;N$46,fuel_prices!$B$10:$I$100,MATCH($A$1,fuel_prices!$A$10:$A$100,0),FALSE)</f>
        <v>55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18.5</v>
      </c>
      <c r="J50">
        <f>VLOOKUP($C$15,$AF$9:$AH$16,3,FALSE)*D50</f>
        <v>55.5</v>
      </c>
      <c r="M50">
        <f>HLOOKUP($B50&amp;"_"&amp;M$46,fuel_prices!$B$10:$I$100,MATCH($A$1,fuel_prices!$A$10:$A$100,0),FALSE)</f>
        <v>15</v>
      </c>
      <c r="N50">
        <f>HLOOKUP($B50&amp;"_"&amp;N$46,fuel_prices!$B$10:$I$100,MATCH($A$1,fuel_prices!$A$10:$A$100,0),FALSE)</f>
        <v>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680.03</v>
      </c>
      <c r="D11">
        <v>497.88</v>
      </c>
      <c r="E11">
        <v>16.59</v>
      </c>
      <c r="F11">
        <v>0.22</v>
      </c>
      <c r="G11">
        <v>5.24</v>
      </c>
      <c r="H11">
        <v>5.15</v>
      </c>
      <c r="I11">
        <v>1357.62</v>
      </c>
      <c r="J11">
        <v>0</v>
      </c>
      <c r="K11">
        <v>0</v>
      </c>
      <c r="L11">
        <v>0</v>
      </c>
      <c r="M11">
        <v>0</v>
      </c>
    </row>
    <row r="12" spans="1:13" x14ac:dyDescent="0.45">
      <c r="A12" t="s">
        <v>103</v>
      </c>
      <c r="B12">
        <v>2016</v>
      </c>
      <c r="C12">
        <v>704.65</v>
      </c>
      <c r="D12">
        <v>536.57000000000005</v>
      </c>
      <c r="E12">
        <v>15.68</v>
      </c>
      <c r="F12">
        <v>0.23</v>
      </c>
      <c r="G12">
        <v>5.62</v>
      </c>
      <c r="H12">
        <v>6.71</v>
      </c>
      <c r="I12">
        <v>1432.74</v>
      </c>
      <c r="J12">
        <v>0</v>
      </c>
      <c r="K12">
        <v>0</v>
      </c>
      <c r="L12">
        <v>0</v>
      </c>
      <c r="M12">
        <v>0</v>
      </c>
    </row>
    <row r="13" spans="1:13" x14ac:dyDescent="0.45">
      <c r="A13" t="s">
        <v>103</v>
      </c>
      <c r="B13">
        <v>2017</v>
      </c>
      <c r="C13">
        <v>748.88</v>
      </c>
      <c r="D13">
        <v>566.27</v>
      </c>
      <c r="E13">
        <v>17.43</v>
      </c>
      <c r="F13">
        <v>0.27</v>
      </c>
      <c r="G13">
        <v>5.07</v>
      </c>
      <c r="H13">
        <v>7.2</v>
      </c>
      <c r="I13">
        <v>1509.93</v>
      </c>
      <c r="J13">
        <v>0</v>
      </c>
      <c r="K13">
        <v>0</v>
      </c>
      <c r="L13">
        <v>0</v>
      </c>
      <c r="M13">
        <v>0</v>
      </c>
    </row>
    <row r="14" spans="1:13" x14ac:dyDescent="0.45">
      <c r="A14" t="s">
        <v>103</v>
      </c>
      <c r="B14">
        <v>2018</v>
      </c>
      <c r="C14">
        <v>831.73</v>
      </c>
      <c r="D14">
        <v>599.55999999999995</v>
      </c>
      <c r="E14">
        <v>18.84</v>
      </c>
      <c r="F14">
        <v>0.32</v>
      </c>
      <c r="G14">
        <v>4.4000000000000004</v>
      </c>
      <c r="H14">
        <v>8.4700000000000006</v>
      </c>
      <c r="I14">
        <v>1608.64</v>
      </c>
      <c r="J14">
        <v>0</v>
      </c>
      <c r="K14">
        <v>0</v>
      </c>
      <c r="L14">
        <v>0</v>
      </c>
      <c r="M14">
        <v>0</v>
      </c>
    </row>
    <row r="15" spans="1:13" x14ac:dyDescent="0.45">
      <c r="A15" t="s">
        <v>103</v>
      </c>
      <c r="B15">
        <v>2019</v>
      </c>
      <c r="C15">
        <v>869.08</v>
      </c>
      <c r="D15">
        <v>625.71</v>
      </c>
      <c r="E15">
        <v>19.149999999999999</v>
      </c>
      <c r="F15">
        <v>0.38</v>
      </c>
      <c r="G15">
        <v>6.35</v>
      </c>
      <c r="H15">
        <v>9.49</v>
      </c>
      <c r="I15">
        <v>1646.41</v>
      </c>
      <c r="J15">
        <v>0</v>
      </c>
      <c r="K15">
        <v>0</v>
      </c>
      <c r="L15">
        <v>0</v>
      </c>
      <c r="M15">
        <v>0</v>
      </c>
    </row>
    <row r="16" spans="1:13" x14ac:dyDescent="0.45">
      <c r="A16" t="s">
        <v>103</v>
      </c>
      <c r="B16">
        <v>2020</v>
      </c>
      <c r="C16">
        <v>756.88</v>
      </c>
      <c r="D16">
        <v>638.6</v>
      </c>
      <c r="E16">
        <v>14.67</v>
      </c>
      <c r="F16">
        <v>0.46</v>
      </c>
      <c r="G16">
        <v>9.5500000000000007</v>
      </c>
      <c r="H16">
        <v>9.57</v>
      </c>
      <c r="I16">
        <v>1536.67</v>
      </c>
      <c r="J16">
        <v>0</v>
      </c>
      <c r="K16">
        <v>0</v>
      </c>
      <c r="L16">
        <v>0</v>
      </c>
      <c r="M16">
        <v>0</v>
      </c>
    </row>
    <row r="17" spans="1:13" x14ac:dyDescent="0.45">
      <c r="A17" t="s">
        <v>103</v>
      </c>
      <c r="B17">
        <v>2021</v>
      </c>
      <c r="C17">
        <v>787.59</v>
      </c>
      <c r="D17">
        <v>664.7</v>
      </c>
      <c r="E17">
        <v>21.94</v>
      </c>
      <c r="F17">
        <v>0.66</v>
      </c>
      <c r="G17">
        <v>7.97</v>
      </c>
      <c r="H17">
        <v>9.25</v>
      </c>
      <c r="I17">
        <v>1636.57</v>
      </c>
      <c r="J17">
        <v>0</v>
      </c>
      <c r="K17">
        <v>0</v>
      </c>
      <c r="L17">
        <v>0</v>
      </c>
      <c r="M17">
        <v>0</v>
      </c>
    </row>
    <row r="18" spans="1:13" x14ac:dyDescent="0.45">
      <c r="A18" t="s">
        <v>103</v>
      </c>
      <c r="B18">
        <v>2022</v>
      </c>
      <c r="C18">
        <v>898.12</v>
      </c>
      <c r="D18">
        <v>713.08</v>
      </c>
      <c r="E18">
        <v>30.03</v>
      </c>
      <c r="F18">
        <v>1.1599999999999999</v>
      </c>
      <c r="G18">
        <v>7.64</v>
      </c>
      <c r="H18">
        <v>13.79</v>
      </c>
      <c r="I18">
        <v>1818.16</v>
      </c>
      <c r="J18">
        <v>0</v>
      </c>
      <c r="K18">
        <v>0</v>
      </c>
      <c r="L18">
        <v>0</v>
      </c>
      <c r="M18">
        <v>0</v>
      </c>
    </row>
    <row r="19" spans="1:13" x14ac:dyDescent="0.45">
      <c r="A19" t="s">
        <v>103</v>
      </c>
      <c r="B19">
        <v>2023</v>
      </c>
      <c r="C19">
        <v>965.01</v>
      </c>
      <c r="D19">
        <v>771.31</v>
      </c>
      <c r="E19">
        <v>33.92</v>
      </c>
      <c r="F19">
        <v>1.85</v>
      </c>
      <c r="G19">
        <v>6.65</v>
      </c>
      <c r="H19">
        <v>11.36</v>
      </c>
      <c r="I19">
        <v>1961.48</v>
      </c>
      <c r="J19">
        <v>0</v>
      </c>
      <c r="K19">
        <v>0</v>
      </c>
      <c r="L19">
        <v>0</v>
      </c>
      <c r="M19">
        <v>0</v>
      </c>
    </row>
    <row r="20" spans="1:13" x14ac:dyDescent="0.45">
      <c r="A20" t="s">
        <v>103</v>
      </c>
      <c r="B20">
        <v>2024</v>
      </c>
      <c r="C20">
        <v>1049.42</v>
      </c>
      <c r="D20">
        <v>801.69</v>
      </c>
      <c r="E20">
        <v>34.5</v>
      </c>
      <c r="F20">
        <v>2.2599999999999998</v>
      </c>
      <c r="G20">
        <v>7.46</v>
      </c>
      <c r="H20">
        <v>10.62</v>
      </c>
      <c r="I20">
        <v>2079.7199999999998</v>
      </c>
      <c r="J20">
        <v>0</v>
      </c>
      <c r="K20">
        <v>0</v>
      </c>
      <c r="L20">
        <v>0</v>
      </c>
      <c r="M20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2026-09-29T11:02:31Z</dcterms:modified>
</cp:coreProperties>
</file>