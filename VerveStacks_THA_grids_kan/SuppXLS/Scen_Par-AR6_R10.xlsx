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SuppXLS\"/>
    </mc:Choice>
  </mc:AlternateContent>
  <xr:revisionPtr revIDLastSave="0" documentId="8_{F9ADF6BB-63DA-493E-A416-E95A257E891A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<sst xmlns="http://schemas.openxmlformats.org/spreadsheetml/2006/main" count="23454" uniqueCount="294">
  <si>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</si>
  <si>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</si>
  <si>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</si>
  <si>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</si>
  <si>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</si>
  <si>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</si>
  <si>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</si>
  <si>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</si>
  <si>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</si>
  <si>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</si>
  <si>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</si>
  <si>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</si>
  <si>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</si>
  <si>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</si>
  <si>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</si>
  <si>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</si>
  <si>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</si>
  <si>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</si>
  <si>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</si>
  <si>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</si>
  <si>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</si>
  <si>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</si>
  <si>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</si>
  <si>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</si>
  <si>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</si>
  <si>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</si>
  <si>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</si>
  <si>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</si>
  <si>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</si>
  <si>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</si>
  <si>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</si>
  <si>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</si>
  <si>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</si>
  <si>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</si>
  <si>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</si>
  <si>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</si>
  <si>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</si>
  <si>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</si>
  <si>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</si>
  <si>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</si>
  <si>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</si>
  <si>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</si>
  <si>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</si>
  <si>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</si>
  <si>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</si>
  <si>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</si>
  <si>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</si>
  <si>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</si>
  <si>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</si>
  <si>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</si>
  <si>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</si>
  <si>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</si>
  <si>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</si>
  <si>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</si>
  <si>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</si>
  <si>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</si>
  <si>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</si>
  <si>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</si>
  <si>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</si>
  <si>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</si>
  <si>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</si>
  <si>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</si>
  <si>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</si>
  <si>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</si>
  <si>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</si>
  <si>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</si>
  <si>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</si>
  <si>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</si>
  <si>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</si>
  <si>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</si>
  <si>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</si>
  <si>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</si>
  <si>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</si>
  <si>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</si>
  <si>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</si>
  <si>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</si>
  <si>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</si>
  <si>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</si>
  <si>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</si>
  <si>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</si>
  <si>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</si>
  <si>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</si>
  <si>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</si>
  <si>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</si>
  <si>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</si>
  <si>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</si>
  <si>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</si>
  <si>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</si>
  <si>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</si>
  <si>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</si>
  <si>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</si>
  <si>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</si>
  <si>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</si>
  <si>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</si>
  <si>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</si>
  <si>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</si>
  <si>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</si>
  <si>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</si>
  <si>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</si>
  <si>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</si>
  <si>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</si>
  <si>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</si>
  <si>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</si>
  <si>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</si>
  <si>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</si>
  <si>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</si>
  <si>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</si>
  <si>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</si>
  <si>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</si>
  <si>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</si>
  <si>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</si>
  <si>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</si>
  <si>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</si>
  <si>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</si>
  <si>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</si>
  <si>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</si>
  <si>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</si>
  <si>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</si>
  <si>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</si>
  <si>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</si>
  <si>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</si>
  <si>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</si>
  <si>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</si>
  <si>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</si>
  <si>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</si>
  <si>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</si>
  <si>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</si>
  <si>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</si>
  <si>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</si>
  <si>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</si>
  <si>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</si>
  <si>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</si>
  <si>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</si>
  <si>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THA</t>
  </si>
  <si>
    <t>R10REST_ASIA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</si>
  <si>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</si>
  <si>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</si>
  <si>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</si>
  <si>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</si>
  <si>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</si>
  <si>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</si>
  <si>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</si>
  <si>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</si>
  <si>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</si>
  <si>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</si>
  <si>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</si>
  <si>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</si>
  <si>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</si>
  <si>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</si>
  <si>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</si>
  <si>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</si>
  <si>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elc_spv_THA_001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</si>
  <si>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</si>
  <si>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</si>
  <si>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</si>
  <si>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</si>
  <si>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</si>
  <si>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</si>
  <si>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</si>
  <si>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</si>
  <si>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</si>
  <si>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</si>
  <si>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</si>
  <si>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</si>
  <si>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</si>
  <si>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</si>
  <si>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</si>
  <si>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</si>
  <si>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</si>
  <si>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</si>
  <si>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</si>
  <si>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</si>
  <si>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</si>
  <si>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elc_spv_THA_010</t>
  </si>
  <si>
    <t>elc_spv_THA_011</t>
  </si>
  <si>
    <t>elc_spv_THA_012</t>
  </si>
  <si>
    <t>elc_spv_THA_013</t>
  </si>
  <si>
    <t>elc_spv_THA_014</t>
  </si>
  <si>
    <t>elc_spv_THA_015</t>
  </si>
  <si>
    <t>elc_spv_THA_016</t>
  </si>
  <si>
    <t>elc_spv_THA_017</t>
  </si>
  <si>
    <t>elc_spv_THA_018</t>
  </si>
  <si>
    <t>elc_spv_THA_019</t>
  </si>
  <si>
    <t>elc_spv_THA_020</t>
  </si>
  <si>
    <t>elc_spv_THA_021</t>
  </si>
  <si>
    <t>elc_spv_THA_022</t>
  </si>
  <si>
    <t>elc_spv_THA_023</t>
  </si>
  <si>
    <t>elc_spv_THA_024</t>
  </si>
  <si>
    <t>elc_spv_THA_025</t>
  </si>
  <si>
    <t>elc_spv_THA_026</t>
  </si>
  <si>
    <t>elc_spv_THA_027</t>
  </si>
  <si>
    <t>elc_spv_THA_028</t>
  </si>
  <si>
    <t>elc_spv_THA_029</t>
  </si>
  <si>
    <t>elc_won_THA_001</t>
  </si>
  <si>
    <t>elc_won_THA_002</t>
  </si>
  <si>
    <t>elc_won_THA_003</t>
  </si>
  <si>
    <t>elc_won_THA_004</t>
  </si>
  <si>
    <t>elc_won_THA_005</t>
  </si>
  <si>
    <t>elc_won_THA_006</t>
  </si>
  <si>
    <t>elc_won_THA_007</t>
  </si>
  <si>
    <t>elc_won_THA_008</t>
  </si>
  <si>
    <t>elc_won_THA_009</t>
  </si>
  <si>
    <t>elc_won_THA_010</t>
  </si>
  <si>
    <t>elc_won_THA_011</t>
  </si>
  <si>
    <t>elc_won_THA_012</t>
  </si>
  <si>
    <t>elc_won_THA_013</t>
  </si>
  <si>
    <t>elc_won_THA_014</t>
  </si>
  <si>
    <t>elc_won_THA_015</t>
  </si>
  <si>
    <t>elc_wof_THA_001</t>
  </si>
  <si>
    <t>elc_wof_THA_002</t>
  </si>
  <si>
    <t>elc_wof_THA_003</t>
  </si>
  <si>
    <t>elc_wof_THA_004</t>
  </si>
  <si>
    <t>elc_wof_THA_005</t>
  </si>
  <si>
    <t>elc_wof_THA_006</t>
  </si>
  <si>
    <t>elc_wof_THA_007</t>
  </si>
  <si>
    <t>elc_wof_THA_008</t>
  </si>
  <si>
    <t>elc_wof_THA_009</t>
  </si>
  <si>
    <t>elc_wof_THA_010</t>
  </si>
  <si>
    <t>g_yrfr</t>
  </si>
  <si>
    <t>day_night</t>
  </si>
  <si>
    <t>D</t>
  </si>
  <si>
    <t>S01aH02,S03aH02,S02aH02,S04aH02</t>
  </si>
  <si>
    <t>N</t>
  </si>
  <si>
    <t>S01aH03,S02aH01,S01aH01,S04aH01,S03aH01,S03aH03,S04aH03,S02aH03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</si>
  <si>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</si>
  <si>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</si>
  <si>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</si>
  <si>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</si>
  <si>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</si>
  <si>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</si>
  <si>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</si>
  <si>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</si>
  <si>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</si>
  <si>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</si>
  <si>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</si>
  <si>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</si>
  <si>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</si>
  <si>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</si>
  <si>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</si>
  <si>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</si>
  <si>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</si>
  <si>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</si>
  <si>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</si>
  <si>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</si>
  <si>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S02aH04,S01aH03,S04aH02,S01aH04,S03aH02,S04aH03,S02aH03,S02aH02,S03aH04,S01aH02,S04aH04,S03aH03</t>
  </si>
  <si>
    <t>S02aH06,S03aH05,S02aH01,S01aH01,S04aH01,S04aH06,S03aH01,S01aH06,S04aH05,S02aH05,S01aH05,S03aH06</t>
  </si>
  <si>
    <t>S01,S02,S03,S04,S05</t>
  </si>
  <si>
    <t>S05</t>
  </si>
  <si>
    <t>ts_036</t>
  </si>
  <si>
    <t>S05aH01</t>
  </si>
  <si>
    <t>S05aH02</t>
  </si>
  <si>
    <t>S05aH03</t>
  </si>
  <si>
    <t>S05aH04</t>
  </si>
  <si>
    <t>S05aH05</t>
  </si>
  <si>
    <t>S05aH06</t>
  </si>
  <si>
    <t>S01aH03,S05aH02,S05aH03,S03aH03,S02aH03,S01aH02,S04aH04,S03aH04,S02aH02,S02aH04,S04aH02,S04aH03,S03aH02,S01aH04,S05aH04</t>
  </si>
  <si>
    <t>S04aH05,S01aH01,S04aH01,S04aH06,S01aH05,S03aH06,S02aH05,S05aH01,S03aH01,S02aH06,S03aH05,S05aH05,S02aH01,S05aH06,S01aH06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</si>
  <si>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</si>
  <si>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</si>
  <si>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</si>
  <si>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</si>
  <si>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</si>
  <si>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</si>
  <si>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</si>
  <si>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</si>
  <si>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</si>
  <si>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</si>
  <si>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</si>
  <si>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</si>
  <si>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S03aH02,S04aH03,S01aH04,S01aH06,S02aH03,S02aH02,S04aH05,S03aH04,S04aH02,S01aH05,S03aH06,S04aH06,S05aH04,S02aH06,S03aH05,S05aH05,S03aH03,S02aH04,S02aH05,S01aH02,S04aH04,S01aH03,S05aH02,S05aH03,S05aH06</t>
  </si>
  <si>
    <t>S02aH01,S01aH01,S04aH01,S03aH01,S04aH08,S05aH08,S01aH07,S02aH07,S05aH01,S05aH07,S03aH08,S04aH07,S01aH08,S02aH08,S03aH07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</si>
  <si>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</si>
  <si>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</si>
  <si>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</si>
  <si>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</si>
  <si>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</si>
  <si>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</si>
  <si>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</si>
  <si>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</si>
  <si>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</si>
  <si>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</si>
  <si>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</si>
  <si>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</si>
  <si>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</si>
  <si>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</si>
  <si>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</si>
  <si>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</si>
  <si>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</si>
  <si>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</si>
  <si>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</si>
  <si>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</si>
  <si>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</si>
  <si>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FaP,SaP,FaD,SaD,WaD,RaD,RaP,WaP</t>
  </si>
  <si>
    <t>RaP,FaP,SaP,FaN,WaP,SaN,WaN,RaN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</si>
</sst>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219.39</c:v>
                </c:pt>
                <c:pt idx="1">
                  <c:v>254.49239999999998</c:v>
                </c:pt>
                <c:pt idx="2">
                  <c:v>287.40089999999998</c:v>
                </c:pt>
                <c:pt idx="3">
                  <c:v>329.08499999999998</c:v>
                </c:pt>
                <c:pt idx="4">
                  <c:v>377.35079999999999</c:v>
                </c:pt>
                <c:pt idx="5">
                  <c:v>467.30069999999995</c:v>
                </c:pt>
                <c:pt idx="6">
                  <c:v>550.66889999999989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135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219.39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219.39</v>
      </c>
      <c r="U14" s="8">
        <f t="shared" ref="U14:Z14" si="4">$S$12*J15</f>
        <v>254.49239999999998</v>
      </c>
      <c r="V14" s="8">
        <f t="shared" si="4"/>
        <v>287.40089999999998</v>
      </c>
      <c r="W14" s="8">
        <f t="shared" si="4"/>
        <v>329.08499999999998</v>
      </c>
      <c r="X14" s="8">
        <f t="shared" si="4"/>
        <v>377.35079999999999</v>
      </c>
      <c r="Y14" s="8">
        <f t="shared" si="4"/>
        <v>467.30069999999995</v>
      </c>
      <c r="Z14" s="8">
        <f t="shared" si="4"/>
        <v>550.66889999999989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3.2908499999999998</v>
      </c>
      <c r="X18" s="6">
        <f t="shared" si="8"/>
        <v>7.5470160000000002</v>
      </c>
      <c r="Y18" s="6">
        <f t="shared" si="8"/>
        <v>14.019020999999999</v>
      </c>
      <c r="Z18" s="6">
        <f t="shared" si="8"/>
        <v>16.520066999999997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100.9194</v>
      </c>
      <c r="U19" s="6">
        <f t="shared" si="8"/>
        <v>106.88680799999999</v>
      </c>
      <c r="V19" s="6">
        <f t="shared" si="8"/>
        <v>126.456396</v>
      </c>
      <c r="W19" s="6">
        <f t="shared" si="8"/>
        <v>141.50654999999998</v>
      </c>
      <c r="X19" s="6">
        <f t="shared" si="8"/>
        <v>154.71382799999998</v>
      </c>
      <c r="Y19" s="6">
        <f t="shared" si="8"/>
        <v>200.93930099999997</v>
      </c>
      <c r="Z19" s="6">
        <f t="shared" si="8"/>
        <v>214.76087099999995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116.27670000000001</v>
      </c>
      <c r="U20" s="6">
        <f t="shared" si="8"/>
        <v>142.51574400000001</v>
      </c>
      <c r="V20" s="6">
        <f t="shared" si="8"/>
        <v>152.32247699999999</v>
      </c>
      <c r="W20" s="6">
        <f t="shared" si="8"/>
        <v>171.1242</v>
      </c>
      <c r="X20" s="6">
        <f t="shared" si="8"/>
        <v>196.22241600000001</v>
      </c>
      <c r="Y20" s="6">
        <f t="shared" si="8"/>
        <v>233.65034999999997</v>
      </c>
      <c r="Z20" s="6">
        <f t="shared" si="8"/>
        <v>269.82776099999995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2.1938999999999997</v>
      </c>
      <c r="U21" s="6">
        <f t="shared" ref="U21:Z21" si="9">T21</f>
        <v>2.1938999999999997</v>
      </c>
      <c r="V21" s="6">
        <f t="shared" si="9"/>
        <v>2.1938999999999997</v>
      </c>
      <c r="W21" s="6">
        <f t="shared" si="9"/>
        <v>2.1938999999999997</v>
      </c>
      <c r="X21" s="6">
        <f t="shared" si="9"/>
        <v>2.1938999999999997</v>
      </c>
      <c r="Y21" s="6">
        <f t="shared" si="9"/>
        <v>2.1938999999999997</v>
      </c>
      <c r="Z21" s="6">
        <f t="shared" si="9"/>
        <v>2.1938999999999997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2.8959479999999473</v>
      </c>
      <c r="V22" s="6">
        <f t="shared" si="10"/>
        <v>6.4281270000000177</v>
      </c>
      <c r="W22" s="6">
        <f t="shared" si="10"/>
        <v>14.260350000000017</v>
      </c>
      <c r="X22" s="6">
        <f t="shared" si="10"/>
        <v>24.22065600000002</v>
      </c>
      <c r="Y22" s="6">
        <f t="shared" si="10"/>
        <v>30.517149000000018</v>
      </c>
      <c r="Z22" s="6">
        <f t="shared" si="10"/>
        <v>63.886368000000004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35.47</v>
      </c>
      <c r="S28" t="s">
        <v>32</v>
      </c>
      <c r="T28" s="3">
        <f>Q28</f>
        <v>35.47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-2.06</v>
      </c>
      <c r="S29" t="s">
        <v>35</v>
      </c>
      <c r="T29" s="3">
        <f>-1*Q29</f>
        <v>2.06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0</v>
      </c>
      <c r="J45">
        <f t="shared" si="13"/>
        <v>0</v>
      </c>
      <c r="K45">
        <f t="shared" si="13"/>
        <v>0</v>
      </c>
      <c r="L45">
        <f t="shared" si="13"/>
        <v>0</v>
      </c>
      <c r="M45">
        <f t="shared" si="13"/>
        <v>0</v>
      </c>
      <c r="N45">
        <f t="shared" si="13"/>
        <v>0</v>
      </c>
      <c r="O45">
        <f t="shared" si="13"/>
        <v>0</v>
      </c>
      <c r="R45">
        <f>HLOOKUP($G45&amp;"_"&amp;R$44,fuel_prices!$B$10:$I$11,2,FALSE)</f>
        <v>0</v>
      </c>
      <c r="S45">
        <f>HLOOKUP($G45&amp;"_"&amp;S$44,fuel_prices!$B$10:$I$11,2,FALSE)</f>
        <v>0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0</v>
      </c>
      <c r="J46">
        <f t="shared" si="13"/>
        <v>0</v>
      </c>
      <c r="K46">
        <f t="shared" si="13"/>
        <v>0</v>
      </c>
      <c r="L46">
        <f t="shared" si="13"/>
        <v>0</v>
      </c>
      <c r="M46">
        <f t="shared" si="13"/>
        <v>0</v>
      </c>
      <c r="N46">
        <f t="shared" si="13"/>
        <v>0</v>
      </c>
      <c r="O46">
        <f t="shared" si="13"/>
        <v>0</v>
      </c>
      <c r="R46">
        <f>HLOOKUP($G46&amp;"_"&amp;R$44,fuel_prices!$B$10:$I$11,2,FALSE)</f>
        <v>0</v>
      </c>
      <c r="S46">
        <f>HLOOKUP($G46&amp;"_"&amp;S$44,fuel_prices!$B$10:$I$11,2,FALSE)</f>
        <v>0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0</v>
      </c>
      <c r="J47">
        <f t="shared" si="13"/>
        <v>0</v>
      </c>
      <c r="K47">
        <f t="shared" si="13"/>
        <v>0</v>
      </c>
      <c r="L47">
        <f t="shared" si="13"/>
        <v>0</v>
      </c>
      <c r="M47">
        <f t="shared" si="13"/>
        <v>0</v>
      </c>
      <c r="N47">
        <f t="shared" si="13"/>
        <v>0</v>
      </c>
      <c r="O47">
        <f t="shared" si="13"/>
        <v>0</v>
      </c>
      <c r="R47">
        <f>HLOOKUP($G47&amp;"_"&amp;R$44,fuel_prices!$B$10:$I$11,2,FALSE)</f>
        <v>0</v>
      </c>
      <c r="S47">
        <f>HLOOKUP($G47&amp;"_"&amp;S$44,fuel_prices!$B$10:$I$11,2,FALSE)</f>
        <v>0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0</v>
      </c>
      <c r="O48">
        <f>VLOOKUP($E$5,$AK$9:$AM$15,3,FALSE)*I48</f>
        <v>0</v>
      </c>
      <c r="R48">
        <f>HLOOKUP($G48&amp;"_"&amp;R$44,fuel_prices!$B$10:$I$11,2,FALSE)</f>
        <v>0</v>
      </c>
      <c r="S48">
        <f>HLOOKUP($G48&amp;"_"&amp;S$44,fuel_prices!$B$10:$I$11,2,FALSE)</f>
        <v>0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50.96</v>
      </c>
      <c r="D11">
        <v>47.27</v>
      </c>
      <c r="E11">
        <v>0.04</v>
      </c>
      <c r="F11">
        <v>0</v>
      </c>
      <c r="G11">
        <v>2.97</v>
      </c>
      <c r="H11">
        <v>-0.19</v>
      </c>
      <c r="I11">
        <v>95.98</v>
      </c>
    </row>
    <row r="12" spans="1:9" x14ac:dyDescent="0.45">
      <c r="A12" t="s">
        <v>133</v>
      </c>
      <c r="B12">
        <v>2001</v>
      </c>
      <c r="C12">
        <v>54.65</v>
      </c>
      <c r="D12">
        <v>49.94</v>
      </c>
      <c r="E12">
        <v>0.04</v>
      </c>
      <c r="F12">
        <v>0</v>
      </c>
      <c r="G12">
        <v>2.88</v>
      </c>
      <c r="H12">
        <v>-0.27</v>
      </c>
      <c r="I12">
        <v>102.42</v>
      </c>
    </row>
    <row r="13" spans="1:9" x14ac:dyDescent="0.45">
      <c r="A13" t="s">
        <v>133</v>
      </c>
      <c r="B13">
        <v>2002</v>
      </c>
      <c r="C13">
        <v>57.11</v>
      </c>
      <c r="D13">
        <v>53.99</v>
      </c>
      <c r="E13">
        <v>0.03</v>
      </c>
      <c r="F13">
        <v>0</v>
      </c>
      <c r="G13">
        <v>2.81</v>
      </c>
      <c r="H13">
        <v>-0.27</v>
      </c>
      <c r="I13">
        <v>109.01</v>
      </c>
    </row>
    <row r="14" spans="1:9" x14ac:dyDescent="0.45">
      <c r="A14" t="s">
        <v>133</v>
      </c>
      <c r="B14">
        <v>2003</v>
      </c>
      <c r="C14">
        <v>61.27</v>
      </c>
      <c r="D14">
        <v>57.42</v>
      </c>
      <c r="E14">
        <v>0.03</v>
      </c>
      <c r="F14">
        <v>0</v>
      </c>
      <c r="G14">
        <v>2.48</v>
      </c>
      <c r="H14">
        <v>-0.3</v>
      </c>
      <c r="I14">
        <v>116.98</v>
      </c>
    </row>
    <row r="15" spans="1:9" x14ac:dyDescent="0.45">
      <c r="A15" t="s">
        <v>133</v>
      </c>
      <c r="B15">
        <v>2004</v>
      </c>
      <c r="C15">
        <v>66.930000000000007</v>
      </c>
      <c r="D15">
        <v>61.26</v>
      </c>
      <c r="E15">
        <v>0.05</v>
      </c>
      <c r="F15">
        <v>0</v>
      </c>
      <c r="G15">
        <v>3.39</v>
      </c>
      <c r="H15">
        <v>-0.37</v>
      </c>
      <c r="I15">
        <v>125.73</v>
      </c>
    </row>
    <row r="16" spans="1:9" x14ac:dyDescent="0.45">
      <c r="A16" t="s">
        <v>133</v>
      </c>
      <c r="B16">
        <v>2005</v>
      </c>
      <c r="C16">
        <v>71.63</v>
      </c>
      <c r="D16">
        <v>63.72</v>
      </c>
      <c r="E16">
        <v>0.06</v>
      </c>
      <c r="F16">
        <v>0</v>
      </c>
      <c r="G16">
        <v>4.42</v>
      </c>
      <c r="H16">
        <v>-0.64</v>
      </c>
      <c r="I16">
        <v>132.19999999999999</v>
      </c>
    </row>
    <row r="17" spans="1:9" x14ac:dyDescent="0.45">
      <c r="A17" t="s">
        <v>133</v>
      </c>
      <c r="B17">
        <v>2006</v>
      </c>
      <c r="C17">
        <v>74.66</v>
      </c>
      <c r="D17">
        <v>67.78</v>
      </c>
      <c r="E17">
        <v>0.06</v>
      </c>
      <c r="F17">
        <v>0</v>
      </c>
      <c r="G17">
        <v>5.16</v>
      </c>
      <c r="H17">
        <v>-0.75</v>
      </c>
      <c r="I17">
        <v>138.74</v>
      </c>
    </row>
    <row r="18" spans="1:9" x14ac:dyDescent="0.45">
      <c r="A18" t="s">
        <v>133</v>
      </c>
      <c r="B18">
        <v>2007</v>
      </c>
      <c r="C18">
        <v>74.930000000000007</v>
      </c>
      <c r="D18">
        <v>71.260000000000005</v>
      </c>
      <c r="E18">
        <v>0.06</v>
      </c>
      <c r="F18">
        <v>0</v>
      </c>
      <c r="G18">
        <v>4.49</v>
      </c>
      <c r="H18">
        <v>-0.93</v>
      </c>
      <c r="I18">
        <v>143.63999999999999</v>
      </c>
    </row>
    <row r="19" spans="1:9" x14ac:dyDescent="0.45">
      <c r="A19" t="s">
        <v>133</v>
      </c>
      <c r="B19">
        <v>2008</v>
      </c>
      <c r="C19">
        <v>71.010000000000005</v>
      </c>
      <c r="D19">
        <v>77.23</v>
      </c>
      <c r="E19">
        <v>0.06</v>
      </c>
      <c r="F19">
        <v>0</v>
      </c>
      <c r="G19">
        <v>2.78</v>
      </c>
      <c r="H19">
        <v>-1.18</v>
      </c>
      <c r="I19">
        <v>147.34</v>
      </c>
    </row>
    <row r="20" spans="1:9" x14ac:dyDescent="0.45">
      <c r="A20" t="s">
        <v>133</v>
      </c>
      <c r="B20">
        <v>2009</v>
      </c>
      <c r="C20">
        <v>70.73</v>
      </c>
      <c r="D20">
        <v>77.78</v>
      </c>
      <c r="E20">
        <v>0.06</v>
      </c>
      <c r="F20">
        <v>0</v>
      </c>
      <c r="G20">
        <v>2.44</v>
      </c>
      <c r="H20">
        <v>-1.56</v>
      </c>
      <c r="I20">
        <v>148.34</v>
      </c>
    </row>
    <row r="21" spans="1:9" x14ac:dyDescent="0.45">
      <c r="A21" t="s">
        <v>133</v>
      </c>
      <c r="B21">
        <v>2010</v>
      </c>
      <c r="C21">
        <v>79.5</v>
      </c>
      <c r="D21">
        <v>84.83</v>
      </c>
      <c r="E21">
        <v>7.0000000000000007E-2</v>
      </c>
      <c r="F21">
        <v>0</v>
      </c>
      <c r="G21">
        <v>7.29</v>
      </c>
      <c r="H21">
        <v>-1.62</v>
      </c>
      <c r="I21">
        <v>159.46</v>
      </c>
    </row>
    <row r="22" spans="1:9" x14ac:dyDescent="0.45">
      <c r="A22" t="s">
        <v>133</v>
      </c>
      <c r="B22">
        <v>2011</v>
      </c>
      <c r="C22">
        <v>79.739999999999995</v>
      </c>
      <c r="D22">
        <v>84.24</v>
      </c>
      <c r="E22">
        <v>0.11</v>
      </c>
      <c r="F22">
        <v>0</v>
      </c>
      <c r="G22">
        <v>10.68</v>
      </c>
      <c r="H22">
        <v>-1.64</v>
      </c>
      <c r="I22">
        <v>155.68</v>
      </c>
    </row>
    <row r="23" spans="1:9" x14ac:dyDescent="0.45">
      <c r="A23" t="s">
        <v>133</v>
      </c>
      <c r="B23">
        <v>2012</v>
      </c>
      <c r="C23">
        <v>81.95</v>
      </c>
      <c r="D23">
        <v>93.31</v>
      </c>
      <c r="E23">
        <v>0.1</v>
      </c>
      <c r="F23">
        <v>0</v>
      </c>
      <c r="G23">
        <v>10.33</v>
      </c>
      <c r="H23">
        <v>-1.91</v>
      </c>
      <c r="I23">
        <v>165.42</v>
      </c>
    </row>
    <row r="24" spans="1:9" x14ac:dyDescent="0.45">
      <c r="A24" t="s">
        <v>133</v>
      </c>
      <c r="B24">
        <v>2013</v>
      </c>
      <c r="C24">
        <v>85.17</v>
      </c>
      <c r="D24">
        <v>94.57</v>
      </c>
      <c r="E24">
        <v>0.16</v>
      </c>
      <c r="F24">
        <v>0</v>
      </c>
      <c r="G24">
        <v>12.57</v>
      </c>
      <c r="H24">
        <v>-1.28</v>
      </c>
      <c r="I24">
        <v>170.11</v>
      </c>
    </row>
    <row r="25" spans="1:9" x14ac:dyDescent="0.45">
      <c r="A25" t="s">
        <v>133</v>
      </c>
      <c r="B25">
        <v>2014</v>
      </c>
      <c r="C25">
        <v>99.1</v>
      </c>
      <c r="D25">
        <v>79.58</v>
      </c>
      <c r="E25">
        <v>0.1</v>
      </c>
      <c r="F25">
        <v>0</v>
      </c>
      <c r="G25">
        <v>12.26</v>
      </c>
      <c r="H25">
        <v>-2.0699999999999998</v>
      </c>
      <c r="I25">
        <v>172.21</v>
      </c>
    </row>
    <row r="26" spans="1:9" x14ac:dyDescent="0.45">
      <c r="A26" t="s">
        <v>133</v>
      </c>
      <c r="B26">
        <v>2015</v>
      </c>
      <c r="C26">
        <v>99.1</v>
      </c>
      <c r="D26">
        <v>83.43</v>
      </c>
      <c r="E26">
        <v>0.11</v>
      </c>
      <c r="F26">
        <v>0</v>
      </c>
      <c r="G26">
        <v>14.41</v>
      </c>
      <c r="H26">
        <v>-2.27</v>
      </c>
      <c r="I26">
        <v>177.23</v>
      </c>
    </row>
    <row r="27" spans="1:9" x14ac:dyDescent="0.45">
      <c r="A27" t="s">
        <v>133</v>
      </c>
      <c r="B27">
        <v>2016</v>
      </c>
      <c r="C27">
        <v>104.4</v>
      </c>
      <c r="D27">
        <v>89.04</v>
      </c>
      <c r="E27">
        <v>0.11</v>
      </c>
      <c r="F27">
        <v>0</v>
      </c>
      <c r="G27">
        <v>19.82</v>
      </c>
      <c r="H27">
        <v>-1.44</v>
      </c>
      <c r="I27">
        <v>188.26</v>
      </c>
    </row>
    <row r="28" spans="1:9" x14ac:dyDescent="0.45">
      <c r="A28" t="s">
        <v>133</v>
      </c>
      <c r="B28">
        <v>2017</v>
      </c>
      <c r="C28">
        <v>102.74</v>
      </c>
      <c r="D28">
        <v>89.97</v>
      </c>
      <c r="E28">
        <v>0.24</v>
      </c>
      <c r="F28">
        <v>0</v>
      </c>
      <c r="G28">
        <v>24.43</v>
      </c>
      <c r="H28">
        <v>-1.1100000000000001</v>
      </c>
      <c r="I28">
        <v>181.94</v>
      </c>
    </row>
    <row r="29" spans="1:9" x14ac:dyDescent="0.45">
      <c r="A29" t="s">
        <v>133</v>
      </c>
      <c r="B29">
        <v>2018</v>
      </c>
      <c r="C29">
        <v>103.56</v>
      </c>
      <c r="D29">
        <v>92.54</v>
      </c>
      <c r="E29">
        <v>0.22</v>
      </c>
      <c r="F29">
        <v>0</v>
      </c>
      <c r="G29">
        <v>26.67</v>
      </c>
      <c r="H29">
        <v>-1.0900000000000001</v>
      </c>
      <c r="I29">
        <v>182.29</v>
      </c>
    </row>
    <row r="30" spans="1:9" x14ac:dyDescent="0.45">
      <c r="A30" t="s">
        <v>133</v>
      </c>
      <c r="B30">
        <v>2019</v>
      </c>
      <c r="C30">
        <v>102.32</v>
      </c>
      <c r="D30">
        <v>99.01</v>
      </c>
      <c r="E30">
        <v>0.22</v>
      </c>
      <c r="F30">
        <v>0</v>
      </c>
      <c r="G30">
        <v>25.55</v>
      </c>
      <c r="H30">
        <v>-2.88</v>
      </c>
      <c r="I30">
        <v>190.75</v>
      </c>
    </row>
    <row r="31" spans="1:9" x14ac:dyDescent="0.45">
      <c r="A31" t="s">
        <v>133</v>
      </c>
      <c r="B31">
        <v>2020</v>
      </c>
      <c r="C31">
        <v>97.99</v>
      </c>
      <c r="D31">
        <v>97.43</v>
      </c>
      <c r="E31">
        <v>0.22</v>
      </c>
      <c r="F31">
        <v>0</v>
      </c>
      <c r="G31">
        <v>29.55</v>
      </c>
      <c r="H31">
        <v>-2.62</v>
      </c>
      <c r="I31">
        <v>179.46</v>
      </c>
    </row>
    <row r="32" spans="1:9" x14ac:dyDescent="0.45">
      <c r="A32" t="s">
        <v>133</v>
      </c>
      <c r="B32">
        <v>2021</v>
      </c>
      <c r="C32">
        <v>103.47</v>
      </c>
      <c r="D32">
        <v>96.42</v>
      </c>
      <c r="E32">
        <v>0.22</v>
      </c>
      <c r="F32">
        <v>0</v>
      </c>
      <c r="G32">
        <v>33.36</v>
      </c>
      <c r="H32">
        <v>-1.97</v>
      </c>
      <c r="I32">
        <v>180.23</v>
      </c>
    </row>
    <row r="33" spans="1:9" x14ac:dyDescent="0.45">
      <c r="A33" t="s">
        <v>133</v>
      </c>
      <c r="B33">
        <v>2022</v>
      </c>
      <c r="C33">
        <v>105.11</v>
      </c>
      <c r="D33">
        <v>100.4</v>
      </c>
      <c r="E33">
        <v>0.28000000000000003</v>
      </c>
      <c r="F33">
        <v>0</v>
      </c>
      <c r="G33">
        <v>35.47</v>
      </c>
      <c r="H33">
        <v>-2.06</v>
      </c>
      <c r="I33">
        <v>185.98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219</v>
      </c>
      <c r="D10" t="s">
        <v>118</v>
      </c>
      <c r="F10" t="s">
        <v>219</v>
      </c>
      <c r="G10" t="s">
        <v>231</v>
      </c>
      <c r="I10" t="s">
        <v>219</v>
      </c>
      <c r="J10" t="s">
        <v>248</v>
      </c>
      <c r="L10" t="s">
        <v>219</v>
      </c>
      <c r="M10" t="s">
        <v>119</v>
      </c>
      <c r="O10" t="s">
        <v>219</v>
      </c>
      <c r="P10" t="s">
        <v>103</v>
      </c>
      <c r="R10" t="s">
        <v>219</v>
      </c>
      <c r="S10" t="s">
        <v>120</v>
      </c>
    </row>
    <row r="11" spans="1:19" x14ac:dyDescent="0.45">
      <c r="B11" s="15"/>
      <c r="C11" s="15" t="s">
        <v>220</v>
      </c>
      <c r="D11" t="s">
        <v>221</v>
      </c>
      <c r="F11" t="s">
        <v>220</v>
      </c>
      <c r="G11" t="s">
        <v>244</v>
      </c>
      <c r="I11" t="s">
        <v>220</v>
      </c>
      <c r="J11" t="s">
        <v>255</v>
      </c>
      <c r="L11" t="s">
        <v>220</v>
      </c>
      <c r="M11" t="s">
        <v>269</v>
      </c>
      <c r="O11" t="s">
        <v>220</v>
      </c>
      <c r="P11" t="s">
        <v>273</v>
      </c>
      <c r="R11" t="s">
        <v>220</v>
      </c>
      <c r="S11" t="s">
        <v>292</v>
      </c>
    </row>
    <row r="12" spans="1:19" x14ac:dyDescent="0.45">
      <c r="B12" s="15"/>
      <c r="C12" s="15" t="s">
        <v>222</v>
      </c>
      <c r="D12" t="s">
        <v>223</v>
      </c>
      <c r="F12" t="s">
        <v>222</v>
      </c>
      <c r="G12" t="s">
        <v>245</v>
      </c>
      <c r="I12" t="s">
        <v>222</v>
      </c>
      <c r="J12" t="s">
        <v>256</v>
      </c>
      <c r="L12" t="s">
        <v>222</v>
      </c>
      <c r="M12" t="s">
        <v>270</v>
      </c>
      <c r="O12" t="s">
        <v>222</v>
      </c>
      <c r="P12" t="s">
        <v>273</v>
      </c>
      <c r="R12" t="s">
        <v>222</v>
      </c>
      <c r="S12" t="s">
        <v>293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8142-BF05-4B30-A1AD-95F7E99EA717}">
  <dimension ref="A9:AN35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1.7766273814540316E-2</v>
      </c>
      <c r="L11" t="s">
        <v>153</v>
      </c>
      <c r="N11" t="s">
        <v>193</v>
      </c>
      <c r="O11" t="s">
        <v>152</v>
      </c>
      <c r="P11">
        <v>0.32173035819343609</v>
      </c>
      <c r="Q11" t="s">
        <v>153</v>
      </c>
      <c r="S11" t="s">
        <v>208</v>
      </c>
      <c r="T11" t="s">
        <v>152</v>
      </c>
      <c r="U11">
        <v>0.24324327406401058</v>
      </c>
      <c r="V11" t="s">
        <v>153</v>
      </c>
      <c r="X11">
        <v>0.26301369863013696</v>
      </c>
      <c r="Y11">
        <v>0.14577928051115036</v>
      </c>
      <c r="Z11" t="s">
        <v>152</v>
      </c>
      <c r="AA11" t="s">
        <v>25</v>
      </c>
      <c r="AC11" t="s">
        <v>22</v>
      </c>
      <c r="AD11" t="s">
        <v>152</v>
      </c>
      <c r="AE11">
        <v>0.22001869397471852</v>
      </c>
      <c r="AG11" t="s">
        <v>96</v>
      </c>
      <c r="AH11" t="s">
        <v>152</v>
      </c>
      <c r="AI11">
        <v>0.34197021742274458</v>
      </c>
      <c r="AK11">
        <v>2020</v>
      </c>
      <c r="AL11" t="s">
        <v>141</v>
      </c>
      <c r="AM11">
        <v>0.17499999999999999</v>
      </c>
      <c r="AN11" t="s">
        <v>227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0.72882070008064548</v>
      </c>
      <c r="L12" t="s">
        <v>153</v>
      </c>
      <c r="N12" t="s">
        <v>193</v>
      </c>
      <c r="O12" t="s">
        <v>154</v>
      </c>
      <c r="P12">
        <v>0.18126384385315669</v>
      </c>
      <c r="Q12" t="s">
        <v>153</v>
      </c>
      <c r="S12" t="s">
        <v>208</v>
      </c>
      <c r="T12" t="s">
        <v>154</v>
      </c>
      <c r="U12">
        <v>0.30191719083635565</v>
      </c>
      <c r="V12" t="s">
        <v>153</v>
      </c>
      <c r="X12">
        <v>0.32876712328767121</v>
      </c>
      <c r="Y12">
        <v>0.46951047907913396</v>
      </c>
      <c r="Z12" t="s">
        <v>154</v>
      </c>
      <c r="AA12" t="s">
        <v>25</v>
      </c>
      <c r="AC12" t="s">
        <v>22</v>
      </c>
      <c r="AD12" t="s">
        <v>154</v>
      </c>
      <c r="AE12">
        <v>0.37837458538711366</v>
      </c>
      <c r="AG12" t="s">
        <v>96</v>
      </c>
      <c r="AH12" t="s">
        <v>154</v>
      </c>
      <c r="AI12">
        <v>0.24723085686483692</v>
      </c>
      <c r="AK12">
        <v>2020</v>
      </c>
      <c r="AL12" t="s">
        <v>145</v>
      </c>
      <c r="AM12">
        <v>0.10550000000000001</v>
      </c>
      <c r="AN12" t="s">
        <v>227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3.285663334039305E-2</v>
      </c>
      <c r="L13" t="s">
        <v>153</v>
      </c>
      <c r="N13" t="s">
        <v>193</v>
      </c>
      <c r="O13" t="s">
        <v>155</v>
      </c>
      <c r="P13">
        <v>0.21462029561114665</v>
      </c>
      <c r="Q13" t="s">
        <v>153</v>
      </c>
      <c r="S13" t="s">
        <v>208</v>
      </c>
      <c r="T13" t="s">
        <v>155</v>
      </c>
      <c r="U13">
        <v>0.19930716358801892</v>
      </c>
      <c r="V13" t="s">
        <v>153</v>
      </c>
      <c r="X13">
        <v>0.19726027397260273</v>
      </c>
      <c r="Y13">
        <v>0.17375133630012679</v>
      </c>
      <c r="Z13" t="s">
        <v>155</v>
      </c>
      <c r="AA13" t="s">
        <v>25</v>
      </c>
      <c r="AC13" t="s">
        <v>22</v>
      </c>
      <c r="AD13" t="s">
        <v>155</v>
      </c>
      <c r="AE13">
        <v>0.22577563302612194</v>
      </c>
      <c r="AG13" t="s">
        <v>96</v>
      </c>
      <c r="AH13" t="s">
        <v>155</v>
      </c>
      <c r="AI13">
        <v>0.28502098634377004</v>
      </c>
      <c r="AK13">
        <v>2020</v>
      </c>
      <c r="AL13" t="s">
        <v>147</v>
      </c>
      <c r="AM13">
        <v>0.12709999999999999</v>
      </c>
      <c r="AN13" t="s">
        <v>227</v>
      </c>
    </row>
    <row r="14" spans="1:40" x14ac:dyDescent="0.45">
      <c r="C14" t="s">
        <v>149</v>
      </c>
      <c r="I14" t="s">
        <v>151</v>
      </c>
      <c r="J14" t="s">
        <v>156</v>
      </c>
      <c r="K14">
        <v>3.2992930104965689E-3</v>
      </c>
      <c r="L14" t="s">
        <v>153</v>
      </c>
      <c r="N14" t="s">
        <v>193</v>
      </c>
      <c r="O14" t="s">
        <v>156</v>
      </c>
      <c r="P14">
        <v>4.2736692142764661E-2</v>
      </c>
      <c r="Q14" t="s">
        <v>153</v>
      </c>
      <c r="S14" t="s">
        <v>208</v>
      </c>
      <c r="T14" t="s">
        <v>156</v>
      </c>
      <c r="U14">
        <v>8.4670752548580072E-3</v>
      </c>
      <c r="V14" t="s">
        <v>153</v>
      </c>
      <c r="X14">
        <v>2.8310502283105023E-2</v>
      </c>
      <c r="Y14">
        <v>1.5691519777241876E-2</v>
      </c>
      <c r="Z14" t="s">
        <v>156</v>
      </c>
      <c r="AA14" t="s">
        <v>25</v>
      </c>
      <c r="AC14" t="s">
        <v>22</v>
      </c>
      <c r="AD14" t="s">
        <v>156</v>
      </c>
      <c r="AE14">
        <v>1.8802051824709773E-2</v>
      </c>
      <c r="AG14" t="s">
        <v>96</v>
      </c>
      <c r="AH14" t="s">
        <v>156</v>
      </c>
      <c r="AI14">
        <v>0.17050955247742139</v>
      </c>
      <c r="AK14">
        <v>2020</v>
      </c>
      <c r="AL14" t="s">
        <v>149</v>
      </c>
      <c r="AM14">
        <v>0.1426</v>
      </c>
      <c r="AN14" t="s">
        <v>227</v>
      </c>
    </row>
    <row r="15" spans="1:40" x14ac:dyDescent="0.45">
      <c r="I15" t="s">
        <v>151</v>
      </c>
      <c r="J15" t="s">
        <v>157</v>
      </c>
      <c r="K15">
        <v>8.1561696017939694E-2</v>
      </c>
      <c r="L15" t="s">
        <v>153</v>
      </c>
      <c r="N15" t="s">
        <v>193</v>
      </c>
      <c r="O15" t="s">
        <v>157</v>
      </c>
      <c r="P15">
        <v>3.2910840588897171E-2</v>
      </c>
      <c r="Q15" t="s">
        <v>153</v>
      </c>
      <c r="S15" t="s">
        <v>208</v>
      </c>
      <c r="T15" t="s">
        <v>157</v>
      </c>
      <c r="U15">
        <v>1.5566398597533929E-2</v>
      </c>
      <c r="V15" t="s">
        <v>153</v>
      </c>
      <c r="X15">
        <v>3.5388127853881277E-2</v>
      </c>
      <c r="Y15">
        <v>5.0537586289767886E-2</v>
      </c>
      <c r="Z15" t="s">
        <v>157</v>
      </c>
      <c r="AA15" t="s">
        <v>25</v>
      </c>
      <c r="AC15" t="s">
        <v>22</v>
      </c>
      <c r="AD15" t="s">
        <v>157</v>
      </c>
      <c r="AE15">
        <v>3.433699380087931E-2</v>
      </c>
      <c r="AG15" t="s">
        <v>96</v>
      </c>
      <c r="AH15" t="s">
        <v>157</v>
      </c>
      <c r="AI15">
        <v>0.10683203273159503</v>
      </c>
      <c r="AK15">
        <v>2021</v>
      </c>
      <c r="AL15" t="s">
        <v>141</v>
      </c>
      <c r="AM15">
        <v>0.17168</v>
      </c>
      <c r="AN15" t="s">
        <v>227</v>
      </c>
    </row>
    <row r="16" spans="1:40" x14ac:dyDescent="0.45">
      <c r="I16" t="s">
        <v>151</v>
      </c>
      <c r="J16" t="s">
        <v>158</v>
      </c>
      <c r="K16">
        <v>1.0295687450101957E-3</v>
      </c>
      <c r="L16" t="s">
        <v>153</v>
      </c>
      <c r="N16" t="s">
        <v>193</v>
      </c>
      <c r="O16" t="s">
        <v>158</v>
      </c>
      <c r="P16">
        <v>2.775663172948515E-2</v>
      </c>
      <c r="Q16" t="s">
        <v>153</v>
      </c>
      <c r="S16" t="s">
        <v>208</v>
      </c>
      <c r="T16" t="s">
        <v>158</v>
      </c>
      <c r="U16">
        <v>7.0629795624297595E-3</v>
      </c>
      <c r="V16" t="s">
        <v>153</v>
      </c>
      <c r="X16">
        <v>2.1232876712328767E-2</v>
      </c>
      <c r="Y16">
        <v>1.8702400782305319E-2</v>
      </c>
      <c r="Z16" t="s">
        <v>158</v>
      </c>
      <c r="AA16" t="s">
        <v>25</v>
      </c>
      <c r="AC16" t="s">
        <v>22</v>
      </c>
      <c r="AD16" t="s">
        <v>158</v>
      </c>
      <c r="AE16">
        <v>2.118430603296715E-2</v>
      </c>
      <c r="AG16" t="s">
        <v>96</v>
      </c>
      <c r="AH16" t="s">
        <v>158</v>
      </c>
      <c r="AI16">
        <v>0.14873446907409837</v>
      </c>
      <c r="AK16">
        <v>2021</v>
      </c>
      <c r="AL16" t="s">
        <v>145</v>
      </c>
      <c r="AM16">
        <v>0.1273</v>
      </c>
      <c r="AN16" t="s">
        <v>227</v>
      </c>
    </row>
    <row r="17" spans="9:40" x14ac:dyDescent="0.45">
      <c r="I17" t="s">
        <v>151</v>
      </c>
      <c r="J17" t="s">
        <v>159</v>
      </c>
      <c r="K17">
        <v>1.5544184053204937E-3</v>
      </c>
      <c r="L17" t="s">
        <v>153</v>
      </c>
      <c r="N17" t="s">
        <v>193</v>
      </c>
      <c r="O17" t="s">
        <v>159</v>
      </c>
      <c r="P17">
        <v>4.6036701520966096E-2</v>
      </c>
      <c r="Q17" t="s">
        <v>153</v>
      </c>
      <c r="S17" t="s">
        <v>208</v>
      </c>
      <c r="T17" t="s">
        <v>159</v>
      </c>
      <c r="U17">
        <v>4.091190611621217E-2</v>
      </c>
      <c r="V17" t="s">
        <v>153</v>
      </c>
      <c r="X17">
        <v>2.8310502283105023E-2</v>
      </c>
      <c r="Y17">
        <v>1.5691519777241876E-2</v>
      </c>
      <c r="Z17" t="s">
        <v>159</v>
      </c>
      <c r="AA17" t="s">
        <v>25</v>
      </c>
      <c r="AC17" t="s">
        <v>22</v>
      </c>
      <c r="AD17" t="s">
        <v>159</v>
      </c>
      <c r="AE17">
        <v>1.7477334209889516E-2</v>
      </c>
      <c r="AG17" t="s">
        <v>96</v>
      </c>
      <c r="AH17" t="s">
        <v>159</v>
      </c>
      <c r="AI17">
        <v>0.22110877508371929</v>
      </c>
      <c r="AK17">
        <v>2021</v>
      </c>
      <c r="AL17" t="s">
        <v>147</v>
      </c>
      <c r="AM17">
        <v>0.14460000000000001</v>
      </c>
      <c r="AN17" t="s">
        <v>227</v>
      </c>
    </row>
    <row r="18" spans="9:40" x14ac:dyDescent="0.45">
      <c r="I18" t="s">
        <v>151</v>
      </c>
      <c r="J18" t="s">
        <v>160</v>
      </c>
      <c r="K18">
        <v>8.0862762843659688E-2</v>
      </c>
      <c r="L18" t="s">
        <v>153</v>
      </c>
      <c r="N18" t="s">
        <v>193</v>
      </c>
      <c r="O18" t="s">
        <v>160</v>
      </c>
      <c r="P18">
        <v>3.4807250782139934E-2</v>
      </c>
      <c r="Q18" t="s">
        <v>153</v>
      </c>
      <c r="S18" t="s">
        <v>208</v>
      </c>
      <c r="T18" t="s">
        <v>160</v>
      </c>
      <c r="U18">
        <v>5.5450653573112095E-2</v>
      </c>
      <c r="V18" t="s">
        <v>153</v>
      </c>
      <c r="X18">
        <v>3.5388127853881277E-2</v>
      </c>
      <c r="Y18">
        <v>5.0537586289767886E-2</v>
      </c>
      <c r="Z18" t="s">
        <v>160</v>
      </c>
      <c r="AA18" t="s">
        <v>25</v>
      </c>
      <c r="AC18" t="s">
        <v>22</v>
      </c>
      <c r="AD18" t="s">
        <v>160</v>
      </c>
      <c r="AE18">
        <v>3.2338057689909702E-2</v>
      </c>
      <c r="AG18" t="s">
        <v>96</v>
      </c>
      <c r="AH18" t="s">
        <v>160</v>
      </c>
      <c r="AI18">
        <v>9.4067517044204907E-2</v>
      </c>
      <c r="AK18">
        <v>2021</v>
      </c>
      <c r="AL18" t="s">
        <v>149</v>
      </c>
      <c r="AM18">
        <v>0.1686</v>
      </c>
      <c r="AN18" t="s">
        <v>227</v>
      </c>
    </row>
    <row r="19" spans="9:40" x14ac:dyDescent="0.45">
      <c r="I19" t="s">
        <v>151</v>
      </c>
      <c r="J19" t="s">
        <v>161</v>
      </c>
      <c r="K19">
        <v>0</v>
      </c>
      <c r="L19" t="s">
        <v>153</v>
      </c>
      <c r="N19" t="s">
        <v>193</v>
      </c>
      <c r="O19" t="s">
        <v>161</v>
      </c>
      <c r="P19">
        <v>3.7332054353567137E-2</v>
      </c>
      <c r="Q19" t="s">
        <v>153</v>
      </c>
      <c r="S19" t="s">
        <v>208</v>
      </c>
      <c r="T19" t="s">
        <v>161</v>
      </c>
      <c r="U19">
        <v>2.4044014817089378E-2</v>
      </c>
      <c r="V19" t="s">
        <v>153</v>
      </c>
      <c r="X19">
        <v>2.1232876712328767E-2</v>
      </c>
      <c r="Y19">
        <v>1.8702400782305319E-2</v>
      </c>
      <c r="Z19" t="s">
        <v>161</v>
      </c>
      <c r="AA19" t="s">
        <v>25</v>
      </c>
      <c r="AC19" t="s">
        <v>22</v>
      </c>
      <c r="AD19" t="s">
        <v>161</v>
      </c>
      <c r="AE19">
        <v>2.0008083614787366E-2</v>
      </c>
      <c r="AG19" t="s">
        <v>96</v>
      </c>
      <c r="AH19" t="s">
        <v>161</v>
      </c>
      <c r="AI19">
        <v>0.19440309594667116</v>
      </c>
      <c r="AK19">
        <v>2022</v>
      </c>
      <c r="AL19" t="s">
        <v>141</v>
      </c>
      <c r="AM19">
        <v>0.24783999999999998</v>
      </c>
      <c r="AN19" t="s">
        <v>227</v>
      </c>
    </row>
    <row r="20" spans="9:40" x14ac:dyDescent="0.45">
      <c r="I20" t="s">
        <v>151</v>
      </c>
      <c r="J20" t="s">
        <v>162</v>
      </c>
      <c r="K20">
        <v>0</v>
      </c>
      <c r="L20" t="s">
        <v>153</v>
      </c>
      <c r="N20" t="s">
        <v>193</v>
      </c>
      <c r="O20" t="s">
        <v>162</v>
      </c>
      <c r="P20">
        <v>2.6186914482382969E-2</v>
      </c>
      <c r="Q20" t="s">
        <v>153</v>
      </c>
      <c r="S20" t="s">
        <v>208</v>
      </c>
      <c r="T20" t="s">
        <v>162</v>
      </c>
      <c r="U20">
        <v>3.0031863075969681E-2</v>
      </c>
      <c r="V20" t="s">
        <v>153</v>
      </c>
      <c r="X20">
        <v>1.3698630136986301E-2</v>
      </c>
      <c r="Y20">
        <v>7.5926708599557465E-3</v>
      </c>
      <c r="Z20" t="s">
        <v>162</v>
      </c>
      <c r="AA20" t="s">
        <v>25</v>
      </c>
      <c r="AC20" t="s">
        <v>22</v>
      </c>
      <c r="AD20" t="s">
        <v>162</v>
      </c>
      <c r="AE20">
        <v>7.5776436399306148E-3</v>
      </c>
      <c r="AG20" t="s">
        <v>96</v>
      </c>
      <c r="AH20" t="s">
        <v>162</v>
      </c>
      <c r="AI20">
        <v>0.18510632546592132</v>
      </c>
      <c r="AK20">
        <v>2022</v>
      </c>
      <c r="AL20" t="s">
        <v>145</v>
      </c>
      <c r="AM20">
        <v>0.16070000000000001</v>
      </c>
      <c r="AN20" t="s">
        <v>227</v>
      </c>
    </row>
    <row r="21" spans="9:40" x14ac:dyDescent="0.45">
      <c r="I21" t="s">
        <v>151</v>
      </c>
      <c r="J21" t="s">
        <v>163</v>
      </c>
      <c r="K21">
        <v>5.1210279498103486E-2</v>
      </c>
      <c r="L21" t="s">
        <v>153</v>
      </c>
      <c r="N21" t="s">
        <v>193</v>
      </c>
      <c r="O21" t="s">
        <v>163</v>
      </c>
      <c r="P21">
        <v>1.5158339597943087E-2</v>
      </c>
      <c r="Q21" t="s">
        <v>153</v>
      </c>
      <c r="S21" t="s">
        <v>208</v>
      </c>
      <c r="T21" t="s">
        <v>163</v>
      </c>
      <c r="U21">
        <v>5.2843380581953862E-2</v>
      </c>
      <c r="V21" t="s">
        <v>153</v>
      </c>
      <c r="X21">
        <v>1.7123287671232876E-2</v>
      </c>
      <c r="Y21">
        <v>2.4453670785371553E-2</v>
      </c>
      <c r="Z21" t="s">
        <v>163</v>
      </c>
      <c r="AA21" t="s">
        <v>25</v>
      </c>
      <c r="AC21" t="s">
        <v>22</v>
      </c>
      <c r="AD21" t="s">
        <v>163</v>
      </c>
      <c r="AE21">
        <v>1.5029644206429089E-2</v>
      </c>
      <c r="AG21" t="s">
        <v>96</v>
      </c>
      <c r="AH21" t="s">
        <v>163</v>
      </c>
      <c r="AI21">
        <v>8.3631087662908721E-2</v>
      </c>
      <c r="AK21">
        <v>2022</v>
      </c>
      <c r="AL21" t="s">
        <v>147</v>
      </c>
      <c r="AM21">
        <v>0.2147</v>
      </c>
      <c r="AN21" t="s">
        <v>227</v>
      </c>
    </row>
    <row r="22" spans="9:40" x14ac:dyDescent="0.45">
      <c r="I22" t="s">
        <v>151</v>
      </c>
      <c r="J22" t="s">
        <v>164</v>
      </c>
      <c r="K22">
        <v>1.0383742438879117E-3</v>
      </c>
      <c r="L22" t="s">
        <v>153</v>
      </c>
      <c r="N22" t="s">
        <v>193</v>
      </c>
      <c r="O22" t="s">
        <v>164</v>
      </c>
      <c r="P22">
        <v>1.9460077144113609E-2</v>
      </c>
      <c r="Q22" t="s">
        <v>153</v>
      </c>
      <c r="S22" t="s">
        <v>208</v>
      </c>
      <c r="T22" t="s">
        <v>164</v>
      </c>
      <c r="U22">
        <v>2.1154099932459872E-2</v>
      </c>
      <c r="V22" t="s">
        <v>153</v>
      </c>
      <c r="X22">
        <v>1.0273972602739725E-2</v>
      </c>
      <c r="Y22">
        <v>9.0495487656316043E-3</v>
      </c>
      <c r="Z22" t="s">
        <v>164</v>
      </c>
      <c r="AA22" t="s">
        <v>25</v>
      </c>
      <c r="AC22" t="s">
        <v>22</v>
      </c>
      <c r="AD22" t="s">
        <v>164</v>
      </c>
      <c r="AE22">
        <v>9.0769725925434631E-3</v>
      </c>
      <c r="AG22" t="s">
        <v>96</v>
      </c>
      <c r="AH22" t="s">
        <v>164</v>
      </c>
      <c r="AI22">
        <v>0.12887432608580673</v>
      </c>
      <c r="AK22">
        <v>2022</v>
      </c>
      <c r="AL22" t="s">
        <v>149</v>
      </c>
      <c r="AM22">
        <v>0.24629999999999999</v>
      </c>
      <c r="AN22" t="s">
        <v>227</v>
      </c>
    </row>
    <row r="23" spans="9:40" x14ac:dyDescent="0.45">
      <c r="I23" t="s">
        <v>165</v>
      </c>
      <c r="J23" t="s">
        <v>152</v>
      </c>
      <c r="K23">
        <v>2.0286867755578072E-2</v>
      </c>
      <c r="L23" t="s">
        <v>153</v>
      </c>
      <c r="N23" t="s">
        <v>194</v>
      </c>
      <c r="O23" t="s">
        <v>152</v>
      </c>
      <c r="P23">
        <v>0.24601809066459007</v>
      </c>
      <c r="Q23" t="s">
        <v>153</v>
      </c>
      <c r="S23" t="s">
        <v>209</v>
      </c>
      <c r="T23" t="s">
        <v>152</v>
      </c>
      <c r="U23">
        <v>0.28425164135501607</v>
      </c>
      <c r="V23" t="s">
        <v>153</v>
      </c>
      <c r="AC23" t="s">
        <v>19</v>
      </c>
      <c r="AD23" t="s">
        <v>152</v>
      </c>
      <c r="AE23">
        <v>0.2586226339161522</v>
      </c>
      <c r="AK23">
        <v>2025</v>
      </c>
      <c r="AL23" t="s">
        <v>141</v>
      </c>
      <c r="AM23">
        <v>0.255</v>
      </c>
      <c r="AN23" t="s">
        <v>227</v>
      </c>
    </row>
    <row r="24" spans="9:40" x14ac:dyDescent="0.45">
      <c r="I24" t="s">
        <v>165</v>
      </c>
      <c r="J24" t="s">
        <v>154</v>
      </c>
      <c r="K24">
        <v>0.72945364975659188</v>
      </c>
      <c r="L24" t="s">
        <v>153</v>
      </c>
      <c r="N24" t="s">
        <v>194</v>
      </c>
      <c r="O24" t="s">
        <v>154</v>
      </c>
      <c r="P24">
        <v>0.20120823420681183</v>
      </c>
      <c r="Q24" t="s">
        <v>153</v>
      </c>
      <c r="S24" t="s">
        <v>209</v>
      </c>
      <c r="T24" t="s">
        <v>154</v>
      </c>
      <c r="U24">
        <v>0.3177888077335782</v>
      </c>
      <c r="V24" t="s">
        <v>153</v>
      </c>
      <c r="AC24" t="s">
        <v>19</v>
      </c>
      <c r="AD24" t="s">
        <v>154</v>
      </c>
      <c r="AE24">
        <v>0.33175991921593756</v>
      </c>
      <c r="AK24">
        <v>2025</v>
      </c>
      <c r="AL24" t="s">
        <v>145</v>
      </c>
      <c r="AM24">
        <v>0.21860000000000002</v>
      </c>
      <c r="AN24" t="s">
        <v>227</v>
      </c>
    </row>
    <row r="25" spans="9:40" x14ac:dyDescent="0.45">
      <c r="I25" t="s">
        <v>165</v>
      </c>
      <c r="J25" t="s">
        <v>155</v>
      </c>
      <c r="K25">
        <v>3.1786879812863177E-2</v>
      </c>
      <c r="L25" t="s">
        <v>153</v>
      </c>
      <c r="N25" t="s">
        <v>194</v>
      </c>
      <c r="O25" t="s">
        <v>155</v>
      </c>
      <c r="P25">
        <v>0.20329814692992537</v>
      </c>
      <c r="Q25" t="s">
        <v>153</v>
      </c>
      <c r="S25" t="s">
        <v>209</v>
      </c>
      <c r="T25" t="s">
        <v>155</v>
      </c>
      <c r="U25">
        <v>0.2079298427267767</v>
      </c>
      <c r="V25" t="s">
        <v>153</v>
      </c>
      <c r="AC25" t="s">
        <v>19</v>
      </c>
      <c r="AD25" t="s">
        <v>155</v>
      </c>
      <c r="AE25">
        <v>0.19895344132510742</v>
      </c>
      <c r="AK25">
        <v>2025</v>
      </c>
      <c r="AL25" t="s">
        <v>147</v>
      </c>
      <c r="AM25">
        <v>0.30610000000000004</v>
      </c>
      <c r="AN25" t="s">
        <v>227</v>
      </c>
    </row>
    <row r="26" spans="9:40" x14ac:dyDescent="0.45">
      <c r="I26" t="s">
        <v>165</v>
      </c>
      <c r="J26" t="s">
        <v>156</v>
      </c>
      <c r="K26">
        <v>3.5621431940033805E-3</v>
      </c>
      <c r="L26" t="s">
        <v>153</v>
      </c>
      <c r="N26" t="s">
        <v>194</v>
      </c>
      <c r="O26" t="s">
        <v>156</v>
      </c>
      <c r="P26">
        <v>3.7353742114905643E-2</v>
      </c>
      <c r="Q26" t="s">
        <v>153</v>
      </c>
      <c r="S26" t="s">
        <v>209</v>
      </c>
      <c r="T26" t="s">
        <v>156</v>
      </c>
      <c r="U26">
        <v>7.6195770904179515E-3</v>
      </c>
      <c r="V26" t="s">
        <v>153</v>
      </c>
      <c r="AC26" t="s">
        <v>19</v>
      </c>
      <c r="AD26" t="s">
        <v>156</v>
      </c>
      <c r="AE26">
        <v>2.7792768526490718E-2</v>
      </c>
      <c r="AK26">
        <v>2025</v>
      </c>
      <c r="AL26" t="s">
        <v>149</v>
      </c>
      <c r="AM26">
        <v>0.33150000000000002</v>
      </c>
      <c r="AN26" t="s">
        <v>227</v>
      </c>
    </row>
    <row r="27" spans="9:40" x14ac:dyDescent="0.45">
      <c r="I27" t="s">
        <v>165</v>
      </c>
      <c r="J27" t="s">
        <v>157</v>
      </c>
      <c r="K27">
        <v>7.8745970227407688E-2</v>
      </c>
      <c r="L27" t="s">
        <v>153</v>
      </c>
      <c r="N27" t="s">
        <v>194</v>
      </c>
      <c r="O27" t="s">
        <v>157</v>
      </c>
      <c r="P27">
        <v>4.1589044630024427E-2</v>
      </c>
      <c r="Q27" t="s">
        <v>153</v>
      </c>
      <c r="S27" t="s">
        <v>209</v>
      </c>
      <c r="T27" t="s">
        <v>157</v>
      </c>
      <c r="U27">
        <v>1.1371641452910145E-2</v>
      </c>
      <c r="V27" t="s">
        <v>153</v>
      </c>
      <c r="AC27" t="s">
        <v>19</v>
      </c>
      <c r="AD27" t="s">
        <v>157</v>
      </c>
      <c r="AE27">
        <v>3.5630099515051895E-2</v>
      </c>
      <c r="AK27">
        <v>2026</v>
      </c>
      <c r="AL27" t="s">
        <v>141</v>
      </c>
      <c r="AM27">
        <v>0.24848999999999996</v>
      </c>
      <c r="AN27" t="s">
        <v>227</v>
      </c>
    </row>
    <row r="28" spans="9:40" x14ac:dyDescent="0.45">
      <c r="I28" t="s">
        <v>165</v>
      </c>
      <c r="J28" t="s">
        <v>158</v>
      </c>
      <c r="K28">
        <v>8.4749861038636994E-4</v>
      </c>
      <c r="L28" t="s">
        <v>153</v>
      </c>
      <c r="N28" t="s">
        <v>194</v>
      </c>
      <c r="O28" t="s">
        <v>158</v>
      </c>
      <c r="P28">
        <v>3.7077921925982006E-2</v>
      </c>
      <c r="Q28" t="s">
        <v>153</v>
      </c>
      <c r="S28" t="s">
        <v>209</v>
      </c>
      <c r="T28" t="s">
        <v>158</v>
      </c>
      <c r="U28">
        <v>4.9589551666384558E-3</v>
      </c>
      <c r="V28" t="s">
        <v>153</v>
      </c>
      <c r="AC28" t="s">
        <v>19</v>
      </c>
      <c r="AD28" t="s">
        <v>158</v>
      </c>
      <c r="AE28">
        <v>2.1425831160479279E-2</v>
      </c>
      <c r="AK28">
        <v>2026</v>
      </c>
      <c r="AL28" t="s">
        <v>145</v>
      </c>
      <c r="AM28">
        <v>0.13059999999999999</v>
      </c>
      <c r="AN28" t="s">
        <v>227</v>
      </c>
    </row>
    <row r="29" spans="9:40" x14ac:dyDescent="0.45">
      <c r="I29" t="s">
        <v>165</v>
      </c>
      <c r="J29" t="s">
        <v>159</v>
      </c>
      <c r="K29">
        <v>2.5171408136069919E-3</v>
      </c>
      <c r="L29" t="s">
        <v>153</v>
      </c>
      <c r="N29" t="s">
        <v>194</v>
      </c>
      <c r="O29" t="s">
        <v>159</v>
      </c>
      <c r="P29">
        <v>4.6596640043878014E-2</v>
      </c>
      <c r="Q29" t="s">
        <v>153</v>
      </c>
      <c r="S29" t="s">
        <v>209</v>
      </c>
      <c r="T29" t="s">
        <v>159</v>
      </c>
      <c r="U29">
        <v>3.3541177528975064E-2</v>
      </c>
      <c r="V29" t="s">
        <v>153</v>
      </c>
      <c r="AC29" t="s">
        <v>19</v>
      </c>
      <c r="AD29" t="s">
        <v>159</v>
      </c>
      <c r="AE29">
        <v>2.7795040668250184E-2</v>
      </c>
      <c r="AK29">
        <v>2026</v>
      </c>
      <c r="AL29" t="s">
        <v>147</v>
      </c>
      <c r="AM29">
        <v>0.20895</v>
      </c>
      <c r="AN29" t="s">
        <v>227</v>
      </c>
    </row>
    <row r="30" spans="9:40" x14ac:dyDescent="0.45">
      <c r="I30" t="s">
        <v>165</v>
      </c>
      <c r="J30" t="s">
        <v>160</v>
      </c>
      <c r="K30">
        <v>8.181545140563859E-2</v>
      </c>
      <c r="L30" t="s">
        <v>153</v>
      </c>
      <c r="N30" t="s">
        <v>194</v>
      </c>
      <c r="O30" t="s">
        <v>160</v>
      </c>
      <c r="P30">
        <v>5.5658031467320825E-2</v>
      </c>
      <c r="Q30" t="s">
        <v>153</v>
      </c>
      <c r="S30" t="s">
        <v>209</v>
      </c>
      <c r="T30" t="s">
        <v>160</v>
      </c>
      <c r="U30">
        <v>3.9146357491331746E-2</v>
      </c>
      <c r="V30" t="s">
        <v>153</v>
      </c>
      <c r="AC30" t="s">
        <v>19</v>
      </c>
      <c r="AD30" t="s">
        <v>160</v>
      </c>
      <c r="AE30">
        <v>3.5604787826935734E-2</v>
      </c>
      <c r="AK30">
        <v>2026</v>
      </c>
      <c r="AL30" t="s">
        <v>149</v>
      </c>
      <c r="AM30">
        <v>0.24879999999999999</v>
      </c>
      <c r="AN30" t="s">
        <v>227</v>
      </c>
    </row>
    <row r="31" spans="9:40" x14ac:dyDescent="0.45">
      <c r="I31" t="s">
        <v>165</v>
      </c>
      <c r="J31" t="s">
        <v>161</v>
      </c>
      <c r="K31">
        <v>0</v>
      </c>
      <c r="L31" t="s">
        <v>153</v>
      </c>
      <c r="N31" t="s">
        <v>194</v>
      </c>
      <c r="O31" t="s">
        <v>161</v>
      </c>
      <c r="P31">
        <v>4.5485883175506447E-2</v>
      </c>
      <c r="Q31" t="s">
        <v>153</v>
      </c>
      <c r="S31" t="s">
        <v>209</v>
      </c>
      <c r="T31" t="s">
        <v>161</v>
      </c>
      <c r="U31">
        <v>1.6819459146740691E-2</v>
      </c>
      <c r="V31" t="s">
        <v>153</v>
      </c>
      <c r="AC31" t="s">
        <v>19</v>
      </c>
      <c r="AD31" t="s">
        <v>161</v>
      </c>
      <c r="AE31">
        <v>2.1412543094461011E-2</v>
      </c>
      <c r="AK31">
        <v>2027</v>
      </c>
      <c r="AL31" t="s">
        <v>141</v>
      </c>
      <c r="AM31">
        <v>0.27229000000000003</v>
      </c>
      <c r="AN31" t="s">
        <v>227</v>
      </c>
    </row>
    <row r="32" spans="9:40" x14ac:dyDescent="0.45">
      <c r="I32" t="s">
        <v>165</v>
      </c>
      <c r="J32" t="s">
        <v>162</v>
      </c>
      <c r="K32">
        <v>0</v>
      </c>
      <c r="L32" t="s">
        <v>153</v>
      </c>
      <c r="N32" t="s">
        <v>194</v>
      </c>
      <c r="O32" t="s">
        <v>162</v>
      </c>
      <c r="P32">
        <v>2.9783685043015869E-2</v>
      </c>
      <c r="Q32" t="s">
        <v>153</v>
      </c>
      <c r="S32" t="s">
        <v>209</v>
      </c>
      <c r="T32" t="s">
        <v>162</v>
      </c>
      <c r="U32">
        <v>2.3808523454732274E-2</v>
      </c>
      <c r="V32" t="s">
        <v>153</v>
      </c>
      <c r="AC32" t="s">
        <v>19</v>
      </c>
      <c r="AD32" t="s">
        <v>162</v>
      </c>
      <c r="AE32">
        <v>1.3422778147661759E-2</v>
      </c>
      <c r="AK32">
        <v>2027</v>
      </c>
      <c r="AL32" t="s">
        <v>145</v>
      </c>
      <c r="AM32">
        <v>0.19505</v>
      </c>
      <c r="AN32" t="s">
        <v>227</v>
      </c>
    </row>
    <row r="33" spans="9:40" x14ac:dyDescent="0.45">
      <c r="I33" t="s">
        <v>165</v>
      </c>
      <c r="J33" t="s">
        <v>163</v>
      </c>
      <c r="K33">
        <v>4.981221606491909E-2</v>
      </c>
      <c r="L33" t="s">
        <v>153</v>
      </c>
      <c r="N33" t="s">
        <v>194</v>
      </c>
      <c r="O33" t="s">
        <v>163</v>
      </c>
      <c r="P33">
        <v>2.9076210348564974E-2</v>
      </c>
      <c r="Q33" t="s">
        <v>153</v>
      </c>
      <c r="S33" t="s">
        <v>209</v>
      </c>
      <c r="T33" t="s">
        <v>163</v>
      </c>
      <c r="U33">
        <v>3.7540870831777436E-2</v>
      </c>
      <c r="V33" t="s">
        <v>153</v>
      </c>
      <c r="AC33" t="s">
        <v>19</v>
      </c>
      <c r="AD33" t="s">
        <v>163</v>
      </c>
      <c r="AE33">
        <v>1.7234562147659151E-2</v>
      </c>
      <c r="AK33">
        <v>2027</v>
      </c>
      <c r="AL33" t="s">
        <v>147</v>
      </c>
      <c r="AM33">
        <v>0.21005000000000001</v>
      </c>
      <c r="AN33" t="s">
        <v>227</v>
      </c>
    </row>
    <row r="34" spans="9:40" x14ac:dyDescent="0.45">
      <c r="I34" t="s">
        <v>165</v>
      </c>
      <c r="J34" t="s">
        <v>164</v>
      </c>
      <c r="K34">
        <v>1.1721823590010677E-3</v>
      </c>
      <c r="L34" t="s">
        <v>153</v>
      </c>
      <c r="N34" t="s">
        <v>194</v>
      </c>
      <c r="O34" t="s">
        <v>164</v>
      </c>
      <c r="P34">
        <v>2.6854369449471626E-2</v>
      </c>
      <c r="Q34" t="s">
        <v>153</v>
      </c>
      <c r="S34" t="s">
        <v>209</v>
      </c>
      <c r="T34" t="s">
        <v>164</v>
      </c>
      <c r="U34">
        <v>1.5223146021102614E-2</v>
      </c>
      <c r="V34" t="s">
        <v>153</v>
      </c>
      <c r="AC34" t="s">
        <v>19</v>
      </c>
      <c r="AD34" t="s">
        <v>164</v>
      </c>
      <c r="AE34">
        <v>1.0345594455813168E-2</v>
      </c>
      <c r="AK34">
        <v>2027</v>
      </c>
      <c r="AL34" t="s">
        <v>149</v>
      </c>
      <c r="AM34">
        <v>0.22359999999999999</v>
      </c>
      <c r="AN34" t="s">
        <v>227</v>
      </c>
    </row>
    <row r="35" spans="9:40" x14ac:dyDescent="0.45">
      <c r="I35" t="s">
        <v>166</v>
      </c>
      <c r="J35" t="s">
        <v>152</v>
      </c>
      <c r="K35">
        <v>1.6268737638094E-2</v>
      </c>
      <c r="L35" t="s">
        <v>153</v>
      </c>
      <c r="N35" t="s">
        <v>195</v>
      </c>
      <c r="O35" t="s">
        <v>152</v>
      </c>
      <c r="P35">
        <v>0.25569005622037316</v>
      </c>
      <c r="Q35" t="s">
        <v>153</v>
      </c>
      <c r="S35" t="s">
        <v>210</v>
      </c>
      <c r="T35" t="s">
        <v>152</v>
      </c>
      <c r="U35">
        <v>0.27948920881717509</v>
      </c>
      <c r="V35" t="s">
        <v>153</v>
      </c>
      <c r="AK35">
        <v>2028</v>
      </c>
      <c r="AL35" t="s">
        <v>141</v>
      </c>
      <c r="AM35">
        <v>0.27420999999999995</v>
      </c>
      <c r="AN35" t="s">
        <v>227</v>
      </c>
    </row>
    <row r="36" spans="9:40" x14ac:dyDescent="0.45">
      <c r="I36" t="s">
        <v>166</v>
      </c>
      <c r="J36" t="s">
        <v>154</v>
      </c>
      <c r="K36">
        <v>0.74516993527039144</v>
      </c>
      <c r="L36" t="s">
        <v>153</v>
      </c>
      <c r="N36" t="s">
        <v>195</v>
      </c>
      <c r="O36" t="s">
        <v>154</v>
      </c>
      <c r="P36">
        <v>0.17045953462127272</v>
      </c>
      <c r="Q36" t="s">
        <v>153</v>
      </c>
      <c r="S36" t="s">
        <v>210</v>
      </c>
      <c r="T36" t="s">
        <v>154</v>
      </c>
      <c r="U36">
        <v>0.29966469030713833</v>
      </c>
      <c r="V36" t="s">
        <v>153</v>
      </c>
      <c r="AK36">
        <v>2028</v>
      </c>
      <c r="AL36" t="s">
        <v>145</v>
      </c>
      <c r="AM36">
        <v>0.11255</v>
      </c>
      <c r="AN36" t="s">
        <v>227</v>
      </c>
    </row>
    <row r="37" spans="9:40" x14ac:dyDescent="0.45">
      <c r="I37" t="s">
        <v>166</v>
      </c>
      <c r="J37" t="s">
        <v>155</v>
      </c>
      <c r="K37">
        <v>3.8134011504801453E-2</v>
      </c>
      <c r="L37" t="s">
        <v>153</v>
      </c>
      <c r="N37" t="s">
        <v>195</v>
      </c>
      <c r="O37" t="s">
        <v>155</v>
      </c>
      <c r="P37">
        <v>0.18369537430389868</v>
      </c>
      <c r="Q37" t="s">
        <v>153</v>
      </c>
      <c r="S37" t="s">
        <v>210</v>
      </c>
      <c r="T37" t="s">
        <v>155</v>
      </c>
      <c r="U37">
        <v>0.20110036105901871</v>
      </c>
      <c r="V37" t="s">
        <v>153</v>
      </c>
      <c r="AK37">
        <v>2028</v>
      </c>
      <c r="AL37" t="s">
        <v>147</v>
      </c>
      <c r="AM37">
        <v>0.21955</v>
      </c>
      <c r="AN37" t="s">
        <v>227</v>
      </c>
    </row>
    <row r="38" spans="9:40" x14ac:dyDescent="0.45">
      <c r="I38" t="s">
        <v>166</v>
      </c>
      <c r="J38" t="s">
        <v>156</v>
      </c>
      <c r="K38">
        <v>2.2831542514133189E-3</v>
      </c>
      <c r="L38" t="s">
        <v>153</v>
      </c>
      <c r="N38" t="s">
        <v>195</v>
      </c>
      <c r="O38" t="s">
        <v>156</v>
      </c>
      <c r="P38">
        <v>4.609735680927203E-2</v>
      </c>
      <c r="Q38" t="s">
        <v>153</v>
      </c>
      <c r="S38" t="s">
        <v>210</v>
      </c>
      <c r="T38" t="s">
        <v>156</v>
      </c>
      <c r="U38">
        <v>1.0985630769928026E-2</v>
      </c>
      <c r="V38" t="s">
        <v>153</v>
      </c>
      <c r="AK38">
        <v>2028</v>
      </c>
      <c r="AL38" t="s">
        <v>149</v>
      </c>
      <c r="AM38">
        <v>0.2873</v>
      </c>
      <c r="AN38" t="s">
        <v>227</v>
      </c>
    </row>
    <row r="39" spans="9:40" x14ac:dyDescent="0.45">
      <c r="I39" t="s">
        <v>166</v>
      </c>
      <c r="J39" t="s">
        <v>157</v>
      </c>
      <c r="K39">
        <v>7.371739397831642E-2</v>
      </c>
      <c r="L39" t="s">
        <v>153</v>
      </c>
      <c r="N39" t="s">
        <v>195</v>
      </c>
      <c r="O39" t="s">
        <v>157</v>
      </c>
      <c r="P39">
        <v>4.1734658688240708E-2</v>
      </c>
      <c r="Q39" t="s">
        <v>153</v>
      </c>
      <c r="S39" t="s">
        <v>210</v>
      </c>
      <c r="T39" t="s">
        <v>157</v>
      </c>
      <c r="U39">
        <v>1.550786314672239E-2</v>
      </c>
      <c r="V39" t="s">
        <v>153</v>
      </c>
      <c r="AK39">
        <v>2029</v>
      </c>
      <c r="AL39" t="s">
        <v>141</v>
      </c>
      <c r="AM39">
        <v>0.27733999999999998</v>
      </c>
      <c r="AN39" t="s">
        <v>227</v>
      </c>
    </row>
    <row r="40" spans="9:40" x14ac:dyDescent="0.45">
      <c r="I40" t="s">
        <v>166</v>
      </c>
      <c r="J40" t="s">
        <v>158</v>
      </c>
      <c r="K40">
        <v>2.5568718660509437E-3</v>
      </c>
      <c r="L40" t="s">
        <v>153</v>
      </c>
      <c r="N40" t="s">
        <v>195</v>
      </c>
      <c r="O40" t="s">
        <v>158</v>
      </c>
      <c r="P40">
        <v>3.6262689095404123E-2</v>
      </c>
      <c r="Q40" t="s">
        <v>153</v>
      </c>
      <c r="S40" t="s">
        <v>210</v>
      </c>
      <c r="T40" t="s">
        <v>158</v>
      </c>
      <c r="U40">
        <v>6.6792313249327126E-3</v>
      </c>
      <c r="V40" t="s">
        <v>153</v>
      </c>
      <c r="AK40">
        <v>2029</v>
      </c>
      <c r="AL40" t="s">
        <v>145</v>
      </c>
      <c r="AM40">
        <v>0.21345</v>
      </c>
      <c r="AN40" t="s">
        <v>227</v>
      </c>
    </row>
    <row r="41" spans="9:40" x14ac:dyDescent="0.45">
      <c r="I41" t="s">
        <v>166</v>
      </c>
      <c r="J41" t="s">
        <v>159</v>
      </c>
      <c r="K41">
        <v>7.6028619219961789E-5</v>
      </c>
      <c r="L41" t="s">
        <v>153</v>
      </c>
      <c r="N41" t="s">
        <v>195</v>
      </c>
      <c r="O41" t="s">
        <v>159</v>
      </c>
      <c r="P41">
        <v>6.0451575916951147E-2</v>
      </c>
      <c r="Q41" t="s">
        <v>153</v>
      </c>
      <c r="S41" t="s">
        <v>210</v>
      </c>
      <c r="T41" t="s">
        <v>159</v>
      </c>
      <c r="U41">
        <v>3.9236251489924531E-2</v>
      </c>
      <c r="V41" t="s">
        <v>153</v>
      </c>
      <c r="AK41">
        <v>2029</v>
      </c>
      <c r="AL41" t="s">
        <v>147</v>
      </c>
      <c r="AM41">
        <v>0.17899999999999999</v>
      </c>
      <c r="AN41" t="s">
        <v>227</v>
      </c>
    </row>
    <row r="42" spans="9:40" x14ac:dyDescent="0.45">
      <c r="I42" t="s">
        <v>166</v>
      </c>
      <c r="J42" t="s">
        <v>160</v>
      </c>
      <c r="K42">
        <v>6.9059192408069237E-2</v>
      </c>
      <c r="L42" t="s">
        <v>153</v>
      </c>
      <c r="N42" t="s">
        <v>195</v>
      </c>
      <c r="O42" t="s">
        <v>160</v>
      </c>
      <c r="P42">
        <v>5.4537622355099499E-2</v>
      </c>
      <c r="Q42" t="s">
        <v>153</v>
      </c>
      <c r="S42" t="s">
        <v>210</v>
      </c>
      <c r="T42" t="s">
        <v>160</v>
      </c>
      <c r="U42">
        <v>4.2330686003877155E-2</v>
      </c>
      <c r="V42" t="s">
        <v>153</v>
      </c>
      <c r="AK42">
        <v>2029</v>
      </c>
      <c r="AL42" t="s">
        <v>149</v>
      </c>
      <c r="AM42">
        <v>0.1363</v>
      </c>
      <c r="AN42" t="s">
        <v>227</v>
      </c>
    </row>
    <row r="43" spans="9:40" x14ac:dyDescent="0.45">
      <c r="I43" t="s">
        <v>166</v>
      </c>
      <c r="J43" t="s">
        <v>161</v>
      </c>
      <c r="K43">
        <v>8.5980588564220806E-4</v>
      </c>
      <c r="L43" t="s">
        <v>153</v>
      </c>
      <c r="N43" t="s">
        <v>195</v>
      </c>
      <c r="O43" t="s">
        <v>161</v>
      </c>
      <c r="P43">
        <v>4.7229733397973747E-2</v>
      </c>
      <c r="Q43" t="s">
        <v>153</v>
      </c>
      <c r="S43" t="s">
        <v>210</v>
      </c>
      <c r="T43" t="s">
        <v>161</v>
      </c>
      <c r="U43">
        <v>1.755146645903799E-2</v>
      </c>
      <c r="V43" t="s">
        <v>153</v>
      </c>
      <c r="AK43">
        <v>2030</v>
      </c>
      <c r="AL43" t="s">
        <v>141</v>
      </c>
      <c r="AM43">
        <v>0.26264999999999999</v>
      </c>
      <c r="AN43" t="s">
        <v>227</v>
      </c>
    </row>
    <row r="44" spans="9:40" x14ac:dyDescent="0.45">
      <c r="I44" t="s">
        <v>166</v>
      </c>
      <c r="J44" t="s">
        <v>162</v>
      </c>
      <c r="K44">
        <v>0</v>
      </c>
      <c r="L44" t="s">
        <v>153</v>
      </c>
      <c r="N44" t="s">
        <v>195</v>
      </c>
      <c r="O44" t="s">
        <v>162</v>
      </c>
      <c r="P44">
        <v>4.0141535391728905E-2</v>
      </c>
      <c r="Q44" t="s">
        <v>153</v>
      </c>
      <c r="S44" t="s">
        <v>210</v>
      </c>
      <c r="T44" t="s">
        <v>162</v>
      </c>
      <c r="U44">
        <v>3.035283314089679E-2</v>
      </c>
      <c r="V44" t="s">
        <v>153</v>
      </c>
      <c r="AK44">
        <v>2030</v>
      </c>
      <c r="AL44" t="s">
        <v>145</v>
      </c>
      <c r="AM44">
        <v>0.19939999999999999</v>
      </c>
      <c r="AN44" t="s">
        <v>227</v>
      </c>
    </row>
    <row r="45" spans="9:40" x14ac:dyDescent="0.45">
      <c r="I45" t="s">
        <v>166</v>
      </c>
      <c r="J45" t="s">
        <v>163</v>
      </c>
      <c r="K45">
        <v>4.9700361574699814E-2</v>
      </c>
      <c r="L45" t="s">
        <v>153</v>
      </c>
      <c r="N45" t="s">
        <v>195</v>
      </c>
      <c r="O45" t="s">
        <v>163</v>
      </c>
      <c r="P45">
        <v>3.5066889914851351E-2</v>
      </c>
      <c r="Q45" t="s">
        <v>153</v>
      </c>
      <c r="S45" t="s">
        <v>210</v>
      </c>
      <c r="T45" t="s">
        <v>163</v>
      </c>
      <c r="U45">
        <v>4.1383510845437135E-2</v>
      </c>
      <c r="V45" t="s">
        <v>153</v>
      </c>
      <c r="AK45">
        <v>2030</v>
      </c>
      <c r="AL45" t="s">
        <v>147</v>
      </c>
      <c r="AM45">
        <v>0.20879999999999999</v>
      </c>
      <c r="AN45" t="s">
        <v>227</v>
      </c>
    </row>
    <row r="46" spans="9:40" x14ac:dyDescent="0.45">
      <c r="I46" t="s">
        <v>166</v>
      </c>
      <c r="J46" t="s">
        <v>164</v>
      </c>
      <c r="K46">
        <v>2.1745070032995009E-3</v>
      </c>
      <c r="L46" t="s">
        <v>153</v>
      </c>
      <c r="N46" t="s">
        <v>195</v>
      </c>
      <c r="O46" t="s">
        <v>164</v>
      </c>
      <c r="P46">
        <v>2.8632973284938742E-2</v>
      </c>
      <c r="Q46" t="s">
        <v>153</v>
      </c>
      <c r="S46" t="s">
        <v>210</v>
      </c>
      <c r="T46" t="s">
        <v>164</v>
      </c>
      <c r="U46">
        <v>1.5718266635911516E-2</v>
      </c>
      <c r="V46" t="s">
        <v>153</v>
      </c>
      <c r="AK46">
        <v>2030</v>
      </c>
      <c r="AL46" t="s">
        <v>149</v>
      </c>
      <c r="AM46">
        <v>0.2349</v>
      </c>
      <c r="AN46" t="s">
        <v>227</v>
      </c>
    </row>
    <row r="47" spans="9:40" x14ac:dyDescent="0.45">
      <c r="I47" t="s">
        <v>167</v>
      </c>
      <c r="J47" t="s">
        <v>152</v>
      </c>
      <c r="K47">
        <v>1.6828713576940341E-2</v>
      </c>
      <c r="L47" t="s">
        <v>153</v>
      </c>
      <c r="N47" t="s">
        <v>196</v>
      </c>
      <c r="O47" t="s">
        <v>152</v>
      </c>
      <c r="P47">
        <v>0.24400692042886379</v>
      </c>
      <c r="Q47" t="s">
        <v>153</v>
      </c>
      <c r="S47" t="s">
        <v>211</v>
      </c>
      <c r="T47" t="s">
        <v>152</v>
      </c>
      <c r="U47">
        <v>0.30514624053342615</v>
      </c>
      <c r="V47" t="s">
        <v>153</v>
      </c>
      <c r="AK47">
        <v>2031</v>
      </c>
      <c r="AL47" t="s">
        <v>141</v>
      </c>
      <c r="AM47">
        <v>0.23094000000000001</v>
      </c>
      <c r="AN47" t="s">
        <v>227</v>
      </c>
    </row>
    <row r="48" spans="9:40" x14ac:dyDescent="0.45">
      <c r="I48" t="s">
        <v>167</v>
      </c>
      <c r="J48" t="s">
        <v>154</v>
      </c>
      <c r="K48">
        <v>0.73682930007395686</v>
      </c>
      <c r="L48" t="s">
        <v>153</v>
      </c>
      <c r="N48" t="s">
        <v>196</v>
      </c>
      <c r="O48" t="s">
        <v>154</v>
      </c>
      <c r="P48">
        <v>0.15077691821432679</v>
      </c>
      <c r="Q48" t="s">
        <v>153</v>
      </c>
      <c r="S48" t="s">
        <v>211</v>
      </c>
      <c r="T48" t="s">
        <v>154</v>
      </c>
      <c r="U48">
        <v>0.31810643096141178</v>
      </c>
      <c r="V48" t="s">
        <v>153</v>
      </c>
      <c r="AK48">
        <v>2031</v>
      </c>
      <c r="AL48" t="s">
        <v>145</v>
      </c>
      <c r="AM48">
        <v>0.1452</v>
      </c>
      <c r="AN48" t="s">
        <v>227</v>
      </c>
    </row>
    <row r="49" spans="9:40" x14ac:dyDescent="0.45">
      <c r="I49" t="s">
        <v>167</v>
      </c>
      <c r="J49" t="s">
        <v>155</v>
      </c>
      <c r="K49">
        <v>3.5258399174691993E-2</v>
      </c>
      <c r="L49" t="s">
        <v>153</v>
      </c>
      <c r="N49" t="s">
        <v>196</v>
      </c>
      <c r="O49" t="s">
        <v>155</v>
      </c>
      <c r="P49">
        <v>0.18783807710048842</v>
      </c>
      <c r="Q49" t="s">
        <v>153</v>
      </c>
      <c r="S49" t="s">
        <v>211</v>
      </c>
      <c r="T49" t="s">
        <v>155</v>
      </c>
      <c r="U49">
        <v>0.1927370354111205</v>
      </c>
      <c r="V49" t="s">
        <v>153</v>
      </c>
      <c r="AK49">
        <v>2031</v>
      </c>
      <c r="AL49" t="s">
        <v>147</v>
      </c>
      <c r="AM49">
        <v>0.16320000000000001</v>
      </c>
      <c r="AN49" t="s">
        <v>227</v>
      </c>
    </row>
    <row r="50" spans="9:40" x14ac:dyDescent="0.45">
      <c r="I50" t="s">
        <v>167</v>
      </c>
      <c r="J50" t="s">
        <v>156</v>
      </c>
      <c r="K50">
        <v>2.629188330907107E-3</v>
      </c>
      <c r="L50" t="s">
        <v>153</v>
      </c>
      <c r="N50" t="s">
        <v>196</v>
      </c>
      <c r="O50" t="s">
        <v>156</v>
      </c>
      <c r="P50">
        <v>4.9116511877846665E-2</v>
      </c>
      <c r="Q50" t="s">
        <v>153</v>
      </c>
      <c r="S50" t="s">
        <v>211</v>
      </c>
      <c r="T50" t="s">
        <v>156</v>
      </c>
      <c r="U50">
        <v>1.1292591991166877E-2</v>
      </c>
      <c r="V50" t="s">
        <v>153</v>
      </c>
      <c r="AK50">
        <v>2031</v>
      </c>
      <c r="AL50" t="s">
        <v>149</v>
      </c>
      <c r="AM50">
        <v>0.18049999999999999</v>
      </c>
      <c r="AN50" t="s">
        <v>227</v>
      </c>
    </row>
    <row r="51" spans="9:40" x14ac:dyDescent="0.45">
      <c r="I51" t="s">
        <v>167</v>
      </c>
      <c r="J51" t="s">
        <v>157</v>
      </c>
      <c r="K51">
        <v>7.3621010943005952E-2</v>
      </c>
      <c r="L51" t="s">
        <v>153</v>
      </c>
      <c r="N51" t="s">
        <v>196</v>
      </c>
      <c r="O51" t="s">
        <v>157</v>
      </c>
      <c r="P51">
        <v>3.951901366621937E-2</v>
      </c>
      <c r="Q51" t="s">
        <v>153</v>
      </c>
      <c r="S51" t="s">
        <v>211</v>
      </c>
      <c r="T51" t="s">
        <v>157</v>
      </c>
      <c r="U51">
        <v>1.4701840991619301E-2</v>
      </c>
      <c r="V51" t="s">
        <v>153</v>
      </c>
      <c r="AK51">
        <v>2032</v>
      </c>
      <c r="AL51" t="s">
        <v>141</v>
      </c>
      <c r="AM51">
        <v>0.26497000000000004</v>
      </c>
      <c r="AN51" t="s">
        <v>227</v>
      </c>
    </row>
    <row r="52" spans="9:40" x14ac:dyDescent="0.45">
      <c r="I52" t="s">
        <v>167</v>
      </c>
      <c r="J52" t="s">
        <v>158</v>
      </c>
      <c r="K52">
        <v>2.5627076658357854E-3</v>
      </c>
      <c r="L52" t="s">
        <v>153</v>
      </c>
      <c r="N52" t="s">
        <v>196</v>
      </c>
      <c r="O52" t="s">
        <v>158</v>
      </c>
      <c r="P52">
        <v>4.0707340415488645E-2</v>
      </c>
      <c r="Q52" t="s">
        <v>153</v>
      </c>
      <c r="S52" t="s">
        <v>211</v>
      </c>
      <c r="T52" t="s">
        <v>158</v>
      </c>
      <c r="U52">
        <v>5.9133482467413232E-3</v>
      </c>
      <c r="V52" t="s">
        <v>153</v>
      </c>
      <c r="AK52">
        <v>2032</v>
      </c>
      <c r="AL52" t="s">
        <v>145</v>
      </c>
      <c r="AM52">
        <v>0.1699</v>
      </c>
      <c r="AN52" t="s">
        <v>227</v>
      </c>
    </row>
    <row r="53" spans="9:40" x14ac:dyDescent="0.45">
      <c r="I53" t="s">
        <v>167</v>
      </c>
      <c r="J53" t="s">
        <v>159</v>
      </c>
      <c r="K53">
        <v>5.4514472893956595E-4</v>
      </c>
      <c r="L53" t="s">
        <v>153</v>
      </c>
      <c r="N53" t="s">
        <v>196</v>
      </c>
      <c r="O53" t="s">
        <v>159</v>
      </c>
      <c r="P53">
        <v>6.3858592009778031E-2</v>
      </c>
      <c r="Q53" t="s">
        <v>153</v>
      </c>
      <c r="S53" t="s">
        <v>211</v>
      </c>
      <c r="T53" t="s">
        <v>159</v>
      </c>
      <c r="U53">
        <v>3.2556383972010869E-2</v>
      </c>
      <c r="V53" t="s">
        <v>153</v>
      </c>
      <c r="AK53">
        <v>2032</v>
      </c>
      <c r="AL53" t="s">
        <v>147</v>
      </c>
      <c r="AM53">
        <v>0.19405</v>
      </c>
      <c r="AN53" t="s">
        <v>227</v>
      </c>
    </row>
    <row r="54" spans="9:40" x14ac:dyDescent="0.45">
      <c r="I54" t="s">
        <v>167</v>
      </c>
      <c r="J54" t="s">
        <v>160</v>
      </c>
      <c r="K54">
        <v>7.766130052787365E-2</v>
      </c>
      <c r="L54" t="s">
        <v>153</v>
      </c>
      <c r="N54" t="s">
        <v>196</v>
      </c>
      <c r="O54" t="s">
        <v>160</v>
      </c>
      <c r="P54">
        <v>4.8919059389021899E-2</v>
      </c>
      <c r="Q54" t="s">
        <v>153</v>
      </c>
      <c r="S54" t="s">
        <v>211</v>
      </c>
      <c r="T54" t="s">
        <v>160</v>
      </c>
      <c r="U54">
        <v>3.5367418028123432E-2</v>
      </c>
      <c r="V54" t="s">
        <v>153</v>
      </c>
      <c r="AK54">
        <v>2032</v>
      </c>
      <c r="AL54" t="s">
        <v>149</v>
      </c>
      <c r="AM54">
        <v>0.16639999999999999</v>
      </c>
      <c r="AN54" t="s">
        <v>227</v>
      </c>
    </row>
    <row r="55" spans="9:40" x14ac:dyDescent="0.45">
      <c r="I55" t="s">
        <v>167</v>
      </c>
      <c r="J55" t="s">
        <v>161</v>
      </c>
      <c r="K55">
        <v>1.1454692370093059E-3</v>
      </c>
      <c r="L55" t="s">
        <v>153</v>
      </c>
      <c r="N55" t="s">
        <v>196</v>
      </c>
      <c r="O55" t="s">
        <v>161</v>
      </c>
      <c r="P55">
        <v>5.365842177545764E-2</v>
      </c>
      <c r="Q55" t="s">
        <v>153</v>
      </c>
      <c r="S55" t="s">
        <v>211</v>
      </c>
      <c r="T55" t="s">
        <v>161</v>
      </c>
      <c r="U55">
        <v>1.3621180738955921E-2</v>
      </c>
      <c r="V55" t="s">
        <v>153</v>
      </c>
      <c r="AK55">
        <v>2033</v>
      </c>
      <c r="AL55" t="s">
        <v>141</v>
      </c>
      <c r="AM55">
        <v>0.23738000000000001</v>
      </c>
      <c r="AN55" t="s">
        <v>227</v>
      </c>
    </row>
    <row r="56" spans="9:40" x14ac:dyDescent="0.45">
      <c r="I56" t="s">
        <v>167</v>
      </c>
      <c r="J56" t="s">
        <v>162</v>
      </c>
      <c r="K56">
        <v>0</v>
      </c>
      <c r="L56" t="s">
        <v>153</v>
      </c>
      <c r="N56" t="s">
        <v>196</v>
      </c>
      <c r="O56" t="s">
        <v>162</v>
      </c>
      <c r="P56">
        <v>4.6553461759093355E-2</v>
      </c>
      <c r="Q56" t="s">
        <v>153</v>
      </c>
      <c r="S56" t="s">
        <v>211</v>
      </c>
      <c r="T56" t="s">
        <v>162</v>
      </c>
      <c r="U56">
        <v>2.5844987499368071E-2</v>
      </c>
      <c r="V56" t="s">
        <v>153</v>
      </c>
      <c r="AK56">
        <v>2033</v>
      </c>
      <c r="AL56" t="s">
        <v>145</v>
      </c>
      <c r="AM56">
        <v>0.12725</v>
      </c>
      <c r="AN56" t="s">
        <v>227</v>
      </c>
    </row>
    <row r="57" spans="9:40" x14ac:dyDescent="0.45">
      <c r="I57" t="s">
        <v>167</v>
      </c>
      <c r="J57" t="s">
        <v>163</v>
      </c>
      <c r="K57">
        <v>5.0647214652948004E-2</v>
      </c>
      <c r="L57" t="s">
        <v>153</v>
      </c>
      <c r="N57" t="s">
        <v>196</v>
      </c>
      <c r="O57" t="s">
        <v>163</v>
      </c>
      <c r="P57">
        <v>3.8200658955966665E-2</v>
      </c>
      <c r="Q57" t="s">
        <v>153</v>
      </c>
      <c r="S57" t="s">
        <v>211</v>
      </c>
      <c r="T57" t="s">
        <v>163</v>
      </c>
      <c r="U57">
        <v>3.1548512229773271E-2</v>
      </c>
      <c r="V57" t="s">
        <v>153</v>
      </c>
      <c r="AK57">
        <v>2033</v>
      </c>
      <c r="AL57" t="s">
        <v>147</v>
      </c>
      <c r="AM57">
        <v>0.17985000000000001</v>
      </c>
      <c r="AN57" t="s">
        <v>227</v>
      </c>
    </row>
    <row r="58" spans="9:40" x14ac:dyDescent="0.45">
      <c r="I58" t="s">
        <v>167</v>
      </c>
      <c r="J58" t="s">
        <v>164</v>
      </c>
      <c r="K58">
        <v>2.2715510878925245E-3</v>
      </c>
      <c r="L58" t="s">
        <v>153</v>
      </c>
      <c r="N58" t="s">
        <v>196</v>
      </c>
      <c r="O58" t="s">
        <v>164</v>
      </c>
      <c r="P58">
        <v>3.6845024407451958E-2</v>
      </c>
      <c r="Q58" t="s">
        <v>153</v>
      </c>
      <c r="S58" t="s">
        <v>211</v>
      </c>
      <c r="T58" t="s">
        <v>164</v>
      </c>
      <c r="U58">
        <v>1.3164029396286352E-2</v>
      </c>
      <c r="V58" t="s">
        <v>153</v>
      </c>
      <c r="AK58">
        <v>2033</v>
      </c>
      <c r="AL58" t="s">
        <v>149</v>
      </c>
      <c r="AM58">
        <v>0.23849999999999999</v>
      </c>
      <c r="AN58" t="s">
        <v>227</v>
      </c>
    </row>
    <row r="59" spans="9:40" x14ac:dyDescent="0.45">
      <c r="I59" t="s">
        <v>168</v>
      </c>
      <c r="J59" t="s">
        <v>152</v>
      </c>
      <c r="K59">
        <v>1.86111912276039E-2</v>
      </c>
      <c r="L59" t="s">
        <v>153</v>
      </c>
      <c r="N59" t="s">
        <v>197</v>
      </c>
      <c r="O59" t="s">
        <v>152</v>
      </c>
      <c r="P59">
        <v>0.28474943519811868</v>
      </c>
      <c r="Q59" t="s">
        <v>153</v>
      </c>
      <c r="S59" t="s">
        <v>212</v>
      </c>
      <c r="T59" t="s">
        <v>152</v>
      </c>
      <c r="U59">
        <v>0.30021933792561822</v>
      </c>
      <c r="V59" t="s">
        <v>153</v>
      </c>
      <c r="AK59">
        <v>2034</v>
      </c>
      <c r="AL59" t="s">
        <v>141</v>
      </c>
      <c r="AM59">
        <v>0.23388</v>
      </c>
      <c r="AN59" t="s">
        <v>227</v>
      </c>
    </row>
    <row r="60" spans="9:40" x14ac:dyDescent="0.45">
      <c r="I60" t="s">
        <v>168</v>
      </c>
      <c r="J60" t="s">
        <v>154</v>
      </c>
      <c r="K60">
        <v>0.72897293250113449</v>
      </c>
      <c r="L60" t="s">
        <v>153</v>
      </c>
      <c r="N60" t="s">
        <v>197</v>
      </c>
      <c r="O60" t="s">
        <v>154</v>
      </c>
      <c r="P60">
        <v>0.17097725610684125</v>
      </c>
      <c r="Q60" t="s">
        <v>153</v>
      </c>
      <c r="S60" t="s">
        <v>212</v>
      </c>
      <c r="T60" t="s">
        <v>154</v>
      </c>
      <c r="U60">
        <v>0.35446545281792702</v>
      </c>
      <c r="V60" t="s">
        <v>153</v>
      </c>
      <c r="AK60">
        <v>2034</v>
      </c>
      <c r="AL60" t="s">
        <v>145</v>
      </c>
      <c r="AM60">
        <v>0.17835000000000001</v>
      </c>
      <c r="AN60" t="s">
        <v>227</v>
      </c>
    </row>
    <row r="61" spans="9:40" x14ac:dyDescent="0.45">
      <c r="I61" t="s">
        <v>168</v>
      </c>
      <c r="J61" t="s">
        <v>155</v>
      </c>
      <c r="K61">
        <v>3.1852332995341757E-2</v>
      </c>
      <c r="L61" t="s">
        <v>153</v>
      </c>
      <c r="N61" t="s">
        <v>197</v>
      </c>
      <c r="O61" t="s">
        <v>155</v>
      </c>
      <c r="P61">
        <v>0.18503915987323996</v>
      </c>
      <c r="Q61" t="s">
        <v>153</v>
      </c>
      <c r="S61" t="s">
        <v>212</v>
      </c>
      <c r="T61" t="s">
        <v>155</v>
      </c>
      <c r="U61">
        <v>0.21702120382009929</v>
      </c>
      <c r="V61" t="s">
        <v>153</v>
      </c>
      <c r="AK61">
        <v>2034</v>
      </c>
      <c r="AL61" t="s">
        <v>147</v>
      </c>
      <c r="AM61">
        <v>0.19219999999999998</v>
      </c>
      <c r="AN61" t="s">
        <v>227</v>
      </c>
    </row>
    <row r="62" spans="9:40" x14ac:dyDescent="0.45">
      <c r="I62" t="s">
        <v>168</v>
      </c>
      <c r="J62" t="s">
        <v>156</v>
      </c>
      <c r="K62">
        <v>3.2520861146551677E-3</v>
      </c>
      <c r="L62" t="s">
        <v>153</v>
      </c>
      <c r="N62" t="s">
        <v>197</v>
      </c>
      <c r="O62" t="s">
        <v>156</v>
      </c>
      <c r="P62">
        <v>4.5729821493625838E-2</v>
      </c>
      <c r="Q62" t="s">
        <v>153</v>
      </c>
      <c r="S62" t="s">
        <v>212</v>
      </c>
      <c r="T62" t="s">
        <v>156</v>
      </c>
      <c r="U62">
        <v>4.6088849920922267E-3</v>
      </c>
      <c r="V62" t="s">
        <v>153</v>
      </c>
      <c r="AK62">
        <v>2034</v>
      </c>
      <c r="AL62" t="s">
        <v>149</v>
      </c>
      <c r="AM62">
        <v>0.16769999999999999</v>
      </c>
      <c r="AN62" t="s">
        <v>227</v>
      </c>
    </row>
    <row r="63" spans="9:40" x14ac:dyDescent="0.45">
      <c r="I63" t="s">
        <v>168</v>
      </c>
      <c r="J63" t="s">
        <v>157</v>
      </c>
      <c r="K63">
        <v>7.8199498985930579E-2</v>
      </c>
      <c r="L63" t="s">
        <v>153</v>
      </c>
      <c r="N63" t="s">
        <v>197</v>
      </c>
      <c r="O63" t="s">
        <v>157</v>
      </c>
      <c r="P63">
        <v>3.5904506398867414E-2</v>
      </c>
      <c r="Q63" t="s">
        <v>153</v>
      </c>
      <c r="S63" t="s">
        <v>212</v>
      </c>
      <c r="T63" t="s">
        <v>157</v>
      </c>
      <c r="U63">
        <v>4.7229613456206071E-3</v>
      </c>
      <c r="V63" t="s">
        <v>153</v>
      </c>
      <c r="AK63">
        <v>2035</v>
      </c>
      <c r="AL63" t="s">
        <v>141</v>
      </c>
      <c r="AM63">
        <v>0.30412000000000006</v>
      </c>
      <c r="AN63" t="s">
        <v>227</v>
      </c>
    </row>
    <row r="64" spans="9:40" x14ac:dyDescent="0.45">
      <c r="I64" t="s">
        <v>168</v>
      </c>
      <c r="J64" t="s">
        <v>158</v>
      </c>
      <c r="K64">
        <v>2.6273141799597124E-3</v>
      </c>
      <c r="L64" t="s">
        <v>153</v>
      </c>
      <c r="N64" t="s">
        <v>197</v>
      </c>
      <c r="O64" t="s">
        <v>158</v>
      </c>
      <c r="P64">
        <v>2.7728689948775986E-2</v>
      </c>
      <c r="Q64" t="s">
        <v>153</v>
      </c>
      <c r="S64" t="s">
        <v>212</v>
      </c>
      <c r="T64" t="s">
        <v>158</v>
      </c>
      <c r="U64">
        <v>2.2625917978685746E-3</v>
      </c>
      <c r="V64" t="s">
        <v>153</v>
      </c>
      <c r="AK64">
        <v>2035</v>
      </c>
      <c r="AL64" t="s">
        <v>145</v>
      </c>
      <c r="AM64">
        <v>0.16985</v>
      </c>
      <c r="AN64" t="s">
        <v>227</v>
      </c>
    </row>
    <row r="65" spans="9:40" x14ac:dyDescent="0.45">
      <c r="I65" t="s">
        <v>168</v>
      </c>
      <c r="J65" t="s">
        <v>159</v>
      </c>
      <c r="K65">
        <v>2.0354069834516543E-3</v>
      </c>
      <c r="L65" t="s">
        <v>153</v>
      </c>
      <c r="N65" t="s">
        <v>197</v>
      </c>
      <c r="O65" t="s">
        <v>159</v>
      </c>
      <c r="P65">
        <v>6.4892253546693784E-2</v>
      </c>
      <c r="Q65" t="s">
        <v>153</v>
      </c>
      <c r="S65" t="s">
        <v>212</v>
      </c>
      <c r="T65" t="s">
        <v>159</v>
      </c>
      <c r="U65">
        <v>2.4189382235956489E-2</v>
      </c>
      <c r="V65" t="s">
        <v>153</v>
      </c>
      <c r="AK65">
        <v>2035</v>
      </c>
      <c r="AL65" t="s">
        <v>147</v>
      </c>
      <c r="AM65">
        <v>0.113</v>
      </c>
      <c r="AN65" t="s">
        <v>227</v>
      </c>
    </row>
    <row r="66" spans="9:40" x14ac:dyDescent="0.45">
      <c r="I66" t="s">
        <v>168</v>
      </c>
      <c r="J66" t="s">
        <v>160</v>
      </c>
      <c r="K66">
        <v>8.2161169746178792E-2</v>
      </c>
      <c r="L66" t="s">
        <v>153</v>
      </c>
      <c r="N66" t="s">
        <v>197</v>
      </c>
      <c r="O66" t="s">
        <v>160</v>
      </c>
      <c r="P66">
        <v>4.0283933356867474E-2</v>
      </c>
      <c r="Q66" t="s">
        <v>153</v>
      </c>
      <c r="S66" t="s">
        <v>212</v>
      </c>
      <c r="T66" t="s">
        <v>160</v>
      </c>
      <c r="U66">
        <v>3.0180516463391413E-2</v>
      </c>
      <c r="V66" t="s">
        <v>153</v>
      </c>
      <c r="AK66">
        <v>2035</v>
      </c>
      <c r="AL66" t="s">
        <v>149</v>
      </c>
      <c r="AM66">
        <v>7.6300000000000007E-2</v>
      </c>
      <c r="AN66" t="s">
        <v>227</v>
      </c>
    </row>
    <row r="67" spans="9:40" x14ac:dyDescent="0.45">
      <c r="I67" t="s">
        <v>168</v>
      </c>
      <c r="J67" t="s">
        <v>161</v>
      </c>
      <c r="K67">
        <v>1.7989860347557111E-3</v>
      </c>
      <c r="L67" t="s">
        <v>153</v>
      </c>
      <c r="N67" t="s">
        <v>197</v>
      </c>
      <c r="O67" t="s">
        <v>161</v>
      </c>
      <c r="P67">
        <v>3.7658653420027284E-2</v>
      </c>
      <c r="Q67" t="s">
        <v>153</v>
      </c>
      <c r="S67" t="s">
        <v>212</v>
      </c>
      <c r="T67" t="s">
        <v>161</v>
      </c>
      <c r="U67">
        <v>1.5411979525736327E-2</v>
      </c>
      <c r="V67" t="s">
        <v>153</v>
      </c>
      <c r="AK67">
        <v>2036</v>
      </c>
      <c r="AL67" t="s">
        <v>141</v>
      </c>
      <c r="AM67">
        <v>0.26790000000000003</v>
      </c>
      <c r="AN67" t="s">
        <v>227</v>
      </c>
    </row>
    <row r="68" spans="9:40" x14ac:dyDescent="0.45">
      <c r="I68" t="s">
        <v>168</v>
      </c>
      <c r="J68" t="s">
        <v>162</v>
      </c>
      <c r="K68">
        <v>0</v>
      </c>
      <c r="L68" t="s">
        <v>153</v>
      </c>
      <c r="N68" t="s">
        <v>197</v>
      </c>
      <c r="O68" t="s">
        <v>162</v>
      </c>
      <c r="P68">
        <v>4.9611105176522188E-2</v>
      </c>
      <c r="Q68" t="s">
        <v>153</v>
      </c>
      <c r="S68" t="s">
        <v>212</v>
      </c>
      <c r="T68" t="s">
        <v>162</v>
      </c>
      <c r="U68">
        <v>1.5007253954635508E-2</v>
      </c>
      <c r="V68" t="s">
        <v>153</v>
      </c>
      <c r="AK68">
        <v>2036</v>
      </c>
      <c r="AL68" t="s">
        <v>145</v>
      </c>
      <c r="AM68">
        <v>0.21445</v>
      </c>
      <c r="AN68" t="s">
        <v>227</v>
      </c>
    </row>
    <row r="69" spans="9:40" x14ac:dyDescent="0.45">
      <c r="I69" t="s">
        <v>168</v>
      </c>
      <c r="J69" t="s">
        <v>163</v>
      </c>
      <c r="K69">
        <v>4.8208272175778791E-2</v>
      </c>
      <c r="L69" t="s">
        <v>153</v>
      </c>
      <c r="N69" t="s">
        <v>197</v>
      </c>
      <c r="O69" t="s">
        <v>163</v>
      </c>
      <c r="P69">
        <v>2.9937235857239317E-2</v>
      </c>
      <c r="Q69" t="s">
        <v>153</v>
      </c>
      <c r="S69" t="s">
        <v>212</v>
      </c>
      <c r="T69" t="s">
        <v>163</v>
      </c>
      <c r="U69">
        <v>2.2525426094824458E-2</v>
      </c>
      <c r="V69" t="s">
        <v>153</v>
      </c>
      <c r="AK69">
        <v>2036</v>
      </c>
      <c r="AL69" t="s">
        <v>147</v>
      </c>
      <c r="AM69">
        <v>0.26624999999999999</v>
      </c>
      <c r="AN69" t="s">
        <v>227</v>
      </c>
    </row>
    <row r="70" spans="9:40" x14ac:dyDescent="0.45">
      <c r="I70" t="s">
        <v>168</v>
      </c>
      <c r="J70" t="s">
        <v>164</v>
      </c>
      <c r="K70">
        <v>2.2808090552095587E-3</v>
      </c>
      <c r="L70" t="s">
        <v>153</v>
      </c>
      <c r="N70" t="s">
        <v>197</v>
      </c>
      <c r="O70" t="s">
        <v>164</v>
      </c>
      <c r="P70">
        <v>2.7487949623182444E-2</v>
      </c>
      <c r="Q70" t="s">
        <v>153</v>
      </c>
      <c r="S70" t="s">
        <v>212</v>
      </c>
      <c r="T70" t="s">
        <v>164</v>
      </c>
      <c r="U70">
        <v>9.3850090262285815E-3</v>
      </c>
      <c r="V70" t="s">
        <v>153</v>
      </c>
      <c r="AK70">
        <v>2036</v>
      </c>
      <c r="AL70" t="s">
        <v>149</v>
      </c>
      <c r="AM70">
        <v>0.26440000000000002</v>
      </c>
      <c r="AN70" t="s">
        <v>227</v>
      </c>
    </row>
    <row r="71" spans="9:40" x14ac:dyDescent="0.45">
      <c r="I71" t="s">
        <v>169</v>
      </c>
      <c r="J71" t="s">
        <v>152</v>
      </c>
      <c r="K71">
        <v>1.8404489083960546E-2</v>
      </c>
      <c r="L71" t="s">
        <v>153</v>
      </c>
      <c r="N71" t="s">
        <v>198</v>
      </c>
      <c r="O71" t="s">
        <v>152</v>
      </c>
      <c r="P71">
        <v>0.27231002895727979</v>
      </c>
      <c r="Q71" t="s">
        <v>153</v>
      </c>
      <c r="S71" t="s">
        <v>213</v>
      </c>
      <c r="T71" t="s">
        <v>152</v>
      </c>
      <c r="U71">
        <v>0.29899295758704825</v>
      </c>
      <c r="V71" t="s">
        <v>153</v>
      </c>
      <c r="AK71">
        <v>2037</v>
      </c>
      <c r="AL71" t="s">
        <v>141</v>
      </c>
      <c r="AM71">
        <v>0.21161000000000002</v>
      </c>
      <c r="AN71" t="s">
        <v>227</v>
      </c>
    </row>
    <row r="72" spans="9:40" x14ac:dyDescent="0.45">
      <c r="I72" t="s">
        <v>169</v>
      </c>
      <c r="J72" t="s">
        <v>154</v>
      </c>
      <c r="K72">
        <v>0.73294247728023709</v>
      </c>
      <c r="L72" t="s">
        <v>153</v>
      </c>
      <c r="N72" t="s">
        <v>198</v>
      </c>
      <c r="O72" t="s">
        <v>154</v>
      </c>
      <c r="P72">
        <v>0.25322009013418811</v>
      </c>
      <c r="Q72" t="s">
        <v>153</v>
      </c>
      <c r="S72" t="s">
        <v>213</v>
      </c>
      <c r="T72" t="s">
        <v>154</v>
      </c>
      <c r="U72">
        <v>0.36843982733434505</v>
      </c>
      <c r="V72" t="s">
        <v>153</v>
      </c>
      <c r="AK72">
        <v>2037</v>
      </c>
      <c r="AL72" t="s">
        <v>145</v>
      </c>
      <c r="AM72">
        <v>0.18404999999999999</v>
      </c>
      <c r="AN72" t="s">
        <v>227</v>
      </c>
    </row>
    <row r="73" spans="9:40" x14ac:dyDescent="0.45">
      <c r="I73" t="s">
        <v>169</v>
      </c>
      <c r="J73" t="s">
        <v>155</v>
      </c>
      <c r="K73">
        <v>3.3455700909072537E-2</v>
      </c>
      <c r="L73" t="s">
        <v>153</v>
      </c>
      <c r="N73" t="s">
        <v>198</v>
      </c>
      <c r="O73" t="s">
        <v>155</v>
      </c>
      <c r="P73">
        <v>0.19664277596898594</v>
      </c>
      <c r="Q73" t="s">
        <v>153</v>
      </c>
      <c r="S73" t="s">
        <v>213</v>
      </c>
      <c r="T73" t="s">
        <v>155</v>
      </c>
      <c r="U73">
        <v>0.21168716516208411</v>
      </c>
      <c r="V73" t="s">
        <v>153</v>
      </c>
      <c r="AK73">
        <v>2037</v>
      </c>
      <c r="AL73" t="s">
        <v>147</v>
      </c>
      <c r="AM73">
        <v>0.19974999999999998</v>
      </c>
      <c r="AN73" t="s">
        <v>227</v>
      </c>
    </row>
    <row r="74" spans="9:40" x14ac:dyDescent="0.45">
      <c r="I74" t="s">
        <v>169</v>
      </c>
      <c r="J74" t="s">
        <v>156</v>
      </c>
      <c r="K74">
        <v>2.9216404466226547E-3</v>
      </c>
      <c r="L74" t="s">
        <v>153</v>
      </c>
      <c r="N74" t="s">
        <v>198</v>
      </c>
      <c r="O74" t="s">
        <v>156</v>
      </c>
      <c r="P74">
        <v>3.1505604407825023E-2</v>
      </c>
      <c r="Q74" t="s">
        <v>153</v>
      </c>
      <c r="S74" t="s">
        <v>213</v>
      </c>
      <c r="T74" t="s">
        <v>156</v>
      </c>
      <c r="U74">
        <v>4.3741466942510202E-3</v>
      </c>
      <c r="V74" t="s">
        <v>153</v>
      </c>
      <c r="AK74">
        <v>2037</v>
      </c>
      <c r="AL74" t="s">
        <v>149</v>
      </c>
      <c r="AM74">
        <v>0.23849999999999999</v>
      </c>
      <c r="AN74" t="s">
        <v>227</v>
      </c>
    </row>
    <row r="75" spans="9:40" x14ac:dyDescent="0.45">
      <c r="I75" t="s">
        <v>169</v>
      </c>
      <c r="J75" t="s">
        <v>157</v>
      </c>
      <c r="K75">
        <v>7.5139246442012239E-2</v>
      </c>
      <c r="L75" t="s">
        <v>153</v>
      </c>
      <c r="N75" t="s">
        <v>198</v>
      </c>
      <c r="O75" t="s">
        <v>157</v>
      </c>
      <c r="P75">
        <v>2.9933759273982771E-2</v>
      </c>
      <c r="Q75" t="s">
        <v>153</v>
      </c>
      <c r="S75" t="s">
        <v>213</v>
      </c>
      <c r="T75" t="s">
        <v>157</v>
      </c>
      <c r="U75">
        <v>4.3725085922524847E-3</v>
      </c>
      <c r="V75" t="s">
        <v>153</v>
      </c>
      <c r="AK75">
        <v>2038</v>
      </c>
      <c r="AL75" t="s">
        <v>141</v>
      </c>
      <c r="AM75">
        <v>0.22005</v>
      </c>
      <c r="AN75" t="s">
        <v>227</v>
      </c>
    </row>
    <row r="76" spans="9:40" x14ac:dyDescent="0.45">
      <c r="I76" t="s">
        <v>169</v>
      </c>
      <c r="J76" t="s">
        <v>158</v>
      </c>
      <c r="K76">
        <v>2.2476571797141408E-3</v>
      </c>
      <c r="L76" t="s">
        <v>153</v>
      </c>
      <c r="N76" t="s">
        <v>198</v>
      </c>
      <c r="O76" t="s">
        <v>158</v>
      </c>
      <c r="P76">
        <v>1.8605074906727272E-2</v>
      </c>
      <c r="Q76" t="s">
        <v>153</v>
      </c>
      <c r="S76" t="s">
        <v>213</v>
      </c>
      <c r="T76" t="s">
        <v>158</v>
      </c>
      <c r="U76">
        <v>2.0501442558875302E-3</v>
      </c>
      <c r="V76" t="s">
        <v>153</v>
      </c>
      <c r="AK76">
        <v>2038</v>
      </c>
      <c r="AL76" t="s">
        <v>145</v>
      </c>
      <c r="AM76">
        <v>9.5450000000000007E-2</v>
      </c>
      <c r="AN76" t="s">
        <v>227</v>
      </c>
    </row>
    <row r="77" spans="9:40" x14ac:dyDescent="0.45">
      <c r="I77" t="s">
        <v>169</v>
      </c>
      <c r="J77" t="s">
        <v>159</v>
      </c>
      <c r="K77">
        <v>1.3183161746225839E-3</v>
      </c>
      <c r="L77" t="s">
        <v>153</v>
      </c>
      <c r="N77" t="s">
        <v>198</v>
      </c>
      <c r="O77" t="s">
        <v>159</v>
      </c>
      <c r="P77">
        <v>5.3245977937154375E-2</v>
      </c>
      <c r="Q77" t="s">
        <v>153</v>
      </c>
      <c r="S77" t="s">
        <v>213</v>
      </c>
      <c r="T77" t="s">
        <v>159</v>
      </c>
      <c r="U77">
        <v>2.2534919442054799E-2</v>
      </c>
      <c r="V77" t="s">
        <v>153</v>
      </c>
      <c r="AK77">
        <v>2038</v>
      </c>
      <c r="AL77" t="s">
        <v>147</v>
      </c>
      <c r="AM77">
        <v>0.21249999999999999</v>
      </c>
      <c r="AN77" t="s">
        <v>227</v>
      </c>
    </row>
    <row r="78" spans="9:40" x14ac:dyDescent="0.45">
      <c r="I78" t="s">
        <v>169</v>
      </c>
      <c r="J78" t="s">
        <v>160</v>
      </c>
      <c r="K78">
        <v>8.0717813834266627E-2</v>
      </c>
      <c r="L78" t="s">
        <v>153</v>
      </c>
      <c r="N78" t="s">
        <v>198</v>
      </c>
      <c r="O78" t="s">
        <v>160</v>
      </c>
      <c r="P78">
        <v>3.454735256486282E-2</v>
      </c>
      <c r="Q78" t="s">
        <v>153</v>
      </c>
      <c r="S78" t="s">
        <v>213</v>
      </c>
      <c r="T78" t="s">
        <v>160</v>
      </c>
      <c r="U78">
        <v>2.9741610887430374E-2</v>
      </c>
      <c r="V78" t="s">
        <v>153</v>
      </c>
      <c r="AK78">
        <v>2038</v>
      </c>
      <c r="AL78" t="s">
        <v>149</v>
      </c>
      <c r="AM78">
        <v>0.3</v>
      </c>
      <c r="AN78" t="s">
        <v>227</v>
      </c>
    </row>
    <row r="79" spans="9:40" x14ac:dyDescent="0.45">
      <c r="I79" t="s">
        <v>169</v>
      </c>
      <c r="J79" t="s">
        <v>161</v>
      </c>
      <c r="K79">
        <v>9.5597411056220051E-4</v>
      </c>
      <c r="L79" t="s">
        <v>153</v>
      </c>
      <c r="N79" t="s">
        <v>198</v>
      </c>
      <c r="O79" t="s">
        <v>161</v>
      </c>
      <c r="P79">
        <v>1.9484101981807448E-2</v>
      </c>
      <c r="Q79" t="s">
        <v>153</v>
      </c>
      <c r="S79" t="s">
        <v>213</v>
      </c>
      <c r="T79" t="s">
        <v>161</v>
      </c>
      <c r="U79">
        <v>1.4091895036483705E-2</v>
      </c>
      <c r="V79" t="s">
        <v>153</v>
      </c>
      <c r="AK79">
        <v>2039</v>
      </c>
      <c r="AL79" t="s">
        <v>141</v>
      </c>
      <c r="AM79">
        <v>0.25797999999999999</v>
      </c>
      <c r="AN79" t="s">
        <v>227</v>
      </c>
    </row>
    <row r="80" spans="9:40" x14ac:dyDescent="0.45">
      <c r="I80" t="s">
        <v>169</v>
      </c>
      <c r="J80" t="s">
        <v>162</v>
      </c>
      <c r="K80">
        <v>0</v>
      </c>
      <c r="L80" t="s">
        <v>153</v>
      </c>
      <c r="N80" t="s">
        <v>198</v>
      </c>
      <c r="O80" t="s">
        <v>162</v>
      </c>
      <c r="P80">
        <v>4.7465928820528358E-2</v>
      </c>
      <c r="Q80" t="s">
        <v>153</v>
      </c>
      <c r="S80" t="s">
        <v>213</v>
      </c>
      <c r="T80" t="s">
        <v>162</v>
      </c>
      <c r="U80">
        <v>1.3559180742739122E-2</v>
      </c>
      <c r="V80" t="s">
        <v>153</v>
      </c>
      <c r="AK80">
        <v>2039</v>
      </c>
      <c r="AL80" t="s">
        <v>145</v>
      </c>
      <c r="AM80">
        <v>0.15775</v>
      </c>
      <c r="AN80" t="s">
        <v>227</v>
      </c>
    </row>
    <row r="81" spans="9:40" x14ac:dyDescent="0.45">
      <c r="I81" t="s">
        <v>169</v>
      </c>
      <c r="J81" t="s">
        <v>163</v>
      </c>
      <c r="K81">
        <v>4.9584344251362558E-2</v>
      </c>
      <c r="L81" t="s">
        <v>153</v>
      </c>
      <c r="N81" t="s">
        <v>198</v>
      </c>
      <c r="O81" t="s">
        <v>163</v>
      </c>
      <c r="P81">
        <v>2.6954795120380192E-2</v>
      </c>
      <c r="Q81" t="s">
        <v>153</v>
      </c>
      <c r="S81" t="s">
        <v>213</v>
      </c>
      <c r="T81" t="s">
        <v>163</v>
      </c>
      <c r="U81">
        <v>2.1112628286564471E-2</v>
      </c>
      <c r="V81" t="s">
        <v>153</v>
      </c>
      <c r="AK81">
        <v>2039</v>
      </c>
      <c r="AL81" t="s">
        <v>147</v>
      </c>
      <c r="AM81">
        <v>0.22799999999999998</v>
      </c>
      <c r="AN81" t="s">
        <v>227</v>
      </c>
    </row>
    <row r="82" spans="9:40" x14ac:dyDescent="0.45">
      <c r="I82" t="s">
        <v>169</v>
      </c>
      <c r="J82" t="s">
        <v>164</v>
      </c>
      <c r="K82">
        <v>2.3123402875689417E-3</v>
      </c>
      <c r="L82" t="s">
        <v>153</v>
      </c>
      <c r="N82" t="s">
        <v>198</v>
      </c>
      <c r="O82" t="s">
        <v>164</v>
      </c>
      <c r="P82">
        <v>1.608450992627768E-2</v>
      </c>
      <c r="Q82" t="s">
        <v>153</v>
      </c>
      <c r="S82" t="s">
        <v>213</v>
      </c>
      <c r="T82" t="s">
        <v>164</v>
      </c>
      <c r="U82">
        <v>9.0430159788571184E-3</v>
      </c>
      <c r="V82" t="s">
        <v>153</v>
      </c>
      <c r="AK82">
        <v>2039</v>
      </c>
      <c r="AL82" t="s">
        <v>149</v>
      </c>
      <c r="AM82">
        <v>0.2959</v>
      </c>
      <c r="AN82" t="s">
        <v>227</v>
      </c>
    </row>
    <row r="83" spans="9:40" x14ac:dyDescent="0.45">
      <c r="I83" t="s">
        <v>170</v>
      </c>
      <c r="J83" t="s">
        <v>152</v>
      </c>
      <c r="K83">
        <v>2.0947867929096774E-2</v>
      </c>
      <c r="L83" t="s">
        <v>153</v>
      </c>
      <c r="N83" t="s">
        <v>199</v>
      </c>
      <c r="O83" t="s">
        <v>152</v>
      </c>
      <c r="P83">
        <v>0.29556898505576334</v>
      </c>
      <c r="Q83" t="s">
        <v>153</v>
      </c>
      <c r="S83" t="s">
        <v>214</v>
      </c>
      <c r="T83" t="s">
        <v>152</v>
      </c>
      <c r="U83">
        <v>0.27077512334921389</v>
      </c>
      <c r="V83" t="s">
        <v>153</v>
      </c>
      <c r="AK83">
        <v>2040</v>
      </c>
      <c r="AL83" t="s">
        <v>141</v>
      </c>
      <c r="AM83">
        <v>0.27638999999999997</v>
      </c>
      <c r="AN83" t="s">
        <v>227</v>
      </c>
    </row>
    <row r="84" spans="9:40" x14ac:dyDescent="0.45">
      <c r="I84" t="s">
        <v>170</v>
      </c>
      <c r="J84" t="s">
        <v>154</v>
      </c>
      <c r="K84">
        <v>0.72838781004412778</v>
      </c>
      <c r="L84" t="s">
        <v>153</v>
      </c>
      <c r="N84" t="s">
        <v>199</v>
      </c>
      <c r="O84" t="s">
        <v>154</v>
      </c>
      <c r="P84">
        <v>0.20899425930900947</v>
      </c>
      <c r="Q84" t="s">
        <v>153</v>
      </c>
      <c r="S84" t="s">
        <v>214</v>
      </c>
      <c r="T84" t="s">
        <v>154</v>
      </c>
      <c r="U84">
        <v>0.32634976138757238</v>
      </c>
      <c r="V84" t="s">
        <v>153</v>
      </c>
      <c r="AK84">
        <v>2040</v>
      </c>
      <c r="AL84" t="s">
        <v>145</v>
      </c>
      <c r="AM84">
        <v>0.15195</v>
      </c>
      <c r="AN84" t="s">
        <v>227</v>
      </c>
    </row>
    <row r="85" spans="9:40" x14ac:dyDescent="0.45">
      <c r="I85" t="s">
        <v>170</v>
      </c>
      <c r="J85" t="s">
        <v>155</v>
      </c>
      <c r="K85">
        <v>2.8193387634467906E-2</v>
      </c>
      <c r="L85" t="s">
        <v>153</v>
      </c>
      <c r="N85" t="s">
        <v>199</v>
      </c>
      <c r="O85" t="s">
        <v>155</v>
      </c>
      <c r="P85">
        <v>0.19031069533117881</v>
      </c>
      <c r="Q85" t="s">
        <v>153</v>
      </c>
      <c r="S85" t="s">
        <v>214</v>
      </c>
      <c r="T85" t="s">
        <v>155</v>
      </c>
      <c r="U85">
        <v>0.2086251326171118</v>
      </c>
      <c r="V85" t="s">
        <v>153</v>
      </c>
      <c r="AK85">
        <v>2040</v>
      </c>
      <c r="AL85" t="s">
        <v>147</v>
      </c>
      <c r="AM85">
        <v>0.17879999999999999</v>
      </c>
      <c r="AN85" t="s">
        <v>227</v>
      </c>
    </row>
    <row r="86" spans="9:40" x14ac:dyDescent="0.45">
      <c r="I86" t="s">
        <v>170</v>
      </c>
      <c r="J86" t="s">
        <v>156</v>
      </c>
      <c r="K86">
        <v>3.7676343341500867E-3</v>
      </c>
      <c r="L86" t="s">
        <v>153</v>
      </c>
      <c r="N86" t="s">
        <v>199</v>
      </c>
      <c r="O86" t="s">
        <v>156</v>
      </c>
      <c r="P86">
        <v>3.7011359791132264E-2</v>
      </c>
      <c r="Q86" t="s">
        <v>153</v>
      </c>
      <c r="S86" t="s">
        <v>214</v>
      </c>
      <c r="T86" t="s">
        <v>156</v>
      </c>
      <c r="U86">
        <v>5.428298868855758E-3</v>
      </c>
      <c r="V86" t="s">
        <v>153</v>
      </c>
      <c r="AK86">
        <v>2040</v>
      </c>
      <c r="AL86" t="s">
        <v>149</v>
      </c>
      <c r="AM86">
        <v>0.27439999999999998</v>
      </c>
      <c r="AN86" t="s">
        <v>227</v>
      </c>
    </row>
    <row r="87" spans="9:40" x14ac:dyDescent="0.45">
      <c r="I87" t="s">
        <v>170</v>
      </c>
      <c r="J87" t="s">
        <v>157</v>
      </c>
      <c r="K87">
        <v>8.1166439113527486E-2</v>
      </c>
      <c r="L87" t="s">
        <v>153</v>
      </c>
      <c r="N87" t="s">
        <v>199</v>
      </c>
      <c r="O87" t="s">
        <v>157</v>
      </c>
      <c r="P87">
        <v>3.9306708034710217E-2</v>
      </c>
      <c r="Q87" t="s">
        <v>153</v>
      </c>
      <c r="S87" t="s">
        <v>214</v>
      </c>
      <c r="T87" t="s">
        <v>157</v>
      </c>
      <c r="U87">
        <v>6.586110916027248E-3</v>
      </c>
      <c r="V87" t="s">
        <v>153</v>
      </c>
      <c r="AK87">
        <v>2041</v>
      </c>
      <c r="AL87" t="s">
        <v>141</v>
      </c>
      <c r="AM87">
        <v>0.20350000000000001</v>
      </c>
      <c r="AN87" t="s">
        <v>227</v>
      </c>
    </row>
    <row r="88" spans="9:40" x14ac:dyDescent="0.45">
      <c r="I88" t="s">
        <v>170</v>
      </c>
      <c r="J88" t="s">
        <v>158</v>
      </c>
      <c r="K88">
        <v>1.2013405806846078E-3</v>
      </c>
      <c r="L88" t="s">
        <v>153</v>
      </c>
      <c r="N88" t="s">
        <v>199</v>
      </c>
      <c r="O88" t="s">
        <v>158</v>
      </c>
      <c r="P88">
        <v>2.1900036708837778E-2</v>
      </c>
      <c r="Q88" t="s">
        <v>153</v>
      </c>
      <c r="S88" t="s">
        <v>214</v>
      </c>
      <c r="T88" t="s">
        <v>158</v>
      </c>
      <c r="U88">
        <v>4.091362372904527E-3</v>
      </c>
      <c r="V88" t="s">
        <v>153</v>
      </c>
      <c r="AK88">
        <v>2041</v>
      </c>
      <c r="AL88" t="s">
        <v>145</v>
      </c>
      <c r="AM88">
        <v>0.12825</v>
      </c>
      <c r="AN88" t="s">
        <v>227</v>
      </c>
    </row>
    <row r="89" spans="9:40" x14ac:dyDescent="0.45">
      <c r="I89" t="s">
        <v>170</v>
      </c>
      <c r="J89" t="s">
        <v>159</v>
      </c>
      <c r="K89">
        <v>3.5895491576029451E-3</v>
      </c>
      <c r="L89" t="s">
        <v>153</v>
      </c>
      <c r="N89" t="s">
        <v>199</v>
      </c>
      <c r="O89" t="s">
        <v>159</v>
      </c>
      <c r="P89">
        <v>5.1061498109886881E-2</v>
      </c>
      <c r="Q89" t="s">
        <v>153</v>
      </c>
      <c r="S89" t="s">
        <v>214</v>
      </c>
      <c r="T89" t="s">
        <v>159</v>
      </c>
      <c r="U89">
        <v>3.8683412563784943E-2</v>
      </c>
      <c r="V89" t="s">
        <v>153</v>
      </c>
      <c r="AK89">
        <v>2041</v>
      </c>
      <c r="AL89" t="s">
        <v>147</v>
      </c>
      <c r="AM89">
        <v>0.17615</v>
      </c>
      <c r="AN89" t="s">
        <v>227</v>
      </c>
    </row>
    <row r="90" spans="9:40" x14ac:dyDescent="0.45">
      <c r="I90" t="s">
        <v>170</v>
      </c>
      <c r="J90" t="s">
        <v>160</v>
      </c>
      <c r="K90">
        <v>8.4873920032704178E-2</v>
      </c>
      <c r="L90" t="s">
        <v>153</v>
      </c>
      <c r="N90" t="s">
        <v>199</v>
      </c>
      <c r="O90" t="s">
        <v>160</v>
      </c>
      <c r="P90">
        <v>4.5290856240219272E-2</v>
      </c>
      <c r="Q90" t="s">
        <v>153</v>
      </c>
      <c r="S90" t="s">
        <v>214</v>
      </c>
      <c r="T90" t="s">
        <v>160</v>
      </c>
      <c r="U90">
        <v>4.237919185228313E-2</v>
      </c>
      <c r="V90" t="s">
        <v>153</v>
      </c>
      <c r="AK90">
        <v>2041</v>
      </c>
      <c r="AL90" t="s">
        <v>149</v>
      </c>
      <c r="AM90">
        <v>0.18709999999999999</v>
      </c>
      <c r="AN90" t="s">
        <v>227</v>
      </c>
    </row>
    <row r="91" spans="9:40" x14ac:dyDescent="0.45">
      <c r="I91" t="s">
        <v>170</v>
      </c>
      <c r="J91" t="s">
        <v>161</v>
      </c>
      <c r="K91">
        <v>4.2879715995551558E-5</v>
      </c>
      <c r="L91" t="s">
        <v>153</v>
      </c>
      <c r="N91" t="s">
        <v>199</v>
      </c>
      <c r="O91" t="s">
        <v>161</v>
      </c>
      <c r="P91">
        <v>3.1810315643822966E-2</v>
      </c>
      <c r="Q91" t="s">
        <v>153</v>
      </c>
      <c r="S91" t="s">
        <v>214</v>
      </c>
      <c r="T91" t="s">
        <v>161</v>
      </c>
      <c r="U91">
        <v>2.7379882838852947E-2</v>
      </c>
      <c r="V91" t="s">
        <v>153</v>
      </c>
      <c r="AK91">
        <v>2042</v>
      </c>
      <c r="AL91" t="s">
        <v>141</v>
      </c>
      <c r="AM91">
        <v>0.23250999999999999</v>
      </c>
      <c r="AN91" t="s">
        <v>227</v>
      </c>
    </row>
    <row r="92" spans="9:40" x14ac:dyDescent="0.45">
      <c r="I92" t="s">
        <v>170</v>
      </c>
      <c r="J92" t="s">
        <v>162</v>
      </c>
      <c r="K92">
        <v>6.6590443551906587E-5</v>
      </c>
      <c r="L92" t="s">
        <v>153</v>
      </c>
      <c r="N92" t="s">
        <v>199</v>
      </c>
      <c r="O92" t="s">
        <v>162</v>
      </c>
      <c r="P92">
        <v>3.3489036078212756E-2</v>
      </c>
      <c r="Q92" t="s">
        <v>153</v>
      </c>
      <c r="S92" t="s">
        <v>214</v>
      </c>
      <c r="T92" t="s">
        <v>162</v>
      </c>
      <c r="U92">
        <v>2.1735811479499136E-2</v>
      </c>
      <c r="V92" t="s">
        <v>153</v>
      </c>
      <c r="AK92">
        <v>2042</v>
      </c>
      <c r="AL92" t="s">
        <v>145</v>
      </c>
      <c r="AM92">
        <v>0.12065000000000001</v>
      </c>
      <c r="AN92" t="s">
        <v>227</v>
      </c>
    </row>
    <row r="93" spans="9:40" x14ac:dyDescent="0.45">
      <c r="I93" t="s">
        <v>170</v>
      </c>
      <c r="J93" t="s">
        <v>163</v>
      </c>
      <c r="K93">
        <v>4.5934801779400784E-2</v>
      </c>
      <c r="L93" t="s">
        <v>153</v>
      </c>
      <c r="N93" t="s">
        <v>199</v>
      </c>
      <c r="O93" t="s">
        <v>163</v>
      </c>
      <c r="P93">
        <v>2.5178737201892672E-2</v>
      </c>
      <c r="Q93" t="s">
        <v>153</v>
      </c>
      <c r="S93" t="s">
        <v>214</v>
      </c>
      <c r="T93" t="s">
        <v>163</v>
      </c>
      <c r="U93">
        <v>2.8623756784717212E-2</v>
      </c>
      <c r="V93" t="s">
        <v>153</v>
      </c>
      <c r="AK93">
        <v>2042</v>
      </c>
      <c r="AL93" t="s">
        <v>147</v>
      </c>
      <c r="AM93">
        <v>0.24945000000000001</v>
      </c>
      <c r="AN93" t="s">
        <v>227</v>
      </c>
    </row>
    <row r="94" spans="9:40" x14ac:dyDescent="0.45">
      <c r="I94" t="s">
        <v>170</v>
      </c>
      <c r="J94" t="s">
        <v>164</v>
      </c>
      <c r="K94">
        <v>1.8277792346911848E-3</v>
      </c>
      <c r="L94" t="s">
        <v>153</v>
      </c>
      <c r="N94" t="s">
        <v>199</v>
      </c>
      <c r="O94" t="s">
        <v>164</v>
      </c>
      <c r="P94">
        <v>2.0077512495335792E-2</v>
      </c>
      <c r="Q94" t="s">
        <v>153</v>
      </c>
      <c r="S94" t="s">
        <v>214</v>
      </c>
      <c r="T94" t="s">
        <v>164</v>
      </c>
      <c r="U94">
        <v>1.9342154969177697E-2</v>
      </c>
      <c r="V94" t="s">
        <v>153</v>
      </c>
      <c r="AK94">
        <v>2042</v>
      </c>
      <c r="AL94" t="s">
        <v>149</v>
      </c>
      <c r="AM94">
        <v>0.30759999999999998</v>
      </c>
      <c r="AN94" t="s">
        <v>227</v>
      </c>
    </row>
    <row r="95" spans="9:40" x14ac:dyDescent="0.45">
      <c r="I95" t="s">
        <v>171</v>
      </c>
      <c r="J95" t="s">
        <v>152</v>
      </c>
      <c r="K95">
        <v>2.226515124276001E-2</v>
      </c>
      <c r="L95" t="s">
        <v>153</v>
      </c>
      <c r="N95" t="s">
        <v>200</v>
      </c>
      <c r="O95" t="s">
        <v>152</v>
      </c>
      <c r="P95">
        <v>0.26618331527484368</v>
      </c>
      <c r="Q95" t="s">
        <v>153</v>
      </c>
      <c r="S95" t="s">
        <v>215</v>
      </c>
      <c r="T95" t="s">
        <v>152</v>
      </c>
      <c r="U95">
        <v>0.28117509742030017</v>
      </c>
      <c r="V95" t="s">
        <v>153</v>
      </c>
      <c r="AK95">
        <v>2043</v>
      </c>
      <c r="AL95" t="s">
        <v>141</v>
      </c>
      <c r="AM95">
        <v>0.23647000000000001</v>
      </c>
      <c r="AN95" t="s">
        <v>227</v>
      </c>
    </row>
    <row r="96" spans="9:40" x14ac:dyDescent="0.45">
      <c r="I96" t="s">
        <v>171</v>
      </c>
      <c r="J96" t="s">
        <v>154</v>
      </c>
      <c r="K96">
        <v>0.72777857399367551</v>
      </c>
      <c r="L96" t="s">
        <v>153</v>
      </c>
      <c r="N96" t="s">
        <v>200</v>
      </c>
      <c r="O96" t="s">
        <v>154</v>
      </c>
      <c r="P96">
        <v>0.23885077976025412</v>
      </c>
      <c r="Q96" t="s">
        <v>153</v>
      </c>
      <c r="S96" t="s">
        <v>215</v>
      </c>
      <c r="T96" t="s">
        <v>154</v>
      </c>
      <c r="U96">
        <v>0.34243813595079381</v>
      </c>
      <c r="V96" t="s">
        <v>153</v>
      </c>
      <c r="AK96">
        <v>2043</v>
      </c>
      <c r="AL96" t="s">
        <v>145</v>
      </c>
      <c r="AM96">
        <v>0.11945</v>
      </c>
      <c r="AN96" t="s">
        <v>227</v>
      </c>
    </row>
    <row r="97" spans="9:40" x14ac:dyDescent="0.45">
      <c r="I97" t="s">
        <v>171</v>
      </c>
      <c r="J97" t="s">
        <v>155</v>
      </c>
      <c r="K97">
        <v>2.6183953020579812E-2</v>
      </c>
      <c r="L97" t="s">
        <v>153</v>
      </c>
      <c r="N97" t="s">
        <v>200</v>
      </c>
      <c r="O97" t="s">
        <v>155</v>
      </c>
      <c r="P97">
        <v>0.17175433632830195</v>
      </c>
      <c r="Q97" t="s">
        <v>153</v>
      </c>
      <c r="S97" t="s">
        <v>215</v>
      </c>
      <c r="T97" t="s">
        <v>155</v>
      </c>
      <c r="U97">
        <v>0.20507841743258384</v>
      </c>
      <c r="V97" t="s">
        <v>153</v>
      </c>
      <c r="AK97">
        <v>2043</v>
      </c>
      <c r="AL97" t="s">
        <v>147</v>
      </c>
      <c r="AM97">
        <v>0.24075000000000002</v>
      </c>
      <c r="AN97" t="s">
        <v>227</v>
      </c>
    </row>
    <row r="98" spans="9:40" x14ac:dyDescent="0.45">
      <c r="I98" t="s">
        <v>171</v>
      </c>
      <c r="J98" t="s">
        <v>156</v>
      </c>
      <c r="K98">
        <v>3.8613461806679883E-3</v>
      </c>
      <c r="L98" t="s">
        <v>153</v>
      </c>
      <c r="N98" t="s">
        <v>200</v>
      </c>
      <c r="O98" t="s">
        <v>156</v>
      </c>
      <c r="P98">
        <v>2.7972784327373216E-2</v>
      </c>
      <c r="Q98" t="s">
        <v>153</v>
      </c>
      <c r="S98" t="s">
        <v>215</v>
      </c>
      <c r="T98" t="s">
        <v>156</v>
      </c>
      <c r="U98">
        <v>5.0473162342957309E-3</v>
      </c>
      <c r="V98" t="s">
        <v>153</v>
      </c>
      <c r="AK98">
        <v>2043</v>
      </c>
      <c r="AL98" t="s">
        <v>149</v>
      </c>
      <c r="AM98">
        <v>0.29260000000000003</v>
      </c>
      <c r="AN98" t="s">
        <v>227</v>
      </c>
    </row>
    <row r="99" spans="9:40" x14ac:dyDescent="0.45">
      <c r="I99" t="s">
        <v>171</v>
      </c>
      <c r="J99" t="s">
        <v>157</v>
      </c>
      <c r="K99">
        <v>8.1523839929611028E-2</v>
      </c>
      <c r="L99" t="s">
        <v>153</v>
      </c>
      <c r="N99" t="s">
        <v>200</v>
      </c>
      <c r="O99" t="s">
        <v>157</v>
      </c>
      <c r="P99">
        <v>5.0601609042185698E-2</v>
      </c>
      <c r="Q99" t="s">
        <v>153</v>
      </c>
      <c r="S99" t="s">
        <v>215</v>
      </c>
      <c r="T99" t="s">
        <v>157</v>
      </c>
      <c r="U99">
        <v>6.7105505869064098E-3</v>
      </c>
      <c r="V99" t="s">
        <v>153</v>
      </c>
      <c r="AK99">
        <v>2044</v>
      </c>
      <c r="AL99" t="s">
        <v>141</v>
      </c>
      <c r="AM99">
        <v>0.24417</v>
      </c>
      <c r="AN99" t="s">
        <v>227</v>
      </c>
    </row>
    <row r="100" spans="9:40" x14ac:dyDescent="0.45">
      <c r="I100" t="s">
        <v>171</v>
      </c>
      <c r="J100" t="s">
        <v>158</v>
      </c>
      <c r="K100">
        <v>1.587379624988746E-4</v>
      </c>
      <c r="L100" t="s">
        <v>153</v>
      </c>
      <c r="N100" t="s">
        <v>200</v>
      </c>
      <c r="O100" t="s">
        <v>158</v>
      </c>
      <c r="P100">
        <v>1.8487690077752597E-2</v>
      </c>
      <c r="Q100" t="s">
        <v>153</v>
      </c>
      <c r="S100" t="s">
        <v>215</v>
      </c>
      <c r="T100" t="s">
        <v>158</v>
      </c>
      <c r="U100">
        <v>2.8983649754533271E-3</v>
      </c>
      <c r="V100" t="s">
        <v>153</v>
      </c>
      <c r="AK100">
        <v>2044</v>
      </c>
      <c r="AL100" t="s">
        <v>145</v>
      </c>
      <c r="AM100">
        <v>0.1772</v>
      </c>
      <c r="AN100" t="s">
        <v>227</v>
      </c>
    </row>
    <row r="101" spans="9:40" x14ac:dyDescent="0.45">
      <c r="I101" t="s">
        <v>171</v>
      </c>
      <c r="J101" t="s">
        <v>159</v>
      </c>
      <c r="K101">
        <v>3.7089443729724819E-3</v>
      </c>
      <c r="L101" t="s">
        <v>153</v>
      </c>
      <c r="N101" t="s">
        <v>200</v>
      </c>
      <c r="O101" t="s">
        <v>159</v>
      </c>
      <c r="P101">
        <v>4.8900614663135437E-2</v>
      </c>
      <c r="Q101" t="s">
        <v>153</v>
      </c>
      <c r="S101" t="s">
        <v>215</v>
      </c>
      <c r="T101" t="s">
        <v>159</v>
      </c>
      <c r="U101">
        <v>3.5170081089429983E-2</v>
      </c>
      <c r="V101" t="s">
        <v>153</v>
      </c>
      <c r="AK101">
        <v>2044</v>
      </c>
      <c r="AL101" t="s">
        <v>147</v>
      </c>
      <c r="AM101">
        <v>0.13789999999999999</v>
      </c>
      <c r="AN101" t="s">
        <v>227</v>
      </c>
    </row>
    <row r="102" spans="9:40" x14ac:dyDescent="0.45">
      <c r="I102" t="s">
        <v>171</v>
      </c>
      <c r="J102" t="s">
        <v>160</v>
      </c>
      <c r="K102">
        <v>8.5928665482797331E-2</v>
      </c>
      <c r="L102" t="s">
        <v>153</v>
      </c>
      <c r="N102" t="s">
        <v>200</v>
      </c>
      <c r="O102" t="s">
        <v>160</v>
      </c>
      <c r="P102">
        <v>6.5168401321845926E-2</v>
      </c>
      <c r="Q102" t="s">
        <v>153</v>
      </c>
      <c r="S102" t="s">
        <v>215</v>
      </c>
      <c r="T102" t="s">
        <v>160</v>
      </c>
      <c r="U102">
        <v>3.9389937064667348E-2</v>
      </c>
      <c r="V102" t="s">
        <v>153</v>
      </c>
      <c r="AK102">
        <v>2044</v>
      </c>
      <c r="AL102" t="s">
        <v>149</v>
      </c>
      <c r="AM102">
        <v>0.15570000000000001</v>
      </c>
      <c r="AN102" t="s">
        <v>227</v>
      </c>
    </row>
    <row r="103" spans="9:40" x14ac:dyDescent="0.45">
      <c r="I103" t="s">
        <v>171</v>
      </c>
      <c r="J103" t="s">
        <v>161</v>
      </c>
      <c r="K103">
        <v>0</v>
      </c>
      <c r="L103" t="s">
        <v>153</v>
      </c>
      <c r="N103" t="s">
        <v>200</v>
      </c>
      <c r="O103" t="s">
        <v>161</v>
      </c>
      <c r="P103">
        <v>2.3917073786556879E-2</v>
      </c>
      <c r="Q103" t="s">
        <v>153</v>
      </c>
      <c r="S103" t="s">
        <v>215</v>
      </c>
      <c r="T103" t="s">
        <v>161</v>
      </c>
      <c r="U103">
        <v>2.215736880733658E-2</v>
      </c>
      <c r="V103" t="s">
        <v>153</v>
      </c>
      <c r="AK103">
        <v>2045</v>
      </c>
      <c r="AL103" t="s">
        <v>141</v>
      </c>
      <c r="AM103">
        <v>0.20684</v>
      </c>
      <c r="AN103" t="s">
        <v>227</v>
      </c>
    </row>
    <row r="104" spans="9:40" x14ac:dyDescent="0.45">
      <c r="I104" t="s">
        <v>171</v>
      </c>
      <c r="J104" t="s">
        <v>162</v>
      </c>
      <c r="K104">
        <v>8.1914613068408268E-4</v>
      </c>
      <c r="L104" t="s">
        <v>153</v>
      </c>
      <c r="N104" t="s">
        <v>200</v>
      </c>
      <c r="O104" t="s">
        <v>162</v>
      </c>
      <c r="P104">
        <v>3.5946872847571726E-2</v>
      </c>
      <c r="Q104" t="s">
        <v>153</v>
      </c>
      <c r="S104" t="s">
        <v>215</v>
      </c>
      <c r="T104" t="s">
        <v>162</v>
      </c>
      <c r="U104">
        <v>1.8775088808781766E-2</v>
      </c>
      <c r="V104" t="s">
        <v>153</v>
      </c>
      <c r="AK104">
        <v>2045</v>
      </c>
      <c r="AL104" t="s">
        <v>145</v>
      </c>
      <c r="AM104">
        <v>7.8300000000000008E-2</v>
      </c>
      <c r="AN104" t="s">
        <v>227</v>
      </c>
    </row>
    <row r="105" spans="9:40" x14ac:dyDescent="0.45">
      <c r="I105" t="s">
        <v>171</v>
      </c>
      <c r="J105" t="s">
        <v>163</v>
      </c>
      <c r="K105">
        <v>4.7085885394821884E-2</v>
      </c>
      <c r="L105" t="s">
        <v>153</v>
      </c>
      <c r="N105" t="s">
        <v>200</v>
      </c>
      <c r="O105" t="s">
        <v>163</v>
      </c>
      <c r="P105">
        <v>3.5773009313560276E-2</v>
      </c>
      <c r="Q105" t="s">
        <v>153</v>
      </c>
      <c r="S105" t="s">
        <v>215</v>
      </c>
      <c r="T105" t="s">
        <v>163</v>
      </c>
      <c r="U105">
        <v>2.5809398418803566E-2</v>
      </c>
      <c r="V105" t="s">
        <v>153</v>
      </c>
      <c r="AK105">
        <v>2045</v>
      </c>
      <c r="AL105" t="s">
        <v>147</v>
      </c>
      <c r="AM105">
        <v>0.20995</v>
      </c>
      <c r="AN105" t="s">
        <v>227</v>
      </c>
    </row>
    <row r="106" spans="9:40" x14ac:dyDescent="0.45">
      <c r="I106" t="s">
        <v>171</v>
      </c>
      <c r="J106" t="s">
        <v>164</v>
      </c>
      <c r="K106">
        <v>6.8575628893399461E-4</v>
      </c>
      <c r="L106" t="s">
        <v>153</v>
      </c>
      <c r="N106" t="s">
        <v>200</v>
      </c>
      <c r="O106" t="s">
        <v>164</v>
      </c>
      <c r="P106">
        <v>1.6443513256616301E-2</v>
      </c>
      <c r="Q106" t="s">
        <v>153</v>
      </c>
      <c r="S106" t="s">
        <v>215</v>
      </c>
      <c r="T106" t="s">
        <v>164</v>
      </c>
      <c r="U106">
        <v>1.5350243210644749E-2</v>
      </c>
      <c r="V106" t="s">
        <v>153</v>
      </c>
      <c r="AK106">
        <v>2045</v>
      </c>
      <c r="AL106" t="s">
        <v>149</v>
      </c>
      <c r="AM106">
        <v>0.33439999999999998</v>
      </c>
      <c r="AN106" t="s">
        <v>227</v>
      </c>
    </row>
    <row r="107" spans="9:40" x14ac:dyDescent="0.45">
      <c r="I107" t="s">
        <v>172</v>
      </c>
      <c r="J107" t="s">
        <v>152</v>
      </c>
      <c r="K107">
        <v>1.5644901167861668E-2</v>
      </c>
      <c r="L107" t="s">
        <v>153</v>
      </c>
      <c r="N107" t="s">
        <v>201</v>
      </c>
      <c r="O107" t="s">
        <v>152</v>
      </c>
      <c r="P107">
        <v>0.26436018185549937</v>
      </c>
      <c r="Q107" t="s">
        <v>153</v>
      </c>
      <c r="S107" t="s">
        <v>216</v>
      </c>
      <c r="T107" t="s">
        <v>152</v>
      </c>
      <c r="U107">
        <v>0.29009242715946509</v>
      </c>
      <c r="V107" t="s">
        <v>153</v>
      </c>
      <c r="AK107">
        <v>2046</v>
      </c>
      <c r="AL107" t="s">
        <v>141</v>
      </c>
      <c r="AM107">
        <v>0.26700999999999997</v>
      </c>
      <c r="AN107" t="s">
        <v>227</v>
      </c>
    </row>
    <row r="108" spans="9:40" x14ac:dyDescent="0.45">
      <c r="I108" t="s">
        <v>172</v>
      </c>
      <c r="J108" t="s">
        <v>154</v>
      </c>
      <c r="K108">
        <v>0.71372201954737446</v>
      </c>
      <c r="L108" t="s">
        <v>153</v>
      </c>
      <c r="N108" t="s">
        <v>201</v>
      </c>
      <c r="O108" t="s">
        <v>154</v>
      </c>
      <c r="P108">
        <v>0.20102906431236978</v>
      </c>
      <c r="Q108" t="s">
        <v>153</v>
      </c>
      <c r="S108" t="s">
        <v>216</v>
      </c>
      <c r="T108" t="s">
        <v>154</v>
      </c>
      <c r="U108">
        <v>0.3519980678791001</v>
      </c>
      <c r="V108" t="s">
        <v>153</v>
      </c>
      <c r="AK108">
        <v>2046</v>
      </c>
      <c r="AL108" t="s">
        <v>145</v>
      </c>
      <c r="AM108">
        <v>0.12945000000000001</v>
      </c>
      <c r="AN108" t="s">
        <v>227</v>
      </c>
    </row>
    <row r="109" spans="9:40" x14ac:dyDescent="0.45">
      <c r="I109" t="s">
        <v>172</v>
      </c>
      <c r="J109" t="s">
        <v>155</v>
      </c>
      <c r="K109">
        <v>3.2472356082485769E-2</v>
      </c>
      <c r="L109" t="s">
        <v>153</v>
      </c>
      <c r="N109" t="s">
        <v>201</v>
      </c>
      <c r="O109" t="s">
        <v>155</v>
      </c>
      <c r="P109">
        <v>0.25341309506337684</v>
      </c>
      <c r="Q109" t="s">
        <v>153</v>
      </c>
      <c r="S109" t="s">
        <v>216</v>
      </c>
      <c r="T109" t="s">
        <v>155</v>
      </c>
      <c r="U109">
        <v>0.20607073893978484</v>
      </c>
      <c r="V109" t="s">
        <v>153</v>
      </c>
      <c r="AK109">
        <v>2046</v>
      </c>
      <c r="AL109" t="s">
        <v>147</v>
      </c>
      <c r="AM109">
        <v>0.19005</v>
      </c>
      <c r="AN109" t="s">
        <v>227</v>
      </c>
    </row>
    <row r="110" spans="9:40" x14ac:dyDescent="0.45">
      <c r="I110" t="s">
        <v>172</v>
      </c>
      <c r="J110" t="s">
        <v>156</v>
      </c>
      <c r="K110">
        <v>3.5580479407977864E-3</v>
      </c>
      <c r="L110" t="s">
        <v>153</v>
      </c>
      <c r="N110" t="s">
        <v>201</v>
      </c>
      <c r="O110" t="s">
        <v>156</v>
      </c>
      <c r="P110">
        <v>2.3695687548765994E-2</v>
      </c>
      <c r="Q110" t="s">
        <v>153</v>
      </c>
      <c r="S110" t="s">
        <v>216</v>
      </c>
      <c r="T110" t="s">
        <v>156</v>
      </c>
      <c r="U110">
        <v>4.6482889032770864E-3</v>
      </c>
      <c r="V110" t="s">
        <v>153</v>
      </c>
      <c r="AK110">
        <v>2046</v>
      </c>
      <c r="AL110" t="s">
        <v>149</v>
      </c>
      <c r="AM110">
        <v>0.26719999999999999</v>
      </c>
      <c r="AN110" t="s">
        <v>227</v>
      </c>
    </row>
    <row r="111" spans="9:40" x14ac:dyDescent="0.45">
      <c r="I111" t="s">
        <v>172</v>
      </c>
      <c r="J111" t="s">
        <v>157</v>
      </c>
      <c r="K111">
        <v>8.6090102401868207E-2</v>
      </c>
      <c r="L111" t="s">
        <v>153</v>
      </c>
      <c r="N111" t="s">
        <v>201</v>
      </c>
      <c r="O111" t="s">
        <v>157</v>
      </c>
      <c r="P111">
        <v>3.2680858203979021E-2</v>
      </c>
      <c r="Q111" t="s">
        <v>153</v>
      </c>
      <c r="S111" t="s">
        <v>216</v>
      </c>
      <c r="T111" t="s">
        <v>157</v>
      </c>
      <c r="U111">
        <v>6.5076391910892416E-3</v>
      </c>
      <c r="V111" t="s">
        <v>153</v>
      </c>
      <c r="AK111">
        <v>2047</v>
      </c>
      <c r="AL111" t="s">
        <v>141</v>
      </c>
      <c r="AM111">
        <v>0.24546999999999999</v>
      </c>
      <c r="AN111" t="s">
        <v>227</v>
      </c>
    </row>
    <row r="112" spans="9:40" x14ac:dyDescent="0.45">
      <c r="I112" t="s">
        <v>172</v>
      </c>
      <c r="J112" t="s">
        <v>158</v>
      </c>
      <c r="K112">
        <v>2.9131002290824931E-3</v>
      </c>
      <c r="L112" t="s">
        <v>153</v>
      </c>
      <c r="N112" t="s">
        <v>201</v>
      </c>
      <c r="O112" t="s">
        <v>158</v>
      </c>
      <c r="P112">
        <v>1.5506513074577953E-2</v>
      </c>
      <c r="Q112" t="s">
        <v>153</v>
      </c>
      <c r="S112" t="s">
        <v>216</v>
      </c>
      <c r="T112" t="s">
        <v>158</v>
      </c>
      <c r="U112">
        <v>2.102424424689E-3</v>
      </c>
      <c r="V112" t="s">
        <v>153</v>
      </c>
      <c r="AK112">
        <v>2047</v>
      </c>
      <c r="AL112" t="s">
        <v>145</v>
      </c>
      <c r="AM112">
        <v>0.15279999999999999</v>
      </c>
      <c r="AN112" t="s">
        <v>227</v>
      </c>
    </row>
    <row r="113" spans="9:40" x14ac:dyDescent="0.45">
      <c r="I113" t="s">
        <v>172</v>
      </c>
      <c r="J113" t="s">
        <v>159</v>
      </c>
      <c r="K113">
        <v>1.9014501687913479E-3</v>
      </c>
      <c r="L113" t="s">
        <v>153</v>
      </c>
      <c r="N113" t="s">
        <v>201</v>
      </c>
      <c r="O113" t="s">
        <v>159</v>
      </c>
      <c r="P113">
        <v>4.7463984606646317E-2</v>
      </c>
      <c r="Q113" t="s">
        <v>153</v>
      </c>
      <c r="S113" t="s">
        <v>216</v>
      </c>
      <c r="T113" t="s">
        <v>159</v>
      </c>
      <c r="U113">
        <v>2.9647526722506767E-2</v>
      </c>
      <c r="V113" t="s">
        <v>153</v>
      </c>
      <c r="AK113">
        <v>2047</v>
      </c>
      <c r="AL113" t="s">
        <v>147</v>
      </c>
      <c r="AM113">
        <v>0.14860000000000001</v>
      </c>
      <c r="AN113" t="s">
        <v>227</v>
      </c>
    </row>
    <row r="114" spans="9:40" x14ac:dyDescent="0.45">
      <c r="I114" t="s">
        <v>172</v>
      </c>
      <c r="J114" t="s">
        <v>160</v>
      </c>
      <c r="K114">
        <v>8.871341188068517E-2</v>
      </c>
      <c r="L114" t="s">
        <v>153</v>
      </c>
      <c r="N114" t="s">
        <v>201</v>
      </c>
      <c r="O114" t="s">
        <v>160</v>
      </c>
      <c r="P114">
        <v>4.6093136510181112E-2</v>
      </c>
      <c r="Q114" t="s">
        <v>153</v>
      </c>
      <c r="S114" t="s">
        <v>216</v>
      </c>
      <c r="T114" t="s">
        <v>160</v>
      </c>
      <c r="U114">
        <v>3.5616446684075896E-2</v>
      </c>
      <c r="V114" t="s">
        <v>153</v>
      </c>
      <c r="AK114">
        <v>2047</v>
      </c>
      <c r="AL114" t="s">
        <v>149</v>
      </c>
      <c r="AM114">
        <v>0.18840000000000001</v>
      </c>
      <c r="AN114" t="s">
        <v>227</v>
      </c>
    </row>
    <row r="115" spans="9:40" x14ac:dyDescent="0.45">
      <c r="I115" t="s">
        <v>172</v>
      </c>
      <c r="J115" t="s">
        <v>161</v>
      </c>
      <c r="K115">
        <v>3.131809052957216E-3</v>
      </c>
      <c r="L115" t="s">
        <v>153</v>
      </c>
      <c r="N115" t="s">
        <v>201</v>
      </c>
      <c r="O115" t="s">
        <v>161</v>
      </c>
      <c r="P115">
        <v>2.258350649699209E-2</v>
      </c>
      <c r="Q115" t="s">
        <v>153</v>
      </c>
      <c r="S115" t="s">
        <v>216</v>
      </c>
      <c r="T115" t="s">
        <v>161</v>
      </c>
      <c r="U115">
        <v>1.8592157964628341E-2</v>
      </c>
      <c r="V115" t="s">
        <v>153</v>
      </c>
      <c r="AK115">
        <v>2048</v>
      </c>
      <c r="AL115" t="s">
        <v>141</v>
      </c>
      <c r="AM115">
        <v>0.18973999999999999</v>
      </c>
      <c r="AN115" t="s">
        <v>227</v>
      </c>
    </row>
    <row r="116" spans="9:40" x14ac:dyDescent="0.45">
      <c r="I116" t="s">
        <v>172</v>
      </c>
      <c r="J116" t="s">
        <v>162</v>
      </c>
      <c r="K116">
        <v>1.4733673024582121E-6</v>
      </c>
      <c r="L116" t="s">
        <v>153</v>
      </c>
      <c r="N116" t="s">
        <v>201</v>
      </c>
      <c r="O116" t="s">
        <v>162</v>
      </c>
      <c r="P116">
        <v>3.9970283695462086E-2</v>
      </c>
      <c r="Q116" t="s">
        <v>153</v>
      </c>
      <c r="S116" t="s">
        <v>216</v>
      </c>
      <c r="T116" t="s">
        <v>162</v>
      </c>
      <c r="U116">
        <v>1.7501012036163516E-2</v>
      </c>
      <c r="V116" t="s">
        <v>153</v>
      </c>
      <c r="AK116">
        <v>2048</v>
      </c>
      <c r="AL116" t="s">
        <v>145</v>
      </c>
      <c r="AM116">
        <v>0.14255000000000001</v>
      </c>
      <c r="AN116" t="s">
        <v>227</v>
      </c>
    </row>
    <row r="117" spans="9:40" x14ac:dyDescent="0.45">
      <c r="I117" t="s">
        <v>172</v>
      </c>
      <c r="J117" t="s">
        <v>163</v>
      </c>
      <c r="K117">
        <v>4.9713229699281887E-2</v>
      </c>
      <c r="L117" t="s">
        <v>153</v>
      </c>
      <c r="N117" t="s">
        <v>201</v>
      </c>
      <c r="O117" t="s">
        <v>163</v>
      </c>
      <c r="P117">
        <v>3.2798013196599508E-2</v>
      </c>
      <c r="Q117" t="s">
        <v>153</v>
      </c>
      <c r="S117" t="s">
        <v>216</v>
      </c>
      <c r="T117" t="s">
        <v>163</v>
      </c>
      <c r="U117">
        <v>2.4636690185506824E-2</v>
      </c>
      <c r="V117" t="s">
        <v>153</v>
      </c>
      <c r="AK117">
        <v>2048</v>
      </c>
      <c r="AL117" t="s">
        <v>147</v>
      </c>
      <c r="AM117">
        <v>0.22319999999999998</v>
      </c>
      <c r="AN117" t="s">
        <v>227</v>
      </c>
    </row>
    <row r="118" spans="9:40" x14ac:dyDescent="0.45">
      <c r="I118" t="s">
        <v>172</v>
      </c>
      <c r="J118" t="s">
        <v>164</v>
      </c>
      <c r="K118">
        <v>2.1380984615123342E-3</v>
      </c>
      <c r="L118" t="s">
        <v>153</v>
      </c>
      <c r="N118" t="s">
        <v>201</v>
      </c>
      <c r="O118" t="s">
        <v>164</v>
      </c>
      <c r="P118">
        <v>2.0405675435547051E-2</v>
      </c>
      <c r="Q118" t="s">
        <v>153</v>
      </c>
      <c r="S118" t="s">
        <v>216</v>
      </c>
      <c r="T118" t="s">
        <v>164</v>
      </c>
      <c r="U118">
        <v>1.2586579909715777E-2</v>
      </c>
      <c r="V118" t="s">
        <v>153</v>
      </c>
      <c r="AK118">
        <v>2048</v>
      </c>
      <c r="AL118" t="s">
        <v>149</v>
      </c>
      <c r="AM118">
        <v>0.26939999999999997</v>
      </c>
      <c r="AN118" t="s">
        <v>227</v>
      </c>
    </row>
    <row r="119" spans="9:40" x14ac:dyDescent="0.45">
      <c r="I119" t="s">
        <v>173</v>
      </c>
      <c r="J119" t="s">
        <v>152</v>
      </c>
      <c r="K119">
        <v>1.6154465824501866E-2</v>
      </c>
      <c r="L119" t="s">
        <v>153</v>
      </c>
      <c r="N119" t="s">
        <v>202</v>
      </c>
      <c r="O119" t="s">
        <v>152</v>
      </c>
      <c r="P119">
        <v>0.16007400889332538</v>
      </c>
      <c r="Q119" t="s">
        <v>153</v>
      </c>
      <c r="S119" t="s">
        <v>217</v>
      </c>
      <c r="T119" t="s">
        <v>152</v>
      </c>
      <c r="U119">
        <v>0.29313923975923584</v>
      </c>
      <c r="V119" t="s">
        <v>153</v>
      </c>
      <c r="AK119">
        <v>2049</v>
      </c>
      <c r="AL119" t="s">
        <v>141</v>
      </c>
      <c r="AM119">
        <v>0.20896999999999996</v>
      </c>
      <c r="AN119" t="s">
        <v>227</v>
      </c>
    </row>
    <row r="120" spans="9:40" x14ac:dyDescent="0.45">
      <c r="I120" t="s">
        <v>173</v>
      </c>
      <c r="J120" t="s">
        <v>154</v>
      </c>
      <c r="K120">
        <v>0.72188804822159847</v>
      </c>
      <c r="L120" t="s">
        <v>153</v>
      </c>
      <c r="N120" t="s">
        <v>202</v>
      </c>
      <c r="O120" t="s">
        <v>154</v>
      </c>
      <c r="P120">
        <v>0.3107711386933511</v>
      </c>
      <c r="Q120" t="s">
        <v>153</v>
      </c>
      <c r="S120" t="s">
        <v>217</v>
      </c>
      <c r="T120" t="s">
        <v>154</v>
      </c>
      <c r="U120">
        <v>0.36007277152000855</v>
      </c>
      <c r="V120" t="s">
        <v>153</v>
      </c>
      <c r="AK120">
        <v>2049</v>
      </c>
      <c r="AL120" t="s">
        <v>145</v>
      </c>
      <c r="AM120">
        <v>0.13439999999999999</v>
      </c>
      <c r="AN120" t="s">
        <v>227</v>
      </c>
    </row>
    <row r="121" spans="9:40" x14ac:dyDescent="0.45">
      <c r="I121" t="s">
        <v>173</v>
      </c>
      <c r="J121" t="s">
        <v>155</v>
      </c>
      <c r="K121">
        <v>3.1979613741036292E-2</v>
      </c>
      <c r="L121" t="s">
        <v>153</v>
      </c>
      <c r="N121" t="s">
        <v>202</v>
      </c>
      <c r="O121" t="s">
        <v>155</v>
      </c>
      <c r="P121">
        <v>0.19526264931184945</v>
      </c>
      <c r="Q121" t="s">
        <v>153</v>
      </c>
      <c r="S121" t="s">
        <v>217</v>
      </c>
      <c r="T121" t="s">
        <v>155</v>
      </c>
      <c r="U121">
        <v>0.20795551973596452</v>
      </c>
      <c r="V121" t="s">
        <v>153</v>
      </c>
      <c r="AK121">
        <v>2049</v>
      </c>
      <c r="AL121" t="s">
        <v>147</v>
      </c>
      <c r="AM121">
        <v>0.1429</v>
      </c>
      <c r="AN121" t="s">
        <v>227</v>
      </c>
    </row>
    <row r="122" spans="9:40" x14ac:dyDescent="0.45">
      <c r="I122" t="s">
        <v>173</v>
      </c>
      <c r="J122" t="s">
        <v>156</v>
      </c>
      <c r="K122">
        <v>3.249651368442655E-3</v>
      </c>
      <c r="L122" t="s">
        <v>153</v>
      </c>
      <c r="N122" t="s">
        <v>202</v>
      </c>
      <c r="O122" t="s">
        <v>156</v>
      </c>
      <c r="P122">
        <v>2.7013576865258716E-2</v>
      </c>
      <c r="Q122" t="s">
        <v>153</v>
      </c>
      <c r="S122" t="s">
        <v>217</v>
      </c>
      <c r="T122" t="s">
        <v>156</v>
      </c>
      <c r="U122">
        <v>4.0349669612173358E-3</v>
      </c>
      <c r="V122" t="s">
        <v>153</v>
      </c>
      <c r="AK122">
        <v>2049</v>
      </c>
      <c r="AL122" t="s">
        <v>149</v>
      </c>
      <c r="AM122">
        <v>0.1532</v>
      </c>
      <c r="AN122" t="s">
        <v>227</v>
      </c>
    </row>
    <row r="123" spans="9:40" x14ac:dyDescent="0.45">
      <c r="I123" t="s">
        <v>173</v>
      </c>
      <c r="J123" t="s">
        <v>157</v>
      </c>
      <c r="K123">
        <v>8.173833385491909E-2</v>
      </c>
      <c r="L123" t="s">
        <v>153</v>
      </c>
      <c r="N123" t="s">
        <v>202</v>
      </c>
      <c r="O123" t="s">
        <v>157</v>
      </c>
      <c r="P123">
        <v>3.6098840037183728E-2</v>
      </c>
      <c r="Q123" t="s">
        <v>153</v>
      </c>
      <c r="S123" t="s">
        <v>217</v>
      </c>
      <c r="T123" t="s">
        <v>157</v>
      </c>
      <c r="U123">
        <v>5.252131166396173E-3</v>
      </c>
      <c r="V123" t="s">
        <v>153</v>
      </c>
      <c r="AK123">
        <v>2050</v>
      </c>
      <c r="AL123" t="s">
        <v>141</v>
      </c>
      <c r="AM123">
        <v>0.22615999999999997</v>
      </c>
      <c r="AN123" t="s">
        <v>227</v>
      </c>
    </row>
    <row r="124" spans="9:40" x14ac:dyDescent="0.45">
      <c r="I124" t="s">
        <v>173</v>
      </c>
      <c r="J124" t="s">
        <v>158</v>
      </c>
      <c r="K124">
        <v>2.8513597468362993E-3</v>
      </c>
      <c r="L124" t="s">
        <v>153</v>
      </c>
      <c r="N124" t="s">
        <v>202</v>
      </c>
      <c r="O124" t="s">
        <v>158</v>
      </c>
      <c r="P124">
        <v>1.5522932086497614E-2</v>
      </c>
      <c r="Q124" t="s">
        <v>153</v>
      </c>
      <c r="S124" t="s">
        <v>217</v>
      </c>
      <c r="T124" t="s">
        <v>158</v>
      </c>
      <c r="U124">
        <v>1.9308096890529119E-3</v>
      </c>
      <c r="V124" t="s">
        <v>153</v>
      </c>
      <c r="AK124">
        <v>2050</v>
      </c>
      <c r="AL124" t="s">
        <v>145</v>
      </c>
      <c r="AM124">
        <v>0.19500000000000001</v>
      </c>
      <c r="AN124" t="s">
        <v>227</v>
      </c>
    </row>
    <row r="125" spans="9:40" x14ac:dyDescent="0.45">
      <c r="I125" t="s">
        <v>173</v>
      </c>
      <c r="J125" t="s">
        <v>159</v>
      </c>
      <c r="K125">
        <v>1.6201566615508018E-3</v>
      </c>
      <c r="L125" t="s">
        <v>153</v>
      </c>
      <c r="N125" t="s">
        <v>202</v>
      </c>
      <c r="O125" t="s">
        <v>159</v>
      </c>
      <c r="P125">
        <v>5.2479649735873803E-2</v>
      </c>
      <c r="Q125" t="s">
        <v>153</v>
      </c>
      <c r="S125" t="s">
        <v>217</v>
      </c>
      <c r="T125" t="s">
        <v>159</v>
      </c>
      <c r="U125">
        <v>2.7396605568254132E-2</v>
      </c>
      <c r="V125" t="s">
        <v>153</v>
      </c>
      <c r="AK125">
        <v>2050</v>
      </c>
      <c r="AL125" t="s">
        <v>147</v>
      </c>
      <c r="AM125">
        <v>0.24059999999999998</v>
      </c>
      <c r="AN125" t="s">
        <v>227</v>
      </c>
    </row>
    <row r="126" spans="9:40" x14ac:dyDescent="0.45">
      <c r="I126" t="s">
        <v>173</v>
      </c>
      <c r="J126" t="s">
        <v>160</v>
      </c>
      <c r="K126">
        <v>8.4811456750110648E-2</v>
      </c>
      <c r="L126" t="s">
        <v>153</v>
      </c>
      <c r="N126" t="s">
        <v>202</v>
      </c>
      <c r="O126" t="s">
        <v>160</v>
      </c>
      <c r="P126">
        <v>5.6587569078919299E-2</v>
      </c>
      <c r="Q126" t="s">
        <v>153</v>
      </c>
      <c r="S126" t="s">
        <v>217</v>
      </c>
      <c r="T126" t="s">
        <v>160</v>
      </c>
      <c r="U126">
        <v>3.2740108669811661E-2</v>
      </c>
      <c r="V126" t="s">
        <v>153</v>
      </c>
      <c r="AK126">
        <v>2050</v>
      </c>
      <c r="AL126" t="s">
        <v>149</v>
      </c>
      <c r="AM126">
        <v>0.26319999999999999</v>
      </c>
      <c r="AN126" t="s">
        <v>227</v>
      </c>
    </row>
    <row r="127" spans="9:40" x14ac:dyDescent="0.45">
      <c r="I127" t="s">
        <v>173</v>
      </c>
      <c r="J127" t="s">
        <v>161</v>
      </c>
      <c r="K127">
        <v>3.4393981000087198E-3</v>
      </c>
      <c r="L127" t="s">
        <v>153</v>
      </c>
      <c r="N127" t="s">
        <v>202</v>
      </c>
      <c r="O127" t="s">
        <v>161</v>
      </c>
      <c r="P127">
        <v>2.0720476664472777E-2</v>
      </c>
      <c r="Q127" t="s">
        <v>153</v>
      </c>
      <c r="S127" t="s">
        <v>217</v>
      </c>
      <c r="T127" t="s">
        <v>161</v>
      </c>
      <c r="U127">
        <v>1.5870144696608499E-2</v>
      </c>
      <c r="V127" t="s">
        <v>153</v>
      </c>
    </row>
    <row r="128" spans="9:40" x14ac:dyDescent="0.45">
      <c r="I128" t="s">
        <v>173</v>
      </c>
      <c r="J128" t="s">
        <v>162</v>
      </c>
      <c r="K128">
        <v>0</v>
      </c>
      <c r="L128" t="s">
        <v>153</v>
      </c>
      <c r="N128" t="s">
        <v>202</v>
      </c>
      <c r="O128" t="s">
        <v>162</v>
      </c>
      <c r="P128">
        <v>5.0508177415492461E-2</v>
      </c>
      <c r="Q128" t="s">
        <v>153</v>
      </c>
      <c r="S128" t="s">
        <v>217</v>
      </c>
      <c r="T128" t="s">
        <v>162</v>
      </c>
      <c r="U128">
        <v>1.6857173468145942E-2</v>
      </c>
      <c r="V128" t="s">
        <v>153</v>
      </c>
    </row>
    <row r="129" spans="9:22" x14ac:dyDescent="0.45">
      <c r="I129" t="s">
        <v>173</v>
      </c>
      <c r="J129" t="s">
        <v>163</v>
      </c>
      <c r="K129">
        <v>4.9980404452530817E-2</v>
      </c>
      <c r="L129" t="s">
        <v>153</v>
      </c>
      <c r="N129" t="s">
        <v>202</v>
      </c>
      <c r="O129" t="s">
        <v>163</v>
      </c>
      <c r="P129">
        <v>5.4604174851401108E-2</v>
      </c>
      <c r="Q129" t="s">
        <v>153</v>
      </c>
      <c r="S129" t="s">
        <v>217</v>
      </c>
      <c r="T129" t="s">
        <v>163</v>
      </c>
      <c r="U129">
        <v>2.2610541847538457E-2</v>
      </c>
      <c r="V129" t="s">
        <v>153</v>
      </c>
    </row>
    <row r="130" spans="9:22" x14ac:dyDescent="0.45">
      <c r="I130" t="s">
        <v>173</v>
      </c>
      <c r="J130" t="s">
        <v>164</v>
      </c>
      <c r="K130">
        <v>2.2871112784651291E-3</v>
      </c>
      <c r="L130" t="s">
        <v>153</v>
      </c>
      <c r="N130" t="s">
        <v>202</v>
      </c>
      <c r="O130" t="s">
        <v>164</v>
      </c>
      <c r="P130">
        <v>2.0356806366375275E-2</v>
      </c>
      <c r="Q130" t="s">
        <v>153</v>
      </c>
      <c r="S130" t="s">
        <v>217</v>
      </c>
      <c r="T130" t="s">
        <v>164</v>
      </c>
      <c r="U130">
        <v>1.2139986917768906E-2</v>
      </c>
      <c r="V130" t="s">
        <v>153</v>
      </c>
    </row>
    <row r="131" spans="9:22" x14ac:dyDescent="0.45">
      <c r="I131" t="s">
        <v>174</v>
      </c>
      <c r="J131" t="s">
        <v>152</v>
      </c>
      <c r="K131">
        <v>1.870639646060682E-2</v>
      </c>
      <c r="L131" t="s">
        <v>153</v>
      </c>
      <c r="N131" t="s">
        <v>203</v>
      </c>
      <c r="O131" t="s">
        <v>152</v>
      </c>
      <c r="P131">
        <v>0.2353001394038518</v>
      </c>
      <c r="Q131" t="s">
        <v>153</v>
      </c>
    </row>
    <row r="132" spans="9:22" x14ac:dyDescent="0.45">
      <c r="I132" t="s">
        <v>174</v>
      </c>
      <c r="J132" t="s">
        <v>154</v>
      </c>
      <c r="K132">
        <v>0.72357541325961872</v>
      </c>
      <c r="L132" t="s">
        <v>153</v>
      </c>
      <c r="N132" t="s">
        <v>203</v>
      </c>
      <c r="O132" t="s">
        <v>154</v>
      </c>
      <c r="P132">
        <v>0.25981662649843756</v>
      </c>
      <c r="Q132" t="s">
        <v>153</v>
      </c>
    </row>
    <row r="133" spans="9:22" x14ac:dyDescent="0.45">
      <c r="I133" t="s">
        <v>174</v>
      </c>
      <c r="J133" t="s">
        <v>155</v>
      </c>
      <c r="K133">
        <v>2.9457315752534664E-2</v>
      </c>
      <c r="L133" t="s">
        <v>153</v>
      </c>
      <c r="N133" t="s">
        <v>203</v>
      </c>
      <c r="O133" t="s">
        <v>155</v>
      </c>
      <c r="P133">
        <v>0.21452297631002662</v>
      </c>
      <c r="Q133" t="s">
        <v>153</v>
      </c>
    </row>
    <row r="134" spans="9:22" x14ac:dyDescent="0.45">
      <c r="I134" t="s">
        <v>174</v>
      </c>
      <c r="J134" t="s">
        <v>156</v>
      </c>
      <c r="K134">
        <v>3.59998388391446E-3</v>
      </c>
      <c r="L134" t="s">
        <v>153</v>
      </c>
      <c r="N134" t="s">
        <v>203</v>
      </c>
      <c r="O134" t="s">
        <v>156</v>
      </c>
      <c r="P134">
        <v>2.3242006847949942E-2</v>
      </c>
      <c r="Q134" t="s">
        <v>153</v>
      </c>
    </row>
    <row r="135" spans="9:22" x14ac:dyDescent="0.45">
      <c r="I135" t="s">
        <v>174</v>
      </c>
      <c r="J135" t="s">
        <v>157</v>
      </c>
      <c r="K135">
        <v>8.4171238621471509E-2</v>
      </c>
      <c r="L135" t="s">
        <v>153</v>
      </c>
      <c r="N135" t="s">
        <v>203</v>
      </c>
      <c r="O135" t="s">
        <v>157</v>
      </c>
      <c r="P135">
        <v>3.6292462251182218E-2</v>
      </c>
      <c r="Q135" t="s">
        <v>153</v>
      </c>
    </row>
    <row r="136" spans="9:22" x14ac:dyDescent="0.45">
      <c r="I136" t="s">
        <v>174</v>
      </c>
      <c r="J136" t="s">
        <v>158</v>
      </c>
      <c r="K136">
        <v>3.032263150305024E-3</v>
      </c>
      <c r="L136" t="s">
        <v>153</v>
      </c>
      <c r="N136" t="s">
        <v>203</v>
      </c>
      <c r="O136" t="s">
        <v>158</v>
      </c>
      <c r="P136">
        <v>1.5198753240688395E-2</v>
      </c>
      <c r="Q136" t="s">
        <v>153</v>
      </c>
    </row>
    <row r="137" spans="9:22" x14ac:dyDescent="0.45">
      <c r="I137" t="s">
        <v>174</v>
      </c>
      <c r="J137" t="s">
        <v>159</v>
      </c>
      <c r="K137">
        <v>2.8885421422528848E-3</v>
      </c>
      <c r="L137" t="s">
        <v>153</v>
      </c>
      <c r="N137" t="s">
        <v>203</v>
      </c>
      <c r="O137" t="s">
        <v>159</v>
      </c>
      <c r="P137">
        <v>4.1270410732151652E-2</v>
      </c>
      <c r="Q137" t="s">
        <v>153</v>
      </c>
    </row>
    <row r="138" spans="9:22" x14ac:dyDescent="0.45">
      <c r="I138" t="s">
        <v>174</v>
      </c>
      <c r="J138" t="s">
        <v>160</v>
      </c>
      <c r="K138">
        <v>8.3532765841405038E-2</v>
      </c>
      <c r="L138" t="s">
        <v>153</v>
      </c>
      <c r="N138" t="s">
        <v>203</v>
      </c>
      <c r="O138" t="s">
        <v>160</v>
      </c>
      <c r="P138">
        <v>6.1761995191263692E-2</v>
      </c>
      <c r="Q138" t="s">
        <v>153</v>
      </c>
    </row>
    <row r="139" spans="9:22" x14ac:dyDescent="0.45">
      <c r="I139" t="s">
        <v>174</v>
      </c>
      <c r="J139" t="s">
        <v>161</v>
      </c>
      <c r="K139">
        <v>2.7496339406397107E-3</v>
      </c>
      <c r="L139" t="s">
        <v>153</v>
      </c>
      <c r="N139" t="s">
        <v>203</v>
      </c>
      <c r="O139" t="s">
        <v>161</v>
      </c>
      <c r="P139">
        <v>2.0648057664777834E-2</v>
      </c>
      <c r="Q139" t="s">
        <v>153</v>
      </c>
    </row>
    <row r="140" spans="9:22" x14ac:dyDescent="0.45">
      <c r="I140" t="s">
        <v>174</v>
      </c>
      <c r="J140" t="s">
        <v>162</v>
      </c>
      <c r="K140">
        <v>0</v>
      </c>
      <c r="L140" t="s">
        <v>153</v>
      </c>
      <c r="N140" t="s">
        <v>203</v>
      </c>
      <c r="O140" t="s">
        <v>162</v>
      </c>
      <c r="P140">
        <v>3.5375028480744267E-2</v>
      </c>
      <c r="Q140" t="s">
        <v>153</v>
      </c>
    </row>
    <row r="141" spans="9:22" x14ac:dyDescent="0.45">
      <c r="I141" t="s">
        <v>174</v>
      </c>
      <c r="J141" t="s">
        <v>163</v>
      </c>
      <c r="K141">
        <v>4.6369578197049816E-2</v>
      </c>
      <c r="L141" t="s">
        <v>153</v>
      </c>
      <c r="N141" t="s">
        <v>203</v>
      </c>
      <c r="O141" t="s">
        <v>163</v>
      </c>
      <c r="P141">
        <v>3.6564244401657724E-2</v>
      </c>
      <c r="Q141" t="s">
        <v>153</v>
      </c>
    </row>
    <row r="142" spans="9:22" x14ac:dyDescent="0.45">
      <c r="I142" t="s">
        <v>174</v>
      </c>
      <c r="J142" t="s">
        <v>164</v>
      </c>
      <c r="K142">
        <v>1.9168687502030949E-3</v>
      </c>
      <c r="L142" t="s">
        <v>153</v>
      </c>
      <c r="N142" t="s">
        <v>203</v>
      </c>
      <c r="O142" t="s">
        <v>164</v>
      </c>
      <c r="P142">
        <v>2.0007298977263836E-2</v>
      </c>
      <c r="Q142" t="s">
        <v>153</v>
      </c>
    </row>
    <row r="143" spans="9:22" x14ac:dyDescent="0.45">
      <c r="I143" t="s">
        <v>175</v>
      </c>
      <c r="J143" t="s">
        <v>152</v>
      </c>
      <c r="K143">
        <v>2.0371195259975959E-2</v>
      </c>
      <c r="L143" t="s">
        <v>153</v>
      </c>
      <c r="N143" t="s">
        <v>204</v>
      </c>
      <c r="O143" t="s">
        <v>152</v>
      </c>
      <c r="P143">
        <v>0.29406794398264652</v>
      </c>
      <c r="Q143" t="s">
        <v>153</v>
      </c>
    </row>
    <row r="144" spans="9:22" x14ac:dyDescent="0.45">
      <c r="I144" t="s">
        <v>175</v>
      </c>
      <c r="J144" t="s">
        <v>154</v>
      </c>
      <c r="K144">
        <v>0.77686625283157285</v>
      </c>
      <c r="L144" t="s">
        <v>153</v>
      </c>
      <c r="N144" t="s">
        <v>204</v>
      </c>
      <c r="O144" t="s">
        <v>154</v>
      </c>
      <c r="P144">
        <v>0.29688097280828823</v>
      </c>
      <c r="Q144" t="s">
        <v>153</v>
      </c>
    </row>
    <row r="145" spans="9:17" x14ac:dyDescent="0.45">
      <c r="I145" t="s">
        <v>175</v>
      </c>
      <c r="J145" t="s">
        <v>155</v>
      </c>
      <c r="K145">
        <v>3.0190046966923359E-2</v>
      </c>
      <c r="L145" t="s">
        <v>153</v>
      </c>
      <c r="N145" t="s">
        <v>204</v>
      </c>
      <c r="O145" t="s">
        <v>155</v>
      </c>
      <c r="P145">
        <v>0.19347092161895585</v>
      </c>
      <c r="Q145" t="s">
        <v>153</v>
      </c>
    </row>
    <row r="146" spans="9:17" x14ac:dyDescent="0.45">
      <c r="I146" t="s">
        <v>175</v>
      </c>
      <c r="J146" t="s">
        <v>156</v>
      </c>
      <c r="K146">
        <v>2.2111964652780296E-3</v>
      </c>
      <c r="L146" t="s">
        <v>153</v>
      </c>
      <c r="N146" t="s">
        <v>204</v>
      </c>
      <c r="O146" t="s">
        <v>156</v>
      </c>
      <c r="P146">
        <v>1.5399476166002016E-2</v>
      </c>
      <c r="Q146" t="s">
        <v>153</v>
      </c>
    </row>
    <row r="147" spans="9:17" x14ac:dyDescent="0.45">
      <c r="I147" t="s">
        <v>175</v>
      </c>
      <c r="J147" t="s">
        <v>157</v>
      </c>
      <c r="K147">
        <v>7.6657784748666039E-2</v>
      </c>
      <c r="L147" t="s">
        <v>153</v>
      </c>
      <c r="N147" t="s">
        <v>204</v>
      </c>
      <c r="O147" t="s">
        <v>157</v>
      </c>
      <c r="P147">
        <v>1.9051459250224584E-2</v>
      </c>
      <c r="Q147" t="s">
        <v>153</v>
      </c>
    </row>
    <row r="148" spans="9:17" x14ac:dyDescent="0.45">
      <c r="I148" t="s">
        <v>175</v>
      </c>
      <c r="J148" t="s">
        <v>158</v>
      </c>
      <c r="K148">
        <v>2.2638007566839966E-3</v>
      </c>
      <c r="L148" t="s">
        <v>153</v>
      </c>
      <c r="N148" t="s">
        <v>204</v>
      </c>
      <c r="O148" t="s">
        <v>158</v>
      </c>
      <c r="P148">
        <v>9.8709835604613733E-3</v>
      </c>
      <c r="Q148" t="s">
        <v>153</v>
      </c>
    </row>
    <row r="149" spans="9:17" x14ac:dyDescent="0.45">
      <c r="I149" t="s">
        <v>175</v>
      </c>
      <c r="J149" t="s">
        <v>159</v>
      </c>
      <c r="K149">
        <v>1.459599243167688E-3</v>
      </c>
      <c r="L149" t="s">
        <v>153</v>
      </c>
      <c r="N149" t="s">
        <v>204</v>
      </c>
      <c r="O149" t="s">
        <v>159</v>
      </c>
      <c r="P149">
        <v>3.66263128855022E-2</v>
      </c>
      <c r="Q149" t="s">
        <v>153</v>
      </c>
    </row>
    <row r="150" spans="9:17" x14ac:dyDescent="0.45">
      <c r="I150" t="s">
        <v>175</v>
      </c>
      <c r="J150" t="s">
        <v>160</v>
      </c>
      <c r="K150">
        <v>5.7454951038051344E-2</v>
      </c>
      <c r="L150" t="s">
        <v>153</v>
      </c>
      <c r="N150" t="s">
        <v>204</v>
      </c>
      <c r="O150" t="s">
        <v>160</v>
      </c>
      <c r="P150">
        <v>3.6596303140306083E-2</v>
      </c>
      <c r="Q150" t="s">
        <v>153</v>
      </c>
    </row>
    <row r="151" spans="9:17" x14ac:dyDescent="0.45">
      <c r="I151" t="s">
        <v>175</v>
      </c>
      <c r="J151" t="s">
        <v>161</v>
      </c>
      <c r="K151">
        <v>1.7484609591270693E-3</v>
      </c>
      <c r="L151" t="s">
        <v>153</v>
      </c>
      <c r="N151" t="s">
        <v>204</v>
      </c>
      <c r="O151" t="s">
        <v>161</v>
      </c>
      <c r="P151">
        <v>1.5479107134738159E-2</v>
      </c>
      <c r="Q151" t="s">
        <v>153</v>
      </c>
    </row>
    <row r="152" spans="9:17" x14ac:dyDescent="0.45">
      <c r="I152" t="s">
        <v>175</v>
      </c>
      <c r="J152" t="s">
        <v>162</v>
      </c>
      <c r="K152">
        <v>6.4823614064654048E-4</v>
      </c>
      <c r="L152" t="s">
        <v>153</v>
      </c>
      <c r="N152" t="s">
        <v>204</v>
      </c>
      <c r="O152" t="s">
        <v>162</v>
      </c>
      <c r="P152">
        <v>3.4176480224369338E-2</v>
      </c>
      <c r="Q152" t="s">
        <v>153</v>
      </c>
    </row>
    <row r="153" spans="9:17" x14ac:dyDescent="0.45">
      <c r="I153" t="s">
        <v>175</v>
      </c>
      <c r="J153" t="s">
        <v>163</v>
      </c>
      <c r="K153">
        <v>2.9209352438294173E-2</v>
      </c>
      <c r="L153" t="s">
        <v>153</v>
      </c>
      <c r="N153" t="s">
        <v>204</v>
      </c>
      <c r="O153" t="s">
        <v>163</v>
      </c>
      <c r="P153">
        <v>2.9837074069226973E-2</v>
      </c>
      <c r="Q153" t="s">
        <v>153</v>
      </c>
    </row>
    <row r="154" spans="9:17" x14ac:dyDescent="0.45">
      <c r="I154" t="s">
        <v>175</v>
      </c>
      <c r="J154" t="s">
        <v>164</v>
      </c>
      <c r="K154">
        <v>9.1912315161262902E-4</v>
      </c>
      <c r="L154" t="s">
        <v>153</v>
      </c>
      <c r="N154" t="s">
        <v>204</v>
      </c>
      <c r="O154" t="s">
        <v>164</v>
      </c>
      <c r="P154">
        <v>1.8542965159279098E-2</v>
      </c>
      <c r="Q154" t="s">
        <v>153</v>
      </c>
    </row>
    <row r="155" spans="9:17" x14ac:dyDescent="0.45">
      <c r="I155" t="s">
        <v>176</v>
      </c>
      <c r="J155" t="s">
        <v>152</v>
      </c>
      <c r="K155">
        <v>5.7213656882688375E-2</v>
      </c>
      <c r="L155" t="s">
        <v>153</v>
      </c>
      <c r="N155" t="s">
        <v>205</v>
      </c>
      <c r="O155" t="s">
        <v>152</v>
      </c>
      <c r="P155">
        <v>0.19781554128559295</v>
      </c>
      <c r="Q155" t="s">
        <v>153</v>
      </c>
    </row>
    <row r="156" spans="9:17" x14ac:dyDescent="0.45">
      <c r="I156" t="s">
        <v>176</v>
      </c>
      <c r="J156" t="s">
        <v>154</v>
      </c>
      <c r="K156">
        <v>0.73938233689656452</v>
      </c>
      <c r="L156" t="s">
        <v>153</v>
      </c>
      <c r="N156" t="s">
        <v>205</v>
      </c>
      <c r="O156" t="s">
        <v>154</v>
      </c>
      <c r="P156">
        <v>0.33533237943374428</v>
      </c>
      <c r="Q156" t="s">
        <v>153</v>
      </c>
    </row>
    <row r="157" spans="9:17" x14ac:dyDescent="0.45">
      <c r="I157" t="s">
        <v>176</v>
      </c>
      <c r="J157" t="s">
        <v>155</v>
      </c>
      <c r="K157">
        <v>5.0287687991934123E-3</v>
      </c>
      <c r="L157" t="s">
        <v>153</v>
      </c>
      <c r="N157" t="s">
        <v>205</v>
      </c>
      <c r="O157" t="s">
        <v>155</v>
      </c>
      <c r="P157">
        <v>0.16858050947650766</v>
      </c>
      <c r="Q157" t="s">
        <v>153</v>
      </c>
    </row>
    <row r="158" spans="9:17" x14ac:dyDescent="0.45">
      <c r="I158" t="s">
        <v>176</v>
      </c>
      <c r="J158" t="s">
        <v>156</v>
      </c>
      <c r="K158">
        <v>7.9615998113513782E-3</v>
      </c>
      <c r="L158" t="s">
        <v>153</v>
      </c>
      <c r="N158" t="s">
        <v>205</v>
      </c>
      <c r="O158" t="s">
        <v>156</v>
      </c>
      <c r="P158">
        <v>1.1111145915579308E-2</v>
      </c>
      <c r="Q158" t="s">
        <v>153</v>
      </c>
    </row>
    <row r="159" spans="9:17" x14ac:dyDescent="0.45">
      <c r="I159" t="s">
        <v>176</v>
      </c>
      <c r="J159" t="s">
        <v>157</v>
      </c>
      <c r="K159">
        <v>7.8599109030525055E-2</v>
      </c>
      <c r="L159" t="s">
        <v>153</v>
      </c>
      <c r="N159" t="s">
        <v>205</v>
      </c>
      <c r="O159" t="s">
        <v>157</v>
      </c>
      <c r="P159">
        <v>2.4158561110356323E-2</v>
      </c>
      <c r="Q159" t="s">
        <v>153</v>
      </c>
    </row>
    <row r="160" spans="9:17" x14ac:dyDescent="0.45">
      <c r="I160" t="s">
        <v>176</v>
      </c>
      <c r="J160" t="s">
        <v>158</v>
      </c>
      <c r="K160">
        <v>0</v>
      </c>
      <c r="L160" t="s">
        <v>153</v>
      </c>
      <c r="N160" t="s">
        <v>205</v>
      </c>
      <c r="O160" t="s">
        <v>158</v>
      </c>
      <c r="P160">
        <v>8.6857985580268311E-3</v>
      </c>
      <c r="Q160" t="s">
        <v>153</v>
      </c>
    </row>
    <row r="161" spans="9:17" x14ac:dyDescent="0.45">
      <c r="I161" t="s">
        <v>176</v>
      </c>
      <c r="J161" t="s">
        <v>159</v>
      </c>
      <c r="K161">
        <v>4.4389289294819003E-3</v>
      </c>
      <c r="L161" t="s">
        <v>153</v>
      </c>
      <c r="N161" t="s">
        <v>205</v>
      </c>
      <c r="O161" t="s">
        <v>159</v>
      </c>
      <c r="P161">
        <v>4.5113212340079312E-2</v>
      </c>
      <c r="Q161" t="s">
        <v>153</v>
      </c>
    </row>
    <row r="162" spans="9:17" x14ac:dyDescent="0.45">
      <c r="I162" t="s">
        <v>176</v>
      </c>
      <c r="J162" t="s">
        <v>160</v>
      </c>
      <c r="K162">
        <v>6.5085603615785387E-2</v>
      </c>
      <c r="L162" t="s">
        <v>153</v>
      </c>
      <c r="N162" t="s">
        <v>205</v>
      </c>
      <c r="O162" t="s">
        <v>160</v>
      </c>
      <c r="P162">
        <v>6.8529749400693937E-2</v>
      </c>
      <c r="Q162" t="s">
        <v>153</v>
      </c>
    </row>
    <row r="163" spans="9:17" x14ac:dyDescent="0.45">
      <c r="I163" t="s">
        <v>176</v>
      </c>
      <c r="J163" t="s">
        <v>161</v>
      </c>
      <c r="K163">
        <v>0</v>
      </c>
      <c r="L163" t="s">
        <v>153</v>
      </c>
      <c r="N163" t="s">
        <v>205</v>
      </c>
      <c r="O163" t="s">
        <v>161</v>
      </c>
      <c r="P163">
        <v>2.4420037718932173E-2</v>
      </c>
      <c r="Q163" t="s">
        <v>153</v>
      </c>
    </row>
    <row r="164" spans="9:17" x14ac:dyDescent="0.45">
      <c r="I164" t="s">
        <v>176</v>
      </c>
      <c r="J164" t="s">
        <v>162</v>
      </c>
      <c r="K164">
        <v>2.5892779382901297E-3</v>
      </c>
      <c r="L164" t="s">
        <v>153</v>
      </c>
      <c r="N164" t="s">
        <v>205</v>
      </c>
      <c r="O164" t="s">
        <v>162</v>
      </c>
      <c r="P164">
        <v>3.649513143782436E-2</v>
      </c>
      <c r="Q164" t="s">
        <v>153</v>
      </c>
    </row>
    <row r="165" spans="9:17" x14ac:dyDescent="0.45">
      <c r="I165" t="s">
        <v>176</v>
      </c>
      <c r="J165" t="s">
        <v>163</v>
      </c>
      <c r="K165">
        <v>3.9700718096120899E-2</v>
      </c>
      <c r="L165" t="s">
        <v>153</v>
      </c>
      <c r="N165" t="s">
        <v>205</v>
      </c>
      <c r="O165" t="s">
        <v>163</v>
      </c>
      <c r="P165">
        <v>5.6810441150354121E-2</v>
      </c>
      <c r="Q165" t="s">
        <v>153</v>
      </c>
    </row>
    <row r="166" spans="9:17" x14ac:dyDescent="0.45">
      <c r="I166" t="s">
        <v>176</v>
      </c>
      <c r="J166" t="s">
        <v>164</v>
      </c>
      <c r="K166">
        <v>0</v>
      </c>
      <c r="L166" t="s">
        <v>153</v>
      </c>
      <c r="N166" t="s">
        <v>205</v>
      </c>
      <c r="O166" t="s">
        <v>164</v>
      </c>
      <c r="P166">
        <v>2.2947492172309767E-2</v>
      </c>
      <c r="Q166" t="s">
        <v>153</v>
      </c>
    </row>
    <row r="167" spans="9:17" x14ac:dyDescent="0.45">
      <c r="I167" t="s">
        <v>177</v>
      </c>
      <c r="J167" t="s">
        <v>152</v>
      </c>
      <c r="K167">
        <v>6.2302722169046157E-2</v>
      </c>
      <c r="L167" t="s">
        <v>153</v>
      </c>
      <c r="N167" t="s">
        <v>206</v>
      </c>
      <c r="O167" t="s">
        <v>152</v>
      </c>
      <c r="P167">
        <v>0.17883628002419297</v>
      </c>
      <c r="Q167" t="s">
        <v>153</v>
      </c>
    </row>
    <row r="168" spans="9:17" x14ac:dyDescent="0.45">
      <c r="I168" t="s">
        <v>177</v>
      </c>
      <c r="J168" t="s">
        <v>154</v>
      </c>
      <c r="K168">
        <v>0.75259514649654147</v>
      </c>
      <c r="L168" t="s">
        <v>153</v>
      </c>
      <c r="N168" t="s">
        <v>206</v>
      </c>
      <c r="O168" t="s">
        <v>154</v>
      </c>
      <c r="P168">
        <v>0.38289723918122009</v>
      </c>
      <c r="Q168" t="s">
        <v>153</v>
      </c>
    </row>
    <row r="169" spans="9:17" x14ac:dyDescent="0.45">
      <c r="I169" t="s">
        <v>177</v>
      </c>
      <c r="J169" t="s">
        <v>155</v>
      </c>
      <c r="K169">
        <v>8.4433158669847662E-4</v>
      </c>
      <c r="L169" t="s">
        <v>153</v>
      </c>
      <c r="N169" t="s">
        <v>206</v>
      </c>
      <c r="O169" t="s">
        <v>155</v>
      </c>
      <c r="P169">
        <v>0.18692399020907369</v>
      </c>
      <c r="Q169" t="s">
        <v>153</v>
      </c>
    </row>
    <row r="170" spans="9:17" x14ac:dyDescent="0.45">
      <c r="I170" t="s">
        <v>177</v>
      </c>
      <c r="J170" t="s">
        <v>156</v>
      </c>
      <c r="K170">
        <v>6.8170308028144416E-3</v>
      </c>
      <c r="L170" t="s">
        <v>153</v>
      </c>
      <c r="N170" t="s">
        <v>206</v>
      </c>
      <c r="O170" t="s">
        <v>156</v>
      </c>
      <c r="P170">
        <v>5.4427374652340835E-3</v>
      </c>
      <c r="Q170" t="s">
        <v>153</v>
      </c>
    </row>
    <row r="171" spans="9:17" x14ac:dyDescent="0.45">
      <c r="I171" t="s">
        <v>177</v>
      </c>
      <c r="J171" t="s">
        <v>157</v>
      </c>
      <c r="K171">
        <v>7.3245202659016378E-2</v>
      </c>
      <c r="L171" t="s">
        <v>153</v>
      </c>
      <c r="N171" t="s">
        <v>206</v>
      </c>
      <c r="O171" t="s">
        <v>157</v>
      </c>
      <c r="P171">
        <v>1.3667008461113676E-2</v>
      </c>
      <c r="Q171" t="s">
        <v>153</v>
      </c>
    </row>
    <row r="172" spans="9:17" x14ac:dyDescent="0.45">
      <c r="I172" t="s">
        <v>177</v>
      </c>
      <c r="J172" t="s">
        <v>158</v>
      </c>
      <c r="K172">
        <v>0</v>
      </c>
      <c r="L172" t="s">
        <v>153</v>
      </c>
      <c r="N172" t="s">
        <v>206</v>
      </c>
      <c r="O172" t="s">
        <v>158</v>
      </c>
      <c r="P172">
        <v>6.4153008736407202E-3</v>
      </c>
      <c r="Q172" t="s">
        <v>153</v>
      </c>
    </row>
    <row r="173" spans="9:17" x14ac:dyDescent="0.45">
      <c r="I173" t="s">
        <v>177</v>
      </c>
      <c r="J173" t="s">
        <v>159</v>
      </c>
      <c r="K173">
        <v>5.5373844273386378E-3</v>
      </c>
      <c r="L173" t="s">
        <v>153</v>
      </c>
      <c r="N173" t="s">
        <v>206</v>
      </c>
      <c r="O173" t="s">
        <v>159</v>
      </c>
      <c r="P173">
        <v>3.5060095148642285E-2</v>
      </c>
      <c r="Q173" t="s">
        <v>153</v>
      </c>
    </row>
    <row r="174" spans="9:17" x14ac:dyDescent="0.45">
      <c r="I174" t="s">
        <v>177</v>
      </c>
      <c r="J174" t="s">
        <v>160</v>
      </c>
      <c r="K174">
        <v>6.1784603659680776E-2</v>
      </c>
      <c r="L174" t="s">
        <v>153</v>
      </c>
      <c r="N174" t="s">
        <v>206</v>
      </c>
      <c r="O174" t="s">
        <v>160</v>
      </c>
      <c r="P174">
        <v>7.1027617633743462E-2</v>
      </c>
      <c r="Q174" t="s">
        <v>153</v>
      </c>
    </row>
    <row r="175" spans="9:17" x14ac:dyDescent="0.45">
      <c r="I175" t="s">
        <v>177</v>
      </c>
      <c r="J175" t="s">
        <v>161</v>
      </c>
      <c r="K175">
        <v>0</v>
      </c>
      <c r="L175" t="s">
        <v>153</v>
      </c>
      <c r="N175" t="s">
        <v>206</v>
      </c>
      <c r="O175" t="s">
        <v>161</v>
      </c>
      <c r="P175">
        <v>3.9161890341682985E-2</v>
      </c>
      <c r="Q175" t="s">
        <v>153</v>
      </c>
    </row>
    <row r="176" spans="9:17" x14ac:dyDescent="0.45">
      <c r="I176" t="s">
        <v>177</v>
      </c>
      <c r="J176" t="s">
        <v>162</v>
      </c>
      <c r="K176">
        <v>2.1803168586341654E-3</v>
      </c>
      <c r="L176" t="s">
        <v>153</v>
      </c>
      <c r="N176" t="s">
        <v>206</v>
      </c>
      <c r="O176" t="s">
        <v>162</v>
      </c>
      <c r="P176">
        <v>1.6513604777521187E-2</v>
      </c>
      <c r="Q176" t="s">
        <v>153</v>
      </c>
    </row>
    <row r="177" spans="9:17" x14ac:dyDescent="0.45">
      <c r="I177" t="s">
        <v>177</v>
      </c>
      <c r="J177" t="s">
        <v>163</v>
      </c>
      <c r="K177">
        <v>3.469326134022855E-2</v>
      </c>
      <c r="L177" t="s">
        <v>153</v>
      </c>
      <c r="N177" t="s">
        <v>206</v>
      </c>
      <c r="O177" t="s">
        <v>163</v>
      </c>
      <c r="P177">
        <v>4.239298075399079E-2</v>
      </c>
      <c r="Q177" t="s">
        <v>153</v>
      </c>
    </row>
    <row r="178" spans="9:17" x14ac:dyDescent="0.45">
      <c r="I178" t="s">
        <v>177</v>
      </c>
      <c r="J178" t="s">
        <v>164</v>
      </c>
      <c r="K178">
        <v>0</v>
      </c>
      <c r="L178" t="s">
        <v>153</v>
      </c>
      <c r="N178" t="s">
        <v>206</v>
      </c>
      <c r="O178" t="s">
        <v>164</v>
      </c>
      <c r="P178">
        <v>2.1661255129944726E-2</v>
      </c>
      <c r="Q178" t="s">
        <v>153</v>
      </c>
    </row>
    <row r="179" spans="9:17" x14ac:dyDescent="0.45">
      <c r="I179" t="s">
        <v>178</v>
      </c>
      <c r="J179" t="s">
        <v>152</v>
      </c>
      <c r="K179">
        <v>5.9962468338527586E-2</v>
      </c>
      <c r="L179" t="s">
        <v>153</v>
      </c>
      <c r="N179" t="s">
        <v>207</v>
      </c>
      <c r="O179" t="s">
        <v>152</v>
      </c>
      <c r="P179">
        <v>0.17517606717875023</v>
      </c>
      <c r="Q179" t="s">
        <v>153</v>
      </c>
    </row>
    <row r="180" spans="9:17" x14ac:dyDescent="0.45">
      <c r="I180" t="s">
        <v>178</v>
      </c>
      <c r="J180" t="s">
        <v>154</v>
      </c>
      <c r="K180">
        <v>0.74481961924825812</v>
      </c>
      <c r="L180" t="s">
        <v>153</v>
      </c>
      <c r="N180" t="s">
        <v>207</v>
      </c>
      <c r="O180" t="s">
        <v>154</v>
      </c>
      <c r="P180">
        <v>0.44229880277320482</v>
      </c>
      <c r="Q180" t="s">
        <v>153</v>
      </c>
    </row>
    <row r="181" spans="9:17" x14ac:dyDescent="0.45">
      <c r="I181" t="s">
        <v>178</v>
      </c>
      <c r="J181" t="s">
        <v>155</v>
      </c>
      <c r="K181">
        <v>4.3329634490854342E-3</v>
      </c>
      <c r="L181" t="s">
        <v>153</v>
      </c>
      <c r="N181" t="s">
        <v>207</v>
      </c>
      <c r="O181" t="s">
        <v>155</v>
      </c>
      <c r="P181">
        <v>0.16662928567012517</v>
      </c>
      <c r="Q181" t="s">
        <v>153</v>
      </c>
    </row>
    <row r="182" spans="9:17" x14ac:dyDescent="0.45">
      <c r="I182" t="s">
        <v>178</v>
      </c>
      <c r="J182" t="s">
        <v>156</v>
      </c>
      <c r="K182">
        <v>7.8559815067385293E-3</v>
      </c>
      <c r="L182" t="s">
        <v>153</v>
      </c>
      <c r="N182" t="s">
        <v>207</v>
      </c>
      <c r="O182" t="s">
        <v>156</v>
      </c>
      <c r="P182">
        <v>4.1827978176210328E-3</v>
      </c>
      <c r="Q182" t="s">
        <v>153</v>
      </c>
    </row>
    <row r="183" spans="9:17" x14ac:dyDescent="0.45">
      <c r="I183" t="s">
        <v>178</v>
      </c>
      <c r="J183" t="s">
        <v>157</v>
      </c>
      <c r="K183">
        <v>8.0055785257665157E-2</v>
      </c>
      <c r="L183" t="s">
        <v>153</v>
      </c>
      <c r="N183" t="s">
        <v>207</v>
      </c>
      <c r="O183" t="s">
        <v>157</v>
      </c>
      <c r="P183">
        <v>1.8751764006856273E-2</v>
      </c>
      <c r="Q183" t="s">
        <v>153</v>
      </c>
    </row>
    <row r="184" spans="9:17" x14ac:dyDescent="0.45">
      <c r="I184" t="s">
        <v>178</v>
      </c>
      <c r="J184" t="s">
        <v>158</v>
      </c>
      <c r="K184">
        <v>0</v>
      </c>
      <c r="L184" t="s">
        <v>153</v>
      </c>
      <c r="N184" t="s">
        <v>207</v>
      </c>
      <c r="O184" t="s">
        <v>158</v>
      </c>
      <c r="P184">
        <v>5.4324693504704093E-3</v>
      </c>
      <c r="Q184" t="s">
        <v>153</v>
      </c>
    </row>
    <row r="185" spans="9:17" x14ac:dyDescent="0.45">
      <c r="I185" t="s">
        <v>178</v>
      </c>
      <c r="J185" t="s">
        <v>159</v>
      </c>
      <c r="K185">
        <v>3.9907722290612735E-3</v>
      </c>
      <c r="L185" t="s">
        <v>153</v>
      </c>
      <c r="N185" t="s">
        <v>207</v>
      </c>
      <c r="O185" t="s">
        <v>159</v>
      </c>
      <c r="P185">
        <v>2.7209079630348274E-2</v>
      </c>
      <c r="Q185" t="s">
        <v>153</v>
      </c>
    </row>
    <row r="186" spans="9:17" x14ac:dyDescent="0.45">
      <c r="I186" t="s">
        <v>178</v>
      </c>
      <c r="J186" t="s">
        <v>160</v>
      </c>
      <c r="K186">
        <v>6.2432517054976287E-2</v>
      </c>
      <c r="L186" t="s">
        <v>153</v>
      </c>
      <c r="N186" t="s">
        <v>207</v>
      </c>
      <c r="O186" t="s">
        <v>160</v>
      </c>
      <c r="P186">
        <v>6.4334067546099813E-2</v>
      </c>
      <c r="Q186" t="s">
        <v>153</v>
      </c>
    </row>
    <row r="187" spans="9:17" x14ac:dyDescent="0.45">
      <c r="I187" t="s">
        <v>178</v>
      </c>
      <c r="J187" t="s">
        <v>161</v>
      </c>
      <c r="K187">
        <v>0</v>
      </c>
      <c r="L187" t="s">
        <v>153</v>
      </c>
      <c r="N187" t="s">
        <v>207</v>
      </c>
      <c r="O187" t="s">
        <v>161</v>
      </c>
      <c r="P187">
        <v>2.2675097451557165E-2</v>
      </c>
      <c r="Q187" t="s">
        <v>153</v>
      </c>
    </row>
    <row r="188" spans="9:17" x14ac:dyDescent="0.45">
      <c r="I188" t="s">
        <v>178</v>
      </c>
      <c r="J188" t="s">
        <v>162</v>
      </c>
      <c r="K188">
        <v>2.1205549316764098E-3</v>
      </c>
      <c r="L188" t="s">
        <v>153</v>
      </c>
      <c r="N188" t="s">
        <v>207</v>
      </c>
      <c r="O188" t="s">
        <v>162</v>
      </c>
      <c r="P188">
        <v>1.7808837883281411E-2</v>
      </c>
      <c r="Q188" t="s">
        <v>153</v>
      </c>
    </row>
    <row r="189" spans="9:17" x14ac:dyDescent="0.45">
      <c r="I189" t="s">
        <v>178</v>
      </c>
      <c r="J189" t="s">
        <v>163</v>
      </c>
      <c r="K189">
        <v>3.4429337984009253E-2</v>
      </c>
      <c r="L189" t="s">
        <v>153</v>
      </c>
      <c r="N189" t="s">
        <v>207</v>
      </c>
      <c r="O189" t="s">
        <v>163</v>
      </c>
      <c r="P189">
        <v>3.9438582101137466E-2</v>
      </c>
      <c r="Q189" t="s">
        <v>153</v>
      </c>
    </row>
    <row r="190" spans="9:17" x14ac:dyDescent="0.45">
      <c r="I190" t="s">
        <v>178</v>
      </c>
      <c r="J190" t="s">
        <v>164</v>
      </c>
      <c r="K190">
        <v>0</v>
      </c>
      <c r="L190" t="s">
        <v>153</v>
      </c>
      <c r="N190" t="s">
        <v>207</v>
      </c>
      <c r="O190" t="s">
        <v>164</v>
      </c>
      <c r="P190">
        <v>1.6063148590546125E-2</v>
      </c>
      <c r="Q190" t="s">
        <v>153</v>
      </c>
    </row>
    <row r="191" spans="9:17" x14ac:dyDescent="0.45">
      <c r="I191" t="s">
        <v>179</v>
      </c>
      <c r="J191" t="s">
        <v>152</v>
      </c>
      <c r="K191">
        <v>5.5830141176118633E-2</v>
      </c>
      <c r="L191" t="s">
        <v>153</v>
      </c>
    </row>
    <row r="192" spans="9:17" x14ac:dyDescent="0.45">
      <c r="I192" t="s">
        <v>179</v>
      </c>
      <c r="J192" t="s">
        <v>154</v>
      </c>
      <c r="K192">
        <v>0.75317151160090412</v>
      </c>
      <c r="L192" t="s">
        <v>153</v>
      </c>
    </row>
    <row r="193" spans="9:12" x14ac:dyDescent="0.45">
      <c r="I193" t="s">
        <v>179</v>
      </c>
      <c r="J193" t="s">
        <v>155</v>
      </c>
      <c r="K193">
        <v>3.8044730371744498E-3</v>
      </c>
      <c r="L193" t="s">
        <v>153</v>
      </c>
    </row>
    <row r="194" spans="9:12" x14ac:dyDescent="0.45">
      <c r="I194" t="s">
        <v>179</v>
      </c>
      <c r="J194" t="s">
        <v>156</v>
      </c>
      <c r="K194">
        <v>7.2512928295529648E-3</v>
      </c>
      <c r="L194" t="s">
        <v>153</v>
      </c>
    </row>
    <row r="195" spans="9:12" x14ac:dyDescent="0.45">
      <c r="I195" t="s">
        <v>179</v>
      </c>
      <c r="J195" t="s">
        <v>157</v>
      </c>
      <c r="K195">
        <v>7.7050815825639205E-2</v>
      </c>
      <c r="L195" t="s">
        <v>153</v>
      </c>
    </row>
    <row r="196" spans="9:12" x14ac:dyDescent="0.45">
      <c r="I196" t="s">
        <v>179</v>
      </c>
      <c r="J196" t="s">
        <v>158</v>
      </c>
      <c r="K196">
        <v>0</v>
      </c>
      <c r="L196" t="s">
        <v>153</v>
      </c>
    </row>
    <row r="197" spans="9:12" x14ac:dyDescent="0.45">
      <c r="I197" t="s">
        <v>179</v>
      </c>
      <c r="J197" t="s">
        <v>159</v>
      </c>
      <c r="K197">
        <v>4.4207478465726436E-3</v>
      </c>
      <c r="L197" t="s">
        <v>153</v>
      </c>
    </row>
    <row r="198" spans="9:12" x14ac:dyDescent="0.45">
      <c r="I198" t="s">
        <v>179</v>
      </c>
      <c r="J198" t="s">
        <v>160</v>
      </c>
      <c r="K198">
        <v>6.0875500968849618E-2</v>
      </c>
      <c r="L198" t="s">
        <v>153</v>
      </c>
    </row>
    <row r="199" spans="9:12" x14ac:dyDescent="0.45">
      <c r="I199" t="s">
        <v>179</v>
      </c>
      <c r="J199" t="s">
        <v>161</v>
      </c>
      <c r="K199">
        <v>0</v>
      </c>
      <c r="L199" t="s">
        <v>153</v>
      </c>
    </row>
    <row r="200" spans="9:12" x14ac:dyDescent="0.45">
      <c r="I200" t="s">
        <v>179</v>
      </c>
      <c r="J200" t="s">
        <v>162</v>
      </c>
      <c r="K200">
        <v>2.091387962689571E-3</v>
      </c>
      <c r="L200" t="s">
        <v>153</v>
      </c>
    </row>
    <row r="201" spans="9:12" x14ac:dyDescent="0.45">
      <c r="I201" t="s">
        <v>179</v>
      </c>
      <c r="J201" t="s">
        <v>163</v>
      </c>
      <c r="K201">
        <v>3.550412875249967E-2</v>
      </c>
      <c r="L201" t="s">
        <v>153</v>
      </c>
    </row>
    <row r="202" spans="9:12" x14ac:dyDescent="0.45">
      <c r="I202" t="s">
        <v>179</v>
      </c>
      <c r="J202" t="s">
        <v>164</v>
      </c>
      <c r="K202">
        <v>0</v>
      </c>
      <c r="L202" t="s">
        <v>153</v>
      </c>
    </row>
    <row r="203" spans="9:12" x14ac:dyDescent="0.45">
      <c r="I203" t="s">
        <v>180</v>
      </c>
      <c r="J203" t="s">
        <v>152</v>
      </c>
      <c r="K203">
        <v>5.0937097551653918E-2</v>
      </c>
      <c r="L203" t="s">
        <v>153</v>
      </c>
    </row>
    <row r="204" spans="9:12" x14ac:dyDescent="0.45">
      <c r="I204" t="s">
        <v>180</v>
      </c>
      <c r="J204" t="s">
        <v>154</v>
      </c>
      <c r="K204">
        <v>0.73730714847381307</v>
      </c>
      <c r="L204" t="s">
        <v>153</v>
      </c>
    </row>
    <row r="205" spans="9:12" x14ac:dyDescent="0.45">
      <c r="I205" t="s">
        <v>180</v>
      </c>
      <c r="J205" t="s">
        <v>155</v>
      </c>
      <c r="K205">
        <v>1.2142810770361267E-2</v>
      </c>
      <c r="L205" t="s">
        <v>153</v>
      </c>
    </row>
    <row r="206" spans="9:12" x14ac:dyDescent="0.45">
      <c r="I206" t="s">
        <v>180</v>
      </c>
      <c r="J206" t="s">
        <v>156</v>
      </c>
      <c r="K206">
        <v>3.8943438469009111E-3</v>
      </c>
      <c r="L206" t="s">
        <v>153</v>
      </c>
    </row>
    <row r="207" spans="9:12" x14ac:dyDescent="0.45">
      <c r="I207" t="s">
        <v>180</v>
      </c>
      <c r="J207" t="s">
        <v>157</v>
      </c>
      <c r="K207">
        <v>7.1286368408344972E-2</v>
      </c>
      <c r="L207" t="s">
        <v>153</v>
      </c>
    </row>
    <row r="208" spans="9:12" x14ac:dyDescent="0.45">
      <c r="I208" t="s">
        <v>180</v>
      </c>
      <c r="J208" t="s">
        <v>158</v>
      </c>
      <c r="K208">
        <v>0</v>
      </c>
      <c r="L208" t="s">
        <v>153</v>
      </c>
    </row>
    <row r="209" spans="9:12" x14ac:dyDescent="0.45">
      <c r="I209" t="s">
        <v>180</v>
      </c>
      <c r="J209" t="s">
        <v>159</v>
      </c>
      <c r="K209">
        <v>2.9589792690253606E-3</v>
      </c>
      <c r="L209" t="s">
        <v>153</v>
      </c>
    </row>
    <row r="210" spans="9:12" x14ac:dyDescent="0.45">
      <c r="I210" t="s">
        <v>180</v>
      </c>
      <c r="J210" t="s">
        <v>160</v>
      </c>
      <c r="K210">
        <v>6.8827781216653117E-2</v>
      </c>
      <c r="L210" t="s">
        <v>153</v>
      </c>
    </row>
    <row r="211" spans="9:12" x14ac:dyDescent="0.45">
      <c r="I211" t="s">
        <v>180</v>
      </c>
      <c r="J211" t="s">
        <v>161</v>
      </c>
      <c r="K211">
        <v>0</v>
      </c>
      <c r="L211" t="s">
        <v>153</v>
      </c>
    </row>
    <row r="212" spans="9:12" x14ac:dyDescent="0.45">
      <c r="I212" t="s">
        <v>180</v>
      </c>
      <c r="J212" t="s">
        <v>162</v>
      </c>
      <c r="K212">
        <v>2.4607931083506542E-3</v>
      </c>
      <c r="L212" t="s">
        <v>153</v>
      </c>
    </row>
    <row r="213" spans="9:12" x14ac:dyDescent="0.45">
      <c r="I213" t="s">
        <v>180</v>
      </c>
      <c r="J213" t="s">
        <v>163</v>
      </c>
      <c r="K213">
        <v>5.0184677354897192E-2</v>
      </c>
      <c r="L213" t="s">
        <v>153</v>
      </c>
    </row>
    <row r="214" spans="9:12" x14ac:dyDescent="0.45">
      <c r="I214" t="s">
        <v>180</v>
      </c>
      <c r="J214" t="s">
        <v>164</v>
      </c>
      <c r="K214">
        <v>0</v>
      </c>
      <c r="L214" t="s">
        <v>153</v>
      </c>
    </row>
    <row r="215" spans="9:12" x14ac:dyDescent="0.45">
      <c r="I215" t="s">
        <v>181</v>
      </c>
      <c r="J215" t="s">
        <v>152</v>
      </c>
      <c r="K215">
        <v>5.605991943793287E-2</v>
      </c>
      <c r="L215" t="s">
        <v>153</v>
      </c>
    </row>
    <row r="216" spans="9:12" x14ac:dyDescent="0.45">
      <c r="I216" t="s">
        <v>181</v>
      </c>
      <c r="J216" t="s">
        <v>154</v>
      </c>
      <c r="K216">
        <v>0.73551487729448606</v>
      </c>
      <c r="L216" t="s">
        <v>153</v>
      </c>
    </row>
    <row r="217" spans="9:12" x14ac:dyDescent="0.45">
      <c r="I217" t="s">
        <v>181</v>
      </c>
      <c r="J217" t="s">
        <v>155</v>
      </c>
      <c r="K217">
        <v>9.3692417362844747E-3</v>
      </c>
      <c r="L217" t="s">
        <v>153</v>
      </c>
    </row>
    <row r="218" spans="9:12" x14ac:dyDescent="0.45">
      <c r="I218" t="s">
        <v>181</v>
      </c>
      <c r="J218" t="s">
        <v>156</v>
      </c>
      <c r="K218">
        <v>4.6774959059991275E-3</v>
      </c>
      <c r="L218" t="s">
        <v>153</v>
      </c>
    </row>
    <row r="219" spans="9:12" x14ac:dyDescent="0.45">
      <c r="I219" t="s">
        <v>181</v>
      </c>
      <c r="J219" t="s">
        <v>157</v>
      </c>
      <c r="K219">
        <v>6.898120913354748E-2</v>
      </c>
      <c r="L219" t="s">
        <v>153</v>
      </c>
    </row>
    <row r="220" spans="9:12" x14ac:dyDescent="0.45">
      <c r="I220" t="s">
        <v>181</v>
      </c>
      <c r="J220" t="s">
        <v>158</v>
      </c>
      <c r="K220">
        <v>0</v>
      </c>
      <c r="L220" t="s">
        <v>153</v>
      </c>
    </row>
    <row r="221" spans="9:12" x14ac:dyDescent="0.45">
      <c r="I221" t="s">
        <v>181</v>
      </c>
      <c r="J221" t="s">
        <v>159</v>
      </c>
      <c r="K221">
        <v>3.7901483619382824E-3</v>
      </c>
      <c r="L221" t="s">
        <v>153</v>
      </c>
    </row>
    <row r="222" spans="9:12" x14ac:dyDescent="0.45">
      <c r="I222" t="s">
        <v>181</v>
      </c>
      <c r="J222" t="s">
        <v>160</v>
      </c>
      <c r="K222">
        <v>6.7743681527622057E-2</v>
      </c>
      <c r="L222" t="s">
        <v>153</v>
      </c>
    </row>
    <row r="223" spans="9:12" x14ac:dyDescent="0.45">
      <c r="I223" t="s">
        <v>181</v>
      </c>
      <c r="J223" t="s">
        <v>161</v>
      </c>
      <c r="K223">
        <v>0</v>
      </c>
      <c r="L223" t="s">
        <v>153</v>
      </c>
    </row>
    <row r="224" spans="9:12" x14ac:dyDescent="0.45">
      <c r="I224" t="s">
        <v>181</v>
      </c>
      <c r="J224" t="s">
        <v>162</v>
      </c>
      <c r="K224">
        <v>2.8019770343526138E-3</v>
      </c>
      <c r="L224" t="s">
        <v>153</v>
      </c>
    </row>
    <row r="225" spans="9:12" x14ac:dyDescent="0.45">
      <c r="I225" t="s">
        <v>181</v>
      </c>
      <c r="J225" t="s">
        <v>163</v>
      </c>
      <c r="K225">
        <v>5.1061449567836655E-2</v>
      </c>
      <c r="L225" t="s">
        <v>153</v>
      </c>
    </row>
    <row r="226" spans="9:12" x14ac:dyDescent="0.45">
      <c r="I226" t="s">
        <v>181</v>
      </c>
      <c r="J226" t="s">
        <v>164</v>
      </c>
      <c r="K226">
        <v>0</v>
      </c>
      <c r="L226" t="s">
        <v>153</v>
      </c>
    </row>
    <row r="227" spans="9:12" x14ac:dyDescent="0.45">
      <c r="I227" t="s">
        <v>182</v>
      </c>
      <c r="J227" t="s">
        <v>152</v>
      </c>
      <c r="K227">
        <v>5.7818289565311543E-2</v>
      </c>
      <c r="L227" t="s">
        <v>153</v>
      </c>
    </row>
    <row r="228" spans="9:12" x14ac:dyDescent="0.45">
      <c r="I228" t="s">
        <v>182</v>
      </c>
      <c r="J228" t="s">
        <v>154</v>
      </c>
      <c r="K228">
        <v>0.73763634648314647</v>
      </c>
      <c r="L228" t="s">
        <v>153</v>
      </c>
    </row>
    <row r="229" spans="9:12" x14ac:dyDescent="0.45">
      <c r="I229" t="s">
        <v>182</v>
      </c>
      <c r="J229" t="s">
        <v>155</v>
      </c>
      <c r="K229">
        <v>6.3154890577220993E-3</v>
      </c>
      <c r="L229" t="s">
        <v>153</v>
      </c>
    </row>
    <row r="230" spans="9:12" x14ac:dyDescent="0.45">
      <c r="I230" t="s">
        <v>182</v>
      </c>
      <c r="J230" t="s">
        <v>156</v>
      </c>
      <c r="K230">
        <v>5.3882767768399786E-3</v>
      </c>
      <c r="L230" t="s">
        <v>153</v>
      </c>
    </row>
    <row r="231" spans="9:12" x14ac:dyDescent="0.45">
      <c r="I231" t="s">
        <v>182</v>
      </c>
      <c r="J231" t="s">
        <v>157</v>
      </c>
      <c r="K231">
        <v>7.0199399012046096E-2</v>
      </c>
      <c r="L231" t="s">
        <v>153</v>
      </c>
    </row>
    <row r="232" spans="9:12" x14ac:dyDescent="0.45">
      <c r="I232" t="s">
        <v>182</v>
      </c>
      <c r="J232" t="s">
        <v>158</v>
      </c>
      <c r="K232">
        <v>0</v>
      </c>
      <c r="L232" t="s">
        <v>153</v>
      </c>
    </row>
    <row r="233" spans="9:12" x14ac:dyDescent="0.45">
      <c r="I233" t="s">
        <v>182</v>
      </c>
      <c r="J233" t="s">
        <v>159</v>
      </c>
      <c r="K233">
        <v>3.7221098873008816E-3</v>
      </c>
      <c r="L233" t="s">
        <v>153</v>
      </c>
    </row>
    <row r="234" spans="9:12" x14ac:dyDescent="0.45">
      <c r="I234" t="s">
        <v>182</v>
      </c>
      <c r="J234" t="s">
        <v>160</v>
      </c>
      <c r="K234">
        <v>6.7034403940219131E-2</v>
      </c>
      <c r="L234" t="s">
        <v>153</v>
      </c>
    </row>
    <row r="235" spans="9:12" x14ac:dyDescent="0.45">
      <c r="I235" t="s">
        <v>182</v>
      </c>
      <c r="J235" t="s">
        <v>161</v>
      </c>
      <c r="K235">
        <v>0</v>
      </c>
      <c r="L235" t="s">
        <v>153</v>
      </c>
    </row>
    <row r="236" spans="9:12" x14ac:dyDescent="0.45">
      <c r="I236" t="s">
        <v>182</v>
      </c>
      <c r="J236" t="s">
        <v>162</v>
      </c>
      <c r="K236">
        <v>2.7834431403652377E-3</v>
      </c>
      <c r="L236" t="s">
        <v>153</v>
      </c>
    </row>
    <row r="237" spans="9:12" x14ac:dyDescent="0.45">
      <c r="I237" t="s">
        <v>182</v>
      </c>
      <c r="J237" t="s">
        <v>163</v>
      </c>
      <c r="K237">
        <v>4.9102242137050243E-2</v>
      </c>
      <c r="L237" t="s">
        <v>153</v>
      </c>
    </row>
    <row r="238" spans="9:12" x14ac:dyDescent="0.45">
      <c r="I238" t="s">
        <v>182</v>
      </c>
      <c r="J238" t="s">
        <v>164</v>
      </c>
      <c r="K238">
        <v>0</v>
      </c>
      <c r="L238" t="s">
        <v>153</v>
      </c>
    </row>
    <row r="239" spans="9:12" x14ac:dyDescent="0.45">
      <c r="I239" t="s">
        <v>183</v>
      </c>
      <c r="J239" t="s">
        <v>152</v>
      </c>
      <c r="K239">
        <v>5.8660205823698394E-2</v>
      </c>
      <c r="L239" t="s">
        <v>153</v>
      </c>
    </row>
    <row r="240" spans="9:12" x14ac:dyDescent="0.45">
      <c r="I240" t="s">
        <v>183</v>
      </c>
      <c r="J240" t="s">
        <v>154</v>
      </c>
      <c r="K240">
        <v>0.74834853103941112</v>
      </c>
      <c r="L240" t="s">
        <v>153</v>
      </c>
    </row>
    <row r="241" spans="9:12" x14ac:dyDescent="0.45">
      <c r="I241" t="s">
        <v>183</v>
      </c>
      <c r="J241" t="s">
        <v>155</v>
      </c>
      <c r="K241">
        <v>8.1090578491815855E-3</v>
      </c>
      <c r="L241" t="s">
        <v>153</v>
      </c>
    </row>
    <row r="242" spans="9:12" x14ac:dyDescent="0.45">
      <c r="I242" t="s">
        <v>183</v>
      </c>
      <c r="J242" t="s">
        <v>156</v>
      </c>
      <c r="K242">
        <v>4.0282898670683269E-3</v>
      </c>
      <c r="L242" t="s">
        <v>153</v>
      </c>
    </row>
    <row r="243" spans="9:12" x14ac:dyDescent="0.45">
      <c r="I243" t="s">
        <v>183</v>
      </c>
      <c r="J243" t="s">
        <v>157</v>
      </c>
      <c r="K243">
        <v>6.8395251589438003E-2</v>
      </c>
      <c r="L243" t="s">
        <v>153</v>
      </c>
    </row>
    <row r="244" spans="9:12" x14ac:dyDescent="0.45">
      <c r="I244" t="s">
        <v>183</v>
      </c>
      <c r="J244" t="s">
        <v>158</v>
      </c>
      <c r="K244">
        <v>0</v>
      </c>
      <c r="L244" t="s">
        <v>153</v>
      </c>
    </row>
    <row r="245" spans="9:12" x14ac:dyDescent="0.45">
      <c r="I245" t="s">
        <v>183</v>
      </c>
      <c r="J245" t="s">
        <v>159</v>
      </c>
      <c r="K245">
        <v>2.7762877720414543E-3</v>
      </c>
      <c r="L245" t="s">
        <v>153</v>
      </c>
    </row>
    <row r="246" spans="9:12" x14ac:dyDescent="0.45">
      <c r="I246" t="s">
        <v>183</v>
      </c>
      <c r="J246" t="s">
        <v>160</v>
      </c>
      <c r="K246">
        <v>6.1793636022200803E-2</v>
      </c>
      <c r="L246" t="s">
        <v>153</v>
      </c>
    </row>
    <row r="247" spans="9:12" x14ac:dyDescent="0.45">
      <c r="I247" t="s">
        <v>183</v>
      </c>
      <c r="J247" t="s">
        <v>161</v>
      </c>
      <c r="K247">
        <v>0</v>
      </c>
      <c r="L247" t="s">
        <v>153</v>
      </c>
    </row>
    <row r="248" spans="9:12" x14ac:dyDescent="0.45">
      <c r="I248" t="s">
        <v>183</v>
      </c>
      <c r="J248" t="s">
        <v>162</v>
      </c>
      <c r="K248">
        <v>2.2324173041115189E-3</v>
      </c>
      <c r="L248" t="s">
        <v>153</v>
      </c>
    </row>
    <row r="249" spans="9:12" x14ac:dyDescent="0.45">
      <c r="I249" t="s">
        <v>183</v>
      </c>
      <c r="J249" t="s">
        <v>163</v>
      </c>
      <c r="K249">
        <v>4.5656322732849489E-2</v>
      </c>
      <c r="L249" t="s">
        <v>153</v>
      </c>
    </row>
    <row r="250" spans="9:12" x14ac:dyDescent="0.45">
      <c r="I250" t="s">
        <v>183</v>
      </c>
      <c r="J250" t="s">
        <v>164</v>
      </c>
      <c r="K250">
        <v>0</v>
      </c>
      <c r="L250" t="s">
        <v>153</v>
      </c>
    </row>
    <row r="251" spans="9:12" x14ac:dyDescent="0.45">
      <c r="I251" t="s">
        <v>184</v>
      </c>
      <c r="J251" t="s">
        <v>152</v>
      </c>
      <c r="K251">
        <v>5.235429272966638E-2</v>
      </c>
      <c r="L251" t="s">
        <v>153</v>
      </c>
    </row>
    <row r="252" spans="9:12" x14ac:dyDescent="0.45">
      <c r="I252" t="s">
        <v>184</v>
      </c>
      <c r="J252" t="s">
        <v>154</v>
      </c>
      <c r="K252">
        <v>0.73145127659329046</v>
      </c>
      <c r="L252" t="s">
        <v>153</v>
      </c>
    </row>
    <row r="253" spans="9:12" x14ac:dyDescent="0.45">
      <c r="I253" t="s">
        <v>184</v>
      </c>
      <c r="J253" t="s">
        <v>155</v>
      </c>
      <c r="K253">
        <v>6.1833102796691169E-3</v>
      </c>
      <c r="L253" t="s">
        <v>153</v>
      </c>
    </row>
    <row r="254" spans="9:12" x14ac:dyDescent="0.45">
      <c r="I254" t="s">
        <v>184</v>
      </c>
      <c r="J254" t="s">
        <v>156</v>
      </c>
      <c r="K254">
        <v>7.6967895879516204E-3</v>
      </c>
      <c r="L254" t="s">
        <v>153</v>
      </c>
    </row>
    <row r="255" spans="9:12" x14ac:dyDescent="0.45">
      <c r="I255" t="s">
        <v>184</v>
      </c>
      <c r="J255" t="s">
        <v>157</v>
      </c>
      <c r="K255">
        <v>8.1308716629067315E-2</v>
      </c>
      <c r="L255" t="s">
        <v>153</v>
      </c>
    </row>
    <row r="256" spans="9:12" x14ac:dyDescent="0.45">
      <c r="I256" t="s">
        <v>184</v>
      </c>
      <c r="J256" t="s">
        <v>158</v>
      </c>
      <c r="K256">
        <v>0</v>
      </c>
      <c r="L256" t="s">
        <v>153</v>
      </c>
    </row>
    <row r="257" spans="9:12" x14ac:dyDescent="0.45">
      <c r="I257" t="s">
        <v>184</v>
      </c>
      <c r="J257" t="s">
        <v>159</v>
      </c>
      <c r="K257">
        <v>4.2610356749847624E-3</v>
      </c>
      <c r="L257" t="s">
        <v>153</v>
      </c>
    </row>
    <row r="258" spans="9:12" x14ac:dyDescent="0.45">
      <c r="I258" t="s">
        <v>184</v>
      </c>
      <c r="J258" t="s">
        <v>160</v>
      </c>
      <c r="K258">
        <v>7.1726356378756892E-2</v>
      </c>
      <c r="L258" t="s">
        <v>153</v>
      </c>
    </row>
    <row r="259" spans="9:12" x14ac:dyDescent="0.45">
      <c r="I259" t="s">
        <v>184</v>
      </c>
      <c r="J259" t="s">
        <v>161</v>
      </c>
      <c r="K259">
        <v>0</v>
      </c>
      <c r="L259" t="s">
        <v>153</v>
      </c>
    </row>
    <row r="260" spans="9:12" x14ac:dyDescent="0.45">
      <c r="I260" t="s">
        <v>184</v>
      </c>
      <c r="J260" t="s">
        <v>162</v>
      </c>
      <c r="K260">
        <v>2.258912606175644E-3</v>
      </c>
      <c r="L260" t="s">
        <v>153</v>
      </c>
    </row>
    <row r="261" spans="9:12" x14ac:dyDescent="0.45">
      <c r="I261" t="s">
        <v>184</v>
      </c>
      <c r="J261" t="s">
        <v>163</v>
      </c>
      <c r="K261">
        <v>4.2759309520435142E-2</v>
      </c>
      <c r="L261" t="s">
        <v>153</v>
      </c>
    </row>
    <row r="262" spans="9:12" x14ac:dyDescent="0.45">
      <c r="I262" t="s">
        <v>184</v>
      </c>
      <c r="J262" t="s">
        <v>164</v>
      </c>
      <c r="K262">
        <v>0</v>
      </c>
      <c r="L262" t="s">
        <v>153</v>
      </c>
    </row>
    <row r="263" spans="9:12" x14ac:dyDescent="0.45">
      <c r="I263" t="s">
        <v>185</v>
      </c>
      <c r="J263" t="s">
        <v>152</v>
      </c>
      <c r="K263">
        <v>5.3214052995765988E-2</v>
      </c>
      <c r="L263" t="s">
        <v>153</v>
      </c>
    </row>
    <row r="264" spans="9:12" x14ac:dyDescent="0.45">
      <c r="I264" t="s">
        <v>185</v>
      </c>
      <c r="J264" t="s">
        <v>154</v>
      </c>
      <c r="K264">
        <v>0.71397475369503938</v>
      </c>
      <c r="L264" t="s">
        <v>153</v>
      </c>
    </row>
    <row r="265" spans="9:12" x14ac:dyDescent="0.45">
      <c r="I265" t="s">
        <v>185</v>
      </c>
      <c r="J265" t="s">
        <v>155</v>
      </c>
      <c r="K265">
        <v>4.4512192668226458E-3</v>
      </c>
      <c r="L265" t="s">
        <v>153</v>
      </c>
    </row>
    <row r="266" spans="9:12" x14ac:dyDescent="0.45">
      <c r="I266" t="s">
        <v>185</v>
      </c>
      <c r="J266" t="s">
        <v>156</v>
      </c>
      <c r="K266">
        <v>7.6104778136957913E-3</v>
      </c>
      <c r="L266" t="s">
        <v>153</v>
      </c>
    </row>
    <row r="267" spans="9:12" x14ac:dyDescent="0.45">
      <c r="I267" t="s">
        <v>185</v>
      </c>
      <c r="J267" t="s">
        <v>157</v>
      </c>
      <c r="K267">
        <v>8.0532278336259838E-2</v>
      </c>
      <c r="L267" t="s">
        <v>153</v>
      </c>
    </row>
    <row r="268" spans="9:12" x14ac:dyDescent="0.45">
      <c r="I268" t="s">
        <v>185</v>
      </c>
      <c r="J268" t="s">
        <v>158</v>
      </c>
      <c r="K268">
        <v>0</v>
      </c>
      <c r="L268" t="s">
        <v>153</v>
      </c>
    </row>
    <row r="269" spans="9:12" x14ac:dyDescent="0.45">
      <c r="I269" t="s">
        <v>185</v>
      </c>
      <c r="J269" t="s">
        <v>159</v>
      </c>
      <c r="K269">
        <v>5.7278190166203781E-3</v>
      </c>
      <c r="L269" t="s">
        <v>153</v>
      </c>
    </row>
    <row r="270" spans="9:12" x14ac:dyDescent="0.45">
      <c r="I270" t="s">
        <v>185</v>
      </c>
      <c r="J270" t="s">
        <v>160</v>
      </c>
      <c r="K270">
        <v>8.2500500424684084E-2</v>
      </c>
      <c r="L270" t="s">
        <v>153</v>
      </c>
    </row>
    <row r="271" spans="9:12" x14ac:dyDescent="0.45">
      <c r="I271" t="s">
        <v>185</v>
      </c>
      <c r="J271" t="s">
        <v>161</v>
      </c>
      <c r="K271">
        <v>0</v>
      </c>
      <c r="L271" t="s">
        <v>153</v>
      </c>
    </row>
    <row r="272" spans="9:12" x14ac:dyDescent="0.45">
      <c r="I272" t="s">
        <v>185</v>
      </c>
      <c r="J272" t="s">
        <v>162</v>
      </c>
      <c r="K272">
        <v>2.7346293616979933E-3</v>
      </c>
      <c r="L272" t="s">
        <v>153</v>
      </c>
    </row>
    <row r="273" spans="9:12" x14ac:dyDescent="0.45">
      <c r="I273" t="s">
        <v>185</v>
      </c>
      <c r="J273" t="s">
        <v>163</v>
      </c>
      <c r="K273">
        <v>4.9254269089414368E-2</v>
      </c>
      <c r="L273" t="s">
        <v>153</v>
      </c>
    </row>
    <row r="274" spans="9:12" x14ac:dyDescent="0.45">
      <c r="I274" t="s">
        <v>185</v>
      </c>
      <c r="J274" t="s">
        <v>164</v>
      </c>
      <c r="K274">
        <v>0</v>
      </c>
      <c r="L274" t="s">
        <v>153</v>
      </c>
    </row>
    <row r="275" spans="9:12" x14ac:dyDescent="0.45">
      <c r="I275" t="s">
        <v>186</v>
      </c>
      <c r="J275" t="s">
        <v>152</v>
      </c>
      <c r="K275">
        <v>3.9455219341147922E-2</v>
      </c>
      <c r="L275" t="s">
        <v>153</v>
      </c>
    </row>
    <row r="276" spans="9:12" x14ac:dyDescent="0.45">
      <c r="I276" t="s">
        <v>186</v>
      </c>
      <c r="J276" t="s">
        <v>154</v>
      </c>
      <c r="K276">
        <v>0.71685649565069143</v>
      </c>
      <c r="L276" t="s">
        <v>153</v>
      </c>
    </row>
    <row r="277" spans="9:12" x14ac:dyDescent="0.45">
      <c r="I277" t="s">
        <v>186</v>
      </c>
      <c r="J277" t="s">
        <v>155</v>
      </c>
      <c r="K277">
        <v>1.1124625492954673E-2</v>
      </c>
      <c r="L277" t="s">
        <v>153</v>
      </c>
    </row>
    <row r="278" spans="9:12" x14ac:dyDescent="0.45">
      <c r="I278" t="s">
        <v>186</v>
      </c>
      <c r="J278" t="s">
        <v>156</v>
      </c>
      <c r="K278">
        <v>5.3342098923046906E-3</v>
      </c>
      <c r="L278" t="s">
        <v>153</v>
      </c>
    </row>
    <row r="279" spans="9:12" x14ac:dyDescent="0.45">
      <c r="I279" t="s">
        <v>186</v>
      </c>
      <c r="J279" t="s">
        <v>157</v>
      </c>
      <c r="K279">
        <v>8.1200401723362223E-2</v>
      </c>
      <c r="L279" t="s">
        <v>153</v>
      </c>
    </row>
    <row r="280" spans="9:12" x14ac:dyDescent="0.45">
      <c r="I280" t="s">
        <v>186</v>
      </c>
      <c r="J280" t="s">
        <v>158</v>
      </c>
      <c r="K280">
        <v>0</v>
      </c>
      <c r="L280" t="s">
        <v>153</v>
      </c>
    </row>
    <row r="281" spans="9:12" x14ac:dyDescent="0.45">
      <c r="I281" t="s">
        <v>186</v>
      </c>
      <c r="J281" t="s">
        <v>159</v>
      </c>
      <c r="K281">
        <v>4.8541593388496561E-3</v>
      </c>
      <c r="L281" t="s">
        <v>153</v>
      </c>
    </row>
    <row r="282" spans="9:12" x14ac:dyDescent="0.45">
      <c r="I282" t="s">
        <v>186</v>
      </c>
      <c r="J282" t="s">
        <v>160</v>
      </c>
      <c r="K282">
        <v>8.3214901675410569E-2</v>
      </c>
      <c r="L282" t="s">
        <v>153</v>
      </c>
    </row>
    <row r="283" spans="9:12" x14ac:dyDescent="0.45">
      <c r="I283" t="s">
        <v>186</v>
      </c>
      <c r="J283" t="s">
        <v>161</v>
      </c>
      <c r="K283">
        <v>0</v>
      </c>
      <c r="L283" t="s">
        <v>153</v>
      </c>
    </row>
    <row r="284" spans="9:12" x14ac:dyDescent="0.45">
      <c r="I284" t="s">
        <v>186</v>
      </c>
      <c r="J284" t="s">
        <v>162</v>
      </c>
      <c r="K284">
        <v>2.9603585190356952E-3</v>
      </c>
      <c r="L284" t="s">
        <v>153</v>
      </c>
    </row>
    <row r="285" spans="9:12" x14ac:dyDescent="0.45">
      <c r="I285" t="s">
        <v>186</v>
      </c>
      <c r="J285" t="s">
        <v>163</v>
      </c>
      <c r="K285">
        <v>5.4999628366240075E-2</v>
      </c>
      <c r="L285" t="s">
        <v>153</v>
      </c>
    </row>
    <row r="286" spans="9:12" x14ac:dyDescent="0.45">
      <c r="I286" t="s">
        <v>186</v>
      </c>
      <c r="J286" t="s">
        <v>164</v>
      </c>
      <c r="K286">
        <v>0</v>
      </c>
      <c r="L286" t="s">
        <v>153</v>
      </c>
    </row>
    <row r="287" spans="9:12" x14ac:dyDescent="0.45">
      <c r="I287" t="s">
        <v>187</v>
      </c>
      <c r="J287" t="s">
        <v>152</v>
      </c>
      <c r="K287">
        <v>3.6217207116848484E-2</v>
      </c>
      <c r="L287" t="s">
        <v>153</v>
      </c>
    </row>
    <row r="288" spans="9:12" x14ac:dyDescent="0.45">
      <c r="I288" t="s">
        <v>187</v>
      </c>
      <c r="J288" t="s">
        <v>154</v>
      </c>
      <c r="K288">
        <v>0.70439612679361596</v>
      </c>
      <c r="L288" t="s">
        <v>153</v>
      </c>
    </row>
    <row r="289" spans="9:12" x14ac:dyDescent="0.45">
      <c r="I289" t="s">
        <v>187</v>
      </c>
      <c r="J289" t="s">
        <v>155</v>
      </c>
      <c r="K289">
        <v>1.015608636439031E-2</v>
      </c>
      <c r="L289" t="s">
        <v>153</v>
      </c>
    </row>
    <row r="290" spans="9:12" x14ac:dyDescent="0.45">
      <c r="I290" t="s">
        <v>187</v>
      </c>
      <c r="J290" t="s">
        <v>156</v>
      </c>
      <c r="K290">
        <v>6.4176117390338664E-3</v>
      </c>
      <c r="L290" t="s">
        <v>153</v>
      </c>
    </row>
    <row r="291" spans="9:12" x14ac:dyDescent="0.45">
      <c r="I291" t="s">
        <v>187</v>
      </c>
      <c r="J291" t="s">
        <v>157</v>
      </c>
      <c r="K291">
        <v>8.5757768469165246E-2</v>
      </c>
      <c r="L291" t="s">
        <v>153</v>
      </c>
    </row>
    <row r="292" spans="9:12" x14ac:dyDescent="0.45">
      <c r="I292" t="s">
        <v>187</v>
      </c>
      <c r="J292" t="s">
        <v>158</v>
      </c>
      <c r="K292">
        <v>0</v>
      </c>
      <c r="L292" t="s">
        <v>153</v>
      </c>
    </row>
    <row r="293" spans="9:12" x14ac:dyDescent="0.45">
      <c r="I293" t="s">
        <v>187</v>
      </c>
      <c r="J293" t="s">
        <v>159</v>
      </c>
      <c r="K293">
        <v>5.1901296837256012E-3</v>
      </c>
      <c r="L293" t="s">
        <v>153</v>
      </c>
    </row>
    <row r="294" spans="9:12" x14ac:dyDescent="0.45">
      <c r="I294" t="s">
        <v>187</v>
      </c>
      <c r="J294" t="s">
        <v>160</v>
      </c>
      <c r="K294">
        <v>9.3796069690160008E-2</v>
      </c>
      <c r="L294" t="s">
        <v>153</v>
      </c>
    </row>
    <row r="295" spans="9:12" x14ac:dyDescent="0.45">
      <c r="I295" t="s">
        <v>187</v>
      </c>
      <c r="J295" t="s">
        <v>161</v>
      </c>
      <c r="K295">
        <v>0</v>
      </c>
      <c r="L295" t="s">
        <v>153</v>
      </c>
    </row>
    <row r="296" spans="9:12" x14ac:dyDescent="0.45">
      <c r="I296" t="s">
        <v>187</v>
      </c>
      <c r="J296" t="s">
        <v>162</v>
      </c>
      <c r="K296">
        <v>2.6377896993781632E-3</v>
      </c>
      <c r="L296" t="s">
        <v>153</v>
      </c>
    </row>
    <row r="297" spans="9:12" x14ac:dyDescent="0.45">
      <c r="I297" t="s">
        <v>187</v>
      </c>
      <c r="J297" t="s">
        <v>163</v>
      </c>
      <c r="K297">
        <v>5.5431210443682377E-2</v>
      </c>
      <c r="L297" t="s">
        <v>153</v>
      </c>
    </row>
    <row r="298" spans="9:12" x14ac:dyDescent="0.45">
      <c r="I298" t="s">
        <v>187</v>
      </c>
      <c r="J298" t="s">
        <v>164</v>
      </c>
      <c r="K298">
        <v>0</v>
      </c>
      <c r="L298" t="s">
        <v>153</v>
      </c>
    </row>
    <row r="299" spans="9:12" x14ac:dyDescent="0.45">
      <c r="I299" t="s">
        <v>188</v>
      </c>
      <c r="J299" t="s">
        <v>152</v>
      </c>
      <c r="K299">
        <v>4.9838311785333655E-2</v>
      </c>
      <c r="L299" t="s">
        <v>153</v>
      </c>
    </row>
    <row r="300" spans="9:12" x14ac:dyDescent="0.45">
      <c r="I300" t="s">
        <v>188</v>
      </c>
      <c r="J300" t="s">
        <v>154</v>
      </c>
      <c r="K300">
        <v>0.71917600020268857</v>
      </c>
      <c r="L300" t="s">
        <v>153</v>
      </c>
    </row>
    <row r="301" spans="9:12" x14ac:dyDescent="0.45">
      <c r="I301" t="s">
        <v>188</v>
      </c>
      <c r="J301" t="s">
        <v>155</v>
      </c>
      <c r="K301">
        <v>6.9594939218854575E-3</v>
      </c>
      <c r="L301" t="s">
        <v>153</v>
      </c>
    </row>
    <row r="302" spans="9:12" x14ac:dyDescent="0.45">
      <c r="I302" t="s">
        <v>188</v>
      </c>
      <c r="J302" t="s">
        <v>156</v>
      </c>
      <c r="K302">
        <v>6.2138029823314853E-3</v>
      </c>
      <c r="L302" t="s">
        <v>153</v>
      </c>
    </row>
    <row r="303" spans="9:12" x14ac:dyDescent="0.45">
      <c r="I303" t="s">
        <v>188</v>
      </c>
      <c r="J303" t="s">
        <v>157</v>
      </c>
      <c r="K303">
        <v>7.5291270240231467E-2</v>
      </c>
      <c r="L303" t="s">
        <v>153</v>
      </c>
    </row>
    <row r="304" spans="9:12" x14ac:dyDescent="0.45">
      <c r="I304" t="s">
        <v>188</v>
      </c>
      <c r="J304" t="s">
        <v>158</v>
      </c>
      <c r="K304">
        <v>0</v>
      </c>
      <c r="L304" t="s">
        <v>153</v>
      </c>
    </row>
    <row r="305" spans="9:12" x14ac:dyDescent="0.45">
      <c r="I305" t="s">
        <v>188</v>
      </c>
      <c r="J305" t="s">
        <v>159</v>
      </c>
      <c r="K305">
        <v>5.1854786400174612E-3</v>
      </c>
      <c r="L305" t="s">
        <v>153</v>
      </c>
    </row>
    <row r="306" spans="9:12" x14ac:dyDescent="0.45">
      <c r="I306" t="s">
        <v>188</v>
      </c>
      <c r="J306" t="s">
        <v>160</v>
      </c>
      <c r="K306">
        <v>8.1098088284386791E-2</v>
      </c>
      <c r="L306" t="s">
        <v>153</v>
      </c>
    </row>
    <row r="307" spans="9:12" x14ac:dyDescent="0.45">
      <c r="I307" t="s">
        <v>188</v>
      </c>
      <c r="J307" t="s">
        <v>161</v>
      </c>
      <c r="K307">
        <v>0</v>
      </c>
      <c r="L307" t="s">
        <v>153</v>
      </c>
    </row>
    <row r="308" spans="9:12" x14ac:dyDescent="0.45">
      <c r="I308" t="s">
        <v>188</v>
      </c>
      <c r="J308" t="s">
        <v>162</v>
      </c>
      <c r="K308">
        <v>3.0035512066987663E-3</v>
      </c>
      <c r="L308" t="s">
        <v>153</v>
      </c>
    </row>
    <row r="309" spans="9:12" x14ac:dyDescent="0.45">
      <c r="I309" t="s">
        <v>188</v>
      </c>
      <c r="J309" t="s">
        <v>163</v>
      </c>
      <c r="K309">
        <v>5.323400273642357E-2</v>
      </c>
      <c r="L309" t="s">
        <v>153</v>
      </c>
    </row>
    <row r="310" spans="9:12" x14ac:dyDescent="0.45">
      <c r="I310" t="s">
        <v>188</v>
      </c>
      <c r="J310" t="s">
        <v>164</v>
      </c>
      <c r="K310">
        <v>0</v>
      </c>
      <c r="L310" t="s">
        <v>153</v>
      </c>
    </row>
    <row r="311" spans="9:12" x14ac:dyDescent="0.45">
      <c r="I311" t="s">
        <v>189</v>
      </c>
      <c r="J311" t="s">
        <v>152</v>
      </c>
      <c r="K311">
        <v>5.6537220583058378E-2</v>
      </c>
      <c r="L311" t="s">
        <v>153</v>
      </c>
    </row>
    <row r="312" spans="9:12" x14ac:dyDescent="0.45">
      <c r="I312" t="s">
        <v>189</v>
      </c>
      <c r="J312" t="s">
        <v>154</v>
      </c>
      <c r="K312">
        <v>0.72930994711969965</v>
      </c>
      <c r="L312" t="s">
        <v>153</v>
      </c>
    </row>
    <row r="313" spans="9:12" x14ac:dyDescent="0.45">
      <c r="I313" t="s">
        <v>189</v>
      </c>
      <c r="J313" t="s">
        <v>155</v>
      </c>
      <c r="K313">
        <v>5.7058866952458855E-3</v>
      </c>
      <c r="L313" t="s">
        <v>153</v>
      </c>
    </row>
    <row r="314" spans="9:12" x14ac:dyDescent="0.45">
      <c r="I314" t="s">
        <v>189</v>
      </c>
      <c r="J314" t="s">
        <v>156</v>
      </c>
      <c r="K314">
        <v>6.8694934557946962E-3</v>
      </c>
      <c r="L314" t="s">
        <v>153</v>
      </c>
    </row>
    <row r="315" spans="9:12" x14ac:dyDescent="0.45">
      <c r="I315" t="s">
        <v>189</v>
      </c>
      <c r="J315" t="s">
        <v>157</v>
      </c>
      <c r="K315">
        <v>7.0151045885246968E-2</v>
      </c>
      <c r="L315" t="s">
        <v>153</v>
      </c>
    </row>
    <row r="316" spans="9:12" x14ac:dyDescent="0.45">
      <c r="I316" t="s">
        <v>189</v>
      </c>
      <c r="J316" t="s">
        <v>158</v>
      </c>
      <c r="K316">
        <v>0</v>
      </c>
      <c r="L316" t="s">
        <v>153</v>
      </c>
    </row>
    <row r="317" spans="9:12" x14ac:dyDescent="0.45">
      <c r="I317" t="s">
        <v>189</v>
      </c>
      <c r="J317" t="s">
        <v>159</v>
      </c>
      <c r="K317">
        <v>5.0294349457094779E-3</v>
      </c>
      <c r="L317" t="s">
        <v>153</v>
      </c>
    </row>
    <row r="318" spans="9:12" x14ac:dyDescent="0.45">
      <c r="I318" t="s">
        <v>189</v>
      </c>
      <c r="J318" t="s">
        <v>160</v>
      </c>
      <c r="K318">
        <v>7.5544177981633764E-2</v>
      </c>
      <c r="L318" t="s">
        <v>153</v>
      </c>
    </row>
    <row r="319" spans="9:12" x14ac:dyDescent="0.45">
      <c r="I319" t="s">
        <v>189</v>
      </c>
      <c r="J319" t="s">
        <v>161</v>
      </c>
      <c r="K319">
        <v>0</v>
      </c>
      <c r="L319" t="s">
        <v>153</v>
      </c>
    </row>
    <row r="320" spans="9:12" x14ac:dyDescent="0.45">
      <c r="I320" t="s">
        <v>189</v>
      </c>
      <c r="J320" t="s">
        <v>162</v>
      </c>
      <c r="K320">
        <v>2.8268275257851173E-3</v>
      </c>
      <c r="L320" t="s">
        <v>153</v>
      </c>
    </row>
    <row r="321" spans="9:12" x14ac:dyDescent="0.45">
      <c r="I321" t="s">
        <v>189</v>
      </c>
      <c r="J321" t="s">
        <v>163</v>
      </c>
      <c r="K321">
        <v>4.8025965807827836E-2</v>
      </c>
      <c r="L321" t="s">
        <v>153</v>
      </c>
    </row>
    <row r="322" spans="9:12" x14ac:dyDescent="0.45">
      <c r="I322" t="s">
        <v>189</v>
      </c>
      <c r="J322" t="s">
        <v>164</v>
      </c>
      <c r="K322">
        <v>0</v>
      </c>
      <c r="L322" t="s">
        <v>153</v>
      </c>
    </row>
    <row r="323" spans="9:12" x14ac:dyDescent="0.45">
      <c r="I323" t="s">
        <v>190</v>
      </c>
      <c r="J323" t="s">
        <v>152</v>
      </c>
      <c r="K323">
        <v>5.1024589548058503E-2</v>
      </c>
      <c r="L323" t="s">
        <v>153</v>
      </c>
    </row>
    <row r="324" spans="9:12" x14ac:dyDescent="0.45">
      <c r="I324" t="s">
        <v>190</v>
      </c>
      <c r="J324" t="s">
        <v>154</v>
      </c>
      <c r="K324">
        <v>0.71927006408057625</v>
      </c>
      <c r="L324" t="s">
        <v>153</v>
      </c>
    </row>
    <row r="325" spans="9:12" x14ac:dyDescent="0.45">
      <c r="I325" t="s">
        <v>190</v>
      </c>
      <c r="J325" t="s">
        <v>155</v>
      </c>
      <c r="K325">
        <v>4.9253655537066926E-3</v>
      </c>
      <c r="L325" t="s">
        <v>153</v>
      </c>
    </row>
    <row r="326" spans="9:12" x14ac:dyDescent="0.45">
      <c r="I326" t="s">
        <v>190</v>
      </c>
      <c r="J326" t="s">
        <v>156</v>
      </c>
      <c r="K326">
        <v>7.416880851113034E-3</v>
      </c>
      <c r="L326" t="s">
        <v>153</v>
      </c>
    </row>
    <row r="327" spans="9:12" x14ac:dyDescent="0.45">
      <c r="I327" t="s">
        <v>190</v>
      </c>
      <c r="J327" t="s">
        <v>157</v>
      </c>
      <c r="K327">
        <v>7.6256997135612861E-2</v>
      </c>
      <c r="L327" t="s">
        <v>153</v>
      </c>
    </row>
    <row r="328" spans="9:12" x14ac:dyDescent="0.45">
      <c r="I328" t="s">
        <v>190</v>
      </c>
      <c r="J328" t="s">
        <v>158</v>
      </c>
      <c r="K328">
        <v>0</v>
      </c>
      <c r="L328" t="s">
        <v>153</v>
      </c>
    </row>
    <row r="329" spans="9:12" x14ac:dyDescent="0.45">
      <c r="I329" t="s">
        <v>190</v>
      </c>
      <c r="J329" t="s">
        <v>159</v>
      </c>
      <c r="K329">
        <v>5.7102814536037962E-3</v>
      </c>
      <c r="L329" t="s">
        <v>153</v>
      </c>
    </row>
    <row r="330" spans="9:12" x14ac:dyDescent="0.45">
      <c r="I330" t="s">
        <v>190</v>
      </c>
      <c r="J330" t="s">
        <v>160</v>
      </c>
      <c r="K330">
        <v>8.1256787251445237E-2</v>
      </c>
      <c r="L330" t="s">
        <v>153</v>
      </c>
    </row>
    <row r="331" spans="9:12" x14ac:dyDescent="0.45">
      <c r="I331" t="s">
        <v>190</v>
      </c>
      <c r="J331" t="s">
        <v>161</v>
      </c>
      <c r="K331">
        <v>0</v>
      </c>
      <c r="L331" t="s">
        <v>153</v>
      </c>
    </row>
    <row r="332" spans="9:12" x14ac:dyDescent="0.45">
      <c r="I332" t="s">
        <v>190</v>
      </c>
      <c r="J332" t="s">
        <v>162</v>
      </c>
      <c r="K332">
        <v>2.8669263352715424E-3</v>
      </c>
      <c r="L332" t="s">
        <v>153</v>
      </c>
    </row>
    <row r="333" spans="9:12" x14ac:dyDescent="0.45">
      <c r="I333" t="s">
        <v>190</v>
      </c>
      <c r="J333" t="s">
        <v>163</v>
      </c>
      <c r="K333">
        <v>5.1272107790610089E-2</v>
      </c>
      <c r="L333" t="s">
        <v>153</v>
      </c>
    </row>
    <row r="334" spans="9:12" x14ac:dyDescent="0.45">
      <c r="I334" t="s">
        <v>190</v>
      </c>
      <c r="J334" t="s">
        <v>164</v>
      </c>
      <c r="K334">
        <v>0</v>
      </c>
      <c r="L334" t="s">
        <v>153</v>
      </c>
    </row>
    <row r="335" spans="9:12" x14ac:dyDescent="0.45">
      <c r="I335" t="s">
        <v>191</v>
      </c>
      <c r="J335" t="s">
        <v>152</v>
      </c>
      <c r="K335">
        <v>5.6023250752081116E-2</v>
      </c>
      <c r="L335" t="s">
        <v>153</v>
      </c>
    </row>
    <row r="336" spans="9:12" x14ac:dyDescent="0.45">
      <c r="I336" t="s">
        <v>191</v>
      </c>
      <c r="J336" t="s">
        <v>154</v>
      </c>
      <c r="K336">
        <v>0.71296875202317855</v>
      </c>
      <c r="L336" t="s">
        <v>153</v>
      </c>
    </row>
    <row r="337" spans="9:12" x14ac:dyDescent="0.45">
      <c r="I337" t="s">
        <v>191</v>
      </c>
      <c r="J337" t="s">
        <v>155</v>
      </c>
      <c r="K337">
        <v>3.4880427060771197E-3</v>
      </c>
      <c r="L337" t="s">
        <v>153</v>
      </c>
    </row>
    <row r="338" spans="9:12" x14ac:dyDescent="0.45">
      <c r="I338" t="s">
        <v>191</v>
      </c>
      <c r="J338" t="s">
        <v>156</v>
      </c>
      <c r="K338">
        <v>8.9952857019310207E-3</v>
      </c>
      <c r="L338" t="s">
        <v>153</v>
      </c>
    </row>
    <row r="339" spans="9:12" x14ac:dyDescent="0.45">
      <c r="I339" t="s">
        <v>191</v>
      </c>
      <c r="J339" t="s">
        <v>157</v>
      </c>
      <c r="K339">
        <v>7.7140820506516994E-2</v>
      </c>
      <c r="L339" t="s">
        <v>153</v>
      </c>
    </row>
    <row r="340" spans="9:12" x14ac:dyDescent="0.45">
      <c r="I340" t="s">
        <v>191</v>
      </c>
      <c r="J340" t="s">
        <v>158</v>
      </c>
      <c r="K340">
        <v>0</v>
      </c>
      <c r="L340" t="s">
        <v>153</v>
      </c>
    </row>
    <row r="341" spans="9:12" x14ac:dyDescent="0.45">
      <c r="I341" t="s">
        <v>191</v>
      </c>
      <c r="J341" t="s">
        <v>159</v>
      </c>
      <c r="K341">
        <v>6.7979021455268716E-3</v>
      </c>
      <c r="L341" t="s">
        <v>153</v>
      </c>
    </row>
    <row r="342" spans="9:12" x14ac:dyDescent="0.45">
      <c r="I342" t="s">
        <v>191</v>
      </c>
      <c r="J342" t="s">
        <v>160</v>
      </c>
      <c r="K342">
        <v>8.2599803780274678E-2</v>
      </c>
      <c r="L342" t="s">
        <v>153</v>
      </c>
    </row>
    <row r="343" spans="9:12" x14ac:dyDescent="0.45">
      <c r="I343" t="s">
        <v>191</v>
      </c>
      <c r="J343" t="s">
        <v>161</v>
      </c>
      <c r="K343">
        <v>0</v>
      </c>
      <c r="L343" t="s">
        <v>153</v>
      </c>
    </row>
    <row r="344" spans="9:12" x14ac:dyDescent="0.45">
      <c r="I344" t="s">
        <v>191</v>
      </c>
      <c r="J344" t="s">
        <v>162</v>
      </c>
      <c r="K344">
        <v>2.8661434111479003E-3</v>
      </c>
      <c r="L344" t="s">
        <v>153</v>
      </c>
    </row>
    <row r="345" spans="9:12" x14ac:dyDescent="0.45">
      <c r="I345" t="s">
        <v>191</v>
      </c>
      <c r="J345" t="s">
        <v>163</v>
      </c>
      <c r="K345">
        <v>4.9119998973267118E-2</v>
      </c>
      <c r="L345" t="s">
        <v>153</v>
      </c>
    </row>
    <row r="346" spans="9:12" x14ac:dyDescent="0.45">
      <c r="I346" t="s">
        <v>191</v>
      </c>
      <c r="J346" t="s">
        <v>164</v>
      </c>
      <c r="K346">
        <v>0</v>
      </c>
      <c r="L346" t="s">
        <v>153</v>
      </c>
    </row>
    <row r="347" spans="9:12" x14ac:dyDescent="0.45">
      <c r="I347" t="s">
        <v>192</v>
      </c>
      <c r="J347" t="s">
        <v>152</v>
      </c>
      <c r="K347">
        <v>5.6507071890745809E-2</v>
      </c>
      <c r="L347" t="s">
        <v>153</v>
      </c>
    </row>
    <row r="348" spans="9:12" x14ac:dyDescent="0.45">
      <c r="I348" t="s">
        <v>192</v>
      </c>
      <c r="J348" t="s">
        <v>154</v>
      </c>
      <c r="K348">
        <v>0.72269140355698691</v>
      </c>
      <c r="L348" t="s">
        <v>153</v>
      </c>
    </row>
    <row r="349" spans="9:12" x14ac:dyDescent="0.45">
      <c r="I349" t="s">
        <v>192</v>
      </c>
      <c r="J349" t="s">
        <v>155</v>
      </c>
      <c r="K349">
        <v>4.3159430236775652E-3</v>
      </c>
      <c r="L349" t="s">
        <v>153</v>
      </c>
    </row>
    <row r="350" spans="9:12" x14ac:dyDescent="0.45">
      <c r="I350" t="s">
        <v>192</v>
      </c>
      <c r="J350" t="s">
        <v>156</v>
      </c>
      <c r="K350">
        <v>7.7219945928641521E-3</v>
      </c>
      <c r="L350" t="s">
        <v>153</v>
      </c>
    </row>
    <row r="351" spans="9:12" x14ac:dyDescent="0.45">
      <c r="I351" t="s">
        <v>192</v>
      </c>
      <c r="J351" t="s">
        <v>157</v>
      </c>
      <c r="K351">
        <v>7.2404156687738835E-2</v>
      </c>
      <c r="L351" t="s">
        <v>153</v>
      </c>
    </row>
    <row r="352" spans="9:12" x14ac:dyDescent="0.45">
      <c r="I352" t="s">
        <v>192</v>
      </c>
      <c r="J352" t="s">
        <v>158</v>
      </c>
      <c r="K352">
        <v>0</v>
      </c>
      <c r="L352" t="s">
        <v>153</v>
      </c>
    </row>
    <row r="353" spans="9:12" x14ac:dyDescent="0.45">
      <c r="I353" t="s">
        <v>192</v>
      </c>
      <c r="J353" t="s">
        <v>159</v>
      </c>
      <c r="K353">
        <v>5.6434405042165214E-3</v>
      </c>
      <c r="L353" t="s">
        <v>153</v>
      </c>
    </row>
    <row r="354" spans="9:12" x14ac:dyDescent="0.45">
      <c r="I354" t="s">
        <v>192</v>
      </c>
      <c r="J354" t="s">
        <v>160</v>
      </c>
      <c r="K354">
        <v>7.9480587519608237E-2</v>
      </c>
      <c r="L354" t="s">
        <v>153</v>
      </c>
    </row>
    <row r="355" spans="9:12" x14ac:dyDescent="0.45">
      <c r="I355" t="s">
        <v>192</v>
      </c>
      <c r="J355" t="s">
        <v>161</v>
      </c>
      <c r="K355">
        <v>0</v>
      </c>
      <c r="L355" t="s">
        <v>153</v>
      </c>
    </row>
    <row r="356" spans="9:12" x14ac:dyDescent="0.45">
      <c r="I356" t="s">
        <v>192</v>
      </c>
      <c r="J356" t="s">
        <v>162</v>
      </c>
      <c r="K356">
        <v>2.8310402181081396E-3</v>
      </c>
      <c r="L356" t="s">
        <v>153</v>
      </c>
    </row>
    <row r="357" spans="9:12" x14ac:dyDescent="0.45">
      <c r="I357" t="s">
        <v>192</v>
      </c>
      <c r="J357" t="s">
        <v>163</v>
      </c>
      <c r="K357">
        <v>4.8404362006055801E-2</v>
      </c>
      <c r="L357" t="s">
        <v>153</v>
      </c>
    </row>
    <row r="358" spans="9:12" x14ac:dyDescent="0.45">
      <c r="I358" t="s">
        <v>192</v>
      </c>
      <c r="J358" t="s">
        <v>164</v>
      </c>
      <c r="K358">
        <v>0</v>
      </c>
      <c r="L358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BD76-D2B1-4DD8-86BC-297A1A97BFC4}">
  <dimension ref="A9:AN7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231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144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193</v>
      </c>
      <c r="O11" t="s">
        <v>152</v>
      </c>
      <c r="P11">
        <v>0.29537437359205554</v>
      </c>
      <c r="Q11" t="s">
        <v>153</v>
      </c>
      <c r="S11" t="s">
        <v>208</v>
      </c>
      <c r="T11" t="s">
        <v>152</v>
      </c>
      <c r="U11">
        <v>0.21493444542078799</v>
      </c>
      <c r="V11" t="s">
        <v>153</v>
      </c>
      <c r="X11">
        <v>0.23013698630136986</v>
      </c>
      <c r="Y11">
        <v>9.0885314372374029E-2</v>
      </c>
      <c r="Z11" t="s">
        <v>152</v>
      </c>
      <c r="AA11" t="s">
        <v>25</v>
      </c>
      <c r="AC11" t="s">
        <v>22</v>
      </c>
      <c r="AD11" t="s">
        <v>152</v>
      </c>
      <c r="AE11">
        <v>0.19171229618299823</v>
      </c>
      <c r="AG11" t="s">
        <v>96</v>
      </c>
      <c r="AH11" t="s">
        <v>152</v>
      </c>
      <c r="AI11">
        <v>0.34643223696004299</v>
      </c>
      <c r="AK11">
        <v>2020</v>
      </c>
      <c r="AL11" t="s">
        <v>141</v>
      </c>
      <c r="AM11">
        <v>0.17499999999999999</v>
      </c>
      <c r="AN11" t="s">
        <v>227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1.7766273814540316E-2</v>
      </c>
      <c r="L12" t="s">
        <v>153</v>
      </c>
      <c r="N12" t="s">
        <v>193</v>
      </c>
      <c r="O12" t="s">
        <v>154</v>
      </c>
      <c r="P12">
        <v>2.6355984601380552E-2</v>
      </c>
      <c r="Q12" t="s">
        <v>153</v>
      </c>
      <c r="S12" t="s">
        <v>208</v>
      </c>
      <c r="T12" t="s">
        <v>154</v>
      </c>
      <c r="U12">
        <v>2.8308828643222591E-2</v>
      </c>
      <c r="V12" t="s">
        <v>153</v>
      </c>
      <c r="X12">
        <v>3.287671232876712E-2</v>
      </c>
      <c r="Y12">
        <v>5.4893966138776326E-2</v>
      </c>
      <c r="Z12" t="s">
        <v>154</v>
      </c>
      <c r="AA12" t="s">
        <v>25</v>
      </c>
      <c r="AC12" t="s">
        <v>22</v>
      </c>
      <c r="AD12" t="s">
        <v>154</v>
      </c>
      <c r="AE12">
        <v>2.8306397791720287E-2</v>
      </c>
      <c r="AG12" t="s">
        <v>96</v>
      </c>
      <c r="AH12" t="s">
        <v>154</v>
      </c>
      <c r="AI12">
        <v>0.1939971526430746</v>
      </c>
      <c r="AK12">
        <v>2020</v>
      </c>
      <c r="AL12" t="s">
        <v>145</v>
      </c>
      <c r="AM12">
        <v>0.10550000000000001</v>
      </c>
      <c r="AN12" t="s">
        <v>227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0.67711652066398476</v>
      </c>
      <c r="L13" t="s">
        <v>153</v>
      </c>
      <c r="N13" t="s">
        <v>193</v>
      </c>
      <c r="O13" t="s">
        <v>155</v>
      </c>
      <c r="P13">
        <v>0.1680133131015864</v>
      </c>
      <c r="Q13" t="s">
        <v>153</v>
      </c>
      <c r="S13" t="s">
        <v>208</v>
      </c>
      <c r="T13" t="s">
        <v>155</v>
      </c>
      <c r="U13">
        <v>0.26854013475382027</v>
      </c>
      <c r="V13" t="s">
        <v>153</v>
      </c>
      <c r="X13">
        <v>0.29589041095890412</v>
      </c>
      <c r="Y13">
        <v>0.40554707505655974</v>
      </c>
      <c r="Z13" t="s">
        <v>155</v>
      </c>
      <c r="AA13" t="s">
        <v>25</v>
      </c>
      <c r="AC13" t="s">
        <v>22</v>
      </c>
      <c r="AD13" t="s">
        <v>155</v>
      </c>
      <c r="AE13">
        <v>0.34030427137073249</v>
      </c>
      <c r="AG13" t="s">
        <v>96</v>
      </c>
      <c r="AH13" t="s">
        <v>155</v>
      </c>
      <c r="AI13">
        <v>0.24794842517050286</v>
      </c>
      <c r="AK13">
        <v>2020</v>
      </c>
      <c r="AL13" t="s">
        <v>147</v>
      </c>
      <c r="AM13">
        <v>0.12709999999999999</v>
      </c>
      <c r="AN13" t="s">
        <v>227</v>
      </c>
    </row>
    <row r="14" spans="1:40" x14ac:dyDescent="0.45">
      <c r="C14" t="s">
        <v>149</v>
      </c>
      <c r="E14" t="s">
        <v>228</v>
      </c>
      <c r="G14" t="s">
        <v>142</v>
      </c>
      <c r="I14" t="s">
        <v>151</v>
      </c>
      <c r="J14" t="s">
        <v>232</v>
      </c>
      <c r="K14">
        <v>5.1704179416660667E-2</v>
      </c>
      <c r="L14" t="s">
        <v>153</v>
      </c>
      <c r="N14" t="s">
        <v>193</v>
      </c>
      <c r="O14" t="s">
        <v>232</v>
      </c>
      <c r="P14">
        <v>1.3250530751570283E-2</v>
      </c>
      <c r="Q14" t="s">
        <v>153</v>
      </c>
      <c r="S14" t="s">
        <v>208</v>
      </c>
      <c r="T14" t="s">
        <v>232</v>
      </c>
      <c r="U14">
        <v>3.3377056082535404E-2</v>
      </c>
      <c r="V14" t="s">
        <v>153</v>
      </c>
      <c r="X14">
        <v>3.287671232876712E-2</v>
      </c>
      <c r="Y14">
        <v>6.3963404022574166E-2</v>
      </c>
      <c r="Z14" t="s">
        <v>232</v>
      </c>
      <c r="AA14" t="s">
        <v>25</v>
      </c>
      <c r="AC14" t="s">
        <v>22</v>
      </c>
      <c r="AD14" t="s">
        <v>232</v>
      </c>
      <c r="AE14">
        <v>3.8070314016381127E-2</v>
      </c>
      <c r="AG14" t="s">
        <v>96</v>
      </c>
      <c r="AH14" t="s">
        <v>232</v>
      </c>
      <c r="AI14">
        <v>0.22741712223439148</v>
      </c>
      <c r="AK14">
        <v>2020</v>
      </c>
      <c r="AL14" t="s">
        <v>149</v>
      </c>
      <c r="AM14">
        <v>0.1426</v>
      </c>
      <c r="AN14" t="s">
        <v>227</v>
      </c>
    </row>
    <row r="15" spans="1:40" x14ac:dyDescent="0.45">
      <c r="E15" t="s">
        <v>229</v>
      </c>
      <c r="G15" t="s">
        <v>142</v>
      </c>
      <c r="I15" t="s">
        <v>151</v>
      </c>
      <c r="J15" t="s">
        <v>233</v>
      </c>
      <c r="K15">
        <v>3.0396956767549936E-2</v>
      </c>
      <c r="L15" t="s">
        <v>153</v>
      </c>
      <c r="N15" t="s">
        <v>193</v>
      </c>
      <c r="O15" t="s">
        <v>233</v>
      </c>
      <c r="P15">
        <v>1.5896651673650862E-2</v>
      </c>
      <c r="Q15" t="s">
        <v>153</v>
      </c>
      <c r="S15" t="s">
        <v>208</v>
      </c>
      <c r="T15" t="s">
        <v>233</v>
      </c>
      <c r="U15">
        <v>3.4326462495667953E-2</v>
      </c>
      <c r="V15" t="s">
        <v>153</v>
      </c>
      <c r="X15">
        <v>3.287671232876712E-2</v>
      </c>
      <c r="Y15">
        <v>4.9643238942893374E-2</v>
      </c>
      <c r="Z15" t="s">
        <v>233</v>
      </c>
      <c r="AA15" t="s">
        <v>25</v>
      </c>
      <c r="AC15" t="s">
        <v>22</v>
      </c>
      <c r="AD15" t="s">
        <v>233</v>
      </c>
      <c r="AE15">
        <v>4.1424338528104121E-2</v>
      </c>
      <c r="AG15" t="s">
        <v>96</v>
      </c>
      <c r="AH15" t="s">
        <v>233</v>
      </c>
      <c r="AI15">
        <v>0.1846419178694414</v>
      </c>
      <c r="AK15">
        <v>2021</v>
      </c>
      <c r="AL15" t="s">
        <v>141</v>
      </c>
      <c r="AM15">
        <v>0.17168</v>
      </c>
      <c r="AN15" t="s">
        <v>227</v>
      </c>
    </row>
    <row r="16" spans="1:40" x14ac:dyDescent="0.45">
      <c r="E16" t="s">
        <v>230</v>
      </c>
      <c r="G16" t="s">
        <v>142</v>
      </c>
      <c r="I16" t="s">
        <v>151</v>
      </c>
      <c r="J16" t="s">
        <v>234</v>
      </c>
      <c r="K16">
        <v>2.4596765728431141E-3</v>
      </c>
      <c r="L16" t="s">
        <v>153</v>
      </c>
      <c r="N16" t="s">
        <v>193</v>
      </c>
      <c r="O16" t="s">
        <v>234</v>
      </c>
      <c r="P16">
        <v>0.19872364393749578</v>
      </c>
      <c r="Q16" t="s">
        <v>153</v>
      </c>
      <c r="S16" t="s">
        <v>208</v>
      </c>
      <c r="T16" t="s">
        <v>234</v>
      </c>
      <c r="U16">
        <v>0.16498070109235097</v>
      </c>
      <c r="V16" t="s">
        <v>153</v>
      </c>
      <c r="X16">
        <v>0.16438356164383561</v>
      </c>
      <c r="Y16">
        <v>0.12410809735723342</v>
      </c>
      <c r="Z16" t="s">
        <v>234</v>
      </c>
      <c r="AA16" t="s">
        <v>25</v>
      </c>
      <c r="AC16" t="s">
        <v>22</v>
      </c>
      <c r="AD16" t="s">
        <v>234</v>
      </c>
      <c r="AE16">
        <v>0.18435129449801782</v>
      </c>
      <c r="AG16" t="s">
        <v>96</v>
      </c>
      <c r="AH16" t="s">
        <v>234</v>
      </c>
      <c r="AI16">
        <v>0.30717330712947177</v>
      </c>
      <c r="AK16">
        <v>2021</v>
      </c>
      <c r="AL16" t="s">
        <v>145</v>
      </c>
      <c r="AM16">
        <v>0.1273</v>
      </c>
      <c r="AN16" t="s">
        <v>227</v>
      </c>
    </row>
    <row r="17" spans="9:40" x14ac:dyDescent="0.45">
      <c r="I17" t="s">
        <v>151</v>
      </c>
      <c r="J17" t="s">
        <v>156</v>
      </c>
      <c r="K17">
        <v>0</v>
      </c>
      <c r="L17" t="s">
        <v>153</v>
      </c>
      <c r="N17" t="s">
        <v>193</v>
      </c>
      <c r="O17" t="s">
        <v>156</v>
      </c>
      <c r="P17">
        <v>3.8188036030169042E-2</v>
      </c>
      <c r="Q17" t="s">
        <v>153</v>
      </c>
      <c r="S17" t="s">
        <v>208</v>
      </c>
      <c r="T17" t="s">
        <v>156</v>
      </c>
      <c r="U17">
        <v>7.1396474978396123E-3</v>
      </c>
      <c r="V17" t="s">
        <v>153</v>
      </c>
      <c r="X17">
        <v>2.4771689497716895E-2</v>
      </c>
      <c r="Y17">
        <v>9.7827942553597048E-3</v>
      </c>
      <c r="Z17" t="s">
        <v>156</v>
      </c>
      <c r="AA17" t="s">
        <v>25</v>
      </c>
      <c r="AC17" t="s">
        <v>22</v>
      </c>
      <c r="AD17" t="s">
        <v>156</v>
      </c>
      <c r="AE17">
        <v>1.6096220727191499E-2</v>
      </c>
      <c r="AG17" t="s">
        <v>96</v>
      </c>
      <c r="AH17" t="s">
        <v>156</v>
      </c>
      <c r="AI17">
        <v>6.971308065120585E-2</v>
      </c>
      <c r="AK17">
        <v>2021</v>
      </c>
      <c r="AL17" t="s">
        <v>147</v>
      </c>
      <c r="AM17">
        <v>0.14460000000000001</v>
      </c>
      <c r="AN17" t="s">
        <v>227</v>
      </c>
    </row>
    <row r="18" spans="9:40" x14ac:dyDescent="0.45">
      <c r="I18" t="s">
        <v>151</v>
      </c>
      <c r="J18" t="s">
        <v>157</v>
      </c>
      <c r="K18">
        <v>3.2992930104965689E-3</v>
      </c>
      <c r="L18" t="s">
        <v>153</v>
      </c>
      <c r="N18" t="s">
        <v>193</v>
      </c>
      <c r="O18" t="s">
        <v>157</v>
      </c>
      <c r="P18">
        <v>4.5486561125956185E-3</v>
      </c>
      <c r="Q18" t="s">
        <v>153</v>
      </c>
      <c r="S18" t="s">
        <v>208</v>
      </c>
      <c r="T18" t="s">
        <v>157</v>
      </c>
      <c r="U18">
        <v>1.327427757018395E-3</v>
      </c>
      <c r="V18" t="s">
        <v>153</v>
      </c>
      <c r="X18">
        <v>3.5388127853881279E-3</v>
      </c>
      <c r="Y18">
        <v>5.9087255218821738E-3</v>
      </c>
      <c r="Z18" t="s">
        <v>157</v>
      </c>
      <c r="AA18" t="s">
        <v>25</v>
      </c>
      <c r="AC18" t="s">
        <v>22</v>
      </c>
      <c r="AD18" t="s">
        <v>157</v>
      </c>
      <c r="AE18">
        <v>2.7058310975182735E-3</v>
      </c>
      <c r="AG18" t="s">
        <v>96</v>
      </c>
      <c r="AH18" t="s">
        <v>157</v>
      </c>
      <c r="AI18">
        <v>5.1150396052526581E-2</v>
      </c>
      <c r="AK18">
        <v>2021</v>
      </c>
      <c r="AL18" t="s">
        <v>149</v>
      </c>
      <c r="AM18">
        <v>0.1686</v>
      </c>
      <c r="AN18" t="s">
        <v>227</v>
      </c>
    </row>
    <row r="19" spans="9:40" x14ac:dyDescent="0.45">
      <c r="I19" t="s">
        <v>151</v>
      </c>
      <c r="J19" t="s">
        <v>158</v>
      </c>
      <c r="K19">
        <v>7.680618440685974E-2</v>
      </c>
      <c r="L19" t="s">
        <v>153</v>
      </c>
      <c r="N19" t="s">
        <v>193</v>
      </c>
      <c r="O19" t="s">
        <v>158</v>
      </c>
      <c r="P19">
        <v>3.0584910836614854E-2</v>
      </c>
      <c r="Q19" t="s">
        <v>153</v>
      </c>
      <c r="S19" t="s">
        <v>208</v>
      </c>
      <c r="T19" t="s">
        <v>158</v>
      </c>
      <c r="U19">
        <v>1.4279786361099582E-2</v>
      </c>
      <c r="V19" t="s">
        <v>153</v>
      </c>
      <c r="X19">
        <v>3.1849315068493152E-2</v>
      </c>
      <c r="Y19">
        <v>4.365263655122692E-2</v>
      </c>
      <c r="Z19" t="s">
        <v>158</v>
      </c>
      <c r="AA19" t="s">
        <v>25</v>
      </c>
      <c r="AC19" t="s">
        <v>22</v>
      </c>
      <c r="AD19" t="s">
        <v>158</v>
      </c>
      <c r="AE19">
        <v>3.0810056965020691E-2</v>
      </c>
      <c r="AG19" t="s">
        <v>96</v>
      </c>
      <c r="AH19" t="s">
        <v>158</v>
      </c>
      <c r="AI19">
        <v>0.10955922663965412</v>
      </c>
      <c r="AK19">
        <v>2022</v>
      </c>
      <c r="AL19" t="s">
        <v>141</v>
      </c>
      <c r="AM19">
        <v>0.24784</v>
      </c>
      <c r="AN19" t="s">
        <v>227</v>
      </c>
    </row>
    <row r="20" spans="9:40" x14ac:dyDescent="0.45">
      <c r="I20" t="s">
        <v>151</v>
      </c>
      <c r="J20" t="s">
        <v>235</v>
      </c>
      <c r="K20">
        <v>4.7555116110799562E-3</v>
      </c>
      <c r="L20" t="s">
        <v>153</v>
      </c>
      <c r="N20" t="s">
        <v>193</v>
      </c>
      <c r="O20" t="s">
        <v>235</v>
      </c>
      <c r="P20">
        <v>2.3259297522823198E-3</v>
      </c>
      <c r="Q20" t="s">
        <v>153</v>
      </c>
      <c r="S20" t="s">
        <v>208</v>
      </c>
      <c r="T20" t="s">
        <v>235</v>
      </c>
      <c r="U20">
        <v>1.2866122364343481E-3</v>
      </c>
      <c r="V20" t="s">
        <v>153</v>
      </c>
      <c r="X20">
        <v>3.5388127853881279E-3</v>
      </c>
      <c r="Y20">
        <v>6.8849497385409693E-3</v>
      </c>
      <c r="Z20" t="s">
        <v>235</v>
      </c>
      <c r="AA20" t="s">
        <v>25</v>
      </c>
      <c r="AC20" t="s">
        <v>22</v>
      </c>
      <c r="AD20" t="s">
        <v>235</v>
      </c>
      <c r="AE20">
        <v>3.5269368358586211E-3</v>
      </c>
      <c r="AG20" t="s">
        <v>96</v>
      </c>
      <c r="AH20" t="s">
        <v>235</v>
      </c>
      <c r="AI20">
        <v>7.8728770360403377E-3</v>
      </c>
      <c r="AK20">
        <v>2022</v>
      </c>
      <c r="AL20" t="s">
        <v>145</v>
      </c>
      <c r="AM20">
        <v>0.16070000000000001</v>
      </c>
      <c r="AN20" t="s">
        <v>227</v>
      </c>
    </row>
    <row r="21" spans="9:40" x14ac:dyDescent="0.45">
      <c r="I21" t="s">
        <v>151</v>
      </c>
      <c r="J21" t="s">
        <v>236</v>
      </c>
      <c r="K21">
        <v>1.0295687450101957E-3</v>
      </c>
      <c r="L21" t="s">
        <v>153</v>
      </c>
      <c r="N21" t="s">
        <v>193</v>
      </c>
      <c r="O21" t="s">
        <v>236</v>
      </c>
      <c r="P21">
        <v>3.0298188439394284E-3</v>
      </c>
      <c r="Q21" t="s">
        <v>153</v>
      </c>
      <c r="S21" t="s">
        <v>208</v>
      </c>
      <c r="T21" t="s">
        <v>236</v>
      </c>
      <c r="U21">
        <v>1.3879630402116819E-3</v>
      </c>
      <c r="V21" t="s">
        <v>153</v>
      </c>
      <c r="X21">
        <v>3.5388127853881279E-3</v>
      </c>
      <c r="Y21">
        <v>5.3435430806586613E-3</v>
      </c>
      <c r="Z21" t="s">
        <v>236</v>
      </c>
      <c r="AA21" t="s">
        <v>25</v>
      </c>
      <c r="AC21" t="s">
        <v>22</v>
      </c>
      <c r="AD21" t="s">
        <v>236</v>
      </c>
      <c r="AE21">
        <v>4.0290207030900353E-3</v>
      </c>
      <c r="AG21" t="s">
        <v>96</v>
      </c>
      <c r="AH21" t="s">
        <v>236</v>
      </c>
      <c r="AI21">
        <v>2.9732974592673544E-2</v>
      </c>
      <c r="AK21">
        <v>2022</v>
      </c>
      <c r="AL21" t="s">
        <v>147</v>
      </c>
      <c r="AM21">
        <v>0.2147</v>
      </c>
      <c r="AN21" t="s">
        <v>227</v>
      </c>
    </row>
    <row r="22" spans="9:40" x14ac:dyDescent="0.45">
      <c r="I22" t="s">
        <v>151</v>
      </c>
      <c r="J22" t="s">
        <v>237</v>
      </c>
      <c r="K22">
        <v>0</v>
      </c>
      <c r="L22" t="s">
        <v>153</v>
      </c>
      <c r="N22" t="s">
        <v>193</v>
      </c>
      <c r="O22" t="s">
        <v>237</v>
      </c>
      <c r="P22">
        <v>2.4726812885545721E-2</v>
      </c>
      <c r="Q22" t="s">
        <v>153</v>
      </c>
      <c r="S22" t="s">
        <v>208</v>
      </c>
      <c r="T22" t="s">
        <v>237</v>
      </c>
      <c r="U22">
        <v>5.6750165222180775E-3</v>
      </c>
      <c r="V22" t="s">
        <v>153</v>
      </c>
      <c r="X22">
        <v>1.7694063926940638E-2</v>
      </c>
      <c r="Y22">
        <v>1.3358857701646654E-2</v>
      </c>
      <c r="Z22" t="s">
        <v>237</v>
      </c>
      <c r="AA22" t="s">
        <v>25</v>
      </c>
      <c r="AC22" t="s">
        <v>22</v>
      </c>
      <c r="AD22" t="s">
        <v>237</v>
      </c>
      <c r="AE22">
        <v>1.7155285329877111E-2</v>
      </c>
      <c r="AG22" t="s">
        <v>96</v>
      </c>
      <c r="AH22" t="s">
        <v>237</v>
      </c>
      <c r="AI22">
        <v>0.17591344871853787</v>
      </c>
      <c r="AK22">
        <v>2022</v>
      </c>
      <c r="AL22" t="s">
        <v>149</v>
      </c>
      <c r="AM22">
        <v>0.24629999999999999</v>
      </c>
      <c r="AN22" t="s">
        <v>227</v>
      </c>
    </row>
    <row r="23" spans="9:40" x14ac:dyDescent="0.45">
      <c r="I23" t="s">
        <v>151</v>
      </c>
      <c r="J23" t="s">
        <v>159</v>
      </c>
      <c r="K23">
        <v>0</v>
      </c>
      <c r="L23" t="s">
        <v>153</v>
      </c>
      <c r="N23" t="s">
        <v>193</v>
      </c>
      <c r="O23" t="s">
        <v>159</v>
      </c>
      <c r="P23">
        <v>4.1568263119871871E-2</v>
      </c>
      <c r="Q23" t="s">
        <v>153</v>
      </c>
      <c r="S23" t="s">
        <v>208</v>
      </c>
      <c r="T23" t="s">
        <v>159</v>
      </c>
      <c r="U23">
        <v>3.4450545144137756E-2</v>
      </c>
      <c r="V23" t="s">
        <v>153</v>
      </c>
      <c r="X23">
        <v>2.4771689497716895E-2</v>
      </c>
      <c r="Y23">
        <v>9.7827942553597048E-3</v>
      </c>
      <c r="Z23" t="s">
        <v>159</v>
      </c>
      <c r="AA23" t="s">
        <v>25</v>
      </c>
      <c r="AC23" t="s">
        <v>22</v>
      </c>
      <c r="AD23" t="s">
        <v>159</v>
      </c>
      <c r="AE23">
        <v>1.4975732239533744E-2</v>
      </c>
      <c r="AG23" t="s">
        <v>96</v>
      </c>
      <c r="AH23" t="s">
        <v>159</v>
      </c>
      <c r="AI23">
        <v>0.11198253543603554</v>
      </c>
      <c r="AK23">
        <v>2025</v>
      </c>
      <c r="AL23" t="s">
        <v>141</v>
      </c>
      <c r="AM23">
        <v>0.255</v>
      </c>
      <c r="AN23" t="s">
        <v>227</v>
      </c>
    </row>
    <row r="24" spans="9:40" x14ac:dyDescent="0.45">
      <c r="I24" t="s">
        <v>151</v>
      </c>
      <c r="J24" t="s">
        <v>160</v>
      </c>
      <c r="K24">
        <v>1.5544184053204937E-3</v>
      </c>
      <c r="L24" t="s">
        <v>153</v>
      </c>
      <c r="N24" t="s">
        <v>193</v>
      </c>
      <c r="O24" t="s">
        <v>160</v>
      </c>
      <c r="P24">
        <v>4.4684384010942229E-3</v>
      </c>
      <c r="Q24" t="s">
        <v>153</v>
      </c>
      <c r="S24" t="s">
        <v>208</v>
      </c>
      <c r="T24" t="s">
        <v>160</v>
      </c>
      <c r="U24">
        <v>6.4613609720744142E-3</v>
      </c>
      <c r="V24" t="s">
        <v>153</v>
      </c>
      <c r="X24">
        <v>3.5388127853881279E-3</v>
      </c>
      <c r="Y24">
        <v>5.9087255218821738E-3</v>
      </c>
      <c r="Z24" t="s">
        <v>160</v>
      </c>
      <c r="AA24" t="s">
        <v>25</v>
      </c>
      <c r="AC24" t="s">
        <v>22</v>
      </c>
      <c r="AD24" t="s">
        <v>160</v>
      </c>
      <c r="AE24">
        <v>2.5016019703557714E-3</v>
      </c>
      <c r="AG24" t="s">
        <v>96</v>
      </c>
      <c r="AH24" t="s">
        <v>160</v>
      </c>
      <c r="AI24">
        <v>0.10333472280116718</v>
      </c>
      <c r="AK24">
        <v>2025</v>
      </c>
      <c r="AL24" t="s">
        <v>145</v>
      </c>
      <c r="AM24">
        <v>0.21860000000000002</v>
      </c>
      <c r="AN24" t="s">
        <v>227</v>
      </c>
    </row>
    <row r="25" spans="9:40" x14ac:dyDescent="0.45">
      <c r="I25" t="s">
        <v>151</v>
      </c>
      <c r="J25" t="s">
        <v>161</v>
      </c>
      <c r="K25">
        <v>7.6905101987211677E-2</v>
      </c>
      <c r="L25" t="s">
        <v>153</v>
      </c>
      <c r="N25" t="s">
        <v>193</v>
      </c>
      <c r="O25" t="s">
        <v>161</v>
      </c>
      <c r="P25">
        <v>3.2341352110879219E-2</v>
      </c>
      <c r="Q25" t="s">
        <v>153</v>
      </c>
      <c r="S25" t="s">
        <v>208</v>
      </c>
      <c r="T25" t="s">
        <v>161</v>
      </c>
      <c r="U25">
        <v>5.1615748325023997E-2</v>
      </c>
      <c r="V25" t="s">
        <v>153</v>
      </c>
      <c r="X25">
        <v>3.1849315068493152E-2</v>
      </c>
      <c r="Y25">
        <v>4.365263655122692E-2</v>
      </c>
      <c r="Z25" t="s">
        <v>161</v>
      </c>
      <c r="AA25" t="s">
        <v>25</v>
      </c>
      <c r="AC25" t="s">
        <v>22</v>
      </c>
      <c r="AD25" t="s">
        <v>161</v>
      </c>
      <c r="AE25">
        <v>2.8946093072518827E-2</v>
      </c>
      <c r="AG25" t="s">
        <v>96</v>
      </c>
      <c r="AH25" t="s">
        <v>161</v>
      </c>
      <c r="AI25">
        <v>9.575758706244808E-2</v>
      </c>
      <c r="AK25">
        <v>2025</v>
      </c>
      <c r="AL25" t="s">
        <v>147</v>
      </c>
      <c r="AM25">
        <v>0.30610000000000004</v>
      </c>
      <c r="AN25" t="s">
        <v>227</v>
      </c>
    </row>
    <row r="26" spans="9:40" x14ac:dyDescent="0.45">
      <c r="I26" t="s">
        <v>151</v>
      </c>
      <c r="J26" t="s">
        <v>238</v>
      </c>
      <c r="K26">
        <v>3.9576608564480115E-3</v>
      </c>
      <c r="L26" t="s">
        <v>153</v>
      </c>
      <c r="N26" t="s">
        <v>193</v>
      </c>
      <c r="O26" t="s">
        <v>238</v>
      </c>
      <c r="P26">
        <v>2.465898671260713E-3</v>
      </c>
      <c r="Q26" t="s">
        <v>153</v>
      </c>
      <c r="S26" t="s">
        <v>208</v>
      </c>
      <c r="T26" t="s">
        <v>238</v>
      </c>
      <c r="U26">
        <v>3.8349052480881013E-3</v>
      </c>
      <c r="V26" t="s">
        <v>153</v>
      </c>
      <c r="X26">
        <v>3.5388127853881279E-3</v>
      </c>
      <c r="Y26">
        <v>6.8849497385409693E-3</v>
      </c>
      <c r="Z26" t="s">
        <v>238</v>
      </c>
      <c r="AA26" t="s">
        <v>25</v>
      </c>
      <c r="AC26" t="s">
        <v>22</v>
      </c>
      <c r="AD26" t="s">
        <v>238</v>
      </c>
      <c r="AE26">
        <v>3.3919646173908753E-3</v>
      </c>
      <c r="AG26" t="s">
        <v>96</v>
      </c>
      <c r="AH26" t="s">
        <v>238</v>
      </c>
      <c r="AI26">
        <v>5.263575519946162E-2</v>
      </c>
      <c r="AK26">
        <v>2025</v>
      </c>
      <c r="AL26" t="s">
        <v>149</v>
      </c>
      <c r="AM26">
        <v>0.33150000000000002</v>
      </c>
      <c r="AN26" t="s">
        <v>227</v>
      </c>
    </row>
    <row r="27" spans="9:40" x14ac:dyDescent="0.45">
      <c r="I27" t="s">
        <v>151</v>
      </c>
      <c r="J27" t="s">
        <v>239</v>
      </c>
      <c r="K27">
        <v>0</v>
      </c>
      <c r="L27" t="s">
        <v>153</v>
      </c>
      <c r="N27" t="s">
        <v>193</v>
      </c>
      <c r="O27" t="s">
        <v>239</v>
      </c>
      <c r="P27">
        <v>3.5148468115502917E-3</v>
      </c>
      <c r="Q27" t="s">
        <v>153</v>
      </c>
      <c r="S27" t="s">
        <v>208</v>
      </c>
      <c r="T27" t="s">
        <v>239</v>
      </c>
      <c r="U27">
        <v>3.9427559007725885E-3</v>
      </c>
      <c r="V27" t="s">
        <v>153</v>
      </c>
      <c r="X27">
        <v>3.5388127853881279E-3</v>
      </c>
      <c r="Y27">
        <v>5.3435430806586613E-3</v>
      </c>
      <c r="Z27" t="s">
        <v>239</v>
      </c>
      <c r="AA27" t="s">
        <v>25</v>
      </c>
      <c r="AC27" t="s">
        <v>22</v>
      </c>
      <c r="AD27" t="s">
        <v>239</v>
      </c>
      <c r="AE27">
        <v>3.7392433425959535E-3</v>
      </c>
      <c r="AG27" t="s">
        <v>96</v>
      </c>
      <c r="AH27" t="s">
        <v>239</v>
      </c>
      <c r="AI27">
        <v>8.7585430200949554E-2</v>
      </c>
      <c r="AK27">
        <v>2026</v>
      </c>
      <c r="AL27" t="s">
        <v>141</v>
      </c>
      <c r="AM27">
        <v>0.24849000000000002</v>
      </c>
      <c r="AN27" t="s">
        <v>227</v>
      </c>
    </row>
    <row r="28" spans="9:40" x14ac:dyDescent="0.45">
      <c r="I28" t="s">
        <v>151</v>
      </c>
      <c r="J28" t="s">
        <v>240</v>
      </c>
      <c r="K28">
        <v>0</v>
      </c>
      <c r="L28" t="s">
        <v>153</v>
      </c>
      <c r="N28" t="s">
        <v>193</v>
      </c>
      <c r="O28" t="s">
        <v>240</v>
      </c>
      <c r="P28">
        <v>3.3817207542016843E-2</v>
      </c>
      <c r="Q28" t="s">
        <v>153</v>
      </c>
      <c r="S28" t="s">
        <v>208</v>
      </c>
      <c r="T28" t="s">
        <v>240</v>
      </c>
      <c r="U28">
        <v>2.010125891631679E-2</v>
      </c>
      <c r="V28" t="s">
        <v>153</v>
      </c>
      <c r="X28">
        <v>1.7694063926940638E-2</v>
      </c>
      <c r="Y28">
        <v>1.3358857701646654E-2</v>
      </c>
      <c r="Z28" t="s">
        <v>240</v>
      </c>
      <c r="AA28" t="s">
        <v>25</v>
      </c>
      <c r="AC28" t="s">
        <v>22</v>
      </c>
      <c r="AD28" t="s">
        <v>240</v>
      </c>
      <c r="AE28">
        <v>1.6268840272191411E-2</v>
      </c>
      <c r="AG28" t="s">
        <v>96</v>
      </c>
      <c r="AH28" t="s">
        <v>240</v>
      </c>
      <c r="AI28">
        <v>0.21833495309972073</v>
      </c>
      <c r="AK28">
        <v>2026</v>
      </c>
      <c r="AL28" t="s">
        <v>145</v>
      </c>
      <c r="AM28">
        <v>0.13059999999999999</v>
      </c>
      <c r="AN28" t="s">
        <v>227</v>
      </c>
    </row>
    <row r="29" spans="9:40" x14ac:dyDescent="0.45">
      <c r="I29" t="s">
        <v>151</v>
      </c>
      <c r="J29" t="s">
        <v>162</v>
      </c>
      <c r="K29">
        <v>0</v>
      </c>
      <c r="L29" t="s">
        <v>153</v>
      </c>
      <c r="N29" t="s">
        <v>193</v>
      </c>
      <c r="O29" t="s">
        <v>162</v>
      </c>
      <c r="P29">
        <v>2.341330177934511E-2</v>
      </c>
      <c r="Q29" t="s">
        <v>153</v>
      </c>
      <c r="S29" t="s">
        <v>208</v>
      </c>
      <c r="T29" t="s">
        <v>162</v>
      </c>
      <c r="U29">
        <v>2.5242947817219367E-2</v>
      </c>
      <c r="V29" t="s">
        <v>153</v>
      </c>
      <c r="X29">
        <v>1.1986301369863013E-2</v>
      </c>
      <c r="Y29">
        <v>4.7336101235611484E-3</v>
      </c>
      <c r="Z29" t="s">
        <v>162</v>
      </c>
      <c r="AA29" t="s">
        <v>25</v>
      </c>
      <c r="AC29" t="s">
        <v>22</v>
      </c>
      <c r="AD29" t="s">
        <v>162</v>
      </c>
      <c r="AE29">
        <v>6.4555710078985995E-3</v>
      </c>
      <c r="AG29" t="s">
        <v>96</v>
      </c>
      <c r="AH29" t="s">
        <v>162</v>
      </c>
      <c r="AI29">
        <v>2.6660834715031223E-2</v>
      </c>
      <c r="AK29">
        <v>2026</v>
      </c>
      <c r="AL29" t="s">
        <v>147</v>
      </c>
      <c r="AM29">
        <v>0.20895</v>
      </c>
      <c r="AN29" t="s">
        <v>227</v>
      </c>
    </row>
    <row r="30" spans="9:40" x14ac:dyDescent="0.45">
      <c r="I30" t="s">
        <v>151</v>
      </c>
      <c r="J30" t="s">
        <v>163</v>
      </c>
      <c r="K30">
        <v>0</v>
      </c>
      <c r="L30" t="s">
        <v>153</v>
      </c>
      <c r="N30" t="s">
        <v>193</v>
      </c>
      <c r="O30" t="s">
        <v>163</v>
      </c>
      <c r="P30">
        <v>2.7736127030378588E-3</v>
      </c>
      <c r="Q30" t="s">
        <v>153</v>
      </c>
      <c r="S30" t="s">
        <v>208</v>
      </c>
      <c r="T30" t="s">
        <v>163</v>
      </c>
      <c r="U30">
        <v>4.7889152587503123E-3</v>
      </c>
      <c r="V30" t="s">
        <v>153</v>
      </c>
      <c r="X30">
        <v>1.7123287671232876E-3</v>
      </c>
      <c r="Y30">
        <v>2.8590607363945995E-3</v>
      </c>
      <c r="Z30" t="s">
        <v>163</v>
      </c>
      <c r="AA30" t="s">
        <v>25</v>
      </c>
      <c r="AC30" t="s">
        <v>22</v>
      </c>
      <c r="AD30" t="s">
        <v>163</v>
      </c>
      <c r="AE30">
        <v>1.1220726320320153E-3</v>
      </c>
      <c r="AG30" t="s">
        <v>96</v>
      </c>
      <c r="AH30" t="s">
        <v>163</v>
      </c>
      <c r="AI30">
        <v>4.7225390703089287E-2</v>
      </c>
      <c r="AK30">
        <v>2026</v>
      </c>
      <c r="AL30" t="s">
        <v>149</v>
      </c>
      <c r="AM30">
        <v>0.24879999999999999</v>
      </c>
      <c r="AN30" t="s">
        <v>227</v>
      </c>
    </row>
    <row r="31" spans="9:40" x14ac:dyDescent="0.45">
      <c r="I31" t="s">
        <v>151</v>
      </c>
      <c r="J31" t="s">
        <v>164</v>
      </c>
      <c r="K31">
        <v>4.7626777627181351E-2</v>
      </c>
      <c r="L31" t="s">
        <v>153</v>
      </c>
      <c r="N31" t="s">
        <v>193</v>
      </c>
      <c r="O31" t="s">
        <v>164</v>
      </c>
      <c r="P31">
        <v>1.4492868207585045E-2</v>
      </c>
      <c r="Q31" t="s">
        <v>153</v>
      </c>
      <c r="S31" t="s">
        <v>208</v>
      </c>
      <c r="T31" t="s">
        <v>164</v>
      </c>
      <c r="U31">
        <v>4.893992551471265E-2</v>
      </c>
      <c r="V31" t="s">
        <v>153</v>
      </c>
      <c r="X31">
        <v>1.5410958904109588E-2</v>
      </c>
      <c r="Y31">
        <v>2.1122243492529152E-2</v>
      </c>
      <c r="Z31" t="s">
        <v>164</v>
      </c>
      <c r="AA31" t="s">
        <v>25</v>
      </c>
      <c r="AC31" t="s">
        <v>22</v>
      </c>
      <c r="AD31" t="s">
        <v>164</v>
      </c>
      <c r="AE31">
        <v>1.3442272431223579E-2</v>
      </c>
      <c r="AG31" t="s">
        <v>96</v>
      </c>
      <c r="AH31" t="s">
        <v>164</v>
      </c>
      <c r="AI31">
        <v>8.2334740046216437E-2</v>
      </c>
      <c r="AK31">
        <v>2027</v>
      </c>
      <c r="AL31" t="s">
        <v>141</v>
      </c>
      <c r="AM31">
        <v>0.27229000000000003</v>
      </c>
      <c r="AN31" t="s">
        <v>227</v>
      </c>
    </row>
    <row r="32" spans="9:40" x14ac:dyDescent="0.45">
      <c r="I32" t="s">
        <v>151</v>
      </c>
      <c r="J32" t="s">
        <v>241</v>
      </c>
      <c r="K32">
        <v>3.5835018709221371E-3</v>
      </c>
      <c r="L32" t="s">
        <v>153</v>
      </c>
      <c r="N32" t="s">
        <v>193</v>
      </c>
      <c r="O32" t="s">
        <v>241</v>
      </c>
      <c r="P32">
        <v>6.6547139035804043E-4</v>
      </c>
      <c r="Q32" t="s">
        <v>153</v>
      </c>
      <c r="S32" t="s">
        <v>208</v>
      </c>
      <c r="T32" t="s">
        <v>241</v>
      </c>
      <c r="U32">
        <v>3.9034550672412153E-3</v>
      </c>
      <c r="V32" t="s">
        <v>153</v>
      </c>
      <c r="X32">
        <v>1.7123287671232876E-3</v>
      </c>
      <c r="Y32">
        <v>3.3314272928424045E-3</v>
      </c>
      <c r="Z32" t="s">
        <v>241</v>
      </c>
      <c r="AA32" t="s">
        <v>25</v>
      </c>
      <c r="AC32" t="s">
        <v>22</v>
      </c>
      <c r="AD32" t="s">
        <v>241</v>
      </c>
      <c r="AE32">
        <v>1.5873717752055089E-3</v>
      </c>
      <c r="AG32" t="s">
        <v>96</v>
      </c>
      <c r="AH32" t="s">
        <v>241</v>
      </c>
      <c r="AI32">
        <v>3.7161502353741271E-2</v>
      </c>
      <c r="AK32">
        <v>2027</v>
      </c>
      <c r="AL32" t="s">
        <v>145</v>
      </c>
      <c r="AM32">
        <v>0.19505</v>
      </c>
      <c r="AN32" t="s">
        <v>227</v>
      </c>
    </row>
    <row r="33" spans="9:40" x14ac:dyDescent="0.45">
      <c r="I33" t="s">
        <v>151</v>
      </c>
      <c r="J33" t="s">
        <v>242</v>
      </c>
      <c r="K33">
        <v>1.0383742438879117E-3</v>
      </c>
      <c r="L33" t="s">
        <v>153</v>
      </c>
      <c r="N33" t="s">
        <v>193</v>
      </c>
      <c r="O33" t="s">
        <v>242</v>
      </c>
      <c r="P33">
        <v>1.3522946370085115E-3</v>
      </c>
      <c r="Q33" t="s">
        <v>153</v>
      </c>
      <c r="S33" t="s">
        <v>208</v>
      </c>
      <c r="T33" t="s">
        <v>242</v>
      </c>
      <c r="U33">
        <v>3.8702226937669384E-3</v>
      </c>
      <c r="V33" t="s">
        <v>153</v>
      </c>
      <c r="X33">
        <v>1.7123287671232876E-3</v>
      </c>
      <c r="Y33">
        <v>2.5855853616090292E-3</v>
      </c>
      <c r="Z33" t="s">
        <v>242</v>
      </c>
      <c r="AA33" t="s">
        <v>25</v>
      </c>
      <c r="AC33" t="s">
        <v>22</v>
      </c>
      <c r="AD33" t="s">
        <v>242</v>
      </c>
      <c r="AE33">
        <v>1.6876736654295088E-3</v>
      </c>
      <c r="AG33" t="s">
        <v>96</v>
      </c>
      <c r="AH33" t="s">
        <v>242</v>
      </c>
      <c r="AI33">
        <v>3.3458575148292979E-2</v>
      </c>
      <c r="AK33">
        <v>2027</v>
      </c>
      <c r="AL33" t="s">
        <v>147</v>
      </c>
      <c r="AM33">
        <v>0.21005000000000001</v>
      </c>
      <c r="AN33" t="s">
        <v>227</v>
      </c>
    </row>
    <row r="34" spans="9:40" x14ac:dyDescent="0.45">
      <c r="I34" t="s">
        <v>151</v>
      </c>
      <c r="J34" t="s">
        <v>243</v>
      </c>
      <c r="K34">
        <v>0</v>
      </c>
      <c r="L34" t="s">
        <v>153</v>
      </c>
      <c r="N34" t="s">
        <v>193</v>
      </c>
      <c r="O34" t="s">
        <v>243</v>
      </c>
      <c r="P34">
        <v>1.8107782507105097E-2</v>
      </c>
      <c r="Q34" t="s">
        <v>153</v>
      </c>
      <c r="S34" t="s">
        <v>208</v>
      </c>
      <c r="T34" t="s">
        <v>243</v>
      </c>
      <c r="U34">
        <v>1.7283877238692937E-2</v>
      </c>
      <c r="V34" t="s">
        <v>153</v>
      </c>
      <c r="X34">
        <v>8.5616438356164379E-3</v>
      </c>
      <c r="Y34">
        <v>6.4639634040225746E-3</v>
      </c>
      <c r="Z34" t="s">
        <v>243</v>
      </c>
      <c r="AA34" t="s">
        <v>25</v>
      </c>
      <c r="AC34" t="s">
        <v>22</v>
      </c>
      <c r="AD34" t="s">
        <v>243</v>
      </c>
      <c r="AE34">
        <v>7.3892989271139541E-3</v>
      </c>
      <c r="AG34" t="s">
        <v>96</v>
      </c>
      <c r="AH34" t="s">
        <v>243</v>
      </c>
      <c r="AI34">
        <v>0.15011151083754126</v>
      </c>
      <c r="AK34">
        <v>2027</v>
      </c>
      <c r="AL34" t="s">
        <v>149</v>
      </c>
      <c r="AM34">
        <v>0.22359999999999999</v>
      </c>
      <c r="AN34" t="s">
        <v>227</v>
      </c>
    </row>
    <row r="35" spans="9:40" x14ac:dyDescent="0.45">
      <c r="I35" t="s">
        <v>165</v>
      </c>
      <c r="J35" t="s">
        <v>152</v>
      </c>
      <c r="K35">
        <v>0</v>
      </c>
      <c r="L35" t="s">
        <v>153</v>
      </c>
      <c r="N35" t="s">
        <v>194</v>
      </c>
      <c r="O35" t="s">
        <v>152</v>
      </c>
      <c r="P35">
        <v>0.22149508981533347</v>
      </c>
      <c r="Q35" t="s">
        <v>153</v>
      </c>
      <c r="S35" t="s">
        <v>209</v>
      </c>
      <c r="T35" t="s">
        <v>152</v>
      </c>
      <c r="U35">
        <v>0.25125257859760119</v>
      </c>
      <c r="V35" t="s">
        <v>153</v>
      </c>
      <c r="AC35" t="s">
        <v>19</v>
      </c>
      <c r="AD35" t="s">
        <v>152</v>
      </c>
      <c r="AE35">
        <v>0.22622881855802598</v>
      </c>
      <c r="AK35">
        <v>2028</v>
      </c>
      <c r="AL35" t="s">
        <v>141</v>
      </c>
      <c r="AM35">
        <v>0.27420999999999995</v>
      </c>
      <c r="AN35" t="s">
        <v>227</v>
      </c>
    </row>
    <row r="36" spans="9:40" x14ac:dyDescent="0.45">
      <c r="I36" t="s">
        <v>165</v>
      </c>
      <c r="J36" t="s">
        <v>154</v>
      </c>
      <c r="K36">
        <v>2.0286867755578072E-2</v>
      </c>
      <c r="L36" t="s">
        <v>153</v>
      </c>
      <c r="N36" t="s">
        <v>194</v>
      </c>
      <c r="O36" t="s">
        <v>154</v>
      </c>
      <c r="P36">
        <v>2.4523000849256578E-2</v>
      </c>
      <c r="Q36" t="s">
        <v>153</v>
      </c>
      <c r="S36" t="s">
        <v>209</v>
      </c>
      <c r="T36" t="s">
        <v>154</v>
      </c>
      <c r="U36">
        <v>3.299906275741489E-2</v>
      </c>
      <c r="V36" t="s">
        <v>153</v>
      </c>
      <c r="AC36" t="s">
        <v>19</v>
      </c>
      <c r="AD36" t="s">
        <v>154</v>
      </c>
      <c r="AE36">
        <v>3.2393815358126153E-2</v>
      </c>
      <c r="AK36">
        <v>2028</v>
      </c>
      <c r="AL36" t="s">
        <v>145</v>
      </c>
      <c r="AM36">
        <v>0.11255</v>
      </c>
      <c r="AN36" t="s">
        <v>227</v>
      </c>
    </row>
    <row r="37" spans="9:40" x14ac:dyDescent="0.45">
      <c r="I37" t="s">
        <v>165</v>
      </c>
      <c r="J37" t="s">
        <v>155</v>
      </c>
      <c r="K37">
        <v>0.67879121864744929</v>
      </c>
      <c r="L37" t="s">
        <v>153</v>
      </c>
      <c r="N37" t="s">
        <v>194</v>
      </c>
      <c r="O37" t="s">
        <v>155</v>
      </c>
      <c r="P37">
        <v>0.18498402357167346</v>
      </c>
      <c r="Q37" t="s">
        <v>153</v>
      </c>
      <c r="S37" t="s">
        <v>209</v>
      </c>
      <c r="T37" t="s">
        <v>155</v>
      </c>
      <c r="U37">
        <v>0.28637512937258908</v>
      </c>
      <c r="V37" t="s">
        <v>153</v>
      </c>
      <c r="AC37" t="s">
        <v>19</v>
      </c>
      <c r="AD37" t="s">
        <v>155</v>
      </c>
      <c r="AE37">
        <v>0.29856481776371097</v>
      </c>
      <c r="AK37">
        <v>2028</v>
      </c>
      <c r="AL37" t="s">
        <v>147</v>
      </c>
      <c r="AM37">
        <v>0.21955</v>
      </c>
      <c r="AN37" t="s">
        <v>227</v>
      </c>
    </row>
    <row r="38" spans="9:40" x14ac:dyDescent="0.45">
      <c r="I38" t="s">
        <v>165</v>
      </c>
      <c r="J38" t="s">
        <v>232</v>
      </c>
      <c r="K38">
        <v>5.0662431109142571E-2</v>
      </c>
      <c r="L38" t="s">
        <v>153</v>
      </c>
      <c r="N38" t="s">
        <v>194</v>
      </c>
      <c r="O38" t="s">
        <v>232</v>
      </c>
      <c r="P38">
        <v>1.6224210635138372E-2</v>
      </c>
      <c r="Q38" t="s">
        <v>153</v>
      </c>
      <c r="S38" t="s">
        <v>209</v>
      </c>
      <c r="T38" t="s">
        <v>232</v>
      </c>
      <c r="U38">
        <v>3.1413678360989121E-2</v>
      </c>
      <c r="V38" t="s">
        <v>153</v>
      </c>
      <c r="AC38" t="s">
        <v>19</v>
      </c>
      <c r="AD38" t="s">
        <v>232</v>
      </c>
      <c r="AE38">
        <v>3.3195101452226622E-2</v>
      </c>
      <c r="AK38">
        <v>2028</v>
      </c>
      <c r="AL38" t="s">
        <v>149</v>
      </c>
      <c r="AM38">
        <v>0.2873</v>
      </c>
      <c r="AN38" t="s">
        <v>227</v>
      </c>
    </row>
    <row r="39" spans="9:40" x14ac:dyDescent="0.45">
      <c r="I39" t="s">
        <v>165</v>
      </c>
      <c r="J39" t="s">
        <v>233</v>
      </c>
      <c r="K39">
        <v>2.9719174153401525E-2</v>
      </c>
      <c r="L39" t="s">
        <v>153</v>
      </c>
      <c r="N39" t="s">
        <v>194</v>
      </c>
      <c r="O39" t="s">
        <v>233</v>
      </c>
      <c r="P39">
        <v>2.281602740673019E-2</v>
      </c>
      <c r="Q39" t="s">
        <v>153</v>
      </c>
      <c r="S39" t="s">
        <v>209</v>
      </c>
      <c r="T39" t="s">
        <v>233</v>
      </c>
      <c r="U39">
        <v>3.3037685454594734E-2</v>
      </c>
      <c r="V39" t="s">
        <v>153</v>
      </c>
      <c r="AC39" t="s">
        <v>19</v>
      </c>
      <c r="AD39" t="s">
        <v>233</v>
      </c>
      <c r="AE39">
        <v>3.3470353015091103E-2</v>
      </c>
      <c r="AK39">
        <v>2029</v>
      </c>
      <c r="AL39" t="s">
        <v>141</v>
      </c>
      <c r="AM39">
        <v>0.27733999999999998</v>
      </c>
      <c r="AN39" t="s">
        <v>227</v>
      </c>
    </row>
    <row r="40" spans="9:40" x14ac:dyDescent="0.45">
      <c r="I40" t="s">
        <v>165</v>
      </c>
      <c r="J40" t="s">
        <v>234</v>
      </c>
      <c r="K40">
        <v>2.0677056594616528E-3</v>
      </c>
      <c r="L40" t="s">
        <v>153</v>
      </c>
      <c r="N40" t="s">
        <v>194</v>
      </c>
      <c r="O40" t="s">
        <v>234</v>
      </c>
      <c r="P40">
        <v>0.18048211952319521</v>
      </c>
      <c r="Q40" t="s">
        <v>153</v>
      </c>
      <c r="S40" t="s">
        <v>209</v>
      </c>
      <c r="T40" t="s">
        <v>234</v>
      </c>
      <c r="U40">
        <v>0.17489215727218196</v>
      </c>
      <c r="V40" t="s">
        <v>153</v>
      </c>
      <c r="AC40" t="s">
        <v>19</v>
      </c>
      <c r="AD40" t="s">
        <v>234</v>
      </c>
      <c r="AE40">
        <v>0.16548308831001632</v>
      </c>
      <c r="AK40">
        <v>2029</v>
      </c>
      <c r="AL40" t="s">
        <v>145</v>
      </c>
      <c r="AM40">
        <v>0.21345</v>
      </c>
      <c r="AN40" t="s">
        <v>227</v>
      </c>
    </row>
    <row r="41" spans="9:40" x14ac:dyDescent="0.45">
      <c r="I41" t="s">
        <v>165</v>
      </c>
      <c r="J41" t="s">
        <v>156</v>
      </c>
      <c r="K41">
        <v>0</v>
      </c>
      <c r="L41" t="s">
        <v>153</v>
      </c>
      <c r="N41" t="s">
        <v>194</v>
      </c>
      <c r="O41" t="s">
        <v>156</v>
      </c>
      <c r="P41">
        <v>3.350276135669461E-2</v>
      </c>
      <c r="Q41" t="s">
        <v>153</v>
      </c>
      <c r="S41" t="s">
        <v>209</v>
      </c>
      <c r="T41" t="s">
        <v>156</v>
      </c>
      <c r="U41">
        <v>6.4803881947308947E-3</v>
      </c>
      <c r="V41" t="s">
        <v>153</v>
      </c>
      <c r="AC41" t="s">
        <v>19</v>
      </c>
      <c r="AD41" t="s">
        <v>156</v>
      </c>
      <c r="AE41">
        <v>2.4289491854106334E-2</v>
      </c>
      <c r="AK41">
        <v>2029</v>
      </c>
      <c r="AL41" t="s">
        <v>147</v>
      </c>
      <c r="AM41">
        <v>0.17899999999999999</v>
      </c>
      <c r="AN41" t="s">
        <v>227</v>
      </c>
    </row>
    <row r="42" spans="9:40" x14ac:dyDescent="0.45">
      <c r="I42" t="s">
        <v>165</v>
      </c>
      <c r="J42" t="s">
        <v>157</v>
      </c>
      <c r="K42">
        <v>3.5621431940033805E-3</v>
      </c>
      <c r="L42" t="s">
        <v>153</v>
      </c>
      <c r="N42" t="s">
        <v>194</v>
      </c>
      <c r="O42" t="s">
        <v>157</v>
      </c>
      <c r="P42">
        <v>3.8509807582110278E-3</v>
      </c>
      <c r="Q42" t="s">
        <v>153</v>
      </c>
      <c r="S42" t="s">
        <v>209</v>
      </c>
      <c r="T42" t="s">
        <v>157</v>
      </c>
      <c r="U42">
        <v>1.1391888956870568E-3</v>
      </c>
      <c r="V42" t="s">
        <v>153</v>
      </c>
      <c r="AC42" t="s">
        <v>19</v>
      </c>
      <c r="AD42" t="s">
        <v>157</v>
      </c>
      <c r="AE42">
        <v>3.5032766723843809E-3</v>
      </c>
      <c r="AK42">
        <v>2029</v>
      </c>
      <c r="AL42" t="s">
        <v>149</v>
      </c>
      <c r="AM42">
        <v>0.1363</v>
      </c>
      <c r="AN42" t="s">
        <v>227</v>
      </c>
    </row>
    <row r="43" spans="9:40" x14ac:dyDescent="0.45">
      <c r="I43" t="s">
        <v>165</v>
      </c>
      <c r="J43" t="s">
        <v>158</v>
      </c>
      <c r="K43">
        <v>7.4494640547343269E-2</v>
      </c>
      <c r="L43" t="s">
        <v>153</v>
      </c>
      <c r="N43" t="s">
        <v>194</v>
      </c>
      <c r="O43" t="s">
        <v>158</v>
      </c>
      <c r="P43">
        <v>3.7808299574341633E-2</v>
      </c>
      <c r="Q43" t="s">
        <v>153</v>
      </c>
      <c r="S43" t="s">
        <v>209</v>
      </c>
      <c r="T43" t="s">
        <v>158</v>
      </c>
      <c r="U43">
        <v>1.0444375396702383E-2</v>
      </c>
      <c r="V43" t="s">
        <v>153</v>
      </c>
      <c r="AC43" t="s">
        <v>19</v>
      </c>
      <c r="AD43" t="s">
        <v>158</v>
      </c>
      <c r="AE43">
        <v>3.2059437933295139E-2</v>
      </c>
      <c r="AK43">
        <v>2030</v>
      </c>
      <c r="AL43" t="s">
        <v>141</v>
      </c>
      <c r="AM43">
        <v>0.26264999999999999</v>
      </c>
      <c r="AN43" t="s">
        <v>227</v>
      </c>
    </row>
    <row r="44" spans="9:40" x14ac:dyDescent="0.45">
      <c r="I44" t="s">
        <v>165</v>
      </c>
      <c r="J44" t="s">
        <v>235</v>
      </c>
      <c r="K44">
        <v>4.2513296800644152E-3</v>
      </c>
      <c r="L44" t="s">
        <v>153</v>
      </c>
      <c r="N44" t="s">
        <v>194</v>
      </c>
      <c r="O44" t="s">
        <v>235</v>
      </c>
      <c r="P44">
        <v>3.7807450556827937E-3</v>
      </c>
      <c r="Q44" t="s">
        <v>153</v>
      </c>
      <c r="S44" t="s">
        <v>209</v>
      </c>
      <c r="T44" t="s">
        <v>235</v>
      </c>
      <c r="U44">
        <v>9.2726605620776267E-4</v>
      </c>
      <c r="V44" t="s">
        <v>153</v>
      </c>
      <c r="AC44" t="s">
        <v>19</v>
      </c>
      <c r="AD44" t="s">
        <v>235</v>
      </c>
      <c r="AE44">
        <v>3.5706615817567549E-3</v>
      </c>
      <c r="AK44">
        <v>2030</v>
      </c>
      <c r="AL44" t="s">
        <v>145</v>
      </c>
      <c r="AM44">
        <v>0.19939999999999999</v>
      </c>
      <c r="AN44" t="s">
        <v>227</v>
      </c>
    </row>
    <row r="45" spans="9:40" x14ac:dyDescent="0.45">
      <c r="I45" t="s">
        <v>165</v>
      </c>
      <c r="J45" t="s">
        <v>236</v>
      </c>
      <c r="K45">
        <v>8.4749861038636994E-4</v>
      </c>
      <c r="L45" t="s">
        <v>153</v>
      </c>
      <c r="N45" t="s">
        <v>194</v>
      </c>
      <c r="O45" t="s">
        <v>236</v>
      </c>
      <c r="P45">
        <v>5.0960700079252805E-3</v>
      </c>
      <c r="Q45" t="s">
        <v>153</v>
      </c>
      <c r="S45" t="s">
        <v>209</v>
      </c>
      <c r="T45" t="s">
        <v>236</v>
      </c>
      <c r="U45">
        <v>9.6094822166110992E-4</v>
      </c>
      <c r="V45" t="s">
        <v>153</v>
      </c>
      <c r="AC45" t="s">
        <v>19</v>
      </c>
      <c r="AD45" t="s">
        <v>236</v>
      </c>
      <c r="AE45">
        <v>3.611865624440836E-3</v>
      </c>
      <c r="AK45">
        <v>2030</v>
      </c>
      <c r="AL45" t="s">
        <v>147</v>
      </c>
      <c r="AM45">
        <v>0.20879999999999999</v>
      </c>
      <c r="AN45" t="s">
        <v>227</v>
      </c>
    </row>
    <row r="46" spans="9:40" x14ac:dyDescent="0.45">
      <c r="I46" t="s">
        <v>165</v>
      </c>
      <c r="J46" t="s">
        <v>237</v>
      </c>
      <c r="K46">
        <v>0</v>
      </c>
      <c r="L46" t="s">
        <v>153</v>
      </c>
      <c r="N46" t="s">
        <v>194</v>
      </c>
      <c r="O46" t="s">
        <v>237</v>
      </c>
      <c r="P46">
        <v>3.1981851918056727E-2</v>
      </c>
      <c r="Q46" t="s">
        <v>153</v>
      </c>
      <c r="S46" t="s">
        <v>209</v>
      </c>
      <c r="T46" t="s">
        <v>237</v>
      </c>
      <c r="U46">
        <v>3.9980069449773456E-3</v>
      </c>
      <c r="V46" t="s">
        <v>153</v>
      </c>
      <c r="AC46" t="s">
        <v>19</v>
      </c>
      <c r="AD46" t="s">
        <v>237</v>
      </c>
      <c r="AE46">
        <v>1.781396553603844E-2</v>
      </c>
      <c r="AK46">
        <v>2030</v>
      </c>
      <c r="AL46" t="s">
        <v>149</v>
      </c>
      <c r="AM46">
        <v>0.2349</v>
      </c>
      <c r="AN46" t="s">
        <v>227</v>
      </c>
    </row>
    <row r="47" spans="9:40" x14ac:dyDescent="0.45">
      <c r="I47" t="s">
        <v>165</v>
      </c>
      <c r="J47" t="s">
        <v>159</v>
      </c>
      <c r="K47">
        <v>0</v>
      </c>
      <c r="L47" t="s">
        <v>153</v>
      </c>
      <c r="N47" t="s">
        <v>194</v>
      </c>
      <c r="O47" t="s">
        <v>159</v>
      </c>
      <c r="P47">
        <v>4.1416272301164764E-2</v>
      </c>
      <c r="Q47" t="s">
        <v>153</v>
      </c>
      <c r="S47" t="s">
        <v>209</v>
      </c>
      <c r="T47" t="s">
        <v>159</v>
      </c>
      <c r="U47">
        <v>2.8137879337062854E-2</v>
      </c>
      <c r="V47" t="s">
        <v>153</v>
      </c>
      <c r="AC47" t="s">
        <v>19</v>
      </c>
      <c r="AD47" t="s">
        <v>159</v>
      </c>
      <c r="AE47">
        <v>2.4294650963380945E-2</v>
      </c>
      <c r="AK47">
        <v>2031</v>
      </c>
      <c r="AL47" t="s">
        <v>141</v>
      </c>
      <c r="AM47">
        <v>0.23094000000000001</v>
      </c>
      <c r="AN47" t="s">
        <v>227</v>
      </c>
    </row>
    <row r="48" spans="9:40" x14ac:dyDescent="0.45">
      <c r="I48" t="s">
        <v>165</v>
      </c>
      <c r="J48" t="s">
        <v>160</v>
      </c>
      <c r="K48">
        <v>2.5171408136069919E-3</v>
      </c>
      <c r="L48" t="s">
        <v>153</v>
      </c>
      <c r="N48" t="s">
        <v>194</v>
      </c>
      <c r="O48" t="s">
        <v>160</v>
      </c>
      <c r="P48">
        <v>5.1803677427132502E-3</v>
      </c>
      <c r="Q48" t="s">
        <v>153</v>
      </c>
      <c r="S48" t="s">
        <v>209</v>
      </c>
      <c r="T48" t="s">
        <v>160</v>
      </c>
      <c r="U48">
        <v>5.40329819191221E-3</v>
      </c>
      <c r="V48" t="s">
        <v>153</v>
      </c>
      <c r="AC48" t="s">
        <v>19</v>
      </c>
      <c r="AD48" t="s">
        <v>160</v>
      </c>
      <c r="AE48">
        <v>3.5003897048692389E-3</v>
      </c>
      <c r="AK48">
        <v>2031</v>
      </c>
      <c r="AL48" t="s">
        <v>145</v>
      </c>
      <c r="AM48">
        <v>0.1452</v>
      </c>
      <c r="AN48" t="s">
        <v>227</v>
      </c>
    </row>
    <row r="49" spans="9:40" x14ac:dyDescent="0.45">
      <c r="I49" t="s">
        <v>165</v>
      </c>
      <c r="J49" t="s">
        <v>161</v>
      </c>
      <c r="K49">
        <v>7.7709698243174585E-2</v>
      </c>
      <c r="L49" t="s">
        <v>153</v>
      </c>
      <c r="N49" t="s">
        <v>194</v>
      </c>
      <c r="O49" t="s">
        <v>161</v>
      </c>
      <c r="P49">
        <v>5.0180850883004835E-2</v>
      </c>
      <c r="Q49" t="s">
        <v>153</v>
      </c>
      <c r="S49" t="s">
        <v>209</v>
      </c>
      <c r="T49" t="s">
        <v>161</v>
      </c>
      <c r="U49">
        <v>3.6863196368071158E-2</v>
      </c>
      <c r="V49" t="s">
        <v>153</v>
      </c>
      <c r="AC49" t="s">
        <v>19</v>
      </c>
      <c r="AD49" t="s">
        <v>161</v>
      </c>
      <c r="AE49">
        <v>3.2031329571357937E-2</v>
      </c>
      <c r="AK49">
        <v>2031</v>
      </c>
      <c r="AL49" t="s">
        <v>147</v>
      </c>
      <c r="AM49">
        <v>0.16320000000000001</v>
      </c>
      <c r="AN49" t="s">
        <v>227</v>
      </c>
    </row>
    <row r="50" spans="9:40" x14ac:dyDescent="0.45">
      <c r="I50" t="s">
        <v>165</v>
      </c>
      <c r="J50" t="s">
        <v>238</v>
      </c>
      <c r="K50">
        <v>4.1057531624639999E-3</v>
      </c>
      <c r="L50" t="s">
        <v>153</v>
      </c>
      <c r="N50" t="s">
        <v>194</v>
      </c>
      <c r="O50" t="s">
        <v>238</v>
      </c>
      <c r="P50">
        <v>5.4771805843159844E-3</v>
      </c>
      <c r="Q50" t="s">
        <v>153</v>
      </c>
      <c r="S50" t="s">
        <v>209</v>
      </c>
      <c r="T50" t="s">
        <v>238</v>
      </c>
      <c r="U50">
        <v>2.2831611232605928E-3</v>
      </c>
      <c r="V50" t="s">
        <v>153</v>
      </c>
      <c r="AC50" t="s">
        <v>19</v>
      </c>
      <c r="AD50" t="s">
        <v>238</v>
      </c>
      <c r="AE50">
        <v>3.5734582555777944E-3</v>
      </c>
      <c r="AK50">
        <v>2031</v>
      </c>
      <c r="AL50" t="s">
        <v>149</v>
      </c>
      <c r="AM50">
        <v>0.18049999999999999</v>
      </c>
      <c r="AN50" t="s">
        <v>227</v>
      </c>
    </row>
    <row r="51" spans="9:40" x14ac:dyDescent="0.45">
      <c r="I51" t="s">
        <v>165</v>
      </c>
      <c r="J51" t="s">
        <v>239</v>
      </c>
      <c r="K51">
        <v>0</v>
      </c>
      <c r="L51" t="s">
        <v>153</v>
      </c>
      <c r="N51" t="s">
        <v>194</v>
      </c>
      <c r="O51" t="s">
        <v>239</v>
      </c>
      <c r="P51">
        <v>7.2272473701215402E-3</v>
      </c>
      <c r="Q51" t="s">
        <v>153</v>
      </c>
      <c r="S51" t="s">
        <v>209</v>
      </c>
      <c r="T51" t="s">
        <v>239</v>
      </c>
      <c r="U51">
        <v>2.430396215982763E-3</v>
      </c>
      <c r="V51" t="s">
        <v>153</v>
      </c>
      <c r="AC51" t="s">
        <v>19</v>
      </c>
      <c r="AD51" t="s">
        <v>239</v>
      </c>
      <c r="AE51">
        <v>3.6019580508321759E-3</v>
      </c>
      <c r="AK51">
        <v>2032</v>
      </c>
      <c r="AL51" t="s">
        <v>141</v>
      </c>
      <c r="AM51">
        <v>0.26497000000000004</v>
      </c>
      <c r="AN51" t="s">
        <v>227</v>
      </c>
    </row>
    <row r="52" spans="9:40" x14ac:dyDescent="0.45">
      <c r="I52" t="s">
        <v>165</v>
      </c>
      <c r="J52" t="s">
        <v>240</v>
      </c>
      <c r="K52">
        <v>0</v>
      </c>
      <c r="L52" t="s">
        <v>153</v>
      </c>
      <c r="N52" t="s">
        <v>194</v>
      </c>
      <c r="O52" t="s">
        <v>240</v>
      </c>
      <c r="P52">
        <v>3.8258635805384911E-2</v>
      </c>
      <c r="Q52" t="s">
        <v>153</v>
      </c>
      <c r="S52" t="s">
        <v>209</v>
      </c>
      <c r="T52" t="s">
        <v>240</v>
      </c>
      <c r="U52">
        <v>1.4389062930757927E-2</v>
      </c>
      <c r="V52" t="s">
        <v>153</v>
      </c>
      <c r="AC52" t="s">
        <v>19</v>
      </c>
      <c r="AD52" t="s">
        <v>240</v>
      </c>
      <c r="AE52">
        <v>1.7810585043628833E-2</v>
      </c>
      <c r="AK52">
        <v>2032</v>
      </c>
      <c r="AL52" t="s">
        <v>145</v>
      </c>
      <c r="AM52">
        <v>0.1699</v>
      </c>
      <c r="AN52" t="s">
        <v>227</v>
      </c>
    </row>
    <row r="53" spans="9:40" x14ac:dyDescent="0.45">
      <c r="I53" t="s">
        <v>165</v>
      </c>
      <c r="J53" t="s">
        <v>162</v>
      </c>
      <c r="K53">
        <v>0</v>
      </c>
      <c r="L53" t="s">
        <v>153</v>
      </c>
      <c r="N53" t="s">
        <v>194</v>
      </c>
      <c r="O53" t="s">
        <v>162</v>
      </c>
      <c r="P53">
        <v>2.6170304120850467E-2</v>
      </c>
      <c r="Q53" t="s">
        <v>153</v>
      </c>
      <c r="S53" t="s">
        <v>209</v>
      </c>
      <c r="T53" t="s">
        <v>162</v>
      </c>
      <c r="U53">
        <v>2.0228388262992898E-2</v>
      </c>
      <c r="V53" t="s">
        <v>153</v>
      </c>
      <c r="AC53" t="s">
        <v>19</v>
      </c>
      <c r="AD53" t="s">
        <v>162</v>
      </c>
      <c r="AE53">
        <v>1.1730580219688608E-2</v>
      </c>
      <c r="AK53">
        <v>2032</v>
      </c>
      <c r="AL53" t="s">
        <v>147</v>
      </c>
      <c r="AM53">
        <v>0.19405</v>
      </c>
      <c r="AN53" t="s">
        <v>227</v>
      </c>
    </row>
    <row r="54" spans="9:40" x14ac:dyDescent="0.45">
      <c r="I54" t="s">
        <v>165</v>
      </c>
      <c r="J54" t="s">
        <v>163</v>
      </c>
      <c r="K54">
        <v>0</v>
      </c>
      <c r="L54" t="s">
        <v>153</v>
      </c>
      <c r="N54" t="s">
        <v>194</v>
      </c>
      <c r="O54" t="s">
        <v>163</v>
      </c>
      <c r="P54">
        <v>3.6133809221654033E-3</v>
      </c>
      <c r="Q54" t="s">
        <v>153</v>
      </c>
      <c r="S54" t="s">
        <v>209</v>
      </c>
      <c r="T54" t="s">
        <v>163</v>
      </c>
      <c r="U54">
        <v>3.580135191739376E-3</v>
      </c>
      <c r="V54" t="s">
        <v>153</v>
      </c>
      <c r="AC54" t="s">
        <v>19</v>
      </c>
      <c r="AD54" t="s">
        <v>163</v>
      </c>
      <c r="AE54">
        <v>1.6921979279731518E-3</v>
      </c>
      <c r="AK54">
        <v>2032</v>
      </c>
      <c r="AL54" t="s">
        <v>149</v>
      </c>
      <c r="AM54">
        <v>0.16639999999999999</v>
      </c>
      <c r="AN54" t="s">
        <v>227</v>
      </c>
    </row>
    <row r="55" spans="9:40" x14ac:dyDescent="0.45">
      <c r="I55" t="s">
        <v>165</v>
      </c>
      <c r="J55" t="s">
        <v>164</v>
      </c>
      <c r="K55">
        <v>4.6139891120396487E-2</v>
      </c>
      <c r="L55" t="s">
        <v>153</v>
      </c>
      <c r="N55" t="s">
        <v>194</v>
      </c>
      <c r="O55" t="s">
        <v>164</v>
      </c>
      <c r="P55">
        <v>2.6637248562579933E-2</v>
      </c>
      <c r="Q55" t="s">
        <v>153</v>
      </c>
      <c r="S55" t="s">
        <v>209</v>
      </c>
      <c r="T55" t="s">
        <v>164</v>
      </c>
      <c r="U55">
        <v>3.4740645294799602E-2</v>
      </c>
      <c r="V55" t="s">
        <v>153</v>
      </c>
      <c r="AC55" t="s">
        <v>19</v>
      </c>
      <c r="AD55" t="s">
        <v>164</v>
      </c>
      <c r="AE55">
        <v>1.5504178954220477E-2</v>
      </c>
      <c r="AK55">
        <v>2033</v>
      </c>
      <c r="AL55" t="s">
        <v>141</v>
      </c>
      <c r="AM55">
        <v>0.23738000000000001</v>
      </c>
      <c r="AN55" t="s">
        <v>227</v>
      </c>
    </row>
    <row r="56" spans="9:40" x14ac:dyDescent="0.45">
      <c r="I56" t="s">
        <v>165</v>
      </c>
      <c r="J56" t="s">
        <v>241</v>
      </c>
      <c r="K56">
        <v>3.6723249445226027E-3</v>
      </c>
      <c r="L56" t="s">
        <v>153</v>
      </c>
      <c r="N56" t="s">
        <v>194</v>
      </c>
      <c r="O56" t="s">
        <v>241</v>
      </c>
      <c r="P56">
        <v>2.4389617859850434E-3</v>
      </c>
      <c r="Q56" t="s">
        <v>153</v>
      </c>
      <c r="S56" t="s">
        <v>209</v>
      </c>
      <c r="T56" t="s">
        <v>241</v>
      </c>
      <c r="U56">
        <v>2.8002255369778354E-3</v>
      </c>
      <c r="V56" t="s">
        <v>153</v>
      </c>
      <c r="AC56" t="s">
        <v>19</v>
      </c>
      <c r="AD56" t="s">
        <v>241</v>
      </c>
      <c r="AE56">
        <v>1.7303831934386727E-3</v>
      </c>
      <c r="AK56">
        <v>2033</v>
      </c>
      <c r="AL56" t="s">
        <v>145</v>
      </c>
      <c r="AM56">
        <v>0.12725</v>
      </c>
      <c r="AN56" t="s">
        <v>227</v>
      </c>
    </row>
    <row r="57" spans="9:40" x14ac:dyDescent="0.45">
      <c r="I57" t="s">
        <v>165</v>
      </c>
      <c r="J57" t="s">
        <v>242</v>
      </c>
      <c r="K57">
        <v>1.1721823590010677E-3</v>
      </c>
      <c r="L57" t="s">
        <v>153</v>
      </c>
      <c r="N57" t="s">
        <v>194</v>
      </c>
      <c r="O57" t="s">
        <v>242</v>
      </c>
      <c r="P57">
        <v>3.8945612254396873E-3</v>
      </c>
      <c r="Q57" t="s">
        <v>153</v>
      </c>
      <c r="S57" t="s">
        <v>209</v>
      </c>
      <c r="T57" t="s">
        <v>242</v>
      </c>
      <c r="U57">
        <v>2.7379977023087097E-3</v>
      </c>
      <c r="V57" t="s">
        <v>153</v>
      </c>
      <c r="AC57" t="s">
        <v>19</v>
      </c>
      <c r="AD57" t="s">
        <v>242</v>
      </c>
      <c r="AE57">
        <v>1.7386145739625542E-3</v>
      </c>
      <c r="AK57">
        <v>2033</v>
      </c>
      <c r="AL57" t="s">
        <v>147</v>
      </c>
      <c r="AM57">
        <v>0.17985000000000001</v>
      </c>
      <c r="AN57" t="s">
        <v>227</v>
      </c>
    </row>
    <row r="58" spans="9:40" x14ac:dyDescent="0.45">
      <c r="I58" t="s">
        <v>165</v>
      </c>
      <c r="J58" t="s">
        <v>243</v>
      </c>
      <c r="K58">
        <v>0</v>
      </c>
      <c r="L58" t="s">
        <v>153</v>
      </c>
      <c r="N58" t="s">
        <v>194</v>
      </c>
      <c r="O58" t="s">
        <v>243</v>
      </c>
      <c r="P58">
        <v>2.2959808224031941E-2</v>
      </c>
      <c r="Q58" t="s">
        <v>153</v>
      </c>
      <c r="S58" t="s">
        <v>209</v>
      </c>
      <c r="T58" t="s">
        <v>243</v>
      </c>
      <c r="U58">
        <v>1.2485148318793904E-2</v>
      </c>
      <c r="V58" t="s">
        <v>153</v>
      </c>
      <c r="AC58" t="s">
        <v>19</v>
      </c>
      <c r="AD58" t="s">
        <v>243</v>
      </c>
      <c r="AE58">
        <v>8.6069798818506141E-3</v>
      </c>
      <c r="AK58">
        <v>2033</v>
      </c>
      <c r="AL58" t="s">
        <v>149</v>
      </c>
      <c r="AM58">
        <v>0.23849999999999999</v>
      </c>
      <c r="AN58" t="s">
        <v>227</v>
      </c>
    </row>
    <row r="59" spans="9:40" x14ac:dyDescent="0.45">
      <c r="I59" t="s">
        <v>166</v>
      </c>
      <c r="J59" t="s">
        <v>152</v>
      </c>
      <c r="K59">
        <v>0</v>
      </c>
      <c r="L59" t="s">
        <v>153</v>
      </c>
      <c r="N59" t="s">
        <v>195</v>
      </c>
      <c r="O59" t="s">
        <v>152</v>
      </c>
      <c r="P59">
        <v>0.23185869232905984</v>
      </c>
      <c r="Q59" t="s">
        <v>153</v>
      </c>
      <c r="S59" t="s">
        <v>210</v>
      </c>
      <c r="T59" t="s">
        <v>152</v>
      </c>
      <c r="U59">
        <v>0.24858259783990128</v>
      </c>
      <c r="V59" t="s">
        <v>153</v>
      </c>
      <c r="AK59">
        <v>2034</v>
      </c>
      <c r="AL59" t="s">
        <v>141</v>
      </c>
      <c r="AM59">
        <v>0.23388</v>
      </c>
      <c r="AN59" t="s">
        <v>227</v>
      </c>
    </row>
    <row r="60" spans="9:40" x14ac:dyDescent="0.45">
      <c r="I60" t="s">
        <v>166</v>
      </c>
      <c r="J60" t="s">
        <v>154</v>
      </c>
      <c r="K60">
        <v>1.6268737638094E-2</v>
      </c>
      <c r="L60" t="s">
        <v>153</v>
      </c>
      <c r="N60" t="s">
        <v>195</v>
      </c>
      <c r="O60" t="s">
        <v>154</v>
      </c>
      <c r="P60">
        <v>2.3831363891313351E-2</v>
      </c>
      <c r="Q60" t="s">
        <v>153</v>
      </c>
      <c r="S60" t="s">
        <v>210</v>
      </c>
      <c r="T60" t="s">
        <v>154</v>
      </c>
      <c r="U60">
        <v>3.0906610977273818E-2</v>
      </c>
      <c r="V60" t="s">
        <v>153</v>
      </c>
      <c r="AK60">
        <v>2034</v>
      </c>
      <c r="AL60" t="s">
        <v>145</v>
      </c>
      <c r="AM60">
        <v>0.17835000000000001</v>
      </c>
      <c r="AN60" t="s">
        <v>227</v>
      </c>
    </row>
    <row r="61" spans="9:40" x14ac:dyDescent="0.45">
      <c r="I61" t="s">
        <v>166</v>
      </c>
      <c r="J61" t="s">
        <v>155</v>
      </c>
      <c r="K61">
        <v>0.69090830584814278</v>
      </c>
      <c r="L61" t="s">
        <v>153</v>
      </c>
      <c r="N61" t="s">
        <v>195</v>
      </c>
      <c r="O61" t="s">
        <v>155</v>
      </c>
      <c r="P61">
        <v>0.1576558378358541</v>
      </c>
      <c r="Q61" t="s">
        <v>153</v>
      </c>
      <c r="S61" t="s">
        <v>210</v>
      </c>
      <c r="T61" t="s">
        <v>155</v>
      </c>
      <c r="U61">
        <v>0.26968267162322229</v>
      </c>
      <c r="V61" t="s">
        <v>153</v>
      </c>
      <c r="AK61">
        <v>2034</v>
      </c>
      <c r="AL61" t="s">
        <v>147</v>
      </c>
      <c r="AM61">
        <v>0.19219999999999998</v>
      </c>
      <c r="AN61" t="s">
        <v>227</v>
      </c>
    </row>
    <row r="62" spans="9:40" x14ac:dyDescent="0.45">
      <c r="I62" t="s">
        <v>166</v>
      </c>
      <c r="J62" t="s">
        <v>232</v>
      </c>
      <c r="K62">
        <v>5.4261629422248686E-2</v>
      </c>
      <c r="L62" t="s">
        <v>153</v>
      </c>
      <c r="N62" t="s">
        <v>195</v>
      </c>
      <c r="O62" t="s">
        <v>232</v>
      </c>
      <c r="P62">
        <v>1.2803696785418612E-2</v>
      </c>
      <c r="Q62" t="s">
        <v>153</v>
      </c>
      <c r="S62" t="s">
        <v>210</v>
      </c>
      <c r="T62" t="s">
        <v>232</v>
      </c>
      <c r="U62">
        <v>2.9982018683916055E-2</v>
      </c>
      <c r="V62" t="s">
        <v>153</v>
      </c>
      <c r="AK62">
        <v>2034</v>
      </c>
      <c r="AL62" t="s">
        <v>149</v>
      </c>
      <c r="AM62">
        <v>0.16769999999999999</v>
      </c>
      <c r="AN62" t="s">
        <v>227</v>
      </c>
    </row>
    <row r="63" spans="9:40" x14ac:dyDescent="0.45">
      <c r="I63" t="s">
        <v>166</v>
      </c>
      <c r="J63" t="s">
        <v>233</v>
      </c>
      <c r="K63">
        <v>3.3477957727369272E-2</v>
      </c>
      <c r="L63" t="s">
        <v>153</v>
      </c>
      <c r="N63" t="s">
        <v>195</v>
      </c>
      <c r="O63" t="s">
        <v>233</v>
      </c>
      <c r="P63">
        <v>1.7161970417680021E-2</v>
      </c>
      <c r="Q63" t="s">
        <v>153</v>
      </c>
      <c r="S63" t="s">
        <v>210</v>
      </c>
      <c r="T63" t="s">
        <v>233</v>
      </c>
      <c r="U63">
        <v>3.15217188993904E-2</v>
      </c>
      <c r="V63" t="s">
        <v>153</v>
      </c>
      <c r="AK63">
        <v>2035</v>
      </c>
      <c r="AL63" t="s">
        <v>141</v>
      </c>
      <c r="AM63">
        <v>0.30412</v>
      </c>
      <c r="AN63" t="s">
        <v>227</v>
      </c>
    </row>
    <row r="64" spans="9:40" x14ac:dyDescent="0.45">
      <c r="I64" t="s">
        <v>166</v>
      </c>
      <c r="J64" t="s">
        <v>234</v>
      </c>
      <c r="K64">
        <v>4.6560537774321849E-3</v>
      </c>
      <c r="L64" t="s">
        <v>153</v>
      </c>
      <c r="N64" t="s">
        <v>195</v>
      </c>
      <c r="O64" t="s">
        <v>234</v>
      </c>
      <c r="P64">
        <v>0.16653340388621868</v>
      </c>
      <c r="Q64" t="s">
        <v>153</v>
      </c>
      <c r="S64" t="s">
        <v>210</v>
      </c>
      <c r="T64" t="s">
        <v>234</v>
      </c>
      <c r="U64">
        <v>0.16957864215962831</v>
      </c>
      <c r="V64" t="s">
        <v>153</v>
      </c>
      <c r="AK64">
        <v>2035</v>
      </c>
      <c r="AL64" t="s">
        <v>145</v>
      </c>
      <c r="AM64">
        <v>0.16985</v>
      </c>
      <c r="AN64" t="s">
        <v>227</v>
      </c>
    </row>
    <row r="65" spans="9:40" x14ac:dyDescent="0.45">
      <c r="I65" t="s">
        <v>166</v>
      </c>
      <c r="J65" t="s">
        <v>156</v>
      </c>
      <c r="K65">
        <v>0</v>
      </c>
      <c r="L65" t="s">
        <v>153</v>
      </c>
      <c r="N65" t="s">
        <v>195</v>
      </c>
      <c r="O65" t="s">
        <v>156</v>
      </c>
      <c r="P65">
        <v>4.1243092596245645E-2</v>
      </c>
      <c r="Q65" t="s">
        <v>153</v>
      </c>
      <c r="S65" t="s">
        <v>210</v>
      </c>
      <c r="T65" t="s">
        <v>156</v>
      </c>
      <c r="U65">
        <v>9.2630858395177686E-3</v>
      </c>
      <c r="V65" t="s">
        <v>153</v>
      </c>
      <c r="AK65">
        <v>2035</v>
      </c>
      <c r="AL65" t="s">
        <v>147</v>
      </c>
      <c r="AM65">
        <v>0.113</v>
      </c>
      <c r="AN65" t="s">
        <v>227</v>
      </c>
    </row>
    <row r="66" spans="9:40" x14ac:dyDescent="0.45">
      <c r="I66" t="s">
        <v>166</v>
      </c>
      <c r="J66" t="s">
        <v>157</v>
      </c>
      <c r="K66">
        <v>2.2831542514133189E-3</v>
      </c>
      <c r="L66" t="s">
        <v>153</v>
      </c>
      <c r="N66" t="s">
        <v>195</v>
      </c>
      <c r="O66" t="s">
        <v>157</v>
      </c>
      <c r="P66">
        <v>4.8542642130263852E-3</v>
      </c>
      <c r="Q66" t="s">
        <v>153</v>
      </c>
      <c r="S66" t="s">
        <v>210</v>
      </c>
      <c r="T66" t="s">
        <v>157</v>
      </c>
      <c r="U66">
        <v>1.7225449304102572E-3</v>
      </c>
      <c r="V66" t="s">
        <v>153</v>
      </c>
      <c r="AK66">
        <v>2035</v>
      </c>
      <c r="AL66" t="s">
        <v>149</v>
      </c>
      <c r="AM66">
        <v>7.6300000000000007E-2</v>
      </c>
      <c r="AN66" t="s">
        <v>227</v>
      </c>
    </row>
    <row r="67" spans="9:40" x14ac:dyDescent="0.45">
      <c r="I67" t="s">
        <v>166</v>
      </c>
      <c r="J67" t="s">
        <v>158</v>
      </c>
      <c r="K67">
        <v>6.9152247887281373E-2</v>
      </c>
      <c r="L67" t="s">
        <v>153</v>
      </c>
      <c r="N67" t="s">
        <v>195</v>
      </c>
      <c r="O67" t="s">
        <v>158</v>
      </c>
      <c r="P67">
        <v>3.8024569363406507E-2</v>
      </c>
      <c r="Q67" t="s">
        <v>153</v>
      </c>
      <c r="S67" t="s">
        <v>210</v>
      </c>
      <c r="T67" t="s">
        <v>158</v>
      </c>
      <c r="U67">
        <v>1.4486547228342228E-2</v>
      </c>
      <c r="V67" t="s">
        <v>153</v>
      </c>
      <c r="AK67">
        <v>2036</v>
      </c>
      <c r="AL67" t="s">
        <v>141</v>
      </c>
      <c r="AM67">
        <v>0.26790000000000003</v>
      </c>
      <c r="AN67" t="s">
        <v>227</v>
      </c>
    </row>
    <row r="68" spans="9:40" x14ac:dyDescent="0.45">
      <c r="I68" t="s">
        <v>166</v>
      </c>
      <c r="J68" t="s">
        <v>235</v>
      </c>
      <c r="K68">
        <v>4.5651460910350466E-3</v>
      </c>
      <c r="L68" t="s">
        <v>153</v>
      </c>
      <c r="N68" t="s">
        <v>195</v>
      </c>
      <c r="O68" t="s">
        <v>235</v>
      </c>
      <c r="P68">
        <v>3.710089324834201E-3</v>
      </c>
      <c r="Q68" t="s">
        <v>153</v>
      </c>
      <c r="S68" t="s">
        <v>210</v>
      </c>
      <c r="T68" t="s">
        <v>235</v>
      </c>
      <c r="U68">
        <v>1.0213159183801619E-3</v>
      </c>
      <c r="V68" t="s">
        <v>153</v>
      </c>
      <c r="AK68">
        <v>2036</v>
      </c>
      <c r="AL68" t="s">
        <v>145</v>
      </c>
      <c r="AM68">
        <v>0.21445</v>
      </c>
      <c r="AN68" t="s">
        <v>227</v>
      </c>
    </row>
    <row r="69" spans="9:40" x14ac:dyDescent="0.45">
      <c r="I69" t="s">
        <v>166</v>
      </c>
      <c r="J69" t="s">
        <v>236</v>
      </c>
      <c r="K69">
        <v>2.5568718660509437E-3</v>
      </c>
      <c r="L69" t="s">
        <v>153</v>
      </c>
      <c r="N69" t="s">
        <v>195</v>
      </c>
      <c r="O69" t="s">
        <v>236</v>
      </c>
      <c r="P69">
        <v>4.503602299702353E-3</v>
      </c>
      <c r="Q69" t="s">
        <v>153</v>
      </c>
      <c r="S69" t="s">
        <v>210</v>
      </c>
      <c r="T69" t="s">
        <v>236</v>
      </c>
      <c r="U69">
        <v>1.0512791992682304E-3</v>
      </c>
      <c r="V69" t="s">
        <v>153</v>
      </c>
      <c r="AK69">
        <v>2036</v>
      </c>
      <c r="AL69" t="s">
        <v>147</v>
      </c>
      <c r="AM69">
        <v>0.26624999999999999</v>
      </c>
      <c r="AN69" t="s">
        <v>227</v>
      </c>
    </row>
    <row r="70" spans="9:40" x14ac:dyDescent="0.45">
      <c r="I70" t="s">
        <v>166</v>
      </c>
      <c r="J70" t="s">
        <v>237</v>
      </c>
      <c r="K70">
        <v>0</v>
      </c>
      <c r="L70" t="s">
        <v>153</v>
      </c>
      <c r="N70" t="s">
        <v>195</v>
      </c>
      <c r="O70" t="s">
        <v>237</v>
      </c>
      <c r="P70">
        <v>3.1759086795701774E-2</v>
      </c>
      <c r="Q70" t="s">
        <v>153</v>
      </c>
      <c r="S70" t="s">
        <v>210</v>
      </c>
      <c r="T70" t="s">
        <v>237</v>
      </c>
      <c r="U70">
        <v>5.6279521256644817E-3</v>
      </c>
      <c r="V70" t="s">
        <v>153</v>
      </c>
      <c r="AK70">
        <v>2036</v>
      </c>
      <c r="AL70" t="s">
        <v>149</v>
      </c>
      <c r="AM70">
        <v>0.26440000000000002</v>
      </c>
      <c r="AN70" t="s">
        <v>227</v>
      </c>
    </row>
    <row r="71" spans="9:40" x14ac:dyDescent="0.45">
      <c r="I71" t="s">
        <v>166</v>
      </c>
      <c r="J71" t="s">
        <v>159</v>
      </c>
      <c r="K71">
        <v>0</v>
      </c>
      <c r="L71" t="s">
        <v>153</v>
      </c>
      <c r="N71" t="s">
        <v>195</v>
      </c>
      <c r="O71" t="s">
        <v>159</v>
      </c>
      <c r="P71">
        <v>5.3960802254742271E-2</v>
      </c>
      <c r="Q71" t="s">
        <v>153</v>
      </c>
      <c r="S71" t="s">
        <v>210</v>
      </c>
      <c r="T71" t="s">
        <v>159</v>
      </c>
      <c r="U71">
        <v>3.3038183295884656E-2</v>
      </c>
      <c r="V71" t="s">
        <v>153</v>
      </c>
      <c r="AK71">
        <v>2037</v>
      </c>
      <c r="AL71" t="s">
        <v>141</v>
      </c>
      <c r="AM71">
        <v>0.21160999999999999</v>
      </c>
      <c r="AN71" t="s">
        <v>227</v>
      </c>
    </row>
    <row r="72" spans="9:40" x14ac:dyDescent="0.45">
      <c r="I72" t="s">
        <v>166</v>
      </c>
      <c r="J72" t="s">
        <v>160</v>
      </c>
      <c r="K72">
        <v>7.6028619219961789E-5</v>
      </c>
      <c r="L72" t="s">
        <v>153</v>
      </c>
      <c r="N72" t="s">
        <v>195</v>
      </c>
      <c r="O72" t="s">
        <v>160</v>
      </c>
      <c r="P72">
        <v>6.4907736622088798E-3</v>
      </c>
      <c r="Q72" t="s">
        <v>153</v>
      </c>
      <c r="S72" t="s">
        <v>210</v>
      </c>
      <c r="T72" t="s">
        <v>160</v>
      </c>
      <c r="U72">
        <v>6.1980681940398772E-3</v>
      </c>
      <c r="V72" t="s">
        <v>153</v>
      </c>
      <c r="AK72">
        <v>2037</v>
      </c>
      <c r="AL72" t="s">
        <v>145</v>
      </c>
      <c r="AM72">
        <v>0.18404999999999999</v>
      </c>
      <c r="AN72" t="s">
        <v>227</v>
      </c>
    </row>
    <row r="73" spans="9:40" x14ac:dyDescent="0.45">
      <c r="I73" t="s">
        <v>166</v>
      </c>
      <c r="J73" t="s">
        <v>161</v>
      </c>
      <c r="K73">
        <v>6.4790681461194488E-2</v>
      </c>
      <c r="L73" t="s">
        <v>153</v>
      </c>
      <c r="N73" t="s">
        <v>195</v>
      </c>
      <c r="O73" t="s">
        <v>161</v>
      </c>
      <c r="P73">
        <v>4.9550254779276312E-2</v>
      </c>
      <c r="Q73" t="s">
        <v>153</v>
      </c>
      <c r="S73" t="s">
        <v>210</v>
      </c>
      <c r="T73" t="s">
        <v>161</v>
      </c>
      <c r="U73">
        <v>4.0189385449831604E-2</v>
      </c>
      <c r="V73" t="s">
        <v>153</v>
      </c>
      <c r="AK73">
        <v>2037</v>
      </c>
      <c r="AL73" t="s">
        <v>147</v>
      </c>
      <c r="AM73">
        <v>0.19974999999999998</v>
      </c>
      <c r="AN73" t="s">
        <v>227</v>
      </c>
    </row>
    <row r="74" spans="9:40" x14ac:dyDescent="0.45">
      <c r="I74" t="s">
        <v>166</v>
      </c>
      <c r="J74" t="s">
        <v>238</v>
      </c>
      <c r="K74">
        <v>4.2685109468747458E-3</v>
      </c>
      <c r="L74" t="s">
        <v>153</v>
      </c>
      <c r="N74" t="s">
        <v>195</v>
      </c>
      <c r="O74" t="s">
        <v>238</v>
      </c>
      <c r="P74">
        <v>4.9873675758231881E-3</v>
      </c>
      <c r="Q74" t="s">
        <v>153</v>
      </c>
      <c r="S74" t="s">
        <v>210</v>
      </c>
      <c r="T74" t="s">
        <v>238</v>
      </c>
      <c r="U74">
        <v>2.1413005540455487E-3</v>
      </c>
      <c r="V74" t="s">
        <v>153</v>
      </c>
      <c r="AK74">
        <v>2037</v>
      </c>
      <c r="AL74" t="s">
        <v>149</v>
      </c>
      <c r="AM74">
        <v>0.23849999999999999</v>
      </c>
      <c r="AN74" t="s">
        <v>227</v>
      </c>
    </row>
    <row r="75" spans="9:40" x14ac:dyDescent="0.45">
      <c r="I75" t="s">
        <v>166</v>
      </c>
      <c r="J75" t="s">
        <v>239</v>
      </c>
      <c r="K75">
        <v>8.5980588564220806E-4</v>
      </c>
      <c r="L75" t="s">
        <v>153</v>
      </c>
      <c r="N75" t="s">
        <v>195</v>
      </c>
      <c r="O75" t="s">
        <v>239</v>
      </c>
      <c r="P75">
        <v>6.3776144865302364E-3</v>
      </c>
      <c r="Q75" t="s">
        <v>153</v>
      </c>
      <c r="S75" t="s">
        <v>210</v>
      </c>
      <c r="T75" t="s">
        <v>239</v>
      </c>
      <c r="U75">
        <v>2.2617188707942863E-3</v>
      </c>
      <c r="V75" t="s">
        <v>153</v>
      </c>
      <c r="AK75">
        <v>2038</v>
      </c>
      <c r="AL75" t="s">
        <v>141</v>
      </c>
      <c r="AM75">
        <v>0.22005</v>
      </c>
      <c r="AN75" t="s">
        <v>227</v>
      </c>
    </row>
    <row r="76" spans="9:40" x14ac:dyDescent="0.45">
      <c r="I76" t="s">
        <v>166</v>
      </c>
      <c r="J76" t="s">
        <v>240</v>
      </c>
      <c r="K76">
        <v>0</v>
      </c>
      <c r="L76" t="s">
        <v>153</v>
      </c>
      <c r="N76" t="s">
        <v>195</v>
      </c>
      <c r="O76" t="s">
        <v>240</v>
      </c>
      <c r="P76">
        <v>4.0852118911443511E-2</v>
      </c>
      <c r="Q76" t="s">
        <v>153</v>
      </c>
      <c r="S76" t="s">
        <v>210</v>
      </c>
      <c r="T76" t="s">
        <v>240</v>
      </c>
      <c r="U76">
        <v>1.5289747588243703E-2</v>
      </c>
      <c r="V76" t="s">
        <v>153</v>
      </c>
      <c r="AK76">
        <v>2038</v>
      </c>
      <c r="AL76" t="s">
        <v>145</v>
      </c>
      <c r="AM76">
        <v>9.5450000000000007E-2</v>
      </c>
      <c r="AN76" t="s">
        <v>227</v>
      </c>
    </row>
    <row r="77" spans="9:40" x14ac:dyDescent="0.45">
      <c r="I77" t="s">
        <v>166</v>
      </c>
      <c r="J77" t="s">
        <v>162</v>
      </c>
      <c r="K77">
        <v>0</v>
      </c>
      <c r="L77" t="s">
        <v>153</v>
      </c>
      <c r="N77" t="s">
        <v>195</v>
      </c>
      <c r="O77" t="s">
        <v>162</v>
      </c>
      <c r="P77">
        <v>3.5356724456287146E-2</v>
      </c>
      <c r="Q77" t="s">
        <v>153</v>
      </c>
      <c r="S77" t="s">
        <v>210</v>
      </c>
      <c r="T77" t="s">
        <v>162</v>
      </c>
      <c r="U77">
        <v>2.5774339379517428E-2</v>
      </c>
      <c r="V77" t="s">
        <v>153</v>
      </c>
      <c r="AK77">
        <v>2038</v>
      </c>
      <c r="AL77" t="s">
        <v>147</v>
      </c>
      <c r="AM77">
        <v>0.21249999999999999</v>
      </c>
      <c r="AN77" t="s">
        <v>227</v>
      </c>
    </row>
    <row r="78" spans="9:40" x14ac:dyDescent="0.45">
      <c r="I78" t="s">
        <v>166</v>
      </c>
      <c r="J78" t="s">
        <v>163</v>
      </c>
      <c r="K78">
        <v>0</v>
      </c>
      <c r="L78" t="s">
        <v>153</v>
      </c>
      <c r="N78" t="s">
        <v>195</v>
      </c>
      <c r="O78" t="s">
        <v>163</v>
      </c>
      <c r="P78">
        <v>4.7848109354417575E-3</v>
      </c>
      <c r="Q78" t="s">
        <v>153</v>
      </c>
      <c r="S78" t="s">
        <v>210</v>
      </c>
      <c r="T78" t="s">
        <v>163</v>
      </c>
      <c r="U78">
        <v>4.5784937613793644E-3</v>
      </c>
      <c r="V78" t="s">
        <v>153</v>
      </c>
      <c r="AK78">
        <v>2038</v>
      </c>
      <c r="AL78" t="s">
        <v>149</v>
      </c>
      <c r="AM78">
        <v>0.3</v>
      </c>
      <c r="AN78" t="s">
        <v>227</v>
      </c>
    </row>
    <row r="79" spans="9:40" x14ac:dyDescent="0.45">
      <c r="I79" t="s">
        <v>166</v>
      </c>
      <c r="J79" t="s">
        <v>164</v>
      </c>
      <c r="K79">
        <v>4.6164174380763909E-2</v>
      </c>
      <c r="L79" t="s">
        <v>153</v>
      </c>
      <c r="N79" t="s">
        <v>195</v>
      </c>
      <c r="O79" t="s">
        <v>164</v>
      </c>
      <c r="P79">
        <v>3.2743995643376315E-2</v>
      </c>
      <c r="Q79" t="s">
        <v>153</v>
      </c>
      <c r="S79" t="s">
        <v>210</v>
      </c>
      <c r="T79" t="s">
        <v>164</v>
      </c>
      <c r="U79">
        <v>3.8783545669991745E-2</v>
      </c>
      <c r="V79" t="s">
        <v>153</v>
      </c>
      <c r="AK79">
        <v>2039</v>
      </c>
      <c r="AL79" t="s">
        <v>141</v>
      </c>
      <c r="AM79">
        <v>0.25797999999999999</v>
      </c>
      <c r="AN79" t="s">
        <v>227</v>
      </c>
    </row>
    <row r="80" spans="9:40" x14ac:dyDescent="0.45">
      <c r="I80" t="s">
        <v>166</v>
      </c>
      <c r="J80" t="s">
        <v>241</v>
      </c>
      <c r="K80">
        <v>3.536187193935903E-3</v>
      </c>
      <c r="L80" t="s">
        <v>153</v>
      </c>
      <c r="N80" t="s">
        <v>195</v>
      </c>
      <c r="O80" t="s">
        <v>241</v>
      </c>
      <c r="P80">
        <v>2.3228942714750337E-3</v>
      </c>
      <c r="Q80" t="s">
        <v>153</v>
      </c>
      <c r="S80" t="s">
        <v>210</v>
      </c>
      <c r="T80" t="s">
        <v>241</v>
      </c>
      <c r="U80">
        <v>2.5999651754453862E-3</v>
      </c>
      <c r="V80" t="s">
        <v>153</v>
      </c>
      <c r="AK80">
        <v>2039</v>
      </c>
      <c r="AL80" t="s">
        <v>145</v>
      </c>
      <c r="AM80">
        <v>0.15775</v>
      </c>
      <c r="AN80" t="s">
        <v>227</v>
      </c>
    </row>
    <row r="81" spans="9:40" x14ac:dyDescent="0.45">
      <c r="I81" t="s">
        <v>166</v>
      </c>
      <c r="J81" t="s">
        <v>242</v>
      </c>
      <c r="K81">
        <v>2.1745070032995009E-3</v>
      </c>
      <c r="L81" t="s">
        <v>153</v>
      </c>
      <c r="N81" t="s">
        <v>195</v>
      </c>
      <c r="O81" t="s">
        <v>242</v>
      </c>
      <c r="P81">
        <v>3.3747829195145624E-3</v>
      </c>
      <c r="Q81" t="s">
        <v>153</v>
      </c>
      <c r="S81" t="s">
        <v>210</v>
      </c>
      <c r="T81" t="s">
        <v>242</v>
      </c>
      <c r="U81">
        <v>2.5503192169091609E-3</v>
      </c>
      <c r="V81" t="s">
        <v>153</v>
      </c>
      <c r="AK81">
        <v>2039</v>
      </c>
      <c r="AL81" t="s">
        <v>147</v>
      </c>
      <c r="AM81">
        <v>0.22799999999999998</v>
      </c>
      <c r="AN81" t="s">
        <v>227</v>
      </c>
    </row>
    <row r="82" spans="9:40" x14ac:dyDescent="0.45">
      <c r="I82" t="s">
        <v>166</v>
      </c>
      <c r="J82" t="s">
        <v>243</v>
      </c>
      <c r="K82">
        <v>0</v>
      </c>
      <c r="L82" t="s">
        <v>153</v>
      </c>
      <c r="N82" t="s">
        <v>195</v>
      </c>
      <c r="O82" t="s">
        <v>243</v>
      </c>
      <c r="P82">
        <v>2.525819036542418E-2</v>
      </c>
      <c r="Q82" t="s">
        <v>153</v>
      </c>
      <c r="S82" t="s">
        <v>210</v>
      </c>
      <c r="T82" t="s">
        <v>243</v>
      </c>
      <c r="U82">
        <v>1.3167947419002355E-2</v>
      </c>
      <c r="V82" t="s">
        <v>153</v>
      </c>
      <c r="AK82">
        <v>2039</v>
      </c>
      <c r="AL82" t="s">
        <v>149</v>
      </c>
      <c r="AM82">
        <v>0.2959</v>
      </c>
      <c r="AN82" t="s">
        <v>227</v>
      </c>
    </row>
    <row r="83" spans="9:40" x14ac:dyDescent="0.45">
      <c r="I83" t="s">
        <v>167</v>
      </c>
      <c r="J83" t="s">
        <v>152</v>
      </c>
      <c r="K83">
        <v>0</v>
      </c>
      <c r="L83" t="s">
        <v>153</v>
      </c>
      <c r="N83" t="s">
        <v>196</v>
      </c>
      <c r="O83" t="s">
        <v>152</v>
      </c>
      <c r="P83">
        <v>0.22366902344954059</v>
      </c>
      <c r="Q83" t="s">
        <v>153</v>
      </c>
      <c r="S83" t="s">
        <v>211</v>
      </c>
      <c r="T83" t="s">
        <v>152</v>
      </c>
      <c r="U83">
        <v>0.27030592779479951</v>
      </c>
      <c r="V83" t="s">
        <v>153</v>
      </c>
      <c r="AK83">
        <v>2040</v>
      </c>
      <c r="AL83" t="s">
        <v>141</v>
      </c>
      <c r="AM83">
        <v>0.27638999999999997</v>
      </c>
      <c r="AN83" t="s">
        <v>227</v>
      </c>
    </row>
    <row r="84" spans="9:40" x14ac:dyDescent="0.45">
      <c r="I84" t="s">
        <v>167</v>
      </c>
      <c r="J84" t="s">
        <v>154</v>
      </c>
      <c r="K84">
        <v>1.6828713576940341E-2</v>
      </c>
      <c r="L84" t="s">
        <v>153</v>
      </c>
      <c r="N84" t="s">
        <v>196</v>
      </c>
      <c r="O84" t="s">
        <v>154</v>
      </c>
      <c r="P84">
        <v>2.033789697932321E-2</v>
      </c>
      <c r="Q84" t="s">
        <v>153</v>
      </c>
      <c r="S84" t="s">
        <v>211</v>
      </c>
      <c r="T84" t="s">
        <v>154</v>
      </c>
      <c r="U84">
        <v>3.4840312738626665E-2</v>
      </c>
      <c r="V84" t="s">
        <v>153</v>
      </c>
      <c r="AK84">
        <v>2040</v>
      </c>
      <c r="AL84" t="s">
        <v>145</v>
      </c>
      <c r="AM84">
        <v>0.15195</v>
      </c>
      <c r="AN84" t="s">
        <v>227</v>
      </c>
    </row>
    <row r="85" spans="9:40" x14ac:dyDescent="0.45">
      <c r="I85" t="s">
        <v>167</v>
      </c>
      <c r="J85" t="s">
        <v>155</v>
      </c>
      <c r="K85">
        <v>0.68454877714434803</v>
      </c>
      <c r="L85" t="s">
        <v>153</v>
      </c>
      <c r="N85" t="s">
        <v>196</v>
      </c>
      <c r="O85" t="s">
        <v>155</v>
      </c>
      <c r="P85">
        <v>0.13910100178244864</v>
      </c>
      <c r="Q85" t="s">
        <v>153</v>
      </c>
      <c r="S85" t="s">
        <v>211</v>
      </c>
      <c r="T85" t="s">
        <v>155</v>
      </c>
      <c r="U85">
        <v>0.28976677478769236</v>
      </c>
      <c r="V85" t="s">
        <v>153</v>
      </c>
      <c r="AK85">
        <v>2040</v>
      </c>
      <c r="AL85" t="s">
        <v>147</v>
      </c>
      <c r="AM85">
        <v>0.17879999999999999</v>
      </c>
      <c r="AN85" t="s">
        <v>227</v>
      </c>
    </row>
    <row r="86" spans="9:40" x14ac:dyDescent="0.45">
      <c r="I86" t="s">
        <v>167</v>
      </c>
      <c r="J86" t="s">
        <v>232</v>
      </c>
      <c r="K86">
        <v>5.2280522929608879E-2</v>
      </c>
      <c r="L86" t="s">
        <v>153</v>
      </c>
      <c r="N86" t="s">
        <v>196</v>
      </c>
      <c r="O86" t="s">
        <v>232</v>
      </c>
      <c r="P86">
        <v>1.1675916431878144E-2</v>
      </c>
      <c r="Q86" t="s">
        <v>153</v>
      </c>
      <c r="S86" t="s">
        <v>211</v>
      </c>
      <c r="T86" t="s">
        <v>232</v>
      </c>
      <c r="U86">
        <v>2.8339656173719419E-2</v>
      </c>
      <c r="V86" t="s">
        <v>153</v>
      </c>
      <c r="AK86">
        <v>2040</v>
      </c>
      <c r="AL86" t="s">
        <v>149</v>
      </c>
      <c r="AM86">
        <v>0.27439999999999998</v>
      </c>
      <c r="AN86" t="s">
        <v>227</v>
      </c>
    </row>
    <row r="87" spans="9:40" x14ac:dyDescent="0.45">
      <c r="I87" t="s">
        <v>167</v>
      </c>
      <c r="J87" t="s">
        <v>233</v>
      </c>
      <c r="K87">
        <v>3.1475237618393624E-2</v>
      </c>
      <c r="L87" t="s">
        <v>153</v>
      </c>
      <c r="N87" t="s">
        <v>196</v>
      </c>
      <c r="O87" t="s">
        <v>233</v>
      </c>
      <c r="P87">
        <v>1.6252747069499425E-2</v>
      </c>
      <c r="Q87" t="s">
        <v>153</v>
      </c>
      <c r="S87" t="s">
        <v>211</v>
      </c>
      <c r="T87" t="s">
        <v>233</v>
      </c>
      <c r="U87">
        <v>2.9030756678860844E-2</v>
      </c>
      <c r="V87" t="s">
        <v>153</v>
      </c>
      <c r="AK87">
        <v>2041</v>
      </c>
      <c r="AL87" t="s">
        <v>141</v>
      </c>
      <c r="AM87">
        <v>0.20350000000000001</v>
      </c>
      <c r="AN87" t="s">
        <v>227</v>
      </c>
    </row>
    <row r="88" spans="9:40" x14ac:dyDescent="0.45">
      <c r="I88" t="s">
        <v>167</v>
      </c>
      <c r="J88" t="s">
        <v>234</v>
      </c>
      <c r="K88">
        <v>3.7831615562983669E-3</v>
      </c>
      <c r="L88" t="s">
        <v>153</v>
      </c>
      <c r="N88" t="s">
        <v>196</v>
      </c>
      <c r="O88" t="s">
        <v>234</v>
      </c>
      <c r="P88">
        <v>0.171585330030989</v>
      </c>
      <c r="Q88" t="s">
        <v>153</v>
      </c>
      <c r="S88" t="s">
        <v>211</v>
      </c>
      <c r="T88" t="s">
        <v>234</v>
      </c>
      <c r="U88">
        <v>0.16370627873225965</v>
      </c>
      <c r="V88" t="s">
        <v>153</v>
      </c>
      <c r="AK88">
        <v>2041</v>
      </c>
      <c r="AL88" t="s">
        <v>145</v>
      </c>
      <c r="AM88">
        <v>0.12825</v>
      </c>
      <c r="AN88" t="s">
        <v>227</v>
      </c>
    </row>
    <row r="89" spans="9:40" x14ac:dyDescent="0.45">
      <c r="I89" t="s">
        <v>167</v>
      </c>
      <c r="J89" t="s">
        <v>156</v>
      </c>
      <c r="K89">
        <v>0</v>
      </c>
      <c r="L89" t="s">
        <v>153</v>
      </c>
      <c r="N89" t="s">
        <v>196</v>
      </c>
      <c r="O89" t="s">
        <v>156</v>
      </c>
      <c r="P89">
        <v>4.3966427009364803E-2</v>
      </c>
      <c r="Q89" t="s">
        <v>153</v>
      </c>
      <c r="S89" t="s">
        <v>211</v>
      </c>
      <c r="T89" t="s">
        <v>156</v>
      </c>
      <c r="U89">
        <v>9.4660271124822788E-3</v>
      </c>
      <c r="V89" t="s">
        <v>153</v>
      </c>
      <c r="AK89">
        <v>2041</v>
      </c>
      <c r="AL89" t="s">
        <v>147</v>
      </c>
      <c r="AM89">
        <v>0.17615</v>
      </c>
      <c r="AN89" t="s">
        <v>227</v>
      </c>
    </row>
    <row r="90" spans="9:40" x14ac:dyDescent="0.45">
      <c r="I90" t="s">
        <v>167</v>
      </c>
      <c r="J90" t="s">
        <v>157</v>
      </c>
      <c r="K90">
        <v>2.629188330907107E-3</v>
      </c>
      <c r="L90" t="s">
        <v>153</v>
      </c>
      <c r="N90" t="s">
        <v>196</v>
      </c>
      <c r="O90" t="s">
        <v>157</v>
      </c>
      <c r="P90">
        <v>5.1500848684818586E-3</v>
      </c>
      <c r="Q90" t="s">
        <v>153</v>
      </c>
      <c r="S90" t="s">
        <v>211</v>
      </c>
      <c r="T90" t="s">
        <v>157</v>
      </c>
      <c r="U90">
        <v>1.8265648786845985E-3</v>
      </c>
      <c r="V90" t="s">
        <v>153</v>
      </c>
      <c r="AK90">
        <v>2041</v>
      </c>
      <c r="AL90" t="s">
        <v>149</v>
      </c>
      <c r="AM90">
        <v>0.18709999999999999</v>
      </c>
      <c r="AN90" t="s">
        <v>227</v>
      </c>
    </row>
    <row r="91" spans="9:40" x14ac:dyDescent="0.45">
      <c r="I91" t="s">
        <v>167</v>
      </c>
      <c r="J91" t="s">
        <v>158</v>
      </c>
      <c r="K91">
        <v>6.9279422102799304E-2</v>
      </c>
      <c r="L91" t="s">
        <v>153</v>
      </c>
      <c r="N91" t="s">
        <v>196</v>
      </c>
      <c r="O91" t="s">
        <v>158</v>
      </c>
      <c r="P91">
        <v>3.5471618291257029E-2</v>
      </c>
      <c r="Q91" t="s">
        <v>153</v>
      </c>
      <c r="S91" t="s">
        <v>211</v>
      </c>
      <c r="T91" t="s">
        <v>158</v>
      </c>
      <c r="U91">
        <v>1.3948081980204594E-2</v>
      </c>
      <c r="V91" t="s">
        <v>153</v>
      </c>
      <c r="AK91">
        <v>2042</v>
      </c>
      <c r="AL91" t="s">
        <v>141</v>
      </c>
      <c r="AM91">
        <v>0.23250999999999999</v>
      </c>
      <c r="AN91" t="s">
        <v>227</v>
      </c>
    </row>
    <row r="92" spans="9:40" x14ac:dyDescent="0.45">
      <c r="I92" t="s">
        <v>167</v>
      </c>
      <c r="J92" t="s">
        <v>235</v>
      </c>
      <c r="K92">
        <v>4.3415888402066356E-3</v>
      </c>
      <c r="L92" t="s">
        <v>153</v>
      </c>
      <c r="N92" t="s">
        <v>196</v>
      </c>
      <c r="O92" t="s">
        <v>235</v>
      </c>
      <c r="P92">
        <v>4.0473953749623351E-3</v>
      </c>
      <c r="Q92" t="s">
        <v>153</v>
      </c>
      <c r="S92" t="s">
        <v>211</v>
      </c>
      <c r="T92" t="s">
        <v>235</v>
      </c>
      <c r="U92">
        <v>7.5375901141470621E-4</v>
      </c>
      <c r="V92" t="s">
        <v>153</v>
      </c>
      <c r="AK92">
        <v>2042</v>
      </c>
      <c r="AL92" t="s">
        <v>145</v>
      </c>
      <c r="AM92">
        <v>0.12065000000000001</v>
      </c>
      <c r="AN92" t="s">
        <v>227</v>
      </c>
    </row>
    <row r="93" spans="9:40" x14ac:dyDescent="0.45">
      <c r="I93" t="s">
        <v>167</v>
      </c>
      <c r="J93" t="s">
        <v>236</v>
      </c>
      <c r="K93">
        <v>2.5627076658357854E-3</v>
      </c>
      <c r="L93" t="s">
        <v>153</v>
      </c>
      <c r="N93" t="s">
        <v>196</v>
      </c>
      <c r="O93" t="s">
        <v>236</v>
      </c>
      <c r="P93">
        <v>4.7564103172280988E-3</v>
      </c>
      <c r="Q93" t="s">
        <v>153</v>
      </c>
      <c r="S93" t="s">
        <v>211</v>
      </c>
      <c r="T93" t="s">
        <v>236</v>
      </c>
      <c r="U93">
        <v>8.5984405876876461E-4</v>
      </c>
      <c r="V93" t="s">
        <v>153</v>
      </c>
      <c r="AK93">
        <v>2042</v>
      </c>
      <c r="AL93" t="s">
        <v>147</v>
      </c>
      <c r="AM93">
        <v>0.24945000000000001</v>
      </c>
      <c r="AN93" t="s">
        <v>227</v>
      </c>
    </row>
    <row r="94" spans="9:40" x14ac:dyDescent="0.45">
      <c r="I94" t="s">
        <v>167</v>
      </c>
      <c r="J94" t="s">
        <v>237</v>
      </c>
      <c r="K94">
        <v>0</v>
      </c>
      <c r="L94" t="s">
        <v>153</v>
      </c>
      <c r="N94" t="s">
        <v>196</v>
      </c>
      <c r="O94" t="s">
        <v>237</v>
      </c>
      <c r="P94">
        <v>3.5950930098260545E-2</v>
      </c>
      <c r="Q94" t="s">
        <v>153</v>
      </c>
      <c r="S94" t="s">
        <v>211</v>
      </c>
      <c r="T94" t="s">
        <v>237</v>
      </c>
      <c r="U94">
        <v>5.0535041879725589E-3</v>
      </c>
      <c r="V94" t="s">
        <v>153</v>
      </c>
      <c r="AK94">
        <v>2042</v>
      </c>
      <c r="AL94" t="s">
        <v>149</v>
      </c>
      <c r="AM94">
        <v>0.30759999999999998</v>
      </c>
      <c r="AN94" t="s">
        <v>227</v>
      </c>
    </row>
    <row r="95" spans="9:40" x14ac:dyDescent="0.45">
      <c r="I95" t="s">
        <v>167</v>
      </c>
      <c r="J95" t="s">
        <v>159</v>
      </c>
      <c r="K95">
        <v>0</v>
      </c>
      <c r="L95" t="s">
        <v>153</v>
      </c>
      <c r="N95" t="s">
        <v>196</v>
      </c>
      <c r="O95" t="s">
        <v>159</v>
      </c>
      <c r="P95">
        <v>5.7525209144093599E-2</v>
      </c>
      <c r="Q95" t="s">
        <v>153</v>
      </c>
      <c r="S95" t="s">
        <v>211</v>
      </c>
      <c r="T95" t="s">
        <v>159</v>
      </c>
      <c r="U95">
        <v>2.7363253803938715E-2</v>
      </c>
      <c r="V95" t="s">
        <v>153</v>
      </c>
      <c r="AK95">
        <v>2043</v>
      </c>
      <c r="AL95" t="s">
        <v>141</v>
      </c>
      <c r="AM95">
        <v>0.23647000000000001</v>
      </c>
      <c r="AN95" t="s">
        <v>227</v>
      </c>
    </row>
    <row r="96" spans="9:40" x14ac:dyDescent="0.45">
      <c r="I96" t="s">
        <v>167</v>
      </c>
      <c r="J96" t="s">
        <v>160</v>
      </c>
      <c r="K96">
        <v>5.4514472893956595E-4</v>
      </c>
      <c r="L96" t="s">
        <v>153</v>
      </c>
      <c r="N96" t="s">
        <v>196</v>
      </c>
      <c r="O96" t="s">
        <v>160</v>
      </c>
      <c r="P96">
        <v>6.3333828656844324E-3</v>
      </c>
      <c r="Q96" t="s">
        <v>153</v>
      </c>
      <c r="S96" t="s">
        <v>211</v>
      </c>
      <c r="T96" t="s">
        <v>160</v>
      </c>
      <c r="U96">
        <v>5.1931301680721532E-3</v>
      </c>
      <c r="V96" t="s">
        <v>153</v>
      </c>
      <c r="AK96">
        <v>2043</v>
      </c>
      <c r="AL96" t="s">
        <v>145</v>
      </c>
      <c r="AM96">
        <v>0.11945</v>
      </c>
      <c r="AN96" t="s">
        <v>227</v>
      </c>
    </row>
    <row r="97" spans="9:40" x14ac:dyDescent="0.45">
      <c r="I97" t="s">
        <v>167</v>
      </c>
      <c r="J97" t="s">
        <v>161</v>
      </c>
      <c r="K97">
        <v>7.3300678216227197E-2</v>
      </c>
      <c r="L97" t="s">
        <v>153</v>
      </c>
      <c r="N97" t="s">
        <v>196</v>
      </c>
      <c r="O97" t="s">
        <v>161</v>
      </c>
      <c r="P97">
        <v>4.3681486363993445E-2</v>
      </c>
      <c r="Q97" t="s">
        <v>153</v>
      </c>
      <c r="S97" t="s">
        <v>211</v>
      </c>
      <c r="T97" t="s">
        <v>161</v>
      </c>
      <c r="U97">
        <v>3.412357257366417E-2</v>
      </c>
      <c r="V97" t="s">
        <v>153</v>
      </c>
      <c r="AK97">
        <v>2043</v>
      </c>
      <c r="AL97" t="s">
        <v>147</v>
      </c>
      <c r="AM97">
        <v>0.24075000000000002</v>
      </c>
      <c r="AN97" t="s">
        <v>227</v>
      </c>
    </row>
    <row r="98" spans="9:40" x14ac:dyDescent="0.45">
      <c r="I98" t="s">
        <v>167</v>
      </c>
      <c r="J98" t="s">
        <v>238</v>
      </c>
      <c r="K98">
        <v>4.360622311646448E-3</v>
      </c>
      <c r="L98" t="s">
        <v>153</v>
      </c>
      <c r="N98" t="s">
        <v>196</v>
      </c>
      <c r="O98" t="s">
        <v>238</v>
      </c>
      <c r="P98">
        <v>5.2375730250284582E-3</v>
      </c>
      <c r="Q98" t="s">
        <v>153</v>
      </c>
      <c r="S98" t="s">
        <v>211</v>
      </c>
      <c r="T98" t="s">
        <v>238</v>
      </c>
      <c r="U98">
        <v>1.243845454459267E-3</v>
      </c>
      <c r="V98" t="s">
        <v>153</v>
      </c>
      <c r="AK98">
        <v>2043</v>
      </c>
      <c r="AL98" t="s">
        <v>149</v>
      </c>
      <c r="AM98">
        <v>0.29260000000000003</v>
      </c>
      <c r="AN98" t="s">
        <v>227</v>
      </c>
    </row>
    <row r="99" spans="9:40" x14ac:dyDescent="0.45">
      <c r="I99" t="s">
        <v>167</v>
      </c>
      <c r="J99" t="s">
        <v>239</v>
      </c>
      <c r="K99">
        <v>1.1454692370093059E-3</v>
      </c>
      <c r="L99" t="s">
        <v>153</v>
      </c>
      <c r="N99" t="s">
        <v>196</v>
      </c>
      <c r="O99" t="s">
        <v>239</v>
      </c>
      <c r="P99">
        <v>6.8589358354601082E-3</v>
      </c>
      <c r="Q99" t="s">
        <v>153</v>
      </c>
      <c r="S99" t="s">
        <v>211</v>
      </c>
      <c r="T99" t="s">
        <v>239</v>
      </c>
      <c r="U99">
        <v>1.3614560966443059E-3</v>
      </c>
      <c r="V99" t="s">
        <v>153</v>
      </c>
      <c r="AK99">
        <v>2044</v>
      </c>
      <c r="AL99" t="s">
        <v>141</v>
      </c>
      <c r="AM99">
        <v>0.24417</v>
      </c>
      <c r="AN99" t="s">
        <v>227</v>
      </c>
    </row>
    <row r="100" spans="9:40" x14ac:dyDescent="0.45">
      <c r="I100" t="s">
        <v>167</v>
      </c>
      <c r="J100" t="s">
        <v>240</v>
      </c>
      <c r="K100">
        <v>0</v>
      </c>
      <c r="L100" t="s">
        <v>153</v>
      </c>
      <c r="N100" t="s">
        <v>196</v>
      </c>
      <c r="O100" t="s">
        <v>240</v>
      </c>
      <c r="P100">
        <v>4.6799485939997533E-2</v>
      </c>
      <c r="Q100" t="s">
        <v>153</v>
      </c>
      <c r="S100" t="s">
        <v>211</v>
      </c>
      <c r="T100" t="s">
        <v>240</v>
      </c>
      <c r="U100">
        <v>1.2259724642311615E-2</v>
      </c>
      <c r="V100" t="s">
        <v>153</v>
      </c>
      <c r="AK100">
        <v>2044</v>
      </c>
      <c r="AL100" t="s">
        <v>145</v>
      </c>
      <c r="AM100">
        <v>0.1772</v>
      </c>
      <c r="AN100" t="s">
        <v>227</v>
      </c>
    </row>
    <row r="101" spans="9:40" x14ac:dyDescent="0.45">
      <c r="I101" t="s">
        <v>167</v>
      </c>
      <c r="J101" t="s">
        <v>162</v>
      </c>
      <c r="K101">
        <v>0</v>
      </c>
      <c r="L101" t="s">
        <v>153</v>
      </c>
      <c r="N101" t="s">
        <v>196</v>
      </c>
      <c r="O101" t="s">
        <v>162</v>
      </c>
      <c r="P101">
        <v>4.121391018792004E-2</v>
      </c>
      <c r="Q101" t="s">
        <v>153</v>
      </c>
      <c r="S101" t="s">
        <v>211</v>
      </c>
      <c r="T101" t="s">
        <v>162</v>
      </c>
      <c r="U101">
        <v>2.2251014577613387E-2</v>
      </c>
      <c r="V101" t="s">
        <v>153</v>
      </c>
      <c r="AK101">
        <v>2044</v>
      </c>
      <c r="AL101" t="s">
        <v>147</v>
      </c>
      <c r="AM101">
        <v>0.13789999999999999</v>
      </c>
      <c r="AN101" t="s">
        <v>227</v>
      </c>
    </row>
    <row r="102" spans="9:40" x14ac:dyDescent="0.45">
      <c r="I102" t="s">
        <v>167</v>
      </c>
      <c r="J102" t="s">
        <v>163</v>
      </c>
      <c r="K102">
        <v>0</v>
      </c>
      <c r="L102" t="s">
        <v>153</v>
      </c>
      <c r="N102" t="s">
        <v>196</v>
      </c>
      <c r="O102" t="s">
        <v>163</v>
      </c>
      <c r="P102">
        <v>5.3395515711733184E-3</v>
      </c>
      <c r="Q102" t="s">
        <v>153</v>
      </c>
      <c r="S102" t="s">
        <v>211</v>
      </c>
      <c r="T102" t="s">
        <v>163</v>
      </c>
      <c r="U102">
        <v>3.593972921754683E-3</v>
      </c>
      <c r="V102" t="s">
        <v>153</v>
      </c>
      <c r="AK102">
        <v>2044</v>
      </c>
      <c r="AL102" t="s">
        <v>149</v>
      </c>
      <c r="AM102">
        <v>0.15570000000000001</v>
      </c>
      <c r="AN102" t="s">
        <v>227</v>
      </c>
    </row>
    <row r="103" spans="9:40" x14ac:dyDescent="0.45">
      <c r="I103" t="s">
        <v>167</v>
      </c>
      <c r="J103" t="s">
        <v>164</v>
      </c>
      <c r="K103">
        <v>4.6817282275671113E-2</v>
      </c>
      <c r="L103" t="s">
        <v>153</v>
      </c>
      <c r="N103" t="s">
        <v>196</v>
      </c>
      <c r="O103" t="s">
        <v>164</v>
      </c>
      <c r="P103">
        <v>3.5273972907866116E-2</v>
      </c>
      <c r="Q103" t="s">
        <v>153</v>
      </c>
      <c r="S103" t="s">
        <v>211</v>
      </c>
      <c r="T103" t="s">
        <v>164</v>
      </c>
      <c r="U103">
        <v>2.989327221096889E-2</v>
      </c>
      <c r="V103" t="s">
        <v>153</v>
      </c>
      <c r="AK103">
        <v>2045</v>
      </c>
      <c r="AL103" t="s">
        <v>141</v>
      </c>
      <c r="AM103">
        <v>0.20684</v>
      </c>
      <c r="AN103" t="s">
        <v>227</v>
      </c>
    </row>
    <row r="104" spans="9:40" x14ac:dyDescent="0.45">
      <c r="I104" t="s">
        <v>167</v>
      </c>
      <c r="J104" t="s">
        <v>241</v>
      </c>
      <c r="K104">
        <v>3.8299323772768915E-3</v>
      </c>
      <c r="L104" t="s">
        <v>153</v>
      </c>
      <c r="N104" t="s">
        <v>196</v>
      </c>
      <c r="O104" t="s">
        <v>241</v>
      </c>
      <c r="P104">
        <v>2.9266860481005474E-3</v>
      </c>
      <c r="Q104" t="s">
        <v>153</v>
      </c>
      <c r="S104" t="s">
        <v>211</v>
      </c>
      <c r="T104" t="s">
        <v>241</v>
      </c>
      <c r="U104">
        <v>1.65524001880438E-3</v>
      </c>
      <c r="V104" t="s">
        <v>153</v>
      </c>
      <c r="AK104">
        <v>2045</v>
      </c>
      <c r="AL104" t="s">
        <v>145</v>
      </c>
      <c r="AM104">
        <v>7.8300000000000008E-2</v>
      </c>
      <c r="AN104" t="s">
        <v>227</v>
      </c>
    </row>
    <row r="105" spans="9:40" x14ac:dyDescent="0.45">
      <c r="I105" t="s">
        <v>167</v>
      </c>
      <c r="J105" t="s">
        <v>242</v>
      </c>
      <c r="K105">
        <v>2.2715510878925245E-3</v>
      </c>
      <c r="L105" t="s">
        <v>153</v>
      </c>
      <c r="N105" t="s">
        <v>196</v>
      </c>
      <c r="O105" t="s">
        <v>242</v>
      </c>
      <c r="P105">
        <v>4.4897160419753637E-3</v>
      </c>
      <c r="Q105" t="s">
        <v>153</v>
      </c>
      <c r="S105" t="s">
        <v>211</v>
      </c>
      <c r="T105" t="s">
        <v>242</v>
      </c>
      <c r="U105">
        <v>1.8164703189181533E-3</v>
      </c>
      <c r="V105" t="s">
        <v>153</v>
      </c>
      <c r="AK105">
        <v>2045</v>
      </c>
      <c r="AL105" t="s">
        <v>147</v>
      </c>
      <c r="AM105">
        <v>0.20995</v>
      </c>
      <c r="AN105" t="s">
        <v>227</v>
      </c>
    </row>
    <row r="106" spans="9:40" x14ac:dyDescent="0.45">
      <c r="I106" t="s">
        <v>167</v>
      </c>
      <c r="J106" t="s">
        <v>243</v>
      </c>
      <c r="K106">
        <v>0</v>
      </c>
      <c r="L106" t="s">
        <v>153</v>
      </c>
      <c r="N106" t="s">
        <v>196</v>
      </c>
      <c r="O106" t="s">
        <v>243</v>
      </c>
      <c r="P106">
        <v>3.2355308365476593E-2</v>
      </c>
      <c r="Q106" t="s">
        <v>153</v>
      </c>
      <c r="S106" t="s">
        <v>211</v>
      </c>
      <c r="T106" t="s">
        <v>243</v>
      </c>
      <c r="U106">
        <v>1.1347559077368199E-2</v>
      </c>
      <c r="V106" t="s">
        <v>153</v>
      </c>
      <c r="AK106">
        <v>2045</v>
      </c>
      <c r="AL106" t="s">
        <v>149</v>
      </c>
      <c r="AM106">
        <v>0.33439999999999998</v>
      </c>
      <c r="AN106" t="s">
        <v>227</v>
      </c>
    </row>
    <row r="107" spans="9:40" x14ac:dyDescent="0.45">
      <c r="I107" t="s">
        <v>168</v>
      </c>
      <c r="J107" t="s">
        <v>152</v>
      </c>
      <c r="K107">
        <v>0</v>
      </c>
      <c r="L107" t="s">
        <v>153</v>
      </c>
      <c r="N107" t="s">
        <v>197</v>
      </c>
      <c r="O107" t="s">
        <v>152</v>
      </c>
      <c r="P107">
        <v>0.26096772303923871</v>
      </c>
      <c r="Q107" t="s">
        <v>153</v>
      </c>
      <c r="S107" t="s">
        <v>212</v>
      </c>
      <c r="T107" t="s">
        <v>152</v>
      </c>
      <c r="U107">
        <v>0.26417888065074363</v>
      </c>
      <c r="V107" t="s">
        <v>153</v>
      </c>
      <c r="AK107">
        <v>2046</v>
      </c>
      <c r="AL107" t="s">
        <v>141</v>
      </c>
      <c r="AM107">
        <v>0.26700999999999997</v>
      </c>
      <c r="AN107" t="s">
        <v>227</v>
      </c>
    </row>
    <row r="108" spans="9:40" x14ac:dyDescent="0.45">
      <c r="I108" t="s">
        <v>168</v>
      </c>
      <c r="J108" t="s">
        <v>154</v>
      </c>
      <c r="K108">
        <v>1.86111912276039E-2</v>
      </c>
      <c r="L108" t="s">
        <v>153</v>
      </c>
      <c r="N108" t="s">
        <v>197</v>
      </c>
      <c r="O108" t="s">
        <v>154</v>
      </c>
      <c r="P108">
        <v>2.3781712158879975E-2</v>
      </c>
      <c r="Q108" t="s">
        <v>153</v>
      </c>
      <c r="S108" t="s">
        <v>212</v>
      </c>
      <c r="T108" t="s">
        <v>154</v>
      </c>
      <c r="U108">
        <v>3.6040457274874607E-2</v>
      </c>
      <c r="V108" t="s">
        <v>153</v>
      </c>
      <c r="AK108">
        <v>2046</v>
      </c>
      <c r="AL108" t="s">
        <v>145</v>
      </c>
      <c r="AM108">
        <v>0.12945000000000001</v>
      </c>
      <c r="AN108" t="s">
        <v>227</v>
      </c>
    </row>
    <row r="109" spans="9:40" x14ac:dyDescent="0.45">
      <c r="I109" t="s">
        <v>168</v>
      </c>
      <c r="J109" t="s">
        <v>155</v>
      </c>
      <c r="K109">
        <v>0.67847485344889547</v>
      </c>
      <c r="L109" t="s">
        <v>153</v>
      </c>
      <c r="N109" t="s">
        <v>197</v>
      </c>
      <c r="O109" t="s">
        <v>155</v>
      </c>
      <c r="P109">
        <v>0.15608459349173368</v>
      </c>
      <c r="Q109" t="s">
        <v>153</v>
      </c>
      <c r="S109" t="s">
        <v>212</v>
      </c>
      <c r="T109" t="s">
        <v>155</v>
      </c>
      <c r="U109">
        <v>0.31914633986198288</v>
      </c>
      <c r="V109" t="s">
        <v>153</v>
      </c>
      <c r="AK109">
        <v>2046</v>
      </c>
      <c r="AL109" t="s">
        <v>147</v>
      </c>
      <c r="AM109">
        <v>0.19005</v>
      </c>
      <c r="AN109" t="s">
        <v>227</v>
      </c>
    </row>
    <row r="110" spans="9:40" x14ac:dyDescent="0.45">
      <c r="I110" t="s">
        <v>168</v>
      </c>
      <c r="J110" t="s">
        <v>232</v>
      </c>
      <c r="K110">
        <v>5.0498079052239006E-2</v>
      </c>
      <c r="L110" t="s">
        <v>153</v>
      </c>
      <c r="N110" t="s">
        <v>197</v>
      </c>
      <c r="O110" t="s">
        <v>232</v>
      </c>
      <c r="P110">
        <v>1.4892662615107584E-2</v>
      </c>
      <c r="Q110" t="s">
        <v>153</v>
      </c>
      <c r="S110" t="s">
        <v>212</v>
      </c>
      <c r="T110" t="s">
        <v>232</v>
      </c>
      <c r="U110">
        <v>3.5319112955944122E-2</v>
      </c>
      <c r="V110" t="s">
        <v>153</v>
      </c>
      <c r="AK110">
        <v>2046</v>
      </c>
      <c r="AL110" t="s">
        <v>149</v>
      </c>
      <c r="AM110">
        <v>0.26719999999999999</v>
      </c>
      <c r="AN110" t="s">
        <v>227</v>
      </c>
    </row>
    <row r="111" spans="9:40" x14ac:dyDescent="0.45">
      <c r="I111" t="s">
        <v>168</v>
      </c>
      <c r="J111" t="s">
        <v>233</v>
      </c>
      <c r="K111">
        <v>2.9247754427559534E-2</v>
      </c>
      <c r="L111" t="s">
        <v>153</v>
      </c>
      <c r="N111" t="s">
        <v>197</v>
      </c>
      <c r="O111" t="s">
        <v>233</v>
      </c>
      <c r="P111">
        <v>1.7801189652932547E-2</v>
      </c>
      <c r="Q111" t="s">
        <v>153</v>
      </c>
      <c r="S111" t="s">
        <v>212</v>
      </c>
      <c r="T111" t="s">
        <v>233</v>
      </c>
      <c r="U111">
        <v>3.5965846962157717E-2</v>
      </c>
      <c r="V111" t="s">
        <v>153</v>
      </c>
      <c r="AK111">
        <v>2047</v>
      </c>
      <c r="AL111" t="s">
        <v>141</v>
      </c>
      <c r="AM111">
        <v>0.24546999999999999</v>
      </c>
      <c r="AN111" t="s">
        <v>227</v>
      </c>
    </row>
    <row r="112" spans="9:40" x14ac:dyDescent="0.45">
      <c r="I112" t="s">
        <v>168</v>
      </c>
      <c r="J112" t="s">
        <v>234</v>
      </c>
      <c r="K112">
        <v>2.6045785677822255E-3</v>
      </c>
      <c r="L112" t="s">
        <v>153</v>
      </c>
      <c r="N112" t="s">
        <v>197</v>
      </c>
      <c r="O112" t="s">
        <v>234</v>
      </c>
      <c r="P112">
        <v>0.16723797022030742</v>
      </c>
      <c r="Q112" t="s">
        <v>153</v>
      </c>
      <c r="S112" t="s">
        <v>212</v>
      </c>
      <c r="T112" t="s">
        <v>234</v>
      </c>
      <c r="U112">
        <v>0.18105535685794158</v>
      </c>
      <c r="V112" t="s">
        <v>153</v>
      </c>
      <c r="AK112">
        <v>2047</v>
      </c>
      <c r="AL112" t="s">
        <v>145</v>
      </c>
      <c r="AM112">
        <v>0.15279999999999999</v>
      </c>
      <c r="AN112" t="s">
        <v>227</v>
      </c>
    </row>
    <row r="113" spans="9:40" x14ac:dyDescent="0.45">
      <c r="I113" t="s">
        <v>168</v>
      </c>
      <c r="J113" t="s">
        <v>156</v>
      </c>
      <c r="K113">
        <v>0</v>
      </c>
      <c r="L113" t="s">
        <v>153</v>
      </c>
      <c r="N113" t="s">
        <v>197</v>
      </c>
      <c r="O113" t="s">
        <v>156</v>
      </c>
      <c r="P113">
        <v>4.029331912890774E-2</v>
      </c>
      <c r="Q113" t="s">
        <v>153</v>
      </c>
      <c r="S113" t="s">
        <v>212</v>
      </c>
      <c r="T113" t="s">
        <v>156</v>
      </c>
      <c r="U113">
        <v>4.1605413659460177E-3</v>
      </c>
      <c r="V113" t="s">
        <v>153</v>
      </c>
      <c r="AK113">
        <v>2047</v>
      </c>
      <c r="AL113" t="s">
        <v>147</v>
      </c>
      <c r="AM113">
        <v>0.14860000000000001</v>
      </c>
      <c r="AN113" t="s">
        <v>227</v>
      </c>
    </row>
    <row r="114" spans="9:40" x14ac:dyDescent="0.45">
      <c r="I114" t="s">
        <v>168</v>
      </c>
      <c r="J114" t="s">
        <v>157</v>
      </c>
      <c r="K114">
        <v>3.2520861146551677E-3</v>
      </c>
      <c r="L114" t="s">
        <v>153</v>
      </c>
      <c r="N114" t="s">
        <v>197</v>
      </c>
      <c r="O114" t="s">
        <v>157</v>
      </c>
      <c r="P114">
        <v>5.4365023647181031E-3</v>
      </c>
      <c r="Q114" t="s">
        <v>153</v>
      </c>
      <c r="S114" t="s">
        <v>212</v>
      </c>
      <c r="T114" t="s">
        <v>157</v>
      </c>
      <c r="U114">
        <v>4.4834362614620902E-4</v>
      </c>
      <c r="V114" t="s">
        <v>153</v>
      </c>
      <c r="AK114">
        <v>2047</v>
      </c>
      <c r="AL114" t="s">
        <v>149</v>
      </c>
      <c r="AM114">
        <v>0.18840000000000001</v>
      </c>
      <c r="AN114" t="s">
        <v>227</v>
      </c>
    </row>
    <row r="115" spans="9:40" x14ac:dyDescent="0.45">
      <c r="I115" t="s">
        <v>168</v>
      </c>
      <c r="J115" t="s">
        <v>158</v>
      </c>
      <c r="K115">
        <v>7.3891872960590535E-2</v>
      </c>
      <c r="L115" t="s">
        <v>153</v>
      </c>
      <c r="N115" t="s">
        <v>197</v>
      </c>
      <c r="O115" t="s">
        <v>158</v>
      </c>
      <c r="P115">
        <v>3.3115175365456773E-2</v>
      </c>
      <c r="Q115" t="s">
        <v>153</v>
      </c>
      <c r="S115" t="s">
        <v>212</v>
      </c>
      <c r="T115" t="s">
        <v>158</v>
      </c>
      <c r="U115">
        <v>4.4580526847559565E-3</v>
      </c>
      <c r="V115" t="s">
        <v>153</v>
      </c>
      <c r="AK115">
        <v>2048</v>
      </c>
      <c r="AL115" t="s">
        <v>141</v>
      </c>
      <c r="AM115">
        <v>0.18973999999999999</v>
      </c>
      <c r="AN115" t="s">
        <v>227</v>
      </c>
    </row>
    <row r="116" spans="9:40" x14ac:dyDescent="0.45">
      <c r="I116" t="s">
        <v>168</v>
      </c>
      <c r="J116" t="s">
        <v>235</v>
      </c>
      <c r="K116">
        <v>4.3076260253400419E-3</v>
      </c>
      <c r="L116" t="s">
        <v>153</v>
      </c>
      <c r="N116" t="s">
        <v>197</v>
      </c>
      <c r="O116" t="s">
        <v>235</v>
      </c>
      <c r="P116">
        <v>2.7893310334106405E-3</v>
      </c>
      <c r="Q116" t="s">
        <v>153</v>
      </c>
      <c r="S116" t="s">
        <v>212</v>
      </c>
      <c r="T116" t="s">
        <v>235</v>
      </c>
      <c r="U116">
        <v>2.6490866086465028E-4</v>
      </c>
      <c r="V116" t="s">
        <v>153</v>
      </c>
      <c r="AK116">
        <v>2048</v>
      </c>
      <c r="AL116" t="s">
        <v>145</v>
      </c>
      <c r="AM116">
        <v>0.14255000000000001</v>
      </c>
      <c r="AN116" t="s">
        <v>227</v>
      </c>
    </row>
    <row r="117" spans="9:40" x14ac:dyDescent="0.45">
      <c r="I117" t="s">
        <v>168</v>
      </c>
      <c r="J117" t="s">
        <v>236</v>
      </c>
      <c r="K117">
        <v>2.6273141799597124E-3</v>
      </c>
      <c r="L117" t="s">
        <v>153</v>
      </c>
      <c r="N117" t="s">
        <v>197</v>
      </c>
      <c r="O117" t="s">
        <v>236</v>
      </c>
      <c r="P117">
        <v>3.1649328707071813E-3</v>
      </c>
      <c r="Q117" t="s">
        <v>153</v>
      </c>
      <c r="S117" t="s">
        <v>212</v>
      </c>
      <c r="T117" t="s">
        <v>236</v>
      </c>
      <c r="U117">
        <v>2.6399759566165062E-4</v>
      </c>
      <c r="V117" t="s">
        <v>153</v>
      </c>
      <c r="AK117">
        <v>2048</v>
      </c>
      <c r="AL117" t="s">
        <v>147</v>
      </c>
      <c r="AM117">
        <v>0.22319999999999998</v>
      </c>
      <c r="AN117" t="s">
        <v>227</v>
      </c>
    </row>
    <row r="118" spans="9:40" x14ac:dyDescent="0.45">
      <c r="I118" t="s">
        <v>168</v>
      </c>
      <c r="J118" t="s">
        <v>237</v>
      </c>
      <c r="K118">
        <v>0</v>
      </c>
      <c r="L118" t="s">
        <v>153</v>
      </c>
      <c r="N118" t="s">
        <v>197</v>
      </c>
      <c r="O118" t="s">
        <v>237</v>
      </c>
      <c r="P118">
        <v>2.4563757078068803E-2</v>
      </c>
      <c r="Q118" t="s">
        <v>153</v>
      </c>
      <c r="S118" t="s">
        <v>212</v>
      </c>
      <c r="T118" t="s">
        <v>237</v>
      </c>
      <c r="U118">
        <v>1.9985942022069238E-3</v>
      </c>
      <c r="V118" t="s">
        <v>153</v>
      </c>
      <c r="AK118">
        <v>2048</v>
      </c>
      <c r="AL118" t="s">
        <v>149</v>
      </c>
      <c r="AM118">
        <v>0.26939999999999997</v>
      </c>
      <c r="AN118" t="s">
        <v>227</v>
      </c>
    </row>
    <row r="119" spans="9:40" x14ac:dyDescent="0.45">
      <c r="I119" t="s">
        <v>168</v>
      </c>
      <c r="J119" t="s">
        <v>159</v>
      </c>
      <c r="K119">
        <v>0</v>
      </c>
      <c r="L119" t="s">
        <v>153</v>
      </c>
      <c r="N119" t="s">
        <v>197</v>
      </c>
      <c r="O119" t="s">
        <v>159</v>
      </c>
      <c r="P119">
        <v>5.8161460046322902E-2</v>
      </c>
      <c r="Q119" t="s">
        <v>153</v>
      </c>
      <c r="S119" t="s">
        <v>212</v>
      </c>
      <c r="T119" t="s">
        <v>159</v>
      </c>
      <c r="U119">
        <v>2.0836865838282446E-2</v>
      </c>
      <c r="V119" t="s">
        <v>153</v>
      </c>
      <c r="AK119">
        <v>2049</v>
      </c>
      <c r="AL119" t="s">
        <v>141</v>
      </c>
      <c r="AM119">
        <v>0.20896999999999996</v>
      </c>
      <c r="AN119" t="s">
        <v>227</v>
      </c>
    </row>
    <row r="120" spans="9:40" x14ac:dyDescent="0.45">
      <c r="I120" t="s">
        <v>168</v>
      </c>
      <c r="J120" t="s">
        <v>160</v>
      </c>
      <c r="K120">
        <v>2.0354069834516543E-3</v>
      </c>
      <c r="L120" t="s">
        <v>153</v>
      </c>
      <c r="N120" t="s">
        <v>197</v>
      </c>
      <c r="O120" t="s">
        <v>160</v>
      </c>
      <c r="P120">
        <v>6.7307935003708807E-3</v>
      </c>
      <c r="Q120" t="s">
        <v>153</v>
      </c>
      <c r="S120" t="s">
        <v>212</v>
      </c>
      <c r="T120" t="s">
        <v>160</v>
      </c>
      <c r="U120">
        <v>3.3525163976740424E-3</v>
      </c>
      <c r="V120" t="s">
        <v>153</v>
      </c>
      <c r="AK120">
        <v>2049</v>
      </c>
      <c r="AL120" t="s">
        <v>145</v>
      </c>
      <c r="AM120">
        <v>0.13439999999999999</v>
      </c>
      <c r="AN120" t="s">
        <v>227</v>
      </c>
    </row>
    <row r="121" spans="9:40" x14ac:dyDescent="0.45">
      <c r="I121" t="s">
        <v>168</v>
      </c>
      <c r="J121" t="s">
        <v>161</v>
      </c>
      <c r="K121">
        <v>7.7555204068874367E-2</v>
      </c>
      <c r="L121" t="s">
        <v>153</v>
      </c>
      <c r="N121" t="s">
        <v>197</v>
      </c>
      <c r="O121" t="s">
        <v>161</v>
      </c>
      <c r="P121">
        <v>3.7333272973174812E-2</v>
      </c>
      <c r="Q121" t="s">
        <v>153</v>
      </c>
      <c r="S121" t="s">
        <v>212</v>
      </c>
      <c r="T121" t="s">
        <v>161</v>
      </c>
      <c r="U121">
        <v>2.7966896568492713E-2</v>
      </c>
      <c r="V121" t="s">
        <v>153</v>
      </c>
      <c r="AK121">
        <v>2049</v>
      </c>
      <c r="AL121" t="s">
        <v>147</v>
      </c>
      <c r="AM121">
        <v>0.1429</v>
      </c>
      <c r="AN121" t="s">
        <v>227</v>
      </c>
    </row>
    <row r="122" spans="9:40" x14ac:dyDescent="0.45">
      <c r="I122" t="s">
        <v>168</v>
      </c>
      <c r="J122" t="s">
        <v>238</v>
      </c>
      <c r="K122">
        <v>4.6059656773044227E-3</v>
      </c>
      <c r="L122" t="s">
        <v>153</v>
      </c>
      <c r="N122" t="s">
        <v>197</v>
      </c>
      <c r="O122" t="s">
        <v>238</v>
      </c>
      <c r="P122">
        <v>2.95066038369266E-3</v>
      </c>
      <c r="Q122" t="s">
        <v>153</v>
      </c>
      <c r="S122" t="s">
        <v>212</v>
      </c>
      <c r="T122" t="s">
        <v>238</v>
      </c>
      <c r="U122">
        <v>2.2136198948986977E-3</v>
      </c>
      <c r="V122" t="s">
        <v>153</v>
      </c>
      <c r="AK122">
        <v>2049</v>
      </c>
      <c r="AL122" t="s">
        <v>149</v>
      </c>
      <c r="AM122">
        <v>0.1532</v>
      </c>
      <c r="AN122" t="s">
        <v>227</v>
      </c>
    </row>
    <row r="123" spans="9:40" x14ac:dyDescent="0.45">
      <c r="I123" t="s">
        <v>168</v>
      </c>
      <c r="J123" t="s">
        <v>239</v>
      </c>
      <c r="K123">
        <v>1.7989860347557111E-3</v>
      </c>
      <c r="L123" t="s">
        <v>153</v>
      </c>
      <c r="N123" t="s">
        <v>197</v>
      </c>
      <c r="O123" t="s">
        <v>239</v>
      </c>
      <c r="P123">
        <v>3.650624803104594E-3</v>
      </c>
      <c r="Q123" t="s">
        <v>153</v>
      </c>
      <c r="S123" t="s">
        <v>212</v>
      </c>
      <c r="T123" t="s">
        <v>239</v>
      </c>
      <c r="U123">
        <v>2.271212868006476E-3</v>
      </c>
      <c r="V123" t="s">
        <v>153</v>
      </c>
      <c r="AK123">
        <v>2050</v>
      </c>
      <c r="AL123" t="s">
        <v>141</v>
      </c>
      <c r="AM123">
        <v>0.22615999999999997</v>
      </c>
      <c r="AN123" t="s">
        <v>227</v>
      </c>
    </row>
    <row r="124" spans="9:40" x14ac:dyDescent="0.45">
      <c r="I124" t="s">
        <v>168</v>
      </c>
      <c r="J124" t="s">
        <v>240</v>
      </c>
      <c r="K124">
        <v>0</v>
      </c>
      <c r="L124" t="s">
        <v>153</v>
      </c>
      <c r="N124" t="s">
        <v>197</v>
      </c>
      <c r="O124" t="s">
        <v>240</v>
      </c>
      <c r="P124">
        <v>3.4008028616922689E-2</v>
      </c>
      <c r="Q124" t="s">
        <v>153</v>
      </c>
      <c r="S124" t="s">
        <v>212</v>
      </c>
      <c r="T124" t="s">
        <v>240</v>
      </c>
      <c r="U124">
        <v>1.3140766657729851E-2</v>
      </c>
      <c r="V124" t="s">
        <v>153</v>
      </c>
      <c r="AK124">
        <v>2050</v>
      </c>
      <c r="AL124" t="s">
        <v>145</v>
      </c>
      <c r="AM124">
        <v>0.19500000000000001</v>
      </c>
      <c r="AN124" t="s">
        <v>227</v>
      </c>
    </row>
    <row r="125" spans="9:40" x14ac:dyDescent="0.45">
      <c r="I125" t="s">
        <v>168</v>
      </c>
      <c r="J125" t="s">
        <v>162</v>
      </c>
      <c r="K125">
        <v>0</v>
      </c>
      <c r="L125" t="s">
        <v>153</v>
      </c>
      <c r="N125" t="s">
        <v>197</v>
      </c>
      <c r="O125" t="s">
        <v>162</v>
      </c>
      <c r="P125">
        <v>4.3984380168297081E-2</v>
      </c>
      <c r="Q125" t="s">
        <v>153</v>
      </c>
      <c r="S125" t="s">
        <v>212</v>
      </c>
      <c r="T125" t="s">
        <v>162</v>
      </c>
      <c r="U125">
        <v>1.2683640010622107E-2</v>
      </c>
      <c r="V125" t="s">
        <v>153</v>
      </c>
      <c r="AK125">
        <v>2050</v>
      </c>
      <c r="AL125" t="s">
        <v>147</v>
      </c>
      <c r="AM125">
        <v>0.24059999999999998</v>
      </c>
      <c r="AN125" t="s">
        <v>227</v>
      </c>
    </row>
    <row r="126" spans="9:40" x14ac:dyDescent="0.45">
      <c r="I126" t="s">
        <v>168</v>
      </c>
      <c r="J126" t="s">
        <v>163</v>
      </c>
      <c r="K126">
        <v>0</v>
      </c>
      <c r="L126" t="s">
        <v>153</v>
      </c>
      <c r="N126" t="s">
        <v>197</v>
      </c>
      <c r="O126" t="s">
        <v>163</v>
      </c>
      <c r="P126">
        <v>5.6267250082251037E-3</v>
      </c>
      <c r="Q126" t="s">
        <v>153</v>
      </c>
      <c r="S126" t="s">
        <v>212</v>
      </c>
      <c r="T126" t="s">
        <v>163</v>
      </c>
      <c r="U126">
        <v>2.3236139440133995E-3</v>
      </c>
      <c r="V126" t="s">
        <v>153</v>
      </c>
      <c r="AK126">
        <v>2050</v>
      </c>
      <c r="AL126" t="s">
        <v>149</v>
      </c>
      <c r="AM126">
        <v>0.26319999999999999</v>
      </c>
      <c r="AN126" t="s">
        <v>227</v>
      </c>
    </row>
    <row r="127" spans="9:40" x14ac:dyDescent="0.45">
      <c r="I127" t="s">
        <v>168</v>
      </c>
      <c r="J127" t="s">
        <v>164</v>
      </c>
      <c r="K127">
        <v>4.4366045424731632E-2</v>
      </c>
      <c r="L127" t="s">
        <v>153</v>
      </c>
      <c r="N127" t="s">
        <v>197</v>
      </c>
      <c r="O127" t="s">
        <v>164</v>
      </c>
      <c r="P127">
        <v>2.868035934030615E-2</v>
      </c>
      <c r="Q127" t="s">
        <v>153</v>
      </c>
      <c r="S127" t="s">
        <v>212</v>
      </c>
      <c r="T127" t="s">
        <v>164</v>
      </c>
      <c r="U127">
        <v>2.1274269974395379E-2</v>
      </c>
      <c r="V127" t="s">
        <v>153</v>
      </c>
    </row>
    <row r="128" spans="9:40" x14ac:dyDescent="0.45">
      <c r="I128" t="s">
        <v>168</v>
      </c>
      <c r="J128" t="s">
        <v>241</v>
      </c>
      <c r="K128">
        <v>3.8422267510471583E-3</v>
      </c>
      <c r="L128" t="s">
        <v>153</v>
      </c>
      <c r="N128" t="s">
        <v>197</v>
      </c>
      <c r="O128" t="s">
        <v>241</v>
      </c>
      <c r="P128">
        <v>1.2568765169331687E-3</v>
      </c>
      <c r="Q128" t="s">
        <v>153</v>
      </c>
      <c r="S128" t="s">
        <v>212</v>
      </c>
      <c r="T128" t="s">
        <v>241</v>
      </c>
      <c r="U128">
        <v>1.2511561204290777E-3</v>
      </c>
      <c r="V128" t="s">
        <v>153</v>
      </c>
    </row>
    <row r="129" spans="9:22" x14ac:dyDescent="0.45">
      <c r="I129" t="s">
        <v>168</v>
      </c>
      <c r="J129" t="s">
        <v>242</v>
      </c>
      <c r="K129">
        <v>2.2808090552095587E-3</v>
      </c>
      <c r="L129" t="s">
        <v>153</v>
      </c>
      <c r="N129" t="s">
        <v>197</v>
      </c>
      <c r="O129" t="s">
        <v>242</v>
      </c>
      <c r="P129">
        <v>1.8783700251702171E-3</v>
      </c>
      <c r="Q129" t="s">
        <v>153</v>
      </c>
      <c r="S129" t="s">
        <v>212</v>
      </c>
      <c r="T129" t="s">
        <v>242</v>
      </c>
      <c r="U129">
        <v>1.3710002751353301E-3</v>
      </c>
      <c r="V129" t="s">
        <v>153</v>
      </c>
    </row>
    <row r="130" spans="9:22" x14ac:dyDescent="0.45">
      <c r="I130" t="s">
        <v>168</v>
      </c>
      <c r="J130" t="s">
        <v>243</v>
      </c>
      <c r="K130">
        <v>0</v>
      </c>
      <c r="L130" t="s">
        <v>153</v>
      </c>
      <c r="N130" t="s">
        <v>197</v>
      </c>
      <c r="O130" t="s">
        <v>243</v>
      </c>
      <c r="P130">
        <v>2.560957959801223E-2</v>
      </c>
      <c r="Q130" t="s">
        <v>153</v>
      </c>
      <c r="S130" t="s">
        <v>212</v>
      </c>
      <c r="T130" t="s">
        <v>243</v>
      </c>
      <c r="U130">
        <v>8.0140087510932514E-3</v>
      </c>
      <c r="V130" t="s">
        <v>153</v>
      </c>
    </row>
    <row r="131" spans="9:22" x14ac:dyDescent="0.45">
      <c r="I131" t="s">
        <v>169</v>
      </c>
      <c r="J131" t="s">
        <v>152</v>
      </c>
      <c r="K131">
        <v>0</v>
      </c>
      <c r="L131" t="s">
        <v>153</v>
      </c>
      <c r="N131" t="s">
        <v>198</v>
      </c>
      <c r="O131" t="s">
        <v>152</v>
      </c>
      <c r="P131">
        <v>0.24667070828031712</v>
      </c>
      <c r="Q131" t="s">
        <v>153</v>
      </c>
      <c r="S131" t="s">
        <v>213</v>
      </c>
      <c r="T131" t="s">
        <v>152</v>
      </c>
      <c r="U131">
        <v>0.26190194385876986</v>
      </c>
      <c r="V131" t="s">
        <v>153</v>
      </c>
    </row>
    <row r="132" spans="9:22" x14ac:dyDescent="0.45">
      <c r="I132" t="s">
        <v>169</v>
      </c>
      <c r="J132" t="s">
        <v>154</v>
      </c>
      <c r="K132">
        <v>1.8404489083960546E-2</v>
      </c>
      <c r="L132" t="s">
        <v>153</v>
      </c>
      <c r="N132" t="s">
        <v>198</v>
      </c>
      <c r="O132" t="s">
        <v>154</v>
      </c>
      <c r="P132">
        <v>2.5639320676962653E-2</v>
      </c>
      <c r="Q132" t="s">
        <v>153</v>
      </c>
      <c r="S132" t="s">
        <v>213</v>
      </c>
      <c r="T132" t="s">
        <v>154</v>
      </c>
      <c r="U132">
        <v>3.7091013728278339E-2</v>
      </c>
      <c r="V132" t="s">
        <v>153</v>
      </c>
    </row>
    <row r="133" spans="9:22" x14ac:dyDescent="0.45">
      <c r="I133" t="s">
        <v>169</v>
      </c>
      <c r="J133" t="s">
        <v>155</v>
      </c>
      <c r="K133">
        <v>0.68099623668888287</v>
      </c>
      <c r="L133" t="s">
        <v>153</v>
      </c>
      <c r="N133" t="s">
        <v>198</v>
      </c>
      <c r="O133" t="s">
        <v>155</v>
      </c>
      <c r="P133">
        <v>0.23097961048595422</v>
      </c>
      <c r="Q133" t="s">
        <v>153</v>
      </c>
      <c r="S133" t="s">
        <v>213</v>
      </c>
      <c r="T133" t="s">
        <v>155</v>
      </c>
      <c r="U133">
        <v>0.3328450012607076</v>
      </c>
      <c r="V133" t="s">
        <v>153</v>
      </c>
    </row>
    <row r="134" spans="9:22" x14ac:dyDescent="0.45">
      <c r="I134" t="s">
        <v>169</v>
      </c>
      <c r="J134" t="s">
        <v>232</v>
      </c>
      <c r="K134">
        <v>5.194624059135431E-2</v>
      </c>
      <c r="L134" t="s">
        <v>153</v>
      </c>
      <c r="N134" t="s">
        <v>198</v>
      </c>
      <c r="O134" t="s">
        <v>232</v>
      </c>
      <c r="P134">
        <v>2.224047964823387E-2</v>
      </c>
      <c r="Q134" t="s">
        <v>153</v>
      </c>
      <c r="S134" t="s">
        <v>213</v>
      </c>
      <c r="T134" t="s">
        <v>232</v>
      </c>
      <c r="U134">
        <v>3.559482607363746E-2</v>
      </c>
      <c r="V134" t="s">
        <v>153</v>
      </c>
    </row>
    <row r="135" spans="9:22" x14ac:dyDescent="0.45">
      <c r="I135" t="s">
        <v>169</v>
      </c>
      <c r="J135" t="s">
        <v>233</v>
      </c>
      <c r="K135">
        <v>3.0378522587366501E-2</v>
      </c>
      <c r="L135" t="s">
        <v>153</v>
      </c>
      <c r="N135" t="s">
        <v>198</v>
      </c>
      <c r="O135" t="s">
        <v>233</v>
      </c>
      <c r="P135">
        <v>2.5111021914794418E-2</v>
      </c>
      <c r="Q135" t="s">
        <v>153</v>
      </c>
      <c r="S135" t="s">
        <v>213</v>
      </c>
      <c r="T135" t="s">
        <v>233</v>
      </c>
      <c r="U135">
        <v>3.5733987014141433E-2</v>
      </c>
      <c r="V135" t="s">
        <v>153</v>
      </c>
    </row>
    <row r="136" spans="9:22" x14ac:dyDescent="0.45">
      <c r="I136" t="s">
        <v>169</v>
      </c>
      <c r="J136" t="s">
        <v>234</v>
      </c>
      <c r="K136">
        <v>3.0771783217060362E-3</v>
      </c>
      <c r="L136" t="s">
        <v>153</v>
      </c>
      <c r="N136" t="s">
        <v>198</v>
      </c>
      <c r="O136" t="s">
        <v>234</v>
      </c>
      <c r="P136">
        <v>0.17153175405419152</v>
      </c>
      <c r="Q136" t="s">
        <v>153</v>
      </c>
      <c r="S136" t="s">
        <v>213</v>
      </c>
      <c r="T136" t="s">
        <v>234</v>
      </c>
      <c r="U136">
        <v>0.17595317814794267</v>
      </c>
      <c r="V136" t="s">
        <v>153</v>
      </c>
    </row>
    <row r="137" spans="9:22" x14ac:dyDescent="0.45">
      <c r="I137" t="s">
        <v>169</v>
      </c>
      <c r="J137" t="s">
        <v>156</v>
      </c>
      <c r="K137">
        <v>0</v>
      </c>
      <c r="L137" t="s">
        <v>153</v>
      </c>
      <c r="N137" t="s">
        <v>198</v>
      </c>
      <c r="O137" t="s">
        <v>156</v>
      </c>
      <c r="P137">
        <v>2.6846619845424802E-2</v>
      </c>
      <c r="Q137" t="s">
        <v>153</v>
      </c>
      <c r="S137" t="s">
        <v>213</v>
      </c>
      <c r="T137" t="s">
        <v>156</v>
      </c>
      <c r="U137">
        <v>3.921219453602371E-3</v>
      </c>
      <c r="V137" t="s">
        <v>153</v>
      </c>
    </row>
    <row r="138" spans="9:22" x14ac:dyDescent="0.45">
      <c r="I138" t="s">
        <v>169</v>
      </c>
      <c r="J138" t="s">
        <v>157</v>
      </c>
      <c r="K138">
        <v>2.9216404466226547E-3</v>
      </c>
      <c r="L138" t="s">
        <v>153</v>
      </c>
      <c r="N138" t="s">
        <v>198</v>
      </c>
      <c r="O138" t="s">
        <v>157</v>
      </c>
      <c r="P138">
        <v>4.6589845624002224E-3</v>
      </c>
      <c r="Q138" t="s">
        <v>153</v>
      </c>
      <c r="S138" t="s">
        <v>213</v>
      </c>
      <c r="T138" t="s">
        <v>157</v>
      </c>
      <c r="U138">
        <v>4.5292724064864879E-4</v>
      </c>
      <c r="V138" t="s">
        <v>153</v>
      </c>
    </row>
    <row r="139" spans="9:22" x14ac:dyDescent="0.45">
      <c r="I139" t="s">
        <v>169</v>
      </c>
      <c r="J139" t="s">
        <v>158</v>
      </c>
      <c r="K139">
        <v>7.0767131242760281E-2</v>
      </c>
      <c r="L139" t="s">
        <v>153</v>
      </c>
      <c r="N139" t="s">
        <v>198</v>
      </c>
      <c r="O139" t="s">
        <v>158</v>
      </c>
      <c r="P139">
        <v>2.806209285431463E-2</v>
      </c>
      <c r="Q139" t="s">
        <v>153</v>
      </c>
      <c r="S139" t="s">
        <v>213</v>
      </c>
      <c r="T139" t="s">
        <v>158</v>
      </c>
      <c r="U139">
        <v>4.0946251510712416E-3</v>
      </c>
      <c r="V139" t="s">
        <v>153</v>
      </c>
    </row>
    <row r="140" spans="9:22" x14ac:dyDescent="0.45">
      <c r="I140" t="s">
        <v>169</v>
      </c>
      <c r="J140" t="s">
        <v>235</v>
      </c>
      <c r="K140">
        <v>4.3721151992519606E-3</v>
      </c>
      <c r="L140" t="s">
        <v>153</v>
      </c>
      <c r="N140" t="s">
        <v>198</v>
      </c>
      <c r="O140" t="s">
        <v>235</v>
      </c>
      <c r="P140">
        <v>1.8716664196681409E-3</v>
      </c>
      <c r="Q140" t="s">
        <v>153</v>
      </c>
      <c r="S140" t="s">
        <v>213</v>
      </c>
      <c r="T140" t="s">
        <v>235</v>
      </c>
      <c r="U140">
        <v>2.7788344118124332E-4</v>
      </c>
      <c r="V140" t="s">
        <v>153</v>
      </c>
    </row>
    <row r="141" spans="9:22" x14ac:dyDescent="0.45">
      <c r="I141" t="s">
        <v>169</v>
      </c>
      <c r="J141" t="s">
        <v>236</v>
      </c>
      <c r="K141">
        <v>2.2476571797141408E-3</v>
      </c>
      <c r="L141" t="s">
        <v>153</v>
      </c>
      <c r="N141" t="s">
        <v>198</v>
      </c>
      <c r="O141" t="s">
        <v>236</v>
      </c>
      <c r="P141">
        <v>2.4054084860047403E-3</v>
      </c>
      <c r="Q141" t="s">
        <v>153</v>
      </c>
      <c r="S141" t="s">
        <v>213</v>
      </c>
      <c r="T141" t="s">
        <v>236</v>
      </c>
      <c r="U141">
        <v>2.8138646313715965E-4</v>
      </c>
      <c r="V141" t="s">
        <v>153</v>
      </c>
    </row>
    <row r="142" spans="9:22" x14ac:dyDescent="0.45">
      <c r="I142" t="s">
        <v>169</v>
      </c>
      <c r="J142" t="s">
        <v>237</v>
      </c>
      <c r="K142">
        <v>0</v>
      </c>
      <c r="L142" t="s">
        <v>153</v>
      </c>
      <c r="N142" t="s">
        <v>198</v>
      </c>
      <c r="O142" t="s">
        <v>237</v>
      </c>
      <c r="P142">
        <v>1.6199666420722531E-2</v>
      </c>
      <c r="Q142" t="s">
        <v>153</v>
      </c>
      <c r="S142" t="s">
        <v>213</v>
      </c>
      <c r="T142" t="s">
        <v>237</v>
      </c>
      <c r="U142">
        <v>1.7687577927503707E-3</v>
      </c>
      <c r="V142" t="s">
        <v>153</v>
      </c>
    </row>
    <row r="143" spans="9:22" x14ac:dyDescent="0.45">
      <c r="I143" t="s">
        <v>169</v>
      </c>
      <c r="J143" t="s">
        <v>159</v>
      </c>
      <c r="K143">
        <v>0</v>
      </c>
      <c r="L143" t="s">
        <v>153</v>
      </c>
      <c r="N143" t="s">
        <v>198</v>
      </c>
      <c r="O143" t="s">
        <v>159</v>
      </c>
      <c r="P143">
        <v>4.6680329345503903E-2</v>
      </c>
      <c r="Q143" t="s">
        <v>153</v>
      </c>
      <c r="S143" t="s">
        <v>213</v>
      </c>
      <c r="T143" t="s">
        <v>159</v>
      </c>
      <c r="U143">
        <v>1.9331091406054882E-2</v>
      </c>
      <c r="V143" t="s">
        <v>153</v>
      </c>
    </row>
    <row r="144" spans="9:22" x14ac:dyDescent="0.45">
      <c r="I144" t="s">
        <v>169</v>
      </c>
      <c r="J144" t="s">
        <v>160</v>
      </c>
      <c r="K144">
        <v>1.3183161746225839E-3</v>
      </c>
      <c r="L144" t="s">
        <v>153</v>
      </c>
      <c r="N144" t="s">
        <v>198</v>
      </c>
      <c r="O144" t="s">
        <v>160</v>
      </c>
      <c r="P144">
        <v>6.5656485916504729E-3</v>
      </c>
      <c r="Q144" t="s">
        <v>153</v>
      </c>
      <c r="S144" t="s">
        <v>213</v>
      </c>
      <c r="T144" t="s">
        <v>160</v>
      </c>
      <c r="U144">
        <v>3.2038280359999141E-3</v>
      </c>
      <c r="V144" t="s">
        <v>153</v>
      </c>
    </row>
    <row r="145" spans="9:22" x14ac:dyDescent="0.45">
      <c r="I145" t="s">
        <v>169</v>
      </c>
      <c r="J145" t="s">
        <v>161</v>
      </c>
      <c r="K145">
        <v>7.6245132505029387E-2</v>
      </c>
      <c r="L145" t="s">
        <v>153</v>
      </c>
      <c r="N145" t="s">
        <v>198</v>
      </c>
      <c r="O145" t="s">
        <v>161</v>
      </c>
      <c r="P145">
        <v>3.3395877404677005E-2</v>
      </c>
      <c r="Q145" t="s">
        <v>153</v>
      </c>
      <c r="S145" t="s">
        <v>213</v>
      </c>
      <c r="T145" t="s">
        <v>161</v>
      </c>
      <c r="U145">
        <v>2.7542428909461826E-2</v>
      </c>
      <c r="V145" t="s">
        <v>153</v>
      </c>
    </row>
    <row r="146" spans="9:22" x14ac:dyDescent="0.45">
      <c r="I146" t="s">
        <v>169</v>
      </c>
      <c r="J146" t="s">
        <v>238</v>
      </c>
      <c r="K146">
        <v>4.4726813292372443E-3</v>
      </c>
      <c r="L146" t="s">
        <v>153</v>
      </c>
      <c r="N146" t="s">
        <v>198</v>
      </c>
      <c r="O146" t="s">
        <v>238</v>
      </c>
      <c r="P146">
        <v>1.1514751601858176E-3</v>
      </c>
      <c r="Q146" t="s">
        <v>153</v>
      </c>
      <c r="S146" t="s">
        <v>213</v>
      </c>
      <c r="T146" t="s">
        <v>238</v>
      </c>
      <c r="U146">
        <v>2.1991819779685474E-3</v>
      </c>
      <c r="V146" t="s">
        <v>153</v>
      </c>
    </row>
    <row r="147" spans="9:22" x14ac:dyDescent="0.45">
      <c r="I147" t="s">
        <v>169</v>
      </c>
      <c r="J147" t="s">
        <v>239</v>
      </c>
      <c r="K147">
        <v>9.5597411056220051E-4</v>
      </c>
      <c r="L147" t="s">
        <v>153</v>
      </c>
      <c r="N147" t="s">
        <v>198</v>
      </c>
      <c r="O147" t="s">
        <v>239</v>
      </c>
      <c r="P147">
        <v>1.4394106371198314E-3</v>
      </c>
      <c r="Q147" t="s">
        <v>153</v>
      </c>
      <c r="S147" t="s">
        <v>213</v>
      </c>
      <c r="T147" t="s">
        <v>239</v>
      </c>
      <c r="U147">
        <v>2.1767125977441583E-3</v>
      </c>
      <c r="V147" t="s">
        <v>153</v>
      </c>
    </row>
    <row r="148" spans="9:22" x14ac:dyDescent="0.45">
      <c r="I148" t="s">
        <v>169</v>
      </c>
      <c r="J148" t="s">
        <v>240</v>
      </c>
      <c r="K148">
        <v>0</v>
      </c>
      <c r="L148" t="s">
        <v>153</v>
      </c>
      <c r="N148" t="s">
        <v>198</v>
      </c>
      <c r="O148" t="s">
        <v>240</v>
      </c>
      <c r="P148">
        <v>1.8044691344687617E-2</v>
      </c>
      <c r="Q148" t="s">
        <v>153</v>
      </c>
      <c r="S148" t="s">
        <v>213</v>
      </c>
      <c r="T148" t="s">
        <v>240</v>
      </c>
      <c r="U148">
        <v>1.1915182438739546E-2</v>
      </c>
      <c r="V148" t="s">
        <v>153</v>
      </c>
    </row>
    <row r="149" spans="9:22" x14ac:dyDescent="0.45">
      <c r="I149" t="s">
        <v>169</v>
      </c>
      <c r="J149" t="s">
        <v>162</v>
      </c>
      <c r="K149">
        <v>0</v>
      </c>
      <c r="L149" t="s">
        <v>153</v>
      </c>
      <c r="N149" t="s">
        <v>198</v>
      </c>
      <c r="O149" t="s">
        <v>162</v>
      </c>
      <c r="P149">
        <v>4.1960326824070499E-2</v>
      </c>
      <c r="Q149" t="s">
        <v>153</v>
      </c>
      <c r="S149" t="s">
        <v>213</v>
      </c>
      <c r="T149" t="s">
        <v>162</v>
      </c>
      <c r="U149">
        <v>1.1475464431243608E-2</v>
      </c>
      <c r="V149" t="s">
        <v>153</v>
      </c>
    </row>
    <row r="150" spans="9:22" x14ac:dyDescent="0.45">
      <c r="I150" t="s">
        <v>169</v>
      </c>
      <c r="J150" t="s">
        <v>163</v>
      </c>
      <c r="K150">
        <v>0</v>
      </c>
      <c r="L150" t="s">
        <v>153</v>
      </c>
      <c r="N150" t="s">
        <v>198</v>
      </c>
      <c r="O150" t="s">
        <v>163</v>
      </c>
      <c r="P150">
        <v>5.5056019964578578E-3</v>
      </c>
      <c r="Q150" t="s">
        <v>153</v>
      </c>
      <c r="S150" t="s">
        <v>213</v>
      </c>
      <c r="T150" t="s">
        <v>163</v>
      </c>
      <c r="U150">
        <v>2.0837163114955154E-3</v>
      </c>
      <c r="V150" t="s">
        <v>153</v>
      </c>
    </row>
    <row r="151" spans="9:22" x14ac:dyDescent="0.45">
      <c r="I151" t="s">
        <v>169</v>
      </c>
      <c r="J151" t="s">
        <v>164</v>
      </c>
      <c r="K151">
        <v>4.5780363500189339E-2</v>
      </c>
      <c r="L151" t="s">
        <v>153</v>
      </c>
      <c r="N151" t="s">
        <v>198</v>
      </c>
      <c r="O151" t="s">
        <v>164</v>
      </c>
      <c r="P151">
        <v>2.6000943707596175E-2</v>
      </c>
      <c r="Q151" t="s">
        <v>153</v>
      </c>
      <c r="S151" t="s">
        <v>213</v>
      </c>
      <c r="T151" t="s">
        <v>164</v>
      </c>
      <c r="U151">
        <v>1.9905882676203523E-2</v>
      </c>
      <c r="V151" t="s">
        <v>153</v>
      </c>
    </row>
    <row r="152" spans="9:22" x14ac:dyDescent="0.45">
      <c r="I152" t="s">
        <v>169</v>
      </c>
      <c r="J152" t="s">
        <v>241</v>
      </c>
      <c r="K152">
        <v>3.8039807511732206E-3</v>
      </c>
      <c r="L152" t="s">
        <v>153</v>
      </c>
      <c r="N152" t="s">
        <v>198</v>
      </c>
      <c r="O152" t="s">
        <v>241</v>
      </c>
      <c r="P152">
        <v>9.5385141278401544E-4</v>
      </c>
      <c r="Q152" t="s">
        <v>153</v>
      </c>
      <c r="S152" t="s">
        <v>213</v>
      </c>
      <c r="T152" t="s">
        <v>241</v>
      </c>
      <c r="U152">
        <v>1.2067456103609471E-3</v>
      </c>
      <c r="V152" t="s">
        <v>153</v>
      </c>
    </row>
    <row r="153" spans="9:22" x14ac:dyDescent="0.45">
      <c r="I153" t="s">
        <v>169</v>
      </c>
      <c r="J153" t="s">
        <v>242</v>
      </c>
      <c r="K153">
        <v>2.3123402875689417E-3</v>
      </c>
      <c r="L153" t="s">
        <v>153</v>
      </c>
      <c r="N153" t="s">
        <v>198</v>
      </c>
      <c r="O153" t="s">
        <v>242</v>
      </c>
      <c r="P153">
        <v>1.2256664523437855E-3</v>
      </c>
      <c r="Q153" t="s">
        <v>153</v>
      </c>
      <c r="S153" t="s">
        <v>213</v>
      </c>
      <c r="T153" t="s">
        <v>242</v>
      </c>
      <c r="U153">
        <v>1.316450867639034E-3</v>
      </c>
      <c r="V153" t="s">
        <v>153</v>
      </c>
    </row>
    <row r="154" spans="9:22" x14ac:dyDescent="0.45">
      <c r="I154" t="s">
        <v>169</v>
      </c>
      <c r="J154" t="s">
        <v>243</v>
      </c>
      <c r="K154">
        <v>0</v>
      </c>
      <c r="L154" t="s">
        <v>153</v>
      </c>
      <c r="N154" t="s">
        <v>198</v>
      </c>
      <c r="O154" t="s">
        <v>243</v>
      </c>
      <c r="P154">
        <v>1.4858843473933892E-2</v>
      </c>
      <c r="Q154" t="s">
        <v>153</v>
      </c>
      <c r="S154" t="s">
        <v>213</v>
      </c>
      <c r="T154" t="s">
        <v>243</v>
      </c>
      <c r="U154">
        <v>7.7265651112180846E-3</v>
      </c>
      <c r="V154" t="s">
        <v>153</v>
      </c>
    </row>
    <row r="155" spans="9:22" x14ac:dyDescent="0.45">
      <c r="I155" t="s">
        <v>170</v>
      </c>
      <c r="J155" t="s">
        <v>152</v>
      </c>
      <c r="K155">
        <v>0</v>
      </c>
      <c r="L155" t="s">
        <v>153</v>
      </c>
      <c r="N155" t="s">
        <v>199</v>
      </c>
      <c r="O155" t="s">
        <v>152</v>
      </c>
      <c r="P155">
        <v>0.27090800426662653</v>
      </c>
      <c r="Q155" t="s">
        <v>153</v>
      </c>
      <c r="S155" t="s">
        <v>214</v>
      </c>
      <c r="T155" t="s">
        <v>152</v>
      </c>
      <c r="U155">
        <v>0.23924238572214937</v>
      </c>
      <c r="V155" t="s">
        <v>153</v>
      </c>
    </row>
    <row r="156" spans="9:22" x14ac:dyDescent="0.45">
      <c r="I156" t="s">
        <v>170</v>
      </c>
      <c r="J156" t="s">
        <v>154</v>
      </c>
      <c r="K156">
        <v>2.0947867929096774E-2</v>
      </c>
      <c r="L156" t="s">
        <v>153</v>
      </c>
      <c r="N156" t="s">
        <v>199</v>
      </c>
      <c r="O156" t="s">
        <v>154</v>
      </c>
      <c r="P156">
        <v>2.4660980789136828E-2</v>
      </c>
      <c r="Q156" t="s">
        <v>153</v>
      </c>
      <c r="S156" t="s">
        <v>214</v>
      </c>
      <c r="T156" t="s">
        <v>154</v>
      </c>
      <c r="U156">
        <v>3.1532737627064523E-2</v>
      </c>
      <c r="V156" t="s">
        <v>153</v>
      </c>
    </row>
    <row r="157" spans="9:22" x14ac:dyDescent="0.45">
      <c r="I157" t="s">
        <v>170</v>
      </c>
      <c r="J157" t="s">
        <v>155</v>
      </c>
      <c r="K157">
        <v>0.67942836833980758</v>
      </c>
      <c r="L157" t="s">
        <v>153</v>
      </c>
      <c r="N157" t="s">
        <v>199</v>
      </c>
      <c r="O157" t="s">
        <v>155</v>
      </c>
      <c r="P157">
        <v>0.19212394253402751</v>
      </c>
      <c r="Q157" t="s">
        <v>153</v>
      </c>
      <c r="S157" t="s">
        <v>214</v>
      </c>
      <c r="T157" t="s">
        <v>155</v>
      </c>
      <c r="U157">
        <v>0.29391406997076441</v>
      </c>
      <c r="V157" t="s">
        <v>153</v>
      </c>
    </row>
    <row r="158" spans="9:22" x14ac:dyDescent="0.45">
      <c r="I158" t="s">
        <v>170</v>
      </c>
      <c r="J158" t="s">
        <v>232</v>
      </c>
      <c r="K158">
        <v>4.8959441704320254E-2</v>
      </c>
      <c r="L158" t="s">
        <v>153</v>
      </c>
      <c r="N158" t="s">
        <v>199</v>
      </c>
      <c r="O158" t="s">
        <v>232</v>
      </c>
      <c r="P158">
        <v>1.6870316774981964E-2</v>
      </c>
      <c r="Q158" t="s">
        <v>153</v>
      </c>
      <c r="S158" t="s">
        <v>214</v>
      </c>
      <c r="T158" t="s">
        <v>232</v>
      </c>
      <c r="U158">
        <v>3.2435691416807917E-2</v>
      </c>
      <c r="V158" t="s">
        <v>153</v>
      </c>
    </row>
    <row r="159" spans="9:22" x14ac:dyDescent="0.45">
      <c r="I159" t="s">
        <v>170</v>
      </c>
      <c r="J159" t="s">
        <v>233</v>
      </c>
      <c r="K159">
        <v>2.7602530365926154E-2</v>
      </c>
      <c r="L159" t="s">
        <v>153</v>
      </c>
      <c r="N159" t="s">
        <v>199</v>
      </c>
      <c r="O159" t="s">
        <v>233</v>
      </c>
      <c r="P159">
        <v>1.9062015124920954E-2</v>
      </c>
      <c r="Q159" t="s">
        <v>153</v>
      </c>
      <c r="S159" t="s">
        <v>214</v>
      </c>
      <c r="T159" t="s">
        <v>233</v>
      </c>
      <c r="U159">
        <v>3.3831902901572258E-2</v>
      </c>
      <c r="V159" t="s">
        <v>153</v>
      </c>
    </row>
    <row r="160" spans="9:22" x14ac:dyDescent="0.45">
      <c r="I160" t="s">
        <v>170</v>
      </c>
      <c r="J160" t="s">
        <v>234</v>
      </c>
      <c r="K160">
        <v>5.9085726854175467E-4</v>
      </c>
      <c r="L160" t="s">
        <v>153</v>
      </c>
      <c r="N160" t="s">
        <v>199</v>
      </c>
      <c r="O160" t="s">
        <v>234</v>
      </c>
      <c r="P160">
        <v>0.17124868020625783</v>
      </c>
      <c r="Q160" t="s">
        <v>153</v>
      </c>
      <c r="S160" t="s">
        <v>214</v>
      </c>
      <c r="T160" t="s">
        <v>234</v>
      </c>
      <c r="U160">
        <v>0.17479322971553954</v>
      </c>
      <c r="V160" t="s">
        <v>153</v>
      </c>
    </row>
    <row r="161" spans="9:22" x14ac:dyDescent="0.45">
      <c r="I161" t="s">
        <v>170</v>
      </c>
      <c r="J161" t="s">
        <v>156</v>
      </c>
      <c r="K161">
        <v>0</v>
      </c>
      <c r="L161" t="s">
        <v>153</v>
      </c>
      <c r="N161" t="s">
        <v>199</v>
      </c>
      <c r="O161" t="s">
        <v>156</v>
      </c>
      <c r="P161">
        <v>3.2382834392333415E-2</v>
      </c>
      <c r="Q161" t="s">
        <v>153</v>
      </c>
      <c r="S161" t="s">
        <v>214</v>
      </c>
      <c r="T161" t="s">
        <v>156</v>
      </c>
      <c r="U161">
        <v>4.6126865380990874E-3</v>
      </c>
      <c r="V161" t="s">
        <v>153</v>
      </c>
    </row>
    <row r="162" spans="9:22" x14ac:dyDescent="0.45">
      <c r="I162" t="s">
        <v>170</v>
      </c>
      <c r="J162" t="s">
        <v>157</v>
      </c>
      <c r="K162">
        <v>3.7676343341500867E-3</v>
      </c>
      <c r="L162" t="s">
        <v>153</v>
      </c>
      <c r="N162" t="s">
        <v>199</v>
      </c>
      <c r="O162" t="s">
        <v>157</v>
      </c>
      <c r="P162">
        <v>4.6285253987988556E-3</v>
      </c>
      <c r="Q162" t="s">
        <v>153</v>
      </c>
      <c r="S162" t="s">
        <v>214</v>
      </c>
      <c r="T162" t="s">
        <v>157</v>
      </c>
      <c r="U162">
        <v>8.1561233075667049E-4</v>
      </c>
      <c r="V162" t="s">
        <v>153</v>
      </c>
    </row>
    <row r="163" spans="9:22" x14ac:dyDescent="0.45">
      <c r="I163" t="s">
        <v>170</v>
      </c>
      <c r="J163" t="s">
        <v>158</v>
      </c>
      <c r="K163">
        <v>7.6776789603949971E-2</v>
      </c>
      <c r="L163" t="s">
        <v>153</v>
      </c>
      <c r="N163" t="s">
        <v>199</v>
      </c>
      <c r="O163" t="s">
        <v>158</v>
      </c>
      <c r="P163">
        <v>3.6891898510646344E-2</v>
      </c>
      <c r="Q163" t="s">
        <v>153</v>
      </c>
      <c r="S163" t="s">
        <v>214</v>
      </c>
      <c r="T163" t="s">
        <v>158</v>
      </c>
      <c r="U163">
        <v>6.259623481554762E-3</v>
      </c>
      <c r="V163" t="s">
        <v>153</v>
      </c>
    </row>
    <row r="164" spans="9:22" x14ac:dyDescent="0.45">
      <c r="I164" t="s">
        <v>170</v>
      </c>
      <c r="J164" t="s">
        <v>235</v>
      </c>
      <c r="K164">
        <v>4.3896495095775128E-3</v>
      </c>
      <c r="L164" t="s">
        <v>153</v>
      </c>
      <c r="N164" t="s">
        <v>199</v>
      </c>
      <c r="O164" t="s">
        <v>235</v>
      </c>
      <c r="P164">
        <v>2.4148095240638756E-3</v>
      </c>
      <c r="Q164" t="s">
        <v>153</v>
      </c>
      <c r="S164" t="s">
        <v>214</v>
      </c>
      <c r="T164" t="s">
        <v>235</v>
      </c>
      <c r="U164">
        <v>3.264874344724858E-4</v>
      </c>
      <c r="V164" t="s">
        <v>153</v>
      </c>
    </row>
    <row r="165" spans="9:22" x14ac:dyDescent="0.45">
      <c r="I165" t="s">
        <v>170</v>
      </c>
      <c r="J165" t="s">
        <v>236</v>
      </c>
      <c r="K165">
        <v>1.2013405806846078E-3</v>
      </c>
      <c r="L165" t="s">
        <v>153</v>
      </c>
      <c r="N165" t="s">
        <v>199</v>
      </c>
      <c r="O165" t="s">
        <v>236</v>
      </c>
      <c r="P165">
        <v>2.878986867990865E-3</v>
      </c>
      <c r="Q165" t="s">
        <v>153</v>
      </c>
      <c r="S165" t="s">
        <v>214</v>
      </c>
      <c r="T165" t="s">
        <v>236</v>
      </c>
      <c r="U165">
        <v>4.5800519260353283E-4</v>
      </c>
      <c r="V165" t="s">
        <v>153</v>
      </c>
    </row>
    <row r="166" spans="9:22" x14ac:dyDescent="0.45">
      <c r="I166" t="s">
        <v>170</v>
      </c>
      <c r="J166" t="s">
        <v>237</v>
      </c>
      <c r="K166">
        <v>0</v>
      </c>
      <c r="L166" t="s">
        <v>153</v>
      </c>
      <c r="N166" t="s">
        <v>199</v>
      </c>
      <c r="O166" t="s">
        <v>237</v>
      </c>
      <c r="P166">
        <v>1.9021049840846911E-2</v>
      </c>
      <c r="Q166" t="s">
        <v>153</v>
      </c>
      <c r="S166" t="s">
        <v>214</v>
      </c>
      <c r="T166" t="s">
        <v>237</v>
      </c>
      <c r="U166">
        <v>3.6333571803009944E-3</v>
      </c>
      <c r="V166" t="s">
        <v>153</v>
      </c>
    </row>
    <row r="167" spans="9:22" x14ac:dyDescent="0.45">
      <c r="I167" t="s">
        <v>170</v>
      </c>
      <c r="J167" t="s">
        <v>159</v>
      </c>
      <c r="K167">
        <v>0</v>
      </c>
      <c r="L167" t="s">
        <v>153</v>
      </c>
      <c r="N167" t="s">
        <v>199</v>
      </c>
      <c r="O167" t="s">
        <v>159</v>
      </c>
      <c r="P167">
        <v>4.5641520632818552E-2</v>
      </c>
      <c r="Q167" t="s">
        <v>153</v>
      </c>
      <c r="S167" t="s">
        <v>214</v>
      </c>
      <c r="T167" t="s">
        <v>159</v>
      </c>
      <c r="U167">
        <v>3.3466040530537443E-2</v>
      </c>
      <c r="V167" t="s">
        <v>153</v>
      </c>
    </row>
    <row r="168" spans="9:22" x14ac:dyDescent="0.45">
      <c r="I168" t="s">
        <v>170</v>
      </c>
      <c r="J168" t="s">
        <v>160</v>
      </c>
      <c r="K168">
        <v>3.5895491576029451E-3</v>
      </c>
      <c r="L168" t="s">
        <v>153</v>
      </c>
      <c r="N168" t="s">
        <v>199</v>
      </c>
      <c r="O168" t="s">
        <v>160</v>
      </c>
      <c r="P168">
        <v>5.4199774770683313E-3</v>
      </c>
      <c r="Q168" t="s">
        <v>153</v>
      </c>
      <c r="S168" t="s">
        <v>214</v>
      </c>
      <c r="T168" t="s">
        <v>160</v>
      </c>
      <c r="U168">
        <v>5.2173720332474955E-3</v>
      </c>
      <c r="V168" t="s">
        <v>153</v>
      </c>
    </row>
    <row r="169" spans="9:22" x14ac:dyDescent="0.45">
      <c r="I169" t="s">
        <v>170</v>
      </c>
      <c r="J169" t="s">
        <v>161</v>
      </c>
      <c r="K169">
        <v>8.0280475002743032E-2</v>
      </c>
      <c r="L169" t="s">
        <v>153</v>
      </c>
      <c r="N169" t="s">
        <v>199</v>
      </c>
      <c r="O169" t="s">
        <v>161</v>
      </c>
      <c r="P169">
        <v>4.2757654962927334E-2</v>
      </c>
      <c r="Q169" t="s">
        <v>153</v>
      </c>
      <c r="S169" t="s">
        <v>214</v>
      </c>
      <c r="T169" t="s">
        <v>161</v>
      </c>
      <c r="U169">
        <v>3.9238151092179013E-2</v>
      </c>
      <c r="V169" t="s">
        <v>153</v>
      </c>
    </row>
    <row r="170" spans="9:22" x14ac:dyDescent="0.45">
      <c r="I170" t="s">
        <v>170</v>
      </c>
      <c r="J170" t="s">
        <v>238</v>
      </c>
      <c r="K170">
        <v>4.5934450299611497E-3</v>
      </c>
      <c r="L170" t="s">
        <v>153</v>
      </c>
      <c r="N170" t="s">
        <v>199</v>
      </c>
      <c r="O170" t="s">
        <v>238</v>
      </c>
      <c r="P170">
        <v>2.5332012772919374E-3</v>
      </c>
      <c r="Q170" t="s">
        <v>153</v>
      </c>
      <c r="S170" t="s">
        <v>214</v>
      </c>
      <c r="T170" t="s">
        <v>238</v>
      </c>
      <c r="U170">
        <v>3.1410407601041189E-3</v>
      </c>
      <c r="V170" t="s">
        <v>153</v>
      </c>
    </row>
    <row r="171" spans="9:22" x14ac:dyDescent="0.45">
      <c r="I171" t="s">
        <v>170</v>
      </c>
      <c r="J171" t="s">
        <v>239</v>
      </c>
      <c r="K171">
        <v>4.2879715995551558E-5</v>
      </c>
      <c r="L171" t="s">
        <v>153</v>
      </c>
      <c r="N171" t="s">
        <v>199</v>
      </c>
      <c r="O171" t="s">
        <v>239</v>
      </c>
      <c r="P171">
        <v>3.116431651472041E-3</v>
      </c>
      <c r="Q171" t="s">
        <v>153</v>
      </c>
      <c r="S171" t="s">
        <v>214</v>
      </c>
      <c r="T171" t="s">
        <v>239</v>
      </c>
      <c r="U171">
        <v>3.5153729588775608E-3</v>
      </c>
      <c r="V171" t="s">
        <v>153</v>
      </c>
    </row>
    <row r="172" spans="9:22" x14ac:dyDescent="0.45">
      <c r="I172" t="s">
        <v>170</v>
      </c>
      <c r="J172" t="s">
        <v>240</v>
      </c>
      <c r="K172">
        <v>0</v>
      </c>
      <c r="L172" t="s">
        <v>153</v>
      </c>
      <c r="N172" t="s">
        <v>199</v>
      </c>
      <c r="O172" t="s">
        <v>240</v>
      </c>
      <c r="P172">
        <v>2.8693883992350924E-2</v>
      </c>
      <c r="Q172" t="s">
        <v>153</v>
      </c>
      <c r="S172" t="s">
        <v>214</v>
      </c>
      <c r="T172" t="s">
        <v>240</v>
      </c>
      <c r="U172">
        <v>2.3864509879975383E-2</v>
      </c>
      <c r="V172" t="s">
        <v>153</v>
      </c>
    </row>
    <row r="173" spans="9:22" x14ac:dyDescent="0.45">
      <c r="I173" t="s">
        <v>170</v>
      </c>
      <c r="J173" t="s">
        <v>162</v>
      </c>
      <c r="K173">
        <v>0</v>
      </c>
      <c r="L173" t="s">
        <v>153</v>
      </c>
      <c r="N173" t="s">
        <v>199</v>
      </c>
      <c r="O173" t="s">
        <v>162</v>
      </c>
      <c r="P173">
        <v>2.9878140152521993E-2</v>
      </c>
      <c r="Q173" t="s">
        <v>153</v>
      </c>
      <c r="S173" t="s">
        <v>214</v>
      </c>
      <c r="T173" t="s">
        <v>162</v>
      </c>
      <c r="U173">
        <v>1.8775679198936867E-2</v>
      </c>
      <c r="V173" t="s">
        <v>153</v>
      </c>
    </row>
    <row r="174" spans="9:22" x14ac:dyDescent="0.45">
      <c r="I174" t="s">
        <v>170</v>
      </c>
      <c r="J174" t="s">
        <v>163</v>
      </c>
      <c r="K174">
        <v>6.6590443551906587E-5</v>
      </c>
      <c r="L174" t="s">
        <v>153</v>
      </c>
      <c r="N174" t="s">
        <v>199</v>
      </c>
      <c r="O174" t="s">
        <v>163</v>
      </c>
      <c r="P174">
        <v>3.6108959256907604E-3</v>
      </c>
      <c r="Q174" t="s">
        <v>153</v>
      </c>
      <c r="S174" t="s">
        <v>214</v>
      </c>
      <c r="T174" t="s">
        <v>163</v>
      </c>
      <c r="U174">
        <v>2.9601322805622695E-3</v>
      </c>
      <c r="V174" t="s">
        <v>153</v>
      </c>
    </row>
    <row r="175" spans="9:22" x14ac:dyDescent="0.45">
      <c r="I175" t="s">
        <v>170</v>
      </c>
      <c r="J175" t="s">
        <v>164</v>
      </c>
      <c r="K175">
        <v>4.2617892933469181E-2</v>
      </c>
      <c r="L175" t="s">
        <v>153</v>
      </c>
      <c r="N175" t="s">
        <v>199</v>
      </c>
      <c r="O175" t="s">
        <v>164</v>
      </c>
      <c r="P175">
        <v>2.4116218003231424E-2</v>
      </c>
      <c r="Q175" t="s">
        <v>153</v>
      </c>
      <c r="S175" t="s">
        <v>214</v>
      </c>
      <c r="T175" t="s">
        <v>164</v>
      </c>
      <c r="U175">
        <v>2.6503783291482019E-2</v>
      </c>
      <c r="V175" t="s">
        <v>153</v>
      </c>
    </row>
    <row r="176" spans="9:22" x14ac:dyDescent="0.45">
      <c r="I176" t="s">
        <v>170</v>
      </c>
      <c r="J176" t="s">
        <v>241</v>
      </c>
      <c r="K176">
        <v>3.3169088459316016E-3</v>
      </c>
      <c r="L176" t="s">
        <v>153</v>
      </c>
      <c r="N176" t="s">
        <v>199</v>
      </c>
      <c r="O176" t="s">
        <v>241</v>
      </c>
      <c r="P176">
        <v>1.0625191986612494E-3</v>
      </c>
      <c r="Q176" t="s">
        <v>153</v>
      </c>
      <c r="S176" t="s">
        <v>214</v>
      </c>
      <c r="T176" t="s">
        <v>241</v>
      </c>
      <c r="U176">
        <v>2.1199734932351943E-3</v>
      </c>
      <c r="V176" t="s">
        <v>153</v>
      </c>
    </row>
    <row r="177" spans="9:22" x14ac:dyDescent="0.45">
      <c r="I177" t="s">
        <v>170</v>
      </c>
      <c r="J177" t="s">
        <v>242</v>
      </c>
      <c r="K177">
        <v>1.8277792346911848E-3</v>
      </c>
      <c r="L177" t="s">
        <v>153</v>
      </c>
      <c r="N177" t="s">
        <v>199</v>
      </c>
      <c r="O177" t="s">
        <v>242</v>
      </c>
      <c r="P177">
        <v>1.5697910359196952E-3</v>
      </c>
      <c r="Q177" t="s">
        <v>153</v>
      </c>
      <c r="S177" t="s">
        <v>214</v>
      </c>
      <c r="T177" t="s">
        <v>242</v>
      </c>
      <c r="U177">
        <v>2.5150666640090273E-3</v>
      </c>
      <c r="V177" t="s">
        <v>153</v>
      </c>
    </row>
    <row r="178" spans="9:22" x14ac:dyDescent="0.45">
      <c r="I178" t="s">
        <v>170</v>
      </c>
      <c r="J178" t="s">
        <v>243</v>
      </c>
      <c r="K178">
        <v>0</v>
      </c>
      <c r="L178" t="s">
        <v>153</v>
      </c>
      <c r="N178" t="s">
        <v>199</v>
      </c>
      <c r="O178" t="s">
        <v>243</v>
      </c>
      <c r="P178">
        <v>1.8507721459416097E-2</v>
      </c>
      <c r="Q178" t="s">
        <v>153</v>
      </c>
      <c r="S178" t="s">
        <v>214</v>
      </c>
      <c r="T178" t="s">
        <v>243</v>
      </c>
      <c r="U178">
        <v>1.6827088305168669E-2</v>
      </c>
      <c r="V178" t="s">
        <v>153</v>
      </c>
    </row>
    <row r="179" spans="9:22" x14ac:dyDescent="0.45">
      <c r="I179" t="s">
        <v>171</v>
      </c>
      <c r="J179" t="s">
        <v>152</v>
      </c>
      <c r="K179">
        <v>0</v>
      </c>
      <c r="L179" t="s">
        <v>153</v>
      </c>
      <c r="N179" t="s">
        <v>200</v>
      </c>
      <c r="O179" t="s">
        <v>152</v>
      </c>
      <c r="P179">
        <v>0.24080771646369864</v>
      </c>
      <c r="Q179" t="s">
        <v>153</v>
      </c>
      <c r="S179" t="s">
        <v>215</v>
      </c>
      <c r="T179" t="s">
        <v>152</v>
      </c>
      <c r="U179">
        <v>0.24793662569005781</v>
      </c>
      <c r="V179" t="s">
        <v>153</v>
      </c>
    </row>
    <row r="180" spans="9:22" x14ac:dyDescent="0.45">
      <c r="I180" t="s">
        <v>171</v>
      </c>
      <c r="J180" t="s">
        <v>154</v>
      </c>
      <c r="K180">
        <v>2.226515124276001E-2</v>
      </c>
      <c r="L180" t="s">
        <v>153</v>
      </c>
      <c r="N180" t="s">
        <v>200</v>
      </c>
      <c r="O180" t="s">
        <v>154</v>
      </c>
      <c r="P180">
        <v>2.5375598811145064E-2</v>
      </c>
      <c r="Q180" t="s">
        <v>153</v>
      </c>
      <c r="S180" t="s">
        <v>215</v>
      </c>
      <c r="T180" t="s">
        <v>154</v>
      </c>
      <c r="U180">
        <v>3.3238471730242358E-2</v>
      </c>
      <c r="V180" t="s">
        <v>153</v>
      </c>
    </row>
    <row r="181" spans="9:22" x14ac:dyDescent="0.45">
      <c r="I181" t="s">
        <v>171</v>
      </c>
      <c r="J181" t="s">
        <v>155</v>
      </c>
      <c r="K181">
        <v>0.68078137068696765</v>
      </c>
      <c r="L181" t="s">
        <v>153</v>
      </c>
      <c r="N181" t="s">
        <v>200</v>
      </c>
      <c r="O181" t="s">
        <v>155</v>
      </c>
      <c r="P181">
        <v>0.22194434889689504</v>
      </c>
      <c r="Q181" t="s">
        <v>153</v>
      </c>
      <c r="S181" t="s">
        <v>215</v>
      </c>
      <c r="T181" t="s">
        <v>155</v>
      </c>
      <c r="U181">
        <v>0.30948610969464724</v>
      </c>
      <c r="V181" t="s">
        <v>153</v>
      </c>
    </row>
    <row r="182" spans="9:22" x14ac:dyDescent="0.45">
      <c r="I182" t="s">
        <v>171</v>
      </c>
      <c r="J182" t="s">
        <v>232</v>
      </c>
      <c r="K182">
        <v>4.6997203306707896E-2</v>
      </c>
      <c r="L182" t="s">
        <v>153</v>
      </c>
      <c r="N182" t="s">
        <v>200</v>
      </c>
      <c r="O182" t="s">
        <v>232</v>
      </c>
      <c r="P182">
        <v>1.6906430863359068E-2</v>
      </c>
      <c r="Q182" t="s">
        <v>153</v>
      </c>
      <c r="S182" t="s">
        <v>215</v>
      </c>
      <c r="T182" t="s">
        <v>232</v>
      </c>
      <c r="U182">
        <v>3.2952026256146551E-2</v>
      </c>
      <c r="V182" t="s">
        <v>153</v>
      </c>
    </row>
    <row r="183" spans="9:22" x14ac:dyDescent="0.45">
      <c r="I183" t="s">
        <v>171</v>
      </c>
      <c r="J183" t="s">
        <v>233</v>
      </c>
      <c r="K183">
        <v>2.6176412932423797E-2</v>
      </c>
      <c r="L183" t="s">
        <v>153</v>
      </c>
      <c r="N183" t="s">
        <v>200</v>
      </c>
      <c r="O183" t="s">
        <v>233</v>
      </c>
      <c r="P183">
        <v>1.8986095714054834E-2</v>
      </c>
      <c r="Q183" t="s">
        <v>153</v>
      </c>
      <c r="S183" t="s">
        <v>215</v>
      </c>
      <c r="T183" t="s">
        <v>233</v>
      </c>
      <c r="U183">
        <v>3.359878048703694E-2</v>
      </c>
      <c r="V183" t="s">
        <v>153</v>
      </c>
    </row>
    <row r="184" spans="9:22" x14ac:dyDescent="0.45">
      <c r="I184" t="s">
        <v>171</v>
      </c>
      <c r="J184" t="s">
        <v>234</v>
      </c>
      <c r="K184">
        <v>7.5400881560145409E-6</v>
      </c>
      <c r="L184" t="s">
        <v>153</v>
      </c>
      <c r="N184" t="s">
        <v>200</v>
      </c>
      <c r="O184" t="s">
        <v>234</v>
      </c>
      <c r="P184">
        <v>0.1527682406142471</v>
      </c>
      <c r="Q184" t="s">
        <v>153</v>
      </c>
      <c r="S184" t="s">
        <v>215</v>
      </c>
      <c r="T184" t="s">
        <v>234</v>
      </c>
      <c r="U184">
        <v>0.17147963694554691</v>
      </c>
      <c r="V184" t="s">
        <v>153</v>
      </c>
    </row>
    <row r="185" spans="9:22" x14ac:dyDescent="0.45">
      <c r="I185" t="s">
        <v>171</v>
      </c>
      <c r="J185" t="s">
        <v>156</v>
      </c>
      <c r="K185">
        <v>0</v>
      </c>
      <c r="L185" t="s">
        <v>153</v>
      </c>
      <c r="N185" t="s">
        <v>200</v>
      </c>
      <c r="O185" t="s">
        <v>156</v>
      </c>
      <c r="P185">
        <v>2.3222522828202839E-2</v>
      </c>
      <c r="Q185" t="s">
        <v>153</v>
      </c>
      <c r="S185" t="s">
        <v>215</v>
      </c>
      <c r="T185" t="s">
        <v>156</v>
      </c>
      <c r="U185">
        <v>4.2834120164533208E-3</v>
      </c>
      <c r="V185" t="s">
        <v>153</v>
      </c>
    </row>
    <row r="186" spans="9:22" x14ac:dyDescent="0.45">
      <c r="I186" t="s">
        <v>171</v>
      </c>
      <c r="J186" t="s">
        <v>157</v>
      </c>
      <c r="K186">
        <v>3.8613461806679883E-3</v>
      </c>
      <c r="L186" t="s">
        <v>153</v>
      </c>
      <c r="N186" t="s">
        <v>200</v>
      </c>
      <c r="O186" t="s">
        <v>157</v>
      </c>
      <c r="P186">
        <v>4.7502614991703773E-3</v>
      </c>
      <c r="Q186" t="s">
        <v>153</v>
      </c>
      <c r="S186" t="s">
        <v>215</v>
      </c>
      <c r="T186" t="s">
        <v>157</v>
      </c>
      <c r="U186">
        <v>7.6390421784241081E-4</v>
      </c>
      <c r="V186" t="s">
        <v>153</v>
      </c>
    </row>
    <row r="187" spans="9:22" x14ac:dyDescent="0.45">
      <c r="I187" t="s">
        <v>171</v>
      </c>
      <c r="J187" t="s">
        <v>158</v>
      </c>
      <c r="K187">
        <v>7.7140935307713585E-2</v>
      </c>
      <c r="L187" t="s">
        <v>153</v>
      </c>
      <c r="N187" t="s">
        <v>200</v>
      </c>
      <c r="O187" t="s">
        <v>158</v>
      </c>
      <c r="P187">
        <v>4.7912648246549672E-2</v>
      </c>
      <c r="Q187" t="s">
        <v>153</v>
      </c>
      <c r="S187" t="s">
        <v>215</v>
      </c>
      <c r="T187" t="s">
        <v>158</v>
      </c>
      <c r="U187">
        <v>6.4526776225026766E-3</v>
      </c>
      <c r="V187" t="s">
        <v>153</v>
      </c>
    </row>
    <row r="188" spans="9:22" x14ac:dyDescent="0.45">
      <c r="I188" t="s">
        <v>171</v>
      </c>
      <c r="J188" t="s">
        <v>235</v>
      </c>
      <c r="K188">
        <v>4.382904621897438E-3</v>
      </c>
      <c r="L188" t="s">
        <v>153</v>
      </c>
      <c r="N188" t="s">
        <v>200</v>
      </c>
      <c r="O188" t="s">
        <v>235</v>
      </c>
      <c r="P188">
        <v>2.6889607956360317E-3</v>
      </c>
      <c r="Q188" t="s">
        <v>153</v>
      </c>
      <c r="S188" t="s">
        <v>215</v>
      </c>
      <c r="T188" t="s">
        <v>235</v>
      </c>
      <c r="U188">
        <v>2.5787296440373246E-4</v>
      </c>
      <c r="V188" t="s">
        <v>153</v>
      </c>
    </row>
    <row r="189" spans="9:22" x14ac:dyDescent="0.45">
      <c r="I189" t="s">
        <v>171</v>
      </c>
      <c r="J189" t="s">
        <v>236</v>
      </c>
      <c r="K189">
        <v>1.587379624988746E-4</v>
      </c>
      <c r="L189" t="s">
        <v>153</v>
      </c>
      <c r="N189" t="s">
        <v>200</v>
      </c>
      <c r="O189" t="s">
        <v>236</v>
      </c>
      <c r="P189">
        <v>2.7091987588067799E-3</v>
      </c>
      <c r="Q189" t="s">
        <v>153</v>
      </c>
      <c r="S189" t="s">
        <v>215</v>
      </c>
      <c r="T189" t="s">
        <v>236</v>
      </c>
      <c r="U189">
        <v>2.9223085024440807E-4</v>
      </c>
      <c r="V189" t="s">
        <v>153</v>
      </c>
    </row>
    <row r="190" spans="9:22" x14ac:dyDescent="0.45">
      <c r="I190" t="s">
        <v>171</v>
      </c>
      <c r="J190" t="s">
        <v>237</v>
      </c>
      <c r="K190">
        <v>0</v>
      </c>
      <c r="L190" t="s">
        <v>153</v>
      </c>
      <c r="N190" t="s">
        <v>200</v>
      </c>
      <c r="O190" t="s">
        <v>237</v>
      </c>
      <c r="P190">
        <v>1.577849131894582E-2</v>
      </c>
      <c r="Q190" t="s">
        <v>153</v>
      </c>
      <c r="S190" t="s">
        <v>215</v>
      </c>
      <c r="T190" t="s">
        <v>237</v>
      </c>
      <c r="U190">
        <v>2.6061341252089187E-3</v>
      </c>
      <c r="V190" t="s">
        <v>153</v>
      </c>
    </row>
    <row r="191" spans="9:22" x14ac:dyDescent="0.45">
      <c r="I191" t="s">
        <v>171</v>
      </c>
      <c r="J191" t="s">
        <v>159</v>
      </c>
      <c r="K191">
        <v>0</v>
      </c>
      <c r="L191" t="s">
        <v>153</v>
      </c>
      <c r="N191" t="s">
        <v>200</v>
      </c>
      <c r="O191" t="s">
        <v>159</v>
      </c>
      <c r="P191">
        <v>4.1804788762242154E-2</v>
      </c>
      <c r="Q191" t="s">
        <v>153</v>
      </c>
      <c r="S191" t="s">
        <v>215</v>
      </c>
      <c r="T191" t="s">
        <v>159</v>
      </c>
      <c r="U191">
        <v>3.0560958843046198E-2</v>
      </c>
      <c r="V191" t="s">
        <v>153</v>
      </c>
    </row>
    <row r="192" spans="9:22" x14ac:dyDescent="0.45">
      <c r="I192" t="s">
        <v>171</v>
      </c>
      <c r="J192" t="s">
        <v>160</v>
      </c>
      <c r="K192">
        <v>3.7089443729724819E-3</v>
      </c>
      <c r="L192" t="s">
        <v>153</v>
      </c>
      <c r="N192" t="s">
        <v>200</v>
      </c>
      <c r="O192" t="s">
        <v>160</v>
      </c>
      <c r="P192">
        <v>7.095825900893281E-3</v>
      </c>
      <c r="Q192" t="s">
        <v>153</v>
      </c>
      <c r="S192" t="s">
        <v>215</v>
      </c>
      <c r="T192" t="s">
        <v>160</v>
      </c>
      <c r="U192">
        <v>4.6091222463837843E-3</v>
      </c>
      <c r="V192" t="s">
        <v>153</v>
      </c>
    </row>
    <row r="193" spans="9:22" x14ac:dyDescent="0.45">
      <c r="I193" t="s">
        <v>171</v>
      </c>
      <c r="J193" t="s">
        <v>161</v>
      </c>
      <c r="K193">
        <v>8.1158429757421338E-2</v>
      </c>
      <c r="L193" t="s">
        <v>153</v>
      </c>
      <c r="N193" t="s">
        <v>200</v>
      </c>
      <c r="O193" t="s">
        <v>161</v>
      </c>
      <c r="P193">
        <v>6.2698935226700891E-2</v>
      </c>
      <c r="Q193" t="s">
        <v>153</v>
      </c>
      <c r="S193" t="s">
        <v>215</v>
      </c>
      <c r="T193" t="s">
        <v>161</v>
      </c>
      <c r="U193">
        <v>3.6571584764872364E-2</v>
      </c>
      <c r="V193" t="s">
        <v>153</v>
      </c>
    </row>
    <row r="194" spans="9:22" x14ac:dyDescent="0.45">
      <c r="I194" t="s">
        <v>171</v>
      </c>
      <c r="J194" t="s">
        <v>238</v>
      </c>
      <c r="K194">
        <v>4.7702357253759957E-3</v>
      </c>
      <c r="L194" t="s">
        <v>153</v>
      </c>
      <c r="N194" t="s">
        <v>200</v>
      </c>
      <c r="O194" t="s">
        <v>238</v>
      </c>
      <c r="P194">
        <v>2.4694660951450342E-3</v>
      </c>
      <c r="Q194" t="s">
        <v>153</v>
      </c>
      <c r="S194" t="s">
        <v>215</v>
      </c>
      <c r="T194" t="s">
        <v>238</v>
      </c>
      <c r="U194">
        <v>2.8183522997949858E-3</v>
      </c>
      <c r="V194" t="s">
        <v>153</v>
      </c>
    </row>
    <row r="195" spans="9:22" x14ac:dyDescent="0.45">
      <c r="I195" t="s">
        <v>171</v>
      </c>
      <c r="J195" t="s">
        <v>239</v>
      </c>
      <c r="K195">
        <v>0</v>
      </c>
      <c r="L195" t="s">
        <v>153</v>
      </c>
      <c r="N195" t="s">
        <v>200</v>
      </c>
      <c r="O195" t="s">
        <v>239</v>
      </c>
      <c r="P195">
        <v>2.8811505799007649E-3</v>
      </c>
      <c r="Q195" t="s">
        <v>153</v>
      </c>
      <c r="S195" t="s">
        <v>215</v>
      </c>
      <c r="T195" t="s">
        <v>239</v>
      </c>
      <c r="U195">
        <v>3.0017900535449162E-3</v>
      </c>
      <c r="V195" t="s">
        <v>153</v>
      </c>
    </row>
    <row r="196" spans="9:22" x14ac:dyDescent="0.45">
      <c r="I196" t="s">
        <v>171</v>
      </c>
      <c r="J196" t="s">
        <v>240</v>
      </c>
      <c r="K196">
        <v>0</v>
      </c>
      <c r="L196" t="s">
        <v>153</v>
      </c>
      <c r="N196" t="s">
        <v>200</v>
      </c>
      <c r="O196" t="s">
        <v>240</v>
      </c>
      <c r="P196">
        <v>2.1035923206656114E-2</v>
      </c>
      <c r="Q196" t="s">
        <v>153</v>
      </c>
      <c r="S196" t="s">
        <v>215</v>
      </c>
      <c r="T196" t="s">
        <v>240</v>
      </c>
      <c r="U196">
        <v>1.9155578753791664E-2</v>
      </c>
      <c r="V196" t="s">
        <v>153</v>
      </c>
    </row>
    <row r="197" spans="9:22" x14ac:dyDescent="0.45">
      <c r="I197" t="s">
        <v>171</v>
      </c>
      <c r="J197" t="s">
        <v>162</v>
      </c>
      <c r="K197">
        <v>0</v>
      </c>
      <c r="L197" t="s">
        <v>153</v>
      </c>
      <c r="N197" t="s">
        <v>200</v>
      </c>
      <c r="O197" t="s">
        <v>162</v>
      </c>
      <c r="P197">
        <v>3.1249386935921823E-2</v>
      </c>
      <c r="Q197" t="s">
        <v>153</v>
      </c>
      <c r="S197" t="s">
        <v>215</v>
      </c>
      <c r="T197" t="s">
        <v>162</v>
      </c>
      <c r="U197">
        <v>1.6142692242922561E-2</v>
      </c>
      <c r="V197" t="s">
        <v>153</v>
      </c>
    </row>
    <row r="198" spans="9:22" x14ac:dyDescent="0.45">
      <c r="I198" t="s">
        <v>171</v>
      </c>
      <c r="J198" t="s">
        <v>163</v>
      </c>
      <c r="K198">
        <v>8.1914613068408268E-4</v>
      </c>
      <c r="L198" t="s">
        <v>153</v>
      </c>
      <c r="N198" t="s">
        <v>200</v>
      </c>
      <c r="O198" t="s">
        <v>163</v>
      </c>
      <c r="P198">
        <v>4.6974859116499044E-3</v>
      </c>
      <c r="Q198" t="s">
        <v>153</v>
      </c>
      <c r="S198" t="s">
        <v>215</v>
      </c>
      <c r="T198" t="s">
        <v>163</v>
      </c>
      <c r="U198">
        <v>2.6323965658592071E-3</v>
      </c>
      <c r="V198" t="s">
        <v>153</v>
      </c>
    </row>
    <row r="199" spans="9:22" x14ac:dyDescent="0.45">
      <c r="I199" t="s">
        <v>171</v>
      </c>
      <c r="J199" t="s">
        <v>164</v>
      </c>
      <c r="K199">
        <v>4.3802741712041002E-2</v>
      </c>
      <c r="L199" t="s">
        <v>153</v>
      </c>
      <c r="N199" t="s">
        <v>200</v>
      </c>
      <c r="O199" t="s">
        <v>164</v>
      </c>
      <c r="P199">
        <v>3.4420561914684643E-2</v>
      </c>
      <c r="Q199" t="s">
        <v>153</v>
      </c>
      <c r="S199" t="s">
        <v>215</v>
      </c>
      <c r="T199" t="s">
        <v>164</v>
      </c>
      <c r="U199">
        <v>2.409222187469922E-2</v>
      </c>
      <c r="V199" t="s">
        <v>153</v>
      </c>
    </row>
    <row r="200" spans="9:22" x14ac:dyDescent="0.45">
      <c r="I200" t="s">
        <v>171</v>
      </c>
      <c r="J200" t="s">
        <v>241</v>
      </c>
      <c r="K200">
        <v>3.2831436827808792E-3</v>
      </c>
      <c r="L200" t="s">
        <v>153</v>
      </c>
      <c r="N200" t="s">
        <v>200</v>
      </c>
      <c r="O200" t="s">
        <v>241</v>
      </c>
      <c r="P200">
        <v>1.3524473988756327E-3</v>
      </c>
      <c r="Q200" t="s">
        <v>153</v>
      </c>
      <c r="S200" t="s">
        <v>215</v>
      </c>
      <c r="T200" t="s">
        <v>241</v>
      </c>
      <c r="U200">
        <v>1.7171765441043462E-3</v>
      </c>
      <c r="V200" t="s">
        <v>153</v>
      </c>
    </row>
    <row r="201" spans="9:22" x14ac:dyDescent="0.45">
      <c r="I201" t="s">
        <v>171</v>
      </c>
      <c r="J201" t="s">
        <v>242</v>
      </c>
      <c r="K201">
        <v>6.8575628893399461E-4</v>
      </c>
      <c r="L201" t="s">
        <v>153</v>
      </c>
      <c r="N201" t="s">
        <v>200</v>
      </c>
      <c r="O201" t="s">
        <v>242</v>
      </c>
      <c r="P201">
        <v>1.7055630851424356E-3</v>
      </c>
      <c r="Q201" t="s">
        <v>153</v>
      </c>
      <c r="S201" t="s">
        <v>215</v>
      </c>
      <c r="T201" t="s">
        <v>242</v>
      </c>
      <c r="U201">
        <v>1.9716081723195901E-3</v>
      </c>
      <c r="V201" t="s">
        <v>153</v>
      </c>
    </row>
    <row r="202" spans="9:22" x14ac:dyDescent="0.45">
      <c r="I202" t="s">
        <v>171</v>
      </c>
      <c r="J202" t="s">
        <v>243</v>
      </c>
      <c r="K202">
        <v>0</v>
      </c>
      <c r="L202" t="s">
        <v>153</v>
      </c>
      <c r="N202" t="s">
        <v>200</v>
      </c>
      <c r="O202" t="s">
        <v>243</v>
      </c>
      <c r="P202">
        <v>1.4737950171473866E-2</v>
      </c>
      <c r="Q202" t="s">
        <v>153</v>
      </c>
      <c r="S202" t="s">
        <v>215</v>
      </c>
      <c r="T202" t="s">
        <v>243</v>
      </c>
      <c r="U202">
        <v>1.3378635038325161E-2</v>
      </c>
      <c r="V202" t="s">
        <v>153</v>
      </c>
    </row>
    <row r="203" spans="9:22" x14ac:dyDescent="0.45">
      <c r="I203" t="s">
        <v>172</v>
      </c>
      <c r="J203" t="s">
        <v>152</v>
      </c>
      <c r="K203">
        <v>0</v>
      </c>
      <c r="L203" t="s">
        <v>153</v>
      </c>
      <c r="N203" t="s">
        <v>201</v>
      </c>
      <c r="O203" t="s">
        <v>152</v>
      </c>
      <c r="P203">
        <v>0.2404896765764945</v>
      </c>
      <c r="Q203" t="s">
        <v>153</v>
      </c>
      <c r="S203" t="s">
        <v>216</v>
      </c>
      <c r="T203" t="s">
        <v>152</v>
      </c>
      <c r="U203">
        <v>0.25500770976251741</v>
      </c>
      <c r="V203" t="s">
        <v>153</v>
      </c>
    </row>
    <row r="204" spans="9:22" x14ac:dyDescent="0.45">
      <c r="I204" t="s">
        <v>172</v>
      </c>
      <c r="J204" t="s">
        <v>154</v>
      </c>
      <c r="K204">
        <v>1.5644901167861668E-2</v>
      </c>
      <c r="L204" t="s">
        <v>153</v>
      </c>
      <c r="N204" t="s">
        <v>201</v>
      </c>
      <c r="O204" t="s">
        <v>154</v>
      </c>
      <c r="P204">
        <v>2.3870505279004854E-2</v>
      </c>
      <c r="Q204" t="s">
        <v>153</v>
      </c>
      <c r="S204" t="s">
        <v>216</v>
      </c>
      <c r="T204" t="s">
        <v>154</v>
      </c>
      <c r="U204">
        <v>3.5084717396947691E-2</v>
      </c>
      <c r="V204" t="s">
        <v>153</v>
      </c>
    </row>
    <row r="205" spans="9:22" x14ac:dyDescent="0.45">
      <c r="I205" t="s">
        <v>172</v>
      </c>
      <c r="J205" t="s">
        <v>155</v>
      </c>
      <c r="K205">
        <v>0.66539051224564505</v>
      </c>
      <c r="L205" t="s">
        <v>153</v>
      </c>
      <c r="N205" t="s">
        <v>201</v>
      </c>
      <c r="O205" t="s">
        <v>155</v>
      </c>
      <c r="P205">
        <v>0.17884312571573893</v>
      </c>
      <c r="Q205" t="s">
        <v>153</v>
      </c>
      <c r="S205" t="s">
        <v>216</v>
      </c>
      <c r="T205" t="s">
        <v>155</v>
      </c>
      <c r="U205">
        <v>0.31812905085271553</v>
      </c>
      <c r="V205" t="s">
        <v>153</v>
      </c>
    </row>
    <row r="206" spans="9:22" x14ac:dyDescent="0.45">
      <c r="I206" t="s">
        <v>172</v>
      </c>
      <c r="J206" t="s">
        <v>232</v>
      </c>
      <c r="K206">
        <v>4.8331507301729464E-2</v>
      </c>
      <c r="L206" t="s">
        <v>153</v>
      </c>
      <c r="N206" t="s">
        <v>201</v>
      </c>
      <c r="O206" t="s">
        <v>232</v>
      </c>
      <c r="P206">
        <v>2.2185938596630823E-2</v>
      </c>
      <c r="Q206" t="s">
        <v>153</v>
      </c>
      <c r="S206" t="s">
        <v>216</v>
      </c>
      <c r="T206" t="s">
        <v>232</v>
      </c>
      <c r="U206">
        <v>3.3869017026384549E-2</v>
      </c>
      <c r="V206" t="s">
        <v>153</v>
      </c>
    </row>
    <row r="207" spans="9:22" x14ac:dyDescent="0.45">
      <c r="I207" t="s">
        <v>172</v>
      </c>
      <c r="J207" t="s">
        <v>233</v>
      </c>
      <c r="K207">
        <v>2.942912803504413E-2</v>
      </c>
      <c r="L207" t="s">
        <v>153</v>
      </c>
      <c r="N207" t="s">
        <v>201</v>
      </c>
      <c r="O207" t="s">
        <v>233</v>
      </c>
      <c r="P207">
        <v>3.1423610415891069E-2</v>
      </c>
      <c r="Q207" t="s">
        <v>153</v>
      </c>
      <c r="S207" t="s">
        <v>216</v>
      </c>
      <c r="T207" t="s">
        <v>233</v>
      </c>
      <c r="U207">
        <v>3.4380447484869119E-2</v>
      </c>
      <c r="V207" t="s">
        <v>153</v>
      </c>
    </row>
    <row r="208" spans="9:22" x14ac:dyDescent="0.45">
      <c r="I208" t="s">
        <v>172</v>
      </c>
      <c r="J208" t="s">
        <v>234</v>
      </c>
      <c r="K208">
        <v>3.0432280474416351E-3</v>
      </c>
      <c r="L208" t="s">
        <v>153</v>
      </c>
      <c r="N208" t="s">
        <v>201</v>
      </c>
      <c r="O208" t="s">
        <v>234</v>
      </c>
      <c r="P208">
        <v>0.22198948464748577</v>
      </c>
      <c r="Q208" t="s">
        <v>153</v>
      </c>
      <c r="S208" t="s">
        <v>216</v>
      </c>
      <c r="T208" t="s">
        <v>234</v>
      </c>
      <c r="U208">
        <v>0.17169029145491571</v>
      </c>
      <c r="V208" t="s">
        <v>153</v>
      </c>
    </row>
    <row r="209" spans="9:22" x14ac:dyDescent="0.45">
      <c r="I209" t="s">
        <v>172</v>
      </c>
      <c r="J209" t="s">
        <v>156</v>
      </c>
      <c r="K209">
        <v>0</v>
      </c>
      <c r="L209" t="s">
        <v>153</v>
      </c>
      <c r="N209" t="s">
        <v>201</v>
      </c>
      <c r="O209" t="s">
        <v>156</v>
      </c>
      <c r="P209">
        <v>2.0782825229003668E-2</v>
      </c>
      <c r="Q209" t="s">
        <v>153</v>
      </c>
      <c r="S209" t="s">
        <v>216</v>
      </c>
      <c r="T209" t="s">
        <v>156</v>
      </c>
      <c r="U209">
        <v>3.9091153278057707E-3</v>
      </c>
      <c r="V209" t="s">
        <v>153</v>
      </c>
    </row>
    <row r="210" spans="9:22" x14ac:dyDescent="0.45">
      <c r="I210" t="s">
        <v>172</v>
      </c>
      <c r="J210" t="s">
        <v>157</v>
      </c>
      <c r="K210">
        <v>3.5580479407977864E-3</v>
      </c>
      <c r="L210" t="s">
        <v>153</v>
      </c>
      <c r="N210" t="s">
        <v>201</v>
      </c>
      <c r="O210" t="s">
        <v>157</v>
      </c>
      <c r="P210">
        <v>2.9128623197623269E-3</v>
      </c>
      <c r="Q210" t="s">
        <v>153</v>
      </c>
      <c r="S210" t="s">
        <v>216</v>
      </c>
      <c r="T210" t="s">
        <v>157</v>
      </c>
      <c r="U210">
        <v>7.3917357547131544E-4</v>
      </c>
      <c r="V210" t="s">
        <v>153</v>
      </c>
    </row>
    <row r="211" spans="9:22" x14ac:dyDescent="0.45">
      <c r="I211" t="s">
        <v>172</v>
      </c>
      <c r="J211" t="s">
        <v>158</v>
      </c>
      <c r="K211">
        <v>8.1370109120385128E-2</v>
      </c>
      <c r="L211" t="s">
        <v>153</v>
      </c>
      <c r="N211" t="s">
        <v>201</v>
      </c>
      <c r="O211" t="s">
        <v>158</v>
      </c>
      <c r="P211">
        <v>3.0807250005869376E-2</v>
      </c>
      <c r="Q211" t="s">
        <v>153</v>
      </c>
      <c r="S211" t="s">
        <v>216</v>
      </c>
      <c r="T211" t="s">
        <v>158</v>
      </c>
      <c r="U211">
        <v>6.2733681660848261E-3</v>
      </c>
      <c r="V211" t="s">
        <v>153</v>
      </c>
    </row>
    <row r="212" spans="9:22" x14ac:dyDescent="0.45">
      <c r="I212" t="s">
        <v>172</v>
      </c>
      <c r="J212" t="s">
        <v>235</v>
      </c>
      <c r="K212">
        <v>4.719993281483083E-3</v>
      </c>
      <c r="L212" t="s">
        <v>153</v>
      </c>
      <c r="N212" t="s">
        <v>201</v>
      </c>
      <c r="O212" t="s">
        <v>235</v>
      </c>
      <c r="P212">
        <v>1.8736081981096477E-3</v>
      </c>
      <c r="Q212" t="s">
        <v>153</v>
      </c>
      <c r="S212" t="s">
        <v>216</v>
      </c>
      <c r="T212" t="s">
        <v>235</v>
      </c>
      <c r="U212">
        <v>2.3427102500441586E-4</v>
      </c>
      <c r="V212" t="s">
        <v>153</v>
      </c>
    </row>
    <row r="213" spans="9:22" x14ac:dyDescent="0.45">
      <c r="I213" t="s">
        <v>172</v>
      </c>
      <c r="J213" t="s">
        <v>236</v>
      </c>
      <c r="K213">
        <v>2.9131002290824931E-3</v>
      </c>
      <c r="L213" t="s">
        <v>153</v>
      </c>
      <c r="N213" t="s">
        <v>201</v>
      </c>
      <c r="O213" t="s">
        <v>236</v>
      </c>
      <c r="P213">
        <v>2.2973219263731325E-3</v>
      </c>
      <c r="Q213" t="s">
        <v>153</v>
      </c>
      <c r="S213" t="s">
        <v>216</v>
      </c>
      <c r="T213" t="s">
        <v>236</v>
      </c>
      <c r="U213">
        <v>2.349398493402764E-4</v>
      </c>
      <c r="V213" t="s">
        <v>153</v>
      </c>
    </row>
    <row r="214" spans="9:22" x14ac:dyDescent="0.45">
      <c r="I214" t="s">
        <v>172</v>
      </c>
      <c r="J214" t="s">
        <v>237</v>
      </c>
      <c r="K214">
        <v>0</v>
      </c>
      <c r="L214" t="s">
        <v>153</v>
      </c>
      <c r="N214" t="s">
        <v>201</v>
      </c>
      <c r="O214" t="s">
        <v>237</v>
      </c>
      <c r="P214">
        <v>1.320919114820482E-2</v>
      </c>
      <c r="Q214" t="s">
        <v>153</v>
      </c>
      <c r="S214" t="s">
        <v>216</v>
      </c>
      <c r="T214" t="s">
        <v>237</v>
      </c>
      <c r="U214">
        <v>1.8674845753487237E-3</v>
      </c>
      <c r="V214" t="s">
        <v>153</v>
      </c>
    </row>
    <row r="215" spans="9:22" x14ac:dyDescent="0.45">
      <c r="I215" t="s">
        <v>172</v>
      </c>
      <c r="J215" t="s">
        <v>159</v>
      </c>
      <c r="K215">
        <v>0</v>
      </c>
      <c r="L215" t="s">
        <v>153</v>
      </c>
      <c r="N215" t="s">
        <v>201</v>
      </c>
      <c r="O215" t="s">
        <v>159</v>
      </c>
      <c r="P215">
        <v>4.1033254700234709E-2</v>
      </c>
      <c r="Q215" t="s">
        <v>153</v>
      </c>
      <c r="S215" t="s">
        <v>216</v>
      </c>
      <c r="T215" t="s">
        <v>159</v>
      </c>
      <c r="U215">
        <v>2.5681717802819509E-2</v>
      </c>
      <c r="V215" t="s">
        <v>153</v>
      </c>
    </row>
    <row r="216" spans="9:22" x14ac:dyDescent="0.45">
      <c r="I216" t="s">
        <v>172</v>
      </c>
      <c r="J216" t="s">
        <v>160</v>
      </c>
      <c r="K216">
        <v>1.9014501687913479E-3</v>
      </c>
      <c r="L216" t="s">
        <v>153</v>
      </c>
      <c r="N216" t="s">
        <v>201</v>
      </c>
      <c r="O216" t="s">
        <v>160</v>
      </c>
      <c r="P216">
        <v>6.4307299064116068E-3</v>
      </c>
      <c r="Q216" t="s">
        <v>153</v>
      </c>
      <c r="S216" t="s">
        <v>216</v>
      </c>
      <c r="T216" t="s">
        <v>160</v>
      </c>
      <c r="U216">
        <v>3.9658089196872599E-3</v>
      </c>
      <c r="V216" t="s">
        <v>153</v>
      </c>
    </row>
    <row r="217" spans="9:22" x14ac:dyDescent="0.45">
      <c r="I217" t="s">
        <v>172</v>
      </c>
      <c r="J217" t="s">
        <v>161</v>
      </c>
      <c r="K217">
        <v>8.3317068660991034E-2</v>
      </c>
      <c r="L217" t="s">
        <v>153</v>
      </c>
      <c r="N217" t="s">
        <v>201</v>
      </c>
      <c r="O217" t="s">
        <v>161</v>
      </c>
      <c r="P217">
        <v>4.390134597895639E-2</v>
      </c>
      <c r="Q217" t="s">
        <v>153</v>
      </c>
      <c r="S217" t="s">
        <v>216</v>
      </c>
      <c r="T217" t="s">
        <v>161</v>
      </c>
      <c r="U217">
        <v>3.2932460573632041E-2</v>
      </c>
      <c r="V217" t="s">
        <v>153</v>
      </c>
    </row>
    <row r="218" spans="9:22" x14ac:dyDescent="0.45">
      <c r="I218" t="s">
        <v>172</v>
      </c>
      <c r="J218" t="s">
        <v>238</v>
      </c>
      <c r="K218">
        <v>5.3963432196941401E-3</v>
      </c>
      <c r="L218" t="s">
        <v>153</v>
      </c>
      <c r="N218" t="s">
        <v>201</v>
      </c>
      <c r="O218" t="s">
        <v>238</v>
      </c>
      <c r="P218">
        <v>2.1917905312247242E-3</v>
      </c>
      <c r="Q218" t="s">
        <v>153</v>
      </c>
      <c r="S218" t="s">
        <v>216</v>
      </c>
      <c r="T218" t="s">
        <v>238</v>
      </c>
      <c r="U218">
        <v>2.6839861104438548E-3</v>
      </c>
      <c r="V218" t="s">
        <v>153</v>
      </c>
    </row>
    <row r="219" spans="9:22" x14ac:dyDescent="0.45">
      <c r="I219" t="s">
        <v>172</v>
      </c>
      <c r="J219" t="s">
        <v>239</v>
      </c>
      <c r="K219">
        <v>3.131809052957216E-3</v>
      </c>
      <c r="L219" t="s">
        <v>153</v>
      </c>
      <c r="N219" t="s">
        <v>201</v>
      </c>
      <c r="O219" t="s">
        <v>239</v>
      </c>
      <c r="P219">
        <v>2.9459139933219083E-3</v>
      </c>
      <c r="Q219" t="s">
        <v>153</v>
      </c>
      <c r="S219" t="s">
        <v>216</v>
      </c>
      <c r="T219" t="s">
        <v>239</v>
      </c>
      <c r="U219">
        <v>2.819990239707817E-3</v>
      </c>
      <c r="V219" t="s">
        <v>153</v>
      </c>
    </row>
    <row r="220" spans="9:22" x14ac:dyDescent="0.45">
      <c r="I220" t="s">
        <v>172</v>
      </c>
      <c r="J220" t="s">
        <v>240</v>
      </c>
      <c r="K220">
        <v>0</v>
      </c>
      <c r="L220" t="s">
        <v>153</v>
      </c>
      <c r="N220" t="s">
        <v>201</v>
      </c>
      <c r="O220" t="s">
        <v>240</v>
      </c>
      <c r="P220">
        <v>1.9637592503670181E-2</v>
      </c>
      <c r="Q220" t="s">
        <v>153</v>
      </c>
      <c r="S220" t="s">
        <v>216</v>
      </c>
      <c r="T220" t="s">
        <v>240</v>
      </c>
      <c r="U220">
        <v>1.5772167724920523E-2</v>
      </c>
      <c r="V220" t="s">
        <v>153</v>
      </c>
    </row>
    <row r="221" spans="9:22" x14ac:dyDescent="0.45">
      <c r="I221" t="s">
        <v>172</v>
      </c>
      <c r="J221" t="s">
        <v>162</v>
      </c>
      <c r="K221">
        <v>0</v>
      </c>
      <c r="L221" t="s">
        <v>153</v>
      </c>
      <c r="N221" t="s">
        <v>201</v>
      </c>
      <c r="O221" t="s">
        <v>162</v>
      </c>
      <c r="P221">
        <v>3.5161345806663483E-2</v>
      </c>
      <c r="Q221" t="s">
        <v>153</v>
      </c>
      <c r="S221" t="s">
        <v>216</v>
      </c>
      <c r="T221" t="s">
        <v>162</v>
      </c>
      <c r="U221">
        <v>1.4999885513027982E-2</v>
      </c>
      <c r="V221" t="s">
        <v>153</v>
      </c>
    </row>
    <row r="222" spans="9:22" x14ac:dyDescent="0.45">
      <c r="I222" t="s">
        <v>172</v>
      </c>
      <c r="J222" t="s">
        <v>163</v>
      </c>
      <c r="K222">
        <v>1.4733673024582121E-6</v>
      </c>
      <c r="L222" t="s">
        <v>153</v>
      </c>
      <c r="N222" t="s">
        <v>201</v>
      </c>
      <c r="O222" t="s">
        <v>163</v>
      </c>
      <c r="P222">
        <v>4.8089378887986051E-3</v>
      </c>
      <c r="Q222" t="s">
        <v>153</v>
      </c>
      <c r="S222" t="s">
        <v>216</v>
      </c>
      <c r="T222" t="s">
        <v>163</v>
      </c>
      <c r="U222">
        <v>2.5011265231355351E-3</v>
      </c>
      <c r="V222" t="s">
        <v>153</v>
      </c>
    </row>
    <row r="223" spans="9:22" x14ac:dyDescent="0.45">
      <c r="I223" t="s">
        <v>172</v>
      </c>
      <c r="J223" t="s">
        <v>164</v>
      </c>
      <c r="K223">
        <v>4.5671650201925311E-2</v>
      </c>
      <c r="L223" t="s">
        <v>153</v>
      </c>
      <c r="N223" t="s">
        <v>201</v>
      </c>
      <c r="O223" t="s">
        <v>164</v>
      </c>
      <c r="P223">
        <v>3.1087738448658579E-2</v>
      </c>
      <c r="Q223" t="s">
        <v>153</v>
      </c>
      <c r="S223" t="s">
        <v>216</v>
      </c>
      <c r="T223" t="s">
        <v>164</v>
      </c>
      <c r="U223">
        <v>2.3089690279957813E-2</v>
      </c>
      <c r="V223" t="s">
        <v>153</v>
      </c>
    </row>
    <row r="224" spans="9:22" x14ac:dyDescent="0.45">
      <c r="I224" t="s">
        <v>172</v>
      </c>
      <c r="J224" t="s">
        <v>241</v>
      </c>
      <c r="K224">
        <v>4.0415794973565726E-3</v>
      </c>
      <c r="L224" t="s">
        <v>153</v>
      </c>
      <c r="N224" t="s">
        <v>201</v>
      </c>
      <c r="O224" t="s">
        <v>241</v>
      </c>
      <c r="P224">
        <v>1.710274747940927E-3</v>
      </c>
      <c r="Q224" t="s">
        <v>153</v>
      </c>
      <c r="S224" t="s">
        <v>216</v>
      </c>
      <c r="T224" t="s">
        <v>241</v>
      </c>
      <c r="U224">
        <v>1.5469999055490109E-3</v>
      </c>
      <c r="V224" t="s">
        <v>153</v>
      </c>
    </row>
    <row r="225" spans="9:22" x14ac:dyDescent="0.45">
      <c r="I225" t="s">
        <v>172</v>
      </c>
      <c r="J225" t="s">
        <v>242</v>
      </c>
      <c r="K225">
        <v>2.1380984615123342E-3</v>
      </c>
      <c r="L225" t="s">
        <v>153</v>
      </c>
      <c r="N225" t="s">
        <v>201</v>
      </c>
      <c r="O225" t="s">
        <v>242</v>
      </c>
      <c r="P225">
        <v>2.5787657655120515E-3</v>
      </c>
      <c r="Q225" t="s">
        <v>153</v>
      </c>
      <c r="S225" t="s">
        <v>216</v>
      </c>
      <c r="T225" t="s">
        <v>242</v>
      </c>
      <c r="U225">
        <v>1.6991286351429433E-3</v>
      </c>
      <c r="V225" t="s">
        <v>153</v>
      </c>
    </row>
    <row r="226" spans="9:22" x14ac:dyDescent="0.45">
      <c r="I226" t="s">
        <v>172</v>
      </c>
      <c r="J226" t="s">
        <v>243</v>
      </c>
      <c r="K226">
        <v>0</v>
      </c>
      <c r="L226" t="s">
        <v>153</v>
      </c>
      <c r="N226" t="s">
        <v>201</v>
      </c>
      <c r="O226" t="s">
        <v>243</v>
      </c>
      <c r="P226">
        <v>1.7826909670034998E-2</v>
      </c>
      <c r="Q226" t="s">
        <v>153</v>
      </c>
      <c r="S226" t="s">
        <v>216</v>
      </c>
      <c r="T226" t="s">
        <v>243</v>
      </c>
      <c r="U226">
        <v>1.0887451274572834E-2</v>
      </c>
      <c r="V226" t="s">
        <v>153</v>
      </c>
    </row>
    <row r="227" spans="9:22" x14ac:dyDescent="0.45">
      <c r="I227" t="s">
        <v>173</v>
      </c>
      <c r="J227" t="s">
        <v>152</v>
      </c>
      <c r="K227">
        <v>0</v>
      </c>
      <c r="L227" t="s">
        <v>153</v>
      </c>
      <c r="N227" t="s">
        <v>202</v>
      </c>
      <c r="O227" t="s">
        <v>152</v>
      </c>
      <c r="P227">
        <v>0.14579578291235037</v>
      </c>
      <c r="Q227" t="s">
        <v>153</v>
      </c>
      <c r="S227" t="s">
        <v>217</v>
      </c>
      <c r="T227" t="s">
        <v>152</v>
      </c>
      <c r="U227">
        <v>0.25686604212758057</v>
      </c>
      <c r="V227" t="s">
        <v>153</v>
      </c>
    </row>
    <row r="228" spans="9:22" x14ac:dyDescent="0.45">
      <c r="I228" t="s">
        <v>173</v>
      </c>
      <c r="J228" t="s">
        <v>154</v>
      </c>
      <c r="K228">
        <v>1.6154465824501866E-2</v>
      </c>
      <c r="L228" t="s">
        <v>153</v>
      </c>
      <c r="N228" t="s">
        <v>202</v>
      </c>
      <c r="O228" t="s">
        <v>154</v>
      </c>
      <c r="P228">
        <v>1.4278225980974991E-2</v>
      </c>
      <c r="Q228" t="s">
        <v>153</v>
      </c>
      <c r="S228" t="s">
        <v>217</v>
      </c>
      <c r="T228" t="s">
        <v>154</v>
      </c>
      <c r="U228">
        <v>3.6273197631655291E-2</v>
      </c>
      <c r="V228" t="s">
        <v>153</v>
      </c>
    </row>
    <row r="229" spans="9:22" x14ac:dyDescent="0.45">
      <c r="I229" t="s">
        <v>173</v>
      </c>
      <c r="J229" t="s">
        <v>155</v>
      </c>
      <c r="K229">
        <v>0.67257157632099007</v>
      </c>
      <c r="L229" t="s">
        <v>153</v>
      </c>
      <c r="N229" t="s">
        <v>202</v>
      </c>
      <c r="O229" t="s">
        <v>155</v>
      </c>
      <c r="P229">
        <v>0.27293600741727797</v>
      </c>
      <c r="Q229" t="s">
        <v>153</v>
      </c>
      <c r="S229" t="s">
        <v>217</v>
      </c>
      <c r="T229" t="s">
        <v>155</v>
      </c>
      <c r="U229">
        <v>0.32544008318547912</v>
      </c>
      <c r="V229" t="s">
        <v>153</v>
      </c>
    </row>
    <row r="230" spans="9:22" x14ac:dyDescent="0.45">
      <c r="I230" t="s">
        <v>173</v>
      </c>
      <c r="J230" t="s">
        <v>232</v>
      </c>
      <c r="K230">
        <v>4.9316471900608318E-2</v>
      </c>
      <c r="L230" t="s">
        <v>153</v>
      </c>
      <c r="N230" t="s">
        <v>202</v>
      </c>
      <c r="O230" t="s">
        <v>232</v>
      </c>
      <c r="P230">
        <v>3.7835131276073165E-2</v>
      </c>
      <c r="Q230" t="s">
        <v>153</v>
      </c>
      <c r="S230" t="s">
        <v>217</v>
      </c>
      <c r="T230" t="s">
        <v>232</v>
      </c>
      <c r="U230">
        <v>3.4632688334529434E-2</v>
      </c>
      <c r="V230" t="s">
        <v>153</v>
      </c>
    </row>
    <row r="231" spans="9:22" x14ac:dyDescent="0.45">
      <c r="I231" t="s">
        <v>173</v>
      </c>
      <c r="J231" t="s">
        <v>233</v>
      </c>
      <c r="K231">
        <v>2.8933343279700891E-2</v>
      </c>
      <c r="L231" t="s">
        <v>153</v>
      </c>
      <c r="N231" t="s">
        <v>202</v>
      </c>
      <c r="O231" t="s">
        <v>233</v>
      </c>
      <c r="P231">
        <v>3.7925966537838467E-2</v>
      </c>
      <c r="Q231" t="s">
        <v>153</v>
      </c>
      <c r="S231" t="s">
        <v>217</v>
      </c>
      <c r="T231" t="s">
        <v>233</v>
      </c>
      <c r="U231">
        <v>3.5144223964452263E-2</v>
      </c>
      <c r="V231" t="s">
        <v>153</v>
      </c>
    </row>
    <row r="232" spans="9:22" x14ac:dyDescent="0.45">
      <c r="I232" t="s">
        <v>173</v>
      </c>
      <c r="J232" t="s">
        <v>234</v>
      </c>
      <c r="K232">
        <v>3.046270461335402E-3</v>
      </c>
      <c r="L232" t="s">
        <v>153</v>
      </c>
      <c r="N232" t="s">
        <v>202</v>
      </c>
      <c r="O232" t="s">
        <v>234</v>
      </c>
      <c r="P232">
        <v>0.15733668277401097</v>
      </c>
      <c r="Q232" t="s">
        <v>153</v>
      </c>
      <c r="S232" t="s">
        <v>217</v>
      </c>
      <c r="T232" t="s">
        <v>234</v>
      </c>
      <c r="U232">
        <v>0.17281129577151225</v>
      </c>
      <c r="V232" t="s">
        <v>153</v>
      </c>
    </row>
    <row r="233" spans="9:22" x14ac:dyDescent="0.45">
      <c r="I233" t="s">
        <v>173</v>
      </c>
      <c r="J233" t="s">
        <v>156</v>
      </c>
      <c r="K233">
        <v>0</v>
      </c>
      <c r="L233" t="s">
        <v>153</v>
      </c>
      <c r="N233" t="s">
        <v>202</v>
      </c>
      <c r="O233" t="s">
        <v>156</v>
      </c>
      <c r="P233">
        <v>2.3419951622698998E-2</v>
      </c>
      <c r="Q233" t="s">
        <v>153</v>
      </c>
      <c r="S233" t="s">
        <v>217</v>
      </c>
      <c r="T233" t="s">
        <v>156</v>
      </c>
      <c r="U233">
        <v>3.4793361373747487E-3</v>
      </c>
      <c r="V233" t="s">
        <v>153</v>
      </c>
    </row>
    <row r="234" spans="9:22" x14ac:dyDescent="0.45">
      <c r="I234" t="s">
        <v>173</v>
      </c>
      <c r="J234" t="s">
        <v>157</v>
      </c>
      <c r="K234">
        <v>3.249651368442655E-3</v>
      </c>
      <c r="L234" t="s">
        <v>153</v>
      </c>
      <c r="N234" t="s">
        <v>202</v>
      </c>
      <c r="O234" t="s">
        <v>157</v>
      </c>
      <c r="P234">
        <v>3.5936252425597158E-3</v>
      </c>
      <c r="Q234" t="s">
        <v>153</v>
      </c>
      <c r="S234" t="s">
        <v>217</v>
      </c>
      <c r="T234" t="s">
        <v>157</v>
      </c>
      <c r="U234">
        <v>5.5563082384258713E-4</v>
      </c>
      <c r="V234" t="s">
        <v>153</v>
      </c>
    </row>
    <row r="235" spans="9:22" x14ac:dyDescent="0.45">
      <c r="I235" t="s">
        <v>173</v>
      </c>
      <c r="J235" t="s">
        <v>158</v>
      </c>
      <c r="K235">
        <v>7.7030934807436974E-2</v>
      </c>
      <c r="L235" t="s">
        <v>153</v>
      </c>
      <c r="N235" t="s">
        <v>202</v>
      </c>
      <c r="O235" t="s">
        <v>158</v>
      </c>
      <c r="P235">
        <v>3.4709617124678412E-2</v>
      </c>
      <c r="Q235" t="s">
        <v>153</v>
      </c>
      <c r="S235" t="s">
        <v>217</v>
      </c>
      <c r="T235" t="s">
        <v>158</v>
      </c>
      <c r="U235">
        <v>5.0142925828224232E-3</v>
      </c>
      <c r="V235" t="s">
        <v>153</v>
      </c>
    </row>
    <row r="236" spans="9:22" x14ac:dyDescent="0.45">
      <c r="I236" t="s">
        <v>173</v>
      </c>
      <c r="J236" t="s">
        <v>235</v>
      </c>
      <c r="K236">
        <v>4.7073990474821165E-3</v>
      </c>
      <c r="L236" t="s">
        <v>153</v>
      </c>
      <c r="N236" t="s">
        <v>202</v>
      </c>
      <c r="O236" t="s">
        <v>235</v>
      </c>
      <c r="P236">
        <v>1.3892229125053207E-3</v>
      </c>
      <c r="Q236" t="s">
        <v>153</v>
      </c>
      <c r="S236" t="s">
        <v>217</v>
      </c>
      <c r="T236" t="s">
        <v>235</v>
      </c>
      <c r="U236">
        <v>2.3783858357374964E-4</v>
      </c>
      <c r="V236" t="s">
        <v>153</v>
      </c>
    </row>
    <row r="237" spans="9:22" x14ac:dyDescent="0.45">
      <c r="I237" t="s">
        <v>173</v>
      </c>
      <c r="J237" t="s">
        <v>236</v>
      </c>
      <c r="K237">
        <v>2.8513597468362993E-3</v>
      </c>
      <c r="L237" t="s">
        <v>153</v>
      </c>
      <c r="N237" t="s">
        <v>202</v>
      </c>
      <c r="O237" t="s">
        <v>236</v>
      </c>
      <c r="P237">
        <v>1.6032771462245428E-3</v>
      </c>
      <c r="Q237" t="s">
        <v>153</v>
      </c>
      <c r="S237" t="s">
        <v>217</v>
      </c>
      <c r="T237" t="s">
        <v>236</v>
      </c>
      <c r="U237">
        <v>2.4266399045763128E-4</v>
      </c>
      <c r="V237" t="s">
        <v>153</v>
      </c>
    </row>
    <row r="238" spans="9:22" x14ac:dyDescent="0.45">
      <c r="I238" t="s">
        <v>173</v>
      </c>
      <c r="J238" t="s">
        <v>237</v>
      </c>
      <c r="K238">
        <v>0</v>
      </c>
      <c r="L238" t="s">
        <v>153</v>
      </c>
      <c r="N238" t="s">
        <v>202</v>
      </c>
      <c r="O238" t="s">
        <v>237</v>
      </c>
      <c r="P238">
        <v>1.3919654940273071E-2</v>
      </c>
      <c r="Q238" t="s">
        <v>153</v>
      </c>
      <c r="S238" t="s">
        <v>217</v>
      </c>
      <c r="T238" t="s">
        <v>237</v>
      </c>
      <c r="U238">
        <v>1.6881456985952804E-3</v>
      </c>
      <c r="V238" t="s">
        <v>153</v>
      </c>
    </row>
    <row r="239" spans="9:22" x14ac:dyDescent="0.45">
      <c r="I239" t="s">
        <v>173</v>
      </c>
      <c r="J239" t="s">
        <v>159</v>
      </c>
      <c r="K239">
        <v>0</v>
      </c>
      <c r="L239" t="s">
        <v>153</v>
      </c>
      <c r="N239" t="s">
        <v>202</v>
      </c>
      <c r="O239" t="s">
        <v>159</v>
      </c>
      <c r="P239">
        <v>4.437954275285759E-2</v>
      </c>
      <c r="Q239" t="s">
        <v>153</v>
      </c>
      <c r="S239" t="s">
        <v>217</v>
      </c>
      <c r="T239" t="s">
        <v>159</v>
      </c>
      <c r="U239">
        <v>2.3509206409155357E-2</v>
      </c>
      <c r="V239" t="s">
        <v>153</v>
      </c>
    </row>
    <row r="240" spans="9:22" x14ac:dyDescent="0.45">
      <c r="I240" t="s">
        <v>173</v>
      </c>
      <c r="J240" t="s">
        <v>160</v>
      </c>
      <c r="K240">
        <v>1.6201566615508018E-3</v>
      </c>
      <c r="L240" t="s">
        <v>153</v>
      </c>
      <c r="N240" t="s">
        <v>202</v>
      </c>
      <c r="O240" t="s">
        <v>160</v>
      </c>
      <c r="P240">
        <v>8.1001069830162111E-3</v>
      </c>
      <c r="Q240" t="s">
        <v>153</v>
      </c>
      <c r="S240" t="s">
        <v>217</v>
      </c>
      <c r="T240" t="s">
        <v>160</v>
      </c>
      <c r="U240">
        <v>3.8873991590987751E-3</v>
      </c>
      <c r="V240" t="s">
        <v>153</v>
      </c>
    </row>
    <row r="241" spans="9:22" x14ac:dyDescent="0.45">
      <c r="I241" t="s">
        <v>173</v>
      </c>
      <c r="J241" t="s">
        <v>161</v>
      </c>
      <c r="K241">
        <v>7.9617563593464932E-2</v>
      </c>
      <c r="L241" t="s">
        <v>153</v>
      </c>
      <c r="N241" t="s">
        <v>202</v>
      </c>
      <c r="O241" t="s">
        <v>161</v>
      </c>
      <c r="P241">
        <v>5.3980952294186625E-2</v>
      </c>
      <c r="Q241" t="s">
        <v>153</v>
      </c>
      <c r="S241" t="s">
        <v>217</v>
      </c>
      <c r="T241" t="s">
        <v>161</v>
      </c>
      <c r="U241">
        <v>3.0527828912908082E-2</v>
      </c>
      <c r="V241" t="s">
        <v>153</v>
      </c>
    </row>
    <row r="242" spans="9:22" x14ac:dyDescent="0.45">
      <c r="I242" t="s">
        <v>173</v>
      </c>
      <c r="J242" t="s">
        <v>238</v>
      </c>
      <c r="K242">
        <v>5.1938931566457196E-3</v>
      </c>
      <c r="L242" t="s">
        <v>153</v>
      </c>
      <c r="N242" t="s">
        <v>202</v>
      </c>
      <c r="O242" t="s">
        <v>238</v>
      </c>
      <c r="P242">
        <v>2.6066167847326712E-3</v>
      </c>
      <c r="Q242" t="s">
        <v>153</v>
      </c>
      <c r="S242" t="s">
        <v>217</v>
      </c>
      <c r="T242" t="s">
        <v>238</v>
      </c>
      <c r="U242">
        <v>2.2122797569035764E-3</v>
      </c>
      <c r="V242" t="s">
        <v>153</v>
      </c>
    </row>
    <row r="243" spans="9:22" x14ac:dyDescent="0.45">
      <c r="I243" t="s">
        <v>173</v>
      </c>
      <c r="J243" t="s">
        <v>239</v>
      </c>
      <c r="K243">
        <v>3.4393981000087198E-3</v>
      </c>
      <c r="L243" t="s">
        <v>153</v>
      </c>
      <c r="N243" t="s">
        <v>202</v>
      </c>
      <c r="O243" t="s">
        <v>239</v>
      </c>
      <c r="P243">
        <v>2.8474298785832216E-3</v>
      </c>
      <c r="Q243" t="s">
        <v>153</v>
      </c>
      <c r="S243" t="s">
        <v>217</v>
      </c>
      <c r="T243" t="s">
        <v>239</v>
      </c>
      <c r="U243">
        <v>2.1721728268688416E-3</v>
      </c>
      <c r="V243" t="s">
        <v>153</v>
      </c>
    </row>
    <row r="244" spans="9:22" x14ac:dyDescent="0.45">
      <c r="I244" t="s">
        <v>173</v>
      </c>
      <c r="J244" t="s">
        <v>240</v>
      </c>
      <c r="K244">
        <v>0</v>
      </c>
      <c r="L244" t="s">
        <v>153</v>
      </c>
      <c r="N244" t="s">
        <v>202</v>
      </c>
      <c r="O244" t="s">
        <v>240</v>
      </c>
      <c r="P244">
        <v>1.7873046785889555E-2</v>
      </c>
      <c r="Q244" t="s">
        <v>153</v>
      </c>
      <c r="S244" t="s">
        <v>217</v>
      </c>
      <c r="T244" t="s">
        <v>240</v>
      </c>
      <c r="U244">
        <v>1.3697971869739657E-2</v>
      </c>
      <c r="V244" t="s">
        <v>153</v>
      </c>
    </row>
    <row r="245" spans="9:22" x14ac:dyDescent="0.45">
      <c r="I245" t="s">
        <v>173</v>
      </c>
      <c r="J245" t="s">
        <v>162</v>
      </c>
      <c r="K245">
        <v>0</v>
      </c>
      <c r="L245" t="s">
        <v>153</v>
      </c>
      <c r="N245" t="s">
        <v>202</v>
      </c>
      <c r="O245" t="s">
        <v>162</v>
      </c>
      <c r="P245">
        <v>4.2632257842156115E-2</v>
      </c>
      <c r="Q245" t="s">
        <v>153</v>
      </c>
      <c r="S245" t="s">
        <v>217</v>
      </c>
      <c r="T245" t="s">
        <v>162</v>
      </c>
      <c r="U245">
        <v>1.4529764175797821E-2</v>
      </c>
      <c r="V245" t="s">
        <v>153</v>
      </c>
    </row>
    <row r="246" spans="9:22" x14ac:dyDescent="0.45">
      <c r="I246" t="s">
        <v>173</v>
      </c>
      <c r="J246" t="s">
        <v>163</v>
      </c>
      <c r="K246">
        <v>0</v>
      </c>
      <c r="L246" t="s">
        <v>153</v>
      </c>
      <c r="N246" t="s">
        <v>202</v>
      </c>
      <c r="O246" t="s">
        <v>163</v>
      </c>
      <c r="P246">
        <v>7.8759195733363457E-3</v>
      </c>
      <c r="Q246" t="s">
        <v>153</v>
      </c>
      <c r="S246" t="s">
        <v>217</v>
      </c>
      <c r="T246" t="s">
        <v>163</v>
      </c>
      <c r="U246">
        <v>2.3274092923481204E-3</v>
      </c>
      <c r="V246" t="s">
        <v>153</v>
      </c>
    </row>
    <row r="247" spans="9:22" x14ac:dyDescent="0.45">
      <c r="I247" t="s">
        <v>173</v>
      </c>
      <c r="J247" t="s">
        <v>164</v>
      </c>
      <c r="K247">
        <v>4.5909271888792298E-2</v>
      </c>
      <c r="L247" t="s">
        <v>153</v>
      </c>
      <c r="N247" t="s">
        <v>202</v>
      </c>
      <c r="O247" t="s">
        <v>164</v>
      </c>
      <c r="P247">
        <v>5.2067681290041974E-2</v>
      </c>
      <c r="Q247" t="s">
        <v>153</v>
      </c>
      <c r="S247" t="s">
        <v>217</v>
      </c>
      <c r="T247" t="s">
        <v>164</v>
      </c>
      <c r="U247">
        <v>2.1281029365900102E-2</v>
      </c>
      <c r="V247" t="s">
        <v>153</v>
      </c>
    </row>
    <row r="248" spans="9:22" x14ac:dyDescent="0.45">
      <c r="I248" t="s">
        <v>173</v>
      </c>
      <c r="J248" t="s">
        <v>241</v>
      </c>
      <c r="K248">
        <v>4.0711325637385167E-3</v>
      </c>
      <c r="L248" t="s">
        <v>153</v>
      </c>
      <c r="N248" t="s">
        <v>202</v>
      </c>
      <c r="O248" t="s">
        <v>241</v>
      </c>
      <c r="P248">
        <v>2.5364935613591336E-3</v>
      </c>
      <c r="Q248" t="s">
        <v>153</v>
      </c>
      <c r="S248" t="s">
        <v>217</v>
      </c>
      <c r="T248" t="s">
        <v>241</v>
      </c>
      <c r="U248">
        <v>1.3295124816383559E-3</v>
      </c>
      <c r="V248" t="s">
        <v>153</v>
      </c>
    </row>
    <row r="249" spans="9:22" x14ac:dyDescent="0.45">
      <c r="I249" t="s">
        <v>173</v>
      </c>
      <c r="J249" t="s">
        <v>242</v>
      </c>
      <c r="K249">
        <v>2.2871112784651291E-3</v>
      </c>
      <c r="L249" t="s">
        <v>153</v>
      </c>
      <c r="N249" t="s">
        <v>202</v>
      </c>
      <c r="O249" t="s">
        <v>242</v>
      </c>
      <c r="P249">
        <v>2.6321564923527806E-3</v>
      </c>
      <c r="Q249" t="s">
        <v>153</v>
      </c>
      <c r="S249" t="s">
        <v>217</v>
      </c>
      <c r="T249" t="s">
        <v>242</v>
      </c>
      <c r="U249">
        <v>1.5161196288553253E-3</v>
      </c>
      <c r="V249" t="s">
        <v>153</v>
      </c>
    </row>
    <row r="250" spans="9:22" x14ac:dyDescent="0.45">
      <c r="I250" t="s">
        <v>173</v>
      </c>
      <c r="J250" t="s">
        <v>243</v>
      </c>
      <c r="K250">
        <v>0</v>
      </c>
      <c r="L250" t="s">
        <v>153</v>
      </c>
      <c r="N250" t="s">
        <v>202</v>
      </c>
      <c r="O250" t="s">
        <v>243</v>
      </c>
      <c r="P250">
        <v>1.7724649874022495E-2</v>
      </c>
      <c r="Q250" t="s">
        <v>153</v>
      </c>
      <c r="S250" t="s">
        <v>217</v>
      </c>
      <c r="T250" t="s">
        <v>243</v>
      </c>
      <c r="U250">
        <v>1.0623867288913581E-2</v>
      </c>
      <c r="V250" t="s">
        <v>153</v>
      </c>
    </row>
    <row r="251" spans="9:22" x14ac:dyDescent="0.45">
      <c r="I251" t="s">
        <v>174</v>
      </c>
      <c r="J251" t="s">
        <v>152</v>
      </c>
      <c r="K251">
        <v>0</v>
      </c>
      <c r="L251" t="s">
        <v>153</v>
      </c>
      <c r="N251" t="s">
        <v>203</v>
      </c>
      <c r="O251" t="s">
        <v>152</v>
      </c>
      <c r="P251">
        <v>0.21332203149939577</v>
      </c>
      <c r="Q251" t="s">
        <v>153</v>
      </c>
    </row>
    <row r="252" spans="9:22" x14ac:dyDescent="0.45">
      <c r="I252" t="s">
        <v>174</v>
      </c>
      <c r="J252" t="s">
        <v>154</v>
      </c>
      <c r="K252">
        <v>1.870639646060682E-2</v>
      </c>
      <c r="L252" t="s">
        <v>153</v>
      </c>
      <c r="N252" t="s">
        <v>203</v>
      </c>
      <c r="O252" t="s">
        <v>154</v>
      </c>
      <c r="P252">
        <v>2.1978107904456021E-2</v>
      </c>
      <c r="Q252" t="s">
        <v>153</v>
      </c>
    </row>
    <row r="253" spans="9:22" x14ac:dyDescent="0.45">
      <c r="I253" t="s">
        <v>174</v>
      </c>
      <c r="J253" t="s">
        <v>155</v>
      </c>
      <c r="K253">
        <v>0.67696099756983175</v>
      </c>
      <c r="L253" t="s">
        <v>153</v>
      </c>
      <c r="N253" t="s">
        <v>203</v>
      </c>
      <c r="O253" t="s">
        <v>155</v>
      </c>
      <c r="P253">
        <v>0.23720052747589265</v>
      </c>
      <c r="Q253" t="s">
        <v>153</v>
      </c>
    </row>
    <row r="254" spans="9:22" x14ac:dyDescent="0.45">
      <c r="I254" t="s">
        <v>174</v>
      </c>
      <c r="J254" t="s">
        <v>232</v>
      </c>
      <c r="K254">
        <v>4.6614415689786984E-2</v>
      </c>
      <c r="L254" t="s">
        <v>153</v>
      </c>
      <c r="N254" t="s">
        <v>203</v>
      </c>
      <c r="O254" t="s">
        <v>232</v>
      </c>
      <c r="P254">
        <v>2.2616099022544921E-2</v>
      </c>
      <c r="Q254" t="s">
        <v>153</v>
      </c>
    </row>
    <row r="255" spans="9:22" x14ac:dyDescent="0.45">
      <c r="I255" t="s">
        <v>174</v>
      </c>
      <c r="J255" t="s">
        <v>233</v>
      </c>
      <c r="K255">
        <v>2.746403377157728E-2</v>
      </c>
      <c r="L255" t="s">
        <v>153</v>
      </c>
      <c r="N255" t="s">
        <v>203</v>
      </c>
      <c r="O255" t="s">
        <v>233</v>
      </c>
      <c r="P255">
        <v>2.5896399167085925E-2</v>
      </c>
      <c r="Q255" t="s">
        <v>153</v>
      </c>
    </row>
    <row r="256" spans="9:22" x14ac:dyDescent="0.45">
      <c r="I256" t="s">
        <v>174</v>
      </c>
      <c r="J256" t="s">
        <v>234</v>
      </c>
      <c r="K256">
        <v>1.993281980957386E-3</v>
      </c>
      <c r="L256" t="s">
        <v>153</v>
      </c>
      <c r="N256" t="s">
        <v>203</v>
      </c>
      <c r="O256" t="s">
        <v>234</v>
      </c>
      <c r="P256">
        <v>0.18862657714294068</v>
      </c>
      <c r="Q256" t="s">
        <v>153</v>
      </c>
    </row>
    <row r="257" spans="9:17" x14ac:dyDescent="0.45">
      <c r="I257" t="s">
        <v>174</v>
      </c>
      <c r="J257" t="s">
        <v>156</v>
      </c>
      <c r="K257">
        <v>0</v>
      </c>
      <c r="L257" t="s">
        <v>153</v>
      </c>
      <c r="N257" t="s">
        <v>203</v>
      </c>
      <c r="O257" t="s">
        <v>156</v>
      </c>
      <c r="P257">
        <v>1.9392072543824922E-2</v>
      </c>
      <c r="Q257" t="s">
        <v>153</v>
      </c>
    </row>
    <row r="258" spans="9:17" x14ac:dyDescent="0.45">
      <c r="I258" t="s">
        <v>174</v>
      </c>
      <c r="J258" t="s">
        <v>157</v>
      </c>
      <c r="K258">
        <v>3.59998388391446E-3</v>
      </c>
      <c r="L258" t="s">
        <v>153</v>
      </c>
      <c r="N258" t="s">
        <v>203</v>
      </c>
      <c r="O258" t="s">
        <v>157</v>
      </c>
      <c r="P258">
        <v>3.8499343041250196E-3</v>
      </c>
      <c r="Q258" t="s">
        <v>153</v>
      </c>
    </row>
    <row r="259" spans="9:17" x14ac:dyDescent="0.45">
      <c r="I259" t="s">
        <v>174</v>
      </c>
      <c r="J259" t="s">
        <v>158</v>
      </c>
      <c r="K259">
        <v>7.9202545630817661E-2</v>
      </c>
      <c r="L259" t="s">
        <v>153</v>
      </c>
      <c r="N259" t="s">
        <v>203</v>
      </c>
      <c r="O259" t="s">
        <v>158</v>
      </c>
      <c r="P259">
        <v>3.4842426290060347E-2</v>
      </c>
      <c r="Q259" t="s">
        <v>153</v>
      </c>
    </row>
    <row r="260" spans="9:17" x14ac:dyDescent="0.45">
      <c r="I260" t="s">
        <v>174</v>
      </c>
      <c r="J260" t="s">
        <v>235</v>
      </c>
      <c r="K260">
        <v>4.9686929906538465E-3</v>
      </c>
      <c r="L260" t="s">
        <v>153</v>
      </c>
      <c r="N260" t="s">
        <v>203</v>
      </c>
      <c r="O260" t="s">
        <v>235</v>
      </c>
      <c r="P260">
        <v>1.4500359611218741E-3</v>
      </c>
      <c r="Q260" t="s">
        <v>153</v>
      </c>
    </row>
    <row r="261" spans="9:17" x14ac:dyDescent="0.45">
      <c r="I261" t="s">
        <v>174</v>
      </c>
      <c r="J261" t="s">
        <v>236</v>
      </c>
      <c r="K261">
        <v>3.032263150305024E-3</v>
      </c>
      <c r="L261" t="s">
        <v>153</v>
      </c>
      <c r="N261" t="s">
        <v>203</v>
      </c>
      <c r="O261" t="s">
        <v>236</v>
      </c>
      <c r="P261">
        <v>1.7920297432544316E-3</v>
      </c>
      <c r="Q261" t="s">
        <v>153</v>
      </c>
    </row>
    <row r="262" spans="9:17" x14ac:dyDescent="0.45">
      <c r="I262" t="s">
        <v>174</v>
      </c>
      <c r="J262" t="s">
        <v>237</v>
      </c>
      <c r="K262">
        <v>0</v>
      </c>
      <c r="L262" t="s">
        <v>153</v>
      </c>
      <c r="N262" t="s">
        <v>203</v>
      </c>
      <c r="O262" t="s">
        <v>237</v>
      </c>
      <c r="P262">
        <v>1.3406723497433963E-2</v>
      </c>
      <c r="Q262" t="s">
        <v>153</v>
      </c>
    </row>
    <row r="263" spans="9:17" x14ac:dyDescent="0.45">
      <c r="I263" t="s">
        <v>174</v>
      </c>
      <c r="J263" t="s">
        <v>159</v>
      </c>
      <c r="K263">
        <v>0</v>
      </c>
      <c r="L263" t="s">
        <v>153</v>
      </c>
      <c r="N263" t="s">
        <v>203</v>
      </c>
      <c r="O263" t="s">
        <v>159</v>
      </c>
      <c r="P263">
        <v>3.4912265517823352E-2</v>
      </c>
      <c r="Q263" t="s">
        <v>153</v>
      </c>
    </row>
    <row r="264" spans="9:17" x14ac:dyDescent="0.45">
      <c r="I264" t="s">
        <v>174</v>
      </c>
      <c r="J264" t="s">
        <v>160</v>
      </c>
      <c r="K264">
        <v>2.8885421422528848E-3</v>
      </c>
      <c r="L264" t="s">
        <v>153</v>
      </c>
      <c r="N264" t="s">
        <v>203</v>
      </c>
      <c r="O264" t="s">
        <v>160</v>
      </c>
      <c r="P264">
        <v>6.3581452143283007E-3</v>
      </c>
      <c r="Q264" t="s">
        <v>153</v>
      </c>
    </row>
    <row r="265" spans="9:17" x14ac:dyDescent="0.45">
      <c r="I265" t="s">
        <v>174</v>
      </c>
      <c r="J265" t="s">
        <v>161</v>
      </c>
      <c r="K265">
        <v>7.865471070391751E-2</v>
      </c>
      <c r="L265" t="s">
        <v>153</v>
      </c>
      <c r="N265" t="s">
        <v>203</v>
      </c>
      <c r="O265" t="s">
        <v>161</v>
      </c>
      <c r="P265">
        <v>5.929182043751615E-2</v>
      </c>
      <c r="Q265" t="s">
        <v>153</v>
      </c>
    </row>
    <row r="266" spans="9:17" x14ac:dyDescent="0.45">
      <c r="I266" t="s">
        <v>174</v>
      </c>
      <c r="J266" t="s">
        <v>238</v>
      </c>
      <c r="K266">
        <v>4.8780551374875214E-3</v>
      </c>
      <c r="L266" t="s">
        <v>153</v>
      </c>
      <c r="N266" t="s">
        <v>203</v>
      </c>
      <c r="O266" t="s">
        <v>238</v>
      </c>
      <c r="P266">
        <v>2.4701747537475456E-3</v>
      </c>
      <c r="Q266" t="s">
        <v>153</v>
      </c>
    </row>
    <row r="267" spans="9:17" x14ac:dyDescent="0.45">
      <c r="I267" t="s">
        <v>174</v>
      </c>
      <c r="J267" t="s">
        <v>239</v>
      </c>
      <c r="K267">
        <v>2.7496339406397107E-3</v>
      </c>
      <c r="L267" t="s">
        <v>153</v>
      </c>
      <c r="N267" t="s">
        <v>203</v>
      </c>
      <c r="O267" t="s">
        <v>239</v>
      </c>
      <c r="P267">
        <v>2.8861233028633377E-3</v>
      </c>
      <c r="Q267" t="s">
        <v>153</v>
      </c>
    </row>
    <row r="268" spans="9:17" x14ac:dyDescent="0.45">
      <c r="I268" t="s">
        <v>174</v>
      </c>
      <c r="J268" t="s">
        <v>240</v>
      </c>
      <c r="K268">
        <v>0</v>
      </c>
      <c r="L268" t="s">
        <v>153</v>
      </c>
      <c r="N268" t="s">
        <v>203</v>
      </c>
      <c r="O268" t="s">
        <v>240</v>
      </c>
      <c r="P268">
        <v>1.7761934361914495E-2</v>
      </c>
      <c r="Q268" t="s">
        <v>153</v>
      </c>
    </row>
    <row r="269" spans="9:17" x14ac:dyDescent="0.45">
      <c r="I269" t="s">
        <v>174</v>
      </c>
      <c r="J269" t="s">
        <v>162</v>
      </c>
      <c r="K269">
        <v>0</v>
      </c>
      <c r="L269" t="s">
        <v>153</v>
      </c>
      <c r="N269" t="s">
        <v>203</v>
      </c>
      <c r="O269" t="s">
        <v>162</v>
      </c>
      <c r="P269">
        <v>3.0307690847330634E-2</v>
      </c>
      <c r="Q269" t="s">
        <v>153</v>
      </c>
    </row>
    <row r="270" spans="9:17" x14ac:dyDescent="0.45">
      <c r="I270" t="s">
        <v>174</v>
      </c>
      <c r="J270" t="s">
        <v>163</v>
      </c>
      <c r="K270">
        <v>0</v>
      </c>
      <c r="L270" t="s">
        <v>153</v>
      </c>
      <c r="N270" t="s">
        <v>203</v>
      </c>
      <c r="O270" t="s">
        <v>163</v>
      </c>
      <c r="P270">
        <v>5.0673376334136348E-3</v>
      </c>
      <c r="Q270" t="s">
        <v>153</v>
      </c>
    </row>
    <row r="271" spans="9:17" x14ac:dyDescent="0.45">
      <c r="I271" t="s">
        <v>174</v>
      </c>
      <c r="J271" t="s">
        <v>164</v>
      </c>
      <c r="K271">
        <v>4.3154064375223525E-2</v>
      </c>
      <c r="L271" t="s">
        <v>153</v>
      </c>
      <c r="N271" t="s">
        <v>203</v>
      </c>
      <c r="O271" t="s">
        <v>164</v>
      </c>
      <c r="P271">
        <v>3.4859623178310768E-2</v>
      </c>
      <c r="Q271" t="s">
        <v>153</v>
      </c>
    </row>
    <row r="272" spans="9:17" x14ac:dyDescent="0.45">
      <c r="I272" t="s">
        <v>174</v>
      </c>
      <c r="J272" t="s">
        <v>241</v>
      </c>
      <c r="K272">
        <v>3.2155138218262916E-3</v>
      </c>
      <c r="L272" t="s">
        <v>153</v>
      </c>
      <c r="N272" t="s">
        <v>203</v>
      </c>
      <c r="O272" t="s">
        <v>241</v>
      </c>
      <c r="P272">
        <v>1.7046212233469494E-3</v>
      </c>
      <c r="Q272" t="s">
        <v>153</v>
      </c>
    </row>
    <row r="273" spans="9:17" x14ac:dyDescent="0.45">
      <c r="I273" t="s">
        <v>174</v>
      </c>
      <c r="J273" t="s">
        <v>242</v>
      </c>
      <c r="K273">
        <v>1.9168687502030949E-3</v>
      </c>
      <c r="L273" t="s">
        <v>153</v>
      </c>
      <c r="N273" t="s">
        <v>203</v>
      </c>
      <c r="O273" t="s">
        <v>242</v>
      </c>
      <c r="P273">
        <v>2.2353512172641988E-3</v>
      </c>
      <c r="Q273" t="s">
        <v>153</v>
      </c>
    </row>
    <row r="274" spans="9:17" x14ac:dyDescent="0.45">
      <c r="I274" t="s">
        <v>174</v>
      </c>
      <c r="J274" t="s">
        <v>243</v>
      </c>
      <c r="K274">
        <v>0</v>
      </c>
      <c r="L274" t="s">
        <v>153</v>
      </c>
      <c r="N274" t="s">
        <v>203</v>
      </c>
      <c r="O274" t="s">
        <v>243</v>
      </c>
      <c r="P274">
        <v>1.7771947759999636E-2</v>
      </c>
      <c r="Q274" t="s">
        <v>153</v>
      </c>
    </row>
    <row r="275" spans="9:17" x14ac:dyDescent="0.45">
      <c r="I275" t="s">
        <v>175</v>
      </c>
      <c r="J275" t="s">
        <v>152</v>
      </c>
      <c r="K275">
        <v>0</v>
      </c>
      <c r="L275" t="s">
        <v>153</v>
      </c>
      <c r="N275" t="s">
        <v>204</v>
      </c>
      <c r="O275" t="s">
        <v>152</v>
      </c>
      <c r="P275">
        <v>0.26412953674263784</v>
      </c>
      <c r="Q275" t="s">
        <v>153</v>
      </c>
    </row>
    <row r="276" spans="9:17" x14ac:dyDescent="0.45">
      <c r="I276" t="s">
        <v>175</v>
      </c>
      <c r="J276" t="s">
        <v>154</v>
      </c>
      <c r="K276">
        <v>2.0371195259975959E-2</v>
      </c>
      <c r="L276" t="s">
        <v>153</v>
      </c>
      <c r="N276" t="s">
        <v>204</v>
      </c>
      <c r="O276" t="s">
        <v>154</v>
      </c>
      <c r="P276">
        <v>2.9938407240008704E-2</v>
      </c>
      <c r="Q276" t="s">
        <v>153</v>
      </c>
    </row>
    <row r="277" spans="9:17" x14ac:dyDescent="0.45">
      <c r="I277" t="s">
        <v>175</v>
      </c>
      <c r="J277" t="s">
        <v>155</v>
      </c>
      <c r="K277">
        <v>0.72735715878927265</v>
      </c>
      <c r="L277" t="s">
        <v>153</v>
      </c>
      <c r="N277" t="s">
        <v>204</v>
      </c>
      <c r="O277" t="s">
        <v>155</v>
      </c>
      <c r="P277">
        <v>0.26989554904128715</v>
      </c>
      <c r="Q277" t="s">
        <v>153</v>
      </c>
    </row>
    <row r="278" spans="9:17" x14ac:dyDescent="0.45">
      <c r="I278" t="s">
        <v>175</v>
      </c>
      <c r="J278" t="s">
        <v>232</v>
      </c>
      <c r="K278">
        <v>4.9509094042300139E-2</v>
      </c>
      <c r="L278" t="s">
        <v>153</v>
      </c>
      <c r="N278" t="s">
        <v>204</v>
      </c>
      <c r="O278" t="s">
        <v>232</v>
      </c>
      <c r="P278">
        <v>2.6985423767001103E-2</v>
      </c>
      <c r="Q278" t="s">
        <v>153</v>
      </c>
    </row>
    <row r="279" spans="9:17" x14ac:dyDescent="0.45">
      <c r="I279" t="s">
        <v>175</v>
      </c>
      <c r="J279" t="s">
        <v>233</v>
      </c>
      <c r="K279">
        <v>3.0190046966923359E-2</v>
      </c>
      <c r="L279" t="s">
        <v>153</v>
      </c>
      <c r="N279" t="s">
        <v>204</v>
      </c>
      <c r="O279" t="s">
        <v>233</v>
      </c>
      <c r="P279">
        <v>2.7595424713239645E-2</v>
      </c>
      <c r="Q279" t="s">
        <v>153</v>
      </c>
    </row>
    <row r="280" spans="9:17" x14ac:dyDescent="0.45">
      <c r="I280" t="s">
        <v>175</v>
      </c>
      <c r="J280" t="s">
        <v>234</v>
      </c>
      <c r="K280">
        <v>0</v>
      </c>
      <c r="L280" t="s">
        <v>153</v>
      </c>
      <c r="N280" t="s">
        <v>204</v>
      </c>
      <c r="O280" t="s">
        <v>234</v>
      </c>
      <c r="P280">
        <v>0.16587549690571621</v>
      </c>
      <c r="Q280" t="s">
        <v>153</v>
      </c>
    </row>
    <row r="281" spans="9:17" x14ac:dyDescent="0.45">
      <c r="I281" t="s">
        <v>175</v>
      </c>
      <c r="J281" t="s">
        <v>156</v>
      </c>
      <c r="K281">
        <v>0</v>
      </c>
      <c r="L281" t="s">
        <v>153</v>
      </c>
      <c r="N281" t="s">
        <v>204</v>
      </c>
      <c r="O281" t="s">
        <v>156</v>
      </c>
      <c r="P281">
        <v>1.2510032237727703E-2</v>
      </c>
      <c r="Q281" t="s">
        <v>153</v>
      </c>
    </row>
    <row r="282" spans="9:17" x14ac:dyDescent="0.45">
      <c r="I282" t="s">
        <v>175</v>
      </c>
      <c r="J282" t="s">
        <v>157</v>
      </c>
      <c r="K282">
        <v>2.2111964652780296E-3</v>
      </c>
      <c r="L282" t="s">
        <v>153</v>
      </c>
      <c r="N282" t="s">
        <v>204</v>
      </c>
      <c r="O282" t="s">
        <v>157</v>
      </c>
      <c r="P282">
        <v>2.8894439282743131E-3</v>
      </c>
      <c r="Q282" t="s">
        <v>153</v>
      </c>
    </row>
    <row r="283" spans="9:17" x14ac:dyDescent="0.45">
      <c r="I283" t="s">
        <v>175</v>
      </c>
      <c r="J283" t="s">
        <v>158</v>
      </c>
      <c r="K283">
        <v>7.265329763772882E-2</v>
      </c>
      <c r="L283" t="s">
        <v>153</v>
      </c>
      <c r="N283" t="s">
        <v>204</v>
      </c>
      <c r="O283" t="s">
        <v>158</v>
      </c>
      <c r="P283">
        <v>1.8249872267903974E-2</v>
      </c>
      <c r="Q283" t="s">
        <v>153</v>
      </c>
    </row>
    <row r="284" spans="9:17" x14ac:dyDescent="0.45">
      <c r="I284" t="s">
        <v>175</v>
      </c>
      <c r="J284" t="s">
        <v>235</v>
      </c>
      <c r="K284">
        <v>4.0044871109372153E-3</v>
      </c>
      <c r="L284" t="s">
        <v>153</v>
      </c>
      <c r="N284" t="s">
        <v>204</v>
      </c>
      <c r="O284" t="s">
        <v>235</v>
      </c>
      <c r="P284">
        <v>8.0158698232060763E-4</v>
      </c>
      <c r="Q284" t="s">
        <v>153</v>
      </c>
    </row>
    <row r="285" spans="9:17" x14ac:dyDescent="0.45">
      <c r="I285" t="s">
        <v>175</v>
      </c>
      <c r="J285" t="s">
        <v>236</v>
      </c>
      <c r="K285">
        <v>2.2638007566839966E-3</v>
      </c>
      <c r="L285" t="s">
        <v>153</v>
      </c>
      <c r="N285" t="s">
        <v>204</v>
      </c>
      <c r="O285" t="s">
        <v>236</v>
      </c>
      <c r="P285">
        <v>1.1002605578848972E-3</v>
      </c>
      <c r="Q285" t="s">
        <v>153</v>
      </c>
    </row>
    <row r="286" spans="9:17" x14ac:dyDescent="0.45">
      <c r="I286" t="s">
        <v>175</v>
      </c>
      <c r="J286" t="s">
        <v>237</v>
      </c>
      <c r="K286">
        <v>0</v>
      </c>
      <c r="L286" t="s">
        <v>153</v>
      </c>
      <c r="N286" t="s">
        <v>204</v>
      </c>
      <c r="O286" t="s">
        <v>237</v>
      </c>
      <c r="P286">
        <v>8.7707230025764766E-3</v>
      </c>
      <c r="Q286" t="s">
        <v>153</v>
      </c>
    </row>
    <row r="287" spans="9:17" x14ac:dyDescent="0.45">
      <c r="I287" t="s">
        <v>175</v>
      </c>
      <c r="J287" t="s">
        <v>159</v>
      </c>
      <c r="K287">
        <v>0</v>
      </c>
      <c r="L287" t="s">
        <v>153</v>
      </c>
      <c r="N287" t="s">
        <v>204</v>
      </c>
      <c r="O287" t="s">
        <v>159</v>
      </c>
      <c r="P287">
        <v>3.0483270484556992E-2</v>
      </c>
      <c r="Q287" t="s">
        <v>153</v>
      </c>
    </row>
    <row r="288" spans="9:17" x14ac:dyDescent="0.45">
      <c r="I288" t="s">
        <v>175</v>
      </c>
      <c r="J288" t="s">
        <v>160</v>
      </c>
      <c r="K288">
        <v>1.459599243167688E-3</v>
      </c>
      <c r="L288" t="s">
        <v>153</v>
      </c>
      <c r="N288" t="s">
        <v>204</v>
      </c>
      <c r="O288" t="s">
        <v>160</v>
      </c>
      <c r="P288">
        <v>6.1430424009452081E-3</v>
      </c>
      <c r="Q288" t="s">
        <v>153</v>
      </c>
    </row>
    <row r="289" spans="9:17" x14ac:dyDescent="0.45">
      <c r="I289" t="s">
        <v>175</v>
      </c>
      <c r="J289" t="s">
        <v>161</v>
      </c>
      <c r="K289">
        <v>5.4213895426736228E-2</v>
      </c>
      <c r="L289" t="s">
        <v>153</v>
      </c>
      <c r="N289" t="s">
        <v>204</v>
      </c>
      <c r="O289" t="s">
        <v>161</v>
      </c>
      <c r="P289">
        <v>3.5023867162233581E-2</v>
      </c>
      <c r="Q289" t="s">
        <v>153</v>
      </c>
    </row>
    <row r="290" spans="9:17" x14ac:dyDescent="0.45">
      <c r="I290" t="s">
        <v>175</v>
      </c>
      <c r="J290" t="s">
        <v>238</v>
      </c>
      <c r="K290">
        <v>3.2410556113151158E-3</v>
      </c>
      <c r="L290" t="s">
        <v>153</v>
      </c>
      <c r="N290" t="s">
        <v>204</v>
      </c>
      <c r="O290" t="s">
        <v>238</v>
      </c>
      <c r="P290">
        <v>1.5724359780725037E-3</v>
      </c>
      <c r="Q290" t="s">
        <v>153</v>
      </c>
    </row>
    <row r="291" spans="9:17" x14ac:dyDescent="0.45">
      <c r="I291" t="s">
        <v>175</v>
      </c>
      <c r="J291" t="s">
        <v>239</v>
      </c>
      <c r="K291">
        <v>1.7484609591270693E-3</v>
      </c>
      <c r="L291" t="s">
        <v>153</v>
      </c>
      <c r="N291" t="s">
        <v>204</v>
      </c>
      <c r="O291" t="s">
        <v>239</v>
      </c>
      <c r="P291">
        <v>2.0233289235105185E-3</v>
      </c>
      <c r="Q291" t="s">
        <v>153</v>
      </c>
    </row>
    <row r="292" spans="9:17" x14ac:dyDescent="0.45">
      <c r="I292" t="s">
        <v>175</v>
      </c>
      <c r="J292" t="s">
        <v>240</v>
      </c>
      <c r="K292">
        <v>0</v>
      </c>
      <c r="L292" t="s">
        <v>153</v>
      </c>
      <c r="N292" t="s">
        <v>204</v>
      </c>
      <c r="O292" t="s">
        <v>240</v>
      </c>
      <c r="P292">
        <v>1.3455778211227641E-2</v>
      </c>
      <c r="Q292" t="s">
        <v>153</v>
      </c>
    </row>
    <row r="293" spans="9:17" x14ac:dyDescent="0.45">
      <c r="I293" t="s">
        <v>175</v>
      </c>
      <c r="J293" t="s">
        <v>162</v>
      </c>
      <c r="K293">
        <v>0</v>
      </c>
      <c r="L293" t="s">
        <v>153</v>
      </c>
      <c r="N293" t="s">
        <v>204</v>
      </c>
      <c r="O293" t="s">
        <v>162</v>
      </c>
      <c r="P293">
        <v>2.8310219005493534E-2</v>
      </c>
      <c r="Q293" t="s">
        <v>153</v>
      </c>
    </row>
    <row r="294" spans="9:17" x14ac:dyDescent="0.45">
      <c r="I294" t="s">
        <v>175</v>
      </c>
      <c r="J294" t="s">
        <v>163</v>
      </c>
      <c r="K294">
        <v>6.4823614064654048E-4</v>
      </c>
      <c r="L294" t="s">
        <v>153</v>
      </c>
      <c r="N294" t="s">
        <v>204</v>
      </c>
      <c r="O294" t="s">
        <v>163</v>
      </c>
      <c r="P294">
        <v>5.8662612188758057E-3</v>
      </c>
      <c r="Q294" t="s">
        <v>153</v>
      </c>
    </row>
    <row r="295" spans="9:17" x14ac:dyDescent="0.45">
      <c r="I295" t="s">
        <v>175</v>
      </c>
      <c r="J295" t="s">
        <v>164</v>
      </c>
      <c r="K295">
        <v>2.754205020595445E-2</v>
      </c>
      <c r="L295" t="s">
        <v>153</v>
      </c>
      <c r="N295" t="s">
        <v>204</v>
      </c>
      <c r="O295" t="s">
        <v>164</v>
      </c>
      <c r="P295">
        <v>2.8870412596734937E-2</v>
      </c>
      <c r="Q295" t="s">
        <v>153</v>
      </c>
    </row>
    <row r="296" spans="9:17" x14ac:dyDescent="0.45">
      <c r="I296" t="s">
        <v>175</v>
      </c>
      <c r="J296" t="s">
        <v>241</v>
      </c>
      <c r="K296">
        <v>1.6673022323397215E-3</v>
      </c>
      <c r="L296" t="s">
        <v>153</v>
      </c>
      <c r="N296" t="s">
        <v>204</v>
      </c>
      <c r="O296" t="s">
        <v>241</v>
      </c>
      <c r="P296">
        <v>9.6666147249203623E-4</v>
      </c>
      <c r="Q296" t="s">
        <v>153</v>
      </c>
    </row>
    <row r="297" spans="9:17" x14ac:dyDescent="0.45">
      <c r="I297" t="s">
        <v>175</v>
      </c>
      <c r="J297" t="s">
        <v>242</v>
      </c>
      <c r="K297">
        <v>9.1912315161262902E-4</v>
      </c>
      <c r="L297" t="s">
        <v>153</v>
      </c>
      <c r="N297" t="s">
        <v>204</v>
      </c>
      <c r="O297" t="s">
        <v>242</v>
      </c>
      <c r="P297">
        <v>1.5752355305566179E-3</v>
      </c>
      <c r="Q297" t="s">
        <v>153</v>
      </c>
    </row>
    <row r="298" spans="9:17" x14ac:dyDescent="0.45">
      <c r="I298" t="s">
        <v>175</v>
      </c>
      <c r="J298" t="s">
        <v>243</v>
      </c>
      <c r="K298">
        <v>0</v>
      </c>
      <c r="L298" t="s">
        <v>153</v>
      </c>
      <c r="N298" t="s">
        <v>204</v>
      </c>
      <c r="O298" t="s">
        <v>243</v>
      </c>
      <c r="P298">
        <v>1.6967729628722481E-2</v>
      </c>
      <c r="Q298" t="s">
        <v>153</v>
      </c>
    </row>
    <row r="299" spans="9:17" x14ac:dyDescent="0.45">
      <c r="I299" t="s">
        <v>176</v>
      </c>
      <c r="J299" t="s">
        <v>152</v>
      </c>
      <c r="K299">
        <v>1.4254105475636616E-2</v>
      </c>
      <c r="L299" t="s">
        <v>153</v>
      </c>
      <c r="N299" t="s">
        <v>205</v>
      </c>
      <c r="O299" t="s">
        <v>152</v>
      </c>
      <c r="P299">
        <v>0.17465679657183042</v>
      </c>
      <c r="Q299" t="s">
        <v>153</v>
      </c>
    </row>
    <row r="300" spans="9:17" x14ac:dyDescent="0.45">
      <c r="I300" t="s">
        <v>176</v>
      </c>
      <c r="J300" t="s">
        <v>154</v>
      </c>
      <c r="K300">
        <v>4.2959551407051759E-2</v>
      </c>
      <c r="L300" t="s">
        <v>153</v>
      </c>
      <c r="N300" t="s">
        <v>205</v>
      </c>
      <c r="O300" t="s">
        <v>154</v>
      </c>
      <c r="P300">
        <v>2.3158744713762541E-2</v>
      </c>
      <c r="Q300" t="s">
        <v>153</v>
      </c>
    </row>
    <row r="301" spans="9:17" x14ac:dyDescent="0.45">
      <c r="I301" t="s">
        <v>176</v>
      </c>
      <c r="J301" t="s">
        <v>155</v>
      </c>
      <c r="K301">
        <v>0.70668940926438828</v>
      </c>
      <c r="L301" t="s">
        <v>153</v>
      </c>
      <c r="N301" t="s">
        <v>205</v>
      </c>
      <c r="O301" t="s">
        <v>155</v>
      </c>
      <c r="P301">
        <v>0.30215333709330805</v>
      </c>
      <c r="Q301" t="s">
        <v>153</v>
      </c>
    </row>
    <row r="302" spans="9:17" x14ac:dyDescent="0.45">
      <c r="I302" t="s">
        <v>176</v>
      </c>
      <c r="J302" t="s">
        <v>232</v>
      </c>
      <c r="K302">
        <v>3.2692927632176245E-2</v>
      </c>
      <c r="L302" t="s">
        <v>153</v>
      </c>
      <c r="N302" t="s">
        <v>205</v>
      </c>
      <c r="O302" t="s">
        <v>232</v>
      </c>
      <c r="P302">
        <v>3.3179042340436227E-2</v>
      </c>
      <c r="Q302" t="s">
        <v>153</v>
      </c>
    </row>
    <row r="303" spans="9:17" x14ac:dyDescent="0.45">
      <c r="I303" t="s">
        <v>176</v>
      </c>
      <c r="J303" t="s">
        <v>233</v>
      </c>
      <c r="K303">
        <v>5.0287687991934123E-3</v>
      </c>
      <c r="L303" t="s">
        <v>153</v>
      </c>
      <c r="N303" t="s">
        <v>205</v>
      </c>
      <c r="O303" t="s">
        <v>233</v>
      </c>
      <c r="P303">
        <v>3.1473692050087584E-2</v>
      </c>
      <c r="Q303" t="s">
        <v>153</v>
      </c>
    </row>
    <row r="304" spans="9:17" x14ac:dyDescent="0.45">
      <c r="I304" t="s">
        <v>176</v>
      </c>
      <c r="J304" t="s">
        <v>234</v>
      </c>
      <c r="K304">
        <v>0</v>
      </c>
      <c r="L304" t="s">
        <v>153</v>
      </c>
      <c r="N304" t="s">
        <v>205</v>
      </c>
      <c r="O304" t="s">
        <v>234</v>
      </c>
      <c r="P304">
        <v>0.13710681742642009</v>
      </c>
      <c r="Q304" t="s">
        <v>153</v>
      </c>
    </row>
    <row r="305" spans="9:17" x14ac:dyDescent="0.45">
      <c r="I305" t="s">
        <v>176</v>
      </c>
      <c r="J305" t="s">
        <v>156</v>
      </c>
      <c r="K305">
        <v>2.6132423254717997E-3</v>
      </c>
      <c r="L305" t="s">
        <v>153</v>
      </c>
      <c r="N305" t="s">
        <v>205</v>
      </c>
      <c r="O305" t="s">
        <v>156</v>
      </c>
      <c r="P305">
        <v>9.6225956661312936E-3</v>
      </c>
      <c r="Q305" t="s">
        <v>153</v>
      </c>
    </row>
    <row r="306" spans="9:17" x14ac:dyDescent="0.45">
      <c r="I306" t="s">
        <v>176</v>
      </c>
      <c r="J306" t="s">
        <v>157</v>
      </c>
      <c r="K306">
        <v>5.3483574858795785E-3</v>
      </c>
      <c r="L306" t="s">
        <v>153</v>
      </c>
      <c r="N306" t="s">
        <v>205</v>
      </c>
      <c r="O306" t="s">
        <v>157</v>
      </c>
      <c r="P306">
        <v>1.4885502494480141E-3</v>
      </c>
      <c r="Q306" t="s">
        <v>153</v>
      </c>
    </row>
    <row r="307" spans="9:17" x14ac:dyDescent="0.45">
      <c r="I307" t="s">
        <v>176</v>
      </c>
      <c r="J307" t="s">
        <v>158</v>
      </c>
      <c r="K307">
        <v>7.5951360583520713E-2</v>
      </c>
      <c r="L307" t="s">
        <v>153</v>
      </c>
      <c r="N307" t="s">
        <v>205</v>
      </c>
      <c r="O307" t="s">
        <v>158</v>
      </c>
      <c r="P307">
        <v>2.2739004471403469E-2</v>
      </c>
      <c r="Q307" t="s">
        <v>153</v>
      </c>
    </row>
    <row r="308" spans="9:17" x14ac:dyDescent="0.45">
      <c r="I308" t="s">
        <v>176</v>
      </c>
      <c r="J308" t="s">
        <v>235</v>
      </c>
      <c r="K308">
        <v>2.6477484470043481E-3</v>
      </c>
      <c r="L308" t="s">
        <v>153</v>
      </c>
      <c r="N308" t="s">
        <v>205</v>
      </c>
      <c r="O308" t="s">
        <v>235</v>
      </c>
      <c r="P308">
        <v>1.4195566389528531E-3</v>
      </c>
      <c r="Q308" t="s">
        <v>153</v>
      </c>
    </row>
    <row r="309" spans="9:17" x14ac:dyDescent="0.45">
      <c r="I309" t="s">
        <v>176</v>
      </c>
      <c r="J309" t="s">
        <v>236</v>
      </c>
      <c r="K309">
        <v>0</v>
      </c>
      <c r="L309" t="s">
        <v>153</v>
      </c>
      <c r="N309" t="s">
        <v>205</v>
      </c>
      <c r="O309" t="s">
        <v>236</v>
      </c>
      <c r="P309">
        <v>1.4439523629953691E-3</v>
      </c>
      <c r="Q309" t="s">
        <v>153</v>
      </c>
    </row>
    <row r="310" spans="9:17" x14ac:dyDescent="0.45">
      <c r="I310" t="s">
        <v>176</v>
      </c>
      <c r="J310" t="s">
        <v>237</v>
      </c>
      <c r="K310">
        <v>0</v>
      </c>
      <c r="L310" t="s">
        <v>153</v>
      </c>
      <c r="N310" t="s">
        <v>205</v>
      </c>
      <c r="O310" t="s">
        <v>237</v>
      </c>
      <c r="P310">
        <v>7.2418461950314629E-3</v>
      </c>
      <c r="Q310" t="s">
        <v>153</v>
      </c>
    </row>
    <row r="311" spans="9:17" x14ac:dyDescent="0.45">
      <c r="I311" t="s">
        <v>176</v>
      </c>
      <c r="J311" t="s">
        <v>159</v>
      </c>
      <c r="K311">
        <v>6.4079828709979764E-4</v>
      </c>
      <c r="L311" t="s">
        <v>153</v>
      </c>
      <c r="N311" t="s">
        <v>205</v>
      </c>
      <c r="O311" t="s">
        <v>159</v>
      </c>
      <c r="P311">
        <v>3.8064245439253699E-2</v>
      </c>
      <c r="Q311" t="s">
        <v>153</v>
      </c>
    </row>
    <row r="312" spans="9:17" x14ac:dyDescent="0.45">
      <c r="I312" t="s">
        <v>176</v>
      </c>
      <c r="J312" t="s">
        <v>160</v>
      </c>
      <c r="K312">
        <v>3.7981306423821026E-3</v>
      </c>
      <c r="L312" t="s">
        <v>153</v>
      </c>
      <c r="N312" t="s">
        <v>205</v>
      </c>
      <c r="O312" t="s">
        <v>160</v>
      </c>
      <c r="P312">
        <v>7.0489669008256105E-3</v>
      </c>
      <c r="Q312" t="s">
        <v>153</v>
      </c>
    </row>
    <row r="313" spans="9:17" x14ac:dyDescent="0.45">
      <c r="I313" t="s">
        <v>176</v>
      </c>
      <c r="J313" t="s">
        <v>161</v>
      </c>
      <c r="K313">
        <v>6.2970461382804793E-2</v>
      </c>
      <c r="L313" t="s">
        <v>153</v>
      </c>
      <c r="N313" t="s">
        <v>205</v>
      </c>
      <c r="O313" t="s">
        <v>161</v>
      </c>
      <c r="P313">
        <v>6.431661632344457E-2</v>
      </c>
      <c r="Q313" t="s">
        <v>153</v>
      </c>
    </row>
    <row r="314" spans="9:17" x14ac:dyDescent="0.45">
      <c r="I314" t="s">
        <v>176</v>
      </c>
      <c r="J314" t="s">
        <v>238</v>
      </c>
      <c r="K314">
        <v>2.1151422329805892E-3</v>
      </c>
      <c r="L314" t="s">
        <v>153</v>
      </c>
      <c r="N314" t="s">
        <v>205</v>
      </c>
      <c r="O314" t="s">
        <v>238</v>
      </c>
      <c r="P314">
        <v>4.2131330772493666E-3</v>
      </c>
      <c r="Q314" t="s">
        <v>153</v>
      </c>
    </row>
    <row r="315" spans="9:17" x14ac:dyDescent="0.45">
      <c r="I315" t="s">
        <v>176</v>
      </c>
      <c r="J315" t="s">
        <v>239</v>
      </c>
      <c r="K315">
        <v>0</v>
      </c>
      <c r="L315" t="s">
        <v>153</v>
      </c>
      <c r="N315" t="s">
        <v>205</v>
      </c>
      <c r="O315" t="s">
        <v>239</v>
      </c>
      <c r="P315">
        <v>4.1258488499420704E-3</v>
      </c>
      <c r="Q315" t="s">
        <v>153</v>
      </c>
    </row>
    <row r="316" spans="9:17" x14ac:dyDescent="0.45">
      <c r="I316" t="s">
        <v>176</v>
      </c>
      <c r="J316" t="s">
        <v>240</v>
      </c>
      <c r="K316">
        <v>0</v>
      </c>
      <c r="L316" t="s">
        <v>153</v>
      </c>
      <c r="N316" t="s">
        <v>205</v>
      </c>
      <c r="O316" t="s">
        <v>240</v>
      </c>
      <c r="P316">
        <v>2.0294188868990103E-2</v>
      </c>
      <c r="Q316" t="s">
        <v>153</v>
      </c>
    </row>
    <row r="317" spans="9:17" x14ac:dyDescent="0.45">
      <c r="I317" t="s">
        <v>176</v>
      </c>
      <c r="J317" t="s">
        <v>162</v>
      </c>
      <c r="K317">
        <v>0</v>
      </c>
      <c r="L317" t="s">
        <v>153</v>
      </c>
      <c r="N317" t="s">
        <v>205</v>
      </c>
      <c r="O317" t="s">
        <v>162</v>
      </c>
      <c r="P317">
        <v>3.1072206505401372E-2</v>
      </c>
      <c r="Q317" t="s">
        <v>153</v>
      </c>
    </row>
    <row r="318" spans="9:17" x14ac:dyDescent="0.45">
      <c r="I318" t="s">
        <v>176</v>
      </c>
      <c r="J318" t="s">
        <v>163</v>
      </c>
      <c r="K318">
        <v>2.5892779382901297E-3</v>
      </c>
      <c r="L318" t="s">
        <v>153</v>
      </c>
      <c r="N318" t="s">
        <v>205</v>
      </c>
      <c r="O318" t="s">
        <v>163</v>
      </c>
      <c r="P318">
        <v>5.4229249324229869E-3</v>
      </c>
      <c r="Q318" t="s">
        <v>153</v>
      </c>
    </row>
    <row r="319" spans="9:17" x14ac:dyDescent="0.45">
      <c r="I319" t="s">
        <v>176</v>
      </c>
      <c r="J319" t="s">
        <v>164</v>
      </c>
      <c r="K319">
        <v>3.7929436165551611E-2</v>
      </c>
      <c r="L319" t="s">
        <v>153</v>
      </c>
      <c r="N319" t="s">
        <v>205</v>
      </c>
      <c r="O319" t="s">
        <v>164</v>
      </c>
      <c r="P319">
        <v>5.2568066583839355E-2</v>
      </c>
      <c r="Q319" t="s">
        <v>153</v>
      </c>
    </row>
    <row r="320" spans="9:17" x14ac:dyDescent="0.45">
      <c r="I320" t="s">
        <v>176</v>
      </c>
      <c r="J320" t="s">
        <v>241</v>
      </c>
      <c r="K320">
        <v>1.7712819305692874E-3</v>
      </c>
      <c r="L320" t="s">
        <v>153</v>
      </c>
      <c r="N320" t="s">
        <v>205</v>
      </c>
      <c r="O320" t="s">
        <v>241</v>
      </c>
      <c r="P320">
        <v>4.2423745665147667E-3</v>
      </c>
      <c r="Q320" t="s">
        <v>153</v>
      </c>
    </row>
    <row r="321" spans="9:17" x14ac:dyDescent="0.45">
      <c r="I321" t="s">
        <v>176</v>
      </c>
      <c r="J321" t="s">
        <v>242</v>
      </c>
      <c r="K321">
        <v>0</v>
      </c>
      <c r="L321" t="s">
        <v>153</v>
      </c>
      <c r="N321" t="s">
        <v>205</v>
      </c>
      <c r="O321" t="s">
        <v>242</v>
      </c>
      <c r="P321">
        <v>4.271430566935016E-3</v>
      </c>
      <c r="Q321" t="s">
        <v>153</v>
      </c>
    </row>
    <row r="322" spans="9:17" x14ac:dyDescent="0.45">
      <c r="I322" t="s">
        <v>176</v>
      </c>
      <c r="J322" t="s">
        <v>243</v>
      </c>
      <c r="K322">
        <v>0</v>
      </c>
      <c r="L322" t="s">
        <v>153</v>
      </c>
      <c r="N322" t="s">
        <v>205</v>
      </c>
      <c r="O322" t="s">
        <v>243</v>
      </c>
      <c r="P322">
        <v>1.8676061605374751E-2</v>
      </c>
      <c r="Q322" t="s">
        <v>153</v>
      </c>
    </row>
    <row r="323" spans="9:17" x14ac:dyDescent="0.45">
      <c r="I323" t="s">
        <v>177</v>
      </c>
      <c r="J323" t="s">
        <v>152</v>
      </c>
      <c r="K323">
        <v>1.7373154134707487E-2</v>
      </c>
      <c r="L323" t="s">
        <v>153</v>
      </c>
      <c r="N323" t="s">
        <v>206</v>
      </c>
      <c r="O323" t="s">
        <v>152</v>
      </c>
      <c r="P323">
        <v>0.16161909798467469</v>
      </c>
      <c r="Q323" t="s">
        <v>153</v>
      </c>
    </row>
    <row r="324" spans="9:17" x14ac:dyDescent="0.45">
      <c r="I324" t="s">
        <v>177</v>
      </c>
      <c r="J324" t="s">
        <v>154</v>
      </c>
      <c r="K324">
        <v>4.4929568034338674E-2</v>
      </c>
      <c r="L324" t="s">
        <v>153</v>
      </c>
      <c r="N324" t="s">
        <v>206</v>
      </c>
      <c r="O324" t="s">
        <v>154</v>
      </c>
      <c r="P324">
        <v>1.7217182039518275E-2</v>
      </c>
      <c r="Q324" t="s">
        <v>153</v>
      </c>
    </row>
    <row r="325" spans="9:17" x14ac:dyDescent="0.45">
      <c r="I325" t="s">
        <v>177</v>
      </c>
      <c r="J325" t="s">
        <v>155</v>
      </c>
      <c r="K325">
        <v>0.7233329402497638</v>
      </c>
      <c r="L325" t="s">
        <v>153</v>
      </c>
      <c r="N325" t="s">
        <v>206</v>
      </c>
      <c r="O325" t="s">
        <v>155</v>
      </c>
      <c r="P325">
        <v>0.34504073223367782</v>
      </c>
      <c r="Q325" t="s">
        <v>153</v>
      </c>
    </row>
    <row r="326" spans="9:17" x14ac:dyDescent="0.45">
      <c r="I326" t="s">
        <v>177</v>
      </c>
      <c r="J326" t="s">
        <v>232</v>
      </c>
      <c r="K326">
        <v>2.9262206246777736E-2</v>
      </c>
      <c r="L326" t="s">
        <v>153</v>
      </c>
      <c r="N326" t="s">
        <v>206</v>
      </c>
      <c r="O326" t="s">
        <v>232</v>
      </c>
      <c r="P326">
        <v>3.7856506947542327E-2</v>
      </c>
      <c r="Q326" t="s">
        <v>153</v>
      </c>
    </row>
    <row r="327" spans="9:17" x14ac:dyDescent="0.45">
      <c r="I327" t="s">
        <v>177</v>
      </c>
      <c r="J327" t="s">
        <v>233</v>
      </c>
      <c r="K327">
        <v>8.4433158669847662E-4</v>
      </c>
      <c r="L327" t="s">
        <v>153</v>
      </c>
      <c r="N327" t="s">
        <v>206</v>
      </c>
      <c r="O327" t="s">
        <v>233</v>
      </c>
      <c r="P327">
        <v>3.7445702053491625E-2</v>
      </c>
      <c r="Q327" t="s">
        <v>153</v>
      </c>
    </row>
    <row r="328" spans="9:17" x14ac:dyDescent="0.45">
      <c r="I328" t="s">
        <v>177</v>
      </c>
      <c r="J328" t="s">
        <v>234</v>
      </c>
      <c r="K328">
        <v>0</v>
      </c>
      <c r="L328" t="s">
        <v>153</v>
      </c>
      <c r="N328" t="s">
        <v>206</v>
      </c>
      <c r="O328" t="s">
        <v>234</v>
      </c>
      <c r="P328">
        <v>0.14947828815558203</v>
      </c>
      <c r="Q328" t="s">
        <v>153</v>
      </c>
    </row>
    <row r="329" spans="9:17" x14ac:dyDescent="0.45">
      <c r="I329" t="s">
        <v>177</v>
      </c>
      <c r="J329" t="s">
        <v>156</v>
      </c>
      <c r="K329">
        <v>2.1488259067268187E-3</v>
      </c>
      <c r="L329" t="s">
        <v>153</v>
      </c>
      <c r="N329" t="s">
        <v>206</v>
      </c>
      <c r="O329" t="s">
        <v>156</v>
      </c>
      <c r="P329">
        <v>4.8910719810661314E-3</v>
      </c>
      <c r="Q329" t="s">
        <v>153</v>
      </c>
    </row>
    <row r="330" spans="9:17" x14ac:dyDescent="0.45">
      <c r="I330" t="s">
        <v>177</v>
      </c>
      <c r="J330" t="s">
        <v>157</v>
      </c>
      <c r="K330">
        <v>4.668204896087623E-3</v>
      </c>
      <c r="L330" t="s">
        <v>153</v>
      </c>
      <c r="N330" t="s">
        <v>206</v>
      </c>
      <c r="O330" t="s">
        <v>157</v>
      </c>
      <c r="P330">
        <v>5.5166548416795216E-4</v>
      </c>
      <c r="Q330" t="s">
        <v>153</v>
      </c>
    </row>
    <row r="331" spans="9:17" x14ac:dyDescent="0.45">
      <c r="I331" t="s">
        <v>177</v>
      </c>
      <c r="J331" t="s">
        <v>158</v>
      </c>
      <c r="K331">
        <v>7.15245534330783E-2</v>
      </c>
      <c r="L331" t="s">
        <v>153</v>
      </c>
      <c r="N331" t="s">
        <v>206</v>
      </c>
      <c r="O331" t="s">
        <v>158</v>
      </c>
      <c r="P331">
        <v>1.2295436545823426E-2</v>
      </c>
      <c r="Q331" t="s">
        <v>153</v>
      </c>
    </row>
    <row r="332" spans="9:17" x14ac:dyDescent="0.45">
      <c r="I332" t="s">
        <v>177</v>
      </c>
      <c r="J332" t="s">
        <v>235</v>
      </c>
      <c r="K332">
        <v>1.7206492259380791E-3</v>
      </c>
      <c r="L332" t="s">
        <v>153</v>
      </c>
      <c r="N332" t="s">
        <v>206</v>
      </c>
      <c r="O332" t="s">
        <v>235</v>
      </c>
      <c r="P332">
        <v>1.3715719152902499E-3</v>
      </c>
      <c r="Q332" t="s">
        <v>153</v>
      </c>
    </row>
    <row r="333" spans="9:17" x14ac:dyDescent="0.45">
      <c r="I333" t="s">
        <v>177</v>
      </c>
      <c r="J333" t="s">
        <v>236</v>
      </c>
      <c r="K333">
        <v>0</v>
      </c>
      <c r="L333" t="s">
        <v>153</v>
      </c>
      <c r="N333" t="s">
        <v>206</v>
      </c>
      <c r="O333" t="s">
        <v>236</v>
      </c>
      <c r="P333">
        <v>1.3337306813148001E-3</v>
      </c>
      <c r="Q333" t="s">
        <v>153</v>
      </c>
    </row>
    <row r="334" spans="9:17" x14ac:dyDescent="0.45">
      <c r="I334" t="s">
        <v>177</v>
      </c>
      <c r="J334" t="s">
        <v>237</v>
      </c>
      <c r="K334">
        <v>0</v>
      </c>
      <c r="L334" t="s">
        <v>153</v>
      </c>
      <c r="N334" t="s">
        <v>206</v>
      </c>
      <c r="O334" t="s">
        <v>237</v>
      </c>
      <c r="P334">
        <v>5.0815701923259205E-3</v>
      </c>
      <c r="Q334" t="s">
        <v>153</v>
      </c>
    </row>
    <row r="335" spans="9:17" x14ac:dyDescent="0.45">
      <c r="I335" t="s">
        <v>177</v>
      </c>
      <c r="J335" t="s">
        <v>159</v>
      </c>
      <c r="K335">
        <v>1.7001294387392271E-3</v>
      </c>
      <c r="L335" t="s">
        <v>153</v>
      </c>
      <c r="N335" t="s">
        <v>206</v>
      </c>
      <c r="O335" t="s">
        <v>159</v>
      </c>
      <c r="P335">
        <v>3.1198977058395524E-2</v>
      </c>
      <c r="Q335" t="s">
        <v>153</v>
      </c>
    </row>
    <row r="336" spans="9:17" x14ac:dyDescent="0.45">
      <c r="I336" t="s">
        <v>177</v>
      </c>
      <c r="J336" t="s">
        <v>160</v>
      </c>
      <c r="K336">
        <v>3.8372549885994111E-3</v>
      </c>
      <c r="L336" t="s">
        <v>153</v>
      </c>
      <c r="N336" t="s">
        <v>206</v>
      </c>
      <c r="O336" t="s">
        <v>160</v>
      </c>
      <c r="P336">
        <v>3.8611180902467595E-3</v>
      </c>
      <c r="Q336" t="s">
        <v>153</v>
      </c>
    </row>
    <row r="337" spans="9:17" x14ac:dyDescent="0.45">
      <c r="I337" t="s">
        <v>177</v>
      </c>
      <c r="J337" t="s">
        <v>161</v>
      </c>
      <c r="K337">
        <v>6.0070523280484497E-2</v>
      </c>
      <c r="L337" t="s">
        <v>153</v>
      </c>
      <c r="N337" t="s">
        <v>206</v>
      </c>
      <c r="O337" t="s">
        <v>161</v>
      </c>
      <c r="P337">
        <v>6.3722669143647243E-2</v>
      </c>
      <c r="Q337" t="s">
        <v>153</v>
      </c>
    </row>
    <row r="338" spans="9:17" x14ac:dyDescent="0.45">
      <c r="I338" t="s">
        <v>177</v>
      </c>
      <c r="J338" t="s">
        <v>238</v>
      </c>
      <c r="K338">
        <v>1.7140803791962796E-3</v>
      </c>
      <c r="L338" t="s">
        <v>153</v>
      </c>
      <c r="N338" t="s">
        <v>206</v>
      </c>
      <c r="O338" t="s">
        <v>238</v>
      </c>
      <c r="P338">
        <v>7.3049484900962174E-3</v>
      </c>
      <c r="Q338" t="s">
        <v>153</v>
      </c>
    </row>
    <row r="339" spans="9:17" x14ac:dyDescent="0.45">
      <c r="I339" t="s">
        <v>177</v>
      </c>
      <c r="J339" t="s">
        <v>239</v>
      </c>
      <c r="K339">
        <v>0</v>
      </c>
      <c r="L339" t="s">
        <v>153</v>
      </c>
      <c r="N339" t="s">
        <v>206</v>
      </c>
      <c r="O339" t="s">
        <v>239</v>
      </c>
      <c r="P339">
        <v>7.4816052450478211E-3</v>
      </c>
      <c r="Q339" t="s">
        <v>153</v>
      </c>
    </row>
    <row r="340" spans="9:17" x14ac:dyDescent="0.45">
      <c r="I340" t="s">
        <v>177</v>
      </c>
      <c r="J340" t="s">
        <v>240</v>
      </c>
      <c r="K340">
        <v>0</v>
      </c>
      <c r="L340" t="s">
        <v>153</v>
      </c>
      <c r="N340" t="s">
        <v>206</v>
      </c>
      <c r="O340" t="s">
        <v>240</v>
      </c>
      <c r="P340">
        <v>3.1680285096635161E-2</v>
      </c>
      <c r="Q340" t="s">
        <v>153</v>
      </c>
    </row>
    <row r="341" spans="9:17" x14ac:dyDescent="0.45">
      <c r="I341" t="s">
        <v>177</v>
      </c>
      <c r="J341" t="s">
        <v>162</v>
      </c>
      <c r="K341">
        <v>1.6108043380879425E-4</v>
      </c>
      <c r="L341" t="s">
        <v>153</v>
      </c>
      <c r="N341" t="s">
        <v>206</v>
      </c>
      <c r="O341" t="s">
        <v>162</v>
      </c>
      <c r="P341">
        <v>1.4321686483994728E-2</v>
      </c>
      <c r="Q341" t="s">
        <v>153</v>
      </c>
    </row>
    <row r="342" spans="9:17" x14ac:dyDescent="0.45">
      <c r="I342" t="s">
        <v>177</v>
      </c>
      <c r="J342" t="s">
        <v>163</v>
      </c>
      <c r="K342">
        <v>2.0192364248253713E-3</v>
      </c>
      <c r="L342" t="s">
        <v>153</v>
      </c>
      <c r="N342" t="s">
        <v>206</v>
      </c>
      <c r="O342" t="s">
        <v>163</v>
      </c>
      <c r="P342">
        <v>2.1919182935264598E-3</v>
      </c>
      <c r="Q342" t="s">
        <v>153</v>
      </c>
    </row>
    <row r="343" spans="9:17" x14ac:dyDescent="0.45">
      <c r="I343" t="s">
        <v>177</v>
      </c>
      <c r="J343" t="s">
        <v>164</v>
      </c>
      <c r="K343">
        <v>3.3524221762289169E-2</v>
      </c>
      <c r="L343" t="s">
        <v>153</v>
      </c>
      <c r="N343" t="s">
        <v>206</v>
      </c>
      <c r="O343" t="s">
        <v>164</v>
      </c>
      <c r="P343">
        <v>3.8588046000146412E-2</v>
      </c>
      <c r="Q343" t="s">
        <v>153</v>
      </c>
    </row>
    <row r="344" spans="9:17" x14ac:dyDescent="0.45">
      <c r="I344" t="s">
        <v>177</v>
      </c>
      <c r="J344" t="s">
        <v>241</v>
      </c>
      <c r="K344">
        <v>1.169039577939383E-3</v>
      </c>
      <c r="L344" t="s">
        <v>153</v>
      </c>
      <c r="N344" t="s">
        <v>206</v>
      </c>
      <c r="O344" t="s">
        <v>241</v>
      </c>
      <c r="P344">
        <v>3.8049347538443774E-3</v>
      </c>
      <c r="Q344" t="s">
        <v>153</v>
      </c>
    </row>
    <row r="345" spans="9:17" x14ac:dyDescent="0.45">
      <c r="I345" t="s">
        <v>177</v>
      </c>
      <c r="J345" t="s">
        <v>242</v>
      </c>
      <c r="K345">
        <v>0</v>
      </c>
      <c r="L345" t="s">
        <v>153</v>
      </c>
      <c r="N345" t="s">
        <v>206</v>
      </c>
      <c r="O345" t="s">
        <v>242</v>
      </c>
      <c r="P345">
        <v>3.9268865280976664E-3</v>
      </c>
      <c r="Q345" t="s">
        <v>153</v>
      </c>
    </row>
    <row r="346" spans="9:17" x14ac:dyDescent="0.45">
      <c r="I346" t="s">
        <v>177</v>
      </c>
      <c r="J346" t="s">
        <v>243</v>
      </c>
      <c r="K346">
        <v>0</v>
      </c>
      <c r="L346" t="s">
        <v>153</v>
      </c>
      <c r="N346" t="s">
        <v>206</v>
      </c>
      <c r="O346" t="s">
        <v>243</v>
      </c>
      <c r="P346">
        <v>1.7734368601847059E-2</v>
      </c>
      <c r="Q346" t="s">
        <v>153</v>
      </c>
    </row>
    <row r="347" spans="9:17" x14ac:dyDescent="0.45">
      <c r="I347" t="s">
        <v>178</v>
      </c>
      <c r="J347" t="s">
        <v>152</v>
      </c>
      <c r="K347">
        <v>1.5776834016029199E-2</v>
      </c>
      <c r="L347" t="s">
        <v>153</v>
      </c>
      <c r="N347" t="s">
        <v>207</v>
      </c>
      <c r="O347" t="s">
        <v>152</v>
      </c>
      <c r="P347">
        <v>0.15550667215158662</v>
      </c>
      <c r="Q347" t="s">
        <v>153</v>
      </c>
    </row>
    <row r="348" spans="9:17" x14ac:dyDescent="0.45">
      <c r="I348" t="s">
        <v>178</v>
      </c>
      <c r="J348" t="s">
        <v>154</v>
      </c>
      <c r="K348">
        <v>4.4185634322498384E-2</v>
      </c>
      <c r="L348" t="s">
        <v>153</v>
      </c>
      <c r="N348" t="s">
        <v>207</v>
      </c>
      <c r="O348" t="s">
        <v>154</v>
      </c>
      <c r="P348">
        <v>1.9669395027163597E-2</v>
      </c>
      <c r="Q348" t="s">
        <v>153</v>
      </c>
    </row>
    <row r="349" spans="9:17" x14ac:dyDescent="0.45">
      <c r="I349" t="s">
        <v>178</v>
      </c>
      <c r="J349" t="s">
        <v>155</v>
      </c>
      <c r="K349">
        <v>0.71047431628912849</v>
      </c>
      <c r="L349" t="s">
        <v>153</v>
      </c>
      <c r="N349" t="s">
        <v>207</v>
      </c>
      <c r="O349" t="s">
        <v>155</v>
      </c>
      <c r="P349">
        <v>0.40373132673344581</v>
      </c>
      <c r="Q349" t="s">
        <v>153</v>
      </c>
    </row>
    <row r="350" spans="9:17" x14ac:dyDescent="0.45">
      <c r="I350" t="s">
        <v>178</v>
      </c>
      <c r="J350" t="s">
        <v>232</v>
      </c>
      <c r="K350">
        <v>3.4345302959129596E-2</v>
      </c>
      <c r="L350" t="s">
        <v>153</v>
      </c>
      <c r="N350" t="s">
        <v>207</v>
      </c>
      <c r="O350" t="s">
        <v>232</v>
      </c>
      <c r="P350">
        <v>3.8567476039759012E-2</v>
      </c>
      <c r="Q350" t="s">
        <v>153</v>
      </c>
    </row>
    <row r="351" spans="9:17" x14ac:dyDescent="0.45">
      <c r="I351" t="s">
        <v>178</v>
      </c>
      <c r="J351" t="s">
        <v>233</v>
      </c>
      <c r="K351">
        <v>4.3329634490854342E-3</v>
      </c>
      <c r="L351" t="s">
        <v>153</v>
      </c>
      <c r="N351" t="s">
        <v>207</v>
      </c>
      <c r="O351" t="s">
        <v>233</v>
      </c>
      <c r="P351">
        <v>3.4250989699808471E-2</v>
      </c>
      <c r="Q351" t="s">
        <v>153</v>
      </c>
    </row>
    <row r="352" spans="9:17" x14ac:dyDescent="0.45">
      <c r="I352" t="s">
        <v>178</v>
      </c>
      <c r="J352" t="s">
        <v>234</v>
      </c>
      <c r="K352">
        <v>0</v>
      </c>
      <c r="L352" t="s">
        <v>153</v>
      </c>
      <c r="N352" t="s">
        <v>207</v>
      </c>
      <c r="O352" t="s">
        <v>234</v>
      </c>
      <c r="P352">
        <v>0.1323782959703167</v>
      </c>
      <c r="Q352" t="s">
        <v>153</v>
      </c>
    </row>
    <row r="353" spans="9:17" x14ac:dyDescent="0.45">
      <c r="I353" t="s">
        <v>178</v>
      </c>
      <c r="J353" t="s">
        <v>156</v>
      </c>
      <c r="K353">
        <v>2.6885196924083333E-3</v>
      </c>
      <c r="L353" t="s">
        <v>153</v>
      </c>
      <c r="N353" t="s">
        <v>207</v>
      </c>
      <c r="O353" t="s">
        <v>156</v>
      </c>
      <c r="P353">
        <v>3.6206511946662722E-3</v>
      </c>
      <c r="Q353" t="s">
        <v>153</v>
      </c>
    </row>
    <row r="354" spans="9:17" x14ac:dyDescent="0.45">
      <c r="I354" t="s">
        <v>178</v>
      </c>
      <c r="J354" t="s">
        <v>157</v>
      </c>
      <c r="K354">
        <v>5.1674618143301952E-3</v>
      </c>
      <c r="L354" t="s">
        <v>153</v>
      </c>
      <c r="N354" t="s">
        <v>207</v>
      </c>
      <c r="O354" t="s">
        <v>157</v>
      </c>
      <c r="P354">
        <v>5.6214662295476061E-4</v>
      </c>
      <c r="Q354" t="s">
        <v>153</v>
      </c>
    </row>
    <row r="355" spans="9:17" x14ac:dyDescent="0.45">
      <c r="I355" t="s">
        <v>178</v>
      </c>
      <c r="J355" t="s">
        <v>158</v>
      </c>
      <c r="K355">
        <v>7.6932453067681594E-2</v>
      </c>
      <c r="L355" t="s">
        <v>153</v>
      </c>
      <c r="N355" t="s">
        <v>207</v>
      </c>
      <c r="O355" t="s">
        <v>158</v>
      </c>
      <c r="P355">
        <v>1.7496534551754175E-2</v>
      </c>
      <c r="Q355" t="s">
        <v>153</v>
      </c>
    </row>
    <row r="356" spans="9:17" x14ac:dyDescent="0.45">
      <c r="I356" t="s">
        <v>178</v>
      </c>
      <c r="J356" t="s">
        <v>235</v>
      </c>
      <c r="K356">
        <v>3.1233321899835687E-3</v>
      </c>
      <c r="L356" t="s">
        <v>153</v>
      </c>
      <c r="N356" t="s">
        <v>207</v>
      </c>
      <c r="O356" t="s">
        <v>235</v>
      </c>
      <c r="P356">
        <v>1.2552294551020984E-3</v>
      </c>
      <c r="Q356" t="s">
        <v>153</v>
      </c>
    </row>
    <row r="357" spans="9:17" x14ac:dyDescent="0.45">
      <c r="I357" t="s">
        <v>178</v>
      </c>
      <c r="J357" t="s">
        <v>236</v>
      </c>
      <c r="K357">
        <v>0</v>
      </c>
      <c r="L357" t="s">
        <v>153</v>
      </c>
      <c r="N357" t="s">
        <v>207</v>
      </c>
      <c r="O357" t="s">
        <v>236</v>
      </c>
      <c r="P357">
        <v>1.1394925189128801E-3</v>
      </c>
      <c r="Q357" t="s">
        <v>153</v>
      </c>
    </row>
    <row r="358" spans="9:17" x14ac:dyDescent="0.45">
      <c r="I358" t="s">
        <v>178</v>
      </c>
      <c r="J358" t="s">
        <v>237</v>
      </c>
      <c r="K358">
        <v>0</v>
      </c>
      <c r="L358" t="s">
        <v>153</v>
      </c>
      <c r="N358" t="s">
        <v>207</v>
      </c>
      <c r="O358" t="s">
        <v>237</v>
      </c>
      <c r="P358">
        <v>4.292976831557529E-3</v>
      </c>
      <c r="Q358" t="s">
        <v>153</v>
      </c>
    </row>
    <row r="359" spans="9:17" x14ac:dyDescent="0.45">
      <c r="I359" t="s">
        <v>178</v>
      </c>
      <c r="J359" t="s">
        <v>159</v>
      </c>
      <c r="K359">
        <v>6.953194520016862E-4</v>
      </c>
      <c r="L359" t="s">
        <v>153</v>
      </c>
      <c r="N359" t="s">
        <v>207</v>
      </c>
      <c r="O359" t="s">
        <v>159</v>
      </c>
      <c r="P359">
        <v>2.3104183481241436E-2</v>
      </c>
      <c r="Q359" t="s">
        <v>153</v>
      </c>
    </row>
    <row r="360" spans="9:17" x14ac:dyDescent="0.45">
      <c r="I360" t="s">
        <v>178</v>
      </c>
      <c r="J360" t="s">
        <v>160</v>
      </c>
      <c r="K360">
        <v>3.2954527770595876E-3</v>
      </c>
      <c r="L360" t="s">
        <v>153</v>
      </c>
      <c r="N360" t="s">
        <v>207</v>
      </c>
      <c r="O360" t="s">
        <v>160</v>
      </c>
      <c r="P360">
        <v>4.1048961491068365E-3</v>
      </c>
      <c r="Q360" t="s">
        <v>153</v>
      </c>
    </row>
    <row r="361" spans="9:17" x14ac:dyDescent="0.45">
      <c r="I361" t="s">
        <v>178</v>
      </c>
      <c r="J361" t="s">
        <v>161</v>
      </c>
      <c r="K361">
        <v>6.0433792341024438E-2</v>
      </c>
      <c r="L361" t="s">
        <v>153</v>
      </c>
      <c r="N361" t="s">
        <v>207</v>
      </c>
      <c r="O361" t="s">
        <v>161</v>
      </c>
      <c r="P361">
        <v>6.0351551223612195E-2</v>
      </c>
      <c r="Q361" t="s">
        <v>153</v>
      </c>
    </row>
    <row r="362" spans="9:17" x14ac:dyDescent="0.45">
      <c r="I362" t="s">
        <v>178</v>
      </c>
      <c r="J362" t="s">
        <v>238</v>
      </c>
      <c r="K362">
        <v>1.9987247139518515E-3</v>
      </c>
      <c r="L362" t="s">
        <v>153</v>
      </c>
      <c r="N362" t="s">
        <v>207</v>
      </c>
      <c r="O362" t="s">
        <v>238</v>
      </c>
      <c r="P362">
        <v>3.9825163224876201E-3</v>
      </c>
      <c r="Q362" t="s">
        <v>153</v>
      </c>
    </row>
    <row r="363" spans="9:17" x14ac:dyDescent="0.45">
      <c r="I363" t="s">
        <v>178</v>
      </c>
      <c r="J363" t="s">
        <v>239</v>
      </c>
      <c r="K363">
        <v>0</v>
      </c>
      <c r="L363" t="s">
        <v>153</v>
      </c>
      <c r="N363" t="s">
        <v>207</v>
      </c>
      <c r="O363" t="s">
        <v>239</v>
      </c>
      <c r="P363">
        <v>3.9755632636412127E-3</v>
      </c>
      <c r="Q363" t="s">
        <v>153</v>
      </c>
    </row>
    <row r="364" spans="9:17" x14ac:dyDescent="0.45">
      <c r="I364" t="s">
        <v>178</v>
      </c>
      <c r="J364" t="s">
        <v>240</v>
      </c>
      <c r="K364">
        <v>0</v>
      </c>
      <c r="L364" t="s">
        <v>153</v>
      </c>
      <c r="N364" t="s">
        <v>207</v>
      </c>
      <c r="O364" t="s">
        <v>240</v>
      </c>
      <c r="P364">
        <v>1.8699534187915954E-2</v>
      </c>
      <c r="Q364" t="s">
        <v>153</v>
      </c>
    </row>
    <row r="365" spans="9:17" x14ac:dyDescent="0.45">
      <c r="I365" t="s">
        <v>178</v>
      </c>
      <c r="J365" t="s">
        <v>162</v>
      </c>
      <c r="K365">
        <v>0</v>
      </c>
      <c r="L365" t="s">
        <v>153</v>
      </c>
      <c r="N365" t="s">
        <v>207</v>
      </c>
      <c r="O365" t="s">
        <v>162</v>
      </c>
      <c r="P365">
        <v>1.5250970930230968E-2</v>
      </c>
      <c r="Q365" t="s">
        <v>153</v>
      </c>
    </row>
    <row r="366" spans="9:17" x14ac:dyDescent="0.45">
      <c r="I366" t="s">
        <v>178</v>
      </c>
      <c r="J366" t="s">
        <v>163</v>
      </c>
      <c r="K366">
        <v>2.1205549316764098E-3</v>
      </c>
      <c r="L366" t="s">
        <v>153</v>
      </c>
      <c r="N366" t="s">
        <v>207</v>
      </c>
      <c r="O366" t="s">
        <v>163</v>
      </c>
      <c r="P366">
        <v>2.5578669530504426E-3</v>
      </c>
      <c r="Q366" t="s">
        <v>153</v>
      </c>
    </row>
    <row r="367" spans="9:17" x14ac:dyDescent="0.45">
      <c r="I367" t="s">
        <v>178</v>
      </c>
      <c r="J367" t="s">
        <v>164</v>
      </c>
      <c r="K367">
        <v>3.3047926938671354E-2</v>
      </c>
      <c r="L367" t="s">
        <v>153</v>
      </c>
      <c r="N367" t="s">
        <v>207</v>
      </c>
      <c r="O367" t="s">
        <v>164</v>
      </c>
      <c r="P367">
        <v>3.6159565332519496E-2</v>
      </c>
      <c r="Q367" t="s">
        <v>153</v>
      </c>
    </row>
    <row r="368" spans="9:17" x14ac:dyDescent="0.45">
      <c r="I368" t="s">
        <v>178</v>
      </c>
      <c r="J368" t="s">
        <v>241</v>
      </c>
      <c r="K368">
        <v>1.3814110453378953E-3</v>
      </c>
      <c r="L368" t="s">
        <v>153</v>
      </c>
      <c r="N368" t="s">
        <v>207</v>
      </c>
      <c r="O368" t="s">
        <v>241</v>
      </c>
      <c r="P368">
        <v>3.2790167686179766E-3</v>
      </c>
      <c r="Q368" t="s">
        <v>153</v>
      </c>
    </row>
    <row r="369" spans="9:17" x14ac:dyDescent="0.45">
      <c r="I369" t="s">
        <v>178</v>
      </c>
      <c r="J369" t="s">
        <v>242</v>
      </c>
      <c r="K369">
        <v>0</v>
      </c>
      <c r="L369" t="s">
        <v>153</v>
      </c>
      <c r="N369" t="s">
        <v>207</v>
      </c>
      <c r="O369" t="s">
        <v>242</v>
      </c>
      <c r="P369">
        <v>3.168394969588539E-3</v>
      </c>
      <c r="Q369" t="s">
        <v>153</v>
      </c>
    </row>
    <row r="370" spans="9:17" x14ac:dyDescent="0.45">
      <c r="I370" t="s">
        <v>178</v>
      </c>
      <c r="J370" t="s">
        <v>243</v>
      </c>
      <c r="K370">
        <v>0</v>
      </c>
      <c r="L370" t="s">
        <v>153</v>
      </c>
      <c r="N370" t="s">
        <v>207</v>
      </c>
      <c r="O370" t="s">
        <v>243</v>
      </c>
      <c r="P370">
        <v>1.2894753620957588E-2</v>
      </c>
      <c r="Q370" t="s">
        <v>153</v>
      </c>
    </row>
    <row r="371" spans="9:17" x14ac:dyDescent="0.45">
      <c r="I371" t="s">
        <v>179</v>
      </c>
      <c r="J371" t="s">
        <v>152</v>
      </c>
      <c r="K371">
        <v>1.5019356775356586E-2</v>
      </c>
      <c r="L371" t="s">
        <v>153</v>
      </c>
    </row>
    <row r="372" spans="9:17" x14ac:dyDescent="0.45">
      <c r="I372" t="s">
        <v>179</v>
      </c>
      <c r="J372" t="s">
        <v>154</v>
      </c>
      <c r="K372">
        <v>4.0810784400762044E-2</v>
      </c>
      <c r="L372" t="s">
        <v>153</v>
      </c>
    </row>
    <row r="373" spans="9:17" x14ac:dyDescent="0.45">
      <c r="I373" t="s">
        <v>179</v>
      </c>
      <c r="J373" t="s">
        <v>155</v>
      </c>
      <c r="K373">
        <v>0.71781235234087826</v>
      </c>
      <c r="L373" t="s">
        <v>153</v>
      </c>
    </row>
    <row r="374" spans="9:17" x14ac:dyDescent="0.45">
      <c r="I374" t="s">
        <v>179</v>
      </c>
      <c r="J374" t="s">
        <v>232</v>
      </c>
      <c r="K374">
        <v>3.5359159260025766E-2</v>
      </c>
      <c r="L374" t="s">
        <v>153</v>
      </c>
    </row>
    <row r="375" spans="9:17" x14ac:dyDescent="0.45">
      <c r="I375" t="s">
        <v>179</v>
      </c>
      <c r="J375" t="s">
        <v>233</v>
      </c>
      <c r="K375">
        <v>3.8044730371744498E-3</v>
      </c>
      <c r="L375" t="s">
        <v>153</v>
      </c>
    </row>
    <row r="376" spans="9:17" x14ac:dyDescent="0.45">
      <c r="I376" t="s">
        <v>179</v>
      </c>
      <c r="J376" t="s">
        <v>234</v>
      </c>
      <c r="K376">
        <v>0</v>
      </c>
      <c r="L376" t="s">
        <v>153</v>
      </c>
    </row>
    <row r="377" spans="9:17" x14ac:dyDescent="0.45">
      <c r="I377" t="s">
        <v>179</v>
      </c>
      <c r="J377" t="s">
        <v>156</v>
      </c>
      <c r="K377">
        <v>2.3315781875413669E-3</v>
      </c>
      <c r="L377" t="s">
        <v>153</v>
      </c>
    </row>
    <row r="378" spans="9:17" x14ac:dyDescent="0.45">
      <c r="I378" t="s">
        <v>179</v>
      </c>
      <c r="J378" t="s">
        <v>157</v>
      </c>
      <c r="K378">
        <v>4.919714642011597E-3</v>
      </c>
      <c r="L378" t="s">
        <v>153</v>
      </c>
    </row>
    <row r="379" spans="9:17" x14ac:dyDescent="0.45">
      <c r="I379" t="s">
        <v>179</v>
      </c>
      <c r="J379" t="s">
        <v>158</v>
      </c>
      <c r="K379">
        <v>7.4262275904761615E-2</v>
      </c>
      <c r="L379" t="s">
        <v>153</v>
      </c>
    </row>
    <row r="380" spans="9:17" x14ac:dyDescent="0.45">
      <c r="I380" t="s">
        <v>179</v>
      </c>
      <c r="J380" t="s">
        <v>235</v>
      </c>
      <c r="K380">
        <v>2.7885399208775969E-3</v>
      </c>
      <c r="L380" t="s">
        <v>153</v>
      </c>
    </row>
    <row r="381" spans="9:17" x14ac:dyDescent="0.45">
      <c r="I381" t="s">
        <v>179</v>
      </c>
      <c r="J381" t="s">
        <v>236</v>
      </c>
      <c r="K381">
        <v>0</v>
      </c>
      <c r="L381" t="s">
        <v>153</v>
      </c>
    </row>
    <row r="382" spans="9:17" x14ac:dyDescent="0.45">
      <c r="I382" t="s">
        <v>179</v>
      </c>
      <c r="J382" t="s">
        <v>237</v>
      </c>
      <c r="K382">
        <v>0</v>
      </c>
      <c r="L382" t="s">
        <v>153</v>
      </c>
    </row>
    <row r="383" spans="9:17" x14ac:dyDescent="0.45">
      <c r="I383" t="s">
        <v>179</v>
      </c>
      <c r="J383" t="s">
        <v>159</v>
      </c>
      <c r="K383">
        <v>1.0744428937282189E-3</v>
      </c>
      <c r="L383" t="s">
        <v>153</v>
      </c>
    </row>
    <row r="384" spans="9:17" x14ac:dyDescent="0.45">
      <c r="I384" t="s">
        <v>179</v>
      </c>
      <c r="J384" t="s">
        <v>160</v>
      </c>
      <c r="K384">
        <v>3.3463049528444245E-3</v>
      </c>
      <c r="L384" t="s">
        <v>153</v>
      </c>
    </row>
    <row r="385" spans="9:12" x14ac:dyDescent="0.45">
      <c r="I385" t="s">
        <v>179</v>
      </c>
      <c r="J385" t="s">
        <v>161</v>
      </c>
      <c r="K385">
        <v>5.8941585431571707E-2</v>
      </c>
      <c r="L385" t="s">
        <v>153</v>
      </c>
    </row>
    <row r="386" spans="9:12" x14ac:dyDescent="0.45">
      <c r="I386" t="s">
        <v>179</v>
      </c>
      <c r="J386" t="s">
        <v>238</v>
      </c>
      <c r="K386">
        <v>1.9339155372779106E-3</v>
      </c>
      <c r="L386" t="s">
        <v>153</v>
      </c>
    </row>
    <row r="387" spans="9:12" x14ac:dyDescent="0.45">
      <c r="I387" t="s">
        <v>179</v>
      </c>
      <c r="J387" t="s">
        <v>239</v>
      </c>
      <c r="K387">
        <v>0</v>
      </c>
      <c r="L387" t="s">
        <v>153</v>
      </c>
    </row>
    <row r="388" spans="9:12" x14ac:dyDescent="0.45">
      <c r="I388" t="s">
        <v>179</v>
      </c>
      <c r="J388" t="s">
        <v>240</v>
      </c>
      <c r="K388">
        <v>0</v>
      </c>
      <c r="L388" t="s">
        <v>153</v>
      </c>
    </row>
    <row r="389" spans="9:12" x14ac:dyDescent="0.45">
      <c r="I389" t="s">
        <v>179</v>
      </c>
      <c r="J389" t="s">
        <v>162</v>
      </c>
      <c r="K389">
        <v>6.0477331841605284E-7</v>
      </c>
      <c r="L389" t="s">
        <v>153</v>
      </c>
    </row>
    <row r="390" spans="9:12" x14ac:dyDescent="0.45">
      <c r="I390" t="s">
        <v>179</v>
      </c>
      <c r="J390" t="s">
        <v>163</v>
      </c>
      <c r="K390">
        <v>2.0907831893711547E-3</v>
      </c>
      <c r="L390" t="s">
        <v>153</v>
      </c>
    </row>
    <row r="391" spans="9:12" x14ac:dyDescent="0.45">
      <c r="I391" t="s">
        <v>179</v>
      </c>
      <c r="J391" t="s">
        <v>164</v>
      </c>
      <c r="K391">
        <v>3.4098573459798172E-2</v>
      </c>
      <c r="L391" t="s">
        <v>153</v>
      </c>
    </row>
    <row r="392" spans="9:12" x14ac:dyDescent="0.45">
      <c r="I392" t="s">
        <v>179</v>
      </c>
      <c r="J392" t="s">
        <v>241</v>
      </c>
      <c r="K392">
        <v>1.4055552927015021E-3</v>
      </c>
      <c r="L392" t="s">
        <v>153</v>
      </c>
    </row>
    <row r="393" spans="9:12" x14ac:dyDescent="0.45">
      <c r="I393" t="s">
        <v>179</v>
      </c>
      <c r="J393" t="s">
        <v>242</v>
      </c>
      <c r="K393">
        <v>0</v>
      </c>
      <c r="L393" t="s">
        <v>153</v>
      </c>
    </row>
    <row r="394" spans="9:12" x14ac:dyDescent="0.45">
      <c r="I394" t="s">
        <v>179</v>
      </c>
      <c r="J394" t="s">
        <v>243</v>
      </c>
      <c r="K394">
        <v>0</v>
      </c>
      <c r="L394" t="s">
        <v>153</v>
      </c>
    </row>
    <row r="395" spans="9:12" x14ac:dyDescent="0.45">
      <c r="I395" t="s">
        <v>180</v>
      </c>
      <c r="J395" t="s">
        <v>152</v>
      </c>
      <c r="K395">
        <v>1.1831497568463262E-2</v>
      </c>
      <c r="L395" t="s">
        <v>153</v>
      </c>
    </row>
    <row r="396" spans="9:12" x14ac:dyDescent="0.45">
      <c r="I396" t="s">
        <v>180</v>
      </c>
      <c r="J396" t="s">
        <v>154</v>
      </c>
      <c r="K396">
        <v>3.9105599983190659E-2</v>
      </c>
      <c r="L396" t="s">
        <v>153</v>
      </c>
    </row>
    <row r="397" spans="9:12" x14ac:dyDescent="0.45">
      <c r="I397" t="s">
        <v>180</v>
      </c>
      <c r="J397" t="s">
        <v>155</v>
      </c>
      <c r="K397">
        <v>0.6980535071888706</v>
      </c>
      <c r="L397" t="s">
        <v>153</v>
      </c>
    </row>
    <row r="398" spans="9:12" x14ac:dyDescent="0.45">
      <c r="I398" t="s">
        <v>180</v>
      </c>
      <c r="J398" t="s">
        <v>232</v>
      </c>
      <c r="K398">
        <v>3.9253641284942416E-2</v>
      </c>
      <c r="L398" t="s">
        <v>153</v>
      </c>
    </row>
    <row r="399" spans="9:12" x14ac:dyDescent="0.45">
      <c r="I399" t="s">
        <v>180</v>
      </c>
      <c r="J399" t="s">
        <v>233</v>
      </c>
      <c r="K399">
        <v>1.2142810770361267E-2</v>
      </c>
      <c r="L399" t="s">
        <v>153</v>
      </c>
    </row>
    <row r="400" spans="9:12" x14ac:dyDescent="0.45">
      <c r="I400" t="s">
        <v>180</v>
      </c>
      <c r="J400" t="s">
        <v>234</v>
      </c>
      <c r="K400">
        <v>0</v>
      </c>
      <c r="L400" t="s">
        <v>153</v>
      </c>
    </row>
    <row r="401" spans="9:12" x14ac:dyDescent="0.45">
      <c r="I401" t="s">
        <v>180</v>
      </c>
      <c r="J401" t="s">
        <v>156</v>
      </c>
      <c r="K401">
        <v>2.611640949569262E-4</v>
      </c>
      <c r="L401" t="s">
        <v>153</v>
      </c>
    </row>
    <row r="402" spans="9:12" x14ac:dyDescent="0.45">
      <c r="I402" t="s">
        <v>180</v>
      </c>
      <c r="J402" t="s">
        <v>157</v>
      </c>
      <c r="K402">
        <v>3.6331797519439848E-3</v>
      </c>
      <c r="L402" t="s">
        <v>153</v>
      </c>
    </row>
    <row r="403" spans="9:12" x14ac:dyDescent="0.45">
      <c r="I403" t="s">
        <v>180</v>
      </c>
      <c r="J403" t="s">
        <v>158</v>
      </c>
      <c r="K403">
        <v>6.8755170779448246E-2</v>
      </c>
      <c r="L403" t="s">
        <v>153</v>
      </c>
    </row>
    <row r="404" spans="9:12" x14ac:dyDescent="0.45">
      <c r="I404" t="s">
        <v>180</v>
      </c>
      <c r="J404" t="s">
        <v>235</v>
      </c>
      <c r="K404">
        <v>2.5311976288967353E-3</v>
      </c>
      <c r="L404" t="s">
        <v>153</v>
      </c>
    </row>
    <row r="405" spans="9:12" x14ac:dyDescent="0.45">
      <c r="I405" t="s">
        <v>180</v>
      </c>
      <c r="J405" t="s">
        <v>236</v>
      </c>
      <c r="K405">
        <v>0</v>
      </c>
      <c r="L405" t="s">
        <v>153</v>
      </c>
    </row>
    <row r="406" spans="9:12" x14ac:dyDescent="0.45">
      <c r="I406" t="s">
        <v>180</v>
      </c>
      <c r="J406" t="s">
        <v>237</v>
      </c>
      <c r="K406">
        <v>0</v>
      </c>
      <c r="L406" t="s">
        <v>153</v>
      </c>
    </row>
    <row r="407" spans="9:12" x14ac:dyDescent="0.45">
      <c r="I407" t="s">
        <v>180</v>
      </c>
      <c r="J407" t="s">
        <v>159</v>
      </c>
      <c r="K407">
        <v>0</v>
      </c>
      <c r="L407" t="s">
        <v>153</v>
      </c>
    </row>
    <row r="408" spans="9:12" x14ac:dyDescent="0.45">
      <c r="I408" t="s">
        <v>180</v>
      </c>
      <c r="J408" t="s">
        <v>160</v>
      </c>
      <c r="K408">
        <v>2.9589792690253606E-3</v>
      </c>
      <c r="L408" t="s">
        <v>153</v>
      </c>
    </row>
    <row r="409" spans="9:12" x14ac:dyDescent="0.45">
      <c r="I409" t="s">
        <v>180</v>
      </c>
      <c r="J409" t="s">
        <v>161</v>
      </c>
      <c r="K409">
        <v>6.6475367030225357E-2</v>
      </c>
      <c r="L409" t="s">
        <v>153</v>
      </c>
    </row>
    <row r="410" spans="9:12" x14ac:dyDescent="0.45">
      <c r="I410" t="s">
        <v>180</v>
      </c>
      <c r="J410" t="s">
        <v>238</v>
      </c>
      <c r="K410">
        <v>2.3524141864277618E-3</v>
      </c>
      <c r="L410" t="s">
        <v>153</v>
      </c>
    </row>
    <row r="411" spans="9:12" x14ac:dyDescent="0.45">
      <c r="I411" t="s">
        <v>180</v>
      </c>
      <c r="J411" t="s">
        <v>239</v>
      </c>
      <c r="K411">
        <v>0</v>
      </c>
      <c r="L411" t="s">
        <v>153</v>
      </c>
    </row>
    <row r="412" spans="9:12" x14ac:dyDescent="0.45">
      <c r="I412" t="s">
        <v>180</v>
      </c>
      <c r="J412" t="s">
        <v>240</v>
      </c>
      <c r="K412">
        <v>0</v>
      </c>
      <c r="L412" t="s">
        <v>153</v>
      </c>
    </row>
    <row r="413" spans="9:12" x14ac:dyDescent="0.45">
      <c r="I413" t="s">
        <v>180</v>
      </c>
      <c r="J413" t="s">
        <v>162</v>
      </c>
      <c r="K413">
        <v>0</v>
      </c>
      <c r="L413" t="s">
        <v>153</v>
      </c>
    </row>
    <row r="414" spans="9:12" x14ac:dyDescent="0.45">
      <c r="I414" t="s">
        <v>180</v>
      </c>
      <c r="J414" t="s">
        <v>163</v>
      </c>
      <c r="K414">
        <v>2.4607931083506542E-3</v>
      </c>
      <c r="L414" t="s">
        <v>153</v>
      </c>
    </row>
    <row r="415" spans="9:12" x14ac:dyDescent="0.45">
      <c r="I415" t="s">
        <v>180</v>
      </c>
      <c r="J415" t="s">
        <v>164</v>
      </c>
      <c r="K415">
        <v>4.7842593129384617E-2</v>
      </c>
      <c r="L415" t="s">
        <v>153</v>
      </c>
    </row>
    <row r="416" spans="9:12" x14ac:dyDescent="0.45">
      <c r="I416" t="s">
        <v>180</v>
      </c>
      <c r="J416" t="s">
        <v>241</v>
      </c>
      <c r="K416">
        <v>2.342084225512569E-3</v>
      </c>
      <c r="L416" t="s">
        <v>153</v>
      </c>
    </row>
    <row r="417" spans="9:12" x14ac:dyDescent="0.45">
      <c r="I417" t="s">
        <v>180</v>
      </c>
      <c r="J417" t="s">
        <v>242</v>
      </c>
      <c r="K417">
        <v>0</v>
      </c>
      <c r="L417" t="s">
        <v>153</v>
      </c>
    </row>
    <row r="418" spans="9:12" x14ac:dyDescent="0.45">
      <c r="I418" t="s">
        <v>180</v>
      </c>
      <c r="J418" t="s">
        <v>243</v>
      </c>
      <c r="K418">
        <v>0</v>
      </c>
      <c r="L418" t="s">
        <v>153</v>
      </c>
    </row>
    <row r="419" spans="9:12" x14ac:dyDescent="0.45">
      <c r="I419" t="s">
        <v>181</v>
      </c>
      <c r="J419" t="s">
        <v>152</v>
      </c>
      <c r="K419">
        <v>1.3959193581589476E-2</v>
      </c>
      <c r="L419" t="s">
        <v>153</v>
      </c>
    </row>
    <row r="420" spans="9:12" x14ac:dyDescent="0.45">
      <c r="I420" t="s">
        <v>181</v>
      </c>
      <c r="J420" t="s">
        <v>154</v>
      </c>
      <c r="K420">
        <v>4.2100725856343391E-2</v>
      </c>
      <c r="L420" t="s">
        <v>153</v>
      </c>
    </row>
    <row r="421" spans="9:12" x14ac:dyDescent="0.45">
      <c r="I421" t="s">
        <v>181</v>
      </c>
      <c r="J421" t="s">
        <v>155</v>
      </c>
      <c r="K421">
        <v>0.6986154688228795</v>
      </c>
      <c r="L421" t="s">
        <v>153</v>
      </c>
    </row>
    <row r="422" spans="9:12" x14ac:dyDescent="0.45">
      <c r="I422" t="s">
        <v>181</v>
      </c>
      <c r="J422" t="s">
        <v>232</v>
      </c>
      <c r="K422">
        <v>3.6899408471606526E-2</v>
      </c>
      <c r="L422" t="s">
        <v>153</v>
      </c>
    </row>
    <row r="423" spans="9:12" x14ac:dyDescent="0.45">
      <c r="I423" t="s">
        <v>181</v>
      </c>
      <c r="J423" t="s">
        <v>233</v>
      </c>
      <c r="K423">
        <v>9.3692417362844747E-3</v>
      </c>
      <c r="L423" t="s">
        <v>153</v>
      </c>
    </row>
    <row r="424" spans="9:12" x14ac:dyDescent="0.45">
      <c r="I424" t="s">
        <v>181</v>
      </c>
      <c r="J424" t="s">
        <v>234</v>
      </c>
      <c r="K424">
        <v>0</v>
      </c>
      <c r="L424" t="s">
        <v>153</v>
      </c>
    </row>
    <row r="425" spans="9:12" x14ac:dyDescent="0.45">
      <c r="I425" t="s">
        <v>181</v>
      </c>
      <c r="J425" t="s">
        <v>156</v>
      </c>
      <c r="K425">
        <v>6.1275022256278408E-4</v>
      </c>
      <c r="L425" t="s">
        <v>153</v>
      </c>
    </row>
    <row r="426" spans="9:12" x14ac:dyDescent="0.45">
      <c r="I426" t="s">
        <v>181</v>
      </c>
      <c r="J426" t="s">
        <v>157</v>
      </c>
      <c r="K426">
        <v>4.0647456834363438E-3</v>
      </c>
      <c r="L426" t="s">
        <v>153</v>
      </c>
    </row>
    <row r="427" spans="9:12" x14ac:dyDescent="0.45">
      <c r="I427" t="s">
        <v>181</v>
      </c>
      <c r="J427" t="s">
        <v>158</v>
      </c>
      <c r="K427">
        <v>6.6538251859163344E-2</v>
      </c>
      <c r="L427" t="s">
        <v>153</v>
      </c>
    </row>
    <row r="428" spans="9:12" x14ac:dyDescent="0.45">
      <c r="I428" t="s">
        <v>181</v>
      </c>
      <c r="J428" t="s">
        <v>235</v>
      </c>
      <c r="K428">
        <v>2.4429572743841334E-3</v>
      </c>
      <c r="L428" t="s">
        <v>153</v>
      </c>
    </row>
    <row r="429" spans="9:12" x14ac:dyDescent="0.45">
      <c r="I429" t="s">
        <v>181</v>
      </c>
      <c r="J429" t="s">
        <v>236</v>
      </c>
      <c r="K429">
        <v>0</v>
      </c>
      <c r="L429" t="s">
        <v>153</v>
      </c>
    </row>
    <row r="430" spans="9:12" x14ac:dyDescent="0.45">
      <c r="I430" t="s">
        <v>181</v>
      </c>
      <c r="J430" t="s">
        <v>237</v>
      </c>
      <c r="K430">
        <v>0</v>
      </c>
      <c r="L430" t="s">
        <v>153</v>
      </c>
    </row>
    <row r="431" spans="9:12" x14ac:dyDescent="0.45">
      <c r="I431" t="s">
        <v>181</v>
      </c>
      <c r="J431" t="s">
        <v>159</v>
      </c>
      <c r="K431">
        <v>0</v>
      </c>
      <c r="L431" t="s">
        <v>153</v>
      </c>
    </row>
    <row r="432" spans="9:12" x14ac:dyDescent="0.45">
      <c r="I432" t="s">
        <v>181</v>
      </c>
      <c r="J432" t="s">
        <v>160</v>
      </c>
      <c r="K432">
        <v>3.7901483619382824E-3</v>
      </c>
      <c r="L432" t="s">
        <v>153</v>
      </c>
    </row>
    <row r="433" spans="9:12" x14ac:dyDescent="0.45">
      <c r="I433" t="s">
        <v>181</v>
      </c>
      <c r="J433" t="s">
        <v>161</v>
      </c>
      <c r="K433">
        <v>6.5584562988712389E-2</v>
      </c>
      <c r="L433" t="s">
        <v>153</v>
      </c>
    </row>
    <row r="434" spans="9:12" x14ac:dyDescent="0.45">
      <c r="I434" t="s">
        <v>181</v>
      </c>
      <c r="J434" t="s">
        <v>238</v>
      </c>
      <c r="K434">
        <v>2.159118538909668E-3</v>
      </c>
      <c r="L434" t="s">
        <v>153</v>
      </c>
    </row>
    <row r="435" spans="9:12" x14ac:dyDescent="0.45">
      <c r="I435" t="s">
        <v>181</v>
      </c>
      <c r="J435" t="s">
        <v>239</v>
      </c>
      <c r="K435">
        <v>0</v>
      </c>
      <c r="L435" t="s">
        <v>153</v>
      </c>
    </row>
    <row r="436" spans="9:12" x14ac:dyDescent="0.45">
      <c r="I436" t="s">
        <v>181</v>
      </c>
      <c r="J436" t="s">
        <v>240</v>
      </c>
      <c r="K436">
        <v>0</v>
      </c>
      <c r="L436" t="s">
        <v>153</v>
      </c>
    </row>
    <row r="437" spans="9:12" x14ac:dyDescent="0.45">
      <c r="I437" t="s">
        <v>181</v>
      </c>
      <c r="J437" t="s">
        <v>162</v>
      </c>
      <c r="K437">
        <v>0</v>
      </c>
      <c r="L437" t="s">
        <v>153</v>
      </c>
    </row>
    <row r="438" spans="9:12" x14ac:dyDescent="0.45">
      <c r="I438" t="s">
        <v>181</v>
      </c>
      <c r="J438" t="s">
        <v>163</v>
      </c>
      <c r="K438">
        <v>2.8019770343526138E-3</v>
      </c>
      <c r="L438" t="s">
        <v>153</v>
      </c>
    </row>
    <row r="439" spans="9:12" x14ac:dyDescent="0.45">
      <c r="I439" t="s">
        <v>181</v>
      </c>
      <c r="J439" t="s">
        <v>164</v>
      </c>
      <c r="K439">
        <v>4.8699330163761344E-2</v>
      </c>
      <c r="L439" t="s">
        <v>153</v>
      </c>
    </row>
    <row r="440" spans="9:12" x14ac:dyDescent="0.45">
      <c r="I440" t="s">
        <v>181</v>
      </c>
      <c r="J440" t="s">
        <v>241</v>
      </c>
      <c r="K440">
        <v>2.3621194040753094E-3</v>
      </c>
      <c r="L440" t="s">
        <v>153</v>
      </c>
    </row>
    <row r="441" spans="9:12" x14ac:dyDescent="0.45">
      <c r="I441" t="s">
        <v>181</v>
      </c>
      <c r="J441" t="s">
        <v>242</v>
      </c>
      <c r="K441">
        <v>0</v>
      </c>
      <c r="L441" t="s">
        <v>153</v>
      </c>
    </row>
    <row r="442" spans="9:12" x14ac:dyDescent="0.45">
      <c r="I442" t="s">
        <v>181</v>
      </c>
      <c r="J442" t="s">
        <v>243</v>
      </c>
      <c r="K442">
        <v>0</v>
      </c>
      <c r="L442" t="s">
        <v>153</v>
      </c>
    </row>
    <row r="443" spans="9:12" x14ac:dyDescent="0.45">
      <c r="I443" t="s">
        <v>182</v>
      </c>
      <c r="J443" t="s">
        <v>152</v>
      </c>
      <c r="K443">
        <v>1.5319263120701218E-2</v>
      </c>
      <c r="L443" t="s">
        <v>153</v>
      </c>
    </row>
    <row r="444" spans="9:12" x14ac:dyDescent="0.45">
      <c r="I444" t="s">
        <v>182</v>
      </c>
      <c r="J444" t="s">
        <v>154</v>
      </c>
      <c r="K444">
        <v>4.2499026444610323E-2</v>
      </c>
      <c r="L444" t="s">
        <v>153</v>
      </c>
    </row>
    <row r="445" spans="9:12" x14ac:dyDescent="0.45">
      <c r="I445" t="s">
        <v>182</v>
      </c>
      <c r="J445" t="s">
        <v>155</v>
      </c>
      <c r="K445">
        <v>0.70233234526196886</v>
      </c>
      <c r="L445" t="s">
        <v>153</v>
      </c>
    </row>
    <row r="446" spans="9:12" x14ac:dyDescent="0.45">
      <c r="I446" t="s">
        <v>182</v>
      </c>
      <c r="J446" t="s">
        <v>232</v>
      </c>
      <c r="K446">
        <v>3.5304001221177599E-2</v>
      </c>
      <c r="L446" t="s">
        <v>153</v>
      </c>
    </row>
    <row r="447" spans="9:12" x14ac:dyDescent="0.45">
      <c r="I447" t="s">
        <v>182</v>
      </c>
      <c r="J447" t="s">
        <v>233</v>
      </c>
      <c r="K447">
        <v>6.3154890577220993E-3</v>
      </c>
      <c r="L447" t="s">
        <v>153</v>
      </c>
    </row>
    <row r="448" spans="9:12" x14ac:dyDescent="0.45">
      <c r="I448" t="s">
        <v>182</v>
      </c>
      <c r="J448" t="s">
        <v>234</v>
      </c>
      <c r="K448">
        <v>0</v>
      </c>
      <c r="L448" t="s">
        <v>153</v>
      </c>
    </row>
    <row r="449" spans="9:12" x14ac:dyDescent="0.45">
      <c r="I449" t="s">
        <v>182</v>
      </c>
      <c r="J449" t="s">
        <v>156</v>
      </c>
      <c r="K449">
        <v>1.3819138455710236E-3</v>
      </c>
      <c r="L449" t="s">
        <v>153</v>
      </c>
    </row>
    <row r="450" spans="9:12" x14ac:dyDescent="0.45">
      <c r="I450" t="s">
        <v>182</v>
      </c>
      <c r="J450" t="s">
        <v>157</v>
      </c>
      <c r="K450">
        <v>4.0063629312689555E-3</v>
      </c>
      <c r="L450" t="s">
        <v>153</v>
      </c>
    </row>
    <row r="451" spans="9:12" x14ac:dyDescent="0.45">
      <c r="I451" t="s">
        <v>182</v>
      </c>
      <c r="J451" t="s">
        <v>158</v>
      </c>
      <c r="K451">
        <v>6.7686391581528518E-2</v>
      </c>
      <c r="L451" t="s">
        <v>153</v>
      </c>
    </row>
    <row r="452" spans="9:12" x14ac:dyDescent="0.45">
      <c r="I452" t="s">
        <v>182</v>
      </c>
      <c r="J452" t="s">
        <v>235</v>
      </c>
      <c r="K452">
        <v>2.5130074305175823E-3</v>
      </c>
      <c r="L452" t="s">
        <v>153</v>
      </c>
    </row>
    <row r="453" spans="9:12" x14ac:dyDescent="0.45">
      <c r="I453" t="s">
        <v>182</v>
      </c>
      <c r="J453" t="s">
        <v>236</v>
      </c>
      <c r="K453">
        <v>0</v>
      </c>
      <c r="L453" t="s">
        <v>153</v>
      </c>
    </row>
    <row r="454" spans="9:12" x14ac:dyDescent="0.45">
      <c r="I454" t="s">
        <v>182</v>
      </c>
      <c r="J454" t="s">
        <v>237</v>
      </c>
      <c r="K454">
        <v>0</v>
      </c>
      <c r="L454" t="s">
        <v>153</v>
      </c>
    </row>
    <row r="455" spans="9:12" x14ac:dyDescent="0.45">
      <c r="I455" t="s">
        <v>182</v>
      </c>
      <c r="J455" t="s">
        <v>159</v>
      </c>
      <c r="K455">
        <v>0</v>
      </c>
      <c r="L455" t="s">
        <v>153</v>
      </c>
    </row>
    <row r="456" spans="9:12" x14ac:dyDescent="0.45">
      <c r="I456" t="s">
        <v>182</v>
      </c>
      <c r="J456" t="s">
        <v>160</v>
      </c>
      <c r="K456">
        <v>3.7221098873008816E-3</v>
      </c>
      <c r="L456" t="s">
        <v>153</v>
      </c>
    </row>
    <row r="457" spans="9:12" x14ac:dyDescent="0.45">
      <c r="I457" t="s">
        <v>182</v>
      </c>
      <c r="J457" t="s">
        <v>161</v>
      </c>
      <c r="K457">
        <v>6.4809937172861293E-2</v>
      </c>
      <c r="L457" t="s">
        <v>153</v>
      </c>
    </row>
    <row r="458" spans="9:12" x14ac:dyDescent="0.45">
      <c r="I458" t="s">
        <v>182</v>
      </c>
      <c r="J458" t="s">
        <v>238</v>
      </c>
      <c r="K458">
        <v>2.2244667673578383E-3</v>
      </c>
      <c r="L458" t="s">
        <v>153</v>
      </c>
    </row>
    <row r="459" spans="9:12" x14ac:dyDescent="0.45">
      <c r="I459" t="s">
        <v>182</v>
      </c>
      <c r="J459" t="s">
        <v>239</v>
      </c>
      <c r="K459">
        <v>0</v>
      </c>
      <c r="L459" t="s">
        <v>153</v>
      </c>
    </row>
    <row r="460" spans="9:12" x14ac:dyDescent="0.45">
      <c r="I460" t="s">
        <v>182</v>
      </c>
      <c r="J460" t="s">
        <v>240</v>
      </c>
      <c r="K460">
        <v>0</v>
      </c>
      <c r="L460" t="s">
        <v>153</v>
      </c>
    </row>
    <row r="461" spans="9:12" x14ac:dyDescent="0.45">
      <c r="I461" t="s">
        <v>182</v>
      </c>
      <c r="J461" t="s">
        <v>162</v>
      </c>
      <c r="K461">
        <v>0</v>
      </c>
      <c r="L461" t="s">
        <v>153</v>
      </c>
    </row>
    <row r="462" spans="9:12" x14ac:dyDescent="0.45">
      <c r="I462" t="s">
        <v>182</v>
      </c>
      <c r="J462" t="s">
        <v>163</v>
      </c>
      <c r="K462">
        <v>2.7834431403652377E-3</v>
      </c>
      <c r="L462" t="s">
        <v>153</v>
      </c>
    </row>
    <row r="463" spans="9:12" x14ac:dyDescent="0.45">
      <c r="I463" t="s">
        <v>182</v>
      </c>
      <c r="J463" t="s">
        <v>164</v>
      </c>
      <c r="K463">
        <v>4.6965151303990336E-2</v>
      </c>
      <c r="L463" t="s">
        <v>153</v>
      </c>
    </row>
    <row r="464" spans="9:12" x14ac:dyDescent="0.45">
      <c r="I464" t="s">
        <v>182</v>
      </c>
      <c r="J464" t="s">
        <v>241</v>
      </c>
      <c r="K464">
        <v>2.1370908330599105E-3</v>
      </c>
      <c r="L464" t="s">
        <v>153</v>
      </c>
    </row>
    <row r="465" spans="9:12" x14ac:dyDescent="0.45">
      <c r="I465" t="s">
        <v>182</v>
      </c>
      <c r="J465" t="s">
        <v>242</v>
      </c>
      <c r="K465">
        <v>0</v>
      </c>
      <c r="L465" t="s">
        <v>153</v>
      </c>
    </row>
    <row r="466" spans="9:12" x14ac:dyDescent="0.45">
      <c r="I466" t="s">
        <v>182</v>
      </c>
      <c r="J466" t="s">
        <v>243</v>
      </c>
      <c r="K466">
        <v>0</v>
      </c>
      <c r="L466" t="s">
        <v>153</v>
      </c>
    </row>
    <row r="467" spans="9:12" x14ac:dyDescent="0.45">
      <c r="I467" t="s">
        <v>183</v>
      </c>
      <c r="J467" t="s">
        <v>152</v>
      </c>
      <c r="K467">
        <v>1.5788647263850403E-2</v>
      </c>
      <c r="L467" t="s">
        <v>153</v>
      </c>
    </row>
    <row r="468" spans="9:12" x14ac:dyDescent="0.45">
      <c r="I468" t="s">
        <v>183</v>
      </c>
      <c r="J468" t="s">
        <v>154</v>
      </c>
      <c r="K468">
        <v>4.2871558559847985E-2</v>
      </c>
      <c r="L468" t="s">
        <v>153</v>
      </c>
    </row>
    <row r="469" spans="9:12" x14ac:dyDescent="0.45">
      <c r="I469" t="s">
        <v>183</v>
      </c>
      <c r="J469" t="s">
        <v>155</v>
      </c>
      <c r="K469">
        <v>0.71068676470487524</v>
      </c>
      <c r="L469" t="s">
        <v>153</v>
      </c>
    </row>
    <row r="470" spans="9:12" x14ac:dyDescent="0.45">
      <c r="I470" t="s">
        <v>183</v>
      </c>
      <c r="J470" t="s">
        <v>232</v>
      </c>
      <c r="K470">
        <v>3.7661766334535808E-2</v>
      </c>
      <c r="L470" t="s">
        <v>153</v>
      </c>
    </row>
    <row r="471" spans="9:12" x14ac:dyDescent="0.45">
      <c r="I471" t="s">
        <v>183</v>
      </c>
      <c r="J471" t="s">
        <v>233</v>
      </c>
      <c r="K471">
        <v>8.1090578491815855E-3</v>
      </c>
      <c r="L471" t="s">
        <v>153</v>
      </c>
    </row>
    <row r="472" spans="9:12" x14ac:dyDescent="0.45">
      <c r="I472" t="s">
        <v>183</v>
      </c>
      <c r="J472" t="s">
        <v>234</v>
      </c>
      <c r="K472">
        <v>0</v>
      </c>
      <c r="L472" t="s">
        <v>153</v>
      </c>
    </row>
    <row r="473" spans="9:12" x14ac:dyDescent="0.45">
      <c r="I473" t="s">
        <v>183</v>
      </c>
      <c r="J473" t="s">
        <v>156</v>
      </c>
      <c r="K473">
        <v>6.8659513684787875E-4</v>
      </c>
      <c r="L473" t="s">
        <v>153</v>
      </c>
    </row>
    <row r="474" spans="9:12" x14ac:dyDescent="0.45">
      <c r="I474" t="s">
        <v>183</v>
      </c>
      <c r="J474" t="s">
        <v>157</v>
      </c>
      <c r="K474">
        <v>3.3416947302204484E-3</v>
      </c>
      <c r="L474" t="s">
        <v>153</v>
      </c>
    </row>
    <row r="475" spans="9:12" x14ac:dyDescent="0.45">
      <c r="I475" t="s">
        <v>183</v>
      </c>
      <c r="J475" t="s">
        <v>158</v>
      </c>
      <c r="K475">
        <v>6.5603981002674602E-2</v>
      </c>
      <c r="L475" t="s">
        <v>153</v>
      </c>
    </row>
    <row r="476" spans="9:12" x14ac:dyDescent="0.45">
      <c r="I476" t="s">
        <v>183</v>
      </c>
      <c r="J476" t="s">
        <v>235</v>
      </c>
      <c r="K476">
        <v>2.7912705867633907E-3</v>
      </c>
      <c r="L476" t="s">
        <v>153</v>
      </c>
    </row>
    <row r="477" spans="9:12" x14ac:dyDescent="0.45">
      <c r="I477" t="s">
        <v>183</v>
      </c>
      <c r="J477" t="s">
        <v>236</v>
      </c>
      <c r="K477">
        <v>0</v>
      </c>
      <c r="L477" t="s">
        <v>153</v>
      </c>
    </row>
    <row r="478" spans="9:12" x14ac:dyDescent="0.45">
      <c r="I478" t="s">
        <v>183</v>
      </c>
      <c r="J478" t="s">
        <v>237</v>
      </c>
      <c r="K478">
        <v>0</v>
      </c>
      <c r="L478" t="s">
        <v>153</v>
      </c>
    </row>
    <row r="479" spans="9:12" x14ac:dyDescent="0.45">
      <c r="I479" t="s">
        <v>183</v>
      </c>
      <c r="J479" t="s">
        <v>159</v>
      </c>
      <c r="K479">
        <v>0</v>
      </c>
      <c r="L479" t="s">
        <v>153</v>
      </c>
    </row>
    <row r="480" spans="9:12" x14ac:dyDescent="0.45">
      <c r="I480" t="s">
        <v>183</v>
      </c>
      <c r="J480" t="s">
        <v>160</v>
      </c>
      <c r="K480">
        <v>2.7762877720414543E-3</v>
      </c>
      <c r="L480" t="s">
        <v>153</v>
      </c>
    </row>
    <row r="481" spans="9:12" x14ac:dyDescent="0.45">
      <c r="I481" t="s">
        <v>183</v>
      </c>
      <c r="J481" t="s">
        <v>161</v>
      </c>
      <c r="K481">
        <v>5.9580176152519933E-2</v>
      </c>
      <c r="L481" t="s">
        <v>153</v>
      </c>
    </row>
    <row r="482" spans="9:12" x14ac:dyDescent="0.45">
      <c r="I482" t="s">
        <v>183</v>
      </c>
      <c r="J482" t="s">
        <v>238</v>
      </c>
      <c r="K482">
        <v>2.2134598696808712E-3</v>
      </c>
      <c r="L482" t="s">
        <v>153</v>
      </c>
    </row>
    <row r="483" spans="9:12" x14ac:dyDescent="0.45">
      <c r="I483" t="s">
        <v>183</v>
      </c>
      <c r="J483" t="s">
        <v>239</v>
      </c>
      <c r="K483">
        <v>0</v>
      </c>
      <c r="L483" t="s">
        <v>153</v>
      </c>
    </row>
    <row r="484" spans="9:12" x14ac:dyDescent="0.45">
      <c r="I484" t="s">
        <v>183</v>
      </c>
      <c r="J484" t="s">
        <v>240</v>
      </c>
      <c r="K484">
        <v>0</v>
      </c>
      <c r="L484" t="s">
        <v>153</v>
      </c>
    </row>
    <row r="485" spans="9:12" x14ac:dyDescent="0.45">
      <c r="I485" t="s">
        <v>183</v>
      </c>
      <c r="J485" t="s">
        <v>162</v>
      </c>
      <c r="K485">
        <v>0</v>
      </c>
      <c r="L485" t="s">
        <v>153</v>
      </c>
    </row>
    <row r="486" spans="9:12" x14ac:dyDescent="0.45">
      <c r="I486" t="s">
        <v>183</v>
      </c>
      <c r="J486" t="s">
        <v>163</v>
      </c>
      <c r="K486">
        <v>2.2324173041115189E-3</v>
      </c>
      <c r="L486" t="s">
        <v>153</v>
      </c>
    </row>
    <row r="487" spans="9:12" x14ac:dyDescent="0.45">
      <c r="I487" t="s">
        <v>183</v>
      </c>
      <c r="J487" t="s">
        <v>164</v>
      </c>
      <c r="K487">
        <v>4.3740216960085801E-2</v>
      </c>
      <c r="L487" t="s">
        <v>153</v>
      </c>
    </row>
    <row r="488" spans="9:12" x14ac:dyDescent="0.45">
      <c r="I488" t="s">
        <v>183</v>
      </c>
      <c r="J488" t="s">
        <v>241</v>
      </c>
      <c r="K488">
        <v>1.9161057727636872E-3</v>
      </c>
      <c r="L488" t="s">
        <v>153</v>
      </c>
    </row>
    <row r="489" spans="9:12" x14ac:dyDescent="0.45">
      <c r="I489" t="s">
        <v>183</v>
      </c>
      <c r="J489" t="s">
        <v>242</v>
      </c>
      <c r="K489">
        <v>0</v>
      </c>
      <c r="L489" t="s">
        <v>153</v>
      </c>
    </row>
    <row r="490" spans="9:12" x14ac:dyDescent="0.45">
      <c r="I490" t="s">
        <v>183</v>
      </c>
      <c r="J490" t="s">
        <v>243</v>
      </c>
      <c r="K490">
        <v>0</v>
      </c>
      <c r="L490" t="s">
        <v>153</v>
      </c>
    </row>
    <row r="491" spans="9:12" x14ac:dyDescent="0.45">
      <c r="I491" t="s">
        <v>184</v>
      </c>
      <c r="J491" t="s">
        <v>152</v>
      </c>
      <c r="K491">
        <v>1.29221342457245E-2</v>
      </c>
      <c r="L491" t="s">
        <v>153</v>
      </c>
    </row>
    <row r="492" spans="9:12" x14ac:dyDescent="0.45">
      <c r="I492" t="s">
        <v>184</v>
      </c>
      <c r="J492" t="s">
        <v>154</v>
      </c>
      <c r="K492">
        <v>3.9432158483941875E-2</v>
      </c>
      <c r="L492" t="s">
        <v>153</v>
      </c>
    </row>
    <row r="493" spans="9:12" x14ac:dyDescent="0.45">
      <c r="I493" t="s">
        <v>184</v>
      </c>
      <c r="J493" t="s">
        <v>155</v>
      </c>
      <c r="K493">
        <v>0.69606666567814046</v>
      </c>
      <c r="L493" t="s">
        <v>153</v>
      </c>
    </row>
    <row r="494" spans="9:12" x14ac:dyDescent="0.45">
      <c r="I494" t="s">
        <v>184</v>
      </c>
      <c r="J494" t="s">
        <v>232</v>
      </c>
      <c r="K494">
        <v>3.5384610915149946E-2</v>
      </c>
      <c r="L494" t="s">
        <v>153</v>
      </c>
    </row>
    <row r="495" spans="9:12" x14ac:dyDescent="0.45">
      <c r="I495" t="s">
        <v>184</v>
      </c>
      <c r="J495" t="s">
        <v>233</v>
      </c>
      <c r="K495">
        <v>6.1833102796691169E-3</v>
      </c>
      <c r="L495" t="s">
        <v>153</v>
      </c>
    </row>
    <row r="496" spans="9:12" x14ac:dyDescent="0.45">
      <c r="I496" t="s">
        <v>184</v>
      </c>
      <c r="J496" t="s">
        <v>234</v>
      </c>
      <c r="K496">
        <v>0</v>
      </c>
      <c r="L496" t="s">
        <v>153</v>
      </c>
    </row>
    <row r="497" spans="9:12" x14ac:dyDescent="0.45">
      <c r="I497" t="s">
        <v>184</v>
      </c>
      <c r="J497" t="s">
        <v>156</v>
      </c>
      <c r="K497">
        <v>2.7236258782485493E-3</v>
      </c>
      <c r="L497" t="s">
        <v>153</v>
      </c>
    </row>
    <row r="498" spans="9:12" x14ac:dyDescent="0.45">
      <c r="I498" t="s">
        <v>184</v>
      </c>
      <c r="J498" t="s">
        <v>157</v>
      </c>
      <c r="K498">
        <v>4.9731637097030715E-3</v>
      </c>
      <c r="L498" t="s">
        <v>153</v>
      </c>
    </row>
    <row r="499" spans="9:12" x14ac:dyDescent="0.45">
      <c r="I499" t="s">
        <v>184</v>
      </c>
      <c r="J499" t="s">
        <v>158</v>
      </c>
      <c r="K499">
        <v>7.7996675618015626E-2</v>
      </c>
      <c r="L499" t="s">
        <v>153</v>
      </c>
    </row>
    <row r="500" spans="9:12" x14ac:dyDescent="0.45">
      <c r="I500" t="s">
        <v>184</v>
      </c>
      <c r="J500" t="s">
        <v>235</v>
      </c>
      <c r="K500">
        <v>3.3120410110516895E-3</v>
      </c>
      <c r="L500" t="s">
        <v>153</v>
      </c>
    </row>
    <row r="501" spans="9:12" x14ac:dyDescent="0.45">
      <c r="I501" t="s">
        <v>184</v>
      </c>
      <c r="J501" t="s">
        <v>236</v>
      </c>
      <c r="K501">
        <v>0</v>
      </c>
      <c r="L501" t="s">
        <v>153</v>
      </c>
    </row>
    <row r="502" spans="9:12" x14ac:dyDescent="0.45">
      <c r="I502" t="s">
        <v>184</v>
      </c>
      <c r="J502" t="s">
        <v>237</v>
      </c>
      <c r="K502">
        <v>0</v>
      </c>
      <c r="L502" t="s">
        <v>153</v>
      </c>
    </row>
    <row r="503" spans="9:12" x14ac:dyDescent="0.45">
      <c r="I503" t="s">
        <v>184</v>
      </c>
      <c r="J503" t="s">
        <v>159</v>
      </c>
      <c r="K503">
        <v>3.3328960203565263E-4</v>
      </c>
      <c r="L503" t="s">
        <v>153</v>
      </c>
    </row>
    <row r="504" spans="9:12" x14ac:dyDescent="0.45">
      <c r="I504" t="s">
        <v>184</v>
      </c>
      <c r="J504" t="s">
        <v>160</v>
      </c>
      <c r="K504">
        <v>3.9277460729491096E-3</v>
      </c>
      <c r="L504" t="s">
        <v>153</v>
      </c>
    </row>
    <row r="505" spans="9:12" x14ac:dyDescent="0.45">
      <c r="I505" t="s">
        <v>184</v>
      </c>
      <c r="J505" t="s">
        <v>161</v>
      </c>
      <c r="K505">
        <v>6.9090851885301036E-2</v>
      </c>
      <c r="L505" t="s">
        <v>153</v>
      </c>
    </row>
    <row r="506" spans="9:12" x14ac:dyDescent="0.45">
      <c r="I506" t="s">
        <v>184</v>
      </c>
      <c r="J506" t="s">
        <v>238</v>
      </c>
      <c r="K506">
        <v>2.6355044934558464E-3</v>
      </c>
      <c r="L506" t="s">
        <v>153</v>
      </c>
    </row>
    <row r="507" spans="9:12" x14ac:dyDescent="0.45">
      <c r="I507" t="s">
        <v>184</v>
      </c>
      <c r="J507" t="s">
        <v>239</v>
      </c>
      <c r="K507">
        <v>0</v>
      </c>
      <c r="L507" t="s">
        <v>153</v>
      </c>
    </row>
    <row r="508" spans="9:12" x14ac:dyDescent="0.45">
      <c r="I508" t="s">
        <v>184</v>
      </c>
      <c r="J508" t="s">
        <v>240</v>
      </c>
      <c r="K508">
        <v>0</v>
      </c>
      <c r="L508" t="s">
        <v>153</v>
      </c>
    </row>
    <row r="509" spans="9:12" x14ac:dyDescent="0.45">
      <c r="I509" t="s">
        <v>184</v>
      </c>
      <c r="J509" t="s">
        <v>162</v>
      </c>
      <c r="K509">
        <v>0</v>
      </c>
      <c r="L509" t="s">
        <v>153</v>
      </c>
    </row>
    <row r="510" spans="9:12" x14ac:dyDescent="0.45">
      <c r="I510" t="s">
        <v>184</v>
      </c>
      <c r="J510" t="s">
        <v>163</v>
      </c>
      <c r="K510">
        <v>2.258912606175644E-3</v>
      </c>
      <c r="L510" t="s">
        <v>153</v>
      </c>
    </row>
    <row r="511" spans="9:12" x14ac:dyDescent="0.45">
      <c r="I511" t="s">
        <v>184</v>
      </c>
      <c r="J511" t="s">
        <v>164</v>
      </c>
      <c r="K511">
        <v>4.064219829101668E-2</v>
      </c>
      <c r="L511" t="s">
        <v>153</v>
      </c>
    </row>
    <row r="512" spans="9:12" x14ac:dyDescent="0.45">
      <c r="I512" t="s">
        <v>184</v>
      </c>
      <c r="J512" t="s">
        <v>241</v>
      </c>
      <c r="K512">
        <v>2.1171112294184604E-3</v>
      </c>
      <c r="L512" t="s">
        <v>153</v>
      </c>
    </row>
    <row r="513" spans="9:12" x14ac:dyDescent="0.45">
      <c r="I513" t="s">
        <v>184</v>
      </c>
      <c r="J513" t="s">
        <v>242</v>
      </c>
      <c r="K513">
        <v>0</v>
      </c>
      <c r="L513" t="s">
        <v>153</v>
      </c>
    </row>
    <row r="514" spans="9:12" x14ac:dyDescent="0.45">
      <c r="I514" t="s">
        <v>184</v>
      </c>
      <c r="J514" t="s">
        <v>243</v>
      </c>
      <c r="K514">
        <v>0</v>
      </c>
      <c r="L514" t="s">
        <v>153</v>
      </c>
    </row>
    <row r="515" spans="9:12" x14ac:dyDescent="0.45">
      <c r="I515" t="s">
        <v>185</v>
      </c>
      <c r="J515" t="s">
        <v>152</v>
      </c>
      <c r="K515">
        <v>1.3272843024806632E-2</v>
      </c>
      <c r="L515" t="s">
        <v>153</v>
      </c>
    </row>
    <row r="516" spans="9:12" x14ac:dyDescent="0.45">
      <c r="I516" t="s">
        <v>185</v>
      </c>
      <c r="J516" t="s">
        <v>154</v>
      </c>
      <c r="K516">
        <v>3.994120997095936E-2</v>
      </c>
      <c r="L516" t="s">
        <v>153</v>
      </c>
    </row>
    <row r="517" spans="9:12" x14ac:dyDescent="0.45">
      <c r="I517" t="s">
        <v>185</v>
      </c>
      <c r="J517" t="s">
        <v>155</v>
      </c>
      <c r="K517">
        <v>0.68290132864936104</v>
      </c>
      <c r="L517" t="s">
        <v>153</v>
      </c>
    </row>
    <row r="518" spans="9:12" x14ac:dyDescent="0.45">
      <c r="I518" t="s">
        <v>185</v>
      </c>
      <c r="J518" t="s">
        <v>232</v>
      </c>
      <c r="K518">
        <v>3.1073425045678338E-2</v>
      </c>
      <c r="L518" t="s">
        <v>153</v>
      </c>
    </row>
    <row r="519" spans="9:12" x14ac:dyDescent="0.45">
      <c r="I519" t="s">
        <v>185</v>
      </c>
      <c r="J519" t="s">
        <v>233</v>
      </c>
      <c r="K519">
        <v>4.4512192668226458E-3</v>
      </c>
      <c r="L519" t="s">
        <v>153</v>
      </c>
    </row>
    <row r="520" spans="9:12" x14ac:dyDescent="0.45">
      <c r="I520" t="s">
        <v>185</v>
      </c>
      <c r="J520" t="s">
        <v>234</v>
      </c>
      <c r="K520">
        <v>0</v>
      </c>
      <c r="L520" t="s">
        <v>153</v>
      </c>
    </row>
    <row r="521" spans="9:12" x14ac:dyDescent="0.45">
      <c r="I521" t="s">
        <v>185</v>
      </c>
      <c r="J521" t="s">
        <v>156</v>
      </c>
      <c r="K521">
        <v>2.5575742581322152E-3</v>
      </c>
      <c r="L521" t="s">
        <v>153</v>
      </c>
    </row>
    <row r="522" spans="9:12" x14ac:dyDescent="0.45">
      <c r="I522" t="s">
        <v>185</v>
      </c>
      <c r="J522" t="s">
        <v>157</v>
      </c>
      <c r="K522">
        <v>5.052903555563577E-3</v>
      </c>
      <c r="L522" t="s">
        <v>153</v>
      </c>
    </row>
    <row r="523" spans="9:12" x14ac:dyDescent="0.45">
      <c r="I523" t="s">
        <v>185</v>
      </c>
      <c r="J523" t="s">
        <v>158</v>
      </c>
      <c r="K523">
        <v>7.7231266204952312E-2</v>
      </c>
      <c r="L523" t="s">
        <v>153</v>
      </c>
    </row>
    <row r="524" spans="9:12" x14ac:dyDescent="0.45">
      <c r="I524" t="s">
        <v>185</v>
      </c>
      <c r="J524" t="s">
        <v>235</v>
      </c>
      <c r="K524">
        <v>3.3010121313075324E-3</v>
      </c>
      <c r="L524" t="s">
        <v>153</v>
      </c>
    </row>
    <row r="525" spans="9:12" x14ac:dyDescent="0.45">
      <c r="I525" t="s">
        <v>185</v>
      </c>
      <c r="J525" t="s">
        <v>236</v>
      </c>
      <c r="K525">
        <v>0</v>
      </c>
      <c r="L525" t="s">
        <v>153</v>
      </c>
    </row>
    <row r="526" spans="9:12" x14ac:dyDescent="0.45">
      <c r="I526" t="s">
        <v>185</v>
      </c>
      <c r="J526" t="s">
        <v>237</v>
      </c>
      <c r="K526">
        <v>0</v>
      </c>
      <c r="L526" t="s">
        <v>153</v>
      </c>
    </row>
    <row r="527" spans="9:12" x14ac:dyDescent="0.45">
      <c r="I527" t="s">
        <v>185</v>
      </c>
      <c r="J527" t="s">
        <v>159</v>
      </c>
      <c r="K527">
        <v>5.1558499046612614E-4</v>
      </c>
      <c r="L527" t="s">
        <v>153</v>
      </c>
    </row>
    <row r="528" spans="9:12" x14ac:dyDescent="0.45">
      <c r="I528" t="s">
        <v>185</v>
      </c>
      <c r="J528" t="s">
        <v>160</v>
      </c>
      <c r="K528">
        <v>5.212234026154252E-3</v>
      </c>
      <c r="L528" t="s">
        <v>153</v>
      </c>
    </row>
    <row r="529" spans="9:12" x14ac:dyDescent="0.45">
      <c r="I529" t="s">
        <v>185</v>
      </c>
      <c r="J529" t="s">
        <v>161</v>
      </c>
      <c r="K529">
        <v>7.943700677449092E-2</v>
      </c>
      <c r="L529" t="s">
        <v>153</v>
      </c>
    </row>
    <row r="530" spans="9:12" x14ac:dyDescent="0.45">
      <c r="I530" t="s">
        <v>185</v>
      </c>
      <c r="J530" t="s">
        <v>238</v>
      </c>
      <c r="K530">
        <v>3.0634936501931585E-3</v>
      </c>
      <c r="L530" t="s">
        <v>153</v>
      </c>
    </row>
    <row r="531" spans="9:12" x14ac:dyDescent="0.45">
      <c r="I531" t="s">
        <v>185</v>
      </c>
      <c r="J531" t="s">
        <v>239</v>
      </c>
      <c r="K531">
        <v>0</v>
      </c>
      <c r="L531" t="s">
        <v>153</v>
      </c>
    </row>
    <row r="532" spans="9:12" x14ac:dyDescent="0.45">
      <c r="I532" t="s">
        <v>185</v>
      </c>
      <c r="J532" t="s">
        <v>240</v>
      </c>
      <c r="K532">
        <v>0</v>
      </c>
      <c r="L532" t="s">
        <v>153</v>
      </c>
    </row>
    <row r="533" spans="9:12" x14ac:dyDescent="0.45">
      <c r="I533" t="s">
        <v>185</v>
      </c>
      <c r="J533" t="s">
        <v>162</v>
      </c>
      <c r="K533">
        <v>0</v>
      </c>
      <c r="L533" t="s">
        <v>153</v>
      </c>
    </row>
    <row r="534" spans="9:12" x14ac:dyDescent="0.45">
      <c r="I534" t="s">
        <v>185</v>
      </c>
      <c r="J534" t="s">
        <v>163</v>
      </c>
      <c r="K534">
        <v>2.7346293616979933E-3</v>
      </c>
      <c r="L534" t="s">
        <v>153</v>
      </c>
    </row>
    <row r="535" spans="9:12" x14ac:dyDescent="0.45">
      <c r="I535" t="s">
        <v>185</v>
      </c>
      <c r="J535" t="s">
        <v>164</v>
      </c>
      <c r="K535">
        <v>4.6892728529883979E-2</v>
      </c>
      <c r="L535" t="s">
        <v>153</v>
      </c>
    </row>
    <row r="536" spans="9:12" x14ac:dyDescent="0.45">
      <c r="I536" t="s">
        <v>185</v>
      </c>
      <c r="J536" t="s">
        <v>241</v>
      </c>
      <c r="K536">
        <v>2.3615405595303856E-3</v>
      </c>
      <c r="L536" t="s">
        <v>153</v>
      </c>
    </row>
    <row r="537" spans="9:12" x14ac:dyDescent="0.45">
      <c r="I537" t="s">
        <v>185</v>
      </c>
      <c r="J537" t="s">
        <v>242</v>
      </c>
      <c r="K537">
        <v>0</v>
      </c>
      <c r="L537" t="s">
        <v>153</v>
      </c>
    </row>
    <row r="538" spans="9:12" x14ac:dyDescent="0.45">
      <c r="I538" t="s">
        <v>185</v>
      </c>
      <c r="J538" t="s">
        <v>243</v>
      </c>
      <c r="K538">
        <v>0</v>
      </c>
      <c r="L538" t="s">
        <v>153</v>
      </c>
    </row>
    <row r="539" spans="9:12" x14ac:dyDescent="0.45">
      <c r="I539" t="s">
        <v>186</v>
      </c>
      <c r="J539" t="s">
        <v>152</v>
      </c>
      <c r="K539">
        <v>7.3174607432419303E-3</v>
      </c>
      <c r="L539" t="s">
        <v>153</v>
      </c>
    </row>
    <row r="540" spans="9:12" x14ac:dyDescent="0.45">
      <c r="I540" t="s">
        <v>186</v>
      </c>
      <c r="J540" t="s">
        <v>154</v>
      </c>
      <c r="K540">
        <v>3.2137758597905991E-2</v>
      </c>
      <c r="L540" t="s">
        <v>153</v>
      </c>
    </row>
    <row r="541" spans="9:12" x14ac:dyDescent="0.45">
      <c r="I541" t="s">
        <v>186</v>
      </c>
      <c r="J541" t="s">
        <v>155</v>
      </c>
      <c r="K541">
        <v>0.68013724178315371</v>
      </c>
      <c r="L541" t="s">
        <v>153</v>
      </c>
    </row>
    <row r="542" spans="9:12" x14ac:dyDescent="0.45">
      <c r="I542" t="s">
        <v>186</v>
      </c>
      <c r="J542" t="s">
        <v>232</v>
      </c>
      <c r="K542">
        <v>3.6719253867537639E-2</v>
      </c>
      <c r="L542" t="s">
        <v>153</v>
      </c>
    </row>
    <row r="543" spans="9:12" x14ac:dyDescent="0.45">
      <c r="I543" t="s">
        <v>186</v>
      </c>
      <c r="J543" t="s">
        <v>233</v>
      </c>
      <c r="K543">
        <v>1.1124625492954673E-2</v>
      </c>
      <c r="L543" t="s">
        <v>153</v>
      </c>
    </row>
    <row r="544" spans="9:12" x14ac:dyDescent="0.45">
      <c r="I544" t="s">
        <v>186</v>
      </c>
      <c r="J544" t="s">
        <v>234</v>
      </c>
      <c r="K544">
        <v>0</v>
      </c>
      <c r="L544" t="s">
        <v>153</v>
      </c>
    </row>
    <row r="545" spans="9:12" x14ac:dyDescent="0.45">
      <c r="I545" t="s">
        <v>186</v>
      </c>
      <c r="J545" t="s">
        <v>156</v>
      </c>
      <c r="K545">
        <v>6.0625083024747094E-4</v>
      </c>
      <c r="L545" t="s">
        <v>153</v>
      </c>
    </row>
    <row r="546" spans="9:12" x14ac:dyDescent="0.45">
      <c r="I546" t="s">
        <v>186</v>
      </c>
      <c r="J546" t="s">
        <v>157</v>
      </c>
      <c r="K546">
        <v>4.7279590620572199E-3</v>
      </c>
      <c r="L546" t="s">
        <v>153</v>
      </c>
    </row>
    <row r="547" spans="9:12" x14ac:dyDescent="0.45">
      <c r="I547" t="s">
        <v>186</v>
      </c>
      <c r="J547" t="s">
        <v>158</v>
      </c>
      <c r="K547">
        <v>7.8596717966522248E-2</v>
      </c>
      <c r="L547" t="s">
        <v>153</v>
      </c>
    </row>
    <row r="548" spans="9:12" x14ac:dyDescent="0.45">
      <c r="I548" t="s">
        <v>186</v>
      </c>
      <c r="J548" t="s">
        <v>235</v>
      </c>
      <c r="K548">
        <v>2.6036837568399703E-3</v>
      </c>
      <c r="L548" t="s">
        <v>153</v>
      </c>
    </row>
    <row r="549" spans="9:12" x14ac:dyDescent="0.45">
      <c r="I549" t="s">
        <v>186</v>
      </c>
      <c r="J549" t="s">
        <v>236</v>
      </c>
      <c r="K549">
        <v>0</v>
      </c>
      <c r="L549" t="s">
        <v>153</v>
      </c>
    </row>
    <row r="550" spans="9:12" x14ac:dyDescent="0.45">
      <c r="I550" t="s">
        <v>186</v>
      </c>
      <c r="J550" t="s">
        <v>237</v>
      </c>
      <c r="K550">
        <v>0</v>
      </c>
      <c r="L550" t="s">
        <v>153</v>
      </c>
    </row>
    <row r="551" spans="9:12" x14ac:dyDescent="0.45">
      <c r="I551" t="s">
        <v>186</v>
      </c>
      <c r="J551" t="s">
        <v>159</v>
      </c>
      <c r="K551">
        <v>0</v>
      </c>
      <c r="L551" t="s">
        <v>153</v>
      </c>
    </row>
    <row r="552" spans="9:12" x14ac:dyDescent="0.45">
      <c r="I552" t="s">
        <v>186</v>
      </c>
      <c r="J552" t="s">
        <v>160</v>
      </c>
      <c r="K552">
        <v>4.8541593388496561E-3</v>
      </c>
      <c r="L552" t="s">
        <v>153</v>
      </c>
    </row>
    <row r="553" spans="9:12" x14ac:dyDescent="0.45">
      <c r="I553" t="s">
        <v>186</v>
      </c>
      <c r="J553" t="s">
        <v>161</v>
      </c>
      <c r="K553">
        <v>8.0518244557006721E-2</v>
      </c>
      <c r="L553" t="s">
        <v>153</v>
      </c>
    </row>
    <row r="554" spans="9:12" x14ac:dyDescent="0.45">
      <c r="I554" t="s">
        <v>186</v>
      </c>
      <c r="J554" t="s">
        <v>238</v>
      </c>
      <c r="K554">
        <v>2.6966571184038448E-3</v>
      </c>
      <c r="L554" t="s">
        <v>153</v>
      </c>
    </row>
    <row r="555" spans="9:12" x14ac:dyDescent="0.45">
      <c r="I555" t="s">
        <v>186</v>
      </c>
      <c r="J555" t="s">
        <v>239</v>
      </c>
      <c r="K555">
        <v>0</v>
      </c>
      <c r="L555" t="s">
        <v>153</v>
      </c>
    </row>
    <row r="556" spans="9:12" x14ac:dyDescent="0.45">
      <c r="I556" t="s">
        <v>186</v>
      </c>
      <c r="J556" t="s">
        <v>240</v>
      </c>
      <c r="K556">
        <v>0</v>
      </c>
      <c r="L556" t="s">
        <v>153</v>
      </c>
    </row>
    <row r="557" spans="9:12" x14ac:dyDescent="0.45">
      <c r="I557" t="s">
        <v>186</v>
      </c>
      <c r="J557" t="s">
        <v>162</v>
      </c>
      <c r="K557">
        <v>0</v>
      </c>
      <c r="L557" t="s">
        <v>153</v>
      </c>
    </row>
    <row r="558" spans="9:12" x14ac:dyDescent="0.45">
      <c r="I558" t="s">
        <v>186</v>
      </c>
      <c r="J558" t="s">
        <v>163</v>
      </c>
      <c r="K558">
        <v>2.9603585190356952E-3</v>
      </c>
      <c r="L558" t="s">
        <v>153</v>
      </c>
    </row>
    <row r="559" spans="9:12" x14ac:dyDescent="0.45">
      <c r="I559" t="s">
        <v>186</v>
      </c>
      <c r="J559" t="s">
        <v>164</v>
      </c>
      <c r="K559">
        <v>5.2356233425361706E-2</v>
      </c>
      <c r="L559" t="s">
        <v>153</v>
      </c>
    </row>
    <row r="560" spans="9:12" x14ac:dyDescent="0.45">
      <c r="I560" t="s">
        <v>186</v>
      </c>
      <c r="J560" t="s">
        <v>241</v>
      </c>
      <c r="K560">
        <v>2.6433949408783703E-3</v>
      </c>
      <c r="L560" t="s">
        <v>153</v>
      </c>
    </row>
    <row r="561" spans="9:12" x14ac:dyDescent="0.45">
      <c r="I561" t="s">
        <v>186</v>
      </c>
      <c r="J561" t="s">
        <v>242</v>
      </c>
      <c r="K561">
        <v>0</v>
      </c>
      <c r="L561" t="s">
        <v>153</v>
      </c>
    </row>
    <row r="562" spans="9:12" x14ac:dyDescent="0.45">
      <c r="I562" t="s">
        <v>186</v>
      </c>
      <c r="J562" t="s">
        <v>243</v>
      </c>
      <c r="K562">
        <v>0</v>
      </c>
      <c r="L562" t="s">
        <v>153</v>
      </c>
    </row>
    <row r="563" spans="9:12" x14ac:dyDescent="0.45">
      <c r="I563" t="s">
        <v>187</v>
      </c>
      <c r="J563" t="s">
        <v>152</v>
      </c>
      <c r="K563">
        <v>6.9258794295849867E-3</v>
      </c>
      <c r="L563" t="s">
        <v>153</v>
      </c>
    </row>
    <row r="564" spans="9:12" x14ac:dyDescent="0.45">
      <c r="I564" t="s">
        <v>187</v>
      </c>
      <c r="J564" t="s">
        <v>154</v>
      </c>
      <c r="K564">
        <v>2.9291327687263499E-2</v>
      </c>
      <c r="L564" t="s">
        <v>153</v>
      </c>
    </row>
    <row r="565" spans="9:12" x14ac:dyDescent="0.45">
      <c r="I565" t="s">
        <v>187</v>
      </c>
      <c r="J565" t="s">
        <v>155</v>
      </c>
      <c r="K565">
        <v>0.67191081220949667</v>
      </c>
      <c r="L565" t="s">
        <v>153</v>
      </c>
    </row>
    <row r="566" spans="9:12" x14ac:dyDescent="0.45">
      <c r="I566" t="s">
        <v>187</v>
      </c>
      <c r="J566" t="s">
        <v>232</v>
      </c>
      <c r="K566">
        <v>3.2485314584119289E-2</v>
      </c>
      <c r="L566" t="s">
        <v>153</v>
      </c>
    </row>
    <row r="567" spans="9:12" x14ac:dyDescent="0.45">
      <c r="I567" t="s">
        <v>187</v>
      </c>
      <c r="J567" t="s">
        <v>233</v>
      </c>
      <c r="K567">
        <v>1.015608636439031E-2</v>
      </c>
      <c r="L567" t="s">
        <v>153</v>
      </c>
    </row>
    <row r="568" spans="9:12" x14ac:dyDescent="0.45">
      <c r="I568" t="s">
        <v>187</v>
      </c>
      <c r="J568" t="s">
        <v>234</v>
      </c>
      <c r="K568">
        <v>0</v>
      </c>
      <c r="L568" t="s">
        <v>153</v>
      </c>
    </row>
    <row r="569" spans="9:12" x14ac:dyDescent="0.45">
      <c r="I569" t="s">
        <v>187</v>
      </c>
      <c r="J569" t="s">
        <v>156</v>
      </c>
      <c r="K569">
        <v>1.374719381151917E-3</v>
      </c>
      <c r="L569" t="s">
        <v>153</v>
      </c>
    </row>
    <row r="570" spans="9:12" x14ac:dyDescent="0.45">
      <c r="I570" t="s">
        <v>187</v>
      </c>
      <c r="J570" t="s">
        <v>157</v>
      </c>
      <c r="K570">
        <v>5.0428923578819491E-3</v>
      </c>
      <c r="L570" t="s">
        <v>153</v>
      </c>
    </row>
    <row r="571" spans="9:12" x14ac:dyDescent="0.45">
      <c r="I571" t="s">
        <v>187</v>
      </c>
      <c r="J571" t="s">
        <v>158</v>
      </c>
      <c r="K571">
        <v>8.2833881759789299E-2</v>
      </c>
      <c r="L571" t="s">
        <v>153</v>
      </c>
    </row>
    <row r="572" spans="9:12" x14ac:dyDescent="0.45">
      <c r="I572" t="s">
        <v>187</v>
      </c>
      <c r="J572" t="s">
        <v>235</v>
      </c>
      <c r="K572">
        <v>2.9238867093759513E-3</v>
      </c>
      <c r="L572" t="s">
        <v>153</v>
      </c>
    </row>
    <row r="573" spans="9:12" x14ac:dyDescent="0.45">
      <c r="I573" t="s">
        <v>187</v>
      </c>
      <c r="J573" t="s">
        <v>236</v>
      </c>
      <c r="K573">
        <v>0</v>
      </c>
      <c r="L573" t="s">
        <v>153</v>
      </c>
    </row>
    <row r="574" spans="9:12" x14ac:dyDescent="0.45">
      <c r="I574" t="s">
        <v>187</v>
      </c>
      <c r="J574" t="s">
        <v>237</v>
      </c>
      <c r="K574">
        <v>0</v>
      </c>
      <c r="L574" t="s">
        <v>153</v>
      </c>
    </row>
    <row r="575" spans="9:12" x14ac:dyDescent="0.45">
      <c r="I575" t="s">
        <v>187</v>
      </c>
      <c r="J575" t="s">
        <v>159</v>
      </c>
      <c r="K575">
        <v>0</v>
      </c>
      <c r="L575" t="s">
        <v>153</v>
      </c>
    </row>
    <row r="576" spans="9:12" x14ac:dyDescent="0.45">
      <c r="I576" t="s">
        <v>187</v>
      </c>
      <c r="J576" t="s">
        <v>160</v>
      </c>
      <c r="K576">
        <v>5.1901296837256012E-3</v>
      </c>
      <c r="L576" t="s">
        <v>153</v>
      </c>
    </row>
    <row r="577" spans="9:12" x14ac:dyDescent="0.45">
      <c r="I577" t="s">
        <v>187</v>
      </c>
      <c r="J577" t="s">
        <v>161</v>
      </c>
      <c r="K577">
        <v>9.0386883471593432E-2</v>
      </c>
      <c r="L577" t="s">
        <v>153</v>
      </c>
    </row>
    <row r="578" spans="9:12" x14ac:dyDescent="0.45">
      <c r="I578" t="s">
        <v>187</v>
      </c>
      <c r="J578" t="s">
        <v>238</v>
      </c>
      <c r="K578">
        <v>3.4091862185665852E-3</v>
      </c>
      <c r="L578" t="s">
        <v>153</v>
      </c>
    </row>
    <row r="579" spans="9:12" x14ac:dyDescent="0.45">
      <c r="I579" t="s">
        <v>187</v>
      </c>
      <c r="J579" t="s">
        <v>239</v>
      </c>
      <c r="K579">
        <v>0</v>
      </c>
      <c r="L579" t="s">
        <v>153</v>
      </c>
    </row>
    <row r="580" spans="9:12" x14ac:dyDescent="0.45">
      <c r="I580" t="s">
        <v>187</v>
      </c>
      <c r="J580" t="s">
        <v>240</v>
      </c>
      <c r="K580">
        <v>0</v>
      </c>
      <c r="L580" t="s">
        <v>153</v>
      </c>
    </row>
    <row r="581" spans="9:12" x14ac:dyDescent="0.45">
      <c r="I581" t="s">
        <v>187</v>
      </c>
      <c r="J581" t="s">
        <v>162</v>
      </c>
      <c r="K581">
        <v>0</v>
      </c>
      <c r="L581" t="s">
        <v>153</v>
      </c>
    </row>
    <row r="582" spans="9:12" x14ac:dyDescent="0.45">
      <c r="I582" t="s">
        <v>187</v>
      </c>
      <c r="J582" t="s">
        <v>163</v>
      </c>
      <c r="K582">
        <v>2.6377896993781632E-3</v>
      </c>
      <c r="L582" t="s">
        <v>153</v>
      </c>
    </row>
    <row r="583" spans="9:12" x14ac:dyDescent="0.45">
      <c r="I583" t="s">
        <v>187</v>
      </c>
      <c r="J583" t="s">
        <v>164</v>
      </c>
      <c r="K583">
        <v>5.2699100567196094E-2</v>
      </c>
      <c r="L583" t="s">
        <v>153</v>
      </c>
    </row>
    <row r="584" spans="9:12" x14ac:dyDescent="0.45">
      <c r="I584" t="s">
        <v>187</v>
      </c>
      <c r="J584" t="s">
        <v>241</v>
      </c>
      <c r="K584">
        <v>2.7321098764862815E-3</v>
      </c>
      <c r="L584" t="s">
        <v>153</v>
      </c>
    </row>
    <row r="585" spans="9:12" x14ac:dyDescent="0.45">
      <c r="I585" t="s">
        <v>187</v>
      </c>
      <c r="J585" t="s">
        <v>242</v>
      </c>
      <c r="K585">
        <v>0</v>
      </c>
      <c r="L585" t="s">
        <v>153</v>
      </c>
    </row>
    <row r="586" spans="9:12" x14ac:dyDescent="0.45">
      <c r="I586" t="s">
        <v>187</v>
      </c>
      <c r="J586" t="s">
        <v>243</v>
      </c>
      <c r="K586">
        <v>0</v>
      </c>
      <c r="L586" t="s">
        <v>153</v>
      </c>
    </row>
    <row r="587" spans="9:12" x14ac:dyDescent="0.45">
      <c r="I587" t="s">
        <v>188</v>
      </c>
      <c r="J587" t="s">
        <v>152</v>
      </c>
      <c r="K587">
        <v>1.1076805257768602E-2</v>
      </c>
      <c r="L587" t="s">
        <v>153</v>
      </c>
    </row>
    <row r="588" spans="9:12" x14ac:dyDescent="0.45">
      <c r="I588" t="s">
        <v>188</v>
      </c>
      <c r="J588" t="s">
        <v>154</v>
      </c>
      <c r="K588">
        <v>3.8761506527565055E-2</v>
      </c>
      <c r="L588" t="s">
        <v>153</v>
      </c>
    </row>
    <row r="589" spans="9:12" x14ac:dyDescent="0.45">
      <c r="I589" t="s">
        <v>188</v>
      </c>
      <c r="J589" t="s">
        <v>155</v>
      </c>
      <c r="K589">
        <v>0.68542101965794711</v>
      </c>
      <c r="L589" t="s">
        <v>153</v>
      </c>
    </row>
    <row r="590" spans="9:12" x14ac:dyDescent="0.45">
      <c r="I590" t="s">
        <v>188</v>
      </c>
      <c r="J590" t="s">
        <v>232</v>
      </c>
      <c r="K590">
        <v>3.3754980544741429E-2</v>
      </c>
      <c r="L590" t="s">
        <v>153</v>
      </c>
    </row>
    <row r="591" spans="9:12" x14ac:dyDescent="0.45">
      <c r="I591" t="s">
        <v>188</v>
      </c>
      <c r="J591" t="s">
        <v>233</v>
      </c>
      <c r="K591">
        <v>6.9594939218854575E-3</v>
      </c>
      <c r="L591" t="s">
        <v>153</v>
      </c>
    </row>
    <row r="592" spans="9:12" x14ac:dyDescent="0.45">
      <c r="I592" t="s">
        <v>188</v>
      </c>
      <c r="J592" t="s">
        <v>234</v>
      </c>
      <c r="K592">
        <v>0</v>
      </c>
      <c r="L592" t="s">
        <v>153</v>
      </c>
    </row>
    <row r="593" spans="9:12" x14ac:dyDescent="0.45">
      <c r="I593" t="s">
        <v>188</v>
      </c>
      <c r="J593" t="s">
        <v>156</v>
      </c>
      <c r="K593">
        <v>1.5728989596809134E-3</v>
      </c>
      <c r="L593" t="s">
        <v>153</v>
      </c>
    </row>
    <row r="594" spans="9:12" x14ac:dyDescent="0.45">
      <c r="I594" t="s">
        <v>188</v>
      </c>
      <c r="J594" t="s">
        <v>157</v>
      </c>
      <c r="K594">
        <v>4.6409040226505719E-3</v>
      </c>
      <c r="L594" t="s">
        <v>153</v>
      </c>
    </row>
    <row r="595" spans="9:12" x14ac:dyDescent="0.45">
      <c r="I595" t="s">
        <v>188</v>
      </c>
      <c r="J595" t="s">
        <v>158</v>
      </c>
      <c r="K595">
        <v>7.2678296950263441E-2</v>
      </c>
      <c r="L595" t="s">
        <v>153</v>
      </c>
    </row>
    <row r="596" spans="9:12" x14ac:dyDescent="0.45">
      <c r="I596" t="s">
        <v>188</v>
      </c>
      <c r="J596" t="s">
        <v>235</v>
      </c>
      <c r="K596">
        <v>2.6129732899680177E-3</v>
      </c>
      <c r="L596" t="s">
        <v>153</v>
      </c>
    </row>
    <row r="597" spans="9:12" x14ac:dyDescent="0.45">
      <c r="I597" t="s">
        <v>188</v>
      </c>
      <c r="J597" t="s">
        <v>236</v>
      </c>
      <c r="K597">
        <v>0</v>
      </c>
      <c r="L597" t="s">
        <v>153</v>
      </c>
    </row>
    <row r="598" spans="9:12" x14ac:dyDescent="0.45">
      <c r="I598" t="s">
        <v>188</v>
      </c>
      <c r="J598" t="s">
        <v>237</v>
      </c>
      <c r="K598">
        <v>0</v>
      </c>
      <c r="L598" t="s">
        <v>153</v>
      </c>
    </row>
    <row r="599" spans="9:12" x14ac:dyDescent="0.45">
      <c r="I599" t="s">
        <v>188</v>
      </c>
      <c r="J599" t="s">
        <v>159</v>
      </c>
      <c r="K599">
        <v>0</v>
      </c>
      <c r="L599" t="s">
        <v>153</v>
      </c>
    </row>
    <row r="600" spans="9:12" x14ac:dyDescent="0.45">
      <c r="I600" t="s">
        <v>188</v>
      </c>
      <c r="J600" t="s">
        <v>160</v>
      </c>
      <c r="K600">
        <v>5.1854786400174612E-3</v>
      </c>
      <c r="L600" t="s">
        <v>153</v>
      </c>
    </row>
    <row r="601" spans="9:12" x14ac:dyDescent="0.45">
      <c r="I601" t="s">
        <v>188</v>
      </c>
      <c r="J601" t="s">
        <v>161</v>
      </c>
      <c r="K601">
        <v>7.8170079950981672E-2</v>
      </c>
      <c r="L601" t="s">
        <v>153</v>
      </c>
    </row>
    <row r="602" spans="9:12" x14ac:dyDescent="0.45">
      <c r="I602" t="s">
        <v>188</v>
      </c>
      <c r="J602" t="s">
        <v>238</v>
      </c>
      <c r="K602">
        <v>2.928008333405121E-3</v>
      </c>
      <c r="L602" t="s">
        <v>153</v>
      </c>
    </row>
    <row r="603" spans="9:12" x14ac:dyDescent="0.45">
      <c r="I603" t="s">
        <v>188</v>
      </c>
      <c r="J603" t="s">
        <v>239</v>
      </c>
      <c r="K603">
        <v>0</v>
      </c>
      <c r="L603" t="s">
        <v>153</v>
      </c>
    </row>
    <row r="604" spans="9:12" x14ac:dyDescent="0.45">
      <c r="I604" t="s">
        <v>188</v>
      </c>
      <c r="J604" t="s">
        <v>240</v>
      </c>
      <c r="K604">
        <v>0</v>
      </c>
      <c r="L604" t="s">
        <v>153</v>
      </c>
    </row>
    <row r="605" spans="9:12" x14ac:dyDescent="0.45">
      <c r="I605" t="s">
        <v>188</v>
      </c>
      <c r="J605" t="s">
        <v>162</v>
      </c>
      <c r="K605">
        <v>0</v>
      </c>
      <c r="L605" t="s">
        <v>153</v>
      </c>
    </row>
    <row r="606" spans="9:12" x14ac:dyDescent="0.45">
      <c r="I606" t="s">
        <v>188</v>
      </c>
      <c r="J606" t="s">
        <v>163</v>
      </c>
      <c r="K606">
        <v>3.0035512066987663E-3</v>
      </c>
      <c r="L606" t="s">
        <v>153</v>
      </c>
    </row>
    <row r="607" spans="9:12" x14ac:dyDescent="0.45">
      <c r="I607" t="s">
        <v>188</v>
      </c>
      <c r="J607" t="s">
        <v>164</v>
      </c>
      <c r="K607">
        <v>5.0630320996690285E-2</v>
      </c>
      <c r="L607" t="s">
        <v>153</v>
      </c>
    </row>
    <row r="608" spans="9:12" x14ac:dyDescent="0.45">
      <c r="I608" t="s">
        <v>188</v>
      </c>
      <c r="J608" t="s">
        <v>241</v>
      </c>
      <c r="K608">
        <v>2.603681739733286E-3</v>
      </c>
      <c r="L608" t="s">
        <v>153</v>
      </c>
    </row>
    <row r="609" spans="9:12" x14ac:dyDescent="0.45">
      <c r="I609" t="s">
        <v>188</v>
      </c>
      <c r="J609" t="s">
        <v>242</v>
      </c>
      <c r="K609">
        <v>0</v>
      </c>
      <c r="L609" t="s">
        <v>153</v>
      </c>
    </row>
    <row r="610" spans="9:12" x14ac:dyDescent="0.45">
      <c r="I610" t="s">
        <v>188</v>
      </c>
      <c r="J610" t="s">
        <v>243</v>
      </c>
      <c r="K610">
        <v>0</v>
      </c>
      <c r="L610" t="s">
        <v>153</v>
      </c>
    </row>
    <row r="611" spans="9:12" x14ac:dyDescent="0.45">
      <c r="I611" t="s">
        <v>189</v>
      </c>
      <c r="J611" t="s">
        <v>152</v>
      </c>
      <c r="K611">
        <v>1.4600585441115138E-2</v>
      </c>
      <c r="L611" t="s">
        <v>153</v>
      </c>
    </row>
    <row r="612" spans="9:12" x14ac:dyDescent="0.45">
      <c r="I612" t="s">
        <v>189</v>
      </c>
      <c r="J612" t="s">
        <v>154</v>
      </c>
      <c r="K612">
        <v>4.1936635141943242E-2</v>
      </c>
      <c r="L612" t="s">
        <v>153</v>
      </c>
    </row>
    <row r="613" spans="9:12" x14ac:dyDescent="0.45">
      <c r="I613" t="s">
        <v>189</v>
      </c>
      <c r="J613" t="s">
        <v>155</v>
      </c>
      <c r="K613">
        <v>0.69495376750376003</v>
      </c>
      <c r="L613" t="s">
        <v>153</v>
      </c>
    </row>
    <row r="614" spans="9:12" x14ac:dyDescent="0.45">
      <c r="I614" t="s">
        <v>189</v>
      </c>
      <c r="J614" t="s">
        <v>232</v>
      </c>
      <c r="K614">
        <v>3.4356179615939661E-2</v>
      </c>
      <c r="L614" t="s">
        <v>153</v>
      </c>
    </row>
    <row r="615" spans="9:12" x14ac:dyDescent="0.45">
      <c r="I615" t="s">
        <v>189</v>
      </c>
      <c r="J615" t="s">
        <v>233</v>
      </c>
      <c r="K615">
        <v>5.7058866952458855E-3</v>
      </c>
      <c r="L615" t="s">
        <v>153</v>
      </c>
    </row>
    <row r="616" spans="9:12" x14ac:dyDescent="0.45">
      <c r="I616" t="s">
        <v>189</v>
      </c>
      <c r="J616" t="s">
        <v>234</v>
      </c>
      <c r="K616">
        <v>0</v>
      </c>
      <c r="L616" t="s">
        <v>153</v>
      </c>
    </row>
    <row r="617" spans="9:12" x14ac:dyDescent="0.45">
      <c r="I617" t="s">
        <v>189</v>
      </c>
      <c r="J617" t="s">
        <v>156</v>
      </c>
      <c r="K617">
        <v>2.2481807314447331E-3</v>
      </c>
      <c r="L617" t="s">
        <v>153</v>
      </c>
    </row>
    <row r="618" spans="9:12" x14ac:dyDescent="0.45">
      <c r="I618" t="s">
        <v>189</v>
      </c>
      <c r="J618" t="s">
        <v>157</v>
      </c>
      <c r="K618">
        <v>4.6213127243499626E-3</v>
      </c>
      <c r="L618" t="s">
        <v>153</v>
      </c>
    </row>
    <row r="619" spans="9:12" x14ac:dyDescent="0.45">
      <c r="I619" t="s">
        <v>189</v>
      </c>
      <c r="J619" t="s">
        <v>158</v>
      </c>
      <c r="K619">
        <v>6.7898102492069692E-2</v>
      </c>
      <c r="L619" t="s">
        <v>153</v>
      </c>
    </row>
    <row r="620" spans="9:12" x14ac:dyDescent="0.45">
      <c r="I620" t="s">
        <v>189</v>
      </c>
      <c r="J620" t="s">
        <v>235</v>
      </c>
      <c r="K620">
        <v>2.2529433931772792E-3</v>
      </c>
      <c r="L620" t="s">
        <v>153</v>
      </c>
    </row>
    <row r="621" spans="9:12" x14ac:dyDescent="0.45">
      <c r="I621" t="s">
        <v>189</v>
      </c>
      <c r="J621" t="s">
        <v>236</v>
      </c>
      <c r="K621">
        <v>0</v>
      </c>
      <c r="L621" t="s">
        <v>153</v>
      </c>
    </row>
    <row r="622" spans="9:12" x14ac:dyDescent="0.45">
      <c r="I622" t="s">
        <v>189</v>
      </c>
      <c r="J622" t="s">
        <v>237</v>
      </c>
      <c r="K622">
        <v>0</v>
      </c>
      <c r="L622" t="s">
        <v>153</v>
      </c>
    </row>
    <row r="623" spans="9:12" x14ac:dyDescent="0.45">
      <c r="I623" t="s">
        <v>189</v>
      </c>
      <c r="J623" t="s">
        <v>159</v>
      </c>
      <c r="K623">
        <v>4.2639938054189531E-5</v>
      </c>
      <c r="L623" t="s">
        <v>153</v>
      </c>
    </row>
    <row r="624" spans="9:12" x14ac:dyDescent="0.45">
      <c r="I624" t="s">
        <v>189</v>
      </c>
      <c r="J624" t="s">
        <v>160</v>
      </c>
      <c r="K624">
        <v>4.9867950076552883E-3</v>
      </c>
      <c r="L624" t="s">
        <v>153</v>
      </c>
    </row>
    <row r="625" spans="9:12" x14ac:dyDescent="0.45">
      <c r="I625" t="s">
        <v>189</v>
      </c>
      <c r="J625" t="s">
        <v>161</v>
      </c>
      <c r="K625">
        <v>7.2868817979557382E-2</v>
      </c>
      <c r="L625" t="s">
        <v>153</v>
      </c>
    </row>
    <row r="626" spans="9:12" x14ac:dyDescent="0.45">
      <c r="I626" t="s">
        <v>189</v>
      </c>
      <c r="J626" t="s">
        <v>238</v>
      </c>
      <c r="K626">
        <v>2.6753600020763832E-3</v>
      </c>
      <c r="L626" t="s">
        <v>153</v>
      </c>
    </row>
    <row r="627" spans="9:12" x14ac:dyDescent="0.45">
      <c r="I627" t="s">
        <v>189</v>
      </c>
      <c r="J627" t="s">
        <v>239</v>
      </c>
      <c r="K627">
        <v>0</v>
      </c>
      <c r="L627" t="s">
        <v>153</v>
      </c>
    </row>
    <row r="628" spans="9:12" x14ac:dyDescent="0.45">
      <c r="I628" t="s">
        <v>189</v>
      </c>
      <c r="J628" t="s">
        <v>240</v>
      </c>
      <c r="K628">
        <v>0</v>
      </c>
      <c r="L628" t="s">
        <v>153</v>
      </c>
    </row>
    <row r="629" spans="9:12" x14ac:dyDescent="0.45">
      <c r="I629" t="s">
        <v>189</v>
      </c>
      <c r="J629" t="s">
        <v>162</v>
      </c>
      <c r="K629">
        <v>0</v>
      </c>
      <c r="L629" t="s">
        <v>153</v>
      </c>
    </row>
    <row r="630" spans="9:12" x14ac:dyDescent="0.45">
      <c r="I630" t="s">
        <v>189</v>
      </c>
      <c r="J630" t="s">
        <v>163</v>
      </c>
      <c r="K630">
        <v>2.8268275257851173E-3</v>
      </c>
      <c r="L630" t="s">
        <v>153</v>
      </c>
    </row>
    <row r="631" spans="9:12" x14ac:dyDescent="0.45">
      <c r="I631" t="s">
        <v>189</v>
      </c>
      <c r="J631" t="s">
        <v>164</v>
      </c>
      <c r="K631">
        <v>4.5865367826486293E-2</v>
      </c>
      <c r="L631" t="s">
        <v>153</v>
      </c>
    </row>
    <row r="632" spans="9:12" x14ac:dyDescent="0.45">
      <c r="I632" t="s">
        <v>189</v>
      </c>
      <c r="J632" t="s">
        <v>241</v>
      </c>
      <c r="K632">
        <v>2.1605979813415425E-3</v>
      </c>
      <c r="L632" t="s">
        <v>153</v>
      </c>
    </row>
    <row r="633" spans="9:12" x14ac:dyDescent="0.45">
      <c r="I633" t="s">
        <v>189</v>
      </c>
      <c r="J633" t="s">
        <v>242</v>
      </c>
      <c r="K633">
        <v>0</v>
      </c>
      <c r="L633" t="s">
        <v>153</v>
      </c>
    </row>
    <row r="634" spans="9:12" x14ac:dyDescent="0.45">
      <c r="I634" t="s">
        <v>189</v>
      </c>
      <c r="J634" t="s">
        <v>243</v>
      </c>
      <c r="K634">
        <v>0</v>
      </c>
      <c r="L634" t="s">
        <v>153</v>
      </c>
    </row>
    <row r="635" spans="9:12" x14ac:dyDescent="0.45">
      <c r="I635" t="s">
        <v>190</v>
      </c>
      <c r="J635" t="s">
        <v>152</v>
      </c>
      <c r="K635">
        <v>1.240030202783733E-2</v>
      </c>
      <c r="L635" t="s">
        <v>153</v>
      </c>
    </row>
    <row r="636" spans="9:12" x14ac:dyDescent="0.45">
      <c r="I636" t="s">
        <v>190</v>
      </c>
      <c r="J636" t="s">
        <v>154</v>
      </c>
      <c r="K636">
        <v>3.8624287520221172E-2</v>
      </c>
      <c r="L636" t="s">
        <v>153</v>
      </c>
    </row>
    <row r="637" spans="9:12" x14ac:dyDescent="0.45">
      <c r="I637" t="s">
        <v>190</v>
      </c>
      <c r="J637" t="s">
        <v>155</v>
      </c>
      <c r="K637">
        <v>0.68838764643810957</v>
      </c>
      <c r="L637" t="s">
        <v>153</v>
      </c>
    </row>
    <row r="638" spans="9:12" x14ac:dyDescent="0.45">
      <c r="I638" t="s">
        <v>190</v>
      </c>
      <c r="J638" t="s">
        <v>232</v>
      </c>
      <c r="K638">
        <v>3.088241764246669E-2</v>
      </c>
      <c r="L638" t="s">
        <v>153</v>
      </c>
    </row>
    <row r="639" spans="9:12" x14ac:dyDescent="0.45">
      <c r="I639" t="s">
        <v>190</v>
      </c>
      <c r="J639" t="s">
        <v>233</v>
      </c>
      <c r="K639">
        <v>4.9253655537066926E-3</v>
      </c>
      <c r="L639" t="s">
        <v>153</v>
      </c>
    </row>
    <row r="640" spans="9:12" x14ac:dyDescent="0.45">
      <c r="I640" t="s">
        <v>190</v>
      </c>
      <c r="J640" t="s">
        <v>234</v>
      </c>
      <c r="K640">
        <v>0</v>
      </c>
      <c r="L640" t="s">
        <v>153</v>
      </c>
    </row>
    <row r="641" spans="9:12" x14ac:dyDescent="0.45">
      <c r="I641" t="s">
        <v>190</v>
      </c>
      <c r="J641" t="s">
        <v>156</v>
      </c>
      <c r="K641">
        <v>2.58884238295748E-3</v>
      </c>
      <c r="L641" t="s">
        <v>153</v>
      </c>
    </row>
    <row r="642" spans="9:12" x14ac:dyDescent="0.45">
      <c r="I642" t="s">
        <v>190</v>
      </c>
      <c r="J642" t="s">
        <v>157</v>
      </c>
      <c r="K642">
        <v>4.828038468155554E-3</v>
      </c>
      <c r="L642" t="s">
        <v>153</v>
      </c>
    </row>
    <row r="643" spans="9:12" x14ac:dyDescent="0.45">
      <c r="I643" t="s">
        <v>190</v>
      </c>
      <c r="J643" t="s">
        <v>158</v>
      </c>
      <c r="K643">
        <v>7.3603853690745777E-2</v>
      </c>
      <c r="L643" t="s">
        <v>153</v>
      </c>
    </row>
    <row r="644" spans="9:12" x14ac:dyDescent="0.45">
      <c r="I644" t="s">
        <v>190</v>
      </c>
      <c r="J644" t="s">
        <v>235</v>
      </c>
      <c r="K644">
        <v>2.6531434448670908E-3</v>
      </c>
      <c r="L644" t="s">
        <v>153</v>
      </c>
    </row>
    <row r="645" spans="9:12" x14ac:dyDescent="0.45">
      <c r="I645" t="s">
        <v>190</v>
      </c>
      <c r="J645" t="s">
        <v>236</v>
      </c>
      <c r="K645">
        <v>0</v>
      </c>
      <c r="L645" t="s">
        <v>153</v>
      </c>
    </row>
    <row r="646" spans="9:12" x14ac:dyDescent="0.45">
      <c r="I646" t="s">
        <v>190</v>
      </c>
      <c r="J646" t="s">
        <v>237</v>
      </c>
      <c r="K646">
        <v>0</v>
      </c>
      <c r="L646" t="s">
        <v>153</v>
      </c>
    </row>
    <row r="647" spans="9:12" x14ac:dyDescent="0.45">
      <c r="I647" t="s">
        <v>190</v>
      </c>
      <c r="J647" t="s">
        <v>159</v>
      </c>
      <c r="K647">
        <v>1.6510940083500365E-4</v>
      </c>
      <c r="L647" t="s">
        <v>153</v>
      </c>
    </row>
    <row r="648" spans="9:12" x14ac:dyDescent="0.45">
      <c r="I648" t="s">
        <v>190</v>
      </c>
      <c r="J648" t="s">
        <v>160</v>
      </c>
      <c r="K648">
        <v>5.5451720527687929E-3</v>
      </c>
      <c r="L648" t="s">
        <v>153</v>
      </c>
    </row>
    <row r="649" spans="9:12" x14ac:dyDescent="0.45">
      <c r="I649" t="s">
        <v>190</v>
      </c>
      <c r="J649" t="s">
        <v>161</v>
      </c>
      <c r="K649">
        <v>7.8495060429198141E-2</v>
      </c>
      <c r="L649" t="s">
        <v>153</v>
      </c>
    </row>
    <row r="650" spans="9:12" x14ac:dyDescent="0.45">
      <c r="I650" t="s">
        <v>190</v>
      </c>
      <c r="J650" t="s">
        <v>238</v>
      </c>
      <c r="K650">
        <v>2.7617268222471002E-3</v>
      </c>
      <c r="L650" t="s">
        <v>153</v>
      </c>
    </row>
    <row r="651" spans="9:12" x14ac:dyDescent="0.45">
      <c r="I651" t="s">
        <v>190</v>
      </c>
      <c r="J651" t="s">
        <v>239</v>
      </c>
      <c r="K651">
        <v>0</v>
      </c>
      <c r="L651" t="s">
        <v>153</v>
      </c>
    </row>
    <row r="652" spans="9:12" x14ac:dyDescent="0.45">
      <c r="I652" t="s">
        <v>190</v>
      </c>
      <c r="J652" t="s">
        <v>240</v>
      </c>
      <c r="K652">
        <v>0</v>
      </c>
      <c r="L652" t="s">
        <v>153</v>
      </c>
    </row>
    <row r="653" spans="9:12" x14ac:dyDescent="0.45">
      <c r="I653" t="s">
        <v>190</v>
      </c>
      <c r="J653" t="s">
        <v>162</v>
      </c>
      <c r="K653">
        <v>0</v>
      </c>
      <c r="L653" t="s">
        <v>153</v>
      </c>
    </row>
    <row r="654" spans="9:12" x14ac:dyDescent="0.45">
      <c r="I654" t="s">
        <v>190</v>
      </c>
      <c r="J654" t="s">
        <v>163</v>
      </c>
      <c r="K654">
        <v>2.8669263352715424E-3</v>
      </c>
      <c r="L654" t="s">
        <v>153</v>
      </c>
    </row>
    <row r="655" spans="9:12" x14ac:dyDescent="0.45">
      <c r="I655" t="s">
        <v>190</v>
      </c>
      <c r="J655" t="s">
        <v>164</v>
      </c>
      <c r="K655">
        <v>4.8682952387744657E-2</v>
      </c>
      <c r="L655" t="s">
        <v>153</v>
      </c>
    </row>
    <row r="656" spans="9:12" x14ac:dyDescent="0.45">
      <c r="I656" t="s">
        <v>190</v>
      </c>
      <c r="J656" t="s">
        <v>241</v>
      </c>
      <c r="K656">
        <v>2.5891554028654286E-3</v>
      </c>
      <c r="L656" t="s">
        <v>153</v>
      </c>
    </row>
    <row r="657" spans="9:12" x14ac:dyDescent="0.45">
      <c r="I657" t="s">
        <v>190</v>
      </c>
      <c r="J657" t="s">
        <v>242</v>
      </c>
      <c r="K657">
        <v>0</v>
      </c>
      <c r="L657" t="s">
        <v>153</v>
      </c>
    </row>
    <row r="658" spans="9:12" x14ac:dyDescent="0.45">
      <c r="I658" t="s">
        <v>190</v>
      </c>
      <c r="J658" t="s">
        <v>243</v>
      </c>
      <c r="K658">
        <v>0</v>
      </c>
      <c r="L658" t="s">
        <v>153</v>
      </c>
    </row>
    <row r="659" spans="9:12" x14ac:dyDescent="0.45">
      <c r="I659" t="s">
        <v>191</v>
      </c>
      <c r="J659" t="s">
        <v>152</v>
      </c>
      <c r="K659">
        <v>1.4520011531713759E-2</v>
      </c>
      <c r="L659" t="s">
        <v>153</v>
      </c>
    </row>
    <row r="660" spans="9:12" x14ac:dyDescent="0.45">
      <c r="I660" t="s">
        <v>191</v>
      </c>
      <c r="J660" t="s">
        <v>154</v>
      </c>
      <c r="K660">
        <v>4.1503239220367354E-2</v>
      </c>
      <c r="L660" t="s">
        <v>153</v>
      </c>
    </row>
    <row r="661" spans="9:12" x14ac:dyDescent="0.45">
      <c r="I661" t="s">
        <v>191</v>
      </c>
      <c r="J661" t="s">
        <v>155</v>
      </c>
      <c r="K661">
        <v>0.68229302086915733</v>
      </c>
      <c r="L661" t="s">
        <v>153</v>
      </c>
    </row>
    <row r="662" spans="9:12" x14ac:dyDescent="0.45">
      <c r="I662" t="s">
        <v>191</v>
      </c>
      <c r="J662" t="s">
        <v>232</v>
      </c>
      <c r="K662">
        <v>3.0675731154021207E-2</v>
      </c>
      <c r="L662" t="s">
        <v>153</v>
      </c>
    </row>
    <row r="663" spans="9:12" x14ac:dyDescent="0.45">
      <c r="I663" t="s">
        <v>191</v>
      </c>
      <c r="J663" t="s">
        <v>233</v>
      </c>
      <c r="K663">
        <v>3.4880427060771197E-3</v>
      </c>
      <c r="L663" t="s">
        <v>153</v>
      </c>
    </row>
    <row r="664" spans="9:12" x14ac:dyDescent="0.45">
      <c r="I664" t="s">
        <v>191</v>
      </c>
      <c r="J664" t="s">
        <v>234</v>
      </c>
      <c r="K664">
        <v>0</v>
      </c>
      <c r="L664" t="s">
        <v>153</v>
      </c>
    </row>
    <row r="665" spans="9:12" x14ac:dyDescent="0.45">
      <c r="I665" t="s">
        <v>191</v>
      </c>
      <c r="J665" t="s">
        <v>156</v>
      </c>
      <c r="K665">
        <v>3.148777397437142E-3</v>
      </c>
      <c r="L665" t="s">
        <v>153</v>
      </c>
    </row>
    <row r="666" spans="9:12" x14ac:dyDescent="0.45">
      <c r="I666" t="s">
        <v>191</v>
      </c>
      <c r="J666" t="s">
        <v>157</v>
      </c>
      <c r="K666">
        <v>5.8465083044938792E-3</v>
      </c>
      <c r="L666" t="s">
        <v>153</v>
      </c>
    </row>
    <row r="667" spans="9:12" x14ac:dyDescent="0.45">
      <c r="I667" t="s">
        <v>191</v>
      </c>
      <c r="J667" t="s">
        <v>158</v>
      </c>
      <c r="K667">
        <v>7.4526111973785017E-2</v>
      </c>
      <c r="L667" t="s">
        <v>153</v>
      </c>
    </row>
    <row r="668" spans="9:12" x14ac:dyDescent="0.45">
      <c r="I668" t="s">
        <v>191</v>
      </c>
      <c r="J668" t="s">
        <v>235</v>
      </c>
      <c r="K668">
        <v>2.61470853273197E-3</v>
      </c>
      <c r="L668" t="s">
        <v>153</v>
      </c>
    </row>
    <row r="669" spans="9:12" x14ac:dyDescent="0.45">
      <c r="I669" t="s">
        <v>191</v>
      </c>
      <c r="J669" t="s">
        <v>236</v>
      </c>
      <c r="K669">
        <v>0</v>
      </c>
      <c r="L669" t="s">
        <v>153</v>
      </c>
    </row>
    <row r="670" spans="9:12" x14ac:dyDescent="0.45">
      <c r="I670" t="s">
        <v>191</v>
      </c>
      <c r="J670" t="s">
        <v>237</v>
      </c>
      <c r="K670">
        <v>0</v>
      </c>
      <c r="L670" t="s">
        <v>153</v>
      </c>
    </row>
    <row r="671" spans="9:12" x14ac:dyDescent="0.45">
      <c r="I671" t="s">
        <v>191</v>
      </c>
      <c r="J671" t="s">
        <v>159</v>
      </c>
      <c r="K671">
        <v>8.1925665874850635E-4</v>
      </c>
      <c r="L671" t="s">
        <v>153</v>
      </c>
    </row>
    <row r="672" spans="9:12" x14ac:dyDescent="0.45">
      <c r="I672" t="s">
        <v>191</v>
      </c>
      <c r="J672" t="s">
        <v>160</v>
      </c>
      <c r="K672">
        <v>5.9786454867783653E-3</v>
      </c>
      <c r="L672" t="s">
        <v>153</v>
      </c>
    </row>
    <row r="673" spans="9:12" x14ac:dyDescent="0.45">
      <c r="I673" t="s">
        <v>191</v>
      </c>
      <c r="J673" t="s">
        <v>161</v>
      </c>
      <c r="K673">
        <v>7.9763358526157971E-2</v>
      </c>
      <c r="L673" t="s">
        <v>153</v>
      </c>
    </row>
    <row r="674" spans="9:12" x14ac:dyDescent="0.45">
      <c r="I674" t="s">
        <v>191</v>
      </c>
      <c r="J674" t="s">
        <v>238</v>
      </c>
      <c r="K674">
        <v>2.8364452541167007E-3</v>
      </c>
      <c r="L674" t="s">
        <v>153</v>
      </c>
    </row>
    <row r="675" spans="9:12" x14ac:dyDescent="0.45">
      <c r="I675" t="s">
        <v>191</v>
      </c>
      <c r="J675" t="s">
        <v>239</v>
      </c>
      <c r="K675">
        <v>0</v>
      </c>
      <c r="L675" t="s">
        <v>153</v>
      </c>
    </row>
    <row r="676" spans="9:12" x14ac:dyDescent="0.45">
      <c r="I676" t="s">
        <v>191</v>
      </c>
      <c r="J676" t="s">
        <v>240</v>
      </c>
      <c r="K676">
        <v>0</v>
      </c>
      <c r="L676" t="s">
        <v>153</v>
      </c>
    </row>
    <row r="677" spans="9:12" x14ac:dyDescent="0.45">
      <c r="I677" t="s">
        <v>191</v>
      </c>
      <c r="J677" t="s">
        <v>162</v>
      </c>
      <c r="K677">
        <v>0</v>
      </c>
      <c r="L677" t="s">
        <v>153</v>
      </c>
    </row>
    <row r="678" spans="9:12" x14ac:dyDescent="0.45">
      <c r="I678" t="s">
        <v>191</v>
      </c>
      <c r="J678" t="s">
        <v>163</v>
      </c>
      <c r="K678">
        <v>2.8661434111479003E-3</v>
      </c>
      <c r="L678" t="s">
        <v>153</v>
      </c>
    </row>
    <row r="679" spans="9:12" x14ac:dyDescent="0.45">
      <c r="I679" t="s">
        <v>191</v>
      </c>
      <c r="J679" t="s">
        <v>164</v>
      </c>
      <c r="K679">
        <v>4.6791902484463029E-2</v>
      </c>
      <c r="L679" t="s">
        <v>153</v>
      </c>
    </row>
    <row r="680" spans="9:12" x14ac:dyDescent="0.45">
      <c r="I680" t="s">
        <v>191</v>
      </c>
      <c r="J680" t="s">
        <v>241</v>
      </c>
      <c r="K680">
        <v>2.3280964888040901E-3</v>
      </c>
      <c r="L680" t="s">
        <v>153</v>
      </c>
    </row>
    <row r="681" spans="9:12" x14ac:dyDescent="0.45">
      <c r="I681" t="s">
        <v>191</v>
      </c>
      <c r="J681" t="s">
        <v>242</v>
      </c>
      <c r="K681">
        <v>0</v>
      </c>
      <c r="L681" t="s">
        <v>153</v>
      </c>
    </row>
    <row r="682" spans="9:12" x14ac:dyDescent="0.45">
      <c r="I682" t="s">
        <v>191</v>
      </c>
      <c r="J682" t="s">
        <v>243</v>
      </c>
      <c r="K682">
        <v>0</v>
      </c>
      <c r="L682" t="s">
        <v>153</v>
      </c>
    </row>
    <row r="683" spans="9:12" x14ac:dyDescent="0.45">
      <c r="I683" t="s">
        <v>192</v>
      </c>
      <c r="J683" t="s">
        <v>152</v>
      </c>
      <c r="K683">
        <v>1.4427913622230377E-2</v>
      </c>
      <c r="L683" t="s">
        <v>153</v>
      </c>
    </row>
    <row r="684" spans="9:12" x14ac:dyDescent="0.45">
      <c r="I684" t="s">
        <v>192</v>
      </c>
      <c r="J684" t="s">
        <v>154</v>
      </c>
      <c r="K684">
        <v>4.2079158268515431E-2</v>
      </c>
      <c r="L684" t="s">
        <v>153</v>
      </c>
    </row>
    <row r="685" spans="9:12" x14ac:dyDescent="0.45">
      <c r="I685" t="s">
        <v>192</v>
      </c>
      <c r="J685" t="s">
        <v>155</v>
      </c>
      <c r="K685">
        <v>0.69082366255300476</v>
      </c>
      <c r="L685" t="s">
        <v>153</v>
      </c>
    </row>
    <row r="686" spans="9:12" x14ac:dyDescent="0.45">
      <c r="I686" t="s">
        <v>192</v>
      </c>
      <c r="J686" t="s">
        <v>232</v>
      </c>
      <c r="K686">
        <v>3.1867741003982077E-2</v>
      </c>
      <c r="L686" t="s">
        <v>153</v>
      </c>
    </row>
    <row r="687" spans="9:12" x14ac:dyDescent="0.45">
      <c r="I687" t="s">
        <v>192</v>
      </c>
      <c r="J687" t="s">
        <v>233</v>
      </c>
      <c r="K687">
        <v>4.3159430236775652E-3</v>
      </c>
      <c r="L687" t="s">
        <v>153</v>
      </c>
    </row>
    <row r="688" spans="9:12" x14ac:dyDescent="0.45">
      <c r="I688" t="s">
        <v>192</v>
      </c>
      <c r="J688" t="s">
        <v>234</v>
      </c>
      <c r="K688">
        <v>0</v>
      </c>
      <c r="L688" t="s">
        <v>153</v>
      </c>
    </row>
    <row r="689" spans="9:12" x14ac:dyDescent="0.45">
      <c r="I689" t="s">
        <v>192</v>
      </c>
      <c r="J689" t="s">
        <v>156</v>
      </c>
      <c r="K689">
        <v>2.7108031105358061E-3</v>
      </c>
      <c r="L689" t="s">
        <v>153</v>
      </c>
    </row>
    <row r="690" spans="9:12" x14ac:dyDescent="0.45">
      <c r="I690" t="s">
        <v>192</v>
      </c>
      <c r="J690" t="s">
        <v>157</v>
      </c>
      <c r="K690">
        <v>5.0111914823283456E-3</v>
      </c>
      <c r="L690" t="s">
        <v>153</v>
      </c>
    </row>
    <row r="691" spans="9:12" x14ac:dyDescent="0.45">
      <c r="I691" t="s">
        <v>192</v>
      </c>
      <c r="J691" t="s">
        <v>158</v>
      </c>
      <c r="K691">
        <v>6.9960609706918697E-2</v>
      </c>
      <c r="L691" t="s">
        <v>153</v>
      </c>
    </row>
    <row r="692" spans="9:12" x14ac:dyDescent="0.45">
      <c r="I692" t="s">
        <v>192</v>
      </c>
      <c r="J692" t="s">
        <v>235</v>
      </c>
      <c r="K692">
        <v>2.4435469808201274E-3</v>
      </c>
      <c r="L692" t="s">
        <v>153</v>
      </c>
    </row>
    <row r="693" spans="9:12" x14ac:dyDescent="0.45">
      <c r="I693" t="s">
        <v>192</v>
      </c>
      <c r="J693" t="s">
        <v>236</v>
      </c>
      <c r="K693">
        <v>0</v>
      </c>
      <c r="L693" t="s">
        <v>153</v>
      </c>
    </row>
    <row r="694" spans="9:12" x14ac:dyDescent="0.45">
      <c r="I694" t="s">
        <v>192</v>
      </c>
      <c r="J694" t="s">
        <v>237</v>
      </c>
      <c r="K694">
        <v>0</v>
      </c>
      <c r="L694" t="s">
        <v>153</v>
      </c>
    </row>
    <row r="695" spans="9:12" x14ac:dyDescent="0.45">
      <c r="I695" t="s">
        <v>192</v>
      </c>
      <c r="J695" t="s">
        <v>159</v>
      </c>
      <c r="K695">
        <v>2.2523187108474036E-4</v>
      </c>
      <c r="L695" t="s">
        <v>153</v>
      </c>
    </row>
    <row r="696" spans="9:12" x14ac:dyDescent="0.45">
      <c r="I696" t="s">
        <v>192</v>
      </c>
      <c r="J696" t="s">
        <v>160</v>
      </c>
      <c r="K696">
        <v>5.4182086331317813E-3</v>
      </c>
      <c r="L696" t="s">
        <v>153</v>
      </c>
    </row>
    <row r="697" spans="9:12" x14ac:dyDescent="0.45">
      <c r="I697" t="s">
        <v>192</v>
      </c>
      <c r="J697" t="s">
        <v>161</v>
      </c>
      <c r="K697">
        <v>7.667888421201742E-2</v>
      </c>
      <c r="L697" t="s">
        <v>153</v>
      </c>
    </row>
    <row r="698" spans="9:12" x14ac:dyDescent="0.45">
      <c r="I698" t="s">
        <v>192</v>
      </c>
      <c r="J698" t="s">
        <v>238</v>
      </c>
      <c r="K698">
        <v>2.8017033075908213E-3</v>
      </c>
      <c r="L698" t="s">
        <v>153</v>
      </c>
    </row>
    <row r="699" spans="9:12" x14ac:dyDescent="0.45">
      <c r="I699" t="s">
        <v>192</v>
      </c>
      <c r="J699" t="s">
        <v>239</v>
      </c>
      <c r="K699">
        <v>0</v>
      </c>
      <c r="L699" t="s">
        <v>153</v>
      </c>
    </row>
    <row r="700" spans="9:12" x14ac:dyDescent="0.45">
      <c r="I700" t="s">
        <v>192</v>
      </c>
      <c r="J700" t="s">
        <v>240</v>
      </c>
      <c r="K700">
        <v>0</v>
      </c>
      <c r="L700" t="s">
        <v>153</v>
      </c>
    </row>
    <row r="701" spans="9:12" x14ac:dyDescent="0.45">
      <c r="I701" t="s">
        <v>192</v>
      </c>
      <c r="J701" t="s">
        <v>162</v>
      </c>
      <c r="K701">
        <v>0</v>
      </c>
      <c r="L701" t="s">
        <v>153</v>
      </c>
    </row>
    <row r="702" spans="9:12" x14ac:dyDescent="0.45">
      <c r="I702" t="s">
        <v>192</v>
      </c>
      <c r="J702" t="s">
        <v>163</v>
      </c>
      <c r="K702">
        <v>2.8310402181081396E-3</v>
      </c>
      <c r="L702" t="s">
        <v>153</v>
      </c>
    </row>
    <row r="703" spans="9:12" x14ac:dyDescent="0.45">
      <c r="I703" t="s">
        <v>192</v>
      </c>
      <c r="J703" t="s">
        <v>164</v>
      </c>
      <c r="K703">
        <v>4.6143929227351763E-2</v>
      </c>
      <c r="L703" t="s">
        <v>153</v>
      </c>
    </row>
    <row r="704" spans="9:12" x14ac:dyDescent="0.45">
      <c r="I704" t="s">
        <v>192</v>
      </c>
      <c r="J704" t="s">
        <v>241</v>
      </c>
      <c r="K704">
        <v>2.2604327787040341E-3</v>
      </c>
      <c r="L704" t="s">
        <v>153</v>
      </c>
    </row>
    <row r="705" spans="9:12" x14ac:dyDescent="0.45">
      <c r="I705" t="s">
        <v>192</v>
      </c>
      <c r="J705" t="s">
        <v>242</v>
      </c>
      <c r="K705">
        <v>0</v>
      </c>
      <c r="L705" t="s">
        <v>153</v>
      </c>
    </row>
    <row r="706" spans="9:12" x14ac:dyDescent="0.45">
      <c r="I706" t="s">
        <v>192</v>
      </c>
      <c r="J706" t="s">
        <v>243</v>
      </c>
      <c r="K706">
        <v>0</v>
      </c>
      <c r="L70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ED30-9BE2-4DF0-B95A-33FB5DE1C762}">
  <dimension ref="A9:AN88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248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246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193</v>
      </c>
      <c r="O11" t="s">
        <v>152</v>
      </c>
      <c r="P11">
        <v>0.29537437359205554</v>
      </c>
      <c r="Q11" t="s">
        <v>153</v>
      </c>
      <c r="S11" t="s">
        <v>208</v>
      </c>
      <c r="T11" t="s">
        <v>152</v>
      </c>
      <c r="U11">
        <v>0.21493444542078799</v>
      </c>
      <c r="V11" t="s">
        <v>153</v>
      </c>
      <c r="X11">
        <v>0.23013698630136986</v>
      </c>
      <c r="Y11">
        <v>9.0885314372374029E-2</v>
      </c>
      <c r="Z11" t="s">
        <v>152</v>
      </c>
      <c r="AA11" t="s">
        <v>25</v>
      </c>
      <c r="AC11" t="s">
        <v>22</v>
      </c>
      <c r="AD11" t="s">
        <v>152</v>
      </c>
      <c r="AE11">
        <v>0.19171229618299823</v>
      </c>
      <c r="AG11" t="s">
        <v>96</v>
      </c>
      <c r="AH11" t="s">
        <v>152</v>
      </c>
      <c r="AI11">
        <v>0.34643223696004299</v>
      </c>
      <c r="AK11">
        <v>2020</v>
      </c>
      <c r="AL11" t="s">
        <v>141</v>
      </c>
      <c r="AM11">
        <v>0.17499999999999999</v>
      </c>
      <c r="AN11" t="s">
        <v>227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1.7766273814540316E-2</v>
      </c>
      <c r="L12" t="s">
        <v>153</v>
      </c>
      <c r="N12" t="s">
        <v>193</v>
      </c>
      <c r="O12" t="s">
        <v>154</v>
      </c>
      <c r="P12">
        <v>2.6355984601380552E-2</v>
      </c>
      <c r="Q12" t="s">
        <v>153</v>
      </c>
      <c r="S12" t="s">
        <v>208</v>
      </c>
      <c r="T12" t="s">
        <v>154</v>
      </c>
      <c r="U12">
        <v>2.8308828643222591E-2</v>
      </c>
      <c r="V12" t="s">
        <v>153</v>
      </c>
      <c r="X12">
        <v>3.287671232876712E-2</v>
      </c>
      <c r="Y12">
        <v>5.4893966138776326E-2</v>
      </c>
      <c r="Z12" t="s">
        <v>154</v>
      </c>
      <c r="AA12" t="s">
        <v>25</v>
      </c>
      <c r="AC12" t="s">
        <v>22</v>
      </c>
      <c r="AD12" t="s">
        <v>154</v>
      </c>
      <c r="AE12">
        <v>2.8306397791720287E-2</v>
      </c>
      <c r="AG12" t="s">
        <v>96</v>
      </c>
      <c r="AH12" t="s">
        <v>154</v>
      </c>
      <c r="AI12">
        <v>0.1939971526430746</v>
      </c>
      <c r="AK12">
        <v>2020</v>
      </c>
      <c r="AL12" t="s">
        <v>145</v>
      </c>
      <c r="AM12">
        <v>9.9400000000000002E-2</v>
      </c>
      <c r="AN12" t="s">
        <v>227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0.67711652066398476</v>
      </c>
      <c r="L13" t="s">
        <v>153</v>
      </c>
      <c r="N13" t="s">
        <v>193</v>
      </c>
      <c r="O13" t="s">
        <v>155</v>
      </c>
      <c r="P13">
        <v>0.1680133131015864</v>
      </c>
      <c r="Q13" t="s">
        <v>153</v>
      </c>
      <c r="S13" t="s">
        <v>208</v>
      </c>
      <c r="T13" t="s">
        <v>155</v>
      </c>
      <c r="U13">
        <v>0.26854013475382027</v>
      </c>
      <c r="V13" t="s">
        <v>153</v>
      </c>
      <c r="X13">
        <v>0.29589041095890412</v>
      </c>
      <c r="Y13">
        <v>0.40554707505655974</v>
      </c>
      <c r="Z13" t="s">
        <v>155</v>
      </c>
      <c r="AA13" t="s">
        <v>25</v>
      </c>
      <c r="AC13" t="s">
        <v>22</v>
      </c>
      <c r="AD13" t="s">
        <v>155</v>
      </c>
      <c r="AE13">
        <v>0.34030427137073249</v>
      </c>
      <c r="AG13" t="s">
        <v>96</v>
      </c>
      <c r="AH13" t="s">
        <v>155</v>
      </c>
      <c r="AI13">
        <v>0.24794842517050286</v>
      </c>
      <c r="AK13">
        <v>2020</v>
      </c>
      <c r="AL13" t="s">
        <v>147</v>
      </c>
      <c r="AM13">
        <v>0.10550000000000001</v>
      </c>
      <c r="AN13" t="s">
        <v>227</v>
      </c>
    </row>
    <row r="14" spans="1:40" x14ac:dyDescent="0.45">
      <c r="C14" t="s">
        <v>149</v>
      </c>
      <c r="E14" t="s">
        <v>228</v>
      </c>
      <c r="G14" t="s">
        <v>142</v>
      </c>
      <c r="I14" t="s">
        <v>151</v>
      </c>
      <c r="J14" t="s">
        <v>232</v>
      </c>
      <c r="K14">
        <v>5.1704179416660667E-2</v>
      </c>
      <c r="L14" t="s">
        <v>153</v>
      </c>
      <c r="N14" t="s">
        <v>193</v>
      </c>
      <c r="O14" t="s">
        <v>232</v>
      </c>
      <c r="P14">
        <v>1.3250530751570283E-2</v>
      </c>
      <c r="Q14" t="s">
        <v>153</v>
      </c>
      <c r="S14" t="s">
        <v>208</v>
      </c>
      <c r="T14" t="s">
        <v>232</v>
      </c>
      <c r="U14">
        <v>3.3377056082535404E-2</v>
      </c>
      <c r="V14" t="s">
        <v>153</v>
      </c>
      <c r="X14">
        <v>3.287671232876712E-2</v>
      </c>
      <c r="Y14">
        <v>6.3963404022574166E-2</v>
      </c>
      <c r="Z14" t="s">
        <v>232</v>
      </c>
      <c r="AA14" t="s">
        <v>25</v>
      </c>
      <c r="AC14" t="s">
        <v>22</v>
      </c>
      <c r="AD14" t="s">
        <v>232</v>
      </c>
      <c r="AE14">
        <v>3.8070314016381127E-2</v>
      </c>
      <c r="AG14" t="s">
        <v>96</v>
      </c>
      <c r="AH14" t="s">
        <v>232</v>
      </c>
      <c r="AI14">
        <v>0.22741712223439148</v>
      </c>
      <c r="AK14">
        <v>2020</v>
      </c>
      <c r="AL14" t="s">
        <v>149</v>
      </c>
      <c r="AM14">
        <v>0.12709999999999999</v>
      </c>
      <c r="AN14" t="s">
        <v>227</v>
      </c>
    </row>
    <row r="15" spans="1:40" x14ac:dyDescent="0.45">
      <c r="C15" t="s">
        <v>247</v>
      </c>
      <c r="E15" t="s">
        <v>229</v>
      </c>
      <c r="G15" t="s">
        <v>142</v>
      </c>
      <c r="I15" t="s">
        <v>151</v>
      </c>
      <c r="J15" t="s">
        <v>233</v>
      </c>
      <c r="K15">
        <v>3.0396956767549936E-2</v>
      </c>
      <c r="L15" t="s">
        <v>153</v>
      </c>
      <c r="N15" t="s">
        <v>193</v>
      </c>
      <c r="O15" t="s">
        <v>233</v>
      </c>
      <c r="P15">
        <v>1.5896651673650862E-2</v>
      </c>
      <c r="Q15" t="s">
        <v>153</v>
      </c>
      <c r="S15" t="s">
        <v>208</v>
      </c>
      <c r="T15" t="s">
        <v>233</v>
      </c>
      <c r="U15">
        <v>3.4326462495667953E-2</v>
      </c>
      <c r="V15" t="s">
        <v>153</v>
      </c>
      <c r="X15">
        <v>3.287671232876712E-2</v>
      </c>
      <c r="Y15">
        <v>4.9643238942893374E-2</v>
      </c>
      <c r="Z15" t="s">
        <v>233</v>
      </c>
      <c r="AA15" t="s">
        <v>25</v>
      </c>
      <c r="AC15" t="s">
        <v>22</v>
      </c>
      <c r="AD15" t="s">
        <v>233</v>
      </c>
      <c r="AE15">
        <v>4.1424338528104121E-2</v>
      </c>
      <c r="AG15" t="s">
        <v>96</v>
      </c>
      <c r="AH15" t="s">
        <v>233</v>
      </c>
      <c r="AI15">
        <v>0.1846419178694414</v>
      </c>
      <c r="AK15">
        <v>2020</v>
      </c>
      <c r="AL15" t="s">
        <v>247</v>
      </c>
      <c r="AM15">
        <v>0.1426</v>
      </c>
      <c r="AN15" t="s">
        <v>227</v>
      </c>
    </row>
    <row r="16" spans="1:40" x14ac:dyDescent="0.45">
      <c r="E16" t="s">
        <v>230</v>
      </c>
      <c r="G16" t="s">
        <v>142</v>
      </c>
      <c r="I16" t="s">
        <v>151</v>
      </c>
      <c r="J16" t="s">
        <v>234</v>
      </c>
      <c r="K16">
        <v>2.4596765728431141E-3</v>
      </c>
      <c r="L16" t="s">
        <v>153</v>
      </c>
      <c r="N16" t="s">
        <v>193</v>
      </c>
      <c r="O16" t="s">
        <v>234</v>
      </c>
      <c r="P16">
        <v>0.19872364393749578</v>
      </c>
      <c r="Q16" t="s">
        <v>153</v>
      </c>
      <c r="S16" t="s">
        <v>208</v>
      </c>
      <c r="T16" t="s">
        <v>234</v>
      </c>
      <c r="U16">
        <v>0.16498070109235097</v>
      </c>
      <c r="V16" t="s">
        <v>153</v>
      </c>
      <c r="X16">
        <v>0.16438356164383561</v>
      </c>
      <c r="Y16">
        <v>0.12410809735723342</v>
      </c>
      <c r="Z16" t="s">
        <v>234</v>
      </c>
      <c r="AA16" t="s">
        <v>25</v>
      </c>
      <c r="AC16" t="s">
        <v>22</v>
      </c>
      <c r="AD16" t="s">
        <v>234</v>
      </c>
      <c r="AE16">
        <v>0.18435129449801782</v>
      </c>
      <c r="AG16" t="s">
        <v>96</v>
      </c>
      <c r="AH16" t="s">
        <v>234</v>
      </c>
      <c r="AI16">
        <v>0.30717330712947177</v>
      </c>
      <c r="AK16">
        <v>2021</v>
      </c>
      <c r="AL16" t="s">
        <v>141</v>
      </c>
      <c r="AM16">
        <v>0.17168</v>
      </c>
      <c r="AN16" t="s">
        <v>227</v>
      </c>
    </row>
    <row r="17" spans="9:40" x14ac:dyDescent="0.45">
      <c r="I17" t="s">
        <v>151</v>
      </c>
      <c r="J17" t="s">
        <v>156</v>
      </c>
      <c r="K17">
        <v>0</v>
      </c>
      <c r="L17" t="s">
        <v>153</v>
      </c>
      <c r="N17" t="s">
        <v>193</v>
      </c>
      <c r="O17" t="s">
        <v>156</v>
      </c>
      <c r="P17">
        <v>1.6373994255004048E-2</v>
      </c>
      <c r="Q17" t="s">
        <v>153</v>
      </c>
      <c r="S17" t="s">
        <v>208</v>
      </c>
      <c r="T17" t="s">
        <v>156</v>
      </c>
      <c r="U17">
        <v>1.6004028013823055E-3</v>
      </c>
      <c r="V17" t="s">
        <v>153</v>
      </c>
      <c r="X17">
        <v>7.1917808219178082E-3</v>
      </c>
      <c r="Y17">
        <v>2.840166074136688E-3</v>
      </c>
      <c r="Z17" t="s">
        <v>156</v>
      </c>
      <c r="AA17" t="s">
        <v>25</v>
      </c>
      <c r="AC17" t="s">
        <v>22</v>
      </c>
      <c r="AD17" t="s">
        <v>156</v>
      </c>
      <c r="AE17">
        <v>4.7197659088835855E-3</v>
      </c>
      <c r="AG17" t="s">
        <v>96</v>
      </c>
      <c r="AH17" t="s">
        <v>156</v>
      </c>
      <c r="AI17">
        <v>6.1895453685604451E-2</v>
      </c>
      <c r="AK17">
        <v>2021</v>
      </c>
      <c r="AL17" t="s">
        <v>145</v>
      </c>
      <c r="AM17">
        <v>0.13400000000000001</v>
      </c>
      <c r="AN17" t="s">
        <v>227</v>
      </c>
    </row>
    <row r="18" spans="9:40" x14ac:dyDescent="0.45">
      <c r="I18" t="s">
        <v>151</v>
      </c>
      <c r="J18" t="s">
        <v>157</v>
      </c>
      <c r="K18">
        <v>8.5473231875540334E-4</v>
      </c>
      <c r="L18" t="s">
        <v>153</v>
      </c>
      <c r="N18" t="s">
        <v>193</v>
      </c>
      <c r="O18" t="s">
        <v>157</v>
      </c>
      <c r="P18">
        <v>1.8384311484490612E-3</v>
      </c>
      <c r="Q18" t="s">
        <v>153</v>
      </c>
      <c r="S18" t="s">
        <v>208</v>
      </c>
      <c r="T18" t="s">
        <v>157</v>
      </c>
      <c r="U18">
        <v>1.9653167958852107E-4</v>
      </c>
      <c r="V18" t="s">
        <v>153</v>
      </c>
      <c r="X18">
        <v>1.0273972602739725E-3</v>
      </c>
      <c r="Y18">
        <v>1.7154364418367602E-3</v>
      </c>
      <c r="Z18" t="s">
        <v>157</v>
      </c>
      <c r="AA18" t="s">
        <v>25</v>
      </c>
      <c r="AC18" t="s">
        <v>22</v>
      </c>
      <c r="AD18" t="s">
        <v>157</v>
      </c>
      <c r="AE18">
        <v>7.9955262584513562E-4</v>
      </c>
      <c r="AG18" t="s">
        <v>96</v>
      </c>
      <c r="AH18" t="s">
        <v>157</v>
      </c>
      <c r="AI18">
        <v>3.6907073568731574E-2</v>
      </c>
      <c r="AK18">
        <v>2021</v>
      </c>
      <c r="AL18" t="s">
        <v>147</v>
      </c>
      <c r="AM18">
        <v>0.1273</v>
      </c>
      <c r="AN18" t="s">
        <v>227</v>
      </c>
    </row>
    <row r="19" spans="9:40" x14ac:dyDescent="0.45">
      <c r="I19" t="s">
        <v>151</v>
      </c>
      <c r="J19" t="s">
        <v>158</v>
      </c>
      <c r="K19">
        <v>1.9137964355573526E-2</v>
      </c>
      <c r="L19" t="s">
        <v>153</v>
      </c>
      <c r="N19" t="s">
        <v>193</v>
      </c>
      <c r="O19" t="s">
        <v>158</v>
      </c>
      <c r="P19">
        <v>9.9517225329758107E-3</v>
      </c>
      <c r="Q19" t="s">
        <v>153</v>
      </c>
      <c r="S19" t="s">
        <v>208</v>
      </c>
      <c r="T19" t="s">
        <v>158</v>
      </c>
      <c r="U19">
        <v>1.3157268379903905E-3</v>
      </c>
      <c r="V19" t="s">
        <v>153</v>
      </c>
      <c r="X19">
        <v>9.2465753424657536E-3</v>
      </c>
      <c r="Y19">
        <v>1.2673346095517492E-2</v>
      </c>
      <c r="Z19" t="s">
        <v>158</v>
      </c>
      <c r="AA19" t="s">
        <v>25</v>
      </c>
      <c r="AC19" t="s">
        <v>22</v>
      </c>
      <c r="AD19" t="s">
        <v>158</v>
      </c>
      <c r="AE19">
        <v>8.8830160774901173E-3</v>
      </c>
      <c r="AG19" t="s">
        <v>96</v>
      </c>
      <c r="AH19" t="s">
        <v>158</v>
      </c>
      <c r="AI19">
        <v>3.5608867955133627E-2</v>
      </c>
      <c r="AK19">
        <v>2021</v>
      </c>
      <c r="AL19" t="s">
        <v>149</v>
      </c>
      <c r="AM19">
        <v>0.14460000000000001</v>
      </c>
      <c r="AN19" t="s">
        <v>227</v>
      </c>
    </row>
    <row r="20" spans="9:40" x14ac:dyDescent="0.45">
      <c r="I20" t="s">
        <v>151</v>
      </c>
      <c r="J20" t="s">
        <v>235</v>
      </c>
      <c r="K20">
        <v>1.1345464202625684E-3</v>
      </c>
      <c r="L20" t="s">
        <v>153</v>
      </c>
      <c r="N20" t="s">
        <v>193</v>
      </c>
      <c r="O20" t="s">
        <v>235</v>
      </c>
      <c r="P20">
        <v>8.6542965241499488E-4</v>
      </c>
      <c r="Q20" t="s">
        <v>153</v>
      </c>
      <c r="S20" t="s">
        <v>208</v>
      </c>
      <c r="T20" t="s">
        <v>235</v>
      </c>
      <c r="U20">
        <v>5.1309273528381158E-5</v>
      </c>
      <c r="V20" t="s">
        <v>153</v>
      </c>
      <c r="X20">
        <v>1.0273972602739725E-3</v>
      </c>
      <c r="Y20">
        <v>1.9988563757054427E-3</v>
      </c>
      <c r="Z20" t="s">
        <v>235</v>
      </c>
      <c r="AA20" t="s">
        <v>25</v>
      </c>
      <c r="AC20" t="s">
        <v>22</v>
      </c>
      <c r="AD20" t="s">
        <v>235</v>
      </c>
      <c r="AE20">
        <v>1.0255102497338979E-3</v>
      </c>
      <c r="AG20" t="s">
        <v>96</v>
      </c>
      <c r="AH20" t="s">
        <v>235</v>
      </c>
      <c r="AI20">
        <v>3.8567804175768661E-3</v>
      </c>
      <c r="AK20">
        <v>2021</v>
      </c>
      <c r="AL20" t="s">
        <v>247</v>
      </c>
      <c r="AM20">
        <v>0.1686</v>
      </c>
      <c r="AN20" t="s">
        <v>227</v>
      </c>
    </row>
    <row r="21" spans="9:40" x14ac:dyDescent="0.45">
      <c r="I21" t="s">
        <v>151</v>
      </c>
      <c r="J21" t="s">
        <v>236</v>
      </c>
      <c r="K21">
        <v>8.0625229782445892E-4</v>
      </c>
      <c r="L21" t="s">
        <v>153</v>
      </c>
      <c r="N21" t="s">
        <v>193</v>
      </c>
      <c r="O21" t="s">
        <v>236</v>
      </c>
      <c r="P21">
        <v>1.1390410315468111E-3</v>
      </c>
      <c r="Q21" t="s">
        <v>153</v>
      </c>
      <c r="S21" t="s">
        <v>208</v>
      </c>
      <c r="T21" t="s">
        <v>236</v>
      </c>
      <c r="U21">
        <v>5.4797706653738547E-5</v>
      </c>
      <c r="V21" t="s">
        <v>153</v>
      </c>
      <c r="X21">
        <v>1.0273972602739725E-3</v>
      </c>
      <c r="Y21">
        <v>1.5513512169654179E-3</v>
      </c>
      <c r="Z21" t="s">
        <v>236</v>
      </c>
      <c r="AA21" t="s">
        <v>25</v>
      </c>
      <c r="AC21" t="s">
        <v>22</v>
      </c>
      <c r="AD21" t="s">
        <v>236</v>
      </c>
      <c r="AE21">
        <v>1.1648459240212817E-3</v>
      </c>
      <c r="AG21" t="s">
        <v>96</v>
      </c>
      <c r="AH21" t="s">
        <v>236</v>
      </c>
      <c r="AI21">
        <v>1.2650390085447327E-2</v>
      </c>
      <c r="AK21">
        <v>2022</v>
      </c>
      <c r="AL21" t="s">
        <v>141</v>
      </c>
      <c r="AM21">
        <v>0.24783999999999998</v>
      </c>
      <c r="AN21" t="s">
        <v>227</v>
      </c>
    </row>
    <row r="22" spans="9:40" x14ac:dyDescent="0.45">
      <c r="I22" t="s">
        <v>151</v>
      </c>
      <c r="J22" t="s">
        <v>237</v>
      </c>
      <c r="K22">
        <v>0</v>
      </c>
      <c r="L22" t="s">
        <v>153</v>
      </c>
      <c r="N22" t="s">
        <v>193</v>
      </c>
      <c r="O22" t="s">
        <v>237</v>
      </c>
      <c r="P22">
        <v>9.1015082009351517E-3</v>
      </c>
      <c r="Q22" t="s">
        <v>153</v>
      </c>
      <c r="S22" t="s">
        <v>208</v>
      </c>
      <c r="T22" t="s">
        <v>237</v>
      </c>
      <c r="U22">
        <v>2.6808446928379019E-4</v>
      </c>
      <c r="V22" t="s">
        <v>153</v>
      </c>
      <c r="X22">
        <v>5.1369863013698627E-3</v>
      </c>
      <c r="Y22">
        <v>3.8783780424135445E-3</v>
      </c>
      <c r="Z22" t="s">
        <v>237</v>
      </c>
      <c r="AA22" t="s">
        <v>25</v>
      </c>
      <c r="AC22" t="s">
        <v>22</v>
      </c>
      <c r="AD22" t="s">
        <v>237</v>
      </c>
      <c r="AE22">
        <v>4.9889844082543072E-3</v>
      </c>
      <c r="AG22" t="s">
        <v>96</v>
      </c>
      <c r="AH22" t="s">
        <v>237</v>
      </c>
      <c r="AI22">
        <v>0.15079837618403236</v>
      </c>
      <c r="AK22">
        <v>2022</v>
      </c>
      <c r="AL22" t="s">
        <v>145</v>
      </c>
      <c r="AM22">
        <v>0.13830000000000001</v>
      </c>
      <c r="AN22" t="s">
        <v>227</v>
      </c>
    </row>
    <row r="23" spans="9:40" x14ac:dyDescent="0.45">
      <c r="I23" t="s">
        <v>151</v>
      </c>
      <c r="J23" t="s">
        <v>159</v>
      </c>
      <c r="K23">
        <v>0</v>
      </c>
      <c r="L23" t="s">
        <v>153</v>
      </c>
      <c r="N23" t="s">
        <v>193</v>
      </c>
      <c r="O23" t="s">
        <v>159</v>
      </c>
      <c r="P23">
        <v>2.1814041775164994E-2</v>
      </c>
      <c r="Q23" t="s">
        <v>153</v>
      </c>
      <c r="S23" t="s">
        <v>208</v>
      </c>
      <c r="T23" t="s">
        <v>159</v>
      </c>
      <c r="U23">
        <v>5.5392446964573063E-3</v>
      </c>
      <c r="V23" t="s">
        <v>153</v>
      </c>
      <c r="X23">
        <v>1.7579908675799085E-2</v>
      </c>
      <c r="Y23">
        <v>6.9426281812230159E-3</v>
      </c>
      <c r="Z23" t="s">
        <v>159</v>
      </c>
      <c r="AA23" t="s">
        <v>25</v>
      </c>
      <c r="AC23" t="s">
        <v>22</v>
      </c>
      <c r="AD23" t="s">
        <v>159</v>
      </c>
      <c r="AE23">
        <v>1.1376454818307914E-2</v>
      </c>
      <c r="AG23" t="s">
        <v>96</v>
      </c>
      <c r="AH23" t="s">
        <v>159</v>
      </c>
      <c r="AI23">
        <v>6.4381614983387125E-2</v>
      </c>
      <c r="AK23">
        <v>2022</v>
      </c>
      <c r="AL23" t="s">
        <v>147</v>
      </c>
      <c r="AM23">
        <v>0.16070000000000001</v>
      </c>
      <c r="AN23" t="s">
        <v>227</v>
      </c>
    </row>
    <row r="24" spans="9:40" x14ac:dyDescent="0.45">
      <c r="I24" t="s">
        <v>151</v>
      </c>
      <c r="J24" t="s">
        <v>160</v>
      </c>
      <c r="K24">
        <v>2.4445606917411658E-3</v>
      </c>
      <c r="L24" t="s">
        <v>153</v>
      </c>
      <c r="N24" t="s">
        <v>193</v>
      </c>
      <c r="O24" t="s">
        <v>160</v>
      </c>
      <c r="P24">
        <v>2.7102249641465575E-3</v>
      </c>
      <c r="Q24" t="s">
        <v>153</v>
      </c>
      <c r="S24" t="s">
        <v>208</v>
      </c>
      <c r="T24" t="s">
        <v>160</v>
      </c>
      <c r="U24">
        <v>1.1308960774298739E-3</v>
      </c>
      <c r="V24" t="s">
        <v>153</v>
      </c>
      <c r="X24">
        <v>2.5114155251141552E-3</v>
      </c>
      <c r="Y24">
        <v>4.1932890800454132E-3</v>
      </c>
      <c r="Z24" t="s">
        <v>160</v>
      </c>
      <c r="AA24" t="s">
        <v>25</v>
      </c>
      <c r="AC24" t="s">
        <v>22</v>
      </c>
      <c r="AD24" t="s">
        <v>160</v>
      </c>
      <c r="AE24">
        <v>1.9062784716731378E-3</v>
      </c>
      <c r="AG24" t="s">
        <v>96</v>
      </c>
      <c r="AH24" t="s">
        <v>160</v>
      </c>
      <c r="AI24">
        <v>5.3732779796877184E-2</v>
      </c>
      <c r="AK24">
        <v>2022</v>
      </c>
      <c r="AL24" t="s">
        <v>149</v>
      </c>
      <c r="AM24">
        <v>0.2147</v>
      </c>
      <c r="AN24" t="s">
        <v>227</v>
      </c>
    </row>
    <row r="25" spans="9:40" x14ac:dyDescent="0.45">
      <c r="I25" t="s">
        <v>151</v>
      </c>
      <c r="J25" t="s">
        <v>161</v>
      </c>
      <c r="K25">
        <v>5.7668220051286218E-2</v>
      </c>
      <c r="L25" t="s">
        <v>153</v>
      </c>
      <c r="N25" t="s">
        <v>193</v>
      </c>
      <c r="O25" t="s">
        <v>161</v>
      </c>
      <c r="P25">
        <v>2.0633188303639041E-2</v>
      </c>
      <c r="Q25" t="s">
        <v>153</v>
      </c>
      <c r="S25" t="s">
        <v>208</v>
      </c>
      <c r="T25" t="s">
        <v>161</v>
      </c>
      <c r="U25">
        <v>1.2964059523109191E-2</v>
      </c>
      <c r="V25" t="s">
        <v>153</v>
      </c>
      <c r="X25">
        <v>2.2602739726027398E-2</v>
      </c>
      <c r="Y25">
        <v>3.0979290455709425E-2</v>
      </c>
      <c r="Z25" t="s">
        <v>161</v>
      </c>
      <c r="AA25" t="s">
        <v>25</v>
      </c>
      <c r="AC25" t="s">
        <v>22</v>
      </c>
      <c r="AD25" t="s">
        <v>161</v>
      </c>
      <c r="AE25">
        <v>2.1927040887530572E-2</v>
      </c>
      <c r="AG25" t="s">
        <v>96</v>
      </c>
      <c r="AH25" t="s">
        <v>161</v>
      </c>
      <c r="AI25">
        <v>0.10697942869975119</v>
      </c>
      <c r="AK25">
        <v>2022</v>
      </c>
      <c r="AL25" t="s">
        <v>247</v>
      </c>
      <c r="AM25">
        <v>0.24629999999999999</v>
      </c>
      <c r="AN25" t="s">
        <v>227</v>
      </c>
    </row>
    <row r="26" spans="9:40" x14ac:dyDescent="0.45">
      <c r="I26" t="s">
        <v>151</v>
      </c>
      <c r="J26" t="s">
        <v>238</v>
      </c>
      <c r="K26">
        <v>3.6209651908173882E-3</v>
      </c>
      <c r="L26" t="s">
        <v>153</v>
      </c>
      <c r="N26" t="s">
        <v>193</v>
      </c>
      <c r="O26" t="s">
        <v>238</v>
      </c>
      <c r="P26">
        <v>1.4605000998673249E-3</v>
      </c>
      <c r="Q26" t="s">
        <v>153</v>
      </c>
      <c r="S26" t="s">
        <v>208</v>
      </c>
      <c r="T26" t="s">
        <v>238</v>
      </c>
      <c r="U26">
        <v>1.2353029629059672E-3</v>
      </c>
      <c r="V26" t="s">
        <v>153</v>
      </c>
      <c r="X26">
        <v>2.5114155251141552E-3</v>
      </c>
      <c r="Y26">
        <v>4.8860933628355266E-3</v>
      </c>
      <c r="Z26" t="s">
        <v>238</v>
      </c>
      <c r="AA26" t="s">
        <v>25</v>
      </c>
      <c r="AC26" t="s">
        <v>22</v>
      </c>
      <c r="AD26" t="s">
        <v>238</v>
      </c>
      <c r="AE26">
        <v>2.5014265861247231E-3</v>
      </c>
      <c r="AG26" t="s">
        <v>96</v>
      </c>
      <c r="AH26" t="s">
        <v>238</v>
      </c>
      <c r="AI26">
        <v>8.3603722404408387E-3</v>
      </c>
      <c r="AK26">
        <v>2025</v>
      </c>
      <c r="AL26" t="s">
        <v>141</v>
      </c>
      <c r="AM26">
        <v>0.255</v>
      </c>
      <c r="AN26" t="s">
        <v>227</v>
      </c>
    </row>
    <row r="27" spans="9:40" x14ac:dyDescent="0.45">
      <c r="I27" t="s">
        <v>151</v>
      </c>
      <c r="J27" t="s">
        <v>239</v>
      </c>
      <c r="K27">
        <v>2.233164471857367E-4</v>
      </c>
      <c r="L27" t="s">
        <v>153</v>
      </c>
      <c r="N27" t="s">
        <v>193</v>
      </c>
      <c r="O27" t="s">
        <v>239</v>
      </c>
      <c r="P27">
        <v>1.8907778123926171E-3</v>
      </c>
      <c r="Q27" t="s">
        <v>153</v>
      </c>
      <c r="S27" t="s">
        <v>208</v>
      </c>
      <c r="T27" t="s">
        <v>239</v>
      </c>
      <c r="U27">
        <v>1.3331653335579433E-3</v>
      </c>
      <c r="V27" t="s">
        <v>153</v>
      </c>
      <c r="X27">
        <v>2.5114155251141552E-3</v>
      </c>
      <c r="Y27">
        <v>3.7921918636932435E-3</v>
      </c>
      <c r="Z27" t="s">
        <v>239</v>
      </c>
      <c r="AA27" t="s">
        <v>25</v>
      </c>
      <c r="AC27" t="s">
        <v>22</v>
      </c>
      <c r="AD27" t="s">
        <v>239</v>
      </c>
      <c r="AE27">
        <v>2.8641747790687541E-3</v>
      </c>
      <c r="AG27" t="s">
        <v>96</v>
      </c>
      <c r="AH27" t="s">
        <v>239</v>
      </c>
      <c r="AI27">
        <v>2.8241212265345927E-2</v>
      </c>
      <c r="AK27">
        <v>2025</v>
      </c>
      <c r="AL27" t="s">
        <v>145</v>
      </c>
      <c r="AM27">
        <v>0.1565</v>
      </c>
      <c r="AN27" t="s">
        <v>227</v>
      </c>
    </row>
    <row r="28" spans="9:40" x14ac:dyDescent="0.45">
      <c r="I28" t="s">
        <v>151</v>
      </c>
      <c r="J28" t="s">
        <v>240</v>
      </c>
      <c r="K28">
        <v>0</v>
      </c>
      <c r="L28" t="s">
        <v>153</v>
      </c>
      <c r="N28" t="s">
        <v>193</v>
      </c>
      <c r="O28" t="s">
        <v>240</v>
      </c>
      <c r="P28">
        <v>1.5625304684610569E-2</v>
      </c>
      <c r="Q28" t="s">
        <v>153</v>
      </c>
      <c r="S28" t="s">
        <v>208</v>
      </c>
      <c r="T28" t="s">
        <v>240</v>
      </c>
      <c r="U28">
        <v>5.4069320529342869E-3</v>
      </c>
      <c r="V28" t="s">
        <v>153</v>
      </c>
      <c r="X28">
        <v>1.2557077625570776E-2</v>
      </c>
      <c r="Y28">
        <v>9.4804796592331091E-3</v>
      </c>
      <c r="Z28" t="s">
        <v>240</v>
      </c>
      <c r="AA28" t="s">
        <v>25</v>
      </c>
      <c r="AC28" t="s">
        <v>22</v>
      </c>
      <c r="AD28" t="s">
        <v>240</v>
      </c>
      <c r="AE28">
        <v>1.2166300921622806E-2</v>
      </c>
      <c r="AG28" t="s">
        <v>96</v>
      </c>
      <c r="AH28" t="s">
        <v>240</v>
      </c>
      <c r="AI28">
        <v>0.17654349032371797</v>
      </c>
      <c r="AK28">
        <v>2025</v>
      </c>
      <c r="AL28" t="s">
        <v>147</v>
      </c>
      <c r="AM28">
        <v>0.21860000000000002</v>
      </c>
      <c r="AN28" t="s">
        <v>227</v>
      </c>
    </row>
    <row r="29" spans="9:40" x14ac:dyDescent="0.45">
      <c r="I29" t="s">
        <v>151</v>
      </c>
      <c r="J29" t="s">
        <v>162</v>
      </c>
      <c r="K29">
        <v>0</v>
      </c>
      <c r="L29" t="s">
        <v>153</v>
      </c>
      <c r="N29" t="s">
        <v>193</v>
      </c>
      <c r="O29" t="s">
        <v>162</v>
      </c>
      <c r="P29">
        <v>4.1568263119871871E-2</v>
      </c>
      <c r="Q29" t="s">
        <v>153</v>
      </c>
      <c r="S29" t="s">
        <v>208</v>
      </c>
      <c r="T29" t="s">
        <v>162</v>
      </c>
      <c r="U29">
        <v>3.4450545144137756E-2</v>
      </c>
      <c r="V29" t="s">
        <v>153</v>
      </c>
      <c r="X29">
        <v>2.4771689497716895E-2</v>
      </c>
      <c r="Y29">
        <v>9.7827942553597048E-3</v>
      </c>
      <c r="Z29" t="s">
        <v>162</v>
      </c>
      <c r="AA29" t="s">
        <v>25</v>
      </c>
      <c r="AC29" t="s">
        <v>22</v>
      </c>
      <c r="AD29" t="s">
        <v>162</v>
      </c>
      <c r="AE29">
        <v>1.4975732239533744E-2</v>
      </c>
      <c r="AG29" t="s">
        <v>96</v>
      </c>
      <c r="AH29" t="s">
        <v>162</v>
      </c>
      <c r="AI29">
        <v>0.11198253543603554</v>
      </c>
      <c r="AK29">
        <v>2025</v>
      </c>
      <c r="AL29" t="s">
        <v>149</v>
      </c>
      <c r="AM29">
        <v>0.30610000000000004</v>
      </c>
      <c r="AN29" t="s">
        <v>227</v>
      </c>
    </row>
    <row r="30" spans="9:40" x14ac:dyDescent="0.45">
      <c r="I30" t="s">
        <v>151</v>
      </c>
      <c r="J30" t="s">
        <v>163</v>
      </c>
      <c r="K30">
        <v>1.5544184053204937E-3</v>
      </c>
      <c r="L30" t="s">
        <v>153</v>
      </c>
      <c r="N30" t="s">
        <v>193</v>
      </c>
      <c r="O30" t="s">
        <v>163</v>
      </c>
      <c r="P30">
        <v>4.4684384010942229E-3</v>
      </c>
      <c r="Q30" t="s">
        <v>153</v>
      </c>
      <c r="S30" t="s">
        <v>208</v>
      </c>
      <c r="T30" t="s">
        <v>163</v>
      </c>
      <c r="U30">
        <v>6.4613609720744142E-3</v>
      </c>
      <c r="V30" t="s">
        <v>153</v>
      </c>
      <c r="X30">
        <v>3.5388127853881279E-3</v>
      </c>
      <c r="Y30">
        <v>5.9087255218821738E-3</v>
      </c>
      <c r="Z30" t="s">
        <v>163</v>
      </c>
      <c r="AA30" t="s">
        <v>25</v>
      </c>
      <c r="AC30" t="s">
        <v>22</v>
      </c>
      <c r="AD30" t="s">
        <v>163</v>
      </c>
      <c r="AE30">
        <v>2.5016019703557714E-3</v>
      </c>
      <c r="AG30" t="s">
        <v>96</v>
      </c>
      <c r="AH30" t="s">
        <v>163</v>
      </c>
      <c r="AI30">
        <v>0.10333472280116718</v>
      </c>
      <c r="AK30">
        <v>2025</v>
      </c>
      <c r="AL30" t="s">
        <v>247</v>
      </c>
      <c r="AM30">
        <v>0.33150000000000002</v>
      </c>
      <c r="AN30" t="s">
        <v>227</v>
      </c>
    </row>
    <row r="31" spans="9:40" x14ac:dyDescent="0.45">
      <c r="I31" t="s">
        <v>151</v>
      </c>
      <c r="J31" t="s">
        <v>164</v>
      </c>
      <c r="K31">
        <v>7.6905101987211677E-2</v>
      </c>
      <c r="L31" t="s">
        <v>153</v>
      </c>
      <c r="N31" t="s">
        <v>193</v>
      </c>
      <c r="O31" t="s">
        <v>164</v>
      </c>
      <c r="P31">
        <v>3.2341352110879219E-2</v>
      </c>
      <c r="Q31" t="s">
        <v>153</v>
      </c>
      <c r="S31" t="s">
        <v>208</v>
      </c>
      <c r="T31" t="s">
        <v>164</v>
      </c>
      <c r="U31">
        <v>5.1615748325023997E-2</v>
      </c>
      <c r="V31" t="s">
        <v>153</v>
      </c>
      <c r="X31">
        <v>3.1849315068493152E-2</v>
      </c>
      <c r="Y31">
        <v>4.365263655122692E-2</v>
      </c>
      <c r="Z31" t="s">
        <v>164</v>
      </c>
      <c r="AA31" t="s">
        <v>25</v>
      </c>
      <c r="AC31" t="s">
        <v>22</v>
      </c>
      <c r="AD31" t="s">
        <v>164</v>
      </c>
      <c r="AE31">
        <v>2.8946093072518827E-2</v>
      </c>
      <c r="AG31" t="s">
        <v>96</v>
      </c>
      <c r="AH31" t="s">
        <v>164</v>
      </c>
      <c r="AI31">
        <v>9.575758706244808E-2</v>
      </c>
      <c r="AK31">
        <v>2026</v>
      </c>
      <c r="AL31" t="s">
        <v>141</v>
      </c>
      <c r="AM31">
        <v>0.24849000000000002</v>
      </c>
      <c r="AN31" t="s">
        <v>227</v>
      </c>
    </row>
    <row r="32" spans="9:40" x14ac:dyDescent="0.45">
      <c r="I32" t="s">
        <v>151</v>
      </c>
      <c r="J32" t="s">
        <v>241</v>
      </c>
      <c r="K32">
        <v>3.9576608564480115E-3</v>
      </c>
      <c r="L32" t="s">
        <v>153</v>
      </c>
      <c r="N32" t="s">
        <v>193</v>
      </c>
      <c r="O32" t="s">
        <v>241</v>
      </c>
      <c r="P32">
        <v>2.465898671260713E-3</v>
      </c>
      <c r="Q32" t="s">
        <v>153</v>
      </c>
      <c r="S32" t="s">
        <v>208</v>
      </c>
      <c r="T32" t="s">
        <v>241</v>
      </c>
      <c r="U32">
        <v>3.8349052480881013E-3</v>
      </c>
      <c r="V32" t="s">
        <v>153</v>
      </c>
      <c r="X32">
        <v>3.5388127853881279E-3</v>
      </c>
      <c r="Y32">
        <v>6.8849497385409693E-3</v>
      </c>
      <c r="Z32" t="s">
        <v>241</v>
      </c>
      <c r="AA32" t="s">
        <v>25</v>
      </c>
      <c r="AC32" t="s">
        <v>22</v>
      </c>
      <c r="AD32" t="s">
        <v>241</v>
      </c>
      <c r="AE32">
        <v>3.3919646173908753E-3</v>
      </c>
      <c r="AG32" t="s">
        <v>96</v>
      </c>
      <c r="AH32" t="s">
        <v>241</v>
      </c>
      <c r="AI32">
        <v>5.263575519946162E-2</v>
      </c>
      <c r="AK32">
        <v>2026</v>
      </c>
      <c r="AL32" t="s">
        <v>145</v>
      </c>
      <c r="AM32">
        <v>9.2100000000000001E-2</v>
      </c>
      <c r="AN32" t="s">
        <v>227</v>
      </c>
    </row>
    <row r="33" spans="9:40" x14ac:dyDescent="0.45">
      <c r="I33" t="s">
        <v>151</v>
      </c>
      <c r="J33" t="s">
        <v>242</v>
      </c>
      <c r="K33">
        <v>0</v>
      </c>
      <c r="L33" t="s">
        <v>153</v>
      </c>
      <c r="N33" t="s">
        <v>193</v>
      </c>
      <c r="O33" t="s">
        <v>242</v>
      </c>
      <c r="P33">
        <v>3.5148468115502917E-3</v>
      </c>
      <c r="Q33" t="s">
        <v>153</v>
      </c>
      <c r="S33" t="s">
        <v>208</v>
      </c>
      <c r="T33" t="s">
        <v>242</v>
      </c>
      <c r="U33">
        <v>3.9427559007725885E-3</v>
      </c>
      <c r="V33" t="s">
        <v>153</v>
      </c>
      <c r="X33">
        <v>3.5388127853881279E-3</v>
      </c>
      <c r="Y33">
        <v>5.3435430806586613E-3</v>
      </c>
      <c r="Z33" t="s">
        <v>242</v>
      </c>
      <c r="AA33" t="s">
        <v>25</v>
      </c>
      <c r="AC33" t="s">
        <v>22</v>
      </c>
      <c r="AD33" t="s">
        <v>242</v>
      </c>
      <c r="AE33">
        <v>3.7392433425959535E-3</v>
      </c>
      <c r="AG33" t="s">
        <v>96</v>
      </c>
      <c r="AH33" t="s">
        <v>242</v>
      </c>
      <c r="AI33">
        <v>8.7585430200949554E-2</v>
      </c>
      <c r="AK33">
        <v>2026</v>
      </c>
      <c r="AL33" t="s">
        <v>147</v>
      </c>
      <c r="AM33">
        <v>0.13059999999999999</v>
      </c>
      <c r="AN33" t="s">
        <v>227</v>
      </c>
    </row>
    <row r="34" spans="9:40" x14ac:dyDescent="0.45">
      <c r="I34" t="s">
        <v>151</v>
      </c>
      <c r="J34" t="s">
        <v>243</v>
      </c>
      <c r="K34">
        <v>0</v>
      </c>
      <c r="L34" t="s">
        <v>153</v>
      </c>
      <c r="N34" t="s">
        <v>193</v>
      </c>
      <c r="O34" t="s">
        <v>243</v>
      </c>
      <c r="P34">
        <v>3.3817207542016843E-2</v>
      </c>
      <c r="Q34" t="s">
        <v>153</v>
      </c>
      <c r="S34" t="s">
        <v>208</v>
      </c>
      <c r="T34" t="s">
        <v>243</v>
      </c>
      <c r="U34">
        <v>2.010125891631679E-2</v>
      </c>
      <c r="V34" t="s">
        <v>153</v>
      </c>
      <c r="X34">
        <v>1.7694063926940638E-2</v>
      </c>
      <c r="Y34">
        <v>1.3358857701646654E-2</v>
      </c>
      <c r="Z34" t="s">
        <v>243</v>
      </c>
      <c r="AA34" t="s">
        <v>25</v>
      </c>
      <c r="AC34" t="s">
        <v>22</v>
      </c>
      <c r="AD34" t="s">
        <v>243</v>
      </c>
      <c r="AE34">
        <v>1.6268840272191411E-2</v>
      </c>
      <c r="AG34" t="s">
        <v>96</v>
      </c>
      <c r="AH34" t="s">
        <v>243</v>
      </c>
      <c r="AI34">
        <v>0.21833495309972073</v>
      </c>
      <c r="AK34">
        <v>2026</v>
      </c>
      <c r="AL34" t="s">
        <v>149</v>
      </c>
      <c r="AM34">
        <v>0.20895</v>
      </c>
      <c r="AN34" t="s">
        <v>227</v>
      </c>
    </row>
    <row r="35" spans="9:40" x14ac:dyDescent="0.45">
      <c r="I35" t="s">
        <v>151</v>
      </c>
      <c r="J35" t="s">
        <v>249</v>
      </c>
      <c r="K35">
        <v>0</v>
      </c>
      <c r="L35" t="s">
        <v>153</v>
      </c>
      <c r="N35" t="s">
        <v>193</v>
      </c>
      <c r="O35" t="s">
        <v>249</v>
      </c>
      <c r="P35">
        <v>2.341330177934511E-2</v>
      </c>
      <c r="Q35" t="s">
        <v>153</v>
      </c>
      <c r="S35" t="s">
        <v>208</v>
      </c>
      <c r="T35" t="s">
        <v>249</v>
      </c>
      <c r="U35">
        <v>2.5242947817219367E-2</v>
      </c>
      <c r="V35" t="s">
        <v>153</v>
      </c>
      <c r="X35">
        <v>1.1986301369863013E-2</v>
      </c>
      <c r="Y35">
        <v>4.7336101235611484E-3</v>
      </c>
      <c r="Z35" t="s">
        <v>249</v>
      </c>
      <c r="AA35" t="s">
        <v>25</v>
      </c>
      <c r="AC35" t="s">
        <v>22</v>
      </c>
      <c r="AD35" t="s">
        <v>249</v>
      </c>
      <c r="AE35">
        <v>6.4555710078985995E-3</v>
      </c>
      <c r="AG35" t="s">
        <v>96</v>
      </c>
      <c r="AH35" t="s">
        <v>249</v>
      </c>
      <c r="AI35">
        <v>2.6660834715031223E-2</v>
      </c>
      <c r="AK35">
        <v>2026</v>
      </c>
      <c r="AL35" t="s">
        <v>247</v>
      </c>
      <c r="AM35">
        <v>0.24879999999999999</v>
      </c>
      <c r="AN35" t="s">
        <v>227</v>
      </c>
    </row>
    <row r="36" spans="9:40" x14ac:dyDescent="0.45">
      <c r="I36" t="s">
        <v>151</v>
      </c>
      <c r="J36" t="s">
        <v>250</v>
      </c>
      <c r="K36">
        <v>0</v>
      </c>
      <c r="L36" t="s">
        <v>153</v>
      </c>
      <c r="N36" t="s">
        <v>193</v>
      </c>
      <c r="O36" t="s">
        <v>250</v>
      </c>
      <c r="P36">
        <v>2.7736127030378588E-3</v>
      </c>
      <c r="Q36" t="s">
        <v>153</v>
      </c>
      <c r="S36" t="s">
        <v>208</v>
      </c>
      <c r="T36" t="s">
        <v>250</v>
      </c>
      <c r="U36">
        <v>4.7889152587503123E-3</v>
      </c>
      <c r="V36" t="s">
        <v>153</v>
      </c>
      <c r="X36">
        <v>1.7123287671232876E-3</v>
      </c>
      <c r="Y36">
        <v>2.8590607363945995E-3</v>
      </c>
      <c r="Z36" t="s">
        <v>250</v>
      </c>
      <c r="AA36" t="s">
        <v>25</v>
      </c>
      <c r="AC36" t="s">
        <v>22</v>
      </c>
      <c r="AD36" t="s">
        <v>250</v>
      </c>
      <c r="AE36">
        <v>1.1220726320320153E-3</v>
      </c>
      <c r="AG36" t="s">
        <v>96</v>
      </c>
      <c r="AH36" t="s">
        <v>250</v>
      </c>
      <c r="AI36">
        <v>4.7225390703089287E-2</v>
      </c>
      <c r="AK36">
        <v>2027</v>
      </c>
      <c r="AL36" t="s">
        <v>141</v>
      </c>
      <c r="AM36">
        <v>0.27228999999999998</v>
      </c>
      <c r="AN36" t="s">
        <v>227</v>
      </c>
    </row>
    <row r="37" spans="9:40" x14ac:dyDescent="0.45">
      <c r="I37" t="s">
        <v>151</v>
      </c>
      <c r="J37" t="s">
        <v>251</v>
      </c>
      <c r="K37">
        <v>4.7626777627181351E-2</v>
      </c>
      <c r="L37" t="s">
        <v>153</v>
      </c>
      <c r="N37" t="s">
        <v>193</v>
      </c>
      <c r="O37" t="s">
        <v>251</v>
      </c>
      <c r="P37">
        <v>1.4492868207585045E-2</v>
      </c>
      <c r="Q37" t="s">
        <v>153</v>
      </c>
      <c r="S37" t="s">
        <v>208</v>
      </c>
      <c r="T37" t="s">
        <v>251</v>
      </c>
      <c r="U37">
        <v>4.893992551471265E-2</v>
      </c>
      <c r="V37" t="s">
        <v>153</v>
      </c>
      <c r="X37">
        <v>1.5410958904109588E-2</v>
      </c>
      <c r="Y37">
        <v>2.1122243492529152E-2</v>
      </c>
      <c r="Z37" t="s">
        <v>251</v>
      </c>
      <c r="AA37" t="s">
        <v>25</v>
      </c>
      <c r="AC37" t="s">
        <v>22</v>
      </c>
      <c r="AD37" t="s">
        <v>251</v>
      </c>
      <c r="AE37">
        <v>1.3442272431223579E-2</v>
      </c>
      <c r="AG37" t="s">
        <v>96</v>
      </c>
      <c r="AH37" t="s">
        <v>251</v>
      </c>
      <c r="AI37">
        <v>8.2334740046216437E-2</v>
      </c>
      <c r="AK37">
        <v>2027</v>
      </c>
      <c r="AL37" t="s">
        <v>145</v>
      </c>
      <c r="AM37">
        <v>0.19359999999999999</v>
      </c>
      <c r="AN37" t="s">
        <v>227</v>
      </c>
    </row>
    <row r="38" spans="9:40" x14ac:dyDescent="0.45">
      <c r="I38" t="s">
        <v>151</v>
      </c>
      <c r="J38" t="s">
        <v>252</v>
      </c>
      <c r="K38">
        <v>3.5835018709221371E-3</v>
      </c>
      <c r="L38" t="s">
        <v>153</v>
      </c>
      <c r="N38" t="s">
        <v>193</v>
      </c>
      <c r="O38" t="s">
        <v>252</v>
      </c>
      <c r="P38">
        <v>6.6547139035804043E-4</v>
      </c>
      <c r="Q38" t="s">
        <v>153</v>
      </c>
      <c r="S38" t="s">
        <v>208</v>
      </c>
      <c r="T38" t="s">
        <v>252</v>
      </c>
      <c r="U38">
        <v>3.9034550672412153E-3</v>
      </c>
      <c r="V38" t="s">
        <v>153</v>
      </c>
      <c r="X38">
        <v>1.7123287671232876E-3</v>
      </c>
      <c r="Y38">
        <v>3.3314272928424045E-3</v>
      </c>
      <c r="Z38" t="s">
        <v>252</v>
      </c>
      <c r="AA38" t="s">
        <v>25</v>
      </c>
      <c r="AC38" t="s">
        <v>22</v>
      </c>
      <c r="AD38" t="s">
        <v>252</v>
      </c>
      <c r="AE38">
        <v>1.5873717752055089E-3</v>
      </c>
      <c r="AG38" t="s">
        <v>96</v>
      </c>
      <c r="AH38" t="s">
        <v>252</v>
      </c>
      <c r="AI38">
        <v>3.7161502353741271E-2</v>
      </c>
      <c r="AK38">
        <v>2027</v>
      </c>
      <c r="AL38" t="s">
        <v>147</v>
      </c>
      <c r="AM38">
        <v>0.19505</v>
      </c>
      <c r="AN38" t="s">
        <v>227</v>
      </c>
    </row>
    <row r="39" spans="9:40" x14ac:dyDescent="0.45">
      <c r="I39" t="s">
        <v>151</v>
      </c>
      <c r="J39" t="s">
        <v>253</v>
      </c>
      <c r="K39">
        <v>1.0383742438879117E-3</v>
      </c>
      <c r="L39" t="s">
        <v>153</v>
      </c>
      <c r="N39" t="s">
        <v>193</v>
      </c>
      <c r="O39" t="s">
        <v>253</v>
      </c>
      <c r="P39">
        <v>1.3522946370085115E-3</v>
      </c>
      <c r="Q39" t="s">
        <v>153</v>
      </c>
      <c r="S39" t="s">
        <v>208</v>
      </c>
      <c r="T39" t="s">
        <v>253</v>
      </c>
      <c r="U39">
        <v>3.8702226937669384E-3</v>
      </c>
      <c r="V39" t="s">
        <v>153</v>
      </c>
      <c r="X39">
        <v>1.7123287671232876E-3</v>
      </c>
      <c r="Y39">
        <v>2.5855853616090292E-3</v>
      </c>
      <c r="Z39" t="s">
        <v>253</v>
      </c>
      <c r="AA39" t="s">
        <v>25</v>
      </c>
      <c r="AC39" t="s">
        <v>22</v>
      </c>
      <c r="AD39" t="s">
        <v>253</v>
      </c>
      <c r="AE39">
        <v>1.6876736654295088E-3</v>
      </c>
      <c r="AG39" t="s">
        <v>96</v>
      </c>
      <c r="AH39" t="s">
        <v>253</v>
      </c>
      <c r="AI39">
        <v>3.3458575148292979E-2</v>
      </c>
      <c r="AK39">
        <v>2027</v>
      </c>
      <c r="AL39" t="s">
        <v>149</v>
      </c>
      <c r="AM39">
        <v>0.21005000000000001</v>
      </c>
      <c r="AN39" t="s">
        <v>227</v>
      </c>
    </row>
    <row r="40" spans="9:40" x14ac:dyDescent="0.45">
      <c r="I40" t="s">
        <v>151</v>
      </c>
      <c r="J40" t="s">
        <v>254</v>
      </c>
      <c r="K40">
        <v>0</v>
      </c>
      <c r="L40" t="s">
        <v>153</v>
      </c>
      <c r="N40" t="s">
        <v>193</v>
      </c>
      <c r="O40" t="s">
        <v>254</v>
      </c>
      <c r="P40">
        <v>1.8107782507105097E-2</v>
      </c>
      <c r="Q40" t="s">
        <v>153</v>
      </c>
      <c r="S40" t="s">
        <v>208</v>
      </c>
      <c r="T40" t="s">
        <v>254</v>
      </c>
      <c r="U40">
        <v>1.7283877238692937E-2</v>
      </c>
      <c r="V40" t="s">
        <v>153</v>
      </c>
      <c r="X40">
        <v>8.5616438356164379E-3</v>
      </c>
      <c r="Y40">
        <v>6.4639634040225746E-3</v>
      </c>
      <c r="Z40" t="s">
        <v>254</v>
      </c>
      <c r="AA40" t="s">
        <v>25</v>
      </c>
      <c r="AC40" t="s">
        <v>22</v>
      </c>
      <c r="AD40" t="s">
        <v>254</v>
      </c>
      <c r="AE40">
        <v>7.3892989271139541E-3</v>
      </c>
      <c r="AG40" t="s">
        <v>96</v>
      </c>
      <c r="AH40" t="s">
        <v>254</v>
      </c>
      <c r="AI40">
        <v>0.15011151083754126</v>
      </c>
      <c r="AK40">
        <v>2027</v>
      </c>
      <c r="AL40" t="s">
        <v>247</v>
      </c>
      <c r="AM40">
        <v>0.22359999999999999</v>
      </c>
      <c r="AN40" t="s">
        <v>227</v>
      </c>
    </row>
    <row r="41" spans="9:40" x14ac:dyDescent="0.45">
      <c r="I41" t="s">
        <v>165</v>
      </c>
      <c r="J41" t="s">
        <v>152</v>
      </c>
      <c r="K41">
        <v>0</v>
      </c>
      <c r="L41" t="s">
        <v>153</v>
      </c>
      <c r="N41" t="s">
        <v>194</v>
      </c>
      <c r="O41" t="s">
        <v>152</v>
      </c>
      <c r="P41">
        <v>0.22149508981533347</v>
      </c>
      <c r="Q41" t="s">
        <v>153</v>
      </c>
      <c r="S41" t="s">
        <v>209</v>
      </c>
      <c r="T41" t="s">
        <v>152</v>
      </c>
      <c r="U41">
        <v>0.25125257859760119</v>
      </c>
      <c r="V41" t="s">
        <v>153</v>
      </c>
      <c r="AC41" t="s">
        <v>19</v>
      </c>
      <c r="AD41" t="s">
        <v>152</v>
      </c>
      <c r="AE41">
        <v>0.22622881855802598</v>
      </c>
      <c r="AK41">
        <v>2028</v>
      </c>
      <c r="AL41" t="s">
        <v>141</v>
      </c>
      <c r="AM41">
        <v>0.27420999999999995</v>
      </c>
      <c r="AN41" t="s">
        <v>227</v>
      </c>
    </row>
    <row r="42" spans="9:40" x14ac:dyDescent="0.45">
      <c r="I42" t="s">
        <v>165</v>
      </c>
      <c r="J42" t="s">
        <v>154</v>
      </c>
      <c r="K42">
        <v>2.0286867755578072E-2</v>
      </c>
      <c r="L42" t="s">
        <v>153</v>
      </c>
      <c r="N42" t="s">
        <v>194</v>
      </c>
      <c r="O42" t="s">
        <v>154</v>
      </c>
      <c r="P42">
        <v>2.4523000849256578E-2</v>
      </c>
      <c r="Q42" t="s">
        <v>153</v>
      </c>
      <c r="S42" t="s">
        <v>209</v>
      </c>
      <c r="T42" t="s">
        <v>154</v>
      </c>
      <c r="U42">
        <v>3.299906275741489E-2</v>
      </c>
      <c r="V42" t="s">
        <v>153</v>
      </c>
      <c r="AC42" t="s">
        <v>19</v>
      </c>
      <c r="AD42" t="s">
        <v>154</v>
      </c>
      <c r="AE42">
        <v>3.2393815358126153E-2</v>
      </c>
      <c r="AK42">
        <v>2028</v>
      </c>
      <c r="AL42" t="s">
        <v>145</v>
      </c>
      <c r="AM42">
        <v>7.3300000000000004E-2</v>
      </c>
      <c r="AN42" t="s">
        <v>227</v>
      </c>
    </row>
    <row r="43" spans="9:40" x14ac:dyDescent="0.45">
      <c r="I43" t="s">
        <v>165</v>
      </c>
      <c r="J43" t="s">
        <v>155</v>
      </c>
      <c r="K43">
        <v>0.67879121864744929</v>
      </c>
      <c r="L43" t="s">
        <v>153</v>
      </c>
      <c r="N43" t="s">
        <v>194</v>
      </c>
      <c r="O43" t="s">
        <v>155</v>
      </c>
      <c r="P43">
        <v>0.18498402357167346</v>
      </c>
      <c r="Q43" t="s">
        <v>153</v>
      </c>
      <c r="S43" t="s">
        <v>209</v>
      </c>
      <c r="T43" t="s">
        <v>155</v>
      </c>
      <c r="U43">
        <v>0.28637512937258908</v>
      </c>
      <c r="V43" t="s">
        <v>153</v>
      </c>
      <c r="AC43" t="s">
        <v>19</v>
      </c>
      <c r="AD43" t="s">
        <v>155</v>
      </c>
      <c r="AE43">
        <v>0.29856481776371097</v>
      </c>
      <c r="AK43">
        <v>2028</v>
      </c>
      <c r="AL43" t="s">
        <v>147</v>
      </c>
      <c r="AM43">
        <v>0.11255</v>
      </c>
      <c r="AN43" t="s">
        <v>227</v>
      </c>
    </row>
    <row r="44" spans="9:40" x14ac:dyDescent="0.45">
      <c r="I44" t="s">
        <v>165</v>
      </c>
      <c r="J44" t="s">
        <v>232</v>
      </c>
      <c r="K44">
        <v>5.0662431109142571E-2</v>
      </c>
      <c r="L44" t="s">
        <v>153</v>
      </c>
      <c r="N44" t="s">
        <v>194</v>
      </c>
      <c r="O44" t="s">
        <v>232</v>
      </c>
      <c r="P44">
        <v>1.6224210635138372E-2</v>
      </c>
      <c r="Q44" t="s">
        <v>153</v>
      </c>
      <c r="S44" t="s">
        <v>209</v>
      </c>
      <c r="T44" t="s">
        <v>232</v>
      </c>
      <c r="U44">
        <v>3.1413678360989121E-2</v>
      </c>
      <c r="V44" t="s">
        <v>153</v>
      </c>
      <c r="AC44" t="s">
        <v>19</v>
      </c>
      <c r="AD44" t="s">
        <v>232</v>
      </c>
      <c r="AE44">
        <v>3.3195101452226622E-2</v>
      </c>
      <c r="AK44">
        <v>2028</v>
      </c>
      <c r="AL44" t="s">
        <v>149</v>
      </c>
      <c r="AM44">
        <v>0.21955</v>
      </c>
      <c r="AN44" t="s">
        <v>227</v>
      </c>
    </row>
    <row r="45" spans="9:40" x14ac:dyDescent="0.45">
      <c r="I45" t="s">
        <v>165</v>
      </c>
      <c r="J45" t="s">
        <v>233</v>
      </c>
      <c r="K45">
        <v>2.9719174153401525E-2</v>
      </c>
      <c r="L45" t="s">
        <v>153</v>
      </c>
      <c r="N45" t="s">
        <v>194</v>
      </c>
      <c r="O45" t="s">
        <v>233</v>
      </c>
      <c r="P45">
        <v>2.281602740673019E-2</v>
      </c>
      <c r="Q45" t="s">
        <v>153</v>
      </c>
      <c r="S45" t="s">
        <v>209</v>
      </c>
      <c r="T45" t="s">
        <v>233</v>
      </c>
      <c r="U45">
        <v>3.3037685454594734E-2</v>
      </c>
      <c r="V45" t="s">
        <v>153</v>
      </c>
      <c r="AC45" t="s">
        <v>19</v>
      </c>
      <c r="AD45" t="s">
        <v>233</v>
      </c>
      <c r="AE45">
        <v>3.3470353015091103E-2</v>
      </c>
      <c r="AK45">
        <v>2028</v>
      </c>
      <c r="AL45" t="s">
        <v>247</v>
      </c>
      <c r="AM45">
        <v>0.2873</v>
      </c>
      <c r="AN45" t="s">
        <v>227</v>
      </c>
    </row>
    <row r="46" spans="9:40" x14ac:dyDescent="0.45">
      <c r="I46" t="s">
        <v>165</v>
      </c>
      <c r="J46" t="s">
        <v>234</v>
      </c>
      <c r="K46">
        <v>2.0677056594616528E-3</v>
      </c>
      <c r="L46" t="s">
        <v>153</v>
      </c>
      <c r="N46" t="s">
        <v>194</v>
      </c>
      <c r="O46" t="s">
        <v>234</v>
      </c>
      <c r="P46">
        <v>0.18048211952319521</v>
      </c>
      <c r="Q46" t="s">
        <v>153</v>
      </c>
      <c r="S46" t="s">
        <v>209</v>
      </c>
      <c r="T46" t="s">
        <v>234</v>
      </c>
      <c r="U46">
        <v>0.17489215727218196</v>
      </c>
      <c r="V46" t="s">
        <v>153</v>
      </c>
      <c r="AC46" t="s">
        <v>19</v>
      </c>
      <c r="AD46" t="s">
        <v>234</v>
      </c>
      <c r="AE46">
        <v>0.16548308831001632</v>
      </c>
      <c r="AK46">
        <v>2029</v>
      </c>
      <c r="AL46" t="s">
        <v>141</v>
      </c>
      <c r="AM46">
        <v>0.27734000000000003</v>
      </c>
      <c r="AN46" t="s">
        <v>227</v>
      </c>
    </row>
    <row r="47" spans="9:40" x14ac:dyDescent="0.45">
      <c r="I47" t="s">
        <v>165</v>
      </c>
      <c r="J47" t="s">
        <v>156</v>
      </c>
      <c r="K47">
        <v>0</v>
      </c>
      <c r="L47" t="s">
        <v>153</v>
      </c>
      <c r="N47" t="s">
        <v>194</v>
      </c>
      <c r="O47" t="s">
        <v>156</v>
      </c>
      <c r="P47">
        <v>1.2308846459205004E-2</v>
      </c>
      <c r="Q47" t="s">
        <v>153</v>
      </c>
      <c r="S47" t="s">
        <v>209</v>
      </c>
      <c r="T47" t="s">
        <v>156</v>
      </c>
      <c r="U47">
        <v>1.9028247332625507E-3</v>
      </c>
      <c r="V47" t="s">
        <v>153</v>
      </c>
      <c r="AC47" t="s">
        <v>19</v>
      </c>
      <c r="AD47" t="s">
        <v>156</v>
      </c>
      <c r="AE47">
        <v>7.0531845901653156E-3</v>
      </c>
      <c r="AK47">
        <v>2029</v>
      </c>
      <c r="AL47" t="s">
        <v>145</v>
      </c>
      <c r="AM47">
        <v>0.20519999999999999</v>
      </c>
      <c r="AN47" t="s">
        <v>227</v>
      </c>
    </row>
    <row r="48" spans="9:40" x14ac:dyDescent="0.45">
      <c r="I48" t="s">
        <v>165</v>
      </c>
      <c r="J48" t="s">
        <v>157</v>
      </c>
      <c r="K48">
        <v>9.7419033208716657E-4</v>
      </c>
      <c r="L48" t="s">
        <v>153</v>
      </c>
      <c r="N48" t="s">
        <v>194</v>
      </c>
      <c r="O48" t="s">
        <v>157</v>
      </c>
      <c r="P48">
        <v>1.3356912104428192E-3</v>
      </c>
      <c r="Q48" t="s">
        <v>153</v>
      </c>
      <c r="S48" t="s">
        <v>209</v>
      </c>
      <c r="T48" t="s">
        <v>157</v>
      </c>
      <c r="U48">
        <v>2.2298582168474705E-4</v>
      </c>
      <c r="V48" t="s">
        <v>153</v>
      </c>
      <c r="AC48" t="s">
        <v>19</v>
      </c>
      <c r="AD48" t="s">
        <v>157</v>
      </c>
      <c r="AE48">
        <v>1.0178807043730942E-3</v>
      </c>
      <c r="AK48">
        <v>2029</v>
      </c>
      <c r="AL48" t="s">
        <v>147</v>
      </c>
      <c r="AM48">
        <v>0.21345</v>
      </c>
      <c r="AN48" t="s">
        <v>227</v>
      </c>
    </row>
    <row r="49" spans="9:40" x14ac:dyDescent="0.45">
      <c r="I49" t="s">
        <v>165</v>
      </c>
      <c r="J49" t="s">
        <v>158</v>
      </c>
      <c r="K49">
        <v>1.9858769728135665E-2</v>
      </c>
      <c r="L49" t="s">
        <v>153</v>
      </c>
      <c r="N49" t="s">
        <v>194</v>
      </c>
      <c r="O49" t="s">
        <v>158</v>
      </c>
      <c r="P49">
        <v>1.3378638922718752E-2</v>
      </c>
      <c r="Q49" t="s">
        <v>153</v>
      </c>
      <c r="S49" t="s">
        <v>209</v>
      </c>
      <c r="T49" t="s">
        <v>158</v>
      </c>
      <c r="U49">
        <v>1.3443686289199156E-3</v>
      </c>
      <c r="V49" t="s">
        <v>153</v>
      </c>
      <c r="AC49" t="s">
        <v>19</v>
      </c>
      <c r="AD49" t="s">
        <v>158</v>
      </c>
      <c r="AE49">
        <v>9.2993752588424756E-3</v>
      </c>
      <c r="AK49">
        <v>2029</v>
      </c>
      <c r="AL49" t="s">
        <v>149</v>
      </c>
      <c r="AM49">
        <v>0.17899999999999999</v>
      </c>
      <c r="AN49" t="s">
        <v>227</v>
      </c>
    </row>
    <row r="50" spans="9:40" x14ac:dyDescent="0.45">
      <c r="I50" t="s">
        <v>165</v>
      </c>
      <c r="J50" t="s">
        <v>235</v>
      </c>
      <c r="K50">
        <v>1.1358283700820245E-3</v>
      </c>
      <c r="L50" t="s">
        <v>153</v>
      </c>
      <c r="N50" t="s">
        <v>194</v>
      </c>
      <c r="O50" t="s">
        <v>235</v>
      </c>
      <c r="P50">
        <v>1.3422768408793287E-3</v>
      </c>
      <c r="Q50" t="s">
        <v>153</v>
      </c>
      <c r="S50" t="s">
        <v>209</v>
      </c>
      <c r="T50" t="s">
        <v>235</v>
      </c>
      <c r="U50">
        <v>3.6681938233855811E-5</v>
      </c>
      <c r="V50" t="s">
        <v>153</v>
      </c>
      <c r="AC50" t="s">
        <v>19</v>
      </c>
      <c r="AD50" t="s">
        <v>235</v>
      </c>
      <c r="AE50">
        <v>1.0364241553524004E-3</v>
      </c>
      <c r="AK50">
        <v>2029</v>
      </c>
      <c r="AL50" t="s">
        <v>247</v>
      </c>
      <c r="AM50">
        <v>0.1363</v>
      </c>
      <c r="AN50" t="s">
        <v>227</v>
      </c>
    </row>
    <row r="51" spans="9:40" x14ac:dyDescent="0.45">
      <c r="I51" t="s">
        <v>165</v>
      </c>
      <c r="J51" t="s">
        <v>236</v>
      </c>
      <c r="K51">
        <v>6.683816705711546E-4</v>
      </c>
      <c r="L51" t="s">
        <v>153</v>
      </c>
      <c r="N51" t="s">
        <v>194</v>
      </c>
      <c r="O51" t="s">
        <v>236</v>
      </c>
      <c r="P51">
        <v>1.5817033488886155E-3</v>
      </c>
      <c r="Q51" t="s">
        <v>153</v>
      </c>
      <c r="S51" t="s">
        <v>209</v>
      </c>
      <c r="T51" t="s">
        <v>236</v>
      </c>
      <c r="U51">
        <v>3.0137587610841075E-5</v>
      </c>
      <c r="V51" t="s">
        <v>153</v>
      </c>
      <c r="AC51" t="s">
        <v>19</v>
      </c>
      <c r="AD51" t="s">
        <v>236</v>
      </c>
      <c r="AE51">
        <v>1.0478588845788353E-3</v>
      </c>
      <c r="AK51">
        <v>2030</v>
      </c>
      <c r="AL51" t="s">
        <v>141</v>
      </c>
      <c r="AM51">
        <v>0.26264999999999999</v>
      </c>
      <c r="AN51" t="s">
        <v>227</v>
      </c>
    </row>
    <row r="52" spans="9:40" x14ac:dyDescent="0.45">
      <c r="I52" t="s">
        <v>165</v>
      </c>
      <c r="J52" t="s">
        <v>237</v>
      </c>
      <c r="K52">
        <v>0</v>
      </c>
      <c r="L52" t="s">
        <v>153</v>
      </c>
      <c r="N52" t="s">
        <v>194</v>
      </c>
      <c r="O52" t="s">
        <v>237</v>
      </c>
      <c r="P52">
        <v>1.0366694200944264E-2</v>
      </c>
      <c r="Q52" t="s">
        <v>153</v>
      </c>
      <c r="S52" t="s">
        <v>209</v>
      </c>
      <c r="T52" t="s">
        <v>237</v>
      </c>
      <c r="U52">
        <v>3.4651050001948606E-4</v>
      </c>
      <c r="V52" t="s">
        <v>153</v>
      </c>
      <c r="AC52" t="s">
        <v>19</v>
      </c>
      <c r="AD52" t="s">
        <v>237</v>
      </c>
      <c r="AE52">
        <v>5.1707491426990536E-3</v>
      </c>
      <c r="AK52">
        <v>2030</v>
      </c>
      <c r="AL52" t="s">
        <v>145</v>
      </c>
      <c r="AM52">
        <v>0.21609999999999999</v>
      </c>
      <c r="AN52" t="s">
        <v>227</v>
      </c>
    </row>
    <row r="53" spans="9:40" x14ac:dyDescent="0.45">
      <c r="I53" t="s">
        <v>165</v>
      </c>
      <c r="J53" t="s">
        <v>159</v>
      </c>
      <c r="K53">
        <v>0</v>
      </c>
      <c r="L53" t="s">
        <v>153</v>
      </c>
      <c r="N53" t="s">
        <v>194</v>
      </c>
      <c r="O53" t="s">
        <v>159</v>
      </c>
      <c r="P53">
        <v>2.1193914897489608E-2</v>
      </c>
      <c r="Q53" t="s">
        <v>153</v>
      </c>
      <c r="S53" t="s">
        <v>209</v>
      </c>
      <c r="T53" t="s">
        <v>159</v>
      </c>
      <c r="U53">
        <v>4.5775634614683433E-3</v>
      </c>
      <c r="V53" t="s">
        <v>153</v>
      </c>
      <c r="AC53" t="s">
        <v>19</v>
      </c>
      <c r="AD53" t="s">
        <v>159</v>
      </c>
      <c r="AE53">
        <v>1.7236307263941018E-2</v>
      </c>
      <c r="AK53">
        <v>2030</v>
      </c>
      <c r="AL53" t="s">
        <v>147</v>
      </c>
      <c r="AM53">
        <v>0.19939999999999999</v>
      </c>
      <c r="AN53" t="s">
        <v>227</v>
      </c>
    </row>
    <row r="54" spans="9:40" x14ac:dyDescent="0.45">
      <c r="I54" t="s">
        <v>165</v>
      </c>
      <c r="J54" t="s">
        <v>160</v>
      </c>
      <c r="K54">
        <v>2.5879528619162139E-3</v>
      </c>
      <c r="L54" t="s">
        <v>153</v>
      </c>
      <c r="N54" t="s">
        <v>194</v>
      </c>
      <c r="O54" t="s">
        <v>160</v>
      </c>
      <c r="P54">
        <v>2.5152895477682084E-3</v>
      </c>
      <c r="Q54" t="s">
        <v>153</v>
      </c>
      <c r="S54" t="s">
        <v>209</v>
      </c>
      <c r="T54" t="s">
        <v>160</v>
      </c>
      <c r="U54">
        <v>9.162030740023099E-4</v>
      </c>
      <c r="V54" t="s">
        <v>153</v>
      </c>
      <c r="AC54" t="s">
        <v>19</v>
      </c>
      <c r="AD54" t="s">
        <v>160</v>
      </c>
      <c r="AE54">
        <v>2.4853959680112866E-3</v>
      </c>
      <c r="AK54">
        <v>2030</v>
      </c>
      <c r="AL54" t="s">
        <v>149</v>
      </c>
      <c r="AM54">
        <v>0.20879999999999999</v>
      </c>
      <c r="AN54" t="s">
        <v>227</v>
      </c>
    </row>
    <row r="55" spans="9:40" x14ac:dyDescent="0.45">
      <c r="I55" t="s">
        <v>165</v>
      </c>
      <c r="J55" t="s">
        <v>161</v>
      </c>
      <c r="K55">
        <v>5.4635870819207608E-2</v>
      </c>
      <c r="L55" t="s">
        <v>153</v>
      </c>
      <c r="N55" t="s">
        <v>194</v>
      </c>
      <c r="O55" t="s">
        <v>161</v>
      </c>
      <c r="P55">
        <v>2.442966065162288E-2</v>
      </c>
      <c r="Q55" t="s">
        <v>153</v>
      </c>
      <c r="S55" t="s">
        <v>209</v>
      </c>
      <c r="T55" t="s">
        <v>161</v>
      </c>
      <c r="U55">
        <v>9.1000067677824668E-3</v>
      </c>
      <c r="V55" t="s">
        <v>153</v>
      </c>
      <c r="AC55" t="s">
        <v>19</v>
      </c>
      <c r="AD55" t="s">
        <v>161</v>
      </c>
      <c r="AE55">
        <v>2.2760062674452665E-2</v>
      </c>
      <c r="AK55">
        <v>2030</v>
      </c>
      <c r="AL55" t="s">
        <v>247</v>
      </c>
      <c r="AM55">
        <v>0.2349</v>
      </c>
      <c r="AN55" t="s">
        <v>227</v>
      </c>
    </row>
    <row r="56" spans="9:40" x14ac:dyDescent="0.45">
      <c r="I56" t="s">
        <v>165</v>
      </c>
      <c r="J56" t="s">
        <v>238</v>
      </c>
      <c r="K56">
        <v>3.1155013099823906E-3</v>
      </c>
      <c r="L56" t="s">
        <v>153</v>
      </c>
      <c r="N56" t="s">
        <v>194</v>
      </c>
      <c r="O56" t="s">
        <v>238</v>
      </c>
      <c r="P56">
        <v>2.438468214803465E-3</v>
      </c>
      <c r="Q56" t="s">
        <v>153</v>
      </c>
      <c r="S56" t="s">
        <v>209</v>
      </c>
      <c r="T56" t="s">
        <v>238</v>
      </c>
      <c r="U56">
        <v>8.9058411797390683E-4</v>
      </c>
      <c r="V56" t="s">
        <v>153</v>
      </c>
      <c r="AC56" t="s">
        <v>19</v>
      </c>
      <c r="AD56" t="s">
        <v>238</v>
      </c>
      <c r="AE56">
        <v>2.5342374264043545E-3</v>
      </c>
      <c r="AK56">
        <v>2031</v>
      </c>
      <c r="AL56" t="s">
        <v>141</v>
      </c>
      <c r="AM56">
        <v>0.23094000000000001</v>
      </c>
      <c r="AN56" t="s">
        <v>227</v>
      </c>
    </row>
    <row r="57" spans="9:40" x14ac:dyDescent="0.45">
      <c r="I57" t="s">
        <v>165</v>
      </c>
      <c r="J57" t="s">
        <v>239</v>
      </c>
      <c r="K57">
        <v>1.7911693981521539E-4</v>
      </c>
      <c r="L57" t="s">
        <v>153</v>
      </c>
      <c r="N57" t="s">
        <v>194</v>
      </c>
      <c r="O57" t="s">
        <v>239</v>
      </c>
      <c r="P57">
        <v>3.5143666590366648E-3</v>
      </c>
      <c r="Q57" t="s">
        <v>153</v>
      </c>
      <c r="S57" t="s">
        <v>209</v>
      </c>
      <c r="T57" t="s">
        <v>239</v>
      </c>
      <c r="U57">
        <v>9.3081063405026879E-4</v>
      </c>
      <c r="V57" t="s">
        <v>153</v>
      </c>
      <c r="AC57" t="s">
        <v>19</v>
      </c>
      <c r="AD57" t="s">
        <v>239</v>
      </c>
      <c r="AE57">
        <v>2.5640067398620004E-3</v>
      </c>
      <c r="AK57">
        <v>2031</v>
      </c>
      <c r="AL57" t="s">
        <v>145</v>
      </c>
      <c r="AM57">
        <v>0.14449999999999999</v>
      </c>
      <c r="AN57" t="s">
        <v>227</v>
      </c>
    </row>
    <row r="58" spans="9:40" x14ac:dyDescent="0.45">
      <c r="I58" t="s">
        <v>165</v>
      </c>
      <c r="J58" t="s">
        <v>240</v>
      </c>
      <c r="K58">
        <v>0</v>
      </c>
      <c r="L58" t="s">
        <v>153</v>
      </c>
      <c r="N58" t="s">
        <v>194</v>
      </c>
      <c r="O58" t="s">
        <v>240</v>
      </c>
      <c r="P58">
        <v>2.1615157717112459E-2</v>
      </c>
      <c r="Q58" t="s">
        <v>153</v>
      </c>
      <c r="S58" t="s">
        <v>209</v>
      </c>
      <c r="T58" t="s">
        <v>240</v>
      </c>
      <c r="U58">
        <v>3.6514964449578594E-3</v>
      </c>
      <c r="V58" t="s">
        <v>153</v>
      </c>
      <c r="AC58" t="s">
        <v>19</v>
      </c>
      <c r="AD58" t="s">
        <v>240</v>
      </c>
      <c r="AE58">
        <v>1.2643216393339388E-2</v>
      </c>
      <c r="AK58">
        <v>2031</v>
      </c>
      <c r="AL58" t="s">
        <v>147</v>
      </c>
      <c r="AM58">
        <v>0.1452</v>
      </c>
      <c r="AN58" t="s">
        <v>227</v>
      </c>
    </row>
    <row r="59" spans="9:40" x14ac:dyDescent="0.45">
      <c r="I59" t="s">
        <v>165</v>
      </c>
      <c r="J59" t="s">
        <v>162</v>
      </c>
      <c r="K59">
        <v>0</v>
      </c>
      <c r="L59" t="s">
        <v>153</v>
      </c>
      <c r="N59" t="s">
        <v>194</v>
      </c>
      <c r="O59" t="s">
        <v>162</v>
      </c>
      <c r="P59">
        <v>4.1416272301164764E-2</v>
      </c>
      <c r="Q59" t="s">
        <v>153</v>
      </c>
      <c r="S59" t="s">
        <v>209</v>
      </c>
      <c r="T59" t="s">
        <v>162</v>
      </c>
      <c r="U59">
        <v>2.8137879337062854E-2</v>
      </c>
      <c r="V59" t="s">
        <v>153</v>
      </c>
      <c r="AC59" t="s">
        <v>19</v>
      </c>
      <c r="AD59" t="s">
        <v>162</v>
      </c>
      <c r="AE59">
        <v>2.4294650963380945E-2</v>
      </c>
      <c r="AK59">
        <v>2031</v>
      </c>
      <c r="AL59" t="s">
        <v>149</v>
      </c>
      <c r="AM59">
        <v>0.16320000000000001</v>
      </c>
      <c r="AN59" t="s">
        <v>227</v>
      </c>
    </row>
    <row r="60" spans="9:40" x14ac:dyDescent="0.45">
      <c r="I60" t="s">
        <v>165</v>
      </c>
      <c r="J60" t="s">
        <v>163</v>
      </c>
      <c r="K60">
        <v>2.5171408136069919E-3</v>
      </c>
      <c r="L60" t="s">
        <v>153</v>
      </c>
      <c r="N60" t="s">
        <v>194</v>
      </c>
      <c r="O60" t="s">
        <v>163</v>
      </c>
      <c r="P60">
        <v>5.1803677427132502E-3</v>
      </c>
      <c r="Q60" t="s">
        <v>153</v>
      </c>
      <c r="S60" t="s">
        <v>209</v>
      </c>
      <c r="T60" t="s">
        <v>163</v>
      </c>
      <c r="U60">
        <v>5.40329819191221E-3</v>
      </c>
      <c r="V60" t="s">
        <v>153</v>
      </c>
      <c r="AC60" t="s">
        <v>19</v>
      </c>
      <c r="AD60" t="s">
        <v>163</v>
      </c>
      <c r="AE60">
        <v>3.5003897048692389E-3</v>
      </c>
      <c r="AK60">
        <v>2031</v>
      </c>
      <c r="AL60" t="s">
        <v>247</v>
      </c>
      <c r="AM60">
        <v>0.18049999999999999</v>
      </c>
      <c r="AN60" t="s">
        <v>227</v>
      </c>
    </row>
    <row r="61" spans="9:40" x14ac:dyDescent="0.45">
      <c r="I61" t="s">
        <v>165</v>
      </c>
      <c r="J61" t="s">
        <v>164</v>
      </c>
      <c r="K61">
        <v>7.7709698243174585E-2</v>
      </c>
      <c r="L61" t="s">
        <v>153</v>
      </c>
      <c r="N61" t="s">
        <v>194</v>
      </c>
      <c r="O61" t="s">
        <v>164</v>
      </c>
      <c r="P61">
        <v>5.0180850883004835E-2</v>
      </c>
      <c r="Q61" t="s">
        <v>153</v>
      </c>
      <c r="S61" t="s">
        <v>209</v>
      </c>
      <c r="T61" t="s">
        <v>164</v>
      </c>
      <c r="U61">
        <v>3.6863196368071158E-2</v>
      </c>
      <c r="V61" t="s">
        <v>153</v>
      </c>
      <c r="AC61" t="s">
        <v>19</v>
      </c>
      <c r="AD61" t="s">
        <v>164</v>
      </c>
      <c r="AE61">
        <v>3.2031329571357937E-2</v>
      </c>
      <c r="AK61">
        <v>2032</v>
      </c>
      <c r="AL61" t="s">
        <v>141</v>
      </c>
      <c r="AM61">
        <v>0.26496999999999998</v>
      </c>
      <c r="AN61" t="s">
        <v>227</v>
      </c>
    </row>
    <row r="62" spans="9:40" x14ac:dyDescent="0.45">
      <c r="I62" t="s">
        <v>165</v>
      </c>
      <c r="J62" t="s">
        <v>241</v>
      </c>
      <c r="K62">
        <v>4.1057531624639999E-3</v>
      </c>
      <c r="L62" t="s">
        <v>153</v>
      </c>
      <c r="N62" t="s">
        <v>194</v>
      </c>
      <c r="O62" t="s">
        <v>241</v>
      </c>
      <c r="P62">
        <v>5.4771805843159844E-3</v>
      </c>
      <c r="Q62" t="s">
        <v>153</v>
      </c>
      <c r="S62" t="s">
        <v>209</v>
      </c>
      <c r="T62" t="s">
        <v>241</v>
      </c>
      <c r="U62">
        <v>2.2831611232605928E-3</v>
      </c>
      <c r="V62" t="s">
        <v>153</v>
      </c>
      <c r="AC62" t="s">
        <v>19</v>
      </c>
      <c r="AD62" t="s">
        <v>241</v>
      </c>
      <c r="AE62">
        <v>3.5734582555777944E-3</v>
      </c>
      <c r="AK62">
        <v>2032</v>
      </c>
      <c r="AL62" t="s">
        <v>145</v>
      </c>
      <c r="AM62">
        <v>0.1181</v>
      </c>
      <c r="AN62" t="s">
        <v>227</v>
      </c>
    </row>
    <row r="63" spans="9:40" x14ac:dyDescent="0.45">
      <c r="I63" t="s">
        <v>165</v>
      </c>
      <c r="J63" t="s">
        <v>242</v>
      </c>
      <c r="K63">
        <v>0</v>
      </c>
      <c r="L63" t="s">
        <v>153</v>
      </c>
      <c r="N63" t="s">
        <v>194</v>
      </c>
      <c r="O63" t="s">
        <v>242</v>
      </c>
      <c r="P63">
        <v>7.2272473701215402E-3</v>
      </c>
      <c r="Q63" t="s">
        <v>153</v>
      </c>
      <c r="S63" t="s">
        <v>209</v>
      </c>
      <c r="T63" t="s">
        <v>242</v>
      </c>
      <c r="U63">
        <v>2.430396215982763E-3</v>
      </c>
      <c r="V63" t="s">
        <v>153</v>
      </c>
      <c r="AC63" t="s">
        <v>19</v>
      </c>
      <c r="AD63" t="s">
        <v>242</v>
      </c>
      <c r="AE63">
        <v>3.6019580508321759E-3</v>
      </c>
      <c r="AK63">
        <v>2032</v>
      </c>
      <c r="AL63" t="s">
        <v>147</v>
      </c>
      <c r="AM63">
        <v>0.1699</v>
      </c>
      <c r="AN63" t="s">
        <v>227</v>
      </c>
    </row>
    <row r="64" spans="9:40" x14ac:dyDescent="0.45">
      <c r="I64" t="s">
        <v>165</v>
      </c>
      <c r="J64" t="s">
        <v>243</v>
      </c>
      <c r="K64">
        <v>0</v>
      </c>
      <c r="L64" t="s">
        <v>153</v>
      </c>
      <c r="N64" t="s">
        <v>194</v>
      </c>
      <c r="O64" t="s">
        <v>243</v>
      </c>
      <c r="P64">
        <v>3.8258635805384911E-2</v>
      </c>
      <c r="Q64" t="s">
        <v>153</v>
      </c>
      <c r="S64" t="s">
        <v>209</v>
      </c>
      <c r="T64" t="s">
        <v>243</v>
      </c>
      <c r="U64">
        <v>1.4389062930757927E-2</v>
      </c>
      <c r="V64" t="s">
        <v>153</v>
      </c>
      <c r="AC64" t="s">
        <v>19</v>
      </c>
      <c r="AD64" t="s">
        <v>243</v>
      </c>
      <c r="AE64">
        <v>1.7810585043628833E-2</v>
      </c>
      <c r="AK64">
        <v>2032</v>
      </c>
      <c r="AL64" t="s">
        <v>149</v>
      </c>
      <c r="AM64">
        <v>0.19405</v>
      </c>
      <c r="AN64" t="s">
        <v>227</v>
      </c>
    </row>
    <row r="65" spans="9:40" x14ac:dyDescent="0.45">
      <c r="I65" t="s">
        <v>165</v>
      </c>
      <c r="J65" t="s">
        <v>249</v>
      </c>
      <c r="K65">
        <v>0</v>
      </c>
      <c r="L65" t="s">
        <v>153</v>
      </c>
      <c r="N65" t="s">
        <v>194</v>
      </c>
      <c r="O65" t="s">
        <v>249</v>
      </c>
      <c r="P65">
        <v>2.6170304120850467E-2</v>
      </c>
      <c r="Q65" t="s">
        <v>153</v>
      </c>
      <c r="S65" t="s">
        <v>209</v>
      </c>
      <c r="T65" t="s">
        <v>249</v>
      </c>
      <c r="U65">
        <v>2.0228388262992898E-2</v>
      </c>
      <c r="V65" t="s">
        <v>153</v>
      </c>
      <c r="AC65" t="s">
        <v>19</v>
      </c>
      <c r="AD65" t="s">
        <v>249</v>
      </c>
      <c r="AE65">
        <v>1.1730580219688608E-2</v>
      </c>
      <c r="AK65">
        <v>2032</v>
      </c>
      <c r="AL65" t="s">
        <v>247</v>
      </c>
      <c r="AM65">
        <v>0.16639999999999999</v>
      </c>
      <c r="AN65" t="s">
        <v>227</v>
      </c>
    </row>
    <row r="66" spans="9:40" x14ac:dyDescent="0.45">
      <c r="I66" t="s">
        <v>165</v>
      </c>
      <c r="J66" t="s">
        <v>250</v>
      </c>
      <c r="K66">
        <v>0</v>
      </c>
      <c r="L66" t="s">
        <v>153</v>
      </c>
      <c r="N66" t="s">
        <v>194</v>
      </c>
      <c r="O66" t="s">
        <v>250</v>
      </c>
      <c r="P66">
        <v>3.6133809221654033E-3</v>
      </c>
      <c r="Q66" t="s">
        <v>153</v>
      </c>
      <c r="S66" t="s">
        <v>209</v>
      </c>
      <c r="T66" t="s">
        <v>250</v>
      </c>
      <c r="U66">
        <v>3.580135191739376E-3</v>
      </c>
      <c r="V66" t="s">
        <v>153</v>
      </c>
      <c r="AC66" t="s">
        <v>19</v>
      </c>
      <c r="AD66" t="s">
        <v>250</v>
      </c>
      <c r="AE66">
        <v>1.6921979279731518E-3</v>
      </c>
      <c r="AK66">
        <v>2033</v>
      </c>
      <c r="AL66" t="s">
        <v>141</v>
      </c>
      <c r="AM66">
        <v>0.23738000000000001</v>
      </c>
      <c r="AN66" t="s">
        <v>227</v>
      </c>
    </row>
    <row r="67" spans="9:40" x14ac:dyDescent="0.45">
      <c r="I67" t="s">
        <v>165</v>
      </c>
      <c r="J67" t="s">
        <v>251</v>
      </c>
      <c r="K67">
        <v>4.6139891120396487E-2</v>
      </c>
      <c r="L67" t="s">
        <v>153</v>
      </c>
      <c r="N67" t="s">
        <v>194</v>
      </c>
      <c r="O67" t="s">
        <v>251</v>
      </c>
      <c r="P67">
        <v>2.6637248562579933E-2</v>
      </c>
      <c r="Q67" t="s">
        <v>153</v>
      </c>
      <c r="S67" t="s">
        <v>209</v>
      </c>
      <c r="T67" t="s">
        <v>251</v>
      </c>
      <c r="U67">
        <v>3.4740645294799602E-2</v>
      </c>
      <c r="V67" t="s">
        <v>153</v>
      </c>
      <c r="AC67" t="s">
        <v>19</v>
      </c>
      <c r="AD67" t="s">
        <v>251</v>
      </c>
      <c r="AE67">
        <v>1.5504178954220477E-2</v>
      </c>
      <c r="AK67">
        <v>2033</v>
      </c>
      <c r="AL67" t="s">
        <v>145</v>
      </c>
      <c r="AM67">
        <v>0.1333</v>
      </c>
      <c r="AN67" t="s">
        <v>227</v>
      </c>
    </row>
    <row r="68" spans="9:40" x14ac:dyDescent="0.45">
      <c r="I68" t="s">
        <v>165</v>
      </c>
      <c r="J68" t="s">
        <v>252</v>
      </c>
      <c r="K68">
        <v>3.6723249445226027E-3</v>
      </c>
      <c r="L68" t="s">
        <v>153</v>
      </c>
      <c r="N68" t="s">
        <v>194</v>
      </c>
      <c r="O68" t="s">
        <v>252</v>
      </c>
      <c r="P68">
        <v>2.4389617859850434E-3</v>
      </c>
      <c r="Q68" t="s">
        <v>153</v>
      </c>
      <c r="S68" t="s">
        <v>209</v>
      </c>
      <c r="T68" t="s">
        <v>252</v>
      </c>
      <c r="U68">
        <v>2.8002255369778354E-3</v>
      </c>
      <c r="V68" t="s">
        <v>153</v>
      </c>
      <c r="AC68" t="s">
        <v>19</v>
      </c>
      <c r="AD68" t="s">
        <v>252</v>
      </c>
      <c r="AE68">
        <v>1.7303831934386727E-3</v>
      </c>
      <c r="AK68">
        <v>2033</v>
      </c>
      <c r="AL68" t="s">
        <v>147</v>
      </c>
      <c r="AM68">
        <v>0.12725</v>
      </c>
      <c r="AN68" t="s">
        <v>227</v>
      </c>
    </row>
    <row r="69" spans="9:40" x14ac:dyDescent="0.45">
      <c r="I69" t="s">
        <v>165</v>
      </c>
      <c r="J69" t="s">
        <v>253</v>
      </c>
      <c r="K69">
        <v>1.1721823590010677E-3</v>
      </c>
      <c r="L69" t="s">
        <v>153</v>
      </c>
      <c r="N69" t="s">
        <v>194</v>
      </c>
      <c r="O69" t="s">
        <v>253</v>
      </c>
      <c r="P69">
        <v>3.8945612254396873E-3</v>
      </c>
      <c r="Q69" t="s">
        <v>153</v>
      </c>
      <c r="S69" t="s">
        <v>209</v>
      </c>
      <c r="T69" t="s">
        <v>253</v>
      </c>
      <c r="U69">
        <v>2.7379977023087097E-3</v>
      </c>
      <c r="V69" t="s">
        <v>153</v>
      </c>
      <c r="AC69" t="s">
        <v>19</v>
      </c>
      <c r="AD69" t="s">
        <v>253</v>
      </c>
      <c r="AE69">
        <v>1.7386145739625542E-3</v>
      </c>
      <c r="AK69">
        <v>2033</v>
      </c>
      <c r="AL69" t="s">
        <v>149</v>
      </c>
      <c r="AM69">
        <v>0.17985000000000001</v>
      </c>
      <c r="AN69" t="s">
        <v>227</v>
      </c>
    </row>
    <row r="70" spans="9:40" x14ac:dyDescent="0.45">
      <c r="I70" t="s">
        <v>165</v>
      </c>
      <c r="J70" t="s">
        <v>254</v>
      </c>
      <c r="K70">
        <v>0</v>
      </c>
      <c r="L70" t="s">
        <v>153</v>
      </c>
      <c r="N70" t="s">
        <v>194</v>
      </c>
      <c r="O70" t="s">
        <v>254</v>
      </c>
      <c r="P70">
        <v>2.2959808224031941E-2</v>
      </c>
      <c r="Q70" t="s">
        <v>153</v>
      </c>
      <c r="S70" t="s">
        <v>209</v>
      </c>
      <c r="T70" t="s">
        <v>254</v>
      </c>
      <c r="U70">
        <v>1.2485148318793904E-2</v>
      </c>
      <c r="V70" t="s">
        <v>153</v>
      </c>
      <c r="AC70" t="s">
        <v>19</v>
      </c>
      <c r="AD70" t="s">
        <v>254</v>
      </c>
      <c r="AE70">
        <v>8.6069798818506141E-3</v>
      </c>
      <c r="AK70">
        <v>2033</v>
      </c>
      <c r="AL70" t="s">
        <v>247</v>
      </c>
      <c r="AM70">
        <v>0.23849999999999999</v>
      </c>
      <c r="AN70" t="s">
        <v>227</v>
      </c>
    </row>
    <row r="71" spans="9:40" x14ac:dyDescent="0.45">
      <c r="I71" t="s">
        <v>166</v>
      </c>
      <c r="J71" t="s">
        <v>152</v>
      </c>
      <c r="K71">
        <v>0</v>
      </c>
      <c r="L71" t="s">
        <v>153</v>
      </c>
      <c r="N71" t="s">
        <v>195</v>
      </c>
      <c r="O71" t="s">
        <v>152</v>
      </c>
      <c r="P71">
        <v>0.23185869232905984</v>
      </c>
      <c r="Q71" t="s">
        <v>153</v>
      </c>
      <c r="S71" t="s">
        <v>210</v>
      </c>
      <c r="T71" t="s">
        <v>152</v>
      </c>
      <c r="U71">
        <v>0.24858259783990128</v>
      </c>
      <c r="V71" t="s">
        <v>153</v>
      </c>
      <c r="AK71">
        <v>2034</v>
      </c>
      <c r="AL71" t="s">
        <v>141</v>
      </c>
      <c r="AM71">
        <v>0.23388000000000003</v>
      </c>
      <c r="AN71" t="s">
        <v>227</v>
      </c>
    </row>
    <row r="72" spans="9:40" x14ac:dyDescent="0.45">
      <c r="I72" t="s">
        <v>166</v>
      </c>
      <c r="J72" t="s">
        <v>154</v>
      </c>
      <c r="K72">
        <v>1.6268737638094E-2</v>
      </c>
      <c r="L72" t="s">
        <v>153</v>
      </c>
      <c r="N72" t="s">
        <v>195</v>
      </c>
      <c r="O72" t="s">
        <v>154</v>
      </c>
      <c r="P72">
        <v>2.3831363891313351E-2</v>
      </c>
      <c r="Q72" t="s">
        <v>153</v>
      </c>
      <c r="S72" t="s">
        <v>210</v>
      </c>
      <c r="T72" t="s">
        <v>154</v>
      </c>
      <c r="U72">
        <v>3.0906610977273818E-2</v>
      </c>
      <c r="V72" t="s">
        <v>153</v>
      </c>
      <c r="AK72">
        <v>2034</v>
      </c>
      <c r="AL72" t="s">
        <v>145</v>
      </c>
      <c r="AM72">
        <v>0.14000000000000001</v>
      </c>
      <c r="AN72" t="s">
        <v>227</v>
      </c>
    </row>
    <row r="73" spans="9:40" x14ac:dyDescent="0.45">
      <c r="I73" t="s">
        <v>166</v>
      </c>
      <c r="J73" t="s">
        <v>155</v>
      </c>
      <c r="K73">
        <v>0.69090830584814278</v>
      </c>
      <c r="L73" t="s">
        <v>153</v>
      </c>
      <c r="N73" t="s">
        <v>195</v>
      </c>
      <c r="O73" t="s">
        <v>155</v>
      </c>
      <c r="P73">
        <v>0.1576558378358541</v>
      </c>
      <c r="Q73" t="s">
        <v>153</v>
      </c>
      <c r="S73" t="s">
        <v>210</v>
      </c>
      <c r="T73" t="s">
        <v>155</v>
      </c>
      <c r="U73">
        <v>0.26968267162322229</v>
      </c>
      <c r="V73" t="s">
        <v>153</v>
      </c>
      <c r="AK73">
        <v>2034</v>
      </c>
      <c r="AL73" t="s">
        <v>147</v>
      </c>
      <c r="AM73">
        <v>0.17835000000000001</v>
      </c>
      <c r="AN73" t="s">
        <v>227</v>
      </c>
    </row>
    <row r="74" spans="9:40" x14ac:dyDescent="0.45">
      <c r="I74" t="s">
        <v>166</v>
      </c>
      <c r="J74" t="s">
        <v>232</v>
      </c>
      <c r="K74">
        <v>5.4261629422248686E-2</v>
      </c>
      <c r="L74" t="s">
        <v>153</v>
      </c>
      <c r="N74" t="s">
        <v>195</v>
      </c>
      <c r="O74" t="s">
        <v>232</v>
      </c>
      <c r="P74">
        <v>1.2803696785418612E-2</v>
      </c>
      <c r="Q74" t="s">
        <v>153</v>
      </c>
      <c r="S74" t="s">
        <v>210</v>
      </c>
      <c r="T74" t="s">
        <v>232</v>
      </c>
      <c r="U74">
        <v>2.9982018683916055E-2</v>
      </c>
      <c r="V74" t="s">
        <v>153</v>
      </c>
      <c r="AK74">
        <v>2034</v>
      </c>
      <c r="AL74" t="s">
        <v>149</v>
      </c>
      <c r="AM74">
        <v>0.19219999999999998</v>
      </c>
      <c r="AN74" t="s">
        <v>227</v>
      </c>
    </row>
    <row r="75" spans="9:40" x14ac:dyDescent="0.45">
      <c r="I75" t="s">
        <v>166</v>
      </c>
      <c r="J75" t="s">
        <v>233</v>
      </c>
      <c r="K75">
        <v>3.3477957727369272E-2</v>
      </c>
      <c r="L75" t="s">
        <v>153</v>
      </c>
      <c r="N75" t="s">
        <v>195</v>
      </c>
      <c r="O75" t="s">
        <v>233</v>
      </c>
      <c r="P75">
        <v>1.7161970417680021E-2</v>
      </c>
      <c r="Q75" t="s">
        <v>153</v>
      </c>
      <c r="S75" t="s">
        <v>210</v>
      </c>
      <c r="T75" t="s">
        <v>233</v>
      </c>
      <c r="U75">
        <v>3.15217188993904E-2</v>
      </c>
      <c r="V75" t="s">
        <v>153</v>
      </c>
      <c r="AK75">
        <v>2034</v>
      </c>
      <c r="AL75" t="s">
        <v>247</v>
      </c>
      <c r="AM75">
        <v>0.16769999999999999</v>
      </c>
      <c r="AN75" t="s">
        <v>227</v>
      </c>
    </row>
    <row r="76" spans="9:40" x14ac:dyDescent="0.45">
      <c r="I76" t="s">
        <v>166</v>
      </c>
      <c r="J76" t="s">
        <v>234</v>
      </c>
      <c r="K76">
        <v>4.6560537774321849E-3</v>
      </c>
      <c r="L76" t="s">
        <v>153</v>
      </c>
      <c r="N76" t="s">
        <v>195</v>
      </c>
      <c r="O76" t="s">
        <v>234</v>
      </c>
      <c r="P76">
        <v>0.16653340388621868</v>
      </c>
      <c r="Q76" t="s">
        <v>153</v>
      </c>
      <c r="S76" t="s">
        <v>210</v>
      </c>
      <c r="T76" t="s">
        <v>234</v>
      </c>
      <c r="U76">
        <v>0.16957864215962831</v>
      </c>
      <c r="V76" t="s">
        <v>153</v>
      </c>
      <c r="AK76">
        <v>2035</v>
      </c>
      <c r="AL76" t="s">
        <v>141</v>
      </c>
      <c r="AM76">
        <v>0.30412</v>
      </c>
      <c r="AN76" t="s">
        <v>227</v>
      </c>
    </row>
    <row r="77" spans="9:40" x14ac:dyDescent="0.45">
      <c r="I77" t="s">
        <v>166</v>
      </c>
      <c r="J77" t="s">
        <v>156</v>
      </c>
      <c r="K77">
        <v>0</v>
      </c>
      <c r="L77" t="s">
        <v>153</v>
      </c>
      <c r="N77" t="s">
        <v>195</v>
      </c>
      <c r="O77" t="s">
        <v>156</v>
      </c>
      <c r="P77">
        <v>1.4109232434840451E-2</v>
      </c>
      <c r="Q77" t="s">
        <v>153</v>
      </c>
      <c r="S77" t="s">
        <v>210</v>
      </c>
      <c r="T77" t="s">
        <v>156</v>
      </c>
      <c r="U77">
        <v>1.8570626816637786E-3</v>
      </c>
      <c r="V77" t="s">
        <v>153</v>
      </c>
      <c r="AK77">
        <v>2035</v>
      </c>
      <c r="AL77" t="s">
        <v>145</v>
      </c>
      <c r="AM77">
        <v>0.19</v>
      </c>
      <c r="AN77" t="s">
        <v>227</v>
      </c>
    </row>
    <row r="78" spans="9:40" x14ac:dyDescent="0.45">
      <c r="I78" t="s">
        <v>166</v>
      </c>
      <c r="J78" t="s">
        <v>157</v>
      </c>
      <c r="K78">
        <v>4.4512674124617014E-4</v>
      </c>
      <c r="L78" t="s">
        <v>153</v>
      </c>
      <c r="N78" t="s">
        <v>195</v>
      </c>
      <c r="O78" t="s">
        <v>157</v>
      </c>
      <c r="P78">
        <v>1.5709992612038667E-3</v>
      </c>
      <c r="Q78" t="s">
        <v>153</v>
      </c>
      <c r="S78" t="s">
        <v>210</v>
      </c>
      <c r="T78" t="s">
        <v>157</v>
      </c>
      <c r="U78">
        <v>2.1075994513608098E-4</v>
      </c>
      <c r="V78" t="s">
        <v>153</v>
      </c>
      <c r="AK78">
        <v>2035</v>
      </c>
      <c r="AL78" t="s">
        <v>147</v>
      </c>
      <c r="AM78">
        <v>0.16985</v>
      </c>
      <c r="AN78" t="s">
        <v>227</v>
      </c>
    </row>
    <row r="79" spans="9:40" x14ac:dyDescent="0.45">
      <c r="I79" t="s">
        <v>166</v>
      </c>
      <c r="J79" t="s">
        <v>158</v>
      </c>
      <c r="K79">
        <v>1.5679404653080806E-2</v>
      </c>
      <c r="L79" t="s">
        <v>153</v>
      </c>
      <c r="N79" t="s">
        <v>195</v>
      </c>
      <c r="O79" t="s">
        <v>158</v>
      </c>
      <c r="P79">
        <v>1.1918276405824558E-2</v>
      </c>
      <c r="Q79" t="s">
        <v>153</v>
      </c>
      <c r="S79" t="s">
        <v>210</v>
      </c>
      <c r="T79" t="s">
        <v>158</v>
      </c>
      <c r="U79">
        <v>1.1645679511082543E-3</v>
      </c>
      <c r="V79" t="s">
        <v>153</v>
      </c>
      <c r="AK79">
        <v>2035</v>
      </c>
      <c r="AL79" t="s">
        <v>149</v>
      </c>
      <c r="AM79">
        <v>0.113</v>
      </c>
      <c r="AN79" t="s">
        <v>227</v>
      </c>
    </row>
    <row r="80" spans="9:40" x14ac:dyDescent="0.45">
      <c r="I80" t="s">
        <v>166</v>
      </c>
      <c r="J80" t="s">
        <v>235</v>
      </c>
      <c r="K80">
        <v>9.972053487968249E-4</v>
      </c>
      <c r="L80" t="s">
        <v>153</v>
      </c>
      <c r="N80" t="s">
        <v>195</v>
      </c>
      <c r="O80" t="s">
        <v>235</v>
      </c>
      <c r="P80">
        <v>1.0947873320545224E-3</v>
      </c>
      <c r="Q80" t="s">
        <v>153</v>
      </c>
      <c r="S80" t="s">
        <v>210</v>
      </c>
      <c r="T80" t="s">
        <v>235</v>
      </c>
      <c r="U80">
        <v>2.9587293692940925E-5</v>
      </c>
      <c r="V80" t="s">
        <v>153</v>
      </c>
      <c r="AK80">
        <v>2035</v>
      </c>
      <c r="AL80" t="s">
        <v>247</v>
      </c>
      <c r="AM80">
        <v>7.6300000000000007E-2</v>
      </c>
      <c r="AN80" t="s">
        <v>227</v>
      </c>
    </row>
    <row r="81" spans="9:40" x14ac:dyDescent="0.45">
      <c r="I81" t="s">
        <v>166</v>
      </c>
      <c r="J81" t="s">
        <v>236</v>
      </c>
      <c r="K81">
        <v>5.2487929614605789E-4</v>
      </c>
      <c r="L81" t="s">
        <v>153</v>
      </c>
      <c r="N81" t="s">
        <v>195</v>
      </c>
      <c r="O81" t="s">
        <v>236</v>
      </c>
      <c r="P81">
        <v>1.2722450699769114E-3</v>
      </c>
      <c r="Q81" t="s">
        <v>153</v>
      </c>
      <c r="S81" t="s">
        <v>210</v>
      </c>
      <c r="T81" t="s">
        <v>236</v>
      </c>
      <c r="U81">
        <v>3.1174731626703567E-5</v>
      </c>
      <c r="V81" t="s">
        <v>153</v>
      </c>
      <c r="AK81">
        <v>2036</v>
      </c>
      <c r="AL81" t="s">
        <v>141</v>
      </c>
      <c r="AM81">
        <v>0.26789999999999997</v>
      </c>
      <c r="AN81" t="s">
        <v>227</v>
      </c>
    </row>
    <row r="82" spans="9:40" x14ac:dyDescent="0.45">
      <c r="I82" t="s">
        <v>166</v>
      </c>
      <c r="J82" t="s">
        <v>237</v>
      </c>
      <c r="K82">
        <v>0</v>
      </c>
      <c r="L82" t="s">
        <v>153</v>
      </c>
      <c r="N82" t="s">
        <v>195</v>
      </c>
      <c r="O82" t="s">
        <v>237</v>
      </c>
      <c r="P82">
        <v>9.8400302119193966E-3</v>
      </c>
      <c r="Q82" t="s">
        <v>153</v>
      </c>
      <c r="S82" t="s">
        <v>210</v>
      </c>
      <c r="T82" t="s">
        <v>237</v>
      </c>
      <c r="U82">
        <v>3.9211863494746516E-4</v>
      </c>
      <c r="V82" t="s">
        <v>153</v>
      </c>
      <c r="AK82">
        <v>2036</v>
      </c>
      <c r="AL82" t="s">
        <v>145</v>
      </c>
      <c r="AM82">
        <v>0.1608</v>
      </c>
      <c r="AN82" t="s">
        <v>227</v>
      </c>
    </row>
    <row r="83" spans="9:40" x14ac:dyDescent="0.45">
      <c r="I83" t="s">
        <v>166</v>
      </c>
      <c r="J83" t="s">
        <v>159</v>
      </c>
      <c r="K83">
        <v>0</v>
      </c>
      <c r="L83" t="s">
        <v>153</v>
      </c>
      <c r="N83" t="s">
        <v>195</v>
      </c>
      <c r="O83" t="s">
        <v>159</v>
      </c>
      <c r="P83">
        <v>2.7133860161405194E-2</v>
      </c>
      <c r="Q83" t="s">
        <v>153</v>
      </c>
      <c r="S83" t="s">
        <v>210</v>
      </c>
      <c r="T83" t="s">
        <v>159</v>
      </c>
      <c r="U83">
        <v>7.4060231578539897E-3</v>
      </c>
      <c r="V83" t="s">
        <v>153</v>
      </c>
      <c r="AK83">
        <v>2036</v>
      </c>
      <c r="AL83" t="s">
        <v>147</v>
      </c>
      <c r="AM83">
        <v>0.21445</v>
      </c>
      <c r="AN83" t="s">
        <v>227</v>
      </c>
    </row>
    <row r="84" spans="9:40" x14ac:dyDescent="0.45">
      <c r="I84" t="s">
        <v>166</v>
      </c>
      <c r="J84" t="s">
        <v>160</v>
      </c>
      <c r="K84">
        <v>1.8380275101671489E-3</v>
      </c>
      <c r="L84" t="s">
        <v>153</v>
      </c>
      <c r="N84" t="s">
        <v>195</v>
      </c>
      <c r="O84" t="s">
        <v>160</v>
      </c>
      <c r="P84">
        <v>3.2832649518225185E-3</v>
      </c>
      <c r="Q84" t="s">
        <v>153</v>
      </c>
      <c r="S84" t="s">
        <v>210</v>
      </c>
      <c r="T84" t="s">
        <v>160</v>
      </c>
      <c r="U84">
        <v>1.5117849852741762E-3</v>
      </c>
      <c r="V84" t="s">
        <v>153</v>
      </c>
      <c r="AK84">
        <v>2036</v>
      </c>
      <c r="AL84" t="s">
        <v>149</v>
      </c>
      <c r="AM84">
        <v>0.26624999999999999</v>
      </c>
      <c r="AN84" t="s">
        <v>227</v>
      </c>
    </row>
    <row r="85" spans="9:40" x14ac:dyDescent="0.45">
      <c r="I85" t="s">
        <v>166</v>
      </c>
      <c r="J85" t="s">
        <v>161</v>
      </c>
      <c r="K85">
        <v>5.3472843234200568E-2</v>
      </c>
      <c r="L85" t="s">
        <v>153</v>
      </c>
      <c r="N85" t="s">
        <v>195</v>
      </c>
      <c r="O85" t="s">
        <v>161</v>
      </c>
      <c r="P85">
        <v>2.6106292957581947E-2</v>
      </c>
      <c r="Q85" t="s">
        <v>153</v>
      </c>
      <c r="S85" t="s">
        <v>210</v>
      </c>
      <c r="T85" t="s">
        <v>161</v>
      </c>
      <c r="U85">
        <v>1.3321979277233975E-2</v>
      </c>
      <c r="V85" t="s">
        <v>153</v>
      </c>
      <c r="AK85">
        <v>2036</v>
      </c>
      <c r="AL85" t="s">
        <v>247</v>
      </c>
      <c r="AM85">
        <v>0.26440000000000002</v>
      </c>
      <c r="AN85" t="s">
        <v>227</v>
      </c>
    </row>
    <row r="86" spans="9:40" x14ac:dyDescent="0.45">
      <c r="I86" t="s">
        <v>166</v>
      </c>
      <c r="J86" t="s">
        <v>238</v>
      </c>
      <c r="K86">
        <v>3.5679407422382218E-3</v>
      </c>
      <c r="L86" t="s">
        <v>153</v>
      </c>
      <c r="N86" t="s">
        <v>195</v>
      </c>
      <c r="O86" t="s">
        <v>238</v>
      </c>
      <c r="P86">
        <v>2.6153019927796788E-3</v>
      </c>
      <c r="Q86" t="s">
        <v>153</v>
      </c>
      <c r="S86" t="s">
        <v>210</v>
      </c>
      <c r="T86" t="s">
        <v>238</v>
      </c>
      <c r="U86">
        <v>9.9172862468722089E-4</v>
      </c>
      <c r="V86" t="s">
        <v>153</v>
      </c>
      <c r="AK86">
        <v>2037</v>
      </c>
      <c r="AL86" t="s">
        <v>141</v>
      </c>
      <c r="AM86">
        <v>0.21160999999999999</v>
      </c>
      <c r="AN86" t="s">
        <v>227</v>
      </c>
    </row>
    <row r="87" spans="9:40" x14ac:dyDescent="0.45">
      <c r="I87" t="s">
        <v>166</v>
      </c>
      <c r="J87" t="s">
        <v>239</v>
      </c>
      <c r="K87">
        <v>2.0319925699048857E-3</v>
      </c>
      <c r="L87" t="s">
        <v>153</v>
      </c>
      <c r="N87" t="s">
        <v>195</v>
      </c>
      <c r="O87" t="s">
        <v>239</v>
      </c>
      <c r="P87">
        <v>3.231357229725442E-3</v>
      </c>
      <c r="Q87" t="s">
        <v>153</v>
      </c>
      <c r="S87" t="s">
        <v>210</v>
      </c>
      <c r="T87" t="s">
        <v>239</v>
      </c>
      <c r="U87">
        <v>1.0201044676415268E-3</v>
      </c>
      <c r="V87" t="s">
        <v>153</v>
      </c>
      <c r="AK87">
        <v>2037</v>
      </c>
      <c r="AL87" t="s">
        <v>145</v>
      </c>
      <c r="AM87">
        <v>0.20710000000000001</v>
      </c>
      <c r="AN87" t="s">
        <v>227</v>
      </c>
    </row>
    <row r="88" spans="9:40" x14ac:dyDescent="0.45">
      <c r="I88" t="s">
        <v>166</v>
      </c>
      <c r="J88" t="s">
        <v>240</v>
      </c>
      <c r="K88">
        <v>0</v>
      </c>
      <c r="L88" t="s">
        <v>153</v>
      </c>
      <c r="N88" t="s">
        <v>195</v>
      </c>
      <c r="O88" t="s">
        <v>240</v>
      </c>
      <c r="P88">
        <v>2.1919056583782376E-2</v>
      </c>
      <c r="Q88" t="s">
        <v>153</v>
      </c>
      <c r="S88" t="s">
        <v>210</v>
      </c>
      <c r="T88" t="s">
        <v>240</v>
      </c>
      <c r="U88">
        <v>5.235833490717017E-3</v>
      </c>
      <c r="V88" t="s">
        <v>153</v>
      </c>
      <c r="AK88">
        <v>2037</v>
      </c>
      <c r="AL88" t="s">
        <v>147</v>
      </c>
      <c r="AM88">
        <v>0.18404999999999999</v>
      </c>
      <c r="AN88" t="s">
        <v>227</v>
      </c>
    </row>
    <row r="89" spans="9:40" x14ac:dyDescent="0.45">
      <c r="I89" t="s">
        <v>166</v>
      </c>
      <c r="J89" t="s">
        <v>162</v>
      </c>
      <c r="K89">
        <v>0</v>
      </c>
      <c r="L89" t="s">
        <v>153</v>
      </c>
      <c r="N89" t="s">
        <v>195</v>
      </c>
      <c r="O89" t="s">
        <v>162</v>
      </c>
      <c r="P89">
        <v>5.3960802254742271E-2</v>
      </c>
      <c r="Q89" t="s">
        <v>153</v>
      </c>
      <c r="S89" t="s">
        <v>210</v>
      </c>
      <c r="T89" t="s">
        <v>162</v>
      </c>
      <c r="U89">
        <v>3.3038183295884656E-2</v>
      </c>
      <c r="V89" t="s">
        <v>153</v>
      </c>
      <c r="AK89">
        <v>2037</v>
      </c>
      <c r="AL89" t="s">
        <v>149</v>
      </c>
      <c r="AM89">
        <v>0.19974999999999998</v>
      </c>
      <c r="AN89" t="s">
        <v>227</v>
      </c>
    </row>
    <row r="90" spans="9:40" x14ac:dyDescent="0.45">
      <c r="I90" t="s">
        <v>166</v>
      </c>
      <c r="J90" t="s">
        <v>163</v>
      </c>
      <c r="K90">
        <v>7.6028619219961789E-5</v>
      </c>
      <c r="L90" t="s">
        <v>153</v>
      </c>
      <c r="N90" t="s">
        <v>195</v>
      </c>
      <c r="O90" t="s">
        <v>163</v>
      </c>
      <c r="P90">
        <v>6.4907736622088798E-3</v>
      </c>
      <c r="Q90" t="s">
        <v>153</v>
      </c>
      <c r="S90" t="s">
        <v>210</v>
      </c>
      <c r="T90" t="s">
        <v>163</v>
      </c>
      <c r="U90">
        <v>6.1980681940398772E-3</v>
      </c>
      <c r="V90" t="s">
        <v>153</v>
      </c>
      <c r="AK90">
        <v>2037</v>
      </c>
      <c r="AL90" t="s">
        <v>247</v>
      </c>
      <c r="AM90">
        <v>0.23849999999999999</v>
      </c>
      <c r="AN90" t="s">
        <v>227</v>
      </c>
    </row>
    <row r="91" spans="9:40" x14ac:dyDescent="0.45">
      <c r="I91" t="s">
        <v>166</v>
      </c>
      <c r="J91" t="s">
        <v>164</v>
      </c>
      <c r="K91">
        <v>6.4790681461194488E-2</v>
      </c>
      <c r="L91" t="s">
        <v>153</v>
      </c>
      <c r="N91" t="s">
        <v>195</v>
      </c>
      <c r="O91" t="s">
        <v>164</v>
      </c>
      <c r="P91">
        <v>4.9550254779276312E-2</v>
      </c>
      <c r="Q91" t="s">
        <v>153</v>
      </c>
      <c r="S91" t="s">
        <v>210</v>
      </c>
      <c r="T91" t="s">
        <v>164</v>
      </c>
      <c r="U91">
        <v>4.0189385449831604E-2</v>
      </c>
      <c r="V91" t="s">
        <v>153</v>
      </c>
      <c r="AK91">
        <v>2038</v>
      </c>
      <c r="AL91" t="s">
        <v>141</v>
      </c>
      <c r="AM91">
        <v>0.22005</v>
      </c>
      <c r="AN91" t="s">
        <v>227</v>
      </c>
    </row>
    <row r="92" spans="9:40" x14ac:dyDescent="0.45">
      <c r="I92" t="s">
        <v>166</v>
      </c>
      <c r="J92" t="s">
        <v>241</v>
      </c>
      <c r="K92">
        <v>4.2685109468747458E-3</v>
      </c>
      <c r="L92" t="s">
        <v>153</v>
      </c>
      <c r="N92" t="s">
        <v>195</v>
      </c>
      <c r="O92" t="s">
        <v>241</v>
      </c>
      <c r="P92">
        <v>4.9873675758231881E-3</v>
      </c>
      <c r="Q92" t="s">
        <v>153</v>
      </c>
      <c r="S92" t="s">
        <v>210</v>
      </c>
      <c r="T92" t="s">
        <v>241</v>
      </c>
      <c r="U92">
        <v>2.1413005540455487E-3</v>
      </c>
      <c r="V92" t="s">
        <v>153</v>
      </c>
      <c r="AK92">
        <v>2038</v>
      </c>
      <c r="AL92" t="s">
        <v>145</v>
      </c>
      <c r="AM92">
        <v>6.59E-2</v>
      </c>
      <c r="AN92" t="s">
        <v>227</v>
      </c>
    </row>
    <row r="93" spans="9:40" x14ac:dyDescent="0.45">
      <c r="I93" t="s">
        <v>166</v>
      </c>
      <c r="J93" t="s">
        <v>242</v>
      </c>
      <c r="K93">
        <v>8.5980588564220806E-4</v>
      </c>
      <c r="L93" t="s">
        <v>153</v>
      </c>
      <c r="N93" t="s">
        <v>195</v>
      </c>
      <c r="O93" t="s">
        <v>242</v>
      </c>
      <c r="P93">
        <v>6.3776144865302364E-3</v>
      </c>
      <c r="Q93" t="s">
        <v>153</v>
      </c>
      <c r="S93" t="s">
        <v>210</v>
      </c>
      <c r="T93" t="s">
        <v>242</v>
      </c>
      <c r="U93">
        <v>2.2617188707942863E-3</v>
      </c>
      <c r="V93" t="s">
        <v>153</v>
      </c>
      <c r="AK93">
        <v>2038</v>
      </c>
      <c r="AL93" t="s">
        <v>147</v>
      </c>
      <c r="AM93">
        <v>9.5450000000000007E-2</v>
      </c>
      <c r="AN93" t="s">
        <v>227</v>
      </c>
    </row>
    <row r="94" spans="9:40" x14ac:dyDescent="0.45">
      <c r="I94" t="s">
        <v>166</v>
      </c>
      <c r="J94" t="s">
        <v>243</v>
      </c>
      <c r="K94">
        <v>0</v>
      </c>
      <c r="L94" t="s">
        <v>153</v>
      </c>
      <c r="N94" t="s">
        <v>195</v>
      </c>
      <c r="O94" t="s">
        <v>243</v>
      </c>
      <c r="P94">
        <v>4.0852118911443511E-2</v>
      </c>
      <c r="Q94" t="s">
        <v>153</v>
      </c>
      <c r="S94" t="s">
        <v>210</v>
      </c>
      <c r="T94" t="s">
        <v>243</v>
      </c>
      <c r="U94">
        <v>1.5289747588243703E-2</v>
      </c>
      <c r="V94" t="s">
        <v>153</v>
      </c>
      <c r="AK94">
        <v>2038</v>
      </c>
      <c r="AL94" t="s">
        <v>149</v>
      </c>
      <c r="AM94">
        <v>0.21249999999999999</v>
      </c>
      <c r="AN94" t="s">
        <v>227</v>
      </c>
    </row>
    <row r="95" spans="9:40" x14ac:dyDescent="0.45">
      <c r="I95" t="s">
        <v>166</v>
      </c>
      <c r="J95" t="s">
        <v>249</v>
      </c>
      <c r="K95">
        <v>0</v>
      </c>
      <c r="L95" t="s">
        <v>153</v>
      </c>
      <c r="N95" t="s">
        <v>195</v>
      </c>
      <c r="O95" t="s">
        <v>249</v>
      </c>
      <c r="P95">
        <v>3.5356724456287146E-2</v>
      </c>
      <c r="Q95" t="s">
        <v>153</v>
      </c>
      <c r="S95" t="s">
        <v>210</v>
      </c>
      <c r="T95" t="s">
        <v>249</v>
      </c>
      <c r="U95">
        <v>2.5774339379517428E-2</v>
      </c>
      <c r="V95" t="s">
        <v>153</v>
      </c>
      <c r="AK95">
        <v>2038</v>
      </c>
      <c r="AL95" t="s">
        <v>247</v>
      </c>
      <c r="AM95">
        <v>0.3</v>
      </c>
      <c r="AN95" t="s">
        <v>227</v>
      </c>
    </row>
    <row r="96" spans="9:40" x14ac:dyDescent="0.45">
      <c r="I96" t="s">
        <v>166</v>
      </c>
      <c r="J96" t="s">
        <v>250</v>
      </c>
      <c r="K96">
        <v>0</v>
      </c>
      <c r="L96" t="s">
        <v>153</v>
      </c>
      <c r="N96" t="s">
        <v>195</v>
      </c>
      <c r="O96" t="s">
        <v>250</v>
      </c>
      <c r="P96">
        <v>4.7848109354417575E-3</v>
      </c>
      <c r="Q96" t="s">
        <v>153</v>
      </c>
      <c r="S96" t="s">
        <v>210</v>
      </c>
      <c r="T96" t="s">
        <v>250</v>
      </c>
      <c r="U96">
        <v>4.5784937613793644E-3</v>
      </c>
      <c r="V96" t="s">
        <v>153</v>
      </c>
      <c r="AK96">
        <v>2039</v>
      </c>
      <c r="AL96" t="s">
        <v>141</v>
      </c>
      <c r="AM96">
        <v>0.25797999999999999</v>
      </c>
      <c r="AN96" t="s">
        <v>227</v>
      </c>
    </row>
    <row r="97" spans="9:40" x14ac:dyDescent="0.45">
      <c r="I97" t="s">
        <v>166</v>
      </c>
      <c r="J97" t="s">
        <v>251</v>
      </c>
      <c r="K97">
        <v>4.6164174380763909E-2</v>
      </c>
      <c r="L97" t="s">
        <v>153</v>
      </c>
      <c r="N97" t="s">
        <v>195</v>
      </c>
      <c r="O97" t="s">
        <v>251</v>
      </c>
      <c r="P97">
        <v>3.2743995643376315E-2</v>
      </c>
      <c r="Q97" t="s">
        <v>153</v>
      </c>
      <c r="S97" t="s">
        <v>210</v>
      </c>
      <c r="T97" t="s">
        <v>251</v>
      </c>
      <c r="U97">
        <v>3.8783545669991745E-2</v>
      </c>
      <c r="V97" t="s">
        <v>153</v>
      </c>
      <c r="AK97">
        <v>2039</v>
      </c>
      <c r="AL97" t="s">
        <v>145</v>
      </c>
      <c r="AM97">
        <v>0.15540000000000001</v>
      </c>
      <c r="AN97" t="s">
        <v>227</v>
      </c>
    </row>
    <row r="98" spans="9:40" x14ac:dyDescent="0.45">
      <c r="I98" t="s">
        <v>166</v>
      </c>
      <c r="J98" t="s">
        <v>252</v>
      </c>
      <c r="K98">
        <v>3.536187193935903E-3</v>
      </c>
      <c r="L98" t="s">
        <v>153</v>
      </c>
      <c r="N98" t="s">
        <v>195</v>
      </c>
      <c r="O98" t="s">
        <v>252</v>
      </c>
      <c r="P98">
        <v>2.3228942714750337E-3</v>
      </c>
      <c r="Q98" t="s">
        <v>153</v>
      </c>
      <c r="S98" t="s">
        <v>210</v>
      </c>
      <c r="T98" t="s">
        <v>252</v>
      </c>
      <c r="U98">
        <v>2.5999651754453862E-3</v>
      </c>
      <c r="V98" t="s">
        <v>153</v>
      </c>
      <c r="AK98">
        <v>2039</v>
      </c>
      <c r="AL98" t="s">
        <v>147</v>
      </c>
      <c r="AM98">
        <v>0.15775</v>
      </c>
      <c r="AN98" t="s">
        <v>227</v>
      </c>
    </row>
    <row r="99" spans="9:40" x14ac:dyDescent="0.45">
      <c r="I99" t="s">
        <v>166</v>
      </c>
      <c r="J99" t="s">
        <v>253</v>
      </c>
      <c r="K99">
        <v>2.1745070032995009E-3</v>
      </c>
      <c r="L99" t="s">
        <v>153</v>
      </c>
      <c r="N99" t="s">
        <v>195</v>
      </c>
      <c r="O99" t="s">
        <v>253</v>
      </c>
      <c r="P99">
        <v>3.3747829195145624E-3</v>
      </c>
      <c r="Q99" t="s">
        <v>153</v>
      </c>
      <c r="S99" t="s">
        <v>210</v>
      </c>
      <c r="T99" t="s">
        <v>253</v>
      </c>
      <c r="U99">
        <v>2.5503192169091609E-3</v>
      </c>
      <c r="V99" t="s">
        <v>153</v>
      </c>
      <c r="AK99">
        <v>2039</v>
      </c>
      <c r="AL99" t="s">
        <v>149</v>
      </c>
      <c r="AM99">
        <v>0.22799999999999998</v>
      </c>
      <c r="AN99" t="s">
        <v>227</v>
      </c>
    </row>
    <row r="100" spans="9:40" x14ac:dyDescent="0.45">
      <c r="I100" t="s">
        <v>166</v>
      </c>
      <c r="J100" t="s">
        <v>254</v>
      </c>
      <c r="K100">
        <v>0</v>
      </c>
      <c r="L100" t="s">
        <v>153</v>
      </c>
      <c r="N100" t="s">
        <v>195</v>
      </c>
      <c r="O100" t="s">
        <v>254</v>
      </c>
      <c r="P100">
        <v>2.525819036542418E-2</v>
      </c>
      <c r="Q100" t="s">
        <v>153</v>
      </c>
      <c r="S100" t="s">
        <v>210</v>
      </c>
      <c r="T100" t="s">
        <v>254</v>
      </c>
      <c r="U100">
        <v>1.3167947419002355E-2</v>
      </c>
      <c r="V100" t="s">
        <v>153</v>
      </c>
      <c r="AK100">
        <v>2039</v>
      </c>
      <c r="AL100" t="s">
        <v>247</v>
      </c>
      <c r="AM100">
        <v>0.2959</v>
      </c>
      <c r="AN100" t="s">
        <v>227</v>
      </c>
    </row>
    <row r="101" spans="9:40" x14ac:dyDescent="0.45">
      <c r="I101" t="s">
        <v>167</v>
      </c>
      <c r="J101" t="s">
        <v>152</v>
      </c>
      <c r="K101">
        <v>0</v>
      </c>
      <c r="L101" t="s">
        <v>153</v>
      </c>
      <c r="N101" t="s">
        <v>196</v>
      </c>
      <c r="O101" t="s">
        <v>152</v>
      </c>
      <c r="P101">
        <v>0.22366902344954059</v>
      </c>
      <c r="Q101" t="s">
        <v>153</v>
      </c>
      <c r="S101" t="s">
        <v>211</v>
      </c>
      <c r="T101" t="s">
        <v>152</v>
      </c>
      <c r="U101">
        <v>0.27030592779479951</v>
      </c>
      <c r="V101" t="s">
        <v>153</v>
      </c>
      <c r="AK101">
        <v>2040</v>
      </c>
      <c r="AL101" t="s">
        <v>141</v>
      </c>
      <c r="AM101">
        <v>0.27639000000000002</v>
      </c>
      <c r="AN101" t="s">
        <v>227</v>
      </c>
    </row>
    <row r="102" spans="9:40" x14ac:dyDescent="0.45">
      <c r="I102" t="s">
        <v>167</v>
      </c>
      <c r="J102" t="s">
        <v>154</v>
      </c>
      <c r="K102">
        <v>1.6828713576940341E-2</v>
      </c>
      <c r="L102" t="s">
        <v>153</v>
      </c>
      <c r="N102" t="s">
        <v>196</v>
      </c>
      <c r="O102" t="s">
        <v>154</v>
      </c>
      <c r="P102">
        <v>2.033789697932321E-2</v>
      </c>
      <c r="Q102" t="s">
        <v>153</v>
      </c>
      <c r="S102" t="s">
        <v>211</v>
      </c>
      <c r="T102" t="s">
        <v>154</v>
      </c>
      <c r="U102">
        <v>3.4840312738626665E-2</v>
      </c>
      <c r="V102" t="s">
        <v>153</v>
      </c>
      <c r="AK102">
        <v>2040</v>
      </c>
      <c r="AL102" t="s">
        <v>145</v>
      </c>
      <c r="AM102">
        <v>0.22070000000000001</v>
      </c>
      <c r="AN102" t="s">
        <v>227</v>
      </c>
    </row>
    <row r="103" spans="9:40" x14ac:dyDescent="0.45">
      <c r="I103" t="s">
        <v>167</v>
      </c>
      <c r="J103" t="s">
        <v>155</v>
      </c>
      <c r="K103">
        <v>0.68454877714434803</v>
      </c>
      <c r="L103" t="s">
        <v>153</v>
      </c>
      <c r="N103" t="s">
        <v>196</v>
      </c>
      <c r="O103" t="s">
        <v>155</v>
      </c>
      <c r="P103">
        <v>0.13910100178244864</v>
      </c>
      <c r="Q103" t="s">
        <v>153</v>
      </c>
      <c r="S103" t="s">
        <v>211</v>
      </c>
      <c r="T103" t="s">
        <v>155</v>
      </c>
      <c r="U103">
        <v>0.28976677478769236</v>
      </c>
      <c r="V103" t="s">
        <v>153</v>
      </c>
      <c r="AK103">
        <v>2040</v>
      </c>
      <c r="AL103" t="s">
        <v>147</v>
      </c>
      <c r="AM103">
        <v>0.15195</v>
      </c>
      <c r="AN103" t="s">
        <v>227</v>
      </c>
    </row>
    <row r="104" spans="9:40" x14ac:dyDescent="0.45">
      <c r="I104" t="s">
        <v>167</v>
      </c>
      <c r="J104" t="s">
        <v>232</v>
      </c>
      <c r="K104">
        <v>5.2280522929608879E-2</v>
      </c>
      <c r="L104" t="s">
        <v>153</v>
      </c>
      <c r="N104" t="s">
        <v>196</v>
      </c>
      <c r="O104" t="s">
        <v>232</v>
      </c>
      <c r="P104">
        <v>1.1675916431878144E-2</v>
      </c>
      <c r="Q104" t="s">
        <v>153</v>
      </c>
      <c r="S104" t="s">
        <v>211</v>
      </c>
      <c r="T104" t="s">
        <v>232</v>
      </c>
      <c r="U104">
        <v>2.8339656173719419E-2</v>
      </c>
      <c r="V104" t="s">
        <v>153</v>
      </c>
      <c r="AK104">
        <v>2040</v>
      </c>
      <c r="AL104" t="s">
        <v>149</v>
      </c>
      <c r="AM104">
        <v>0.17879999999999999</v>
      </c>
      <c r="AN104" t="s">
        <v>227</v>
      </c>
    </row>
    <row r="105" spans="9:40" x14ac:dyDescent="0.45">
      <c r="I105" t="s">
        <v>167</v>
      </c>
      <c r="J105" t="s">
        <v>233</v>
      </c>
      <c r="K105">
        <v>3.1475237618393624E-2</v>
      </c>
      <c r="L105" t="s">
        <v>153</v>
      </c>
      <c r="N105" t="s">
        <v>196</v>
      </c>
      <c r="O105" t="s">
        <v>233</v>
      </c>
      <c r="P105">
        <v>1.6252747069499425E-2</v>
      </c>
      <c r="Q105" t="s">
        <v>153</v>
      </c>
      <c r="S105" t="s">
        <v>211</v>
      </c>
      <c r="T105" t="s">
        <v>233</v>
      </c>
      <c r="U105">
        <v>2.9030756678860844E-2</v>
      </c>
      <c r="V105" t="s">
        <v>153</v>
      </c>
      <c r="AK105">
        <v>2040</v>
      </c>
      <c r="AL105" t="s">
        <v>247</v>
      </c>
      <c r="AM105">
        <v>0.27439999999999998</v>
      </c>
      <c r="AN105" t="s">
        <v>227</v>
      </c>
    </row>
    <row r="106" spans="9:40" x14ac:dyDescent="0.45">
      <c r="I106" t="s">
        <v>167</v>
      </c>
      <c r="J106" t="s">
        <v>234</v>
      </c>
      <c r="K106">
        <v>3.7831615562983669E-3</v>
      </c>
      <c r="L106" t="s">
        <v>153</v>
      </c>
      <c r="N106" t="s">
        <v>196</v>
      </c>
      <c r="O106" t="s">
        <v>234</v>
      </c>
      <c r="P106">
        <v>0.171585330030989</v>
      </c>
      <c r="Q106" t="s">
        <v>153</v>
      </c>
      <c r="S106" t="s">
        <v>211</v>
      </c>
      <c r="T106" t="s">
        <v>234</v>
      </c>
      <c r="U106">
        <v>0.16370627873225965</v>
      </c>
      <c r="V106" t="s">
        <v>153</v>
      </c>
      <c r="AK106">
        <v>2041</v>
      </c>
      <c r="AL106" t="s">
        <v>141</v>
      </c>
      <c r="AM106">
        <v>0.20349999999999996</v>
      </c>
      <c r="AN106" t="s">
        <v>227</v>
      </c>
    </row>
    <row r="107" spans="9:40" x14ac:dyDescent="0.45">
      <c r="I107" t="s">
        <v>167</v>
      </c>
      <c r="J107" t="s">
        <v>156</v>
      </c>
      <c r="K107">
        <v>0</v>
      </c>
      <c r="L107" t="s">
        <v>153</v>
      </c>
      <c r="N107" t="s">
        <v>196</v>
      </c>
      <c r="O107" t="s">
        <v>156</v>
      </c>
      <c r="P107">
        <v>1.3850190660012078E-2</v>
      </c>
      <c r="Q107" t="s">
        <v>153</v>
      </c>
      <c r="S107" t="s">
        <v>211</v>
      </c>
      <c r="T107" t="s">
        <v>156</v>
      </c>
      <c r="U107">
        <v>2.0367089147112624E-3</v>
      </c>
      <c r="V107" t="s">
        <v>153</v>
      </c>
      <c r="AK107">
        <v>2041</v>
      </c>
      <c r="AL107" t="s">
        <v>145</v>
      </c>
      <c r="AM107">
        <v>9.1300000000000006E-2</v>
      </c>
      <c r="AN107" t="s">
        <v>227</v>
      </c>
    </row>
    <row r="108" spans="9:40" x14ac:dyDescent="0.45">
      <c r="I108" t="s">
        <v>167</v>
      </c>
      <c r="J108" t="s">
        <v>157</v>
      </c>
      <c r="K108">
        <v>5.409709296611445E-4</v>
      </c>
      <c r="L108" t="s">
        <v>153</v>
      </c>
      <c r="N108" t="s">
        <v>196</v>
      </c>
      <c r="O108" t="s">
        <v>157</v>
      </c>
      <c r="P108">
        <v>1.7679872619683387E-3</v>
      </c>
      <c r="Q108" t="s">
        <v>153</v>
      </c>
      <c r="S108" t="s">
        <v>211</v>
      </c>
      <c r="T108" t="s">
        <v>157</v>
      </c>
      <c r="U108">
        <v>2.3155868572190459E-4</v>
      </c>
      <c r="V108" t="s">
        <v>153</v>
      </c>
      <c r="AK108">
        <v>2041</v>
      </c>
      <c r="AL108" t="s">
        <v>147</v>
      </c>
      <c r="AM108">
        <v>0.12825</v>
      </c>
      <c r="AN108" t="s">
        <v>227</v>
      </c>
    </row>
    <row r="109" spans="9:40" x14ac:dyDescent="0.45">
      <c r="I109" t="s">
        <v>167</v>
      </c>
      <c r="J109" t="s">
        <v>158</v>
      </c>
      <c r="K109">
        <v>1.644658291964533E-2</v>
      </c>
      <c r="L109" t="s">
        <v>153</v>
      </c>
      <c r="N109" t="s">
        <v>196</v>
      </c>
      <c r="O109" t="s">
        <v>158</v>
      </c>
      <c r="P109">
        <v>1.0751172826440338E-2</v>
      </c>
      <c r="Q109" t="s">
        <v>153</v>
      </c>
      <c r="S109" t="s">
        <v>211</v>
      </c>
      <c r="T109" t="s">
        <v>158</v>
      </c>
      <c r="U109">
        <v>1.617198493722426E-3</v>
      </c>
      <c r="V109" t="s">
        <v>153</v>
      </c>
      <c r="AK109">
        <v>2041</v>
      </c>
      <c r="AL109" t="s">
        <v>149</v>
      </c>
      <c r="AM109">
        <v>0.17615</v>
      </c>
      <c r="AN109" t="s">
        <v>227</v>
      </c>
    </row>
    <row r="110" spans="9:40" x14ac:dyDescent="0.45">
      <c r="I110" t="s">
        <v>167</v>
      </c>
      <c r="J110" t="s">
        <v>235</v>
      </c>
      <c r="K110">
        <v>1.0859100314221516E-3</v>
      </c>
      <c r="L110" t="s">
        <v>153</v>
      </c>
      <c r="N110" t="s">
        <v>196</v>
      </c>
      <c r="O110" t="s">
        <v>235</v>
      </c>
      <c r="P110">
        <v>9.3501477160930278E-4</v>
      </c>
      <c r="Q110" t="s">
        <v>153</v>
      </c>
      <c r="S110" t="s">
        <v>211</v>
      </c>
      <c r="T110" t="s">
        <v>235</v>
      </c>
      <c r="U110">
        <v>4.4228164752311055E-5</v>
      </c>
      <c r="V110" t="s">
        <v>153</v>
      </c>
      <c r="AK110">
        <v>2041</v>
      </c>
      <c r="AL110" t="s">
        <v>247</v>
      </c>
      <c r="AM110">
        <v>0.18709999999999999</v>
      </c>
      <c r="AN110" t="s">
        <v>227</v>
      </c>
    </row>
    <row r="111" spans="9:40" x14ac:dyDescent="0.45">
      <c r="I111" t="s">
        <v>167</v>
      </c>
      <c r="J111" t="s">
        <v>236</v>
      </c>
      <c r="K111">
        <v>6.5099672686444205E-4</v>
      </c>
      <c r="L111" t="s">
        <v>153</v>
      </c>
      <c r="N111" t="s">
        <v>196</v>
      </c>
      <c r="O111" t="s">
        <v>236</v>
      </c>
      <c r="P111">
        <v>1.0418638973120969E-3</v>
      </c>
      <c r="Q111" t="s">
        <v>153</v>
      </c>
      <c r="S111" t="s">
        <v>211</v>
      </c>
      <c r="T111" t="s">
        <v>236</v>
      </c>
      <c r="U111">
        <v>4.1110135337093845E-5</v>
      </c>
      <c r="V111" t="s">
        <v>153</v>
      </c>
      <c r="AK111">
        <v>2042</v>
      </c>
      <c r="AL111" t="s">
        <v>141</v>
      </c>
      <c r="AM111">
        <v>0.23250999999999999</v>
      </c>
      <c r="AN111" t="s">
        <v>227</v>
      </c>
    </row>
    <row r="112" spans="9:40" x14ac:dyDescent="0.45">
      <c r="I112" t="s">
        <v>167</v>
      </c>
      <c r="J112" t="s">
        <v>237</v>
      </c>
      <c r="K112">
        <v>0</v>
      </c>
      <c r="L112" t="s">
        <v>153</v>
      </c>
      <c r="N112" t="s">
        <v>196</v>
      </c>
      <c r="O112" t="s">
        <v>237</v>
      </c>
      <c r="P112">
        <v>9.0215252931420305E-3</v>
      </c>
      <c r="Q112" t="s">
        <v>153</v>
      </c>
      <c r="S112" t="s">
        <v>211</v>
      </c>
      <c r="T112" t="s">
        <v>237</v>
      </c>
      <c r="U112">
        <v>3.5517691408464209E-4</v>
      </c>
      <c r="V112" t="s">
        <v>153</v>
      </c>
      <c r="AK112">
        <v>2042</v>
      </c>
      <c r="AL112" t="s">
        <v>145</v>
      </c>
      <c r="AM112">
        <v>0.05</v>
      </c>
      <c r="AN112" t="s">
        <v>227</v>
      </c>
    </row>
    <row r="113" spans="9:40" x14ac:dyDescent="0.45">
      <c r="I113" t="s">
        <v>167</v>
      </c>
      <c r="J113" t="s">
        <v>159</v>
      </c>
      <c r="K113">
        <v>0</v>
      </c>
      <c r="L113" t="s">
        <v>153</v>
      </c>
      <c r="N113" t="s">
        <v>196</v>
      </c>
      <c r="O113" t="s">
        <v>159</v>
      </c>
      <c r="P113">
        <v>3.0116236349352725E-2</v>
      </c>
      <c r="Q113" t="s">
        <v>153</v>
      </c>
      <c r="S113" t="s">
        <v>211</v>
      </c>
      <c r="T113" t="s">
        <v>159</v>
      </c>
      <c r="U113">
        <v>7.4293181977710173E-3</v>
      </c>
      <c r="V113" t="s">
        <v>153</v>
      </c>
      <c r="AK113">
        <v>2042</v>
      </c>
      <c r="AL113" t="s">
        <v>147</v>
      </c>
      <c r="AM113">
        <v>0.12065000000000001</v>
      </c>
      <c r="AN113" t="s">
        <v>227</v>
      </c>
    </row>
    <row r="114" spans="9:40" x14ac:dyDescent="0.45">
      <c r="I114" t="s">
        <v>167</v>
      </c>
      <c r="J114" t="s">
        <v>160</v>
      </c>
      <c r="K114">
        <v>2.0882174012459625E-3</v>
      </c>
      <c r="L114" t="s">
        <v>153</v>
      </c>
      <c r="N114" t="s">
        <v>196</v>
      </c>
      <c r="O114" t="s">
        <v>160</v>
      </c>
      <c r="P114">
        <v>3.3820976065135197E-3</v>
      </c>
      <c r="Q114" t="s">
        <v>153</v>
      </c>
      <c r="S114" t="s">
        <v>211</v>
      </c>
      <c r="T114" t="s">
        <v>160</v>
      </c>
      <c r="U114">
        <v>1.5950061929626939E-3</v>
      </c>
      <c r="V114" t="s">
        <v>153</v>
      </c>
      <c r="AK114">
        <v>2042</v>
      </c>
      <c r="AL114" t="s">
        <v>149</v>
      </c>
      <c r="AM114">
        <v>0.24945000000000001</v>
      </c>
      <c r="AN114" t="s">
        <v>227</v>
      </c>
    </row>
    <row r="115" spans="9:40" x14ac:dyDescent="0.45">
      <c r="I115" t="s">
        <v>167</v>
      </c>
      <c r="J115" t="s">
        <v>161</v>
      </c>
      <c r="K115">
        <v>5.2832839183153985E-2</v>
      </c>
      <c r="L115" t="s">
        <v>153</v>
      </c>
      <c r="N115" t="s">
        <v>196</v>
      </c>
      <c r="O115" t="s">
        <v>161</v>
      </c>
      <c r="P115">
        <v>2.4720445464816696E-2</v>
      </c>
      <c r="Q115" t="s">
        <v>153</v>
      </c>
      <c r="S115" t="s">
        <v>211</v>
      </c>
      <c r="T115" t="s">
        <v>161</v>
      </c>
      <c r="U115">
        <v>1.2330883486482168E-2</v>
      </c>
      <c r="V115" t="s">
        <v>153</v>
      </c>
      <c r="AK115">
        <v>2042</v>
      </c>
      <c r="AL115" t="s">
        <v>247</v>
      </c>
      <c r="AM115">
        <v>0.30759999999999998</v>
      </c>
      <c r="AN115" t="s">
        <v>227</v>
      </c>
    </row>
    <row r="116" spans="9:40" x14ac:dyDescent="0.45">
      <c r="I116" t="s">
        <v>167</v>
      </c>
      <c r="J116" t="s">
        <v>238</v>
      </c>
      <c r="K116">
        <v>3.255678808784484E-3</v>
      </c>
      <c r="L116" t="s">
        <v>153</v>
      </c>
      <c r="N116" t="s">
        <v>196</v>
      </c>
      <c r="O116" t="s">
        <v>238</v>
      </c>
      <c r="P116">
        <v>3.1123806033530321E-3</v>
      </c>
      <c r="Q116" t="s">
        <v>153</v>
      </c>
      <c r="S116" t="s">
        <v>211</v>
      </c>
      <c r="T116" t="s">
        <v>238</v>
      </c>
      <c r="U116">
        <v>7.0953084666239513E-4</v>
      </c>
      <c r="V116" t="s">
        <v>153</v>
      </c>
      <c r="AK116">
        <v>2043</v>
      </c>
      <c r="AL116" t="s">
        <v>141</v>
      </c>
      <c r="AM116">
        <v>0.23647000000000001</v>
      </c>
      <c r="AN116" t="s">
        <v>227</v>
      </c>
    </row>
    <row r="117" spans="9:40" x14ac:dyDescent="0.45">
      <c r="I117" t="s">
        <v>167</v>
      </c>
      <c r="J117" t="s">
        <v>239</v>
      </c>
      <c r="K117">
        <v>1.9117109389713432E-3</v>
      </c>
      <c r="L117" t="s">
        <v>153</v>
      </c>
      <c r="N117" t="s">
        <v>196</v>
      </c>
      <c r="O117" t="s">
        <v>239</v>
      </c>
      <c r="P117">
        <v>3.7145464199160013E-3</v>
      </c>
      <c r="Q117" t="s">
        <v>153</v>
      </c>
      <c r="S117" t="s">
        <v>211</v>
      </c>
      <c r="T117" t="s">
        <v>239</v>
      </c>
      <c r="U117">
        <v>8.1873392343167085E-4</v>
      </c>
      <c r="V117" t="s">
        <v>153</v>
      </c>
      <c r="AK117">
        <v>2043</v>
      </c>
      <c r="AL117" t="s">
        <v>145</v>
      </c>
      <c r="AM117">
        <v>0.05</v>
      </c>
      <c r="AN117" t="s">
        <v>227</v>
      </c>
    </row>
    <row r="118" spans="9:40" x14ac:dyDescent="0.45">
      <c r="I118" t="s">
        <v>167</v>
      </c>
      <c r="J118" t="s">
        <v>240</v>
      </c>
      <c r="K118">
        <v>0</v>
      </c>
      <c r="L118" t="s">
        <v>153</v>
      </c>
      <c r="N118" t="s">
        <v>196</v>
      </c>
      <c r="O118" t="s">
        <v>240</v>
      </c>
      <c r="P118">
        <v>2.6929404805118518E-2</v>
      </c>
      <c r="Q118" t="s">
        <v>153</v>
      </c>
      <c r="S118" t="s">
        <v>211</v>
      </c>
      <c r="T118" t="s">
        <v>240</v>
      </c>
      <c r="U118">
        <v>4.6983272738879162E-3</v>
      </c>
      <c r="V118" t="s">
        <v>153</v>
      </c>
      <c r="AK118">
        <v>2043</v>
      </c>
      <c r="AL118" t="s">
        <v>147</v>
      </c>
      <c r="AM118">
        <v>0.11945</v>
      </c>
      <c r="AN118" t="s">
        <v>227</v>
      </c>
    </row>
    <row r="119" spans="9:40" x14ac:dyDescent="0.45">
      <c r="I119" t="s">
        <v>167</v>
      </c>
      <c r="J119" t="s">
        <v>162</v>
      </c>
      <c r="K119">
        <v>0</v>
      </c>
      <c r="L119" t="s">
        <v>153</v>
      </c>
      <c r="N119" t="s">
        <v>196</v>
      </c>
      <c r="O119" t="s">
        <v>162</v>
      </c>
      <c r="P119">
        <v>5.7525209144093599E-2</v>
      </c>
      <c r="Q119" t="s">
        <v>153</v>
      </c>
      <c r="S119" t="s">
        <v>211</v>
      </c>
      <c r="T119" t="s">
        <v>162</v>
      </c>
      <c r="U119">
        <v>2.7363253803938715E-2</v>
      </c>
      <c r="V119" t="s">
        <v>153</v>
      </c>
      <c r="AK119">
        <v>2043</v>
      </c>
      <c r="AL119" t="s">
        <v>149</v>
      </c>
      <c r="AM119">
        <v>0.24075000000000002</v>
      </c>
      <c r="AN119" t="s">
        <v>227</v>
      </c>
    </row>
    <row r="120" spans="9:40" x14ac:dyDescent="0.45">
      <c r="I120" t="s">
        <v>167</v>
      </c>
      <c r="J120" t="s">
        <v>163</v>
      </c>
      <c r="K120">
        <v>5.4514472893956595E-4</v>
      </c>
      <c r="L120" t="s">
        <v>153</v>
      </c>
      <c r="N120" t="s">
        <v>196</v>
      </c>
      <c r="O120" t="s">
        <v>163</v>
      </c>
      <c r="P120">
        <v>6.3333828656844324E-3</v>
      </c>
      <c r="Q120" t="s">
        <v>153</v>
      </c>
      <c r="S120" t="s">
        <v>211</v>
      </c>
      <c r="T120" t="s">
        <v>163</v>
      </c>
      <c r="U120">
        <v>5.1931301680721532E-3</v>
      </c>
      <c r="V120" t="s">
        <v>153</v>
      </c>
      <c r="AK120">
        <v>2043</v>
      </c>
      <c r="AL120" t="s">
        <v>247</v>
      </c>
      <c r="AM120">
        <v>0.29260000000000003</v>
      </c>
      <c r="AN120" t="s">
        <v>227</v>
      </c>
    </row>
    <row r="121" spans="9:40" x14ac:dyDescent="0.45">
      <c r="I121" t="s">
        <v>167</v>
      </c>
      <c r="J121" t="s">
        <v>164</v>
      </c>
      <c r="K121">
        <v>7.3300678216227197E-2</v>
      </c>
      <c r="L121" t="s">
        <v>153</v>
      </c>
      <c r="N121" t="s">
        <v>196</v>
      </c>
      <c r="O121" t="s">
        <v>164</v>
      </c>
      <c r="P121">
        <v>4.3681486363993445E-2</v>
      </c>
      <c r="Q121" t="s">
        <v>153</v>
      </c>
      <c r="S121" t="s">
        <v>211</v>
      </c>
      <c r="T121" t="s">
        <v>164</v>
      </c>
      <c r="U121">
        <v>3.412357257366417E-2</v>
      </c>
      <c r="V121" t="s">
        <v>153</v>
      </c>
      <c r="AK121">
        <v>2044</v>
      </c>
      <c r="AL121" t="s">
        <v>141</v>
      </c>
      <c r="AM121">
        <v>0.24417</v>
      </c>
      <c r="AN121" t="s">
        <v>227</v>
      </c>
    </row>
    <row r="122" spans="9:40" x14ac:dyDescent="0.45">
      <c r="I122" t="s">
        <v>167</v>
      </c>
      <c r="J122" t="s">
        <v>241</v>
      </c>
      <c r="K122">
        <v>4.360622311646448E-3</v>
      </c>
      <c r="L122" t="s">
        <v>153</v>
      </c>
      <c r="N122" t="s">
        <v>196</v>
      </c>
      <c r="O122" t="s">
        <v>241</v>
      </c>
      <c r="P122">
        <v>5.2375730250284582E-3</v>
      </c>
      <c r="Q122" t="s">
        <v>153</v>
      </c>
      <c r="S122" t="s">
        <v>211</v>
      </c>
      <c r="T122" t="s">
        <v>241</v>
      </c>
      <c r="U122">
        <v>1.243845454459267E-3</v>
      </c>
      <c r="V122" t="s">
        <v>153</v>
      </c>
      <c r="AK122">
        <v>2044</v>
      </c>
      <c r="AL122" t="s">
        <v>145</v>
      </c>
      <c r="AM122">
        <v>0.23430000000000001</v>
      </c>
      <c r="AN122" t="s">
        <v>227</v>
      </c>
    </row>
    <row r="123" spans="9:40" x14ac:dyDescent="0.45">
      <c r="I123" t="s">
        <v>167</v>
      </c>
      <c r="J123" t="s">
        <v>242</v>
      </c>
      <c r="K123">
        <v>1.1454692370093059E-3</v>
      </c>
      <c r="L123" t="s">
        <v>153</v>
      </c>
      <c r="N123" t="s">
        <v>196</v>
      </c>
      <c r="O123" t="s">
        <v>242</v>
      </c>
      <c r="P123">
        <v>6.8589358354601082E-3</v>
      </c>
      <c r="Q123" t="s">
        <v>153</v>
      </c>
      <c r="S123" t="s">
        <v>211</v>
      </c>
      <c r="T123" t="s">
        <v>242</v>
      </c>
      <c r="U123">
        <v>1.3614560966443059E-3</v>
      </c>
      <c r="V123" t="s">
        <v>153</v>
      </c>
      <c r="AK123">
        <v>2044</v>
      </c>
      <c r="AL123" t="s">
        <v>147</v>
      </c>
      <c r="AM123">
        <v>0.1772</v>
      </c>
      <c r="AN123" t="s">
        <v>227</v>
      </c>
    </row>
    <row r="124" spans="9:40" x14ac:dyDescent="0.45">
      <c r="I124" t="s">
        <v>167</v>
      </c>
      <c r="J124" t="s">
        <v>243</v>
      </c>
      <c r="K124">
        <v>0</v>
      </c>
      <c r="L124" t="s">
        <v>153</v>
      </c>
      <c r="N124" t="s">
        <v>196</v>
      </c>
      <c r="O124" t="s">
        <v>243</v>
      </c>
      <c r="P124">
        <v>4.6799485939997533E-2</v>
      </c>
      <c r="Q124" t="s">
        <v>153</v>
      </c>
      <c r="S124" t="s">
        <v>211</v>
      </c>
      <c r="T124" t="s">
        <v>243</v>
      </c>
      <c r="U124">
        <v>1.2259724642311615E-2</v>
      </c>
      <c r="V124" t="s">
        <v>153</v>
      </c>
      <c r="AK124">
        <v>2044</v>
      </c>
      <c r="AL124" t="s">
        <v>149</v>
      </c>
      <c r="AM124">
        <v>0.13789999999999999</v>
      </c>
      <c r="AN124" t="s">
        <v>227</v>
      </c>
    </row>
    <row r="125" spans="9:40" x14ac:dyDescent="0.45">
      <c r="I125" t="s">
        <v>167</v>
      </c>
      <c r="J125" t="s">
        <v>249</v>
      </c>
      <c r="K125">
        <v>0</v>
      </c>
      <c r="L125" t="s">
        <v>153</v>
      </c>
      <c r="N125" t="s">
        <v>196</v>
      </c>
      <c r="O125" t="s">
        <v>249</v>
      </c>
      <c r="P125">
        <v>4.121391018792004E-2</v>
      </c>
      <c r="Q125" t="s">
        <v>153</v>
      </c>
      <c r="S125" t="s">
        <v>211</v>
      </c>
      <c r="T125" t="s">
        <v>249</v>
      </c>
      <c r="U125">
        <v>2.2251014577613387E-2</v>
      </c>
      <c r="V125" t="s">
        <v>153</v>
      </c>
      <c r="AK125">
        <v>2044</v>
      </c>
      <c r="AL125" t="s">
        <v>247</v>
      </c>
      <c r="AM125">
        <v>0.15570000000000001</v>
      </c>
      <c r="AN125" t="s">
        <v>227</v>
      </c>
    </row>
    <row r="126" spans="9:40" x14ac:dyDescent="0.45">
      <c r="I126" t="s">
        <v>167</v>
      </c>
      <c r="J126" t="s">
        <v>250</v>
      </c>
      <c r="K126">
        <v>0</v>
      </c>
      <c r="L126" t="s">
        <v>153</v>
      </c>
      <c r="N126" t="s">
        <v>196</v>
      </c>
      <c r="O126" t="s">
        <v>250</v>
      </c>
      <c r="P126">
        <v>5.3395515711733184E-3</v>
      </c>
      <c r="Q126" t="s">
        <v>153</v>
      </c>
      <c r="S126" t="s">
        <v>211</v>
      </c>
      <c r="T126" t="s">
        <v>250</v>
      </c>
      <c r="U126">
        <v>3.593972921754683E-3</v>
      </c>
      <c r="V126" t="s">
        <v>153</v>
      </c>
      <c r="AK126">
        <v>2045</v>
      </c>
      <c r="AL126" t="s">
        <v>141</v>
      </c>
      <c r="AM126">
        <v>0.20684</v>
      </c>
      <c r="AN126" t="s">
        <v>227</v>
      </c>
    </row>
    <row r="127" spans="9:40" x14ac:dyDescent="0.45">
      <c r="I127" t="s">
        <v>167</v>
      </c>
      <c r="J127" t="s">
        <v>251</v>
      </c>
      <c r="K127">
        <v>4.6817282275671113E-2</v>
      </c>
      <c r="L127" t="s">
        <v>153</v>
      </c>
      <c r="N127" t="s">
        <v>196</v>
      </c>
      <c r="O127" t="s">
        <v>251</v>
      </c>
      <c r="P127">
        <v>3.5273972907866116E-2</v>
      </c>
      <c r="Q127" t="s">
        <v>153</v>
      </c>
      <c r="S127" t="s">
        <v>211</v>
      </c>
      <c r="T127" t="s">
        <v>251</v>
      </c>
      <c r="U127">
        <v>2.989327221096889E-2</v>
      </c>
      <c r="V127" t="s">
        <v>153</v>
      </c>
      <c r="AK127">
        <v>2045</v>
      </c>
      <c r="AL127" t="s">
        <v>145</v>
      </c>
      <c r="AM127">
        <v>7.1099999999999997E-2</v>
      </c>
      <c r="AN127" t="s">
        <v>227</v>
      </c>
    </row>
    <row r="128" spans="9:40" x14ac:dyDescent="0.45">
      <c r="I128" t="s">
        <v>167</v>
      </c>
      <c r="J128" t="s">
        <v>252</v>
      </c>
      <c r="K128">
        <v>3.8299323772768915E-3</v>
      </c>
      <c r="L128" t="s">
        <v>153</v>
      </c>
      <c r="N128" t="s">
        <v>196</v>
      </c>
      <c r="O128" t="s">
        <v>252</v>
      </c>
      <c r="P128">
        <v>2.9266860481005474E-3</v>
      </c>
      <c r="Q128" t="s">
        <v>153</v>
      </c>
      <c r="S128" t="s">
        <v>211</v>
      </c>
      <c r="T128" t="s">
        <v>252</v>
      </c>
      <c r="U128">
        <v>1.65524001880438E-3</v>
      </c>
      <c r="V128" t="s">
        <v>153</v>
      </c>
      <c r="AK128">
        <v>2045</v>
      </c>
      <c r="AL128" t="s">
        <v>147</v>
      </c>
      <c r="AM128">
        <v>7.8300000000000008E-2</v>
      </c>
      <c r="AN128" t="s">
        <v>227</v>
      </c>
    </row>
    <row r="129" spans="9:40" x14ac:dyDescent="0.45">
      <c r="I129" t="s">
        <v>167</v>
      </c>
      <c r="J129" t="s">
        <v>253</v>
      </c>
      <c r="K129">
        <v>2.2715510878925245E-3</v>
      </c>
      <c r="L129" t="s">
        <v>153</v>
      </c>
      <c r="N129" t="s">
        <v>196</v>
      </c>
      <c r="O129" t="s">
        <v>253</v>
      </c>
      <c r="P129">
        <v>4.4897160419753637E-3</v>
      </c>
      <c r="Q129" t="s">
        <v>153</v>
      </c>
      <c r="S129" t="s">
        <v>211</v>
      </c>
      <c r="T129" t="s">
        <v>253</v>
      </c>
      <c r="U129">
        <v>1.8164703189181533E-3</v>
      </c>
      <c r="V129" t="s">
        <v>153</v>
      </c>
      <c r="AK129">
        <v>2045</v>
      </c>
      <c r="AL129" t="s">
        <v>149</v>
      </c>
      <c r="AM129">
        <v>0.20995</v>
      </c>
      <c r="AN129" t="s">
        <v>227</v>
      </c>
    </row>
    <row r="130" spans="9:40" x14ac:dyDescent="0.45">
      <c r="I130" t="s">
        <v>167</v>
      </c>
      <c r="J130" t="s">
        <v>254</v>
      </c>
      <c r="K130">
        <v>0</v>
      </c>
      <c r="L130" t="s">
        <v>153</v>
      </c>
      <c r="N130" t="s">
        <v>196</v>
      </c>
      <c r="O130" t="s">
        <v>254</v>
      </c>
      <c r="P130">
        <v>3.2355308365476593E-2</v>
      </c>
      <c r="Q130" t="s">
        <v>153</v>
      </c>
      <c r="S130" t="s">
        <v>211</v>
      </c>
      <c r="T130" t="s">
        <v>254</v>
      </c>
      <c r="U130">
        <v>1.1347559077368199E-2</v>
      </c>
      <c r="V130" t="s">
        <v>153</v>
      </c>
      <c r="AK130">
        <v>2045</v>
      </c>
      <c r="AL130" t="s">
        <v>247</v>
      </c>
      <c r="AM130">
        <v>0.33439999999999998</v>
      </c>
      <c r="AN130" t="s">
        <v>227</v>
      </c>
    </row>
    <row r="131" spans="9:40" x14ac:dyDescent="0.45">
      <c r="I131" t="s">
        <v>168</v>
      </c>
      <c r="J131" t="s">
        <v>152</v>
      </c>
      <c r="K131">
        <v>0</v>
      </c>
      <c r="L131" t="s">
        <v>153</v>
      </c>
      <c r="N131" t="s">
        <v>197</v>
      </c>
      <c r="O131" t="s">
        <v>152</v>
      </c>
      <c r="P131">
        <v>0.26096772303923871</v>
      </c>
      <c r="Q131" t="s">
        <v>153</v>
      </c>
      <c r="S131" t="s">
        <v>212</v>
      </c>
      <c r="T131" t="s">
        <v>152</v>
      </c>
      <c r="U131">
        <v>0.26417888065074363</v>
      </c>
      <c r="V131" t="s">
        <v>153</v>
      </c>
      <c r="AK131">
        <v>2046</v>
      </c>
      <c r="AL131" t="s">
        <v>141</v>
      </c>
      <c r="AM131">
        <v>0.26701000000000003</v>
      </c>
      <c r="AN131" t="s">
        <v>227</v>
      </c>
    </row>
    <row r="132" spans="9:40" x14ac:dyDescent="0.45">
      <c r="I132" t="s">
        <v>168</v>
      </c>
      <c r="J132" t="s">
        <v>154</v>
      </c>
      <c r="K132">
        <v>1.86111912276039E-2</v>
      </c>
      <c r="L132" t="s">
        <v>153</v>
      </c>
      <c r="N132" t="s">
        <v>197</v>
      </c>
      <c r="O132" t="s">
        <v>154</v>
      </c>
      <c r="P132">
        <v>2.3781712158879975E-2</v>
      </c>
      <c r="Q132" t="s">
        <v>153</v>
      </c>
      <c r="S132" t="s">
        <v>212</v>
      </c>
      <c r="T132" t="s">
        <v>154</v>
      </c>
      <c r="U132">
        <v>3.6040457274874607E-2</v>
      </c>
      <c r="V132" t="s">
        <v>153</v>
      </c>
      <c r="AK132">
        <v>2046</v>
      </c>
      <c r="AL132" t="s">
        <v>145</v>
      </c>
      <c r="AM132">
        <v>0.14599999999999999</v>
      </c>
      <c r="AN132" t="s">
        <v>227</v>
      </c>
    </row>
    <row r="133" spans="9:40" x14ac:dyDescent="0.45">
      <c r="I133" t="s">
        <v>168</v>
      </c>
      <c r="J133" t="s">
        <v>155</v>
      </c>
      <c r="K133">
        <v>0.67847485344889547</v>
      </c>
      <c r="L133" t="s">
        <v>153</v>
      </c>
      <c r="N133" t="s">
        <v>197</v>
      </c>
      <c r="O133" t="s">
        <v>155</v>
      </c>
      <c r="P133">
        <v>0.15608459349173368</v>
      </c>
      <c r="Q133" t="s">
        <v>153</v>
      </c>
      <c r="S133" t="s">
        <v>212</v>
      </c>
      <c r="T133" t="s">
        <v>155</v>
      </c>
      <c r="U133">
        <v>0.31914633986198288</v>
      </c>
      <c r="V133" t="s">
        <v>153</v>
      </c>
      <c r="AK133">
        <v>2046</v>
      </c>
      <c r="AL133" t="s">
        <v>147</v>
      </c>
      <c r="AM133">
        <v>0.12945000000000001</v>
      </c>
      <c r="AN133" t="s">
        <v>227</v>
      </c>
    </row>
    <row r="134" spans="9:40" x14ac:dyDescent="0.45">
      <c r="I134" t="s">
        <v>168</v>
      </c>
      <c r="J134" t="s">
        <v>232</v>
      </c>
      <c r="K134">
        <v>5.0498079052239006E-2</v>
      </c>
      <c r="L134" t="s">
        <v>153</v>
      </c>
      <c r="N134" t="s">
        <v>197</v>
      </c>
      <c r="O134" t="s">
        <v>232</v>
      </c>
      <c r="P134">
        <v>1.4892662615107584E-2</v>
      </c>
      <c r="Q134" t="s">
        <v>153</v>
      </c>
      <c r="S134" t="s">
        <v>212</v>
      </c>
      <c r="T134" t="s">
        <v>232</v>
      </c>
      <c r="U134">
        <v>3.5319112955944122E-2</v>
      </c>
      <c r="V134" t="s">
        <v>153</v>
      </c>
      <c r="AK134">
        <v>2046</v>
      </c>
      <c r="AL134" t="s">
        <v>149</v>
      </c>
      <c r="AM134">
        <v>0.19005</v>
      </c>
      <c r="AN134" t="s">
        <v>227</v>
      </c>
    </row>
    <row r="135" spans="9:40" x14ac:dyDescent="0.45">
      <c r="I135" t="s">
        <v>168</v>
      </c>
      <c r="J135" t="s">
        <v>233</v>
      </c>
      <c r="K135">
        <v>2.9247754427559534E-2</v>
      </c>
      <c r="L135" t="s">
        <v>153</v>
      </c>
      <c r="N135" t="s">
        <v>197</v>
      </c>
      <c r="O135" t="s">
        <v>233</v>
      </c>
      <c r="P135">
        <v>1.7801189652932547E-2</v>
      </c>
      <c r="Q135" t="s">
        <v>153</v>
      </c>
      <c r="S135" t="s">
        <v>212</v>
      </c>
      <c r="T135" t="s">
        <v>233</v>
      </c>
      <c r="U135">
        <v>3.5965846962157717E-2</v>
      </c>
      <c r="V135" t="s">
        <v>153</v>
      </c>
      <c r="AK135">
        <v>2046</v>
      </c>
      <c r="AL135" t="s">
        <v>247</v>
      </c>
      <c r="AM135">
        <v>0.26719999999999999</v>
      </c>
      <c r="AN135" t="s">
        <v>227</v>
      </c>
    </row>
    <row r="136" spans="9:40" x14ac:dyDescent="0.45">
      <c r="I136" t="s">
        <v>168</v>
      </c>
      <c r="J136" t="s">
        <v>234</v>
      </c>
      <c r="K136">
        <v>2.6045785677822255E-3</v>
      </c>
      <c r="L136" t="s">
        <v>153</v>
      </c>
      <c r="N136" t="s">
        <v>197</v>
      </c>
      <c r="O136" t="s">
        <v>234</v>
      </c>
      <c r="P136">
        <v>0.16723797022030742</v>
      </c>
      <c r="Q136" t="s">
        <v>153</v>
      </c>
      <c r="S136" t="s">
        <v>212</v>
      </c>
      <c r="T136" t="s">
        <v>234</v>
      </c>
      <c r="U136">
        <v>0.18105535685794158</v>
      </c>
      <c r="V136" t="s">
        <v>153</v>
      </c>
      <c r="AK136">
        <v>2047</v>
      </c>
      <c r="AL136" t="s">
        <v>141</v>
      </c>
      <c r="AM136">
        <v>0.24546999999999999</v>
      </c>
      <c r="AN136" t="s">
        <v>227</v>
      </c>
    </row>
    <row r="137" spans="9:40" x14ac:dyDescent="0.45">
      <c r="I137" t="s">
        <v>168</v>
      </c>
      <c r="J137" t="s">
        <v>156</v>
      </c>
      <c r="K137">
        <v>0</v>
      </c>
      <c r="L137" t="s">
        <v>153</v>
      </c>
      <c r="N137" t="s">
        <v>197</v>
      </c>
      <c r="O137" t="s">
        <v>156</v>
      </c>
      <c r="P137">
        <v>1.0996921422539736E-2</v>
      </c>
      <c r="Q137" t="s">
        <v>153</v>
      </c>
      <c r="S137" t="s">
        <v>212</v>
      </c>
      <c r="T137" t="s">
        <v>156</v>
      </c>
      <c r="U137">
        <v>2.304841665224917E-3</v>
      </c>
      <c r="V137" t="s">
        <v>153</v>
      </c>
      <c r="AK137">
        <v>2047</v>
      </c>
      <c r="AL137" t="s">
        <v>145</v>
      </c>
      <c r="AM137">
        <v>0.1968</v>
      </c>
      <c r="AN137" t="s">
        <v>227</v>
      </c>
    </row>
    <row r="138" spans="9:40" x14ac:dyDescent="0.45">
      <c r="I138" t="s">
        <v>168</v>
      </c>
      <c r="J138" t="s">
        <v>157</v>
      </c>
      <c r="K138">
        <v>8.0442874172886728E-4</v>
      </c>
      <c r="L138" t="s">
        <v>153</v>
      </c>
      <c r="N138" t="s">
        <v>197</v>
      </c>
      <c r="O138" t="s">
        <v>157</v>
      </c>
      <c r="P138">
        <v>1.4224034003245153E-3</v>
      </c>
      <c r="Q138" t="s">
        <v>153</v>
      </c>
      <c r="S138" t="s">
        <v>212</v>
      </c>
      <c r="T138" t="s">
        <v>157</v>
      </c>
      <c r="U138">
        <v>1.6443051384129164E-4</v>
      </c>
      <c r="V138" t="s">
        <v>153</v>
      </c>
      <c r="AK138">
        <v>2047</v>
      </c>
      <c r="AL138" t="s">
        <v>147</v>
      </c>
      <c r="AM138">
        <v>0.15279999999999999</v>
      </c>
      <c r="AN138" t="s">
        <v>227</v>
      </c>
    </row>
    <row r="139" spans="9:40" x14ac:dyDescent="0.45">
      <c r="I139" t="s">
        <v>168</v>
      </c>
      <c r="J139" t="s">
        <v>158</v>
      </c>
      <c r="K139">
        <v>1.7753402177665797E-2</v>
      </c>
      <c r="L139" t="s">
        <v>153</v>
      </c>
      <c r="N139" t="s">
        <v>197</v>
      </c>
      <c r="O139" t="s">
        <v>158</v>
      </c>
      <c r="P139">
        <v>7.7148312512524886E-3</v>
      </c>
      <c r="Q139" t="s">
        <v>153</v>
      </c>
      <c r="S139" t="s">
        <v>212</v>
      </c>
      <c r="T139" t="s">
        <v>158</v>
      </c>
      <c r="U139">
        <v>1.5568398209476701E-3</v>
      </c>
      <c r="V139" t="s">
        <v>153</v>
      </c>
      <c r="AK139">
        <v>2047</v>
      </c>
      <c r="AL139" t="s">
        <v>149</v>
      </c>
      <c r="AM139">
        <v>0.14860000000000001</v>
      </c>
      <c r="AN139" t="s">
        <v>227</v>
      </c>
    </row>
    <row r="140" spans="9:40" x14ac:dyDescent="0.45">
      <c r="I140" t="s">
        <v>168</v>
      </c>
      <c r="J140" t="s">
        <v>235</v>
      </c>
      <c r="K140">
        <v>1.0777574393906729E-3</v>
      </c>
      <c r="L140" t="s">
        <v>153</v>
      </c>
      <c r="N140" t="s">
        <v>197</v>
      </c>
      <c r="O140" t="s">
        <v>235</v>
      </c>
      <c r="P140">
        <v>4.5665899093288298E-4</v>
      </c>
      <c r="Q140" t="s">
        <v>153</v>
      </c>
      <c r="S140" t="s">
        <v>212</v>
      </c>
      <c r="T140" t="s">
        <v>235</v>
      </c>
      <c r="U140">
        <v>1.4801119333205062E-4</v>
      </c>
      <c r="V140" t="s">
        <v>153</v>
      </c>
      <c r="AK140">
        <v>2047</v>
      </c>
      <c r="AL140" t="s">
        <v>247</v>
      </c>
      <c r="AM140">
        <v>0.18840000000000001</v>
      </c>
      <c r="AN140" t="s">
        <v>227</v>
      </c>
    </row>
    <row r="141" spans="9:40" x14ac:dyDescent="0.45">
      <c r="I141" t="s">
        <v>168</v>
      </c>
      <c r="J141" t="s">
        <v>236</v>
      </c>
      <c r="K141">
        <v>7.6325940905225893E-4</v>
      </c>
      <c r="L141" t="s">
        <v>153</v>
      </c>
      <c r="N141" t="s">
        <v>197</v>
      </c>
      <c r="O141" t="s">
        <v>236</v>
      </c>
      <c r="P141">
        <v>5.6887670734292507E-4</v>
      </c>
      <c r="Q141" t="s">
        <v>153</v>
      </c>
      <c r="S141" t="s">
        <v>212</v>
      </c>
      <c r="T141" t="s">
        <v>236</v>
      </c>
      <c r="U141">
        <v>1.5417091519832321E-4</v>
      </c>
      <c r="V141" t="s">
        <v>153</v>
      </c>
      <c r="AK141">
        <v>2048</v>
      </c>
      <c r="AL141" t="s">
        <v>141</v>
      </c>
      <c r="AM141">
        <v>0.18973999999999999</v>
      </c>
      <c r="AN141" t="s">
        <v>227</v>
      </c>
    </row>
    <row r="142" spans="9:40" x14ac:dyDescent="0.45">
      <c r="I142" t="s">
        <v>168</v>
      </c>
      <c r="J142" t="s">
        <v>237</v>
      </c>
      <c r="K142">
        <v>0</v>
      </c>
      <c r="L142" t="s">
        <v>153</v>
      </c>
      <c r="N142" t="s">
        <v>197</v>
      </c>
      <c r="O142" t="s">
        <v>237</v>
      </c>
      <c r="P142">
        <v>5.1528060782991842E-3</v>
      </c>
      <c r="Q142" t="s">
        <v>153</v>
      </c>
      <c r="S142" t="s">
        <v>212</v>
      </c>
      <c r="T142" t="s">
        <v>237</v>
      </c>
      <c r="U142">
        <v>1.3526328261479032E-3</v>
      </c>
      <c r="V142" t="s">
        <v>153</v>
      </c>
      <c r="AK142">
        <v>2048</v>
      </c>
      <c r="AL142" t="s">
        <v>145</v>
      </c>
      <c r="AM142">
        <v>0.1081</v>
      </c>
      <c r="AN142" t="s">
        <v>227</v>
      </c>
    </row>
    <row r="143" spans="9:40" x14ac:dyDescent="0.45">
      <c r="I143" t="s">
        <v>168</v>
      </c>
      <c r="J143" t="s">
        <v>159</v>
      </c>
      <c r="K143">
        <v>0</v>
      </c>
      <c r="L143" t="s">
        <v>153</v>
      </c>
      <c r="N143" t="s">
        <v>197</v>
      </c>
      <c r="O143" t="s">
        <v>159</v>
      </c>
      <c r="P143">
        <v>2.9296397706368004E-2</v>
      </c>
      <c r="Q143" t="s">
        <v>153</v>
      </c>
      <c r="S143" t="s">
        <v>212</v>
      </c>
      <c r="T143" t="s">
        <v>159</v>
      </c>
      <c r="U143">
        <v>1.8556997007211009E-3</v>
      </c>
      <c r="V143" t="s">
        <v>153</v>
      </c>
      <c r="AK143">
        <v>2048</v>
      </c>
      <c r="AL143" t="s">
        <v>147</v>
      </c>
      <c r="AM143">
        <v>0.14255000000000001</v>
      </c>
      <c r="AN143" t="s">
        <v>227</v>
      </c>
    </row>
    <row r="144" spans="9:40" x14ac:dyDescent="0.45">
      <c r="I144" t="s">
        <v>168</v>
      </c>
      <c r="J144" t="s">
        <v>160</v>
      </c>
      <c r="K144">
        <v>2.4476573729263003E-3</v>
      </c>
      <c r="L144" t="s">
        <v>153</v>
      </c>
      <c r="N144" t="s">
        <v>197</v>
      </c>
      <c r="O144" t="s">
        <v>160</v>
      </c>
      <c r="P144">
        <v>4.0140989643935882E-3</v>
      </c>
      <c r="Q144" t="s">
        <v>153</v>
      </c>
      <c r="S144" t="s">
        <v>212</v>
      </c>
      <c r="T144" t="s">
        <v>160</v>
      </c>
      <c r="U144">
        <v>2.8391311230491738E-4</v>
      </c>
      <c r="V144" t="s">
        <v>153</v>
      </c>
      <c r="AK144">
        <v>2048</v>
      </c>
      <c r="AL144" t="s">
        <v>149</v>
      </c>
      <c r="AM144">
        <v>0.22319999999999998</v>
      </c>
      <c r="AN144" t="s">
        <v>227</v>
      </c>
    </row>
    <row r="145" spans="9:40" x14ac:dyDescent="0.45">
      <c r="I145" t="s">
        <v>168</v>
      </c>
      <c r="J145" t="s">
        <v>161</v>
      </c>
      <c r="K145">
        <v>5.6138470782924742E-2</v>
      </c>
      <c r="L145" t="s">
        <v>153</v>
      </c>
      <c r="N145" t="s">
        <v>197</v>
      </c>
      <c r="O145" t="s">
        <v>161</v>
      </c>
      <c r="P145">
        <v>2.5400344114204283E-2</v>
      </c>
      <c r="Q145" t="s">
        <v>153</v>
      </c>
      <c r="S145" t="s">
        <v>212</v>
      </c>
      <c r="T145" t="s">
        <v>161</v>
      </c>
      <c r="U145">
        <v>2.9012128638082869E-3</v>
      </c>
      <c r="V145" t="s">
        <v>153</v>
      </c>
      <c r="AK145">
        <v>2048</v>
      </c>
      <c r="AL145" t="s">
        <v>247</v>
      </c>
      <c r="AM145">
        <v>0.26939999999999997</v>
      </c>
      <c r="AN145" t="s">
        <v>227</v>
      </c>
    </row>
    <row r="146" spans="9:40" x14ac:dyDescent="0.45">
      <c r="I146" t="s">
        <v>168</v>
      </c>
      <c r="J146" t="s">
        <v>238</v>
      </c>
      <c r="K146">
        <v>3.2298685859493688E-3</v>
      </c>
      <c r="L146" t="s">
        <v>153</v>
      </c>
      <c r="N146" t="s">
        <v>197</v>
      </c>
      <c r="O146" t="s">
        <v>238</v>
      </c>
      <c r="P146">
        <v>2.3326720424777575E-3</v>
      </c>
      <c r="Q146" t="s">
        <v>153</v>
      </c>
      <c r="S146" t="s">
        <v>212</v>
      </c>
      <c r="T146" t="s">
        <v>238</v>
      </c>
      <c r="U146">
        <v>1.1689746753259965E-4</v>
      </c>
      <c r="V146" t="s">
        <v>153</v>
      </c>
      <c r="AK146">
        <v>2049</v>
      </c>
      <c r="AL146" t="s">
        <v>141</v>
      </c>
      <c r="AM146">
        <v>0.20897000000000002</v>
      </c>
      <c r="AN146" t="s">
        <v>227</v>
      </c>
    </row>
    <row r="147" spans="9:40" x14ac:dyDescent="0.45">
      <c r="I147" t="s">
        <v>168</v>
      </c>
      <c r="J147" t="s">
        <v>239</v>
      </c>
      <c r="K147">
        <v>1.8640547709074535E-3</v>
      </c>
      <c r="L147" t="s">
        <v>153</v>
      </c>
      <c r="N147" t="s">
        <v>197</v>
      </c>
      <c r="O147" t="s">
        <v>239</v>
      </c>
      <c r="P147">
        <v>2.5960561633642564E-3</v>
      </c>
      <c r="Q147" t="s">
        <v>153</v>
      </c>
      <c r="S147" t="s">
        <v>212</v>
      </c>
      <c r="T147" t="s">
        <v>239</v>
      </c>
      <c r="U147">
        <v>1.0982668046332741E-4</v>
      </c>
      <c r="V147" t="s">
        <v>153</v>
      </c>
      <c r="AK147">
        <v>2049</v>
      </c>
      <c r="AL147" t="s">
        <v>145</v>
      </c>
      <c r="AM147">
        <v>0.13619999999999999</v>
      </c>
      <c r="AN147" t="s">
        <v>227</v>
      </c>
    </row>
    <row r="148" spans="9:40" x14ac:dyDescent="0.45">
      <c r="I148" t="s">
        <v>168</v>
      </c>
      <c r="J148" t="s">
        <v>240</v>
      </c>
      <c r="K148">
        <v>0</v>
      </c>
      <c r="L148" t="s">
        <v>153</v>
      </c>
      <c r="N148" t="s">
        <v>197</v>
      </c>
      <c r="O148" t="s">
        <v>240</v>
      </c>
      <c r="P148">
        <v>1.9410950999769621E-2</v>
      </c>
      <c r="Q148" t="s">
        <v>153</v>
      </c>
      <c r="S148" t="s">
        <v>212</v>
      </c>
      <c r="T148" t="s">
        <v>240</v>
      </c>
      <c r="U148">
        <v>6.4596137605902064E-4</v>
      </c>
      <c r="V148" t="s">
        <v>153</v>
      </c>
      <c r="AK148">
        <v>2049</v>
      </c>
      <c r="AL148" t="s">
        <v>147</v>
      </c>
      <c r="AM148">
        <v>0.13439999999999999</v>
      </c>
      <c r="AN148" t="s">
        <v>227</v>
      </c>
    </row>
    <row r="149" spans="9:40" x14ac:dyDescent="0.45">
      <c r="I149" t="s">
        <v>168</v>
      </c>
      <c r="J149" t="s">
        <v>162</v>
      </c>
      <c r="K149">
        <v>0</v>
      </c>
      <c r="L149" t="s">
        <v>153</v>
      </c>
      <c r="N149" t="s">
        <v>197</v>
      </c>
      <c r="O149" t="s">
        <v>162</v>
      </c>
      <c r="P149">
        <v>5.8161460046322902E-2</v>
      </c>
      <c r="Q149" t="s">
        <v>153</v>
      </c>
      <c r="S149" t="s">
        <v>212</v>
      </c>
      <c r="T149" t="s">
        <v>162</v>
      </c>
      <c r="U149">
        <v>2.0836865838282446E-2</v>
      </c>
      <c r="V149" t="s">
        <v>153</v>
      </c>
      <c r="AK149">
        <v>2049</v>
      </c>
      <c r="AL149" t="s">
        <v>149</v>
      </c>
      <c r="AM149">
        <v>0.1429</v>
      </c>
      <c r="AN149" t="s">
        <v>227</v>
      </c>
    </row>
    <row r="150" spans="9:40" x14ac:dyDescent="0.45">
      <c r="I150" t="s">
        <v>168</v>
      </c>
      <c r="J150" t="s">
        <v>163</v>
      </c>
      <c r="K150">
        <v>2.0354069834516543E-3</v>
      </c>
      <c r="L150" t="s">
        <v>153</v>
      </c>
      <c r="N150" t="s">
        <v>197</v>
      </c>
      <c r="O150" t="s">
        <v>163</v>
      </c>
      <c r="P150">
        <v>6.7307935003708807E-3</v>
      </c>
      <c r="Q150" t="s">
        <v>153</v>
      </c>
      <c r="S150" t="s">
        <v>212</v>
      </c>
      <c r="T150" t="s">
        <v>163</v>
      </c>
      <c r="U150">
        <v>3.3525163976740424E-3</v>
      </c>
      <c r="V150" t="s">
        <v>153</v>
      </c>
      <c r="AK150">
        <v>2049</v>
      </c>
      <c r="AL150" t="s">
        <v>247</v>
      </c>
      <c r="AM150">
        <v>0.1532</v>
      </c>
      <c r="AN150" t="s">
        <v>227</v>
      </c>
    </row>
    <row r="151" spans="9:40" x14ac:dyDescent="0.45">
      <c r="I151" t="s">
        <v>168</v>
      </c>
      <c r="J151" t="s">
        <v>164</v>
      </c>
      <c r="K151">
        <v>7.7555204068874367E-2</v>
      </c>
      <c r="L151" t="s">
        <v>153</v>
      </c>
      <c r="N151" t="s">
        <v>197</v>
      </c>
      <c r="O151" t="s">
        <v>164</v>
      </c>
      <c r="P151">
        <v>3.7333272973174812E-2</v>
      </c>
      <c r="Q151" t="s">
        <v>153</v>
      </c>
      <c r="S151" t="s">
        <v>212</v>
      </c>
      <c r="T151" t="s">
        <v>164</v>
      </c>
      <c r="U151">
        <v>2.7966896568492713E-2</v>
      </c>
      <c r="V151" t="s">
        <v>153</v>
      </c>
      <c r="AK151">
        <v>2050</v>
      </c>
      <c r="AL151" t="s">
        <v>141</v>
      </c>
      <c r="AM151">
        <v>0.22616</v>
      </c>
      <c r="AN151" t="s">
        <v>227</v>
      </c>
    </row>
    <row r="152" spans="9:40" x14ac:dyDescent="0.45">
      <c r="I152" t="s">
        <v>168</v>
      </c>
      <c r="J152" t="s">
        <v>241</v>
      </c>
      <c r="K152">
        <v>4.6059656773044227E-3</v>
      </c>
      <c r="L152" t="s">
        <v>153</v>
      </c>
      <c r="N152" t="s">
        <v>197</v>
      </c>
      <c r="O152" t="s">
        <v>241</v>
      </c>
      <c r="P152">
        <v>2.95066038369266E-3</v>
      </c>
      <c r="Q152" t="s">
        <v>153</v>
      </c>
      <c r="S152" t="s">
        <v>212</v>
      </c>
      <c r="T152" t="s">
        <v>241</v>
      </c>
      <c r="U152">
        <v>2.2136198948986977E-3</v>
      </c>
      <c r="V152" t="s">
        <v>153</v>
      </c>
      <c r="AK152">
        <v>2050</v>
      </c>
      <c r="AL152" t="s">
        <v>145</v>
      </c>
      <c r="AM152">
        <v>0.17199999999999999</v>
      </c>
      <c r="AN152" t="s">
        <v>227</v>
      </c>
    </row>
    <row r="153" spans="9:40" x14ac:dyDescent="0.45">
      <c r="I153" t="s">
        <v>168</v>
      </c>
      <c r="J153" t="s">
        <v>242</v>
      </c>
      <c r="K153">
        <v>1.7989860347557111E-3</v>
      </c>
      <c r="L153" t="s">
        <v>153</v>
      </c>
      <c r="N153" t="s">
        <v>197</v>
      </c>
      <c r="O153" t="s">
        <v>242</v>
      </c>
      <c r="P153">
        <v>3.650624803104594E-3</v>
      </c>
      <c r="Q153" t="s">
        <v>153</v>
      </c>
      <c r="S153" t="s">
        <v>212</v>
      </c>
      <c r="T153" t="s">
        <v>242</v>
      </c>
      <c r="U153">
        <v>2.271212868006476E-3</v>
      </c>
      <c r="V153" t="s">
        <v>153</v>
      </c>
      <c r="AK153">
        <v>2050</v>
      </c>
      <c r="AL153" t="s">
        <v>147</v>
      </c>
      <c r="AM153">
        <v>0.19500000000000001</v>
      </c>
      <c r="AN153" t="s">
        <v>227</v>
      </c>
    </row>
    <row r="154" spans="9:40" x14ac:dyDescent="0.45">
      <c r="I154" t="s">
        <v>168</v>
      </c>
      <c r="J154" t="s">
        <v>243</v>
      </c>
      <c r="K154">
        <v>0</v>
      </c>
      <c r="L154" t="s">
        <v>153</v>
      </c>
      <c r="N154" t="s">
        <v>197</v>
      </c>
      <c r="O154" t="s">
        <v>243</v>
      </c>
      <c r="P154">
        <v>3.4008028616922689E-2</v>
      </c>
      <c r="Q154" t="s">
        <v>153</v>
      </c>
      <c r="S154" t="s">
        <v>212</v>
      </c>
      <c r="T154" t="s">
        <v>243</v>
      </c>
      <c r="U154">
        <v>1.3140766657729851E-2</v>
      </c>
      <c r="V154" t="s">
        <v>153</v>
      </c>
      <c r="AK154">
        <v>2050</v>
      </c>
      <c r="AL154" t="s">
        <v>149</v>
      </c>
      <c r="AM154">
        <v>0.24059999999999998</v>
      </c>
      <c r="AN154" t="s">
        <v>227</v>
      </c>
    </row>
    <row r="155" spans="9:40" x14ac:dyDescent="0.45">
      <c r="I155" t="s">
        <v>168</v>
      </c>
      <c r="J155" t="s">
        <v>249</v>
      </c>
      <c r="K155">
        <v>0</v>
      </c>
      <c r="L155" t="s">
        <v>153</v>
      </c>
      <c r="N155" t="s">
        <v>197</v>
      </c>
      <c r="O155" t="s">
        <v>249</v>
      </c>
      <c r="P155">
        <v>4.3984380168297081E-2</v>
      </c>
      <c r="Q155" t="s">
        <v>153</v>
      </c>
      <c r="S155" t="s">
        <v>212</v>
      </c>
      <c r="T155" t="s">
        <v>249</v>
      </c>
      <c r="U155">
        <v>1.2683640010622107E-2</v>
      </c>
      <c r="V155" t="s">
        <v>153</v>
      </c>
      <c r="AK155">
        <v>2050</v>
      </c>
      <c r="AL155" t="s">
        <v>247</v>
      </c>
      <c r="AM155">
        <v>0.26319999999999999</v>
      </c>
      <c r="AN155" t="s">
        <v>227</v>
      </c>
    </row>
    <row r="156" spans="9:40" x14ac:dyDescent="0.45">
      <c r="I156" t="s">
        <v>168</v>
      </c>
      <c r="J156" t="s">
        <v>250</v>
      </c>
      <c r="K156">
        <v>0</v>
      </c>
      <c r="L156" t="s">
        <v>153</v>
      </c>
      <c r="N156" t="s">
        <v>197</v>
      </c>
      <c r="O156" t="s">
        <v>250</v>
      </c>
      <c r="P156">
        <v>5.6267250082251037E-3</v>
      </c>
      <c r="Q156" t="s">
        <v>153</v>
      </c>
      <c r="S156" t="s">
        <v>212</v>
      </c>
      <c r="T156" t="s">
        <v>250</v>
      </c>
      <c r="U156">
        <v>2.3236139440133995E-3</v>
      </c>
      <c r="V156" t="s">
        <v>153</v>
      </c>
    </row>
    <row r="157" spans="9:40" x14ac:dyDescent="0.45">
      <c r="I157" t="s">
        <v>168</v>
      </c>
      <c r="J157" t="s">
        <v>251</v>
      </c>
      <c r="K157">
        <v>4.4366045424731632E-2</v>
      </c>
      <c r="L157" t="s">
        <v>153</v>
      </c>
      <c r="N157" t="s">
        <v>197</v>
      </c>
      <c r="O157" t="s">
        <v>251</v>
      </c>
      <c r="P157">
        <v>2.868035934030615E-2</v>
      </c>
      <c r="Q157" t="s">
        <v>153</v>
      </c>
      <c r="S157" t="s">
        <v>212</v>
      </c>
      <c r="T157" t="s">
        <v>251</v>
      </c>
      <c r="U157">
        <v>2.1274269974395379E-2</v>
      </c>
      <c r="V157" t="s">
        <v>153</v>
      </c>
    </row>
    <row r="158" spans="9:40" x14ac:dyDescent="0.45">
      <c r="I158" t="s">
        <v>168</v>
      </c>
      <c r="J158" t="s">
        <v>252</v>
      </c>
      <c r="K158">
        <v>3.8422267510471583E-3</v>
      </c>
      <c r="L158" t="s">
        <v>153</v>
      </c>
      <c r="N158" t="s">
        <v>197</v>
      </c>
      <c r="O158" t="s">
        <v>252</v>
      </c>
      <c r="P158">
        <v>1.2568765169331687E-3</v>
      </c>
      <c r="Q158" t="s">
        <v>153</v>
      </c>
      <c r="S158" t="s">
        <v>212</v>
      </c>
      <c r="T158" t="s">
        <v>252</v>
      </c>
      <c r="U158">
        <v>1.2511561204290777E-3</v>
      </c>
      <c r="V158" t="s">
        <v>153</v>
      </c>
    </row>
    <row r="159" spans="9:40" x14ac:dyDescent="0.45">
      <c r="I159" t="s">
        <v>168</v>
      </c>
      <c r="J159" t="s">
        <v>253</v>
      </c>
      <c r="K159">
        <v>2.2808090552095587E-3</v>
      </c>
      <c r="L159" t="s">
        <v>153</v>
      </c>
      <c r="N159" t="s">
        <v>197</v>
      </c>
      <c r="O159" t="s">
        <v>253</v>
      </c>
      <c r="P159">
        <v>1.8783700251702171E-3</v>
      </c>
      <c r="Q159" t="s">
        <v>153</v>
      </c>
      <c r="S159" t="s">
        <v>212</v>
      </c>
      <c r="T159" t="s">
        <v>253</v>
      </c>
      <c r="U159">
        <v>1.3710002751353301E-3</v>
      </c>
      <c r="V159" t="s">
        <v>153</v>
      </c>
    </row>
    <row r="160" spans="9:40" x14ac:dyDescent="0.45">
      <c r="I160" t="s">
        <v>168</v>
      </c>
      <c r="J160" t="s">
        <v>254</v>
      </c>
      <c r="K160">
        <v>0</v>
      </c>
      <c r="L160" t="s">
        <v>153</v>
      </c>
      <c r="N160" t="s">
        <v>197</v>
      </c>
      <c r="O160" t="s">
        <v>254</v>
      </c>
      <c r="P160">
        <v>2.560957959801223E-2</v>
      </c>
      <c r="Q160" t="s">
        <v>153</v>
      </c>
      <c r="S160" t="s">
        <v>212</v>
      </c>
      <c r="T160" t="s">
        <v>254</v>
      </c>
      <c r="U160">
        <v>8.0140087510932514E-3</v>
      </c>
      <c r="V160" t="s">
        <v>153</v>
      </c>
    </row>
    <row r="161" spans="9:22" x14ac:dyDescent="0.45">
      <c r="I161" t="s">
        <v>169</v>
      </c>
      <c r="J161" t="s">
        <v>152</v>
      </c>
      <c r="K161">
        <v>0</v>
      </c>
      <c r="L161" t="s">
        <v>153</v>
      </c>
      <c r="N161" t="s">
        <v>198</v>
      </c>
      <c r="O161" t="s">
        <v>152</v>
      </c>
      <c r="P161">
        <v>0.24667070828031712</v>
      </c>
      <c r="Q161" t="s">
        <v>153</v>
      </c>
      <c r="S161" t="s">
        <v>213</v>
      </c>
      <c r="T161" t="s">
        <v>152</v>
      </c>
      <c r="U161">
        <v>0.26190194385876986</v>
      </c>
      <c r="V161" t="s">
        <v>153</v>
      </c>
    </row>
    <row r="162" spans="9:22" x14ac:dyDescent="0.45">
      <c r="I162" t="s">
        <v>169</v>
      </c>
      <c r="J162" t="s">
        <v>154</v>
      </c>
      <c r="K162">
        <v>1.8404489083960546E-2</v>
      </c>
      <c r="L162" t="s">
        <v>153</v>
      </c>
      <c r="N162" t="s">
        <v>198</v>
      </c>
      <c r="O162" t="s">
        <v>154</v>
      </c>
      <c r="P162">
        <v>2.5639320676962653E-2</v>
      </c>
      <c r="Q162" t="s">
        <v>153</v>
      </c>
      <c r="S162" t="s">
        <v>213</v>
      </c>
      <c r="T162" t="s">
        <v>154</v>
      </c>
      <c r="U162">
        <v>3.7091013728278339E-2</v>
      </c>
      <c r="V162" t="s">
        <v>153</v>
      </c>
    </row>
    <row r="163" spans="9:22" x14ac:dyDescent="0.45">
      <c r="I163" t="s">
        <v>169</v>
      </c>
      <c r="J163" t="s">
        <v>155</v>
      </c>
      <c r="K163">
        <v>0.68099623668888287</v>
      </c>
      <c r="L163" t="s">
        <v>153</v>
      </c>
      <c r="N163" t="s">
        <v>198</v>
      </c>
      <c r="O163" t="s">
        <v>155</v>
      </c>
      <c r="P163">
        <v>0.23097961048595422</v>
      </c>
      <c r="Q163" t="s">
        <v>153</v>
      </c>
      <c r="S163" t="s">
        <v>213</v>
      </c>
      <c r="T163" t="s">
        <v>155</v>
      </c>
      <c r="U163">
        <v>0.3328450012607076</v>
      </c>
      <c r="V163" t="s">
        <v>153</v>
      </c>
    </row>
    <row r="164" spans="9:22" x14ac:dyDescent="0.45">
      <c r="I164" t="s">
        <v>169</v>
      </c>
      <c r="J164" t="s">
        <v>232</v>
      </c>
      <c r="K164">
        <v>5.194624059135431E-2</v>
      </c>
      <c r="L164" t="s">
        <v>153</v>
      </c>
      <c r="N164" t="s">
        <v>198</v>
      </c>
      <c r="O164" t="s">
        <v>232</v>
      </c>
      <c r="P164">
        <v>2.224047964823387E-2</v>
      </c>
      <c r="Q164" t="s">
        <v>153</v>
      </c>
      <c r="S164" t="s">
        <v>213</v>
      </c>
      <c r="T164" t="s">
        <v>232</v>
      </c>
      <c r="U164">
        <v>3.559482607363746E-2</v>
      </c>
      <c r="V164" t="s">
        <v>153</v>
      </c>
    </row>
    <row r="165" spans="9:22" x14ac:dyDescent="0.45">
      <c r="I165" t="s">
        <v>169</v>
      </c>
      <c r="J165" t="s">
        <v>233</v>
      </c>
      <c r="K165">
        <v>3.0378522587366501E-2</v>
      </c>
      <c r="L165" t="s">
        <v>153</v>
      </c>
      <c r="N165" t="s">
        <v>198</v>
      </c>
      <c r="O165" t="s">
        <v>233</v>
      </c>
      <c r="P165">
        <v>2.5111021914794418E-2</v>
      </c>
      <c r="Q165" t="s">
        <v>153</v>
      </c>
      <c r="S165" t="s">
        <v>213</v>
      </c>
      <c r="T165" t="s">
        <v>233</v>
      </c>
      <c r="U165">
        <v>3.5733987014141433E-2</v>
      </c>
      <c r="V165" t="s">
        <v>153</v>
      </c>
    </row>
    <row r="166" spans="9:22" x14ac:dyDescent="0.45">
      <c r="I166" t="s">
        <v>169</v>
      </c>
      <c r="J166" t="s">
        <v>234</v>
      </c>
      <c r="K166">
        <v>3.0771783217060362E-3</v>
      </c>
      <c r="L166" t="s">
        <v>153</v>
      </c>
      <c r="N166" t="s">
        <v>198</v>
      </c>
      <c r="O166" t="s">
        <v>234</v>
      </c>
      <c r="P166">
        <v>0.17153175405419152</v>
      </c>
      <c r="Q166" t="s">
        <v>153</v>
      </c>
      <c r="S166" t="s">
        <v>213</v>
      </c>
      <c r="T166" t="s">
        <v>234</v>
      </c>
      <c r="U166">
        <v>0.17595317814794267</v>
      </c>
      <c r="V166" t="s">
        <v>153</v>
      </c>
    </row>
    <row r="167" spans="9:22" x14ac:dyDescent="0.45">
      <c r="I167" t="s">
        <v>169</v>
      </c>
      <c r="J167" t="s">
        <v>156</v>
      </c>
      <c r="K167">
        <v>0</v>
      </c>
      <c r="L167" t="s">
        <v>153</v>
      </c>
      <c r="N167" t="s">
        <v>198</v>
      </c>
      <c r="O167" t="s">
        <v>156</v>
      </c>
      <c r="P167">
        <v>6.5240024029909931E-3</v>
      </c>
      <c r="Q167" t="s">
        <v>153</v>
      </c>
      <c r="S167" t="s">
        <v>213</v>
      </c>
      <c r="T167" t="s">
        <v>156</v>
      </c>
      <c r="U167">
        <v>2.0546299318578705E-3</v>
      </c>
      <c r="V167" t="s">
        <v>153</v>
      </c>
    </row>
    <row r="168" spans="9:22" x14ac:dyDescent="0.45">
      <c r="I168" t="s">
        <v>169</v>
      </c>
      <c r="J168" t="s">
        <v>157</v>
      </c>
      <c r="K168">
        <v>6.6459863944203206E-4</v>
      </c>
      <c r="L168" t="s">
        <v>153</v>
      </c>
      <c r="N168" t="s">
        <v>198</v>
      </c>
      <c r="O168" t="s">
        <v>157</v>
      </c>
      <c r="P168">
        <v>1.2103619993395704E-3</v>
      </c>
      <c r="Q168" t="s">
        <v>153</v>
      </c>
      <c r="S168" t="s">
        <v>213</v>
      </c>
      <c r="T168" t="s">
        <v>157</v>
      </c>
      <c r="U168">
        <v>1.4059320460063301E-4</v>
      </c>
      <c r="V168" t="s">
        <v>153</v>
      </c>
    </row>
    <row r="169" spans="9:22" x14ac:dyDescent="0.45">
      <c r="I169" t="s">
        <v>169</v>
      </c>
      <c r="J169" t="s">
        <v>158</v>
      </c>
      <c r="K169">
        <v>1.7055100210414207E-2</v>
      </c>
      <c r="L169" t="s">
        <v>153</v>
      </c>
      <c r="N169" t="s">
        <v>198</v>
      </c>
      <c r="O169" t="s">
        <v>158</v>
      </c>
      <c r="P169">
        <v>5.3236493948751575E-3</v>
      </c>
      <c r="Q169" t="s">
        <v>153</v>
      </c>
      <c r="S169" t="s">
        <v>213</v>
      </c>
      <c r="T169" t="s">
        <v>158</v>
      </c>
      <c r="U169">
        <v>1.1575830367484994E-3</v>
      </c>
      <c r="V169" t="s">
        <v>153</v>
      </c>
    </row>
    <row r="170" spans="9:22" x14ac:dyDescent="0.45">
      <c r="I170" t="s">
        <v>169</v>
      </c>
      <c r="J170" t="s">
        <v>235</v>
      </c>
      <c r="K170">
        <v>1.1824190305101167E-3</v>
      </c>
      <c r="L170" t="s">
        <v>153</v>
      </c>
      <c r="N170" t="s">
        <v>198</v>
      </c>
      <c r="O170" t="s">
        <v>235</v>
      </c>
      <c r="P170">
        <v>1.8762999746928382E-4</v>
      </c>
      <c r="Q170" t="s">
        <v>153</v>
      </c>
      <c r="S170" t="s">
        <v>213</v>
      </c>
      <c r="T170" t="s">
        <v>235</v>
      </c>
      <c r="U170">
        <v>1.5406389373943637E-4</v>
      </c>
      <c r="V170" t="s">
        <v>153</v>
      </c>
    </row>
    <row r="171" spans="9:22" x14ac:dyDescent="0.45">
      <c r="I171" t="s">
        <v>169</v>
      </c>
      <c r="J171" t="s">
        <v>236</v>
      </c>
      <c r="K171">
        <v>7.4737601492842786E-4</v>
      </c>
      <c r="L171" t="s">
        <v>153</v>
      </c>
      <c r="N171" t="s">
        <v>198</v>
      </c>
      <c r="O171" t="s">
        <v>236</v>
      </c>
      <c r="P171">
        <v>2.9808767719894931E-4</v>
      </c>
      <c r="Q171" t="s">
        <v>153</v>
      </c>
      <c r="S171" t="s">
        <v>213</v>
      </c>
      <c r="T171" t="s">
        <v>236</v>
      </c>
      <c r="U171">
        <v>1.7579873091109048E-4</v>
      </c>
      <c r="V171" t="s">
        <v>153</v>
      </c>
    </row>
    <row r="172" spans="9:22" x14ac:dyDescent="0.45">
      <c r="I172" t="s">
        <v>169</v>
      </c>
      <c r="J172" t="s">
        <v>237</v>
      </c>
      <c r="K172">
        <v>0</v>
      </c>
      <c r="L172" t="s">
        <v>153</v>
      </c>
      <c r="N172" t="s">
        <v>198</v>
      </c>
      <c r="O172" t="s">
        <v>237</v>
      </c>
      <c r="P172">
        <v>2.569115152098349E-3</v>
      </c>
      <c r="Q172" t="s">
        <v>153</v>
      </c>
      <c r="S172" t="s">
        <v>213</v>
      </c>
      <c r="T172" t="s">
        <v>237</v>
      </c>
      <c r="U172">
        <v>1.1311849986705245E-3</v>
      </c>
      <c r="V172" t="s">
        <v>153</v>
      </c>
    </row>
    <row r="173" spans="9:22" x14ac:dyDescent="0.45">
      <c r="I173" t="s">
        <v>169</v>
      </c>
      <c r="J173" t="s">
        <v>159</v>
      </c>
      <c r="K173">
        <v>0</v>
      </c>
      <c r="L173" t="s">
        <v>153</v>
      </c>
      <c r="N173" t="s">
        <v>198</v>
      </c>
      <c r="O173" t="s">
        <v>159</v>
      </c>
      <c r="P173">
        <v>2.0322617442433809E-2</v>
      </c>
      <c r="Q173" t="s">
        <v>153</v>
      </c>
      <c r="S173" t="s">
        <v>213</v>
      </c>
      <c r="T173" t="s">
        <v>159</v>
      </c>
      <c r="U173">
        <v>1.866589521744501E-3</v>
      </c>
      <c r="V173" t="s">
        <v>153</v>
      </c>
    </row>
    <row r="174" spans="9:22" x14ac:dyDescent="0.45">
      <c r="I174" t="s">
        <v>169</v>
      </c>
      <c r="J174" t="s">
        <v>160</v>
      </c>
      <c r="K174">
        <v>2.2570418071806227E-3</v>
      </c>
      <c r="L174" t="s">
        <v>153</v>
      </c>
      <c r="N174" t="s">
        <v>198</v>
      </c>
      <c r="O174" t="s">
        <v>160</v>
      </c>
      <c r="P174">
        <v>3.4486225630606525E-3</v>
      </c>
      <c r="Q174" t="s">
        <v>153</v>
      </c>
      <c r="S174" t="s">
        <v>213</v>
      </c>
      <c r="T174" t="s">
        <v>160</v>
      </c>
      <c r="U174">
        <v>3.1233403604801575E-4</v>
      </c>
      <c r="V174" t="s">
        <v>153</v>
      </c>
    </row>
    <row r="175" spans="9:22" x14ac:dyDescent="0.45">
      <c r="I175" t="s">
        <v>169</v>
      </c>
      <c r="J175" t="s">
        <v>161</v>
      </c>
      <c r="K175">
        <v>5.3712031032346078E-2</v>
      </c>
      <c r="L175" t="s">
        <v>153</v>
      </c>
      <c r="N175" t="s">
        <v>198</v>
      </c>
      <c r="O175" t="s">
        <v>161</v>
      </c>
      <c r="P175">
        <v>2.2738443459439473E-2</v>
      </c>
      <c r="Q175" t="s">
        <v>153</v>
      </c>
      <c r="S175" t="s">
        <v>213</v>
      </c>
      <c r="T175" t="s">
        <v>161</v>
      </c>
      <c r="U175">
        <v>2.9370421143227418E-3</v>
      </c>
      <c r="V175" t="s">
        <v>153</v>
      </c>
    </row>
    <row r="176" spans="9:22" x14ac:dyDescent="0.45">
      <c r="I176" t="s">
        <v>169</v>
      </c>
      <c r="J176" t="s">
        <v>238</v>
      </c>
      <c r="K176">
        <v>3.1896961687418435E-3</v>
      </c>
      <c r="L176" t="s">
        <v>153</v>
      </c>
      <c r="N176" t="s">
        <v>198</v>
      </c>
      <c r="O176" t="s">
        <v>238</v>
      </c>
      <c r="P176">
        <v>1.6840364221988569E-3</v>
      </c>
      <c r="Q176" t="s">
        <v>153</v>
      </c>
      <c r="S176" t="s">
        <v>213</v>
      </c>
      <c r="T176" t="s">
        <v>238</v>
      </c>
      <c r="U176">
        <v>1.2381954744180695E-4</v>
      </c>
      <c r="V176" t="s">
        <v>153</v>
      </c>
    </row>
    <row r="177" spans="9:22" x14ac:dyDescent="0.45">
      <c r="I177" t="s">
        <v>169</v>
      </c>
      <c r="J177" t="s">
        <v>239</v>
      </c>
      <c r="K177">
        <v>1.5002811647857131E-3</v>
      </c>
      <c r="L177" t="s">
        <v>153</v>
      </c>
      <c r="N177" t="s">
        <v>198</v>
      </c>
      <c r="O177" t="s">
        <v>239</v>
      </c>
      <c r="P177">
        <v>2.1073208088057912E-3</v>
      </c>
      <c r="Q177" t="s">
        <v>153</v>
      </c>
      <c r="S177" t="s">
        <v>213</v>
      </c>
      <c r="T177" t="s">
        <v>239</v>
      </c>
      <c r="U177">
        <v>1.0558773222606916E-4</v>
      </c>
      <c r="V177" t="s">
        <v>153</v>
      </c>
    </row>
    <row r="178" spans="9:22" x14ac:dyDescent="0.45">
      <c r="I178" t="s">
        <v>169</v>
      </c>
      <c r="J178" t="s">
        <v>240</v>
      </c>
      <c r="K178">
        <v>0</v>
      </c>
      <c r="L178" t="s">
        <v>153</v>
      </c>
      <c r="N178" t="s">
        <v>198</v>
      </c>
      <c r="O178" t="s">
        <v>240</v>
      </c>
      <c r="P178">
        <v>1.3630551268624183E-2</v>
      </c>
      <c r="Q178" t="s">
        <v>153</v>
      </c>
      <c r="S178" t="s">
        <v>213</v>
      </c>
      <c r="T178" t="s">
        <v>240</v>
      </c>
      <c r="U178">
        <v>6.3757279407984603E-4</v>
      </c>
      <c r="V178" t="s">
        <v>153</v>
      </c>
    </row>
    <row r="179" spans="9:22" x14ac:dyDescent="0.45">
      <c r="I179" t="s">
        <v>169</v>
      </c>
      <c r="J179" t="s">
        <v>162</v>
      </c>
      <c r="K179">
        <v>0</v>
      </c>
      <c r="L179" t="s">
        <v>153</v>
      </c>
      <c r="N179" t="s">
        <v>198</v>
      </c>
      <c r="O179" t="s">
        <v>162</v>
      </c>
      <c r="P179">
        <v>4.6680329345503903E-2</v>
      </c>
      <c r="Q179" t="s">
        <v>153</v>
      </c>
      <c r="S179" t="s">
        <v>213</v>
      </c>
      <c r="T179" t="s">
        <v>162</v>
      </c>
      <c r="U179">
        <v>1.9331091406054882E-2</v>
      </c>
      <c r="V179" t="s">
        <v>153</v>
      </c>
    </row>
    <row r="180" spans="9:22" x14ac:dyDescent="0.45">
      <c r="I180" t="s">
        <v>169</v>
      </c>
      <c r="J180" t="s">
        <v>163</v>
      </c>
      <c r="K180">
        <v>1.3183161746225839E-3</v>
      </c>
      <c r="L180" t="s">
        <v>153</v>
      </c>
      <c r="N180" t="s">
        <v>198</v>
      </c>
      <c r="O180" t="s">
        <v>163</v>
      </c>
      <c r="P180">
        <v>6.5656485916504729E-3</v>
      </c>
      <c r="Q180" t="s">
        <v>153</v>
      </c>
      <c r="S180" t="s">
        <v>213</v>
      </c>
      <c r="T180" t="s">
        <v>163</v>
      </c>
      <c r="U180">
        <v>3.2038280359999141E-3</v>
      </c>
      <c r="V180" t="s">
        <v>153</v>
      </c>
    </row>
    <row r="181" spans="9:22" x14ac:dyDescent="0.45">
      <c r="I181" t="s">
        <v>169</v>
      </c>
      <c r="J181" t="s">
        <v>164</v>
      </c>
      <c r="K181">
        <v>7.6245132505029387E-2</v>
      </c>
      <c r="L181" t="s">
        <v>153</v>
      </c>
      <c r="N181" t="s">
        <v>198</v>
      </c>
      <c r="O181" t="s">
        <v>164</v>
      </c>
      <c r="P181">
        <v>3.3395877404677005E-2</v>
      </c>
      <c r="Q181" t="s">
        <v>153</v>
      </c>
      <c r="S181" t="s">
        <v>213</v>
      </c>
      <c r="T181" t="s">
        <v>164</v>
      </c>
      <c r="U181">
        <v>2.7542428909461826E-2</v>
      </c>
      <c r="V181" t="s">
        <v>153</v>
      </c>
    </row>
    <row r="182" spans="9:22" x14ac:dyDescent="0.45">
      <c r="I182" t="s">
        <v>169</v>
      </c>
      <c r="J182" t="s">
        <v>241</v>
      </c>
      <c r="K182">
        <v>4.4726813292372443E-3</v>
      </c>
      <c r="L182" t="s">
        <v>153</v>
      </c>
      <c r="N182" t="s">
        <v>198</v>
      </c>
      <c r="O182" t="s">
        <v>241</v>
      </c>
      <c r="P182">
        <v>1.1514751601858176E-3</v>
      </c>
      <c r="Q182" t="s">
        <v>153</v>
      </c>
      <c r="S182" t="s">
        <v>213</v>
      </c>
      <c r="T182" t="s">
        <v>241</v>
      </c>
      <c r="U182">
        <v>2.1991819779685474E-3</v>
      </c>
      <c r="V182" t="s">
        <v>153</v>
      </c>
    </row>
    <row r="183" spans="9:22" x14ac:dyDescent="0.45">
      <c r="I183" t="s">
        <v>169</v>
      </c>
      <c r="J183" t="s">
        <v>242</v>
      </c>
      <c r="K183">
        <v>9.5597411056220051E-4</v>
      </c>
      <c r="L183" t="s">
        <v>153</v>
      </c>
      <c r="N183" t="s">
        <v>198</v>
      </c>
      <c r="O183" t="s">
        <v>242</v>
      </c>
      <c r="P183">
        <v>1.4394106371198314E-3</v>
      </c>
      <c r="Q183" t="s">
        <v>153</v>
      </c>
      <c r="S183" t="s">
        <v>213</v>
      </c>
      <c r="T183" t="s">
        <v>242</v>
      </c>
      <c r="U183">
        <v>2.1767125977441583E-3</v>
      </c>
      <c r="V183" t="s">
        <v>153</v>
      </c>
    </row>
    <row r="184" spans="9:22" x14ac:dyDescent="0.45">
      <c r="I184" t="s">
        <v>169</v>
      </c>
      <c r="J184" t="s">
        <v>243</v>
      </c>
      <c r="K184">
        <v>0</v>
      </c>
      <c r="L184" t="s">
        <v>153</v>
      </c>
      <c r="N184" t="s">
        <v>198</v>
      </c>
      <c r="O184" t="s">
        <v>243</v>
      </c>
      <c r="P184">
        <v>1.8044691344687617E-2</v>
      </c>
      <c r="Q184" t="s">
        <v>153</v>
      </c>
      <c r="S184" t="s">
        <v>213</v>
      </c>
      <c r="T184" t="s">
        <v>243</v>
      </c>
      <c r="U184">
        <v>1.1915182438739546E-2</v>
      </c>
      <c r="V184" t="s">
        <v>153</v>
      </c>
    </row>
    <row r="185" spans="9:22" x14ac:dyDescent="0.45">
      <c r="I185" t="s">
        <v>169</v>
      </c>
      <c r="J185" t="s">
        <v>249</v>
      </c>
      <c r="K185">
        <v>0</v>
      </c>
      <c r="L185" t="s">
        <v>153</v>
      </c>
      <c r="N185" t="s">
        <v>198</v>
      </c>
      <c r="O185" t="s">
        <v>249</v>
      </c>
      <c r="P185">
        <v>4.1960326824070499E-2</v>
      </c>
      <c r="Q185" t="s">
        <v>153</v>
      </c>
      <c r="S185" t="s">
        <v>213</v>
      </c>
      <c r="T185" t="s">
        <v>249</v>
      </c>
      <c r="U185">
        <v>1.1475464431243608E-2</v>
      </c>
      <c r="V185" t="s">
        <v>153</v>
      </c>
    </row>
    <row r="186" spans="9:22" x14ac:dyDescent="0.45">
      <c r="I186" t="s">
        <v>169</v>
      </c>
      <c r="J186" t="s">
        <v>250</v>
      </c>
      <c r="K186">
        <v>0</v>
      </c>
      <c r="L186" t="s">
        <v>153</v>
      </c>
      <c r="N186" t="s">
        <v>198</v>
      </c>
      <c r="O186" t="s">
        <v>250</v>
      </c>
      <c r="P186">
        <v>5.5056019964578578E-3</v>
      </c>
      <c r="Q186" t="s">
        <v>153</v>
      </c>
      <c r="S186" t="s">
        <v>213</v>
      </c>
      <c r="T186" t="s">
        <v>250</v>
      </c>
      <c r="U186">
        <v>2.0837163114955154E-3</v>
      </c>
      <c r="V186" t="s">
        <v>153</v>
      </c>
    </row>
    <row r="187" spans="9:22" x14ac:dyDescent="0.45">
      <c r="I187" t="s">
        <v>169</v>
      </c>
      <c r="J187" t="s">
        <v>251</v>
      </c>
      <c r="K187">
        <v>4.5780363500189339E-2</v>
      </c>
      <c r="L187" t="s">
        <v>153</v>
      </c>
      <c r="N187" t="s">
        <v>198</v>
      </c>
      <c r="O187" t="s">
        <v>251</v>
      </c>
      <c r="P187">
        <v>2.6000943707596175E-2</v>
      </c>
      <c r="Q187" t="s">
        <v>153</v>
      </c>
      <c r="S187" t="s">
        <v>213</v>
      </c>
      <c r="T187" t="s">
        <v>251</v>
      </c>
      <c r="U187">
        <v>1.9905882676203523E-2</v>
      </c>
      <c r="V187" t="s">
        <v>153</v>
      </c>
    </row>
    <row r="188" spans="9:22" x14ac:dyDescent="0.45">
      <c r="I188" t="s">
        <v>169</v>
      </c>
      <c r="J188" t="s">
        <v>252</v>
      </c>
      <c r="K188">
        <v>3.8039807511732206E-3</v>
      </c>
      <c r="L188" t="s">
        <v>153</v>
      </c>
      <c r="N188" t="s">
        <v>198</v>
      </c>
      <c r="O188" t="s">
        <v>252</v>
      </c>
      <c r="P188">
        <v>9.5385141278401544E-4</v>
      </c>
      <c r="Q188" t="s">
        <v>153</v>
      </c>
      <c r="S188" t="s">
        <v>213</v>
      </c>
      <c r="T188" t="s">
        <v>252</v>
      </c>
      <c r="U188">
        <v>1.2067456103609471E-3</v>
      </c>
      <c r="V188" t="s">
        <v>153</v>
      </c>
    </row>
    <row r="189" spans="9:22" x14ac:dyDescent="0.45">
      <c r="I189" t="s">
        <v>169</v>
      </c>
      <c r="J189" t="s">
        <v>253</v>
      </c>
      <c r="K189">
        <v>2.3123402875689417E-3</v>
      </c>
      <c r="L189" t="s">
        <v>153</v>
      </c>
      <c r="N189" t="s">
        <v>198</v>
      </c>
      <c r="O189" t="s">
        <v>253</v>
      </c>
      <c r="P189">
        <v>1.2256664523437855E-3</v>
      </c>
      <c r="Q189" t="s">
        <v>153</v>
      </c>
      <c r="S189" t="s">
        <v>213</v>
      </c>
      <c r="T189" t="s">
        <v>253</v>
      </c>
      <c r="U189">
        <v>1.316450867639034E-3</v>
      </c>
      <c r="V189" t="s">
        <v>153</v>
      </c>
    </row>
    <row r="190" spans="9:22" x14ac:dyDescent="0.45">
      <c r="I190" t="s">
        <v>169</v>
      </c>
      <c r="J190" t="s">
        <v>254</v>
      </c>
      <c r="K190">
        <v>0</v>
      </c>
      <c r="L190" t="s">
        <v>153</v>
      </c>
      <c r="N190" t="s">
        <v>198</v>
      </c>
      <c r="O190" t="s">
        <v>254</v>
      </c>
      <c r="P190">
        <v>1.4858843473933892E-2</v>
      </c>
      <c r="Q190" t="s">
        <v>153</v>
      </c>
      <c r="S190" t="s">
        <v>213</v>
      </c>
      <c r="T190" t="s">
        <v>254</v>
      </c>
      <c r="U190">
        <v>7.7265651112180846E-3</v>
      </c>
      <c r="V190" t="s">
        <v>153</v>
      </c>
    </row>
    <row r="191" spans="9:22" x14ac:dyDescent="0.45">
      <c r="I191" t="s">
        <v>170</v>
      </c>
      <c r="J191" t="s">
        <v>152</v>
      </c>
      <c r="K191">
        <v>0</v>
      </c>
      <c r="L191" t="s">
        <v>153</v>
      </c>
      <c r="N191" t="s">
        <v>199</v>
      </c>
      <c r="O191" t="s">
        <v>152</v>
      </c>
      <c r="P191">
        <v>0.27090800426662653</v>
      </c>
      <c r="Q191" t="s">
        <v>153</v>
      </c>
      <c r="S191" t="s">
        <v>214</v>
      </c>
      <c r="T191" t="s">
        <v>152</v>
      </c>
      <c r="U191">
        <v>0.23924238572214937</v>
      </c>
      <c r="V191" t="s">
        <v>153</v>
      </c>
    </row>
    <row r="192" spans="9:22" x14ac:dyDescent="0.45">
      <c r="I192" t="s">
        <v>170</v>
      </c>
      <c r="J192" t="s">
        <v>154</v>
      </c>
      <c r="K192">
        <v>2.0947867929096774E-2</v>
      </c>
      <c r="L192" t="s">
        <v>153</v>
      </c>
      <c r="N192" t="s">
        <v>199</v>
      </c>
      <c r="O192" t="s">
        <v>154</v>
      </c>
      <c r="P192">
        <v>2.4660980789136828E-2</v>
      </c>
      <c r="Q192" t="s">
        <v>153</v>
      </c>
      <c r="S192" t="s">
        <v>214</v>
      </c>
      <c r="T192" t="s">
        <v>154</v>
      </c>
      <c r="U192">
        <v>3.1532737627064523E-2</v>
      </c>
      <c r="V192" t="s">
        <v>153</v>
      </c>
    </row>
    <row r="193" spans="9:22" x14ac:dyDescent="0.45">
      <c r="I193" t="s">
        <v>170</v>
      </c>
      <c r="J193" t="s">
        <v>155</v>
      </c>
      <c r="K193">
        <v>0.67942836833980758</v>
      </c>
      <c r="L193" t="s">
        <v>153</v>
      </c>
      <c r="N193" t="s">
        <v>199</v>
      </c>
      <c r="O193" t="s">
        <v>155</v>
      </c>
      <c r="P193">
        <v>0.19212394253402751</v>
      </c>
      <c r="Q193" t="s">
        <v>153</v>
      </c>
      <c r="S193" t="s">
        <v>214</v>
      </c>
      <c r="T193" t="s">
        <v>155</v>
      </c>
      <c r="U193">
        <v>0.29391406997076441</v>
      </c>
      <c r="V193" t="s">
        <v>153</v>
      </c>
    </row>
    <row r="194" spans="9:22" x14ac:dyDescent="0.45">
      <c r="I194" t="s">
        <v>170</v>
      </c>
      <c r="J194" t="s">
        <v>232</v>
      </c>
      <c r="K194">
        <v>4.8959441704320254E-2</v>
      </c>
      <c r="L194" t="s">
        <v>153</v>
      </c>
      <c r="N194" t="s">
        <v>199</v>
      </c>
      <c r="O194" t="s">
        <v>232</v>
      </c>
      <c r="P194">
        <v>1.6870316774981964E-2</v>
      </c>
      <c r="Q194" t="s">
        <v>153</v>
      </c>
      <c r="S194" t="s">
        <v>214</v>
      </c>
      <c r="T194" t="s">
        <v>232</v>
      </c>
      <c r="U194">
        <v>3.2435691416807917E-2</v>
      </c>
      <c r="V194" t="s">
        <v>153</v>
      </c>
    </row>
    <row r="195" spans="9:22" x14ac:dyDescent="0.45">
      <c r="I195" t="s">
        <v>170</v>
      </c>
      <c r="J195" t="s">
        <v>233</v>
      </c>
      <c r="K195">
        <v>2.7602530365926154E-2</v>
      </c>
      <c r="L195" t="s">
        <v>153</v>
      </c>
      <c r="N195" t="s">
        <v>199</v>
      </c>
      <c r="O195" t="s">
        <v>233</v>
      </c>
      <c r="P195">
        <v>1.9062015124920954E-2</v>
      </c>
      <c r="Q195" t="s">
        <v>153</v>
      </c>
      <c r="S195" t="s">
        <v>214</v>
      </c>
      <c r="T195" t="s">
        <v>233</v>
      </c>
      <c r="U195">
        <v>3.3831902901572258E-2</v>
      </c>
      <c r="V195" t="s">
        <v>153</v>
      </c>
    </row>
    <row r="196" spans="9:22" x14ac:dyDescent="0.45">
      <c r="I196" t="s">
        <v>170</v>
      </c>
      <c r="J196" t="s">
        <v>234</v>
      </c>
      <c r="K196">
        <v>5.9085726854175467E-4</v>
      </c>
      <c r="L196" t="s">
        <v>153</v>
      </c>
      <c r="N196" t="s">
        <v>199</v>
      </c>
      <c r="O196" t="s">
        <v>234</v>
      </c>
      <c r="P196">
        <v>0.17124868020625783</v>
      </c>
      <c r="Q196" t="s">
        <v>153</v>
      </c>
      <c r="S196" t="s">
        <v>214</v>
      </c>
      <c r="T196" t="s">
        <v>234</v>
      </c>
      <c r="U196">
        <v>0.17479322971553954</v>
      </c>
      <c r="V196" t="s">
        <v>153</v>
      </c>
    </row>
    <row r="197" spans="9:22" x14ac:dyDescent="0.45">
      <c r="I197" t="s">
        <v>170</v>
      </c>
      <c r="J197" t="s">
        <v>156</v>
      </c>
      <c r="K197">
        <v>0</v>
      </c>
      <c r="L197" t="s">
        <v>153</v>
      </c>
      <c r="N197" t="s">
        <v>199</v>
      </c>
      <c r="O197" t="s">
        <v>156</v>
      </c>
      <c r="P197">
        <v>1.0665194331016972E-2</v>
      </c>
      <c r="Q197" t="s">
        <v>153</v>
      </c>
      <c r="S197" t="s">
        <v>214</v>
      </c>
      <c r="T197" t="s">
        <v>156</v>
      </c>
      <c r="U197">
        <v>4.7109691135971556E-4</v>
      </c>
      <c r="V197" t="s">
        <v>153</v>
      </c>
    </row>
    <row r="198" spans="9:22" x14ac:dyDescent="0.45">
      <c r="I198" t="s">
        <v>170</v>
      </c>
      <c r="J198" t="s">
        <v>157</v>
      </c>
      <c r="K198">
        <v>9.6793253026079677E-4</v>
      </c>
      <c r="L198" t="s">
        <v>153</v>
      </c>
      <c r="N198" t="s">
        <v>199</v>
      </c>
      <c r="O198" t="s">
        <v>157</v>
      </c>
      <c r="P198">
        <v>1.5753960036514613E-3</v>
      </c>
      <c r="Q198" t="s">
        <v>153</v>
      </c>
      <c r="S198" t="s">
        <v>214</v>
      </c>
      <c r="T198" t="s">
        <v>157</v>
      </c>
      <c r="U198">
        <v>7.9513881714681961E-5</v>
      </c>
      <c r="V198" t="s">
        <v>153</v>
      </c>
    </row>
    <row r="199" spans="9:22" x14ac:dyDescent="0.45">
      <c r="I199" t="s">
        <v>170</v>
      </c>
      <c r="J199" t="s">
        <v>158</v>
      </c>
      <c r="K199">
        <v>2.1355655070164636E-2</v>
      </c>
      <c r="L199" t="s">
        <v>153</v>
      </c>
      <c r="N199" t="s">
        <v>199</v>
      </c>
      <c r="O199" t="s">
        <v>158</v>
      </c>
      <c r="P199">
        <v>9.1285851842183591E-3</v>
      </c>
      <c r="Q199" t="s">
        <v>153</v>
      </c>
      <c r="S199" t="s">
        <v>214</v>
      </c>
      <c r="T199" t="s">
        <v>158</v>
      </c>
      <c r="U199">
        <v>6.4029427094251768E-4</v>
      </c>
      <c r="V199" t="s">
        <v>153</v>
      </c>
    </row>
    <row r="200" spans="9:22" x14ac:dyDescent="0.45">
      <c r="I200" t="s">
        <v>170</v>
      </c>
      <c r="J200" t="s">
        <v>235</v>
      </c>
      <c r="K200">
        <v>1.3368945140883604E-3</v>
      </c>
      <c r="L200" t="s">
        <v>153</v>
      </c>
      <c r="N200" t="s">
        <v>199</v>
      </c>
      <c r="O200" t="s">
        <v>235</v>
      </c>
      <c r="P200">
        <v>4.7324467569139622E-4</v>
      </c>
      <c r="Q200" t="s">
        <v>153</v>
      </c>
      <c r="S200" t="s">
        <v>214</v>
      </c>
      <c r="T200" t="s">
        <v>235</v>
      </c>
      <c r="U200">
        <v>2.2735326725156568E-5</v>
      </c>
      <c r="V200" t="s">
        <v>153</v>
      </c>
    </row>
    <row r="201" spans="9:22" x14ac:dyDescent="0.45">
      <c r="I201" t="s">
        <v>170</v>
      </c>
      <c r="J201" t="s">
        <v>236</v>
      </c>
      <c r="K201">
        <v>8.2031221484977731E-4</v>
      </c>
      <c r="L201" t="s">
        <v>153</v>
      </c>
      <c r="N201" t="s">
        <v>199</v>
      </c>
      <c r="O201" t="s">
        <v>236</v>
      </c>
      <c r="P201">
        <v>6.3533669998231735E-4</v>
      </c>
      <c r="Q201" t="s">
        <v>153</v>
      </c>
      <c r="S201" t="s">
        <v>214</v>
      </c>
      <c r="T201" t="s">
        <v>236</v>
      </c>
      <c r="U201">
        <v>4.6351923666545692E-5</v>
      </c>
      <c r="V201" t="s">
        <v>153</v>
      </c>
    </row>
    <row r="202" spans="9:22" x14ac:dyDescent="0.45">
      <c r="I202" t="s">
        <v>170</v>
      </c>
      <c r="J202" t="s">
        <v>237</v>
      </c>
      <c r="K202">
        <v>0</v>
      </c>
      <c r="L202" t="s">
        <v>153</v>
      </c>
      <c r="N202" t="s">
        <v>199</v>
      </c>
      <c r="O202" t="s">
        <v>237</v>
      </c>
      <c r="P202">
        <v>4.552517806592285E-3</v>
      </c>
      <c r="Q202" t="s">
        <v>153</v>
      </c>
      <c r="S202" t="s">
        <v>214</v>
      </c>
      <c r="T202" t="s">
        <v>237</v>
      </c>
      <c r="U202">
        <v>4.3181079285601248E-4</v>
      </c>
      <c r="V202" t="s">
        <v>153</v>
      </c>
    </row>
    <row r="203" spans="9:22" x14ac:dyDescent="0.45">
      <c r="I203" t="s">
        <v>170</v>
      </c>
      <c r="J203" t="s">
        <v>159</v>
      </c>
      <c r="K203">
        <v>0</v>
      </c>
      <c r="L203" t="s">
        <v>153</v>
      </c>
      <c r="N203" t="s">
        <v>199</v>
      </c>
      <c r="O203" t="s">
        <v>159</v>
      </c>
      <c r="P203">
        <v>2.1717640061316441E-2</v>
      </c>
      <c r="Q203" t="s">
        <v>153</v>
      </c>
      <c r="S203" t="s">
        <v>214</v>
      </c>
      <c r="T203" t="s">
        <v>159</v>
      </c>
      <c r="U203">
        <v>4.1415896267393715E-3</v>
      </c>
      <c r="V203" t="s">
        <v>153</v>
      </c>
    </row>
    <row r="204" spans="9:22" x14ac:dyDescent="0.45">
      <c r="I204" t="s">
        <v>170</v>
      </c>
      <c r="J204" t="s">
        <v>160</v>
      </c>
      <c r="K204">
        <v>2.7997018038892897E-3</v>
      </c>
      <c r="L204" t="s">
        <v>153</v>
      </c>
      <c r="N204" t="s">
        <v>199</v>
      </c>
      <c r="O204" t="s">
        <v>160</v>
      </c>
      <c r="P204">
        <v>3.0531293951473939E-3</v>
      </c>
      <c r="Q204" t="s">
        <v>153</v>
      </c>
      <c r="S204" t="s">
        <v>214</v>
      </c>
      <c r="T204" t="s">
        <v>160</v>
      </c>
      <c r="U204">
        <v>7.3609844904198851E-4</v>
      </c>
      <c r="V204" t="s">
        <v>153</v>
      </c>
    </row>
    <row r="205" spans="9:22" x14ac:dyDescent="0.45">
      <c r="I205" t="s">
        <v>170</v>
      </c>
      <c r="J205" t="s">
        <v>161</v>
      </c>
      <c r="K205">
        <v>5.5421134533785332E-2</v>
      </c>
      <c r="L205" t="s">
        <v>153</v>
      </c>
      <c r="N205" t="s">
        <v>199</v>
      </c>
      <c r="O205" t="s">
        <v>161</v>
      </c>
      <c r="P205">
        <v>2.776331332642798E-2</v>
      </c>
      <c r="Q205" t="s">
        <v>153</v>
      </c>
      <c r="S205" t="s">
        <v>214</v>
      </c>
      <c r="T205" t="s">
        <v>161</v>
      </c>
      <c r="U205">
        <v>5.6193292106122448E-3</v>
      </c>
      <c r="V205" t="s">
        <v>153</v>
      </c>
    </row>
    <row r="206" spans="9:22" x14ac:dyDescent="0.45">
      <c r="I206" t="s">
        <v>170</v>
      </c>
      <c r="J206" t="s">
        <v>238</v>
      </c>
      <c r="K206">
        <v>3.0527549954891525E-3</v>
      </c>
      <c r="L206" t="s">
        <v>153</v>
      </c>
      <c r="N206" t="s">
        <v>199</v>
      </c>
      <c r="O206" t="s">
        <v>238</v>
      </c>
      <c r="P206">
        <v>1.9415648483724795E-3</v>
      </c>
      <c r="Q206" t="s">
        <v>153</v>
      </c>
      <c r="S206" t="s">
        <v>214</v>
      </c>
      <c r="T206" t="s">
        <v>238</v>
      </c>
      <c r="U206">
        <v>3.0375210774732919E-4</v>
      </c>
      <c r="V206" t="s">
        <v>153</v>
      </c>
    </row>
    <row r="207" spans="9:22" x14ac:dyDescent="0.45">
      <c r="I207" t="s">
        <v>170</v>
      </c>
      <c r="J207" t="s">
        <v>239</v>
      </c>
      <c r="K207">
        <v>3.8102836583483042E-4</v>
      </c>
      <c r="L207" t="s">
        <v>153</v>
      </c>
      <c r="N207" t="s">
        <v>199</v>
      </c>
      <c r="O207" t="s">
        <v>239</v>
      </c>
      <c r="P207">
        <v>2.2436501680085479E-3</v>
      </c>
      <c r="Q207" t="s">
        <v>153</v>
      </c>
      <c r="S207" t="s">
        <v>214</v>
      </c>
      <c r="T207" t="s">
        <v>239</v>
      </c>
      <c r="U207">
        <v>4.1165326893698715E-4</v>
      </c>
      <c r="V207" t="s">
        <v>153</v>
      </c>
    </row>
    <row r="208" spans="9:22" x14ac:dyDescent="0.45">
      <c r="I208" t="s">
        <v>170</v>
      </c>
      <c r="J208" t="s">
        <v>240</v>
      </c>
      <c r="K208">
        <v>0</v>
      </c>
      <c r="L208" t="s">
        <v>153</v>
      </c>
      <c r="N208" t="s">
        <v>199</v>
      </c>
      <c r="O208" t="s">
        <v>240</v>
      </c>
      <c r="P208">
        <v>1.4468532034254626E-2</v>
      </c>
      <c r="Q208" t="s">
        <v>153</v>
      </c>
      <c r="S208" t="s">
        <v>214</v>
      </c>
      <c r="T208" t="s">
        <v>240</v>
      </c>
      <c r="U208">
        <v>3.2015463874449819E-3</v>
      </c>
      <c r="V208" t="s">
        <v>153</v>
      </c>
    </row>
    <row r="209" spans="9:22" x14ac:dyDescent="0.45">
      <c r="I209" t="s">
        <v>170</v>
      </c>
      <c r="J209" t="s">
        <v>162</v>
      </c>
      <c r="K209">
        <v>0</v>
      </c>
      <c r="L209" t="s">
        <v>153</v>
      </c>
      <c r="N209" t="s">
        <v>199</v>
      </c>
      <c r="O209" t="s">
        <v>162</v>
      </c>
      <c r="P209">
        <v>4.5641520632818552E-2</v>
      </c>
      <c r="Q209" t="s">
        <v>153</v>
      </c>
      <c r="S209" t="s">
        <v>214</v>
      </c>
      <c r="T209" t="s">
        <v>162</v>
      </c>
      <c r="U209">
        <v>3.3466040530537443E-2</v>
      </c>
      <c r="V209" t="s">
        <v>153</v>
      </c>
    </row>
    <row r="210" spans="9:22" x14ac:dyDescent="0.45">
      <c r="I210" t="s">
        <v>170</v>
      </c>
      <c r="J210" t="s">
        <v>163</v>
      </c>
      <c r="K210">
        <v>3.5895491576029451E-3</v>
      </c>
      <c r="L210" t="s">
        <v>153</v>
      </c>
      <c r="N210" t="s">
        <v>199</v>
      </c>
      <c r="O210" t="s">
        <v>163</v>
      </c>
      <c r="P210">
        <v>5.4199774770683313E-3</v>
      </c>
      <c r="Q210" t="s">
        <v>153</v>
      </c>
      <c r="S210" t="s">
        <v>214</v>
      </c>
      <c r="T210" t="s">
        <v>163</v>
      </c>
      <c r="U210">
        <v>5.2173720332474955E-3</v>
      </c>
      <c r="V210" t="s">
        <v>153</v>
      </c>
    </row>
    <row r="211" spans="9:22" x14ac:dyDescent="0.45">
      <c r="I211" t="s">
        <v>170</v>
      </c>
      <c r="J211" t="s">
        <v>164</v>
      </c>
      <c r="K211">
        <v>8.0280475002743032E-2</v>
      </c>
      <c r="L211" t="s">
        <v>153</v>
      </c>
      <c r="N211" t="s">
        <v>199</v>
      </c>
      <c r="O211" t="s">
        <v>164</v>
      </c>
      <c r="P211">
        <v>4.2757654962927334E-2</v>
      </c>
      <c r="Q211" t="s">
        <v>153</v>
      </c>
      <c r="S211" t="s">
        <v>214</v>
      </c>
      <c r="T211" t="s">
        <v>164</v>
      </c>
      <c r="U211">
        <v>3.9238151092179013E-2</v>
      </c>
      <c r="V211" t="s">
        <v>153</v>
      </c>
    </row>
    <row r="212" spans="9:22" x14ac:dyDescent="0.45">
      <c r="I212" t="s">
        <v>170</v>
      </c>
      <c r="J212" t="s">
        <v>241</v>
      </c>
      <c r="K212">
        <v>4.5934450299611497E-3</v>
      </c>
      <c r="L212" t="s">
        <v>153</v>
      </c>
      <c r="N212" t="s">
        <v>199</v>
      </c>
      <c r="O212" t="s">
        <v>241</v>
      </c>
      <c r="P212">
        <v>2.5332012772919374E-3</v>
      </c>
      <c r="Q212" t="s">
        <v>153</v>
      </c>
      <c r="S212" t="s">
        <v>214</v>
      </c>
      <c r="T212" t="s">
        <v>241</v>
      </c>
      <c r="U212">
        <v>3.1410407601041189E-3</v>
      </c>
      <c r="V212" t="s">
        <v>153</v>
      </c>
    </row>
    <row r="213" spans="9:22" x14ac:dyDescent="0.45">
      <c r="I213" t="s">
        <v>170</v>
      </c>
      <c r="J213" t="s">
        <v>242</v>
      </c>
      <c r="K213">
        <v>4.2879715995551558E-5</v>
      </c>
      <c r="L213" t="s">
        <v>153</v>
      </c>
      <c r="N213" t="s">
        <v>199</v>
      </c>
      <c r="O213" t="s">
        <v>242</v>
      </c>
      <c r="P213">
        <v>3.116431651472041E-3</v>
      </c>
      <c r="Q213" t="s">
        <v>153</v>
      </c>
      <c r="S213" t="s">
        <v>214</v>
      </c>
      <c r="T213" t="s">
        <v>242</v>
      </c>
      <c r="U213">
        <v>3.5153729588775608E-3</v>
      </c>
      <c r="V213" t="s">
        <v>153</v>
      </c>
    </row>
    <row r="214" spans="9:22" x14ac:dyDescent="0.45">
      <c r="I214" t="s">
        <v>170</v>
      </c>
      <c r="J214" t="s">
        <v>243</v>
      </c>
      <c r="K214">
        <v>0</v>
      </c>
      <c r="L214" t="s">
        <v>153</v>
      </c>
      <c r="N214" t="s">
        <v>199</v>
      </c>
      <c r="O214" t="s">
        <v>243</v>
      </c>
      <c r="P214">
        <v>2.8693883992350924E-2</v>
      </c>
      <c r="Q214" t="s">
        <v>153</v>
      </c>
      <c r="S214" t="s">
        <v>214</v>
      </c>
      <c r="T214" t="s">
        <v>243</v>
      </c>
      <c r="U214">
        <v>2.3864509879975383E-2</v>
      </c>
      <c r="V214" t="s">
        <v>153</v>
      </c>
    </row>
    <row r="215" spans="9:22" x14ac:dyDescent="0.45">
      <c r="I215" t="s">
        <v>170</v>
      </c>
      <c r="J215" t="s">
        <v>249</v>
      </c>
      <c r="K215">
        <v>0</v>
      </c>
      <c r="L215" t="s">
        <v>153</v>
      </c>
      <c r="N215" t="s">
        <v>199</v>
      </c>
      <c r="O215" t="s">
        <v>249</v>
      </c>
      <c r="P215">
        <v>2.9878140152521993E-2</v>
      </c>
      <c r="Q215" t="s">
        <v>153</v>
      </c>
      <c r="S215" t="s">
        <v>214</v>
      </c>
      <c r="T215" t="s">
        <v>249</v>
      </c>
      <c r="U215">
        <v>1.8775679198936867E-2</v>
      </c>
      <c r="V215" t="s">
        <v>153</v>
      </c>
    </row>
    <row r="216" spans="9:22" x14ac:dyDescent="0.45">
      <c r="I216" t="s">
        <v>170</v>
      </c>
      <c r="J216" t="s">
        <v>250</v>
      </c>
      <c r="K216">
        <v>6.6590443551906587E-5</v>
      </c>
      <c r="L216" t="s">
        <v>153</v>
      </c>
      <c r="N216" t="s">
        <v>199</v>
      </c>
      <c r="O216" t="s">
        <v>250</v>
      </c>
      <c r="P216">
        <v>3.6108959256907604E-3</v>
      </c>
      <c r="Q216" t="s">
        <v>153</v>
      </c>
      <c r="S216" t="s">
        <v>214</v>
      </c>
      <c r="T216" t="s">
        <v>250</v>
      </c>
      <c r="U216">
        <v>2.9601322805622695E-3</v>
      </c>
      <c r="V216" t="s">
        <v>153</v>
      </c>
    </row>
    <row r="217" spans="9:22" x14ac:dyDescent="0.45">
      <c r="I217" t="s">
        <v>170</v>
      </c>
      <c r="J217" t="s">
        <v>251</v>
      </c>
      <c r="K217">
        <v>4.2617892933469181E-2</v>
      </c>
      <c r="L217" t="s">
        <v>153</v>
      </c>
      <c r="N217" t="s">
        <v>199</v>
      </c>
      <c r="O217" t="s">
        <v>251</v>
      </c>
      <c r="P217">
        <v>2.4116218003231424E-2</v>
      </c>
      <c r="Q217" t="s">
        <v>153</v>
      </c>
      <c r="S217" t="s">
        <v>214</v>
      </c>
      <c r="T217" t="s">
        <v>251</v>
      </c>
      <c r="U217">
        <v>2.6503783291482019E-2</v>
      </c>
      <c r="V217" t="s">
        <v>153</v>
      </c>
    </row>
    <row r="218" spans="9:22" x14ac:dyDescent="0.45">
      <c r="I218" t="s">
        <v>170</v>
      </c>
      <c r="J218" t="s">
        <v>252</v>
      </c>
      <c r="K218">
        <v>3.3169088459316016E-3</v>
      </c>
      <c r="L218" t="s">
        <v>153</v>
      </c>
      <c r="N218" t="s">
        <v>199</v>
      </c>
      <c r="O218" t="s">
        <v>252</v>
      </c>
      <c r="P218">
        <v>1.0625191986612494E-3</v>
      </c>
      <c r="Q218" t="s">
        <v>153</v>
      </c>
      <c r="S218" t="s">
        <v>214</v>
      </c>
      <c r="T218" t="s">
        <v>252</v>
      </c>
      <c r="U218">
        <v>2.1199734932351943E-3</v>
      </c>
      <c r="V218" t="s">
        <v>153</v>
      </c>
    </row>
    <row r="219" spans="9:22" x14ac:dyDescent="0.45">
      <c r="I219" t="s">
        <v>170</v>
      </c>
      <c r="J219" t="s">
        <v>253</v>
      </c>
      <c r="K219">
        <v>1.8277792346911848E-3</v>
      </c>
      <c r="L219" t="s">
        <v>153</v>
      </c>
      <c r="N219" t="s">
        <v>199</v>
      </c>
      <c r="O219" t="s">
        <v>253</v>
      </c>
      <c r="P219">
        <v>1.5697910359196952E-3</v>
      </c>
      <c r="Q219" t="s">
        <v>153</v>
      </c>
      <c r="S219" t="s">
        <v>214</v>
      </c>
      <c r="T219" t="s">
        <v>253</v>
      </c>
      <c r="U219">
        <v>2.5150666640090273E-3</v>
      </c>
      <c r="V219" t="s">
        <v>153</v>
      </c>
    </row>
    <row r="220" spans="9:22" x14ac:dyDescent="0.45">
      <c r="I220" t="s">
        <v>170</v>
      </c>
      <c r="J220" t="s">
        <v>254</v>
      </c>
      <c r="K220">
        <v>0</v>
      </c>
      <c r="L220" t="s">
        <v>153</v>
      </c>
      <c r="N220" t="s">
        <v>199</v>
      </c>
      <c r="O220" t="s">
        <v>254</v>
      </c>
      <c r="P220">
        <v>1.8507721459416097E-2</v>
      </c>
      <c r="Q220" t="s">
        <v>153</v>
      </c>
      <c r="S220" t="s">
        <v>214</v>
      </c>
      <c r="T220" t="s">
        <v>254</v>
      </c>
      <c r="U220">
        <v>1.6827088305168669E-2</v>
      </c>
      <c r="V220" t="s">
        <v>153</v>
      </c>
    </row>
    <row r="221" spans="9:22" x14ac:dyDescent="0.45">
      <c r="I221" t="s">
        <v>171</v>
      </c>
      <c r="J221" t="s">
        <v>152</v>
      </c>
      <c r="K221">
        <v>0</v>
      </c>
      <c r="L221" t="s">
        <v>153</v>
      </c>
      <c r="N221" t="s">
        <v>200</v>
      </c>
      <c r="O221" t="s">
        <v>152</v>
      </c>
      <c r="P221">
        <v>0.24080771646369864</v>
      </c>
      <c r="Q221" t="s">
        <v>153</v>
      </c>
      <c r="S221" t="s">
        <v>215</v>
      </c>
      <c r="T221" t="s">
        <v>152</v>
      </c>
      <c r="U221">
        <v>0.24793662569005781</v>
      </c>
      <c r="V221" t="s">
        <v>153</v>
      </c>
    </row>
    <row r="222" spans="9:22" x14ac:dyDescent="0.45">
      <c r="I222" t="s">
        <v>171</v>
      </c>
      <c r="J222" t="s">
        <v>154</v>
      </c>
      <c r="K222">
        <v>2.226515124276001E-2</v>
      </c>
      <c r="L222" t="s">
        <v>153</v>
      </c>
      <c r="N222" t="s">
        <v>200</v>
      </c>
      <c r="O222" t="s">
        <v>154</v>
      </c>
      <c r="P222">
        <v>2.5375598811145064E-2</v>
      </c>
      <c r="Q222" t="s">
        <v>153</v>
      </c>
      <c r="S222" t="s">
        <v>215</v>
      </c>
      <c r="T222" t="s">
        <v>154</v>
      </c>
      <c r="U222">
        <v>3.3238471730242358E-2</v>
      </c>
      <c r="V222" t="s">
        <v>153</v>
      </c>
    </row>
    <row r="223" spans="9:22" x14ac:dyDescent="0.45">
      <c r="I223" t="s">
        <v>171</v>
      </c>
      <c r="J223" t="s">
        <v>155</v>
      </c>
      <c r="K223">
        <v>0.68078137068696765</v>
      </c>
      <c r="L223" t="s">
        <v>153</v>
      </c>
      <c r="N223" t="s">
        <v>200</v>
      </c>
      <c r="O223" t="s">
        <v>155</v>
      </c>
      <c r="P223">
        <v>0.22194434889689504</v>
      </c>
      <c r="Q223" t="s">
        <v>153</v>
      </c>
      <c r="S223" t="s">
        <v>215</v>
      </c>
      <c r="T223" t="s">
        <v>155</v>
      </c>
      <c r="U223">
        <v>0.30948610969464724</v>
      </c>
      <c r="V223" t="s">
        <v>153</v>
      </c>
    </row>
    <row r="224" spans="9:22" x14ac:dyDescent="0.45">
      <c r="I224" t="s">
        <v>171</v>
      </c>
      <c r="J224" t="s">
        <v>232</v>
      </c>
      <c r="K224">
        <v>4.6997203306707896E-2</v>
      </c>
      <c r="L224" t="s">
        <v>153</v>
      </c>
      <c r="N224" t="s">
        <v>200</v>
      </c>
      <c r="O224" t="s">
        <v>232</v>
      </c>
      <c r="P224">
        <v>1.6906430863359068E-2</v>
      </c>
      <c r="Q224" t="s">
        <v>153</v>
      </c>
      <c r="S224" t="s">
        <v>215</v>
      </c>
      <c r="T224" t="s">
        <v>232</v>
      </c>
      <c r="U224">
        <v>3.2952026256146551E-2</v>
      </c>
      <c r="V224" t="s">
        <v>153</v>
      </c>
    </row>
    <row r="225" spans="9:22" x14ac:dyDescent="0.45">
      <c r="I225" t="s">
        <v>171</v>
      </c>
      <c r="J225" t="s">
        <v>233</v>
      </c>
      <c r="K225">
        <v>2.6176412932423797E-2</v>
      </c>
      <c r="L225" t="s">
        <v>153</v>
      </c>
      <c r="N225" t="s">
        <v>200</v>
      </c>
      <c r="O225" t="s">
        <v>233</v>
      </c>
      <c r="P225">
        <v>1.8986095714054834E-2</v>
      </c>
      <c r="Q225" t="s">
        <v>153</v>
      </c>
      <c r="S225" t="s">
        <v>215</v>
      </c>
      <c r="T225" t="s">
        <v>233</v>
      </c>
      <c r="U225">
        <v>3.359878048703694E-2</v>
      </c>
      <c r="V225" t="s">
        <v>153</v>
      </c>
    </row>
    <row r="226" spans="9:22" x14ac:dyDescent="0.45">
      <c r="I226" t="s">
        <v>171</v>
      </c>
      <c r="J226" t="s">
        <v>234</v>
      </c>
      <c r="K226">
        <v>7.5400881560145409E-6</v>
      </c>
      <c r="L226" t="s">
        <v>153</v>
      </c>
      <c r="N226" t="s">
        <v>200</v>
      </c>
      <c r="O226" t="s">
        <v>234</v>
      </c>
      <c r="P226">
        <v>0.1527682406142471</v>
      </c>
      <c r="Q226" t="s">
        <v>153</v>
      </c>
      <c r="S226" t="s">
        <v>215</v>
      </c>
      <c r="T226" t="s">
        <v>234</v>
      </c>
      <c r="U226">
        <v>0.17147963694554691</v>
      </c>
      <c r="V226" t="s">
        <v>153</v>
      </c>
    </row>
    <row r="227" spans="9:22" x14ac:dyDescent="0.45">
      <c r="I227" t="s">
        <v>171</v>
      </c>
      <c r="J227" t="s">
        <v>156</v>
      </c>
      <c r="K227">
        <v>0</v>
      </c>
      <c r="L227" t="s">
        <v>153</v>
      </c>
      <c r="N227" t="s">
        <v>200</v>
      </c>
      <c r="O227" t="s">
        <v>156</v>
      </c>
      <c r="P227">
        <v>6.9052873342529764E-3</v>
      </c>
      <c r="Q227" t="s">
        <v>153</v>
      </c>
      <c r="S227" t="s">
        <v>215</v>
      </c>
      <c r="T227" t="s">
        <v>156</v>
      </c>
      <c r="U227">
        <v>3.8016189369400797E-4</v>
      </c>
      <c r="V227" t="s">
        <v>153</v>
      </c>
    </row>
    <row r="228" spans="9:22" x14ac:dyDescent="0.45">
      <c r="I228" t="s">
        <v>171</v>
      </c>
      <c r="J228" t="s">
        <v>157</v>
      </c>
      <c r="K228">
        <v>1.1132088961003704E-3</v>
      </c>
      <c r="L228" t="s">
        <v>153</v>
      </c>
      <c r="N228" t="s">
        <v>200</v>
      </c>
      <c r="O228" t="s">
        <v>157</v>
      </c>
      <c r="P228">
        <v>1.5516046450075242E-3</v>
      </c>
      <c r="Q228" t="s">
        <v>153</v>
      </c>
      <c r="S228" t="s">
        <v>215</v>
      </c>
      <c r="T228" t="s">
        <v>157</v>
      </c>
      <c r="U228">
        <v>6.6138152325012517E-5</v>
      </c>
      <c r="V228" t="s">
        <v>153</v>
      </c>
    </row>
    <row r="229" spans="9:22" x14ac:dyDescent="0.45">
      <c r="I229" t="s">
        <v>171</v>
      </c>
      <c r="J229" t="s">
        <v>158</v>
      </c>
      <c r="K229">
        <v>2.2526143505014199E-2</v>
      </c>
      <c r="L229" t="s">
        <v>153</v>
      </c>
      <c r="N229" t="s">
        <v>200</v>
      </c>
      <c r="O229" t="s">
        <v>158</v>
      </c>
      <c r="P229">
        <v>1.1749101359740433E-2</v>
      </c>
      <c r="Q229" t="s">
        <v>153</v>
      </c>
      <c r="S229" t="s">
        <v>215</v>
      </c>
      <c r="T229" t="s">
        <v>158</v>
      </c>
      <c r="U229">
        <v>6.0182685801477584E-4</v>
      </c>
      <c r="V229" t="s">
        <v>153</v>
      </c>
    </row>
    <row r="230" spans="9:22" x14ac:dyDescent="0.45">
      <c r="I230" t="s">
        <v>171</v>
      </c>
      <c r="J230" t="s">
        <v>235</v>
      </c>
      <c r="K230">
        <v>1.2472787061332108E-3</v>
      </c>
      <c r="L230" t="s">
        <v>153</v>
      </c>
      <c r="N230" t="s">
        <v>200</v>
      </c>
      <c r="O230" t="s">
        <v>235</v>
      </c>
      <c r="P230">
        <v>4.8803481442364662E-4</v>
      </c>
      <c r="Q230" t="s">
        <v>153</v>
      </c>
      <c r="S230" t="s">
        <v>215</v>
      </c>
      <c r="T230" t="s">
        <v>235</v>
      </c>
      <c r="U230">
        <v>3.6968117702548116E-5</v>
      </c>
      <c r="V230" t="s">
        <v>153</v>
      </c>
    </row>
    <row r="231" spans="9:22" x14ac:dyDescent="0.45">
      <c r="I231" t="s">
        <v>171</v>
      </c>
      <c r="J231" t="s">
        <v>236</v>
      </c>
      <c r="K231">
        <v>1.587379624988746E-4</v>
      </c>
      <c r="L231" t="s">
        <v>153</v>
      </c>
      <c r="N231" t="s">
        <v>200</v>
      </c>
      <c r="O231" t="s">
        <v>236</v>
      </c>
      <c r="P231">
        <v>5.4476229272964853E-4</v>
      </c>
      <c r="Q231" t="s">
        <v>153</v>
      </c>
      <c r="S231" t="s">
        <v>215</v>
      </c>
      <c r="T231" t="s">
        <v>236</v>
      </c>
      <c r="U231">
        <v>4.7363706195938804E-5</v>
      </c>
      <c r="V231" t="s">
        <v>153</v>
      </c>
    </row>
    <row r="232" spans="9:22" x14ac:dyDescent="0.45">
      <c r="I232" t="s">
        <v>171</v>
      </c>
      <c r="J232" t="s">
        <v>237</v>
      </c>
      <c r="K232">
        <v>0</v>
      </c>
      <c r="L232" t="s">
        <v>153</v>
      </c>
      <c r="N232" t="s">
        <v>200</v>
      </c>
      <c r="O232" t="s">
        <v>237</v>
      </c>
      <c r="P232">
        <v>3.6759805627894038E-3</v>
      </c>
      <c r="Q232" t="s">
        <v>153</v>
      </c>
      <c r="S232" t="s">
        <v>215</v>
      </c>
      <c r="T232" t="s">
        <v>237</v>
      </c>
      <c r="U232">
        <v>3.2418699894215357E-4</v>
      </c>
      <c r="V232" t="s">
        <v>153</v>
      </c>
    </row>
    <row r="233" spans="9:22" x14ac:dyDescent="0.45">
      <c r="I233" t="s">
        <v>171</v>
      </c>
      <c r="J233" t="s">
        <v>159</v>
      </c>
      <c r="K233">
        <v>0</v>
      </c>
      <c r="L233" t="s">
        <v>153</v>
      </c>
      <c r="N233" t="s">
        <v>200</v>
      </c>
      <c r="O233" t="s">
        <v>159</v>
      </c>
      <c r="P233">
        <v>1.631723549394986E-2</v>
      </c>
      <c r="Q233" t="s">
        <v>153</v>
      </c>
      <c r="S233" t="s">
        <v>215</v>
      </c>
      <c r="T233" t="s">
        <v>159</v>
      </c>
      <c r="U233">
        <v>3.9032501227593123E-3</v>
      </c>
      <c r="V233" t="s">
        <v>153</v>
      </c>
    </row>
    <row r="234" spans="9:22" x14ac:dyDescent="0.45">
      <c r="I234" t="s">
        <v>171</v>
      </c>
      <c r="J234" t="s">
        <v>160</v>
      </c>
      <c r="K234">
        <v>2.7481372845676181E-3</v>
      </c>
      <c r="L234" t="s">
        <v>153</v>
      </c>
      <c r="N234" t="s">
        <v>200</v>
      </c>
      <c r="O234" t="s">
        <v>160</v>
      </c>
      <c r="P234">
        <v>3.1986568541628531E-3</v>
      </c>
      <c r="Q234" t="s">
        <v>153</v>
      </c>
      <c r="S234" t="s">
        <v>215</v>
      </c>
      <c r="T234" t="s">
        <v>160</v>
      </c>
      <c r="U234">
        <v>6.977660655173982E-4</v>
      </c>
      <c r="V234" t="s">
        <v>153</v>
      </c>
    </row>
    <row r="235" spans="9:22" x14ac:dyDescent="0.45">
      <c r="I235" t="s">
        <v>171</v>
      </c>
      <c r="J235" t="s">
        <v>161</v>
      </c>
      <c r="K235">
        <v>5.4614791802699389E-2</v>
      </c>
      <c r="L235" t="s">
        <v>153</v>
      </c>
      <c r="N235" t="s">
        <v>200</v>
      </c>
      <c r="O235" t="s">
        <v>161</v>
      </c>
      <c r="P235">
        <v>3.6163546886809235E-2</v>
      </c>
      <c r="Q235" t="s">
        <v>153</v>
      </c>
      <c r="S235" t="s">
        <v>215</v>
      </c>
      <c r="T235" t="s">
        <v>161</v>
      </c>
      <c r="U235">
        <v>5.8508507644879013E-3</v>
      </c>
      <c r="V235" t="s">
        <v>153</v>
      </c>
    </row>
    <row r="236" spans="9:22" x14ac:dyDescent="0.45">
      <c r="I236" t="s">
        <v>171</v>
      </c>
      <c r="J236" t="s">
        <v>238</v>
      </c>
      <c r="K236">
        <v>3.1356259157642274E-3</v>
      </c>
      <c r="L236" t="s">
        <v>153</v>
      </c>
      <c r="N236" t="s">
        <v>200</v>
      </c>
      <c r="O236" t="s">
        <v>238</v>
      </c>
      <c r="P236">
        <v>2.2009259812123851E-3</v>
      </c>
      <c r="Q236" t="s">
        <v>153</v>
      </c>
      <c r="S236" t="s">
        <v>215</v>
      </c>
      <c r="T236" t="s">
        <v>238</v>
      </c>
      <c r="U236">
        <v>2.2090484670118433E-4</v>
      </c>
      <c r="V236" t="s">
        <v>153</v>
      </c>
    </row>
    <row r="237" spans="9:22" x14ac:dyDescent="0.45">
      <c r="I237" t="s">
        <v>171</v>
      </c>
      <c r="J237" t="s">
        <v>239</v>
      </c>
      <c r="K237">
        <v>0</v>
      </c>
      <c r="L237" t="s">
        <v>153</v>
      </c>
      <c r="N237" t="s">
        <v>200</v>
      </c>
      <c r="O237" t="s">
        <v>239</v>
      </c>
      <c r="P237">
        <v>2.1644364660771314E-3</v>
      </c>
      <c r="Q237" t="s">
        <v>153</v>
      </c>
      <c r="S237" t="s">
        <v>215</v>
      </c>
      <c r="T237" t="s">
        <v>239</v>
      </c>
      <c r="U237">
        <v>2.4486714404846929E-4</v>
      </c>
      <c r="V237" t="s">
        <v>153</v>
      </c>
    </row>
    <row r="238" spans="9:22" x14ac:dyDescent="0.45">
      <c r="I238" t="s">
        <v>171</v>
      </c>
      <c r="J238" t="s">
        <v>240</v>
      </c>
      <c r="K238">
        <v>0</v>
      </c>
      <c r="L238" t="s">
        <v>153</v>
      </c>
      <c r="N238" t="s">
        <v>200</v>
      </c>
      <c r="O238" t="s">
        <v>240</v>
      </c>
      <c r="P238">
        <v>1.2102510756156414E-2</v>
      </c>
      <c r="Q238" t="s">
        <v>153</v>
      </c>
      <c r="S238" t="s">
        <v>215</v>
      </c>
      <c r="T238" t="s">
        <v>240</v>
      </c>
      <c r="U238">
        <v>2.2819471262667656E-3</v>
      </c>
      <c r="V238" t="s">
        <v>153</v>
      </c>
    </row>
    <row r="239" spans="9:22" x14ac:dyDescent="0.45">
      <c r="I239" t="s">
        <v>171</v>
      </c>
      <c r="J239" t="s">
        <v>162</v>
      </c>
      <c r="K239">
        <v>0</v>
      </c>
      <c r="L239" t="s">
        <v>153</v>
      </c>
      <c r="N239" t="s">
        <v>200</v>
      </c>
      <c r="O239" t="s">
        <v>162</v>
      </c>
      <c r="P239">
        <v>4.1804788762242154E-2</v>
      </c>
      <c r="Q239" t="s">
        <v>153</v>
      </c>
      <c r="S239" t="s">
        <v>215</v>
      </c>
      <c r="T239" t="s">
        <v>162</v>
      </c>
      <c r="U239">
        <v>3.0560958843046198E-2</v>
      </c>
      <c r="V239" t="s">
        <v>153</v>
      </c>
    </row>
    <row r="240" spans="9:22" x14ac:dyDescent="0.45">
      <c r="I240" t="s">
        <v>171</v>
      </c>
      <c r="J240" t="s">
        <v>163</v>
      </c>
      <c r="K240">
        <v>3.7089443729724819E-3</v>
      </c>
      <c r="L240" t="s">
        <v>153</v>
      </c>
      <c r="N240" t="s">
        <v>200</v>
      </c>
      <c r="O240" t="s">
        <v>163</v>
      </c>
      <c r="P240">
        <v>7.095825900893281E-3</v>
      </c>
      <c r="Q240" t="s">
        <v>153</v>
      </c>
      <c r="S240" t="s">
        <v>215</v>
      </c>
      <c r="T240" t="s">
        <v>163</v>
      </c>
      <c r="U240">
        <v>4.6091222463837843E-3</v>
      </c>
      <c r="V240" t="s">
        <v>153</v>
      </c>
    </row>
    <row r="241" spans="9:22" x14ac:dyDescent="0.45">
      <c r="I241" t="s">
        <v>171</v>
      </c>
      <c r="J241" t="s">
        <v>164</v>
      </c>
      <c r="K241">
        <v>8.1158429757421338E-2</v>
      </c>
      <c r="L241" t="s">
        <v>153</v>
      </c>
      <c r="N241" t="s">
        <v>200</v>
      </c>
      <c r="O241" t="s">
        <v>164</v>
      </c>
      <c r="P241">
        <v>6.2698935226700891E-2</v>
      </c>
      <c r="Q241" t="s">
        <v>153</v>
      </c>
      <c r="S241" t="s">
        <v>215</v>
      </c>
      <c r="T241" t="s">
        <v>164</v>
      </c>
      <c r="U241">
        <v>3.6571584764872364E-2</v>
      </c>
      <c r="V241" t="s">
        <v>153</v>
      </c>
    </row>
    <row r="242" spans="9:22" x14ac:dyDescent="0.45">
      <c r="I242" t="s">
        <v>171</v>
      </c>
      <c r="J242" t="s">
        <v>241</v>
      </c>
      <c r="K242">
        <v>4.7702357253759957E-3</v>
      </c>
      <c r="L242" t="s">
        <v>153</v>
      </c>
      <c r="N242" t="s">
        <v>200</v>
      </c>
      <c r="O242" t="s">
        <v>241</v>
      </c>
      <c r="P242">
        <v>2.4694660951450342E-3</v>
      </c>
      <c r="Q242" t="s">
        <v>153</v>
      </c>
      <c r="S242" t="s">
        <v>215</v>
      </c>
      <c r="T242" t="s">
        <v>241</v>
      </c>
      <c r="U242">
        <v>2.8183522997949858E-3</v>
      </c>
      <c r="V242" t="s">
        <v>153</v>
      </c>
    </row>
    <row r="243" spans="9:22" x14ac:dyDescent="0.45">
      <c r="I243" t="s">
        <v>171</v>
      </c>
      <c r="J243" t="s">
        <v>242</v>
      </c>
      <c r="K243">
        <v>0</v>
      </c>
      <c r="L243" t="s">
        <v>153</v>
      </c>
      <c r="N243" t="s">
        <v>200</v>
      </c>
      <c r="O243" t="s">
        <v>242</v>
      </c>
      <c r="P243">
        <v>2.8811505799007649E-3</v>
      </c>
      <c r="Q243" t="s">
        <v>153</v>
      </c>
      <c r="S243" t="s">
        <v>215</v>
      </c>
      <c r="T243" t="s">
        <v>242</v>
      </c>
      <c r="U243">
        <v>3.0017900535449162E-3</v>
      </c>
      <c r="V243" t="s">
        <v>153</v>
      </c>
    </row>
    <row r="244" spans="9:22" x14ac:dyDescent="0.45">
      <c r="I244" t="s">
        <v>171</v>
      </c>
      <c r="J244" t="s">
        <v>243</v>
      </c>
      <c r="K244">
        <v>0</v>
      </c>
      <c r="L244" t="s">
        <v>153</v>
      </c>
      <c r="N244" t="s">
        <v>200</v>
      </c>
      <c r="O244" t="s">
        <v>243</v>
      </c>
      <c r="P244">
        <v>2.1035923206656114E-2</v>
      </c>
      <c r="Q244" t="s">
        <v>153</v>
      </c>
      <c r="S244" t="s">
        <v>215</v>
      </c>
      <c r="T244" t="s">
        <v>243</v>
      </c>
      <c r="U244">
        <v>1.9155578753791664E-2</v>
      </c>
      <c r="V244" t="s">
        <v>153</v>
      </c>
    </row>
    <row r="245" spans="9:22" x14ac:dyDescent="0.45">
      <c r="I245" t="s">
        <v>171</v>
      </c>
      <c r="J245" t="s">
        <v>249</v>
      </c>
      <c r="K245">
        <v>0</v>
      </c>
      <c r="L245" t="s">
        <v>153</v>
      </c>
      <c r="N245" t="s">
        <v>200</v>
      </c>
      <c r="O245" t="s">
        <v>249</v>
      </c>
      <c r="P245">
        <v>3.1249386935921823E-2</v>
      </c>
      <c r="Q245" t="s">
        <v>153</v>
      </c>
      <c r="S245" t="s">
        <v>215</v>
      </c>
      <c r="T245" t="s">
        <v>249</v>
      </c>
      <c r="U245">
        <v>1.6142692242922561E-2</v>
      </c>
      <c r="V245" t="s">
        <v>153</v>
      </c>
    </row>
    <row r="246" spans="9:22" x14ac:dyDescent="0.45">
      <c r="I246" t="s">
        <v>171</v>
      </c>
      <c r="J246" t="s">
        <v>250</v>
      </c>
      <c r="K246">
        <v>8.1914613068408268E-4</v>
      </c>
      <c r="L246" t="s">
        <v>153</v>
      </c>
      <c r="N246" t="s">
        <v>200</v>
      </c>
      <c r="O246" t="s">
        <v>250</v>
      </c>
      <c r="P246">
        <v>4.6974859116499044E-3</v>
      </c>
      <c r="Q246" t="s">
        <v>153</v>
      </c>
      <c r="S246" t="s">
        <v>215</v>
      </c>
      <c r="T246" t="s">
        <v>250</v>
      </c>
      <c r="U246">
        <v>2.6323965658592071E-3</v>
      </c>
      <c r="V246" t="s">
        <v>153</v>
      </c>
    </row>
    <row r="247" spans="9:22" x14ac:dyDescent="0.45">
      <c r="I247" t="s">
        <v>171</v>
      </c>
      <c r="J247" t="s">
        <v>251</v>
      </c>
      <c r="K247">
        <v>4.3802741712041002E-2</v>
      </c>
      <c r="L247" t="s">
        <v>153</v>
      </c>
      <c r="N247" t="s">
        <v>200</v>
      </c>
      <c r="O247" t="s">
        <v>251</v>
      </c>
      <c r="P247">
        <v>3.4420561914684643E-2</v>
      </c>
      <c r="Q247" t="s">
        <v>153</v>
      </c>
      <c r="S247" t="s">
        <v>215</v>
      </c>
      <c r="T247" t="s">
        <v>251</v>
      </c>
      <c r="U247">
        <v>2.409222187469922E-2</v>
      </c>
      <c r="V247" t="s">
        <v>153</v>
      </c>
    </row>
    <row r="248" spans="9:22" x14ac:dyDescent="0.45">
      <c r="I248" t="s">
        <v>171</v>
      </c>
      <c r="J248" t="s">
        <v>252</v>
      </c>
      <c r="K248">
        <v>3.2831436827808792E-3</v>
      </c>
      <c r="L248" t="s">
        <v>153</v>
      </c>
      <c r="N248" t="s">
        <v>200</v>
      </c>
      <c r="O248" t="s">
        <v>252</v>
      </c>
      <c r="P248">
        <v>1.3524473988756327E-3</v>
      </c>
      <c r="Q248" t="s">
        <v>153</v>
      </c>
      <c r="S248" t="s">
        <v>215</v>
      </c>
      <c r="T248" t="s">
        <v>252</v>
      </c>
      <c r="U248">
        <v>1.7171765441043462E-3</v>
      </c>
      <c r="V248" t="s">
        <v>153</v>
      </c>
    </row>
    <row r="249" spans="9:22" x14ac:dyDescent="0.45">
      <c r="I249" t="s">
        <v>171</v>
      </c>
      <c r="J249" t="s">
        <v>253</v>
      </c>
      <c r="K249">
        <v>6.8575628893399461E-4</v>
      </c>
      <c r="L249" t="s">
        <v>153</v>
      </c>
      <c r="N249" t="s">
        <v>200</v>
      </c>
      <c r="O249" t="s">
        <v>253</v>
      </c>
      <c r="P249">
        <v>1.7055630851424356E-3</v>
      </c>
      <c r="Q249" t="s">
        <v>153</v>
      </c>
      <c r="S249" t="s">
        <v>215</v>
      </c>
      <c r="T249" t="s">
        <v>253</v>
      </c>
      <c r="U249">
        <v>1.9716081723195901E-3</v>
      </c>
      <c r="V249" t="s">
        <v>153</v>
      </c>
    </row>
    <row r="250" spans="9:22" x14ac:dyDescent="0.45">
      <c r="I250" t="s">
        <v>171</v>
      </c>
      <c r="J250" t="s">
        <v>254</v>
      </c>
      <c r="K250">
        <v>0</v>
      </c>
      <c r="L250" t="s">
        <v>153</v>
      </c>
      <c r="N250" t="s">
        <v>200</v>
      </c>
      <c r="O250" t="s">
        <v>254</v>
      </c>
      <c r="P250">
        <v>1.4737950171473866E-2</v>
      </c>
      <c r="Q250" t="s">
        <v>153</v>
      </c>
      <c r="S250" t="s">
        <v>215</v>
      </c>
      <c r="T250" t="s">
        <v>254</v>
      </c>
      <c r="U250">
        <v>1.3378635038325161E-2</v>
      </c>
      <c r="V250" t="s">
        <v>153</v>
      </c>
    </row>
    <row r="251" spans="9:22" x14ac:dyDescent="0.45">
      <c r="I251" t="s">
        <v>172</v>
      </c>
      <c r="J251" t="s">
        <v>152</v>
      </c>
      <c r="K251">
        <v>0</v>
      </c>
      <c r="L251" t="s">
        <v>153</v>
      </c>
      <c r="N251" t="s">
        <v>201</v>
      </c>
      <c r="O251" t="s">
        <v>152</v>
      </c>
      <c r="P251">
        <v>0.2404896765764945</v>
      </c>
      <c r="Q251" t="s">
        <v>153</v>
      </c>
      <c r="S251" t="s">
        <v>216</v>
      </c>
      <c r="T251" t="s">
        <v>152</v>
      </c>
      <c r="U251">
        <v>0.25500770976251741</v>
      </c>
      <c r="V251" t="s">
        <v>153</v>
      </c>
    </row>
    <row r="252" spans="9:22" x14ac:dyDescent="0.45">
      <c r="I252" t="s">
        <v>172</v>
      </c>
      <c r="J252" t="s">
        <v>154</v>
      </c>
      <c r="K252">
        <v>1.5644901167861668E-2</v>
      </c>
      <c r="L252" t="s">
        <v>153</v>
      </c>
      <c r="N252" t="s">
        <v>201</v>
      </c>
      <c r="O252" t="s">
        <v>154</v>
      </c>
      <c r="P252">
        <v>2.3870505279004854E-2</v>
      </c>
      <c r="Q252" t="s">
        <v>153</v>
      </c>
      <c r="S252" t="s">
        <v>216</v>
      </c>
      <c r="T252" t="s">
        <v>154</v>
      </c>
      <c r="U252">
        <v>3.5084717396947691E-2</v>
      </c>
      <c r="V252" t="s">
        <v>153</v>
      </c>
    </row>
    <row r="253" spans="9:22" x14ac:dyDescent="0.45">
      <c r="I253" t="s">
        <v>172</v>
      </c>
      <c r="J253" t="s">
        <v>155</v>
      </c>
      <c r="K253">
        <v>0.66539051224564505</v>
      </c>
      <c r="L253" t="s">
        <v>153</v>
      </c>
      <c r="N253" t="s">
        <v>201</v>
      </c>
      <c r="O253" t="s">
        <v>155</v>
      </c>
      <c r="P253">
        <v>0.17884312571573893</v>
      </c>
      <c r="Q253" t="s">
        <v>153</v>
      </c>
      <c r="S253" t="s">
        <v>216</v>
      </c>
      <c r="T253" t="s">
        <v>155</v>
      </c>
      <c r="U253">
        <v>0.31812905085271553</v>
      </c>
      <c r="V253" t="s">
        <v>153</v>
      </c>
    </row>
    <row r="254" spans="9:22" x14ac:dyDescent="0.45">
      <c r="I254" t="s">
        <v>172</v>
      </c>
      <c r="J254" t="s">
        <v>232</v>
      </c>
      <c r="K254">
        <v>4.8331507301729464E-2</v>
      </c>
      <c r="L254" t="s">
        <v>153</v>
      </c>
      <c r="N254" t="s">
        <v>201</v>
      </c>
      <c r="O254" t="s">
        <v>232</v>
      </c>
      <c r="P254">
        <v>2.2185938596630823E-2</v>
      </c>
      <c r="Q254" t="s">
        <v>153</v>
      </c>
      <c r="S254" t="s">
        <v>216</v>
      </c>
      <c r="T254" t="s">
        <v>232</v>
      </c>
      <c r="U254">
        <v>3.3869017026384549E-2</v>
      </c>
      <c r="V254" t="s">
        <v>153</v>
      </c>
    </row>
    <row r="255" spans="9:22" x14ac:dyDescent="0.45">
      <c r="I255" t="s">
        <v>172</v>
      </c>
      <c r="J255" t="s">
        <v>233</v>
      </c>
      <c r="K255">
        <v>2.942912803504413E-2</v>
      </c>
      <c r="L255" t="s">
        <v>153</v>
      </c>
      <c r="N255" t="s">
        <v>201</v>
      </c>
      <c r="O255" t="s">
        <v>233</v>
      </c>
      <c r="P255">
        <v>3.1423610415891069E-2</v>
      </c>
      <c r="Q255" t="s">
        <v>153</v>
      </c>
      <c r="S255" t="s">
        <v>216</v>
      </c>
      <c r="T255" t="s">
        <v>233</v>
      </c>
      <c r="U255">
        <v>3.4380447484869119E-2</v>
      </c>
      <c r="V255" t="s">
        <v>153</v>
      </c>
    </row>
    <row r="256" spans="9:22" x14ac:dyDescent="0.45">
      <c r="I256" t="s">
        <v>172</v>
      </c>
      <c r="J256" t="s">
        <v>234</v>
      </c>
      <c r="K256">
        <v>3.0432280474416351E-3</v>
      </c>
      <c r="L256" t="s">
        <v>153</v>
      </c>
      <c r="N256" t="s">
        <v>201</v>
      </c>
      <c r="O256" t="s">
        <v>234</v>
      </c>
      <c r="P256">
        <v>0.22198948464748577</v>
      </c>
      <c r="Q256" t="s">
        <v>153</v>
      </c>
      <c r="S256" t="s">
        <v>216</v>
      </c>
      <c r="T256" t="s">
        <v>234</v>
      </c>
      <c r="U256">
        <v>0.17169029145491571</v>
      </c>
      <c r="V256" t="s">
        <v>153</v>
      </c>
    </row>
    <row r="257" spans="9:22" x14ac:dyDescent="0.45">
      <c r="I257" t="s">
        <v>172</v>
      </c>
      <c r="J257" t="s">
        <v>156</v>
      </c>
      <c r="K257">
        <v>0</v>
      </c>
      <c r="L257" t="s">
        <v>153</v>
      </c>
      <c r="N257" t="s">
        <v>201</v>
      </c>
      <c r="O257" t="s">
        <v>156</v>
      </c>
      <c r="P257">
        <v>4.7748715088301299E-3</v>
      </c>
      <c r="Q257" t="s">
        <v>153</v>
      </c>
      <c r="S257" t="s">
        <v>216</v>
      </c>
      <c r="T257" t="s">
        <v>156</v>
      </c>
      <c r="U257">
        <v>7.0233318412717604E-4</v>
      </c>
      <c r="V257" t="s">
        <v>153</v>
      </c>
    </row>
    <row r="258" spans="9:22" x14ac:dyDescent="0.45">
      <c r="I258" t="s">
        <v>172</v>
      </c>
      <c r="J258" t="s">
        <v>157</v>
      </c>
      <c r="K258">
        <v>8.565556258052756E-4</v>
      </c>
      <c r="L258" t="s">
        <v>153</v>
      </c>
      <c r="N258" t="s">
        <v>201</v>
      </c>
      <c r="O258" t="s">
        <v>157</v>
      </c>
      <c r="P258">
        <v>6.7664508169997624E-4</v>
      </c>
      <c r="Q258" t="s">
        <v>153</v>
      </c>
      <c r="S258" t="s">
        <v>216</v>
      </c>
      <c r="T258" t="s">
        <v>157</v>
      </c>
      <c r="U258">
        <v>7.5562878579982982E-5</v>
      </c>
      <c r="V258" t="s">
        <v>153</v>
      </c>
    </row>
    <row r="259" spans="9:22" x14ac:dyDescent="0.45">
      <c r="I259" t="s">
        <v>172</v>
      </c>
      <c r="J259" t="s">
        <v>158</v>
      </c>
      <c r="K259">
        <v>2.0901934128561159E-2</v>
      </c>
      <c r="L259" t="s">
        <v>153</v>
      </c>
      <c r="N259" t="s">
        <v>201</v>
      </c>
      <c r="O259" t="s">
        <v>158</v>
      </c>
      <c r="P259">
        <v>4.8527616986916433E-3</v>
      </c>
      <c r="Q259" t="s">
        <v>153</v>
      </c>
      <c r="S259" t="s">
        <v>216</v>
      </c>
      <c r="T259" t="s">
        <v>158</v>
      </c>
      <c r="U259">
        <v>5.6150537150732014E-4</v>
      </c>
      <c r="V259" t="s">
        <v>153</v>
      </c>
    </row>
    <row r="260" spans="9:22" x14ac:dyDescent="0.45">
      <c r="I260" t="s">
        <v>172</v>
      </c>
      <c r="J260" t="s">
        <v>235</v>
      </c>
      <c r="K260">
        <v>1.1005228366539133E-3</v>
      </c>
      <c r="L260" t="s">
        <v>153</v>
      </c>
      <c r="N260" t="s">
        <v>201</v>
      </c>
      <c r="O260" t="s">
        <v>235</v>
      </c>
      <c r="P260">
        <v>2.7689392515689468E-4</v>
      </c>
      <c r="Q260" t="s">
        <v>153</v>
      </c>
      <c r="S260" t="s">
        <v>216</v>
      </c>
      <c r="T260" t="s">
        <v>235</v>
      </c>
      <c r="U260">
        <v>5.7420029702509985E-5</v>
      </c>
      <c r="V260" t="s">
        <v>153</v>
      </c>
    </row>
    <row r="261" spans="9:22" x14ac:dyDescent="0.45">
      <c r="I261" t="s">
        <v>172</v>
      </c>
      <c r="J261" t="s">
        <v>236</v>
      </c>
      <c r="K261">
        <v>6.7573771710733644E-4</v>
      </c>
      <c r="L261" t="s">
        <v>153</v>
      </c>
      <c r="N261" t="s">
        <v>201</v>
      </c>
      <c r="O261" t="s">
        <v>236</v>
      </c>
      <c r="P261">
        <v>3.7745892207700308E-4</v>
      </c>
      <c r="Q261" t="s">
        <v>153</v>
      </c>
      <c r="S261" t="s">
        <v>216</v>
      </c>
      <c r="T261" t="s">
        <v>236</v>
      </c>
      <c r="U261">
        <v>7.6233821935534161E-5</v>
      </c>
      <c r="V261" t="s">
        <v>153</v>
      </c>
    </row>
    <row r="262" spans="9:22" x14ac:dyDescent="0.45">
      <c r="I262" t="s">
        <v>172</v>
      </c>
      <c r="J262" t="s">
        <v>237</v>
      </c>
      <c r="K262">
        <v>0</v>
      </c>
      <c r="L262" t="s">
        <v>153</v>
      </c>
      <c r="N262" t="s">
        <v>201</v>
      </c>
      <c r="O262" t="s">
        <v>237</v>
      </c>
      <c r="P262">
        <v>2.7014443862553839E-3</v>
      </c>
      <c r="Q262" t="s">
        <v>153</v>
      </c>
      <c r="S262" t="s">
        <v>216</v>
      </c>
      <c r="T262" t="s">
        <v>237</v>
      </c>
      <c r="U262">
        <v>3.7551900550516408E-4</v>
      </c>
      <c r="V262" t="s">
        <v>153</v>
      </c>
    </row>
    <row r="263" spans="9:22" x14ac:dyDescent="0.45">
      <c r="I263" t="s">
        <v>172</v>
      </c>
      <c r="J263" t="s">
        <v>159</v>
      </c>
      <c r="K263">
        <v>0</v>
      </c>
      <c r="L263" t="s">
        <v>153</v>
      </c>
      <c r="N263" t="s">
        <v>201</v>
      </c>
      <c r="O263" t="s">
        <v>159</v>
      </c>
      <c r="P263">
        <v>1.6007953720173537E-2</v>
      </c>
      <c r="Q263" t="s">
        <v>153</v>
      </c>
      <c r="S263" t="s">
        <v>216</v>
      </c>
      <c r="T263" t="s">
        <v>159</v>
      </c>
      <c r="U263">
        <v>3.2067821436785947E-3</v>
      </c>
      <c r="V263" t="s">
        <v>153</v>
      </c>
    </row>
    <row r="264" spans="9:22" x14ac:dyDescent="0.45">
      <c r="I264" t="s">
        <v>172</v>
      </c>
      <c r="J264" t="s">
        <v>160</v>
      </c>
      <c r="K264">
        <v>2.701492314992511E-3</v>
      </c>
      <c r="L264" t="s">
        <v>153</v>
      </c>
      <c r="N264" t="s">
        <v>201</v>
      </c>
      <c r="O264" t="s">
        <v>160</v>
      </c>
      <c r="P264">
        <v>2.2362172380623506E-3</v>
      </c>
      <c r="Q264" t="s">
        <v>153</v>
      </c>
      <c r="S264" t="s">
        <v>216</v>
      </c>
      <c r="T264" t="s">
        <v>160</v>
      </c>
      <c r="U264">
        <v>6.6361069689133243E-4</v>
      </c>
      <c r="V264" t="s">
        <v>153</v>
      </c>
    </row>
    <row r="265" spans="9:22" x14ac:dyDescent="0.45">
      <c r="I265" t="s">
        <v>172</v>
      </c>
      <c r="J265" t="s">
        <v>161</v>
      </c>
      <c r="K265">
        <v>6.046817499182397E-2</v>
      </c>
      <c r="L265" t="s">
        <v>153</v>
      </c>
      <c r="N265" t="s">
        <v>201</v>
      </c>
      <c r="O265" t="s">
        <v>161</v>
      </c>
      <c r="P265">
        <v>2.5954488307177732E-2</v>
      </c>
      <c r="Q265" t="s">
        <v>153</v>
      </c>
      <c r="S265" t="s">
        <v>216</v>
      </c>
      <c r="T265" t="s">
        <v>161</v>
      </c>
      <c r="U265">
        <v>5.7118627945775061E-3</v>
      </c>
      <c r="V265" t="s">
        <v>153</v>
      </c>
    </row>
    <row r="266" spans="9:22" x14ac:dyDescent="0.45">
      <c r="I266" t="s">
        <v>172</v>
      </c>
      <c r="J266" t="s">
        <v>238</v>
      </c>
      <c r="K266">
        <v>3.6194704448291697E-3</v>
      </c>
      <c r="L266" t="s">
        <v>153</v>
      </c>
      <c r="N266" t="s">
        <v>201</v>
      </c>
      <c r="O266" t="s">
        <v>238</v>
      </c>
      <c r="P266">
        <v>1.5967142729527532E-3</v>
      </c>
      <c r="Q266" t="s">
        <v>153</v>
      </c>
      <c r="S266" t="s">
        <v>216</v>
      </c>
      <c r="T266" t="s">
        <v>238</v>
      </c>
      <c r="U266">
        <v>1.7685099530190588E-4</v>
      </c>
      <c r="V266" t="s">
        <v>153</v>
      </c>
    </row>
    <row r="267" spans="9:22" x14ac:dyDescent="0.45">
      <c r="I267" t="s">
        <v>172</v>
      </c>
      <c r="J267" t="s">
        <v>239</v>
      </c>
      <c r="K267">
        <v>2.2373625119751564E-3</v>
      </c>
      <c r="L267" t="s">
        <v>153</v>
      </c>
      <c r="N267" t="s">
        <v>201</v>
      </c>
      <c r="O267" t="s">
        <v>239</v>
      </c>
      <c r="P267">
        <v>1.9198630042961292E-3</v>
      </c>
      <c r="Q267" t="s">
        <v>153</v>
      </c>
      <c r="S267" t="s">
        <v>216</v>
      </c>
      <c r="T267" t="s">
        <v>239</v>
      </c>
      <c r="U267">
        <v>1.5870602740474223E-4</v>
      </c>
      <c r="V267" t="s">
        <v>153</v>
      </c>
    </row>
    <row r="268" spans="9:22" x14ac:dyDescent="0.45">
      <c r="I268" t="s">
        <v>172</v>
      </c>
      <c r="J268" t="s">
        <v>240</v>
      </c>
      <c r="K268">
        <v>0</v>
      </c>
      <c r="L268" t="s">
        <v>153</v>
      </c>
      <c r="N268" t="s">
        <v>201</v>
      </c>
      <c r="O268" t="s">
        <v>240</v>
      </c>
      <c r="P268">
        <v>1.0507746761949436E-2</v>
      </c>
      <c r="Q268" t="s">
        <v>153</v>
      </c>
      <c r="S268" t="s">
        <v>216</v>
      </c>
      <c r="T268" t="s">
        <v>240</v>
      </c>
      <c r="U268">
        <v>1.4919655698435595E-3</v>
      </c>
      <c r="V268" t="s">
        <v>153</v>
      </c>
    </row>
    <row r="269" spans="9:22" x14ac:dyDescent="0.45">
      <c r="I269" t="s">
        <v>172</v>
      </c>
      <c r="J269" t="s">
        <v>162</v>
      </c>
      <c r="K269">
        <v>0</v>
      </c>
      <c r="L269" t="s">
        <v>153</v>
      </c>
      <c r="N269" t="s">
        <v>201</v>
      </c>
      <c r="O269" t="s">
        <v>162</v>
      </c>
      <c r="P269">
        <v>4.1033254700234709E-2</v>
      </c>
      <c r="Q269" t="s">
        <v>153</v>
      </c>
      <c r="S269" t="s">
        <v>216</v>
      </c>
      <c r="T269" t="s">
        <v>162</v>
      </c>
      <c r="U269">
        <v>2.5681717802819509E-2</v>
      </c>
      <c r="V269" t="s">
        <v>153</v>
      </c>
    </row>
    <row r="270" spans="9:22" x14ac:dyDescent="0.45">
      <c r="I270" t="s">
        <v>172</v>
      </c>
      <c r="J270" t="s">
        <v>163</v>
      </c>
      <c r="K270">
        <v>1.9014501687913479E-3</v>
      </c>
      <c r="L270" t="s">
        <v>153</v>
      </c>
      <c r="N270" t="s">
        <v>201</v>
      </c>
      <c r="O270" t="s">
        <v>163</v>
      </c>
      <c r="P270">
        <v>6.4307299064116068E-3</v>
      </c>
      <c r="Q270" t="s">
        <v>153</v>
      </c>
      <c r="S270" t="s">
        <v>216</v>
      </c>
      <c r="T270" t="s">
        <v>163</v>
      </c>
      <c r="U270">
        <v>3.9658089196872599E-3</v>
      </c>
      <c r="V270" t="s">
        <v>153</v>
      </c>
    </row>
    <row r="271" spans="9:22" x14ac:dyDescent="0.45">
      <c r="I271" t="s">
        <v>172</v>
      </c>
      <c r="J271" t="s">
        <v>164</v>
      </c>
      <c r="K271">
        <v>8.3317068660991034E-2</v>
      </c>
      <c r="L271" t="s">
        <v>153</v>
      </c>
      <c r="N271" t="s">
        <v>201</v>
      </c>
      <c r="O271" t="s">
        <v>164</v>
      </c>
      <c r="P271">
        <v>4.390134597895639E-2</v>
      </c>
      <c r="Q271" t="s">
        <v>153</v>
      </c>
      <c r="S271" t="s">
        <v>216</v>
      </c>
      <c r="T271" t="s">
        <v>164</v>
      </c>
      <c r="U271">
        <v>3.2932460573632041E-2</v>
      </c>
      <c r="V271" t="s">
        <v>153</v>
      </c>
    </row>
    <row r="272" spans="9:22" x14ac:dyDescent="0.45">
      <c r="I272" t="s">
        <v>172</v>
      </c>
      <c r="J272" t="s">
        <v>241</v>
      </c>
      <c r="K272">
        <v>5.3963432196941401E-3</v>
      </c>
      <c r="L272" t="s">
        <v>153</v>
      </c>
      <c r="N272" t="s">
        <v>201</v>
      </c>
      <c r="O272" t="s">
        <v>241</v>
      </c>
      <c r="P272">
        <v>2.1917905312247242E-3</v>
      </c>
      <c r="Q272" t="s">
        <v>153</v>
      </c>
      <c r="S272" t="s">
        <v>216</v>
      </c>
      <c r="T272" t="s">
        <v>241</v>
      </c>
      <c r="U272">
        <v>2.6839861104438548E-3</v>
      </c>
      <c r="V272" t="s">
        <v>153</v>
      </c>
    </row>
    <row r="273" spans="9:22" x14ac:dyDescent="0.45">
      <c r="I273" t="s">
        <v>172</v>
      </c>
      <c r="J273" t="s">
        <v>242</v>
      </c>
      <c r="K273">
        <v>3.131809052957216E-3</v>
      </c>
      <c r="L273" t="s">
        <v>153</v>
      </c>
      <c r="N273" t="s">
        <v>201</v>
      </c>
      <c r="O273" t="s">
        <v>242</v>
      </c>
      <c r="P273">
        <v>2.9459139933219083E-3</v>
      </c>
      <c r="Q273" t="s">
        <v>153</v>
      </c>
      <c r="S273" t="s">
        <v>216</v>
      </c>
      <c r="T273" t="s">
        <v>242</v>
      </c>
      <c r="U273">
        <v>2.819990239707817E-3</v>
      </c>
      <c r="V273" t="s">
        <v>153</v>
      </c>
    </row>
    <row r="274" spans="9:22" x14ac:dyDescent="0.45">
      <c r="I274" t="s">
        <v>172</v>
      </c>
      <c r="J274" t="s">
        <v>243</v>
      </c>
      <c r="K274">
        <v>0</v>
      </c>
      <c r="L274" t="s">
        <v>153</v>
      </c>
      <c r="N274" t="s">
        <v>201</v>
      </c>
      <c r="O274" t="s">
        <v>243</v>
      </c>
      <c r="P274">
        <v>1.9637592503670181E-2</v>
      </c>
      <c r="Q274" t="s">
        <v>153</v>
      </c>
      <c r="S274" t="s">
        <v>216</v>
      </c>
      <c r="T274" t="s">
        <v>243</v>
      </c>
      <c r="U274">
        <v>1.5772167724920523E-2</v>
      </c>
      <c r="V274" t="s">
        <v>153</v>
      </c>
    </row>
    <row r="275" spans="9:22" x14ac:dyDescent="0.45">
      <c r="I275" t="s">
        <v>172</v>
      </c>
      <c r="J275" t="s">
        <v>249</v>
      </c>
      <c r="K275">
        <v>0</v>
      </c>
      <c r="L275" t="s">
        <v>153</v>
      </c>
      <c r="N275" t="s">
        <v>201</v>
      </c>
      <c r="O275" t="s">
        <v>249</v>
      </c>
      <c r="P275">
        <v>3.5161345806663483E-2</v>
      </c>
      <c r="Q275" t="s">
        <v>153</v>
      </c>
      <c r="S275" t="s">
        <v>216</v>
      </c>
      <c r="T275" t="s">
        <v>249</v>
      </c>
      <c r="U275">
        <v>1.4999885513027982E-2</v>
      </c>
      <c r="V275" t="s">
        <v>153</v>
      </c>
    </row>
    <row r="276" spans="9:22" x14ac:dyDescent="0.45">
      <c r="I276" t="s">
        <v>172</v>
      </c>
      <c r="J276" t="s">
        <v>250</v>
      </c>
      <c r="K276">
        <v>1.4733673024582121E-6</v>
      </c>
      <c r="L276" t="s">
        <v>153</v>
      </c>
      <c r="N276" t="s">
        <v>201</v>
      </c>
      <c r="O276" t="s">
        <v>250</v>
      </c>
      <c r="P276">
        <v>4.8089378887986051E-3</v>
      </c>
      <c r="Q276" t="s">
        <v>153</v>
      </c>
      <c r="S276" t="s">
        <v>216</v>
      </c>
      <c r="T276" t="s">
        <v>250</v>
      </c>
      <c r="U276">
        <v>2.5011265231355351E-3</v>
      </c>
      <c r="V276" t="s">
        <v>153</v>
      </c>
    </row>
    <row r="277" spans="9:22" x14ac:dyDescent="0.45">
      <c r="I277" t="s">
        <v>172</v>
      </c>
      <c r="J277" t="s">
        <v>251</v>
      </c>
      <c r="K277">
        <v>4.5671650201925311E-2</v>
      </c>
      <c r="L277" t="s">
        <v>153</v>
      </c>
      <c r="N277" t="s">
        <v>201</v>
      </c>
      <c r="O277" t="s">
        <v>251</v>
      </c>
      <c r="P277">
        <v>3.1087738448658579E-2</v>
      </c>
      <c r="Q277" t="s">
        <v>153</v>
      </c>
      <c r="S277" t="s">
        <v>216</v>
      </c>
      <c r="T277" t="s">
        <v>251</v>
      </c>
      <c r="U277">
        <v>2.3089690279957813E-2</v>
      </c>
      <c r="V277" t="s">
        <v>153</v>
      </c>
    </row>
    <row r="278" spans="9:22" x14ac:dyDescent="0.45">
      <c r="I278" t="s">
        <v>172</v>
      </c>
      <c r="J278" t="s">
        <v>252</v>
      </c>
      <c r="K278">
        <v>4.0415794973565726E-3</v>
      </c>
      <c r="L278" t="s">
        <v>153</v>
      </c>
      <c r="N278" t="s">
        <v>201</v>
      </c>
      <c r="O278" t="s">
        <v>252</v>
      </c>
      <c r="P278">
        <v>1.710274747940927E-3</v>
      </c>
      <c r="Q278" t="s">
        <v>153</v>
      </c>
      <c r="S278" t="s">
        <v>216</v>
      </c>
      <c r="T278" t="s">
        <v>252</v>
      </c>
      <c r="U278">
        <v>1.5469999055490109E-3</v>
      </c>
      <c r="V278" t="s">
        <v>153</v>
      </c>
    </row>
    <row r="279" spans="9:22" x14ac:dyDescent="0.45">
      <c r="I279" t="s">
        <v>172</v>
      </c>
      <c r="J279" t="s">
        <v>253</v>
      </c>
      <c r="K279">
        <v>2.1380984615123342E-3</v>
      </c>
      <c r="L279" t="s">
        <v>153</v>
      </c>
      <c r="N279" t="s">
        <v>201</v>
      </c>
      <c r="O279" t="s">
        <v>253</v>
      </c>
      <c r="P279">
        <v>2.5787657655120515E-3</v>
      </c>
      <c r="Q279" t="s">
        <v>153</v>
      </c>
      <c r="S279" t="s">
        <v>216</v>
      </c>
      <c r="T279" t="s">
        <v>253</v>
      </c>
      <c r="U279">
        <v>1.6991286351429433E-3</v>
      </c>
      <c r="V279" t="s">
        <v>153</v>
      </c>
    </row>
    <row r="280" spans="9:22" x14ac:dyDescent="0.45">
      <c r="I280" t="s">
        <v>172</v>
      </c>
      <c r="J280" t="s">
        <v>254</v>
      </c>
      <c r="K280">
        <v>0</v>
      </c>
      <c r="L280" t="s">
        <v>153</v>
      </c>
      <c r="N280" t="s">
        <v>201</v>
      </c>
      <c r="O280" t="s">
        <v>254</v>
      </c>
      <c r="P280">
        <v>1.7826909670034998E-2</v>
      </c>
      <c r="Q280" t="s">
        <v>153</v>
      </c>
      <c r="S280" t="s">
        <v>216</v>
      </c>
      <c r="T280" t="s">
        <v>254</v>
      </c>
      <c r="U280">
        <v>1.0887451274572834E-2</v>
      </c>
      <c r="V280" t="s">
        <v>153</v>
      </c>
    </row>
    <row r="281" spans="9:22" x14ac:dyDescent="0.45">
      <c r="I281" t="s">
        <v>173</v>
      </c>
      <c r="J281" t="s">
        <v>152</v>
      </c>
      <c r="K281">
        <v>0</v>
      </c>
      <c r="L281" t="s">
        <v>153</v>
      </c>
      <c r="N281" t="s">
        <v>202</v>
      </c>
      <c r="O281" t="s">
        <v>152</v>
      </c>
      <c r="P281">
        <v>0.14579578291235037</v>
      </c>
      <c r="Q281" t="s">
        <v>153</v>
      </c>
      <c r="S281" t="s">
        <v>217</v>
      </c>
      <c r="T281" t="s">
        <v>152</v>
      </c>
      <c r="U281">
        <v>0.25686604212758057</v>
      </c>
      <c r="V281" t="s">
        <v>153</v>
      </c>
    </row>
    <row r="282" spans="9:22" x14ac:dyDescent="0.45">
      <c r="I282" t="s">
        <v>173</v>
      </c>
      <c r="J282" t="s">
        <v>154</v>
      </c>
      <c r="K282">
        <v>1.6154465824501866E-2</v>
      </c>
      <c r="L282" t="s">
        <v>153</v>
      </c>
      <c r="N282" t="s">
        <v>202</v>
      </c>
      <c r="O282" t="s">
        <v>154</v>
      </c>
      <c r="P282">
        <v>1.4278225980974991E-2</v>
      </c>
      <c r="Q282" t="s">
        <v>153</v>
      </c>
      <c r="S282" t="s">
        <v>217</v>
      </c>
      <c r="T282" t="s">
        <v>154</v>
      </c>
      <c r="U282">
        <v>3.6273197631655291E-2</v>
      </c>
      <c r="V282" t="s">
        <v>153</v>
      </c>
    </row>
    <row r="283" spans="9:22" x14ac:dyDescent="0.45">
      <c r="I283" t="s">
        <v>173</v>
      </c>
      <c r="J283" t="s">
        <v>155</v>
      </c>
      <c r="K283">
        <v>0.67257157632099007</v>
      </c>
      <c r="L283" t="s">
        <v>153</v>
      </c>
      <c r="N283" t="s">
        <v>202</v>
      </c>
      <c r="O283" t="s">
        <v>155</v>
      </c>
      <c r="P283">
        <v>0.27293600741727797</v>
      </c>
      <c r="Q283" t="s">
        <v>153</v>
      </c>
      <c r="S283" t="s">
        <v>217</v>
      </c>
      <c r="T283" t="s">
        <v>155</v>
      </c>
      <c r="U283">
        <v>0.32544008318547912</v>
      </c>
      <c r="V283" t="s">
        <v>153</v>
      </c>
    </row>
    <row r="284" spans="9:22" x14ac:dyDescent="0.45">
      <c r="I284" t="s">
        <v>173</v>
      </c>
      <c r="J284" t="s">
        <v>232</v>
      </c>
      <c r="K284">
        <v>4.9316471900608318E-2</v>
      </c>
      <c r="L284" t="s">
        <v>153</v>
      </c>
      <c r="N284" t="s">
        <v>202</v>
      </c>
      <c r="O284" t="s">
        <v>232</v>
      </c>
      <c r="P284">
        <v>3.7835131276073165E-2</v>
      </c>
      <c r="Q284" t="s">
        <v>153</v>
      </c>
      <c r="S284" t="s">
        <v>217</v>
      </c>
      <c r="T284" t="s">
        <v>232</v>
      </c>
      <c r="U284">
        <v>3.4632688334529434E-2</v>
      </c>
      <c r="V284" t="s">
        <v>153</v>
      </c>
    </row>
    <row r="285" spans="9:22" x14ac:dyDescent="0.45">
      <c r="I285" t="s">
        <v>173</v>
      </c>
      <c r="J285" t="s">
        <v>233</v>
      </c>
      <c r="K285">
        <v>2.8933343279700891E-2</v>
      </c>
      <c r="L285" t="s">
        <v>153</v>
      </c>
      <c r="N285" t="s">
        <v>202</v>
      </c>
      <c r="O285" t="s">
        <v>233</v>
      </c>
      <c r="P285">
        <v>3.7925966537838467E-2</v>
      </c>
      <c r="Q285" t="s">
        <v>153</v>
      </c>
      <c r="S285" t="s">
        <v>217</v>
      </c>
      <c r="T285" t="s">
        <v>233</v>
      </c>
      <c r="U285">
        <v>3.5144223964452263E-2</v>
      </c>
      <c r="V285" t="s">
        <v>153</v>
      </c>
    </row>
    <row r="286" spans="9:22" x14ac:dyDescent="0.45">
      <c r="I286" t="s">
        <v>173</v>
      </c>
      <c r="J286" t="s">
        <v>234</v>
      </c>
      <c r="K286">
        <v>3.046270461335402E-3</v>
      </c>
      <c r="L286" t="s">
        <v>153</v>
      </c>
      <c r="N286" t="s">
        <v>202</v>
      </c>
      <c r="O286" t="s">
        <v>234</v>
      </c>
      <c r="P286">
        <v>0.15733668277401097</v>
      </c>
      <c r="Q286" t="s">
        <v>153</v>
      </c>
      <c r="S286" t="s">
        <v>217</v>
      </c>
      <c r="T286" t="s">
        <v>234</v>
      </c>
      <c r="U286">
        <v>0.17281129577151225</v>
      </c>
      <c r="V286" t="s">
        <v>153</v>
      </c>
    </row>
    <row r="287" spans="9:22" x14ac:dyDescent="0.45">
      <c r="I287" t="s">
        <v>173</v>
      </c>
      <c r="J287" t="s">
        <v>156</v>
      </c>
      <c r="K287">
        <v>0</v>
      </c>
      <c r="L287" t="s">
        <v>153</v>
      </c>
      <c r="N287" t="s">
        <v>202</v>
      </c>
      <c r="O287" t="s">
        <v>156</v>
      </c>
      <c r="P287">
        <v>1.7420267511347605E-3</v>
      </c>
      <c r="Q287" t="s">
        <v>153</v>
      </c>
      <c r="S287" t="s">
        <v>217</v>
      </c>
      <c r="T287" t="s">
        <v>156</v>
      </c>
      <c r="U287">
        <v>1.1640786551651095E-3</v>
      </c>
      <c r="V287" t="s">
        <v>153</v>
      </c>
    </row>
    <row r="288" spans="9:22" x14ac:dyDescent="0.45">
      <c r="I288" t="s">
        <v>173</v>
      </c>
      <c r="J288" t="s">
        <v>157</v>
      </c>
      <c r="K288">
        <v>7.3090686903094966E-4</v>
      </c>
      <c r="L288" t="s">
        <v>153</v>
      </c>
      <c r="N288" t="s">
        <v>202</v>
      </c>
      <c r="O288" t="s">
        <v>157</v>
      </c>
      <c r="P288">
        <v>2.6679996996264131E-4</v>
      </c>
      <c r="Q288" t="s">
        <v>153</v>
      </c>
      <c r="S288" t="s">
        <v>217</v>
      </c>
      <c r="T288" t="s">
        <v>157</v>
      </c>
      <c r="U288">
        <v>8.0999698067356078E-5</v>
      </c>
      <c r="V288" t="s">
        <v>153</v>
      </c>
    </row>
    <row r="289" spans="9:22" x14ac:dyDescent="0.45">
      <c r="I289" t="s">
        <v>173</v>
      </c>
      <c r="J289" t="s">
        <v>158</v>
      </c>
      <c r="K289">
        <v>1.8678747547543728E-2</v>
      </c>
      <c r="L289" t="s">
        <v>153</v>
      </c>
      <c r="N289" t="s">
        <v>202</v>
      </c>
      <c r="O289" t="s">
        <v>158</v>
      </c>
      <c r="P289">
        <v>2.5191741971504304E-3</v>
      </c>
      <c r="Q289" t="s">
        <v>153</v>
      </c>
      <c r="S289" t="s">
        <v>217</v>
      </c>
      <c r="T289" t="s">
        <v>158</v>
      </c>
      <c r="U289">
        <v>6.3837613236445508E-4</v>
      </c>
      <c r="V289" t="s">
        <v>153</v>
      </c>
    </row>
    <row r="290" spans="9:22" x14ac:dyDescent="0.45">
      <c r="I290" t="s">
        <v>173</v>
      </c>
      <c r="J290" t="s">
        <v>235</v>
      </c>
      <c r="K290">
        <v>1.1374417537653176E-3</v>
      </c>
      <c r="L290" t="s">
        <v>153</v>
      </c>
      <c r="N290" t="s">
        <v>202</v>
      </c>
      <c r="O290" t="s">
        <v>235</v>
      </c>
      <c r="P290">
        <v>7.848996342829267E-5</v>
      </c>
      <c r="Q290" t="s">
        <v>153</v>
      </c>
      <c r="S290" t="s">
        <v>217</v>
      </c>
      <c r="T290" t="s">
        <v>235</v>
      </c>
      <c r="U290">
        <v>9.8127866634973871E-5</v>
      </c>
      <c r="V290" t="s">
        <v>153</v>
      </c>
    </row>
    <row r="291" spans="9:22" x14ac:dyDescent="0.45">
      <c r="I291" t="s">
        <v>173</v>
      </c>
      <c r="J291" t="s">
        <v>236</v>
      </c>
      <c r="K291">
        <v>6.4359726532273057E-4</v>
      </c>
      <c r="L291" t="s">
        <v>153</v>
      </c>
      <c r="N291" t="s">
        <v>202</v>
      </c>
      <c r="O291" t="s">
        <v>236</v>
      </c>
      <c r="P291">
        <v>9.4925291313002966E-5</v>
      </c>
      <c r="Q291" t="s">
        <v>153</v>
      </c>
      <c r="S291" t="s">
        <v>217</v>
      </c>
      <c r="T291" t="s">
        <v>236</v>
      </c>
      <c r="U291">
        <v>1.1156820439790538E-4</v>
      </c>
      <c r="V291" t="s">
        <v>153</v>
      </c>
    </row>
    <row r="292" spans="9:22" x14ac:dyDescent="0.45">
      <c r="I292" t="s">
        <v>173</v>
      </c>
      <c r="J292" t="s">
        <v>237</v>
      </c>
      <c r="K292">
        <v>0</v>
      </c>
      <c r="L292" t="s">
        <v>153</v>
      </c>
      <c r="N292" t="s">
        <v>202</v>
      </c>
      <c r="O292" t="s">
        <v>237</v>
      </c>
      <c r="P292">
        <v>4.9135463751125976E-4</v>
      </c>
      <c r="Q292" t="s">
        <v>153</v>
      </c>
      <c r="S292" t="s">
        <v>217</v>
      </c>
      <c r="T292" t="s">
        <v>237</v>
      </c>
      <c r="U292">
        <v>5.3408116798136704E-4</v>
      </c>
      <c r="V292" t="s">
        <v>153</v>
      </c>
    </row>
    <row r="293" spans="9:22" x14ac:dyDescent="0.45">
      <c r="I293" t="s">
        <v>173</v>
      </c>
      <c r="J293" t="s">
        <v>159</v>
      </c>
      <c r="K293">
        <v>0</v>
      </c>
      <c r="L293" t="s">
        <v>153</v>
      </c>
      <c r="N293" t="s">
        <v>202</v>
      </c>
      <c r="O293" t="s">
        <v>159</v>
      </c>
      <c r="P293">
        <v>2.1677924871564239E-2</v>
      </c>
      <c r="Q293" t="s">
        <v>153</v>
      </c>
      <c r="S293" t="s">
        <v>217</v>
      </c>
      <c r="T293" t="s">
        <v>159</v>
      </c>
      <c r="U293">
        <v>2.3152574822096388E-3</v>
      </c>
      <c r="V293" t="s">
        <v>153</v>
      </c>
    </row>
    <row r="294" spans="9:22" x14ac:dyDescent="0.45">
      <c r="I294" t="s">
        <v>173</v>
      </c>
      <c r="J294" t="s">
        <v>160</v>
      </c>
      <c r="K294">
        <v>2.518744499411705E-3</v>
      </c>
      <c r="L294" t="s">
        <v>153</v>
      </c>
      <c r="N294" t="s">
        <v>202</v>
      </c>
      <c r="O294" t="s">
        <v>160</v>
      </c>
      <c r="P294">
        <v>3.3268252725970745E-3</v>
      </c>
      <c r="Q294" t="s">
        <v>153</v>
      </c>
      <c r="S294" t="s">
        <v>217</v>
      </c>
      <c r="T294" t="s">
        <v>160</v>
      </c>
      <c r="U294">
        <v>4.7463112577523104E-4</v>
      </c>
      <c r="V294" t="s">
        <v>153</v>
      </c>
    </row>
    <row r="295" spans="9:22" x14ac:dyDescent="0.45">
      <c r="I295" t="s">
        <v>173</v>
      </c>
      <c r="J295" t="s">
        <v>161</v>
      </c>
      <c r="K295">
        <v>5.8352187259893246E-2</v>
      </c>
      <c r="L295" t="s">
        <v>153</v>
      </c>
      <c r="N295" t="s">
        <v>202</v>
      </c>
      <c r="O295" t="s">
        <v>161</v>
      </c>
      <c r="P295">
        <v>3.2190442927527978E-2</v>
      </c>
      <c r="Q295" t="s">
        <v>153</v>
      </c>
      <c r="S295" t="s">
        <v>217</v>
      </c>
      <c r="T295" t="s">
        <v>161</v>
      </c>
      <c r="U295">
        <v>4.3759164504579683E-3</v>
      </c>
      <c r="V295" t="s">
        <v>153</v>
      </c>
    </row>
    <row r="296" spans="9:22" x14ac:dyDescent="0.45">
      <c r="I296" t="s">
        <v>173</v>
      </c>
      <c r="J296" t="s">
        <v>238</v>
      </c>
      <c r="K296">
        <v>3.5699572937167986E-3</v>
      </c>
      <c r="L296" t="s">
        <v>153</v>
      </c>
      <c r="N296" t="s">
        <v>202</v>
      </c>
      <c r="O296" t="s">
        <v>238</v>
      </c>
      <c r="P296">
        <v>1.3107329490770281E-3</v>
      </c>
      <c r="Q296" t="s">
        <v>153</v>
      </c>
      <c r="S296" t="s">
        <v>217</v>
      </c>
      <c r="T296" t="s">
        <v>238</v>
      </c>
      <c r="U296">
        <v>1.3971071693877576E-4</v>
      </c>
      <c r="V296" t="s">
        <v>153</v>
      </c>
    </row>
    <row r="297" spans="9:22" x14ac:dyDescent="0.45">
      <c r="I297" t="s">
        <v>173</v>
      </c>
      <c r="J297" t="s">
        <v>239</v>
      </c>
      <c r="K297">
        <v>2.2077624815135689E-3</v>
      </c>
      <c r="L297" t="s">
        <v>153</v>
      </c>
      <c r="N297" t="s">
        <v>202</v>
      </c>
      <c r="O297" t="s">
        <v>239</v>
      </c>
      <c r="P297">
        <v>1.5083518549115398E-3</v>
      </c>
      <c r="Q297" t="s">
        <v>153</v>
      </c>
      <c r="S297" t="s">
        <v>217</v>
      </c>
      <c r="T297" t="s">
        <v>239</v>
      </c>
      <c r="U297">
        <v>1.3109578605972593E-4</v>
      </c>
      <c r="V297" t="s">
        <v>153</v>
      </c>
    </row>
    <row r="298" spans="9:22" x14ac:dyDescent="0.45">
      <c r="I298" t="s">
        <v>173</v>
      </c>
      <c r="J298" t="s">
        <v>240</v>
      </c>
      <c r="K298">
        <v>0</v>
      </c>
      <c r="L298" t="s">
        <v>153</v>
      </c>
      <c r="N298" t="s">
        <v>202</v>
      </c>
      <c r="O298" t="s">
        <v>240</v>
      </c>
      <c r="P298">
        <v>1.3428300302761813E-2</v>
      </c>
      <c r="Q298" t="s">
        <v>153</v>
      </c>
      <c r="S298" t="s">
        <v>217</v>
      </c>
      <c r="T298" t="s">
        <v>240</v>
      </c>
      <c r="U298">
        <v>1.1540645306139135E-3</v>
      </c>
      <c r="V298" t="s">
        <v>153</v>
      </c>
    </row>
    <row r="299" spans="9:22" x14ac:dyDescent="0.45">
      <c r="I299" t="s">
        <v>173</v>
      </c>
      <c r="J299" t="s">
        <v>162</v>
      </c>
      <c r="K299">
        <v>0</v>
      </c>
      <c r="L299" t="s">
        <v>153</v>
      </c>
      <c r="N299" t="s">
        <v>202</v>
      </c>
      <c r="O299" t="s">
        <v>162</v>
      </c>
      <c r="P299">
        <v>4.437954275285759E-2</v>
      </c>
      <c r="Q299" t="s">
        <v>153</v>
      </c>
      <c r="S299" t="s">
        <v>217</v>
      </c>
      <c r="T299" t="s">
        <v>162</v>
      </c>
      <c r="U299">
        <v>2.3509206409155357E-2</v>
      </c>
      <c r="V299" t="s">
        <v>153</v>
      </c>
    </row>
    <row r="300" spans="9:22" x14ac:dyDescent="0.45">
      <c r="I300" t="s">
        <v>173</v>
      </c>
      <c r="J300" t="s">
        <v>163</v>
      </c>
      <c r="K300">
        <v>1.6201566615508018E-3</v>
      </c>
      <c r="L300" t="s">
        <v>153</v>
      </c>
      <c r="N300" t="s">
        <v>202</v>
      </c>
      <c r="O300" t="s">
        <v>163</v>
      </c>
      <c r="P300">
        <v>8.1001069830162111E-3</v>
      </c>
      <c r="Q300" t="s">
        <v>153</v>
      </c>
      <c r="S300" t="s">
        <v>217</v>
      </c>
      <c r="T300" t="s">
        <v>163</v>
      </c>
      <c r="U300">
        <v>3.8873991590987751E-3</v>
      </c>
      <c r="V300" t="s">
        <v>153</v>
      </c>
    </row>
    <row r="301" spans="9:22" x14ac:dyDescent="0.45">
      <c r="I301" t="s">
        <v>173</v>
      </c>
      <c r="J301" t="s">
        <v>164</v>
      </c>
      <c r="K301">
        <v>7.9617563593464932E-2</v>
      </c>
      <c r="L301" t="s">
        <v>153</v>
      </c>
      <c r="N301" t="s">
        <v>202</v>
      </c>
      <c r="O301" t="s">
        <v>164</v>
      </c>
      <c r="P301">
        <v>5.3980952294186625E-2</v>
      </c>
      <c r="Q301" t="s">
        <v>153</v>
      </c>
      <c r="S301" t="s">
        <v>217</v>
      </c>
      <c r="T301" t="s">
        <v>164</v>
      </c>
      <c r="U301">
        <v>3.0527828912908082E-2</v>
      </c>
      <c r="V301" t="s">
        <v>153</v>
      </c>
    </row>
    <row r="302" spans="9:22" x14ac:dyDescent="0.45">
      <c r="I302" t="s">
        <v>173</v>
      </c>
      <c r="J302" t="s">
        <v>241</v>
      </c>
      <c r="K302">
        <v>5.1938931566457196E-3</v>
      </c>
      <c r="L302" t="s">
        <v>153</v>
      </c>
      <c r="N302" t="s">
        <v>202</v>
      </c>
      <c r="O302" t="s">
        <v>241</v>
      </c>
      <c r="P302">
        <v>2.6066167847326712E-3</v>
      </c>
      <c r="Q302" t="s">
        <v>153</v>
      </c>
      <c r="S302" t="s">
        <v>217</v>
      </c>
      <c r="T302" t="s">
        <v>241</v>
      </c>
      <c r="U302">
        <v>2.2122797569035764E-3</v>
      </c>
      <c r="V302" t="s">
        <v>153</v>
      </c>
    </row>
    <row r="303" spans="9:22" x14ac:dyDescent="0.45">
      <c r="I303" t="s">
        <v>173</v>
      </c>
      <c r="J303" t="s">
        <v>242</v>
      </c>
      <c r="K303">
        <v>3.4393981000087198E-3</v>
      </c>
      <c r="L303" t="s">
        <v>153</v>
      </c>
      <c r="N303" t="s">
        <v>202</v>
      </c>
      <c r="O303" t="s">
        <v>242</v>
      </c>
      <c r="P303">
        <v>2.8474298785832216E-3</v>
      </c>
      <c r="Q303" t="s">
        <v>153</v>
      </c>
      <c r="S303" t="s">
        <v>217</v>
      </c>
      <c r="T303" t="s">
        <v>242</v>
      </c>
      <c r="U303">
        <v>2.1721728268688416E-3</v>
      </c>
      <c r="V303" t="s">
        <v>153</v>
      </c>
    </row>
    <row r="304" spans="9:22" x14ac:dyDescent="0.45">
      <c r="I304" t="s">
        <v>173</v>
      </c>
      <c r="J304" t="s">
        <v>243</v>
      </c>
      <c r="K304">
        <v>0</v>
      </c>
      <c r="L304" t="s">
        <v>153</v>
      </c>
      <c r="N304" t="s">
        <v>202</v>
      </c>
      <c r="O304" t="s">
        <v>243</v>
      </c>
      <c r="P304">
        <v>1.7873046785889555E-2</v>
      </c>
      <c r="Q304" t="s">
        <v>153</v>
      </c>
      <c r="S304" t="s">
        <v>217</v>
      </c>
      <c r="T304" t="s">
        <v>243</v>
      </c>
      <c r="U304">
        <v>1.3697971869739657E-2</v>
      </c>
      <c r="V304" t="s">
        <v>153</v>
      </c>
    </row>
    <row r="305" spans="9:22" x14ac:dyDescent="0.45">
      <c r="I305" t="s">
        <v>173</v>
      </c>
      <c r="J305" t="s">
        <v>249</v>
      </c>
      <c r="K305">
        <v>0</v>
      </c>
      <c r="L305" t="s">
        <v>153</v>
      </c>
      <c r="N305" t="s">
        <v>202</v>
      </c>
      <c r="O305" t="s">
        <v>249</v>
      </c>
      <c r="P305">
        <v>4.2632257842156115E-2</v>
      </c>
      <c r="Q305" t="s">
        <v>153</v>
      </c>
      <c r="S305" t="s">
        <v>217</v>
      </c>
      <c r="T305" t="s">
        <v>249</v>
      </c>
      <c r="U305">
        <v>1.4529764175797821E-2</v>
      </c>
      <c r="V305" t="s">
        <v>153</v>
      </c>
    </row>
    <row r="306" spans="9:22" x14ac:dyDescent="0.45">
      <c r="I306" t="s">
        <v>173</v>
      </c>
      <c r="J306" t="s">
        <v>250</v>
      </c>
      <c r="K306">
        <v>0</v>
      </c>
      <c r="L306" t="s">
        <v>153</v>
      </c>
      <c r="N306" t="s">
        <v>202</v>
      </c>
      <c r="O306" t="s">
        <v>250</v>
      </c>
      <c r="P306">
        <v>7.8759195733363457E-3</v>
      </c>
      <c r="Q306" t="s">
        <v>153</v>
      </c>
      <c r="S306" t="s">
        <v>217</v>
      </c>
      <c r="T306" t="s">
        <v>250</v>
      </c>
      <c r="U306">
        <v>2.3274092923481204E-3</v>
      </c>
      <c r="V306" t="s">
        <v>153</v>
      </c>
    </row>
    <row r="307" spans="9:22" x14ac:dyDescent="0.45">
      <c r="I307" t="s">
        <v>173</v>
      </c>
      <c r="J307" t="s">
        <v>251</v>
      </c>
      <c r="K307">
        <v>4.5909271888792298E-2</v>
      </c>
      <c r="L307" t="s">
        <v>153</v>
      </c>
      <c r="N307" t="s">
        <v>202</v>
      </c>
      <c r="O307" t="s">
        <v>251</v>
      </c>
      <c r="P307">
        <v>5.2067681290041974E-2</v>
      </c>
      <c r="Q307" t="s">
        <v>153</v>
      </c>
      <c r="S307" t="s">
        <v>217</v>
      </c>
      <c r="T307" t="s">
        <v>251</v>
      </c>
      <c r="U307">
        <v>2.1281029365900102E-2</v>
      </c>
      <c r="V307" t="s">
        <v>153</v>
      </c>
    </row>
    <row r="308" spans="9:22" x14ac:dyDescent="0.45">
      <c r="I308" t="s">
        <v>173</v>
      </c>
      <c r="J308" t="s">
        <v>252</v>
      </c>
      <c r="K308">
        <v>4.0711325637385167E-3</v>
      </c>
      <c r="L308" t="s">
        <v>153</v>
      </c>
      <c r="N308" t="s">
        <v>202</v>
      </c>
      <c r="O308" t="s">
        <v>252</v>
      </c>
      <c r="P308">
        <v>2.5364935613591336E-3</v>
      </c>
      <c r="Q308" t="s">
        <v>153</v>
      </c>
      <c r="S308" t="s">
        <v>217</v>
      </c>
      <c r="T308" t="s">
        <v>252</v>
      </c>
      <c r="U308">
        <v>1.3295124816383559E-3</v>
      </c>
      <c r="V308" t="s">
        <v>153</v>
      </c>
    </row>
    <row r="309" spans="9:22" x14ac:dyDescent="0.45">
      <c r="I309" t="s">
        <v>173</v>
      </c>
      <c r="J309" t="s">
        <v>253</v>
      </c>
      <c r="K309">
        <v>2.2871112784651291E-3</v>
      </c>
      <c r="L309" t="s">
        <v>153</v>
      </c>
      <c r="N309" t="s">
        <v>202</v>
      </c>
      <c r="O309" t="s">
        <v>253</v>
      </c>
      <c r="P309">
        <v>2.6321564923527806E-3</v>
      </c>
      <c r="Q309" t="s">
        <v>153</v>
      </c>
      <c r="S309" t="s">
        <v>217</v>
      </c>
      <c r="T309" t="s">
        <v>253</v>
      </c>
      <c r="U309">
        <v>1.5161196288553253E-3</v>
      </c>
      <c r="V309" t="s">
        <v>153</v>
      </c>
    </row>
    <row r="310" spans="9:22" x14ac:dyDescent="0.45">
      <c r="I310" t="s">
        <v>173</v>
      </c>
      <c r="J310" t="s">
        <v>254</v>
      </c>
      <c r="K310">
        <v>0</v>
      </c>
      <c r="L310" t="s">
        <v>153</v>
      </c>
      <c r="N310" t="s">
        <v>202</v>
      </c>
      <c r="O310" t="s">
        <v>254</v>
      </c>
      <c r="P310">
        <v>1.7724649874022495E-2</v>
      </c>
      <c r="Q310" t="s">
        <v>153</v>
      </c>
      <c r="S310" t="s">
        <v>217</v>
      </c>
      <c r="T310" t="s">
        <v>254</v>
      </c>
      <c r="U310">
        <v>1.0623867288913581E-2</v>
      </c>
      <c r="V310" t="s">
        <v>153</v>
      </c>
    </row>
    <row r="311" spans="9:22" x14ac:dyDescent="0.45">
      <c r="I311" t="s">
        <v>174</v>
      </c>
      <c r="J311" t="s">
        <v>152</v>
      </c>
      <c r="K311">
        <v>0</v>
      </c>
      <c r="L311" t="s">
        <v>153</v>
      </c>
      <c r="N311" t="s">
        <v>203</v>
      </c>
      <c r="O311" t="s">
        <v>152</v>
      </c>
      <c r="P311">
        <v>0.21332203149939577</v>
      </c>
      <c r="Q311" t="s">
        <v>153</v>
      </c>
    </row>
    <row r="312" spans="9:22" x14ac:dyDescent="0.45">
      <c r="I312" t="s">
        <v>174</v>
      </c>
      <c r="J312" t="s">
        <v>154</v>
      </c>
      <c r="K312">
        <v>1.870639646060682E-2</v>
      </c>
      <c r="L312" t="s">
        <v>153</v>
      </c>
      <c r="N312" t="s">
        <v>203</v>
      </c>
      <c r="O312" t="s">
        <v>154</v>
      </c>
      <c r="P312">
        <v>2.1978107904456021E-2</v>
      </c>
      <c r="Q312" t="s">
        <v>153</v>
      </c>
    </row>
    <row r="313" spans="9:22" x14ac:dyDescent="0.45">
      <c r="I313" t="s">
        <v>174</v>
      </c>
      <c r="J313" t="s">
        <v>155</v>
      </c>
      <c r="K313">
        <v>0.67696099756983175</v>
      </c>
      <c r="L313" t="s">
        <v>153</v>
      </c>
      <c r="N313" t="s">
        <v>203</v>
      </c>
      <c r="O313" t="s">
        <v>155</v>
      </c>
      <c r="P313">
        <v>0.23720052747589265</v>
      </c>
      <c r="Q313" t="s">
        <v>153</v>
      </c>
    </row>
    <row r="314" spans="9:22" x14ac:dyDescent="0.45">
      <c r="I314" t="s">
        <v>174</v>
      </c>
      <c r="J314" t="s">
        <v>232</v>
      </c>
      <c r="K314">
        <v>4.6614415689786984E-2</v>
      </c>
      <c r="L314" t="s">
        <v>153</v>
      </c>
      <c r="N314" t="s">
        <v>203</v>
      </c>
      <c r="O314" t="s">
        <v>232</v>
      </c>
      <c r="P314">
        <v>2.2616099022544921E-2</v>
      </c>
      <c r="Q314" t="s">
        <v>153</v>
      </c>
    </row>
    <row r="315" spans="9:22" x14ac:dyDescent="0.45">
      <c r="I315" t="s">
        <v>174</v>
      </c>
      <c r="J315" t="s">
        <v>233</v>
      </c>
      <c r="K315">
        <v>2.746403377157728E-2</v>
      </c>
      <c r="L315" t="s">
        <v>153</v>
      </c>
      <c r="N315" t="s">
        <v>203</v>
      </c>
      <c r="O315" t="s">
        <v>233</v>
      </c>
      <c r="P315">
        <v>2.5896399167085925E-2</v>
      </c>
      <c r="Q315" t="s">
        <v>153</v>
      </c>
    </row>
    <row r="316" spans="9:22" x14ac:dyDescent="0.45">
      <c r="I316" t="s">
        <v>174</v>
      </c>
      <c r="J316" t="s">
        <v>234</v>
      </c>
      <c r="K316">
        <v>1.993281980957386E-3</v>
      </c>
      <c r="L316" t="s">
        <v>153</v>
      </c>
      <c r="N316" t="s">
        <v>203</v>
      </c>
      <c r="O316" t="s">
        <v>234</v>
      </c>
      <c r="P316">
        <v>0.18862657714294068</v>
      </c>
      <c r="Q316" t="s">
        <v>153</v>
      </c>
    </row>
    <row r="317" spans="9:22" x14ac:dyDescent="0.45">
      <c r="I317" t="s">
        <v>174</v>
      </c>
      <c r="J317" t="s">
        <v>156</v>
      </c>
      <c r="K317">
        <v>0</v>
      </c>
      <c r="L317" t="s">
        <v>153</v>
      </c>
      <c r="N317" t="s">
        <v>203</v>
      </c>
      <c r="O317" t="s">
        <v>156</v>
      </c>
      <c r="P317">
        <v>4.1647660460559319E-3</v>
      </c>
      <c r="Q317" t="s">
        <v>153</v>
      </c>
    </row>
    <row r="318" spans="9:22" x14ac:dyDescent="0.45">
      <c r="I318" t="s">
        <v>174</v>
      </c>
      <c r="J318" t="s">
        <v>157</v>
      </c>
      <c r="K318">
        <v>8.7632416848978402E-4</v>
      </c>
      <c r="L318" t="s">
        <v>153</v>
      </c>
      <c r="N318" t="s">
        <v>203</v>
      </c>
      <c r="O318" t="s">
        <v>157</v>
      </c>
      <c r="P318">
        <v>1.0844131714060133E-3</v>
      </c>
      <c r="Q318" t="s">
        <v>153</v>
      </c>
    </row>
    <row r="319" spans="9:22" x14ac:dyDescent="0.45">
      <c r="I319" t="s">
        <v>174</v>
      </c>
      <c r="J319" t="s">
        <v>158</v>
      </c>
      <c r="K319">
        <v>2.0884274228530005E-2</v>
      </c>
      <c r="L319" t="s">
        <v>153</v>
      </c>
      <c r="N319" t="s">
        <v>203</v>
      </c>
      <c r="O319" t="s">
        <v>158</v>
      </c>
      <c r="P319">
        <v>6.5385148422235665E-3</v>
      </c>
      <c r="Q319" t="s">
        <v>153</v>
      </c>
    </row>
    <row r="320" spans="9:22" x14ac:dyDescent="0.45">
      <c r="I320" t="s">
        <v>174</v>
      </c>
      <c r="J320" t="s">
        <v>235</v>
      </c>
      <c r="K320">
        <v>1.3181308496497573E-3</v>
      </c>
      <c r="L320" t="s">
        <v>153</v>
      </c>
      <c r="N320" t="s">
        <v>203</v>
      </c>
      <c r="O320" t="s">
        <v>235</v>
      </c>
      <c r="P320">
        <v>1.2619922892743993E-4</v>
      </c>
      <c r="Q320" t="s">
        <v>153</v>
      </c>
    </row>
    <row r="321" spans="9:17" x14ac:dyDescent="0.45">
      <c r="I321" t="s">
        <v>174</v>
      </c>
      <c r="J321" t="s">
        <v>236</v>
      </c>
      <c r="K321">
        <v>7.300609124486772E-4</v>
      </c>
      <c r="L321" t="s">
        <v>153</v>
      </c>
      <c r="N321" t="s">
        <v>203</v>
      </c>
      <c r="O321" t="s">
        <v>236</v>
      </c>
      <c r="P321">
        <v>1.3782874778951E-4</v>
      </c>
      <c r="Q321" t="s">
        <v>153</v>
      </c>
    </row>
    <row r="322" spans="9:17" x14ac:dyDescent="0.45">
      <c r="I322" t="s">
        <v>174</v>
      </c>
      <c r="J322" t="s">
        <v>237</v>
      </c>
      <c r="K322">
        <v>0</v>
      </c>
      <c r="L322" t="s">
        <v>153</v>
      </c>
      <c r="N322" t="s">
        <v>203</v>
      </c>
      <c r="O322" t="s">
        <v>237</v>
      </c>
      <c r="P322">
        <v>1.995693718048776E-3</v>
      </c>
      <c r="Q322" t="s">
        <v>153</v>
      </c>
    </row>
    <row r="323" spans="9:17" x14ac:dyDescent="0.45">
      <c r="I323" t="s">
        <v>174</v>
      </c>
      <c r="J323" t="s">
        <v>159</v>
      </c>
      <c r="K323">
        <v>0</v>
      </c>
      <c r="L323" t="s">
        <v>153</v>
      </c>
      <c r="N323" t="s">
        <v>203</v>
      </c>
      <c r="O323" t="s">
        <v>159</v>
      </c>
      <c r="P323">
        <v>1.5227306497768989E-2</v>
      </c>
      <c r="Q323" t="s">
        <v>153</v>
      </c>
    </row>
    <row r="324" spans="9:17" x14ac:dyDescent="0.45">
      <c r="I324" t="s">
        <v>174</v>
      </c>
      <c r="J324" t="s">
        <v>160</v>
      </c>
      <c r="K324">
        <v>2.7236597154246759E-3</v>
      </c>
      <c r="L324" t="s">
        <v>153</v>
      </c>
      <c r="N324" t="s">
        <v>203</v>
      </c>
      <c r="O324" t="s">
        <v>160</v>
      </c>
      <c r="P324">
        <v>2.7655211327190063E-3</v>
      </c>
      <c r="Q324" t="s">
        <v>153</v>
      </c>
    </row>
    <row r="325" spans="9:17" x14ac:dyDescent="0.45">
      <c r="I325" t="s">
        <v>174</v>
      </c>
      <c r="J325" t="s">
        <v>161</v>
      </c>
      <c r="K325">
        <v>5.8318271402287652E-2</v>
      </c>
      <c r="L325" t="s">
        <v>153</v>
      </c>
      <c r="N325" t="s">
        <v>203</v>
      </c>
      <c r="O325" t="s">
        <v>161</v>
      </c>
      <c r="P325">
        <v>2.8303911447836779E-2</v>
      </c>
      <c r="Q325" t="s">
        <v>153</v>
      </c>
    </row>
    <row r="326" spans="9:17" x14ac:dyDescent="0.45">
      <c r="I326" t="s">
        <v>174</v>
      </c>
      <c r="J326" t="s">
        <v>238</v>
      </c>
      <c r="K326">
        <v>3.650562141004089E-3</v>
      </c>
      <c r="L326" t="s">
        <v>153</v>
      </c>
      <c r="N326" t="s">
        <v>203</v>
      </c>
      <c r="O326" t="s">
        <v>238</v>
      </c>
      <c r="P326">
        <v>1.3238367321944341E-3</v>
      </c>
      <c r="Q326" t="s">
        <v>153</v>
      </c>
    </row>
    <row r="327" spans="9:17" x14ac:dyDescent="0.45">
      <c r="I327" t="s">
        <v>174</v>
      </c>
      <c r="J327" t="s">
        <v>239</v>
      </c>
      <c r="K327">
        <v>2.3022022378563468E-3</v>
      </c>
      <c r="L327" t="s">
        <v>153</v>
      </c>
      <c r="N327" t="s">
        <v>203</v>
      </c>
      <c r="O327" t="s">
        <v>239</v>
      </c>
      <c r="P327">
        <v>1.6542009954649216E-3</v>
      </c>
      <c r="Q327" t="s">
        <v>153</v>
      </c>
    </row>
    <row r="328" spans="9:17" x14ac:dyDescent="0.45">
      <c r="I328" t="s">
        <v>174</v>
      </c>
      <c r="J328" t="s">
        <v>240</v>
      </c>
      <c r="K328">
        <v>0</v>
      </c>
      <c r="L328" t="s">
        <v>153</v>
      </c>
      <c r="N328" t="s">
        <v>203</v>
      </c>
      <c r="O328" t="s">
        <v>240</v>
      </c>
      <c r="P328">
        <v>1.1411029779385186E-2</v>
      </c>
      <c r="Q328" t="s">
        <v>153</v>
      </c>
    </row>
    <row r="329" spans="9:17" x14ac:dyDescent="0.45">
      <c r="I329" t="s">
        <v>174</v>
      </c>
      <c r="J329" t="s">
        <v>162</v>
      </c>
      <c r="K329">
        <v>0</v>
      </c>
      <c r="L329" t="s">
        <v>153</v>
      </c>
      <c r="N329" t="s">
        <v>203</v>
      </c>
      <c r="O329" t="s">
        <v>162</v>
      </c>
      <c r="P329">
        <v>3.4912265517823352E-2</v>
      </c>
      <c r="Q329" t="s">
        <v>153</v>
      </c>
    </row>
    <row r="330" spans="9:17" x14ac:dyDescent="0.45">
      <c r="I330" t="s">
        <v>174</v>
      </c>
      <c r="J330" t="s">
        <v>163</v>
      </c>
      <c r="K330">
        <v>2.8885421422528848E-3</v>
      </c>
      <c r="L330" t="s">
        <v>153</v>
      </c>
      <c r="N330" t="s">
        <v>203</v>
      </c>
      <c r="O330" t="s">
        <v>163</v>
      </c>
      <c r="P330">
        <v>6.3581452143283007E-3</v>
      </c>
      <c r="Q330" t="s">
        <v>153</v>
      </c>
    </row>
    <row r="331" spans="9:17" x14ac:dyDescent="0.45">
      <c r="I331" t="s">
        <v>174</v>
      </c>
      <c r="J331" t="s">
        <v>164</v>
      </c>
      <c r="K331">
        <v>7.865471070391751E-2</v>
      </c>
      <c r="L331" t="s">
        <v>153</v>
      </c>
      <c r="N331" t="s">
        <v>203</v>
      </c>
      <c r="O331" t="s">
        <v>164</v>
      </c>
      <c r="P331">
        <v>5.929182043751615E-2</v>
      </c>
      <c r="Q331" t="s">
        <v>153</v>
      </c>
    </row>
    <row r="332" spans="9:17" x14ac:dyDescent="0.45">
      <c r="I332" t="s">
        <v>174</v>
      </c>
      <c r="J332" t="s">
        <v>241</v>
      </c>
      <c r="K332">
        <v>4.8780551374875214E-3</v>
      </c>
      <c r="L332" t="s">
        <v>153</v>
      </c>
      <c r="N332" t="s">
        <v>203</v>
      </c>
      <c r="O332" t="s">
        <v>241</v>
      </c>
      <c r="P332">
        <v>2.4701747537475456E-3</v>
      </c>
      <c r="Q332" t="s">
        <v>153</v>
      </c>
    </row>
    <row r="333" spans="9:17" x14ac:dyDescent="0.45">
      <c r="I333" t="s">
        <v>174</v>
      </c>
      <c r="J333" t="s">
        <v>242</v>
      </c>
      <c r="K333">
        <v>2.7496339406397107E-3</v>
      </c>
      <c r="L333" t="s">
        <v>153</v>
      </c>
      <c r="N333" t="s">
        <v>203</v>
      </c>
      <c r="O333" t="s">
        <v>242</v>
      </c>
      <c r="P333">
        <v>2.8861233028633377E-3</v>
      </c>
      <c r="Q333" t="s">
        <v>153</v>
      </c>
    </row>
    <row r="334" spans="9:17" x14ac:dyDescent="0.45">
      <c r="I334" t="s">
        <v>174</v>
      </c>
      <c r="J334" t="s">
        <v>243</v>
      </c>
      <c r="K334">
        <v>0</v>
      </c>
      <c r="L334" t="s">
        <v>153</v>
      </c>
      <c r="N334" t="s">
        <v>203</v>
      </c>
      <c r="O334" t="s">
        <v>243</v>
      </c>
      <c r="P334">
        <v>1.7761934361914495E-2</v>
      </c>
      <c r="Q334" t="s">
        <v>153</v>
      </c>
    </row>
    <row r="335" spans="9:17" x14ac:dyDescent="0.45">
      <c r="I335" t="s">
        <v>174</v>
      </c>
      <c r="J335" t="s">
        <v>249</v>
      </c>
      <c r="K335">
        <v>0</v>
      </c>
      <c r="L335" t="s">
        <v>153</v>
      </c>
      <c r="N335" t="s">
        <v>203</v>
      </c>
      <c r="O335" t="s">
        <v>249</v>
      </c>
      <c r="P335">
        <v>3.0307690847330634E-2</v>
      </c>
      <c r="Q335" t="s">
        <v>153</v>
      </c>
    </row>
    <row r="336" spans="9:17" x14ac:dyDescent="0.45">
      <c r="I336" t="s">
        <v>174</v>
      </c>
      <c r="J336" t="s">
        <v>250</v>
      </c>
      <c r="K336">
        <v>0</v>
      </c>
      <c r="L336" t="s">
        <v>153</v>
      </c>
      <c r="N336" t="s">
        <v>203</v>
      </c>
      <c r="O336" t="s">
        <v>250</v>
      </c>
      <c r="P336">
        <v>5.0673376334136348E-3</v>
      </c>
      <c r="Q336" t="s">
        <v>153</v>
      </c>
    </row>
    <row r="337" spans="9:17" x14ac:dyDescent="0.45">
      <c r="I337" t="s">
        <v>174</v>
      </c>
      <c r="J337" t="s">
        <v>251</v>
      </c>
      <c r="K337">
        <v>4.3154064375223525E-2</v>
      </c>
      <c r="L337" t="s">
        <v>153</v>
      </c>
      <c r="N337" t="s">
        <v>203</v>
      </c>
      <c r="O337" t="s">
        <v>251</v>
      </c>
      <c r="P337">
        <v>3.4859623178310768E-2</v>
      </c>
      <c r="Q337" t="s">
        <v>153</v>
      </c>
    </row>
    <row r="338" spans="9:17" x14ac:dyDescent="0.45">
      <c r="I338" t="s">
        <v>174</v>
      </c>
      <c r="J338" t="s">
        <v>252</v>
      </c>
      <c r="K338">
        <v>3.2155138218262916E-3</v>
      </c>
      <c r="L338" t="s">
        <v>153</v>
      </c>
      <c r="N338" t="s">
        <v>203</v>
      </c>
      <c r="O338" t="s">
        <v>252</v>
      </c>
      <c r="P338">
        <v>1.7046212233469494E-3</v>
      </c>
      <c r="Q338" t="s">
        <v>153</v>
      </c>
    </row>
    <row r="339" spans="9:17" x14ac:dyDescent="0.45">
      <c r="I339" t="s">
        <v>174</v>
      </c>
      <c r="J339" t="s">
        <v>253</v>
      </c>
      <c r="K339">
        <v>1.9168687502030949E-3</v>
      </c>
      <c r="L339" t="s">
        <v>153</v>
      </c>
      <c r="N339" t="s">
        <v>203</v>
      </c>
      <c r="O339" t="s">
        <v>253</v>
      </c>
      <c r="P339">
        <v>2.2353512172641988E-3</v>
      </c>
      <c r="Q339" t="s">
        <v>153</v>
      </c>
    </row>
    <row r="340" spans="9:17" x14ac:dyDescent="0.45">
      <c r="I340" t="s">
        <v>174</v>
      </c>
      <c r="J340" t="s">
        <v>254</v>
      </c>
      <c r="K340">
        <v>0</v>
      </c>
      <c r="L340" t="s">
        <v>153</v>
      </c>
      <c r="N340" t="s">
        <v>203</v>
      </c>
      <c r="O340" t="s">
        <v>254</v>
      </c>
      <c r="P340">
        <v>1.7771947759999636E-2</v>
      </c>
      <c r="Q340" t="s">
        <v>153</v>
      </c>
    </row>
    <row r="341" spans="9:17" x14ac:dyDescent="0.45">
      <c r="I341" t="s">
        <v>175</v>
      </c>
      <c r="J341" t="s">
        <v>152</v>
      </c>
      <c r="K341">
        <v>0</v>
      </c>
      <c r="L341" t="s">
        <v>153</v>
      </c>
      <c r="N341" t="s">
        <v>204</v>
      </c>
      <c r="O341" t="s">
        <v>152</v>
      </c>
      <c r="P341">
        <v>0.26412953674263784</v>
      </c>
      <c r="Q341" t="s">
        <v>153</v>
      </c>
    </row>
    <row r="342" spans="9:17" x14ac:dyDescent="0.45">
      <c r="I342" t="s">
        <v>175</v>
      </c>
      <c r="J342" t="s">
        <v>154</v>
      </c>
      <c r="K342">
        <v>2.0371195259975959E-2</v>
      </c>
      <c r="L342" t="s">
        <v>153</v>
      </c>
      <c r="N342" t="s">
        <v>204</v>
      </c>
      <c r="O342" t="s">
        <v>154</v>
      </c>
      <c r="P342">
        <v>2.9938407240008704E-2</v>
      </c>
      <c r="Q342" t="s">
        <v>153</v>
      </c>
    </row>
    <row r="343" spans="9:17" x14ac:dyDescent="0.45">
      <c r="I343" t="s">
        <v>175</v>
      </c>
      <c r="J343" t="s">
        <v>155</v>
      </c>
      <c r="K343">
        <v>0.72735715878927265</v>
      </c>
      <c r="L343" t="s">
        <v>153</v>
      </c>
      <c r="N343" t="s">
        <v>204</v>
      </c>
      <c r="O343" t="s">
        <v>155</v>
      </c>
      <c r="P343">
        <v>0.26989554904128715</v>
      </c>
      <c r="Q343" t="s">
        <v>153</v>
      </c>
    </row>
    <row r="344" spans="9:17" x14ac:dyDescent="0.45">
      <c r="I344" t="s">
        <v>175</v>
      </c>
      <c r="J344" t="s">
        <v>232</v>
      </c>
      <c r="K344">
        <v>4.9509094042300139E-2</v>
      </c>
      <c r="L344" t="s">
        <v>153</v>
      </c>
      <c r="N344" t="s">
        <v>204</v>
      </c>
      <c r="O344" t="s">
        <v>232</v>
      </c>
      <c r="P344">
        <v>2.6985423767001103E-2</v>
      </c>
      <c r="Q344" t="s">
        <v>153</v>
      </c>
    </row>
    <row r="345" spans="9:17" x14ac:dyDescent="0.45">
      <c r="I345" t="s">
        <v>175</v>
      </c>
      <c r="J345" t="s">
        <v>233</v>
      </c>
      <c r="K345">
        <v>3.0190046966923359E-2</v>
      </c>
      <c r="L345" t="s">
        <v>153</v>
      </c>
      <c r="N345" t="s">
        <v>204</v>
      </c>
      <c r="O345" t="s">
        <v>233</v>
      </c>
      <c r="P345">
        <v>2.7595424713239645E-2</v>
      </c>
      <c r="Q345" t="s">
        <v>153</v>
      </c>
    </row>
    <row r="346" spans="9:17" x14ac:dyDescent="0.45">
      <c r="I346" t="s">
        <v>175</v>
      </c>
      <c r="J346" t="s">
        <v>234</v>
      </c>
      <c r="K346">
        <v>0</v>
      </c>
      <c r="L346" t="s">
        <v>153</v>
      </c>
      <c r="N346" t="s">
        <v>204</v>
      </c>
      <c r="O346" t="s">
        <v>234</v>
      </c>
      <c r="P346">
        <v>0.16587549690571621</v>
      </c>
      <c r="Q346" t="s">
        <v>153</v>
      </c>
    </row>
    <row r="347" spans="9:17" x14ac:dyDescent="0.45">
      <c r="I347" t="s">
        <v>175</v>
      </c>
      <c r="J347" t="s">
        <v>156</v>
      </c>
      <c r="K347">
        <v>0</v>
      </c>
      <c r="L347" t="s">
        <v>153</v>
      </c>
      <c r="N347" t="s">
        <v>204</v>
      </c>
      <c r="O347" t="s">
        <v>156</v>
      </c>
      <c r="P347">
        <v>1.8893840353032968E-3</v>
      </c>
      <c r="Q347" t="s">
        <v>153</v>
      </c>
    </row>
    <row r="348" spans="9:17" x14ac:dyDescent="0.45">
      <c r="I348" t="s">
        <v>175</v>
      </c>
      <c r="J348" t="s">
        <v>157</v>
      </c>
      <c r="K348">
        <v>4.3338391281784184E-4</v>
      </c>
      <c r="L348" t="s">
        <v>153</v>
      </c>
      <c r="N348" t="s">
        <v>204</v>
      </c>
      <c r="O348" t="s">
        <v>157</v>
      </c>
      <c r="P348">
        <v>5.5773384849487411E-4</v>
      </c>
      <c r="Q348" t="s">
        <v>153</v>
      </c>
    </row>
    <row r="349" spans="9:17" x14ac:dyDescent="0.45">
      <c r="I349" t="s">
        <v>175</v>
      </c>
      <c r="J349" t="s">
        <v>158</v>
      </c>
      <c r="K349">
        <v>1.7032120298095567E-2</v>
      </c>
      <c r="L349" t="s">
        <v>153</v>
      </c>
      <c r="N349" t="s">
        <v>204</v>
      </c>
      <c r="O349" t="s">
        <v>158</v>
      </c>
      <c r="P349">
        <v>2.7291303113663595E-3</v>
      </c>
      <c r="Q349" t="s">
        <v>153</v>
      </c>
    </row>
    <row r="350" spans="9:17" x14ac:dyDescent="0.45">
      <c r="I350" t="s">
        <v>175</v>
      </c>
      <c r="J350" t="s">
        <v>235</v>
      </c>
      <c r="K350">
        <v>8.0327566838935059E-4</v>
      </c>
      <c r="L350" t="s">
        <v>153</v>
      </c>
      <c r="N350" t="s">
        <v>204</v>
      </c>
      <c r="O350" t="s">
        <v>235</v>
      </c>
      <c r="P350">
        <v>7.4284292255042672E-5</v>
      </c>
      <c r="Q350" t="s">
        <v>153</v>
      </c>
    </row>
    <row r="351" spans="9:17" x14ac:dyDescent="0.45">
      <c r="I351" t="s">
        <v>175</v>
      </c>
      <c r="J351" t="s">
        <v>236</v>
      </c>
      <c r="K351">
        <v>3.8660236699640017E-4</v>
      </c>
      <c r="L351" t="s">
        <v>153</v>
      </c>
      <c r="N351" t="s">
        <v>204</v>
      </c>
      <c r="O351" t="s">
        <v>236</v>
      </c>
      <c r="P351">
        <v>8.7947452535453585E-5</v>
      </c>
      <c r="Q351" t="s">
        <v>153</v>
      </c>
    </row>
    <row r="352" spans="9:17" x14ac:dyDescent="0.45">
      <c r="I352" t="s">
        <v>175</v>
      </c>
      <c r="J352" t="s">
        <v>237</v>
      </c>
      <c r="K352">
        <v>0</v>
      </c>
      <c r="L352" t="s">
        <v>153</v>
      </c>
      <c r="N352" t="s">
        <v>204</v>
      </c>
      <c r="O352" t="s">
        <v>237</v>
      </c>
      <c r="P352">
        <v>8.2487061716731694E-4</v>
      </c>
      <c r="Q352" t="s">
        <v>153</v>
      </c>
    </row>
    <row r="353" spans="9:17" x14ac:dyDescent="0.45">
      <c r="I353" t="s">
        <v>175</v>
      </c>
      <c r="J353" t="s">
        <v>159</v>
      </c>
      <c r="K353">
        <v>0</v>
      </c>
      <c r="L353" t="s">
        <v>153</v>
      </c>
      <c r="N353" t="s">
        <v>204</v>
      </c>
      <c r="O353" t="s">
        <v>159</v>
      </c>
      <c r="P353">
        <v>1.0620648202424405E-2</v>
      </c>
      <c r="Q353" t="s">
        <v>153</v>
      </c>
    </row>
    <row r="354" spans="9:17" x14ac:dyDescent="0.45">
      <c r="I354" t="s">
        <v>175</v>
      </c>
      <c r="J354" t="s">
        <v>160</v>
      </c>
      <c r="K354">
        <v>1.7778125524601878E-3</v>
      </c>
      <c r="L354" t="s">
        <v>153</v>
      </c>
      <c r="N354" t="s">
        <v>204</v>
      </c>
      <c r="O354" t="s">
        <v>160</v>
      </c>
      <c r="P354">
        <v>2.331710079779439E-3</v>
      </c>
      <c r="Q354" t="s">
        <v>153</v>
      </c>
    </row>
    <row r="355" spans="9:17" x14ac:dyDescent="0.45">
      <c r="I355" t="s">
        <v>175</v>
      </c>
      <c r="J355" t="s">
        <v>161</v>
      </c>
      <c r="K355">
        <v>5.562117733963326E-2</v>
      </c>
      <c r="L355" t="s">
        <v>153</v>
      </c>
      <c r="N355" t="s">
        <v>204</v>
      </c>
      <c r="O355" t="s">
        <v>161</v>
      </c>
      <c r="P355">
        <v>1.5520741956537616E-2</v>
      </c>
      <c r="Q355" t="s">
        <v>153</v>
      </c>
    </row>
    <row r="356" spans="9:17" x14ac:dyDescent="0.45">
      <c r="I356" t="s">
        <v>175</v>
      </c>
      <c r="J356" t="s">
        <v>238</v>
      </c>
      <c r="K356">
        <v>3.2012114425478645E-3</v>
      </c>
      <c r="L356" t="s">
        <v>153</v>
      </c>
      <c r="N356" t="s">
        <v>204</v>
      </c>
      <c r="O356" t="s">
        <v>238</v>
      </c>
      <c r="P356">
        <v>7.27302690065565E-4</v>
      </c>
      <c r="Q356" t="s">
        <v>153</v>
      </c>
    </row>
    <row r="357" spans="9:17" x14ac:dyDescent="0.45">
      <c r="I357" t="s">
        <v>175</v>
      </c>
      <c r="J357" t="s">
        <v>239</v>
      </c>
      <c r="K357">
        <v>1.8771983896875963E-3</v>
      </c>
      <c r="L357" t="s">
        <v>153</v>
      </c>
      <c r="N357" t="s">
        <v>204</v>
      </c>
      <c r="O357" t="s">
        <v>239</v>
      </c>
      <c r="P357">
        <v>1.0123131053494435E-3</v>
      </c>
      <c r="Q357" t="s">
        <v>153</v>
      </c>
    </row>
    <row r="358" spans="9:17" x14ac:dyDescent="0.45">
      <c r="I358" t="s">
        <v>175</v>
      </c>
      <c r="J358" t="s">
        <v>240</v>
      </c>
      <c r="K358">
        <v>0</v>
      </c>
      <c r="L358" t="s">
        <v>153</v>
      </c>
      <c r="N358" t="s">
        <v>204</v>
      </c>
      <c r="O358" t="s">
        <v>240</v>
      </c>
      <c r="P358">
        <v>7.9458523854091592E-3</v>
      </c>
      <c r="Q358" t="s">
        <v>153</v>
      </c>
    </row>
    <row r="359" spans="9:17" x14ac:dyDescent="0.45">
      <c r="I359" t="s">
        <v>175</v>
      </c>
      <c r="J359" t="s">
        <v>162</v>
      </c>
      <c r="K359">
        <v>0</v>
      </c>
      <c r="L359" t="s">
        <v>153</v>
      </c>
      <c r="N359" t="s">
        <v>204</v>
      </c>
      <c r="O359" t="s">
        <v>162</v>
      </c>
      <c r="P359">
        <v>3.0483270484556992E-2</v>
      </c>
      <c r="Q359" t="s">
        <v>153</v>
      </c>
    </row>
    <row r="360" spans="9:17" x14ac:dyDescent="0.45">
      <c r="I360" t="s">
        <v>175</v>
      </c>
      <c r="J360" t="s">
        <v>163</v>
      </c>
      <c r="K360">
        <v>1.459599243167688E-3</v>
      </c>
      <c r="L360" t="s">
        <v>153</v>
      </c>
      <c r="N360" t="s">
        <v>204</v>
      </c>
      <c r="O360" t="s">
        <v>163</v>
      </c>
      <c r="P360">
        <v>6.1430424009452081E-3</v>
      </c>
      <c r="Q360" t="s">
        <v>153</v>
      </c>
    </row>
    <row r="361" spans="9:17" x14ac:dyDescent="0.45">
      <c r="I361" t="s">
        <v>175</v>
      </c>
      <c r="J361" t="s">
        <v>164</v>
      </c>
      <c r="K361">
        <v>5.4213895426736228E-2</v>
      </c>
      <c r="L361" t="s">
        <v>153</v>
      </c>
      <c r="N361" t="s">
        <v>204</v>
      </c>
      <c r="O361" t="s">
        <v>164</v>
      </c>
      <c r="P361">
        <v>3.5023867162233581E-2</v>
      </c>
      <c r="Q361" t="s">
        <v>153</v>
      </c>
    </row>
    <row r="362" spans="9:17" x14ac:dyDescent="0.45">
      <c r="I362" t="s">
        <v>175</v>
      </c>
      <c r="J362" t="s">
        <v>241</v>
      </c>
      <c r="K362">
        <v>3.2410556113151158E-3</v>
      </c>
      <c r="L362" t="s">
        <v>153</v>
      </c>
      <c r="N362" t="s">
        <v>204</v>
      </c>
      <c r="O362" t="s">
        <v>241</v>
      </c>
      <c r="P362">
        <v>1.5724359780725037E-3</v>
      </c>
      <c r="Q362" t="s">
        <v>153</v>
      </c>
    </row>
    <row r="363" spans="9:17" x14ac:dyDescent="0.45">
      <c r="I363" t="s">
        <v>175</v>
      </c>
      <c r="J363" t="s">
        <v>242</v>
      </c>
      <c r="K363">
        <v>1.7484609591270693E-3</v>
      </c>
      <c r="L363" t="s">
        <v>153</v>
      </c>
      <c r="N363" t="s">
        <v>204</v>
      </c>
      <c r="O363" t="s">
        <v>242</v>
      </c>
      <c r="P363">
        <v>2.0233289235105185E-3</v>
      </c>
      <c r="Q363" t="s">
        <v>153</v>
      </c>
    </row>
    <row r="364" spans="9:17" x14ac:dyDescent="0.45">
      <c r="I364" t="s">
        <v>175</v>
      </c>
      <c r="J364" t="s">
        <v>243</v>
      </c>
      <c r="K364">
        <v>0</v>
      </c>
      <c r="L364" t="s">
        <v>153</v>
      </c>
      <c r="N364" t="s">
        <v>204</v>
      </c>
      <c r="O364" t="s">
        <v>243</v>
      </c>
      <c r="P364">
        <v>1.3455778211227641E-2</v>
      </c>
      <c r="Q364" t="s">
        <v>153</v>
      </c>
    </row>
    <row r="365" spans="9:17" x14ac:dyDescent="0.45">
      <c r="I365" t="s">
        <v>175</v>
      </c>
      <c r="J365" t="s">
        <v>249</v>
      </c>
      <c r="K365">
        <v>0</v>
      </c>
      <c r="L365" t="s">
        <v>153</v>
      </c>
      <c r="N365" t="s">
        <v>204</v>
      </c>
      <c r="O365" t="s">
        <v>249</v>
      </c>
      <c r="P365">
        <v>2.8310219005493534E-2</v>
      </c>
      <c r="Q365" t="s">
        <v>153</v>
      </c>
    </row>
    <row r="366" spans="9:17" x14ac:dyDescent="0.45">
      <c r="I366" t="s">
        <v>175</v>
      </c>
      <c r="J366" t="s">
        <v>250</v>
      </c>
      <c r="K366">
        <v>6.4823614064654048E-4</v>
      </c>
      <c r="L366" t="s">
        <v>153</v>
      </c>
      <c r="N366" t="s">
        <v>204</v>
      </c>
      <c r="O366" t="s">
        <v>250</v>
      </c>
      <c r="P366">
        <v>5.8662612188758057E-3</v>
      </c>
      <c r="Q366" t="s">
        <v>153</v>
      </c>
    </row>
    <row r="367" spans="9:17" x14ac:dyDescent="0.45">
      <c r="I367" t="s">
        <v>175</v>
      </c>
      <c r="J367" t="s">
        <v>251</v>
      </c>
      <c r="K367">
        <v>2.754205020595445E-2</v>
      </c>
      <c r="L367" t="s">
        <v>153</v>
      </c>
      <c r="N367" t="s">
        <v>204</v>
      </c>
      <c r="O367" t="s">
        <v>251</v>
      </c>
      <c r="P367">
        <v>2.8870412596734937E-2</v>
      </c>
      <c r="Q367" t="s">
        <v>153</v>
      </c>
    </row>
    <row r="368" spans="9:17" x14ac:dyDescent="0.45">
      <c r="I368" t="s">
        <v>175</v>
      </c>
      <c r="J368" t="s">
        <v>252</v>
      </c>
      <c r="K368">
        <v>1.6673022323397215E-3</v>
      </c>
      <c r="L368" t="s">
        <v>153</v>
      </c>
      <c r="N368" t="s">
        <v>204</v>
      </c>
      <c r="O368" t="s">
        <v>252</v>
      </c>
      <c r="P368">
        <v>9.6666147249203623E-4</v>
      </c>
      <c r="Q368" t="s">
        <v>153</v>
      </c>
    </row>
    <row r="369" spans="9:17" x14ac:dyDescent="0.45">
      <c r="I369" t="s">
        <v>175</v>
      </c>
      <c r="J369" t="s">
        <v>253</v>
      </c>
      <c r="K369">
        <v>9.1912315161262902E-4</v>
      </c>
      <c r="L369" t="s">
        <v>153</v>
      </c>
      <c r="N369" t="s">
        <v>204</v>
      </c>
      <c r="O369" t="s">
        <v>253</v>
      </c>
      <c r="P369">
        <v>1.5752355305566179E-3</v>
      </c>
      <c r="Q369" t="s">
        <v>153</v>
      </c>
    </row>
    <row r="370" spans="9:17" x14ac:dyDescent="0.45">
      <c r="I370" t="s">
        <v>175</v>
      </c>
      <c r="J370" t="s">
        <v>254</v>
      </c>
      <c r="K370">
        <v>0</v>
      </c>
      <c r="L370" t="s">
        <v>153</v>
      </c>
      <c r="N370" t="s">
        <v>204</v>
      </c>
      <c r="O370" t="s">
        <v>254</v>
      </c>
      <c r="P370">
        <v>1.6967729628722481E-2</v>
      </c>
      <c r="Q370" t="s">
        <v>153</v>
      </c>
    </row>
    <row r="371" spans="9:17" x14ac:dyDescent="0.45">
      <c r="I371" t="s">
        <v>176</v>
      </c>
      <c r="J371" t="s">
        <v>152</v>
      </c>
      <c r="K371">
        <v>1.4254105475636616E-2</v>
      </c>
      <c r="L371" t="s">
        <v>153</v>
      </c>
      <c r="N371" t="s">
        <v>205</v>
      </c>
      <c r="O371" t="s">
        <v>152</v>
      </c>
      <c r="P371">
        <v>0.17465679657183042</v>
      </c>
      <c r="Q371" t="s">
        <v>153</v>
      </c>
    </row>
    <row r="372" spans="9:17" x14ac:dyDescent="0.45">
      <c r="I372" t="s">
        <v>176</v>
      </c>
      <c r="J372" t="s">
        <v>154</v>
      </c>
      <c r="K372">
        <v>4.2959551407051759E-2</v>
      </c>
      <c r="L372" t="s">
        <v>153</v>
      </c>
      <c r="N372" t="s">
        <v>205</v>
      </c>
      <c r="O372" t="s">
        <v>154</v>
      </c>
      <c r="P372">
        <v>2.3158744713762541E-2</v>
      </c>
      <c r="Q372" t="s">
        <v>153</v>
      </c>
    </row>
    <row r="373" spans="9:17" x14ac:dyDescent="0.45">
      <c r="I373" t="s">
        <v>176</v>
      </c>
      <c r="J373" t="s">
        <v>155</v>
      </c>
      <c r="K373">
        <v>0.70668940926438828</v>
      </c>
      <c r="L373" t="s">
        <v>153</v>
      </c>
      <c r="N373" t="s">
        <v>205</v>
      </c>
      <c r="O373" t="s">
        <v>155</v>
      </c>
      <c r="P373">
        <v>0.30215333709330805</v>
      </c>
      <c r="Q373" t="s">
        <v>153</v>
      </c>
    </row>
    <row r="374" spans="9:17" x14ac:dyDescent="0.45">
      <c r="I374" t="s">
        <v>176</v>
      </c>
      <c r="J374" t="s">
        <v>232</v>
      </c>
      <c r="K374">
        <v>3.2692927632176245E-2</v>
      </c>
      <c r="L374" t="s">
        <v>153</v>
      </c>
      <c r="N374" t="s">
        <v>205</v>
      </c>
      <c r="O374" t="s">
        <v>232</v>
      </c>
      <c r="P374">
        <v>3.3179042340436227E-2</v>
      </c>
      <c r="Q374" t="s">
        <v>153</v>
      </c>
    </row>
    <row r="375" spans="9:17" x14ac:dyDescent="0.45">
      <c r="I375" t="s">
        <v>176</v>
      </c>
      <c r="J375" t="s">
        <v>233</v>
      </c>
      <c r="K375">
        <v>5.0287687991934123E-3</v>
      </c>
      <c r="L375" t="s">
        <v>153</v>
      </c>
      <c r="N375" t="s">
        <v>205</v>
      </c>
      <c r="O375" t="s">
        <v>233</v>
      </c>
      <c r="P375">
        <v>3.1473692050087584E-2</v>
      </c>
      <c r="Q375" t="s">
        <v>153</v>
      </c>
    </row>
    <row r="376" spans="9:17" x14ac:dyDescent="0.45">
      <c r="I376" t="s">
        <v>176</v>
      </c>
      <c r="J376" t="s">
        <v>234</v>
      </c>
      <c r="K376">
        <v>0</v>
      </c>
      <c r="L376" t="s">
        <v>153</v>
      </c>
      <c r="N376" t="s">
        <v>205</v>
      </c>
      <c r="O376" t="s">
        <v>234</v>
      </c>
      <c r="P376">
        <v>0.13710681742642009</v>
      </c>
      <c r="Q376" t="s">
        <v>153</v>
      </c>
    </row>
    <row r="377" spans="9:17" x14ac:dyDescent="0.45">
      <c r="I377" t="s">
        <v>176</v>
      </c>
      <c r="J377" t="s">
        <v>156</v>
      </c>
      <c r="K377">
        <v>5.7984588568596451E-4</v>
      </c>
      <c r="L377" t="s">
        <v>153</v>
      </c>
      <c r="N377" t="s">
        <v>205</v>
      </c>
      <c r="O377" t="s">
        <v>156</v>
      </c>
      <c r="P377">
        <v>1.6454665869535777E-3</v>
      </c>
      <c r="Q377" t="s">
        <v>153</v>
      </c>
    </row>
    <row r="378" spans="9:17" x14ac:dyDescent="0.45">
      <c r="I378" t="s">
        <v>176</v>
      </c>
      <c r="J378" t="s">
        <v>157</v>
      </c>
      <c r="K378">
        <v>1.3584152665803671E-3</v>
      </c>
      <c r="L378" t="s">
        <v>153</v>
      </c>
      <c r="N378" t="s">
        <v>205</v>
      </c>
      <c r="O378" t="s">
        <v>157</v>
      </c>
      <c r="P378">
        <v>2.1027306457542663E-4</v>
      </c>
      <c r="Q378" t="s">
        <v>153</v>
      </c>
    </row>
    <row r="379" spans="9:17" x14ac:dyDescent="0.45">
      <c r="I379" t="s">
        <v>176</v>
      </c>
      <c r="J379" t="s">
        <v>158</v>
      </c>
      <c r="K379">
        <v>1.9995443701028286E-2</v>
      </c>
      <c r="L379" t="s">
        <v>153</v>
      </c>
      <c r="N379" t="s">
        <v>205</v>
      </c>
      <c r="O379" t="s">
        <v>158</v>
      </c>
      <c r="P379">
        <v>2.1307605746260579E-3</v>
      </c>
      <c r="Q379" t="s">
        <v>153</v>
      </c>
    </row>
    <row r="380" spans="9:17" x14ac:dyDescent="0.45">
      <c r="I380" t="s">
        <v>176</v>
      </c>
      <c r="J380" t="s">
        <v>235</v>
      </c>
      <c r="K380">
        <v>5.2108303686143804E-4</v>
      </c>
      <c r="L380" t="s">
        <v>153</v>
      </c>
      <c r="N380" t="s">
        <v>205</v>
      </c>
      <c r="O380" t="s">
        <v>235</v>
      </c>
      <c r="P380">
        <v>6.0698672829444646E-5</v>
      </c>
      <c r="Q380" t="s">
        <v>153</v>
      </c>
    </row>
    <row r="381" spans="9:17" x14ac:dyDescent="0.45">
      <c r="I381" t="s">
        <v>176</v>
      </c>
      <c r="J381" t="s">
        <v>236</v>
      </c>
      <c r="K381">
        <v>0</v>
      </c>
      <c r="L381" t="s">
        <v>153</v>
      </c>
      <c r="N381" t="s">
        <v>205</v>
      </c>
      <c r="O381" t="s">
        <v>236</v>
      </c>
      <c r="P381">
        <v>7.0127609362481293E-5</v>
      </c>
      <c r="Q381" t="s">
        <v>153</v>
      </c>
    </row>
    <row r="382" spans="9:17" x14ac:dyDescent="0.45">
      <c r="I382" t="s">
        <v>176</v>
      </c>
      <c r="J382" t="s">
        <v>237</v>
      </c>
      <c r="K382">
        <v>0</v>
      </c>
      <c r="L382" t="s">
        <v>153</v>
      </c>
      <c r="N382" t="s">
        <v>205</v>
      </c>
      <c r="O382" t="s">
        <v>237</v>
      </c>
      <c r="P382">
        <v>3.5903244553520396E-4</v>
      </c>
      <c r="Q382" t="s">
        <v>153</v>
      </c>
    </row>
    <row r="383" spans="9:17" x14ac:dyDescent="0.45">
      <c r="I383" t="s">
        <v>176</v>
      </c>
      <c r="J383" t="s">
        <v>159</v>
      </c>
      <c r="K383">
        <v>2.0333964397858352E-3</v>
      </c>
      <c r="L383" t="s">
        <v>153</v>
      </c>
      <c r="N383" t="s">
        <v>205</v>
      </c>
      <c r="O383" t="s">
        <v>159</v>
      </c>
      <c r="P383">
        <v>7.9771290791777159E-3</v>
      </c>
      <c r="Q383" t="s">
        <v>153</v>
      </c>
    </row>
    <row r="384" spans="9:17" x14ac:dyDescent="0.45">
      <c r="I384" t="s">
        <v>176</v>
      </c>
      <c r="J384" t="s">
        <v>160</v>
      </c>
      <c r="K384">
        <v>3.9899422192992114E-3</v>
      </c>
      <c r="L384" t="s">
        <v>153</v>
      </c>
      <c r="N384" t="s">
        <v>205</v>
      </c>
      <c r="O384" t="s">
        <v>160</v>
      </c>
      <c r="P384">
        <v>1.2782771848725873E-3</v>
      </c>
      <c r="Q384" t="s">
        <v>153</v>
      </c>
    </row>
    <row r="385" spans="9:17" x14ac:dyDescent="0.45">
      <c r="I385" t="s">
        <v>176</v>
      </c>
      <c r="J385" t="s">
        <v>161</v>
      </c>
      <c r="K385">
        <v>5.5955916882492428E-2</v>
      </c>
      <c r="L385" t="s">
        <v>153</v>
      </c>
      <c r="N385" t="s">
        <v>205</v>
      </c>
      <c r="O385" t="s">
        <v>161</v>
      </c>
      <c r="P385">
        <v>2.0608243896777411E-2</v>
      </c>
      <c r="Q385" t="s">
        <v>153</v>
      </c>
    </row>
    <row r="386" spans="9:17" x14ac:dyDescent="0.45">
      <c r="I386" t="s">
        <v>176</v>
      </c>
      <c r="J386" t="s">
        <v>238</v>
      </c>
      <c r="K386">
        <v>2.1266654101429099E-3</v>
      </c>
      <c r="L386" t="s">
        <v>153</v>
      </c>
      <c r="N386" t="s">
        <v>205</v>
      </c>
      <c r="O386" t="s">
        <v>238</v>
      </c>
      <c r="P386">
        <v>1.3588579661234085E-3</v>
      </c>
      <c r="Q386" t="s">
        <v>153</v>
      </c>
    </row>
    <row r="387" spans="9:17" x14ac:dyDescent="0.45">
      <c r="I387" t="s">
        <v>176</v>
      </c>
      <c r="J387" t="s">
        <v>239</v>
      </c>
      <c r="K387">
        <v>0</v>
      </c>
      <c r="L387" t="s">
        <v>153</v>
      </c>
      <c r="N387" t="s">
        <v>205</v>
      </c>
      <c r="O387" t="s">
        <v>239</v>
      </c>
      <c r="P387">
        <v>1.3738247536328879E-3</v>
      </c>
      <c r="Q387" t="s">
        <v>153</v>
      </c>
    </row>
    <row r="388" spans="9:17" x14ac:dyDescent="0.45">
      <c r="I388" t="s">
        <v>176</v>
      </c>
      <c r="J388" t="s">
        <v>240</v>
      </c>
      <c r="K388">
        <v>0</v>
      </c>
      <c r="L388" t="s">
        <v>153</v>
      </c>
      <c r="N388" t="s">
        <v>205</v>
      </c>
      <c r="O388" t="s">
        <v>240</v>
      </c>
      <c r="P388">
        <v>6.8828137494962591E-3</v>
      </c>
      <c r="Q388" t="s">
        <v>153</v>
      </c>
    </row>
    <row r="389" spans="9:17" x14ac:dyDescent="0.45">
      <c r="I389" t="s">
        <v>176</v>
      </c>
      <c r="J389" t="s">
        <v>162</v>
      </c>
      <c r="K389">
        <v>6.4079828709979764E-4</v>
      </c>
      <c r="L389" t="s">
        <v>153</v>
      </c>
      <c r="N389" t="s">
        <v>205</v>
      </c>
      <c r="O389" t="s">
        <v>162</v>
      </c>
      <c r="P389">
        <v>3.8064245439253699E-2</v>
      </c>
      <c r="Q389" t="s">
        <v>153</v>
      </c>
    </row>
    <row r="390" spans="9:17" x14ac:dyDescent="0.45">
      <c r="I390" t="s">
        <v>176</v>
      </c>
      <c r="J390" t="s">
        <v>163</v>
      </c>
      <c r="K390">
        <v>3.7981306423821026E-3</v>
      </c>
      <c r="L390" t="s">
        <v>153</v>
      </c>
      <c r="N390" t="s">
        <v>205</v>
      </c>
      <c r="O390" t="s">
        <v>163</v>
      </c>
      <c r="P390">
        <v>7.0489669008256105E-3</v>
      </c>
      <c r="Q390" t="s">
        <v>153</v>
      </c>
    </row>
    <row r="391" spans="9:17" x14ac:dyDescent="0.45">
      <c r="I391" t="s">
        <v>176</v>
      </c>
      <c r="J391" t="s">
        <v>164</v>
      </c>
      <c r="K391">
        <v>6.2970461382804793E-2</v>
      </c>
      <c r="L391" t="s">
        <v>153</v>
      </c>
      <c r="N391" t="s">
        <v>205</v>
      </c>
      <c r="O391" t="s">
        <v>164</v>
      </c>
      <c r="P391">
        <v>6.431661632344457E-2</v>
      </c>
      <c r="Q391" t="s">
        <v>153</v>
      </c>
    </row>
    <row r="392" spans="9:17" x14ac:dyDescent="0.45">
      <c r="I392" t="s">
        <v>176</v>
      </c>
      <c r="J392" t="s">
        <v>241</v>
      </c>
      <c r="K392">
        <v>2.1151422329805892E-3</v>
      </c>
      <c r="L392" t="s">
        <v>153</v>
      </c>
      <c r="N392" t="s">
        <v>205</v>
      </c>
      <c r="O392" t="s">
        <v>241</v>
      </c>
      <c r="P392">
        <v>4.2131330772493666E-3</v>
      </c>
      <c r="Q392" t="s">
        <v>153</v>
      </c>
    </row>
    <row r="393" spans="9:17" x14ac:dyDescent="0.45">
      <c r="I393" t="s">
        <v>176</v>
      </c>
      <c r="J393" t="s">
        <v>242</v>
      </c>
      <c r="K393">
        <v>0</v>
      </c>
      <c r="L393" t="s">
        <v>153</v>
      </c>
      <c r="N393" t="s">
        <v>205</v>
      </c>
      <c r="O393" t="s">
        <v>242</v>
      </c>
      <c r="P393">
        <v>4.1258488499420704E-3</v>
      </c>
      <c r="Q393" t="s">
        <v>153</v>
      </c>
    </row>
    <row r="394" spans="9:17" x14ac:dyDescent="0.45">
      <c r="I394" t="s">
        <v>176</v>
      </c>
      <c r="J394" t="s">
        <v>243</v>
      </c>
      <c r="K394">
        <v>0</v>
      </c>
      <c r="L394" t="s">
        <v>153</v>
      </c>
      <c r="N394" t="s">
        <v>205</v>
      </c>
      <c r="O394" t="s">
        <v>243</v>
      </c>
      <c r="P394">
        <v>2.0294188868990103E-2</v>
      </c>
      <c r="Q394" t="s">
        <v>153</v>
      </c>
    </row>
    <row r="395" spans="9:17" x14ac:dyDescent="0.45">
      <c r="I395" t="s">
        <v>176</v>
      </c>
      <c r="J395" t="s">
        <v>249</v>
      </c>
      <c r="K395">
        <v>0</v>
      </c>
      <c r="L395" t="s">
        <v>153</v>
      </c>
      <c r="N395" t="s">
        <v>205</v>
      </c>
      <c r="O395" t="s">
        <v>249</v>
      </c>
      <c r="P395">
        <v>3.1072206505401372E-2</v>
      </c>
      <c r="Q395" t="s">
        <v>153</v>
      </c>
    </row>
    <row r="396" spans="9:17" x14ac:dyDescent="0.45">
      <c r="I396" t="s">
        <v>176</v>
      </c>
      <c r="J396" t="s">
        <v>250</v>
      </c>
      <c r="K396">
        <v>2.5892779382901297E-3</v>
      </c>
      <c r="L396" t="s">
        <v>153</v>
      </c>
      <c r="N396" t="s">
        <v>205</v>
      </c>
      <c r="O396" t="s">
        <v>250</v>
      </c>
      <c r="P396">
        <v>5.4229249324229869E-3</v>
      </c>
      <c r="Q396" t="s">
        <v>153</v>
      </c>
    </row>
    <row r="397" spans="9:17" x14ac:dyDescent="0.45">
      <c r="I397" t="s">
        <v>176</v>
      </c>
      <c r="J397" t="s">
        <v>251</v>
      </c>
      <c r="K397">
        <v>3.7929436165551611E-2</v>
      </c>
      <c r="L397" t="s">
        <v>153</v>
      </c>
      <c r="N397" t="s">
        <v>205</v>
      </c>
      <c r="O397" t="s">
        <v>251</v>
      </c>
      <c r="P397">
        <v>5.2568066583839355E-2</v>
      </c>
      <c r="Q397" t="s">
        <v>153</v>
      </c>
    </row>
    <row r="398" spans="9:17" x14ac:dyDescent="0.45">
      <c r="I398" t="s">
        <v>176</v>
      </c>
      <c r="J398" t="s">
        <v>252</v>
      </c>
      <c r="K398">
        <v>1.7712819305692874E-3</v>
      </c>
      <c r="L398" t="s">
        <v>153</v>
      </c>
      <c r="N398" t="s">
        <v>205</v>
      </c>
      <c r="O398" t="s">
        <v>252</v>
      </c>
      <c r="P398">
        <v>4.2423745665147667E-3</v>
      </c>
      <c r="Q398" t="s">
        <v>153</v>
      </c>
    </row>
    <row r="399" spans="9:17" x14ac:dyDescent="0.45">
      <c r="I399" t="s">
        <v>176</v>
      </c>
      <c r="J399" t="s">
        <v>253</v>
      </c>
      <c r="K399">
        <v>0</v>
      </c>
      <c r="L399" t="s">
        <v>153</v>
      </c>
      <c r="N399" t="s">
        <v>205</v>
      </c>
      <c r="O399" t="s">
        <v>253</v>
      </c>
      <c r="P399">
        <v>4.271430566935016E-3</v>
      </c>
      <c r="Q399" t="s">
        <v>153</v>
      </c>
    </row>
    <row r="400" spans="9:17" x14ac:dyDescent="0.45">
      <c r="I400" t="s">
        <v>176</v>
      </c>
      <c r="J400" t="s">
        <v>254</v>
      </c>
      <c r="K400">
        <v>0</v>
      </c>
      <c r="L400" t="s">
        <v>153</v>
      </c>
      <c r="N400" t="s">
        <v>205</v>
      </c>
      <c r="O400" t="s">
        <v>254</v>
      </c>
      <c r="P400">
        <v>1.8676061605374751E-2</v>
      </c>
      <c r="Q400" t="s">
        <v>153</v>
      </c>
    </row>
    <row r="401" spans="9:17" x14ac:dyDescent="0.45">
      <c r="I401" t="s">
        <v>177</v>
      </c>
      <c r="J401" t="s">
        <v>152</v>
      </c>
      <c r="K401">
        <v>1.7373154134707487E-2</v>
      </c>
      <c r="L401" t="s">
        <v>153</v>
      </c>
      <c r="N401" t="s">
        <v>206</v>
      </c>
      <c r="O401" t="s">
        <v>152</v>
      </c>
      <c r="P401">
        <v>0.16161909798467469</v>
      </c>
      <c r="Q401" t="s">
        <v>153</v>
      </c>
    </row>
    <row r="402" spans="9:17" x14ac:dyDescent="0.45">
      <c r="I402" t="s">
        <v>177</v>
      </c>
      <c r="J402" t="s">
        <v>154</v>
      </c>
      <c r="K402">
        <v>4.4929568034338674E-2</v>
      </c>
      <c r="L402" t="s">
        <v>153</v>
      </c>
      <c r="N402" t="s">
        <v>206</v>
      </c>
      <c r="O402" t="s">
        <v>154</v>
      </c>
      <c r="P402">
        <v>1.7217182039518275E-2</v>
      </c>
      <c r="Q402" t="s">
        <v>153</v>
      </c>
    </row>
    <row r="403" spans="9:17" x14ac:dyDescent="0.45">
      <c r="I403" t="s">
        <v>177</v>
      </c>
      <c r="J403" t="s">
        <v>155</v>
      </c>
      <c r="K403">
        <v>0.7233329402497638</v>
      </c>
      <c r="L403" t="s">
        <v>153</v>
      </c>
      <c r="N403" t="s">
        <v>206</v>
      </c>
      <c r="O403" t="s">
        <v>155</v>
      </c>
      <c r="P403">
        <v>0.34504073223367782</v>
      </c>
      <c r="Q403" t="s">
        <v>153</v>
      </c>
    </row>
    <row r="404" spans="9:17" x14ac:dyDescent="0.45">
      <c r="I404" t="s">
        <v>177</v>
      </c>
      <c r="J404" t="s">
        <v>232</v>
      </c>
      <c r="K404">
        <v>2.9262206246777736E-2</v>
      </c>
      <c r="L404" t="s">
        <v>153</v>
      </c>
      <c r="N404" t="s">
        <v>206</v>
      </c>
      <c r="O404" t="s">
        <v>232</v>
      </c>
      <c r="P404">
        <v>3.7856506947542327E-2</v>
      </c>
      <c r="Q404" t="s">
        <v>153</v>
      </c>
    </row>
    <row r="405" spans="9:17" x14ac:dyDescent="0.45">
      <c r="I405" t="s">
        <v>177</v>
      </c>
      <c r="J405" t="s">
        <v>233</v>
      </c>
      <c r="K405">
        <v>8.4433158669847662E-4</v>
      </c>
      <c r="L405" t="s">
        <v>153</v>
      </c>
      <c r="N405" t="s">
        <v>206</v>
      </c>
      <c r="O405" t="s">
        <v>233</v>
      </c>
      <c r="P405">
        <v>3.7445702053491625E-2</v>
      </c>
      <c r="Q405" t="s">
        <v>153</v>
      </c>
    </row>
    <row r="406" spans="9:17" x14ac:dyDescent="0.45">
      <c r="I406" t="s">
        <v>177</v>
      </c>
      <c r="J406" t="s">
        <v>234</v>
      </c>
      <c r="K406">
        <v>0</v>
      </c>
      <c r="L406" t="s">
        <v>153</v>
      </c>
      <c r="N406" t="s">
        <v>206</v>
      </c>
      <c r="O406" t="s">
        <v>234</v>
      </c>
      <c r="P406">
        <v>0.14947828815558203</v>
      </c>
      <c r="Q406" t="s">
        <v>153</v>
      </c>
    </row>
    <row r="407" spans="9:17" x14ac:dyDescent="0.45">
      <c r="I407" t="s">
        <v>177</v>
      </c>
      <c r="J407" t="s">
        <v>156</v>
      </c>
      <c r="K407">
        <v>4.1972394722205166E-4</v>
      </c>
      <c r="L407" t="s">
        <v>153</v>
      </c>
      <c r="N407" t="s">
        <v>206</v>
      </c>
      <c r="O407" t="s">
        <v>156</v>
      </c>
      <c r="P407">
        <v>2.0227386717060094E-3</v>
      </c>
      <c r="Q407" t="s">
        <v>153</v>
      </c>
    </row>
    <row r="408" spans="9:17" x14ac:dyDescent="0.45">
      <c r="I408" t="s">
        <v>177</v>
      </c>
      <c r="J408" t="s">
        <v>157</v>
      </c>
      <c r="K408">
        <v>1.0333750038929754E-3</v>
      </c>
      <c r="L408" t="s">
        <v>153</v>
      </c>
      <c r="N408" t="s">
        <v>206</v>
      </c>
      <c r="O408" t="s">
        <v>157</v>
      </c>
      <c r="P408">
        <v>2.0109749652240963E-4</v>
      </c>
      <c r="Q408" t="s">
        <v>153</v>
      </c>
    </row>
    <row r="409" spans="9:17" x14ac:dyDescent="0.45">
      <c r="I409" t="s">
        <v>177</v>
      </c>
      <c r="J409" t="s">
        <v>158</v>
      </c>
      <c r="K409">
        <v>1.7906336636174837E-2</v>
      </c>
      <c r="L409" t="s">
        <v>153</v>
      </c>
      <c r="N409" t="s">
        <v>206</v>
      </c>
      <c r="O409" t="s">
        <v>158</v>
      </c>
      <c r="P409">
        <v>3.3795032551010326E-3</v>
      </c>
      <c r="Q409" t="s">
        <v>153</v>
      </c>
    </row>
    <row r="410" spans="9:17" x14ac:dyDescent="0.45">
      <c r="I410" t="s">
        <v>177</v>
      </c>
      <c r="J410" t="s">
        <v>235</v>
      </c>
      <c r="K410">
        <v>2.7248089571192452E-4</v>
      </c>
      <c r="L410" t="s">
        <v>153</v>
      </c>
      <c r="N410" t="s">
        <v>206</v>
      </c>
      <c r="O410" t="s">
        <v>235</v>
      </c>
      <c r="P410">
        <v>2.2758764627062153E-4</v>
      </c>
      <c r="Q410" t="s">
        <v>153</v>
      </c>
    </row>
    <row r="411" spans="9:17" x14ac:dyDescent="0.45">
      <c r="I411" t="s">
        <v>177</v>
      </c>
      <c r="J411" t="s">
        <v>236</v>
      </c>
      <c r="K411">
        <v>0</v>
      </c>
      <c r="L411" t="s">
        <v>153</v>
      </c>
      <c r="N411" t="s">
        <v>206</v>
      </c>
      <c r="O411" t="s">
        <v>236</v>
      </c>
      <c r="P411">
        <v>2.1150600929093028E-4</v>
      </c>
      <c r="Q411" t="s">
        <v>153</v>
      </c>
    </row>
    <row r="412" spans="9:17" x14ac:dyDescent="0.45">
      <c r="I412" t="s">
        <v>177</v>
      </c>
      <c r="J412" t="s">
        <v>237</v>
      </c>
      <c r="K412">
        <v>0</v>
      </c>
      <c r="L412" t="s">
        <v>153</v>
      </c>
      <c r="N412" t="s">
        <v>206</v>
      </c>
      <c r="O412" t="s">
        <v>237</v>
      </c>
      <c r="P412">
        <v>8.5609896052337711E-4</v>
      </c>
      <c r="Q412" t="s">
        <v>153</v>
      </c>
    </row>
    <row r="413" spans="9:17" x14ac:dyDescent="0.45">
      <c r="I413" t="s">
        <v>177</v>
      </c>
      <c r="J413" t="s">
        <v>159</v>
      </c>
      <c r="K413">
        <v>1.7291019595047669E-3</v>
      </c>
      <c r="L413" t="s">
        <v>153</v>
      </c>
      <c r="N413" t="s">
        <v>206</v>
      </c>
      <c r="O413" t="s">
        <v>159</v>
      </c>
      <c r="P413">
        <v>2.868333309360122E-3</v>
      </c>
      <c r="Q413" t="s">
        <v>153</v>
      </c>
    </row>
    <row r="414" spans="9:17" x14ac:dyDescent="0.45">
      <c r="I414" t="s">
        <v>177</v>
      </c>
      <c r="J414" t="s">
        <v>160</v>
      </c>
      <c r="K414">
        <v>3.634829892194648E-3</v>
      </c>
      <c r="L414" t="s">
        <v>153</v>
      </c>
      <c r="N414" t="s">
        <v>206</v>
      </c>
      <c r="O414" t="s">
        <v>160</v>
      </c>
      <c r="P414">
        <v>3.5056798764554248E-4</v>
      </c>
      <c r="Q414" t="s">
        <v>153</v>
      </c>
    </row>
    <row r="415" spans="9:17" x14ac:dyDescent="0.45">
      <c r="I415" t="s">
        <v>177</v>
      </c>
      <c r="J415" t="s">
        <v>161</v>
      </c>
      <c r="K415">
        <v>5.3618216796903463E-2</v>
      </c>
      <c r="L415" t="s">
        <v>153</v>
      </c>
      <c r="N415" t="s">
        <v>206</v>
      </c>
      <c r="O415" t="s">
        <v>161</v>
      </c>
      <c r="P415">
        <v>8.915933290722395E-3</v>
      </c>
      <c r="Q415" t="s">
        <v>153</v>
      </c>
    </row>
    <row r="416" spans="9:17" x14ac:dyDescent="0.45">
      <c r="I416" t="s">
        <v>177</v>
      </c>
      <c r="J416" t="s">
        <v>238</v>
      </c>
      <c r="K416">
        <v>1.4481683302261547E-3</v>
      </c>
      <c r="L416" t="s">
        <v>153</v>
      </c>
      <c r="N416" t="s">
        <v>206</v>
      </c>
      <c r="O416" t="s">
        <v>238</v>
      </c>
      <c r="P416">
        <v>1.1439842690196282E-3</v>
      </c>
      <c r="Q416" t="s">
        <v>153</v>
      </c>
    </row>
    <row r="417" spans="9:17" x14ac:dyDescent="0.45">
      <c r="I417" t="s">
        <v>177</v>
      </c>
      <c r="J417" t="s">
        <v>239</v>
      </c>
      <c r="K417">
        <v>0</v>
      </c>
      <c r="L417" t="s">
        <v>153</v>
      </c>
      <c r="N417" t="s">
        <v>206</v>
      </c>
      <c r="O417" t="s">
        <v>239</v>
      </c>
      <c r="P417">
        <v>1.1222246720238697E-3</v>
      </c>
      <c r="Q417" t="s">
        <v>153</v>
      </c>
    </row>
    <row r="418" spans="9:17" x14ac:dyDescent="0.45">
      <c r="I418" t="s">
        <v>177</v>
      </c>
      <c r="J418" t="s">
        <v>240</v>
      </c>
      <c r="K418">
        <v>0</v>
      </c>
      <c r="L418" t="s">
        <v>153</v>
      </c>
      <c r="N418" t="s">
        <v>206</v>
      </c>
      <c r="O418" t="s">
        <v>240</v>
      </c>
      <c r="P418">
        <v>4.225471231802543E-3</v>
      </c>
      <c r="Q418" t="s">
        <v>153</v>
      </c>
    </row>
    <row r="419" spans="9:17" x14ac:dyDescent="0.45">
      <c r="I419" t="s">
        <v>177</v>
      </c>
      <c r="J419" t="s">
        <v>162</v>
      </c>
      <c r="K419">
        <v>1.7001294387392271E-3</v>
      </c>
      <c r="L419" t="s">
        <v>153</v>
      </c>
      <c r="N419" t="s">
        <v>206</v>
      </c>
      <c r="O419" t="s">
        <v>162</v>
      </c>
      <c r="P419">
        <v>3.1198977058395524E-2</v>
      </c>
      <c r="Q419" t="s">
        <v>153</v>
      </c>
    </row>
    <row r="420" spans="9:17" x14ac:dyDescent="0.45">
      <c r="I420" t="s">
        <v>177</v>
      </c>
      <c r="J420" t="s">
        <v>163</v>
      </c>
      <c r="K420">
        <v>3.8372549885994111E-3</v>
      </c>
      <c r="L420" t="s">
        <v>153</v>
      </c>
      <c r="N420" t="s">
        <v>206</v>
      </c>
      <c r="O420" t="s">
        <v>163</v>
      </c>
      <c r="P420">
        <v>3.8611180902467595E-3</v>
      </c>
      <c r="Q420" t="s">
        <v>153</v>
      </c>
    </row>
    <row r="421" spans="9:17" x14ac:dyDescent="0.45">
      <c r="I421" t="s">
        <v>177</v>
      </c>
      <c r="J421" t="s">
        <v>164</v>
      </c>
      <c r="K421">
        <v>6.0070523280484497E-2</v>
      </c>
      <c r="L421" t="s">
        <v>153</v>
      </c>
      <c r="N421" t="s">
        <v>206</v>
      </c>
      <c r="O421" t="s">
        <v>164</v>
      </c>
      <c r="P421">
        <v>6.3722669143647243E-2</v>
      </c>
      <c r="Q421" t="s">
        <v>153</v>
      </c>
    </row>
    <row r="422" spans="9:17" x14ac:dyDescent="0.45">
      <c r="I422" t="s">
        <v>177</v>
      </c>
      <c r="J422" t="s">
        <v>241</v>
      </c>
      <c r="K422">
        <v>1.7140803791962796E-3</v>
      </c>
      <c r="L422" t="s">
        <v>153</v>
      </c>
      <c r="N422" t="s">
        <v>206</v>
      </c>
      <c r="O422" t="s">
        <v>241</v>
      </c>
      <c r="P422">
        <v>7.3049484900962174E-3</v>
      </c>
      <c r="Q422" t="s">
        <v>153</v>
      </c>
    </row>
    <row r="423" spans="9:17" x14ac:dyDescent="0.45">
      <c r="I423" t="s">
        <v>177</v>
      </c>
      <c r="J423" t="s">
        <v>242</v>
      </c>
      <c r="K423">
        <v>0</v>
      </c>
      <c r="L423" t="s">
        <v>153</v>
      </c>
      <c r="N423" t="s">
        <v>206</v>
      </c>
      <c r="O423" t="s">
        <v>242</v>
      </c>
      <c r="P423">
        <v>7.4816052450478211E-3</v>
      </c>
      <c r="Q423" t="s">
        <v>153</v>
      </c>
    </row>
    <row r="424" spans="9:17" x14ac:dyDescent="0.45">
      <c r="I424" t="s">
        <v>177</v>
      </c>
      <c r="J424" t="s">
        <v>243</v>
      </c>
      <c r="K424">
        <v>0</v>
      </c>
      <c r="L424" t="s">
        <v>153</v>
      </c>
      <c r="N424" t="s">
        <v>206</v>
      </c>
      <c r="O424" t="s">
        <v>243</v>
      </c>
      <c r="P424">
        <v>3.1680285096635161E-2</v>
      </c>
      <c r="Q424" t="s">
        <v>153</v>
      </c>
    </row>
    <row r="425" spans="9:17" x14ac:dyDescent="0.45">
      <c r="I425" t="s">
        <v>177</v>
      </c>
      <c r="J425" t="s">
        <v>249</v>
      </c>
      <c r="K425">
        <v>1.6108043380879425E-4</v>
      </c>
      <c r="L425" t="s">
        <v>153</v>
      </c>
      <c r="N425" t="s">
        <v>206</v>
      </c>
      <c r="O425" t="s">
        <v>249</v>
      </c>
      <c r="P425">
        <v>1.4321686483994728E-2</v>
      </c>
      <c r="Q425" t="s">
        <v>153</v>
      </c>
    </row>
    <row r="426" spans="9:17" x14ac:dyDescent="0.45">
      <c r="I426" t="s">
        <v>177</v>
      </c>
      <c r="J426" t="s">
        <v>250</v>
      </c>
      <c r="K426">
        <v>2.0192364248253713E-3</v>
      </c>
      <c r="L426" t="s">
        <v>153</v>
      </c>
      <c r="N426" t="s">
        <v>206</v>
      </c>
      <c r="O426" t="s">
        <v>250</v>
      </c>
      <c r="P426">
        <v>2.1919182935264598E-3</v>
      </c>
      <c r="Q426" t="s">
        <v>153</v>
      </c>
    </row>
    <row r="427" spans="9:17" x14ac:dyDescent="0.45">
      <c r="I427" t="s">
        <v>177</v>
      </c>
      <c r="J427" t="s">
        <v>251</v>
      </c>
      <c r="K427">
        <v>3.3524221762289169E-2</v>
      </c>
      <c r="L427" t="s">
        <v>153</v>
      </c>
      <c r="N427" t="s">
        <v>206</v>
      </c>
      <c r="O427" t="s">
        <v>251</v>
      </c>
      <c r="P427">
        <v>3.8588046000146412E-2</v>
      </c>
      <c r="Q427" t="s">
        <v>153</v>
      </c>
    </row>
    <row r="428" spans="9:17" x14ac:dyDescent="0.45">
      <c r="I428" t="s">
        <v>177</v>
      </c>
      <c r="J428" t="s">
        <v>252</v>
      </c>
      <c r="K428">
        <v>1.169039577939383E-3</v>
      </c>
      <c r="L428" t="s">
        <v>153</v>
      </c>
      <c r="N428" t="s">
        <v>206</v>
      </c>
      <c r="O428" t="s">
        <v>252</v>
      </c>
      <c r="P428">
        <v>3.8049347538443774E-3</v>
      </c>
      <c r="Q428" t="s">
        <v>153</v>
      </c>
    </row>
    <row r="429" spans="9:17" x14ac:dyDescent="0.45">
      <c r="I429" t="s">
        <v>177</v>
      </c>
      <c r="J429" t="s">
        <v>253</v>
      </c>
      <c r="K429">
        <v>0</v>
      </c>
      <c r="L429" t="s">
        <v>153</v>
      </c>
      <c r="N429" t="s">
        <v>206</v>
      </c>
      <c r="O429" t="s">
        <v>253</v>
      </c>
      <c r="P429">
        <v>3.9268865280976664E-3</v>
      </c>
      <c r="Q429" t="s">
        <v>153</v>
      </c>
    </row>
    <row r="430" spans="9:17" x14ac:dyDescent="0.45">
      <c r="I430" t="s">
        <v>177</v>
      </c>
      <c r="J430" t="s">
        <v>254</v>
      </c>
      <c r="K430">
        <v>0</v>
      </c>
      <c r="L430" t="s">
        <v>153</v>
      </c>
      <c r="N430" t="s">
        <v>206</v>
      </c>
      <c r="O430" t="s">
        <v>254</v>
      </c>
      <c r="P430">
        <v>1.7734368601847059E-2</v>
      </c>
      <c r="Q430" t="s">
        <v>153</v>
      </c>
    </row>
    <row r="431" spans="9:17" x14ac:dyDescent="0.45">
      <c r="I431" t="s">
        <v>178</v>
      </c>
      <c r="J431" t="s">
        <v>152</v>
      </c>
      <c r="K431">
        <v>1.5776834016029199E-2</v>
      </c>
      <c r="L431" t="s">
        <v>153</v>
      </c>
      <c r="N431" t="s">
        <v>207</v>
      </c>
      <c r="O431" t="s">
        <v>152</v>
      </c>
      <c r="P431">
        <v>0.15550667215158662</v>
      </c>
      <c r="Q431" t="s">
        <v>153</v>
      </c>
    </row>
    <row r="432" spans="9:17" x14ac:dyDescent="0.45">
      <c r="I432" t="s">
        <v>178</v>
      </c>
      <c r="J432" t="s">
        <v>154</v>
      </c>
      <c r="K432">
        <v>4.4185634322498384E-2</v>
      </c>
      <c r="L432" t="s">
        <v>153</v>
      </c>
      <c r="N432" t="s">
        <v>207</v>
      </c>
      <c r="O432" t="s">
        <v>154</v>
      </c>
      <c r="P432">
        <v>1.9669395027163597E-2</v>
      </c>
      <c r="Q432" t="s">
        <v>153</v>
      </c>
    </row>
    <row r="433" spans="9:17" x14ac:dyDescent="0.45">
      <c r="I433" t="s">
        <v>178</v>
      </c>
      <c r="J433" t="s">
        <v>155</v>
      </c>
      <c r="K433">
        <v>0.71047431628912849</v>
      </c>
      <c r="L433" t="s">
        <v>153</v>
      </c>
      <c r="N433" t="s">
        <v>207</v>
      </c>
      <c r="O433" t="s">
        <v>155</v>
      </c>
      <c r="P433">
        <v>0.40373132673344581</v>
      </c>
      <c r="Q433" t="s">
        <v>153</v>
      </c>
    </row>
    <row r="434" spans="9:17" x14ac:dyDescent="0.45">
      <c r="I434" t="s">
        <v>178</v>
      </c>
      <c r="J434" t="s">
        <v>232</v>
      </c>
      <c r="K434">
        <v>3.4345302959129596E-2</v>
      </c>
      <c r="L434" t="s">
        <v>153</v>
      </c>
      <c r="N434" t="s">
        <v>207</v>
      </c>
      <c r="O434" t="s">
        <v>232</v>
      </c>
      <c r="P434">
        <v>3.8567476039759012E-2</v>
      </c>
      <c r="Q434" t="s">
        <v>153</v>
      </c>
    </row>
    <row r="435" spans="9:17" x14ac:dyDescent="0.45">
      <c r="I435" t="s">
        <v>178</v>
      </c>
      <c r="J435" t="s">
        <v>233</v>
      </c>
      <c r="K435">
        <v>4.3329634490854342E-3</v>
      </c>
      <c r="L435" t="s">
        <v>153</v>
      </c>
      <c r="N435" t="s">
        <v>207</v>
      </c>
      <c r="O435" t="s">
        <v>233</v>
      </c>
      <c r="P435">
        <v>3.4250989699808471E-2</v>
      </c>
      <c r="Q435" t="s">
        <v>153</v>
      </c>
    </row>
    <row r="436" spans="9:17" x14ac:dyDescent="0.45">
      <c r="I436" t="s">
        <v>178</v>
      </c>
      <c r="J436" t="s">
        <v>234</v>
      </c>
      <c r="K436">
        <v>0</v>
      </c>
      <c r="L436" t="s">
        <v>153</v>
      </c>
      <c r="N436" t="s">
        <v>207</v>
      </c>
      <c r="O436" t="s">
        <v>234</v>
      </c>
      <c r="P436">
        <v>0.1323782959703167</v>
      </c>
      <c r="Q436" t="s">
        <v>153</v>
      </c>
    </row>
    <row r="437" spans="9:17" x14ac:dyDescent="0.45">
      <c r="I437" t="s">
        <v>178</v>
      </c>
      <c r="J437" t="s">
        <v>156</v>
      </c>
      <c r="K437">
        <v>6.3547307307266229E-4</v>
      </c>
      <c r="L437" t="s">
        <v>153</v>
      </c>
      <c r="N437" t="s">
        <v>207</v>
      </c>
      <c r="O437" t="s">
        <v>156</v>
      </c>
      <c r="P437">
        <v>9.5906745120281271E-4</v>
      </c>
      <c r="Q437" t="s">
        <v>153</v>
      </c>
    </row>
    <row r="438" spans="9:17" x14ac:dyDescent="0.45">
      <c r="I438" t="s">
        <v>178</v>
      </c>
      <c r="J438" t="s">
        <v>157</v>
      </c>
      <c r="K438">
        <v>1.4243828826579416E-3</v>
      </c>
      <c r="L438" t="s">
        <v>153</v>
      </c>
      <c r="N438" t="s">
        <v>207</v>
      </c>
      <c r="O438" t="s">
        <v>157</v>
      </c>
      <c r="P438">
        <v>1.5378465972233014E-4</v>
      </c>
      <c r="Q438" t="s">
        <v>153</v>
      </c>
    </row>
    <row r="439" spans="9:17" x14ac:dyDescent="0.45">
      <c r="I439" t="s">
        <v>178</v>
      </c>
      <c r="J439" t="s">
        <v>158</v>
      </c>
      <c r="K439">
        <v>2.1213636073616576E-2</v>
      </c>
      <c r="L439" t="s">
        <v>153</v>
      </c>
      <c r="N439" t="s">
        <v>207</v>
      </c>
      <c r="O439" t="s">
        <v>158</v>
      </c>
      <c r="P439">
        <v>2.9403934366747453E-3</v>
      </c>
      <c r="Q439" t="s">
        <v>153</v>
      </c>
    </row>
    <row r="440" spans="9:17" x14ac:dyDescent="0.45">
      <c r="I440" t="s">
        <v>178</v>
      </c>
      <c r="J440" t="s">
        <v>235</v>
      </c>
      <c r="K440">
        <v>6.1537577966692578E-4</v>
      </c>
      <c r="L440" t="s">
        <v>153</v>
      </c>
      <c r="N440" t="s">
        <v>207</v>
      </c>
      <c r="O440" t="s">
        <v>235</v>
      </c>
      <c r="P440">
        <v>1.6397944402584688E-4</v>
      </c>
      <c r="Q440" t="s">
        <v>153</v>
      </c>
    </row>
    <row r="441" spans="9:17" x14ac:dyDescent="0.45">
      <c r="I441" t="s">
        <v>178</v>
      </c>
      <c r="J441" t="s">
        <v>236</v>
      </c>
      <c r="K441">
        <v>0</v>
      </c>
      <c r="L441" t="s">
        <v>153</v>
      </c>
      <c r="N441" t="s">
        <v>207</v>
      </c>
      <c r="O441" t="s">
        <v>236</v>
      </c>
      <c r="P441">
        <v>1.5568218825426526E-4</v>
      </c>
      <c r="Q441" t="s">
        <v>153</v>
      </c>
    </row>
    <row r="442" spans="9:17" x14ac:dyDescent="0.45">
      <c r="I442" t="s">
        <v>178</v>
      </c>
      <c r="J442" t="s">
        <v>237</v>
      </c>
      <c r="K442">
        <v>0</v>
      </c>
      <c r="L442" t="s">
        <v>153</v>
      </c>
      <c r="N442" t="s">
        <v>207</v>
      </c>
      <c r="O442" t="s">
        <v>237</v>
      </c>
      <c r="P442">
        <v>5.6071100856116423E-4</v>
      </c>
      <c r="Q442" t="s">
        <v>153</v>
      </c>
    </row>
    <row r="443" spans="9:17" x14ac:dyDescent="0.45">
      <c r="I443" t="s">
        <v>178</v>
      </c>
      <c r="J443" t="s">
        <v>159</v>
      </c>
      <c r="K443">
        <v>2.0530466193356711E-3</v>
      </c>
      <c r="L443" t="s">
        <v>153</v>
      </c>
      <c r="N443" t="s">
        <v>207</v>
      </c>
      <c r="O443" t="s">
        <v>159</v>
      </c>
      <c r="P443">
        <v>2.6615837434634596E-3</v>
      </c>
      <c r="Q443" t="s">
        <v>153</v>
      </c>
    </row>
    <row r="444" spans="9:17" x14ac:dyDescent="0.45">
      <c r="I444" t="s">
        <v>178</v>
      </c>
      <c r="J444" t="s">
        <v>160</v>
      </c>
      <c r="K444">
        <v>3.743078931672254E-3</v>
      </c>
      <c r="L444" t="s">
        <v>153</v>
      </c>
      <c r="N444" t="s">
        <v>207</v>
      </c>
      <c r="O444" t="s">
        <v>160</v>
      </c>
      <c r="P444">
        <v>4.0836196323243044E-4</v>
      </c>
      <c r="Q444" t="s">
        <v>153</v>
      </c>
    </row>
    <row r="445" spans="9:17" x14ac:dyDescent="0.45">
      <c r="I445" t="s">
        <v>178</v>
      </c>
      <c r="J445" t="s">
        <v>161</v>
      </c>
      <c r="K445">
        <v>5.5718816994065015E-2</v>
      </c>
      <c r="L445" t="s">
        <v>153</v>
      </c>
      <c r="N445" t="s">
        <v>207</v>
      </c>
      <c r="O445" t="s">
        <v>161</v>
      </c>
      <c r="P445">
        <v>1.4556141115079428E-2</v>
      </c>
      <c r="Q445" t="s">
        <v>153</v>
      </c>
    </row>
    <row r="446" spans="9:17" x14ac:dyDescent="0.45">
      <c r="I446" t="s">
        <v>178</v>
      </c>
      <c r="J446" t="s">
        <v>238</v>
      </c>
      <c r="K446">
        <v>2.5079564103166426E-3</v>
      </c>
      <c r="L446" t="s">
        <v>153</v>
      </c>
      <c r="N446" t="s">
        <v>207</v>
      </c>
      <c r="O446" t="s">
        <v>238</v>
      </c>
      <c r="P446">
        <v>1.0912500110762515E-3</v>
      </c>
      <c r="Q446" t="s">
        <v>153</v>
      </c>
    </row>
    <row r="447" spans="9:17" x14ac:dyDescent="0.45">
      <c r="I447" t="s">
        <v>178</v>
      </c>
      <c r="J447" t="s">
        <v>239</v>
      </c>
      <c r="K447">
        <v>0</v>
      </c>
      <c r="L447" t="s">
        <v>153</v>
      </c>
      <c r="N447" t="s">
        <v>207</v>
      </c>
      <c r="O447" t="s">
        <v>239</v>
      </c>
      <c r="P447">
        <v>9.8381033065861496E-4</v>
      </c>
      <c r="Q447" t="s">
        <v>153</v>
      </c>
    </row>
    <row r="448" spans="9:17" x14ac:dyDescent="0.45">
      <c r="I448" t="s">
        <v>178</v>
      </c>
      <c r="J448" t="s">
        <v>240</v>
      </c>
      <c r="K448">
        <v>0</v>
      </c>
      <c r="L448" t="s">
        <v>153</v>
      </c>
      <c r="N448" t="s">
        <v>207</v>
      </c>
      <c r="O448" t="s">
        <v>240</v>
      </c>
      <c r="P448">
        <v>3.7322658229963649E-3</v>
      </c>
      <c r="Q448" t="s">
        <v>153</v>
      </c>
    </row>
    <row r="449" spans="9:17" x14ac:dyDescent="0.45">
      <c r="I449" t="s">
        <v>178</v>
      </c>
      <c r="J449" t="s">
        <v>162</v>
      </c>
      <c r="K449">
        <v>6.953194520016862E-4</v>
      </c>
      <c r="L449" t="s">
        <v>153</v>
      </c>
      <c r="N449" t="s">
        <v>207</v>
      </c>
      <c r="O449" t="s">
        <v>162</v>
      </c>
      <c r="P449">
        <v>2.3104183481241436E-2</v>
      </c>
      <c r="Q449" t="s">
        <v>153</v>
      </c>
    </row>
    <row r="450" spans="9:17" x14ac:dyDescent="0.45">
      <c r="I450" t="s">
        <v>178</v>
      </c>
      <c r="J450" t="s">
        <v>163</v>
      </c>
      <c r="K450">
        <v>3.2954527770595876E-3</v>
      </c>
      <c r="L450" t="s">
        <v>153</v>
      </c>
      <c r="N450" t="s">
        <v>207</v>
      </c>
      <c r="O450" t="s">
        <v>163</v>
      </c>
      <c r="P450">
        <v>4.1048961491068365E-3</v>
      </c>
      <c r="Q450" t="s">
        <v>153</v>
      </c>
    </row>
    <row r="451" spans="9:17" x14ac:dyDescent="0.45">
      <c r="I451" t="s">
        <v>178</v>
      </c>
      <c r="J451" t="s">
        <v>164</v>
      </c>
      <c r="K451">
        <v>6.0433792341024438E-2</v>
      </c>
      <c r="L451" t="s">
        <v>153</v>
      </c>
      <c r="N451" t="s">
        <v>207</v>
      </c>
      <c r="O451" t="s">
        <v>164</v>
      </c>
      <c r="P451">
        <v>6.0351551223612195E-2</v>
      </c>
      <c r="Q451" t="s">
        <v>153</v>
      </c>
    </row>
    <row r="452" spans="9:17" x14ac:dyDescent="0.45">
      <c r="I452" t="s">
        <v>178</v>
      </c>
      <c r="J452" t="s">
        <v>241</v>
      </c>
      <c r="K452">
        <v>1.9987247139518515E-3</v>
      </c>
      <c r="L452" t="s">
        <v>153</v>
      </c>
      <c r="N452" t="s">
        <v>207</v>
      </c>
      <c r="O452" t="s">
        <v>241</v>
      </c>
      <c r="P452">
        <v>3.9825163224876201E-3</v>
      </c>
      <c r="Q452" t="s">
        <v>153</v>
      </c>
    </row>
    <row r="453" spans="9:17" x14ac:dyDescent="0.45">
      <c r="I453" t="s">
        <v>178</v>
      </c>
      <c r="J453" t="s">
        <v>242</v>
      </c>
      <c r="K453">
        <v>0</v>
      </c>
      <c r="L453" t="s">
        <v>153</v>
      </c>
      <c r="N453" t="s">
        <v>207</v>
      </c>
      <c r="O453" t="s">
        <v>242</v>
      </c>
      <c r="P453">
        <v>3.9755632636412127E-3</v>
      </c>
      <c r="Q453" t="s">
        <v>153</v>
      </c>
    </row>
    <row r="454" spans="9:17" x14ac:dyDescent="0.45">
      <c r="I454" t="s">
        <v>178</v>
      </c>
      <c r="J454" t="s">
        <v>243</v>
      </c>
      <c r="K454">
        <v>0</v>
      </c>
      <c r="L454" t="s">
        <v>153</v>
      </c>
      <c r="N454" t="s">
        <v>207</v>
      </c>
      <c r="O454" t="s">
        <v>243</v>
      </c>
      <c r="P454">
        <v>1.8699534187915954E-2</v>
      </c>
      <c r="Q454" t="s">
        <v>153</v>
      </c>
    </row>
    <row r="455" spans="9:17" x14ac:dyDescent="0.45">
      <c r="I455" t="s">
        <v>178</v>
      </c>
      <c r="J455" t="s">
        <v>249</v>
      </c>
      <c r="K455">
        <v>0</v>
      </c>
      <c r="L455" t="s">
        <v>153</v>
      </c>
      <c r="N455" t="s">
        <v>207</v>
      </c>
      <c r="O455" t="s">
        <v>249</v>
      </c>
      <c r="P455">
        <v>1.5250970930230968E-2</v>
      </c>
      <c r="Q455" t="s">
        <v>153</v>
      </c>
    </row>
    <row r="456" spans="9:17" x14ac:dyDescent="0.45">
      <c r="I456" t="s">
        <v>178</v>
      </c>
      <c r="J456" t="s">
        <v>250</v>
      </c>
      <c r="K456">
        <v>2.1205549316764098E-3</v>
      </c>
      <c r="L456" t="s">
        <v>153</v>
      </c>
      <c r="N456" t="s">
        <v>207</v>
      </c>
      <c r="O456" t="s">
        <v>250</v>
      </c>
      <c r="P456">
        <v>2.5578669530504426E-3</v>
      </c>
      <c r="Q456" t="s">
        <v>153</v>
      </c>
    </row>
    <row r="457" spans="9:17" x14ac:dyDescent="0.45">
      <c r="I457" t="s">
        <v>178</v>
      </c>
      <c r="J457" t="s">
        <v>251</v>
      </c>
      <c r="K457">
        <v>3.3047926938671354E-2</v>
      </c>
      <c r="L457" t="s">
        <v>153</v>
      </c>
      <c r="N457" t="s">
        <v>207</v>
      </c>
      <c r="O457" t="s">
        <v>251</v>
      </c>
      <c r="P457">
        <v>3.6159565332519496E-2</v>
      </c>
      <c r="Q457" t="s">
        <v>153</v>
      </c>
    </row>
    <row r="458" spans="9:17" x14ac:dyDescent="0.45">
      <c r="I458" t="s">
        <v>178</v>
      </c>
      <c r="J458" t="s">
        <v>252</v>
      </c>
      <c r="K458">
        <v>1.3814110453378953E-3</v>
      </c>
      <c r="L458" t="s">
        <v>153</v>
      </c>
      <c r="N458" t="s">
        <v>207</v>
      </c>
      <c r="O458" t="s">
        <v>252</v>
      </c>
      <c r="P458">
        <v>3.2790167686179766E-3</v>
      </c>
      <c r="Q458" t="s">
        <v>153</v>
      </c>
    </row>
    <row r="459" spans="9:17" x14ac:dyDescent="0.45">
      <c r="I459" t="s">
        <v>178</v>
      </c>
      <c r="J459" t="s">
        <v>253</v>
      </c>
      <c r="K459">
        <v>0</v>
      </c>
      <c r="L459" t="s">
        <v>153</v>
      </c>
      <c r="N459" t="s">
        <v>207</v>
      </c>
      <c r="O459" t="s">
        <v>253</v>
      </c>
      <c r="P459">
        <v>3.168394969588539E-3</v>
      </c>
      <c r="Q459" t="s">
        <v>153</v>
      </c>
    </row>
    <row r="460" spans="9:17" x14ac:dyDescent="0.45">
      <c r="I460" t="s">
        <v>178</v>
      </c>
      <c r="J460" t="s">
        <v>254</v>
      </c>
      <c r="K460">
        <v>0</v>
      </c>
      <c r="L460" t="s">
        <v>153</v>
      </c>
      <c r="N460" t="s">
        <v>207</v>
      </c>
      <c r="O460" t="s">
        <v>254</v>
      </c>
      <c r="P460">
        <v>1.2894753620957588E-2</v>
      </c>
      <c r="Q460" t="s">
        <v>153</v>
      </c>
    </row>
    <row r="461" spans="9:17" x14ac:dyDescent="0.45">
      <c r="I461" t="s">
        <v>179</v>
      </c>
      <c r="J461" t="s">
        <v>152</v>
      </c>
      <c r="K461">
        <v>1.5019356775356586E-2</v>
      </c>
      <c r="L461" t="s">
        <v>153</v>
      </c>
    </row>
    <row r="462" spans="9:17" x14ac:dyDescent="0.45">
      <c r="I462" t="s">
        <v>179</v>
      </c>
      <c r="J462" t="s">
        <v>154</v>
      </c>
      <c r="K462">
        <v>4.0810784400762044E-2</v>
      </c>
      <c r="L462" t="s">
        <v>153</v>
      </c>
    </row>
    <row r="463" spans="9:17" x14ac:dyDescent="0.45">
      <c r="I463" t="s">
        <v>179</v>
      </c>
      <c r="J463" t="s">
        <v>155</v>
      </c>
      <c r="K463">
        <v>0.71781235234087826</v>
      </c>
      <c r="L463" t="s">
        <v>153</v>
      </c>
    </row>
    <row r="464" spans="9:17" x14ac:dyDescent="0.45">
      <c r="I464" t="s">
        <v>179</v>
      </c>
      <c r="J464" t="s">
        <v>232</v>
      </c>
      <c r="K464">
        <v>3.5359159260025766E-2</v>
      </c>
      <c r="L464" t="s">
        <v>153</v>
      </c>
    </row>
    <row r="465" spans="9:12" x14ac:dyDescent="0.45">
      <c r="I465" t="s">
        <v>179</v>
      </c>
      <c r="J465" t="s">
        <v>233</v>
      </c>
      <c r="K465">
        <v>3.8044730371744498E-3</v>
      </c>
      <c r="L465" t="s">
        <v>153</v>
      </c>
    </row>
    <row r="466" spans="9:12" x14ac:dyDescent="0.45">
      <c r="I466" t="s">
        <v>179</v>
      </c>
      <c r="J466" t="s">
        <v>234</v>
      </c>
      <c r="K466">
        <v>0</v>
      </c>
      <c r="L466" t="s">
        <v>153</v>
      </c>
    </row>
    <row r="467" spans="9:12" x14ac:dyDescent="0.45">
      <c r="I467" t="s">
        <v>179</v>
      </c>
      <c r="J467" t="s">
        <v>156</v>
      </c>
      <c r="K467">
        <v>4.2609704809947586E-4</v>
      </c>
      <c r="L467" t="s">
        <v>153</v>
      </c>
    </row>
    <row r="468" spans="9:12" x14ac:dyDescent="0.45">
      <c r="I468" t="s">
        <v>179</v>
      </c>
      <c r="J468" t="s">
        <v>157</v>
      </c>
      <c r="K468">
        <v>1.0886774247963048E-3</v>
      </c>
      <c r="L468" t="s">
        <v>153</v>
      </c>
    </row>
    <row r="469" spans="9:12" x14ac:dyDescent="0.45">
      <c r="I469" t="s">
        <v>179</v>
      </c>
      <c r="J469" t="s">
        <v>158</v>
      </c>
      <c r="K469">
        <v>1.8982509189085835E-2</v>
      </c>
      <c r="L469" t="s">
        <v>153</v>
      </c>
    </row>
    <row r="470" spans="9:12" x14ac:dyDescent="0.45">
      <c r="I470" t="s">
        <v>179</v>
      </c>
      <c r="J470" t="s">
        <v>235</v>
      </c>
      <c r="K470">
        <v>5.7222362778660239E-4</v>
      </c>
      <c r="L470" t="s">
        <v>153</v>
      </c>
    </row>
    <row r="471" spans="9:12" x14ac:dyDescent="0.45">
      <c r="I471" t="s">
        <v>179</v>
      </c>
      <c r="J471" t="s">
        <v>236</v>
      </c>
      <c r="K471">
        <v>0</v>
      </c>
      <c r="L471" t="s">
        <v>153</v>
      </c>
    </row>
    <row r="472" spans="9:12" x14ac:dyDescent="0.45">
      <c r="I472" t="s">
        <v>179</v>
      </c>
      <c r="J472" t="s">
        <v>237</v>
      </c>
      <c r="K472">
        <v>0</v>
      </c>
      <c r="L472" t="s">
        <v>153</v>
      </c>
    </row>
    <row r="473" spans="9:12" x14ac:dyDescent="0.45">
      <c r="I473" t="s">
        <v>179</v>
      </c>
      <c r="J473" t="s">
        <v>159</v>
      </c>
      <c r="K473">
        <v>1.9054811394418913E-3</v>
      </c>
      <c r="L473" t="s">
        <v>153</v>
      </c>
    </row>
    <row r="474" spans="9:12" x14ac:dyDescent="0.45">
      <c r="I474" t="s">
        <v>179</v>
      </c>
      <c r="J474" t="s">
        <v>160</v>
      </c>
      <c r="K474">
        <v>3.8310372172152924E-3</v>
      </c>
      <c r="L474" t="s">
        <v>153</v>
      </c>
    </row>
    <row r="475" spans="9:12" x14ac:dyDescent="0.45">
      <c r="I475" t="s">
        <v>179</v>
      </c>
      <c r="J475" t="s">
        <v>161</v>
      </c>
      <c r="K475">
        <v>5.5279766715675777E-2</v>
      </c>
      <c r="L475" t="s">
        <v>153</v>
      </c>
    </row>
    <row r="476" spans="9:12" x14ac:dyDescent="0.45">
      <c r="I476" t="s">
        <v>179</v>
      </c>
      <c r="J476" t="s">
        <v>238</v>
      </c>
      <c r="K476">
        <v>2.2163162930909945E-3</v>
      </c>
      <c r="L476" t="s">
        <v>153</v>
      </c>
    </row>
    <row r="477" spans="9:12" x14ac:dyDescent="0.45">
      <c r="I477" t="s">
        <v>179</v>
      </c>
      <c r="J477" t="s">
        <v>239</v>
      </c>
      <c r="K477">
        <v>0</v>
      </c>
      <c r="L477" t="s">
        <v>153</v>
      </c>
    </row>
    <row r="478" spans="9:12" x14ac:dyDescent="0.45">
      <c r="I478" t="s">
        <v>179</v>
      </c>
      <c r="J478" t="s">
        <v>240</v>
      </c>
      <c r="K478">
        <v>0</v>
      </c>
      <c r="L478" t="s">
        <v>153</v>
      </c>
    </row>
    <row r="479" spans="9:12" x14ac:dyDescent="0.45">
      <c r="I479" t="s">
        <v>179</v>
      </c>
      <c r="J479" t="s">
        <v>162</v>
      </c>
      <c r="K479">
        <v>1.0744428937282189E-3</v>
      </c>
      <c r="L479" t="s">
        <v>153</v>
      </c>
    </row>
    <row r="480" spans="9:12" x14ac:dyDescent="0.45">
      <c r="I480" t="s">
        <v>179</v>
      </c>
      <c r="J480" t="s">
        <v>163</v>
      </c>
      <c r="K480">
        <v>3.3463049528444245E-3</v>
      </c>
      <c r="L480" t="s">
        <v>153</v>
      </c>
    </row>
    <row r="481" spans="9:12" x14ac:dyDescent="0.45">
      <c r="I481" t="s">
        <v>179</v>
      </c>
      <c r="J481" t="s">
        <v>164</v>
      </c>
      <c r="K481">
        <v>5.8941585431571707E-2</v>
      </c>
      <c r="L481" t="s">
        <v>153</v>
      </c>
    </row>
    <row r="482" spans="9:12" x14ac:dyDescent="0.45">
      <c r="I482" t="s">
        <v>179</v>
      </c>
      <c r="J482" t="s">
        <v>241</v>
      </c>
      <c r="K482">
        <v>1.9339155372779106E-3</v>
      </c>
      <c r="L482" t="s">
        <v>153</v>
      </c>
    </row>
    <row r="483" spans="9:12" x14ac:dyDescent="0.45">
      <c r="I483" t="s">
        <v>179</v>
      </c>
      <c r="J483" t="s">
        <v>242</v>
      </c>
      <c r="K483">
        <v>0</v>
      </c>
      <c r="L483" t="s">
        <v>153</v>
      </c>
    </row>
    <row r="484" spans="9:12" x14ac:dyDescent="0.45">
      <c r="I484" t="s">
        <v>179</v>
      </c>
      <c r="J484" t="s">
        <v>243</v>
      </c>
      <c r="K484">
        <v>0</v>
      </c>
      <c r="L484" t="s">
        <v>153</v>
      </c>
    </row>
    <row r="485" spans="9:12" x14ac:dyDescent="0.45">
      <c r="I485" t="s">
        <v>179</v>
      </c>
      <c r="J485" t="s">
        <v>249</v>
      </c>
      <c r="K485">
        <v>6.0477331841605284E-7</v>
      </c>
      <c r="L485" t="s">
        <v>153</v>
      </c>
    </row>
    <row r="486" spans="9:12" x14ac:dyDescent="0.45">
      <c r="I486" t="s">
        <v>179</v>
      </c>
      <c r="J486" t="s">
        <v>250</v>
      </c>
      <c r="K486">
        <v>2.0907831893711547E-3</v>
      </c>
      <c r="L486" t="s">
        <v>153</v>
      </c>
    </row>
    <row r="487" spans="9:12" x14ac:dyDescent="0.45">
      <c r="I487" t="s">
        <v>179</v>
      </c>
      <c r="J487" t="s">
        <v>251</v>
      </c>
      <c r="K487">
        <v>3.4098573459798172E-2</v>
      </c>
      <c r="L487" t="s">
        <v>153</v>
      </c>
    </row>
    <row r="488" spans="9:12" x14ac:dyDescent="0.45">
      <c r="I488" t="s">
        <v>179</v>
      </c>
      <c r="J488" t="s">
        <v>252</v>
      </c>
      <c r="K488">
        <v>1.4055552927015021E-3</v>
      </c>
      <c r="L488" t="s">
        <v>153</v>
      </c>
    </row>
    <row r="489" spans="9:12" x14ac:dyDescent="0.45">
      <c r="I489" t="s">
        <v>179</v>
      </c>
      <c r="J489" t="s">
        <v>253</v>
      </c>
      <c r="K489">
        <v>0</v>
      </c>
      <c r="L489" t="s">
        <v>153</v>
      </c>
    </row>
    <row r="490" spans="9:12" x14ac:dyDescent="0.45">
      <c r="I490" t="s">
        <v>179</v>
      </c>
      <c r="J490" t="s">
        <v>254</v>
      </c>
      <c r="K490">
        <v>0</v>
      </c>
      <c r="L490" t="s">
        <v>153</v>
      </c>
    </row>
    <row r="491" spans="9:12" x14ac:dyDescent="0.45">
      <c r="I491" t="s">
        <v>180</v>
      </c>
      <c r="J491" t="s">
        <v>152</v>
      </c>
      <c r="K491">
        <v>1.1831497568463262E-2</v>
      </c>
      <c r="L491" t="s">
        <v>153</v>
      </c>
    </row>
    <row r="492" spans="9:12" x14ac:dyDescent="0.45">
      <c r="I492" t="s">
        <v>180</v>
      </c>
      <c r="J492" t="s">
        <v>154</v>
      </c>
      <c r="K492">
        <v>3.9105599983190659E-2</v>
      </c>
      <c r="L492" t="s">
        <v>153</v>
      </c>
    </row>
    <row r="493" spans="9:12" x14ac:dyDescent="0.45">
      <c r="I493" t="s">
        <v>180</v>
      </c>
      <c r="J493" t="s">
        <v>155</v>
      </c>
      <c r="K493">
        <v>0.6980535071888706</v>
      </c>
      <c r="L493" t="s">
        <v>153</v>
      </c>
    </row>
    <row r="494" spans="9:12" x14ac:dyDescent="0.45">
      <c r="I494" t="s">
        <v>180</v>
      </c>
      <c r="J494" t="s">
        <v>232</v>
      </c>
      <c r="K494">
        <v>3.9253641284942416E-2</v>
      </c>
      <c r="L494" t="s">
        <v>153</v>
      </c>
    </row>
    <row r="495" spans="9:12" x14ac:dyDescent="0.45">
      <c r="I495" t="s">
        <v>180</v>
      </c>
      <c r="J495" t="s">
        <v>233</v>
      </c>
      <c r="K495">
        <v>1.2142810770361267E-2</v>
      </c>
      <c r="L495" t="s">
        <v>153</v>
      </c>
    </row>
    <row r="496" spans="9:12" x14ac:dyDescent="0.45">
      <c r="I496" t="s">
        <v>180</v>
      </c>
      <c r="J496" t="s">
        <v>234</v>
      </c>
      <c r="K496">
        <v>0</v>
      </c>
      <c r="L496" t="s">
        <v>153</v>
      </c>
    </row>
    <row r="497" spans="9:12" x14ac:dyDescent="0.45">
      <c r="I497" t="s">
        <v>180</v>
      </c>
      <c r="J497" t="s">
        <v>156</v>
      </c>
      <c r="K497">
        <v>2.5832861480263697E-4</v>
      </c>
      <c r="L497" t="s">
        <v>153</v>
      </c>
    </row>
    <row r="498" spans="9:12" x14ac:dyDescent="0.45">
      <c r="I498" t="s">
        <v>180</v>
      </c>
      <c r="J498" t="s">
        <v>157</v>
      </c>
      <c r="K498">
        <v>8.713330161270196E-4</v>
      </c>
      <c r="L498" t="s">
        <v>153</v>
      </c>
    </row>
    <row r="499" spans="9:12" x14ac:dyDescent="0.45">
      <c r="I499" t="s">
        <v>180</v>
      </c>
      <c r="J499" t="s">
        <v>158</v>
      </c>
      <c r="K499">
        <v>1.5473565828346744E-2</v>
      </c>
      <c r="L499" t="s">
        <v>153</v>
      </c>
    </row>
    <row r="500" spans="9:12" x14ac:dyDescent="0.45">
      <c r="I500" t="s">
        <v>180</v>
      </c>
      <c r="J500" t="s">
        <v>235</v>
      </c>
      <c r="K500">
        <v>4.9023173578417246E-4</v>
      </c>
      <c r="L500" t="s">
        <v>153</v>
      </c>
    </row>
    <row r="501" spans="9:12" x14ac:dyDescent="0.45">
      <c r="I501" t="s">
        <v>180</v>
      </c>
      <c r="J501" t="s">
        <v>236</v>
      </c>
      <c r="K501">
        <v>0</v>
      </c>
      <c r="L501" t="s">
        <v>153</v>
      </c>
    </row>
    <row r="502" spans="9:12" x14ac:dyDescent="0.45">
      <c r="I502" t="s">
        <v>180</v>
      </c>
      <c r="J502" t="s">
        <v>237</v>
      </c>
      <c r="K502">
        <v>0</v>
      </c>
      <c r="L502" t="s">
        <v>153</v>
      </c>
    </row>
    <row r="503" spans="9:12" x14ac:dyDescent="0.45">
      <c r="I503" t="s">
        <v>180</v>
      </c>
      <c r="J503" t="s">
        <v>159</v>
      </c>
      <c r="K503">
        <v>2.8354801542892592E-6</v>
      </c>
      <c r="L503" t="s">
        <v>153</v>
      </c>
    </row>
    <row r="504" spans="9:12" x14ac:dyDescent="0.45">
      <c r="I504" t="s">
        <v>180</v>
      </c>
      <c r="J504" t="s">
        <v>160</v>
      </c>
      <c r="K504">
        <v>2.7618467358169652E-3</v>
      </c>
      <c r="L504" t="s">
        <v>153</v>
      </c>
    </row>
    <row r="505" spans="9:12" x14ac:dyDescent="0.45">
      <c r="I505" t="s">
        <v>180</v>
      </c>
      <c r="J505" t="s">
        <v>161</v>
      </c>
      <c r="K505">
        <v>5.3281604951101499E-2</v>
      </c>
      <c r="L505" t="s">
        <v>153</v>
      </c>
    </row>
    <row r="506" spans="9:12" x14ac:dyDescent="0.45">
      <c r="I506" t="s">
        <v>180</v>
      </c>
      <c r="J506" t="s">
        <v>238</v>
      </c>
      <c r="K506">
        <v>2.0409658931125627E-3</v>
      </c>
      <c r="L506" t="s">
        <v>153</v>
      </c>
    </row>
    <row r="507" spans="9:12" x14ac:dyDescent="0.45">
      <c r="I507" t="s">
        <v>180</v>
      </c>
      <c r="J507" t="s">
        <v>239</v>
      </c>
      <c r="K507">
        <v>0</v>
      </c>
      <c r="L507" t="s">
        <v>153</v>
      </c>
    </row>
    <row r="508" spans="9:12" x14ac:dyDescent="0.45">
      <c r="I508" t="s">
        <v>180</v>
      </c>
      <c r="J508" t="s">
        <v>240</v>
      </c>
      <c r="K508">
        <v>0</v>
      </c>
      <c r="L508" t="s">
        <v>153</v>
      </c>
    </row>
    <row r="509" spans="9:12" x14ac:dyDescent="0.45">
      <c r="I509" t="s">
        <v>180</v>
      </c>
      <c r="J509" t="s">
        <v>162</v>
      </c>
      <c r="K509">
        <v>0</v>
      </c>
      <c r="L509" t="s">
        <v>153</v>
      </c>
    </row>
    <row r="510" spans="9:12" x14ac:dyDescent="0.45">
      <c r="I510" t="s">
        <v>180</v>
      </c>
      <c r="J510" t="s">
        <v>163</v>
      </c>
      <c r="K510">
        <v>2.9589792690253606E-3</v>
      </c>
      <c r="L510" t="s">
        <v>153</v>
      </c>
    </row>
    <row r="511" spans="9:12" x14ac:dyDescent="0.45">
      <c r="I511" t="s">
        <v>180</v>
      </c>
      <c r="J511" t="s">
        <v>164</v>
      </c>
      <c r="K511">
        <v>6.6475367030225357E-2</v>
      </c>
      <c r="L511" t="s">
        <v>153</v>
      </c>
    </row>
    <row r="512" spans="9:12" x14ac:dyDescent="0.45">
      <c r="I512" t="s">
        <v>180</v>
      </c>
      <c r="J512" t="s">
        <v>241</v>
      </c>
      <c r="K512">
        <v>2.3524141864277618E-3</v>
      </c>
      <c r="L512" t="s">
        <v>153</v>
      </c>
    </row>
    <row r="513" spans="9:12" x14ac:dyDescent="0.45">
      <c r="I513" t="s">
        <v>180</v>
      </c>
      <c r="J513" t="s">
        <v>242</v>
      </c>
      <c r="K513">
        <v>0</v>
      </c>
      <c r="L513" t="s">
        <v>153</v>
      </c>
    </row>
    <row r="514" spans="9:12" x14ac:dyDescent="0.45">
      <c r="I514" t="s">
        <v>180</v>
      </c>
      <c r="J514" t="s">
        <v>243</v>
      </c>
      <c r="K514">
        <v>0</v>
      </c>
      <c r="L514" t="s">
        <v>153</v>
      </c>
    </row>
    <row r="515" spans="9:12" x14ac:dyDescent="0.45">
      <c r="I515" t="s">
        <v>180</v>
      </c>
      <c r="J515" t="s">
        <v>249</v>
      </c>
      <c r="K515">
        <v>0</v>
      </c>
      <c r="L515" t="s">
        <v>153</v>
      </c>
    </row>
    <row r="516" spans="9:12" x14ac:dyDescent="0.45">
      <c r="I516" t="s">
        <v>180</v>
      </c>
      <c r="J516" t="s">
        <v>250</v>
      </c>
      <c r="K516">
        <v>2.4607931083506542E-3</v>
      </c>
      <c r="L516" t="s">
        <v>153</v>
      </c>
    </row>
    <row r="517" spans="9:12" x14ac:dyDescent="0.45">
      <c r="I517" t="s">
        <v>180</v>
      </c>
      <c r="J517" t="s">
        <v>251</v>
      </c>
      <c r="K517">
        <v>4.7842593129384617E-2</v>
      </c>
      <c r="L517" t="s">
        <v>153</v>
      </c>
    </row>
    <row r="518" spans="9:12" x14ac:dyDescent="0.45">
      <c r="I518" t="s">
        <v>180</v>
      </c>
      <c r="J518" t="s">
        <v>252</v>
      </c>
      <c r="K518">
        <v>2.342084225512569E-3</v>
      </c>
      <c r="L518" t="s">
        <v>153</v>
      </c>
    </row>
    <row r="519" spans="9:12" x14ac:dyDescent="0.45">
      <c r="I519" t="s">
        <v>180</v>
      </c>
      <c r="J519" t="s">
        <v>253</v>
      </c>
      <c r="K519">
        <v>0</v>
      </c>
      <c r="L519" t="s">
        <v>153</v>
      </c>
    </row>
    <row r="520" spans="9:12" x14ac:dyDescent="0.45">
      <c r="I520" t="s">
        <v>180</v>
      </c>
      <c r="J520" t="s">
        <v>254</v>
      </c>
      <c r="K520">
        <v>0</v>
      </c>
      <c r="L520" t="s">
        <v>153</v>
      </c>
    </row>
    <row r="521" spans="9:12" x14ac:dyDescent="0.45">
      <c r="I521" t="s">
        <v>181</v>
      </c>
      <c r="J521" t="s">
        <v>152</v>
      </c>
      <c r="K521">
        <v>1.3959193581589476E-2</v>
      </c>
      <c r="L521" t="s">
        <v>153</v>
      </c>
    </row>
    <row r="522" spans="9:12" x14ac:dyDescent="0.45">
      <c r="I522" t="s">
        <v>181</v>
      </c>
      <c r="J522" t="s">
        <v>154</v>
      </c>
      <c r="K522">
        <v>4.2100725856343391E-2</v>
      </c>
      <c r="L522" t="s">
        <v>153</v>
      </c>
    </row>
    <row r="523" spans="9:12" x14ac:dyDescent="0.45">
      <c r="I523" t="s">
        <v>181</v>
      </c>
      <c r="J523" t="s">
        <v>155</v>
      </c>
      <c r="K523">
        <v>0.6986154688228795</v>
      </c>
      <c r="L523" t="s">
        <v>153</v>
      </c>
    </row>
    <row r="524" spans="9:12" x14ac:dyDescent="0.45">
      <c r="I524" t="s">
        <v>181</v>
      </c>
      <c r="J524" t="s">
        <v>232</v>
      </c>
      <c r="K524">
        <v>3.6899408471606526E-2</v>
      </c>
      <c r="L524" t="s">
        <v>153</v>
      </c>
    </row>
    <row r="525" spans="9:12" x14ac:dyDescent="0.45">
      <c r="I525" t="s">
        <v>181</v>
      </c>
      <c r="J525" t="s">
        <v>233</v>
      </c>
      <c r="K525">
        <v>9.3692417362844747E-3</v>
      </c>
      <c r="L525" t="s">
        <v>153</v>
      </c>
    </row>
    <row r="526" spans="9:12" x14ac:dyDescent="0.45">
      <c r="I526" t="s">
        <v>181</v>
      </c>
      <c r="J526" t="s">
        <v>234</v>
      </c>
      <c r="K526">
        <v>0</v>
      </c>
      <c r="L526" t="s">
        <v>153</v>
      </c>
    </row>
    <row r="527" spans="9:12" x14ac:dyDescent="0.45">
      <c r="I527" t="s">
        <v>181</v>
      </c>
      <c r="J527" t="s">
        <v>156</v>
      </c>
      <c r="K527">
        <v>4.400048034868977E-4</v>
      </c>
      <c r="L527" t="s">
        <v>153</v>
      </c>
    </row>
    <row r="528" spans="9:12" x14ac:dyDescent="0.45">
      <c r="I528" t="s">
        <v>181</v>
      </c>
      <c r="J528" t="s">
        <v>157</v>
      </c>
      <c r="K528">
        <v>8.1480819664738564E-4</v>
      </c>
      <c r="L528" t="s">
        <v>153</v>
      </c>
    </row>
    <row r="529" spans="9:12" x14ac:dyDescent="0.45">
      <c r="I529" t="s">
        <v>181</v>
      </c>
      <c r="J529" t="s">
        <v>158</v>
      </c>
      <c r="K529">
        <v>1.4180313534261841E-2</v>
      </c>
      <c r="L529" t="s">
        <v>153</v>
      </c>
    </row>
    <row r="530" spans="9:12" x14ac:dyDescent="0.45">
      <c r="I530" t="s">
        <v>181</v>
      </c>
      <c r="J530" t="s">
        <v>235</v>
      </c>
      <c r="K530">
        <v>4.9321907198253835E-4</v>
      </c>
      <c r="L530" t="s">
        <v>153</v>
      </c>
    </row>
    <row r="531" spans="9:12" x14ac:dyDescent="0.45">
      <c r="I531" t="s">
        <v>181</v>
      </c>
      <c r="J531" t="s">
        <v>236</v>
      </c>
      <c r="K531">
        <v>0</v>
      </c>
      <c r="L531" t="s">
        <v>153</v>
      </c>
    </row>
    <row r="532" spans="9:12" x14ac:dyDescent="0.45">
      <c r="I532" t="s">
        <v>181</v>
      </c>
      <c r="J532" t="s">
        <v>237</v>
      </c>
      <c r="K532">
        <v>0</v>
      </c>
      <c r="L532" t="s">
        <v>153</v>
      </c>
    </row>
    <row r="533" spans="9:12" x14ac:dyDescent="0.45">
      <c r="I533" t="s">
        <v>181</v>
      </c>
      <c r="J533" t="s">
        <v>159</v>
      </c>
      <c r="K533">
        <v>1.7274541907588635E-4</v>
      </c>
      <c r="L533" t="s">
        <v>153</v>
      </c>
    </row>
    <row r="534" spans="9:12" x14ac:dyDescent="0.45">
      <c r="I534" t="s">
        <v>181</v>
      </c>
      <c r="J534" t="s">
        <v>160</v>
      </c>
      <c r="K534">
        <v>3.2499374867889582E-3</v>
      </c>
      <c r="L534" t="s">
        <v>153</v>
      </c>
    </row>
    <row r="535" spans="9:12" x14ac:dyDescent="0.45">
      <c r="I535" t="s">
        <v>181</v>
      </c>
      <c r="J535" t="s">
        <v>161</v>
      </c>
      <c r="K535">
        <v>5.2357938324901508E-2</v>
      </c>
      <c r="L535" t="s">
        <v>153</v>
      </c>
    </row>
    <row r="536" spans="9:12" x14ac:dyDescent="0.45">
      <c r="I536" t="s">
        <v>181</v>
      </c>
      <c r="J536" t="s">
        <v>238</v>
      </c>
      <c r="K536">
        <v>1.9497382024015952E-3</v>
      </c>
      <c r="L536" t="s">
        <v>153</v>
      </c>
    </row>
    <row r="537" spans="9:12" x14ac:dyDescent="0.45">
      <c r="I537" t="s">
        <v>181</v>
      </c>
      <c r="J537" t="s">
        <v>239</v>
      </c>
      <c r="K537">
        <v>0</v>
      </c>
      <c r="L537" t="s">
        <v>153</v>
      </c>
    </row>
    <row r="538" spans="9:12" x14ac:dyDescent="0.45">
      <c r="I538" t="s">
        <v>181</v>
      </c>
      <c r="J538" t="s">
        <v>240</v>
      </c>
      <c r="K538">
        <v>0</v>
      </c>
      <c r="L538" t="s">
        <v>153</v>
      </c>
    </row>
    <row r="539" spans="9:12" x14ac:dyDescent="0.45">
      <c r="I539" t="s">
        <v>181</v>
      </c>
      <c r="J539" t="s">
        <v>162</v>
      </c>
      <c r="K539">
        <v>0</v>
      </c>
      <c r="L539" t="s">
        <v>153</v>
      </c>
    </row>
    <row r="540" spans="9:12" x14ac:dyDescent="0.45">
      <c r="I540" t="s">
        <v>181</v>
      </c>
      <c r="J540" t="s">
        <v>163</v>
      </c>
      <c r="K540">
        <v>3.7901483619382824E-3</v>
      </c>
      <c r="L540" t="s">
        <v>153</v>
      </c>
    </row>
    <row r="541" spans="9:12" x14ac:dyDescent="0.45">
      <c r="I541" t="s">
        <v>181</v>
      </c>
      <c r="J541" t="s">
        <v>164</v>
      </c>
      <c r="K541">
        <v>6.5584562988712389E-2</v>
      </c>
      <c r="L541" t="s">
        <v>153</v>
      </c>
    </row>
    <row r="542" spans="9:12" x14ac:dyDescent="0.45">
      <c r="I542" t="s">
        <v>181</v>
      </c>
      <c r="J542" t="s">
        <v>241</v>
      </c>
      <c r="K542">
        <v>2.159118538909668E-3</v>
      </c>
      <c r="L542" t="s">
        <v>153</v>
      </c>
    </row>
    <row r="543" spans="9:12" x14ac:dyDescent="0.45">
      <c r="I543" t="s">
        <v>181</v>
      </c>
      <c r="J543" t="s">
        <v>242</v>
      </c>
      <c r="K543">
        <v>0</v>
      </c>
      <c r="L543" t="s">
        <v>153</v>
      </c>
    </row>
    <row r="544" spans="9:12" x14ac:dyDescent="0.45">
      <c r="I544" t="s">
        <v>181</v>
      </c>
      <c r="J544" t="s">
        <v>243</v>
      </c>
      <c r="K544">
        <v>0</v>
      </c>
      <c r="L544" t="s">
        <v>153</v>
      </c>
    </row>
    <row r="545" spans="9:12" x14ac:dyDescent="0.45">
      <c r="I545" t="s">
        <v>181</v>
      </c>
      <c r="J545" t="s">
        <v>249</v>
      </c>
      <c r="K545">
        <v>0</v>
      </c>
      <c r="L545" t="s">
        <v>153</v>
      </c>
    </row>
    <row r="546" spans="9:12" x14ac:dyDescent="0.45">
      <c r="I546" t="s">
        <v>181</v>
      </c>
      <c r="J546" t="s">
        <v>250</v>
      </c>
      <c r="K546">
        <v>2.8019770343526138E-3</v>
      </c>
      <c r="L546" t="s">
        <v>153</v>
      </c>
    </row>
    <row r="547" spans="9:12" x14ac:dyDescent="0.45">
      <c r="I547" t="s">
        <v>181</v>
      </c>
      <c r="J547" t="s">
        <v>251</v>
      </c>
      <c r="K547">
        <v>4.8699330163761344E-2</v>
      </c>
      <c r="L547" t="s">
        <v>153</v>
      </c>
    </row>
    <row r="548" spans="9:12" x14ac:dyDescent="0.45">
      <c r="I548" t="s">
        <v>181</v>
      </c>
      <c r="J548" t="s">
        <v>252</v>
      </c>
      <c r="K548">
        <v>2.3621194040753094E-3</v>
      </c>
      <c r="L548" t="s">
        <v>153</v>
      </c>
    </row>
    <row r="549" spans="9:12" x14ac:dyDescent="0.45">
      <c r="I549" t="s">
        <v>181</v>
      </c>
      <c r="J549" t="s">
        <v>253</v>
      </c>
      <c r="K549">
        <v>0</v>
      </c>
      <c r="L549" t="s">
        <v>153</v>
      </c>
    </row>
    <row r="550" spans="9:12" x14ac:dyDescent="0.45">
      <c r="I550" t="s">
        <v>181</v>
      </c>
      <c r="J550" t="s">
        <v>254</v>
      </c>
      <c r="K550">
        <v>0</v>
      </c>
      <c r="L550" t="s">
        <v>153</v>
      </c>
    </row>
    <row r="551" spans="9:12" x14ac:dyDescent="0.45">
      <c r="I551" t="s">
        <v>182</v>
      </c>
      <c r="J551" t="s">
        <v>152</v>
      </c>
      <c r="K551">
        <v>1.5319263120701218E-2</v>
      </c>
      <c r="L551" t="s">
        <v>153</v>
      </c>
    </row>
    <row r="552" spans="9:12" x14ac:dyDescent="0.45">
      <c r="I552" t="s">
        <v>182</v>
      </c>
      <c r="J552" t="s">
        <v>154</v>
      </c>
      <c r="K552">
        <v>4.2499026444610323E-2</v>
      </c>
      <c r="L552" t="s">
        <v>153</v>
      </c>
    </row>
    <row r="553" spans="9:12" x14ac:dyDescent="0.45">
      <c r="I553" t="s">
        <v>182</v>
      </c>
      <c r="J553" t="s">
        <v>155</v>
      </c>
      <c r="K553">
        <v>0.70233234526196886</v>
      </c>
      <c r="L553" t="s">
        <v>153</v>
      </c>
    </row>
    <row r="554" spans="9:12" x14ac:dyDescent="0.45">
      <c r="I554" t="s">
        <v>182</v>
      </c>
      <c r="J554" t="s">
        <v>232</v>
      </c>
      <c r="K554">
        <v>3.5304001221177599E-2</v>
      </c>
      <c r="L554" t="s">
        <v>153</v>
      </c>
    </row>
    <row r="555" spans="9:12" x14ac:dyDescent="0.45">
      <c r="I555" t="s">
        <v>182</v>
      </c>
      <c r="J555" t="s">
        <v>233</v>
      </c>
      <c r="K555">
        <v>6.3154890577220993E-3</v>
      </c>
      <c r="L555" t="s">
        <v>153</v>
      </c>
    </row>
    <row r="556" spans="9:12" x14ac:dyDescent="0.45">
      <c r="I556" t="s">
        <v>182</v>
      </c>
      <c r="J556" t="s">
        <v>234</v>
      </c>
      <c r="K556">
        <v>0</v>
      </c>
      <c r="L556" t="s">
        <v>153</v>
      </c>
    </row>
    <row r="557" spans="9:12" x14ac:dyDescent="0.45">
      <c r="I557" t="s">
        <v>182</v>
      </c>
      <c r="J557" t="s">
        <v>156</v>
      </c>
      <c r="K557">
        <v>3.7504653664404916E-4</v>
      </c>
      <c r="L557" t="s">
        <v>153</v>
      </c>
    </row>
    <row r="558" spans="9:12" x14ac:dyDescent="0.45">
      <c r="I558" t="s">
        <v>182</v>
      </c>
      <c r="J558" t="s">
        <v>157</v>
      </c>
      <c r="K558">
        <v>7.7663439515077419E-4</v>
      </c>
      <c r="L558" t="s">
        <v>153</v>
      </c>
    </row>
    <row r="559" spans="9:12" x14ac:dyDescent="0.45">
      <c r="I559" t="s">
        <v>182</v>
      </c>
      <c r="J559" t="s">
        <v>158</v>
      </c>
      <c r="K559">
        <v>1.4385648473157481E-2</v>
      </c>
      <c r="L559" t="s">
        <v>153</v>
      </c>
    </row>
    <row r="560" spans="9:12" x14ac:dyDescent="0.45">
      <c r="I560" t="s">
        <v>182</v>
      </c>
      <c r="J560" t="s">
        <v>235</v>
      </c>
      <c r="K560">
        <v>4.5344754250713405E-4</v>
      </c>
      <c r="L560" t="s">
        <v>153</v>
      </c>
    </row>
    <row r="561" spans="9:12" x14ac:dyDescent="0.45">
      <c r="I561" t="s">
        <v>182</v>
      </c>
      <c r="J561" t="s">
        <v>236</v>
      </c>
      <c r="K561">
        <v>0</v>
      </c>
      <c r="L561" t="s">
        <v>153</v>
      </c>
    </row>
    <row r="562" spans="9:12" x14ac:dyDescent="0.45">
      <c r="I562" t="s">
        <v>182</v>
      </c>
      <c r="J562" t="s">
        <v>237</v>
      </c>
      <c r="K562">
        <v>0</v>
      </c>
      <c r="L562" t="s">
        <v>153</v>
      </c>
    </row>
    <row r="563" spans="9:12" x14ac:dyDescent="0.45">
      <c r="I563" t="s">
        <v>182</v>
      </c>
      <c r="J563" t="s">
        <v>159</v>
      </c>
      <c r="K563">
        <v>1.0068673089269743E-3</v>
      </c>
      <c r="L563" t="s">
        <v>153</v>
      </c>
    </row>
    <row r="564" spans="9:12" x14ac:dyDescent="0.45">
      <c r="I564" t="s">
        <v>182</v>
      </c>
      <c r="J564" t="s">
        <v>160</v>
      </c>
      <c r="K564">
        <v>3.229728536118181E-3</v>
      </c>
      <c r="L564" t="s">
        <v>153</v>
      </c>
    </row>
    <row r="565" spans="9:12" x14ac:dyDescent="0.45">
      <c r="I565" t="s">
        <v>182</v>
      </c>
      <c r="J565" t="s">
        <v>161</v>
      </c>
      <c r="K565">
        <v>5.3300743108371032E-2</v>
      </c>
      <c r="L565" t="s">
        <v>153</v>
      </c>
    </row>
    <row r="566" spans="9:12" x14ac:dyDescent="0.45">
      <c r="I566" t="s">
        <v>182</v>
      </c>
      <c r="J566" t="s">
        <v>238</v>
      </c>
      <c r="K566">
        <v>2.0595598880104485E-3</v>
      </c>
      <c r="L566" t="s">
        <v>153</v>
      </c>
    </row>
    <row r="567" spans="9:12" x14ac:dyDescent="0.45">
      <c r="I567" t="s">
        <v>182</v>
      </c>
      <c r="J567" t="s">
        <v>239</v>
      </c>
      <c r="K567">
        <v>0</v>
      </c>
      <c r="L567" t="s">
        <v>153</v>
      </c>
    </row>
    <row r="568" spans="9:12" x14ac:dyDescent="0.45">
      <c r="I568" t="s">
        <v>182</v>
      </c>
      <c r="J568" t="s">
        <v>240</v>
      </c>
      <c r="K568">
        <v>0</v>
      </c>
      <c r="L568" t="s">
        <v>153</v>
      </c>
    </row>
    <row r="569" spans="9:12" x14ac:dyDescent="0.45">
      <c r="I569" t="s">
        <v>182</v>
      </c>
      <c r="J569" t="s">
        <v>162</v>
      </c>
      <c r="K569">
        <v>0</v>
      </c>
      <c r="L569" t="s">
        <v>153</v>
      </c>
    </row>
    <row r="570" spans="9:12" x14ac:dyDescent="0.45">
      <c r="I570" t="s">
        <v>182</v>
      </c>
      <c r="J570" t="s">
        <v>163</v>
      </c>
      <c r="K570">
        <v>3.7221098873008816E-3</v>
      </c>
      <c r="L570" t="s">
        <v>153</v>
      </c>
    </row>
    <row r="571" spans="9:12" x14ac:dyDescent="0.45">
      <c r="I571" t="s">
        <v>182</v>
      </c>
      <c r="J571" t="s">
        <v>164</v>
      </c>
      <c r="K571">
        <v>6.4809937172861293E-2</v>
      </c>
      <c r="L571" t="s">
        <v>153</v>
      </c>
    </row>
    <row r="572" spans="9:12" x14ac:dyDescent="0.45">
      <c r="I572" t="s">
        <v>182</v>
      </c>
      <c r="J572" t="s">
        <v>241</v>
      </c>
      <c r="K572">
        <v>2.2244667673578383E-3</v>
      </c>
      <c r="L572" t="s">
        <v>153</v>
      </c>
    </row>
    <row r="573" spans="9:12" x14ac:dyDescent="0.45">
      <c r="I573" t="s">
        <v>182</v>
      </c>
      <c r="J573" t="s">
        <v>242</v>
      </c>
      <c r="K573">
        <v>0</v>
      </c>
      <c r="L573" t="s">
        <v>153</v>
      </c>
    </row>
    <row r="574" spans="9:12" x14ac:dyDescent="0.45">
      <c r="I574" t="s">
        <v>182</v>
      </c>
      <c r="J574" t="s">
        <v>243</v>
      </c>
      <c r="K574">
        <v>0</v>
      </c>
      <c r="L574" t="s">
        <v>153</v>
      </c>
    </row>
    <row r="575" spans="9:12" x14ac:dyDescent="0.45">
      <c r="I575" t="s">
        <v>182</v>
      </c>
      <c r="J575" t="s">
        <v>249</v>
      </c>
      <c r="K575">
        <v>0</v>
      </c>
      <c r="L575" t="s">
        <v>153</v>
      </c>
    </row>
    <row r="576" spans="9:12" x14ac:dyDescent="0.45">
      <c r="I576" t="s">
        <v>182</v>
      </c>
      <c r="J576" t="s">
        <v>250</v>
      </c>
      <c r="K576">
        <v>2.7834431403652377E-3</v>
      </c>
      <c r="L576" t="s">
        <v>153</v>
      </c>
    </row>
    <row r="577" spans="9:12" x14ac:dyDescent="0.45">
      <c r="I577" t="s">
        <v>182</v>
      </c>
      <c r="J577" t="s">
        <v>251</v>
      </c>
      <c r="K577">
        <v>4.6965151303990336E-2</v>
      </c>
      <c r="L577" t="s">
        <v>153</v>
      </c>
    </row>
    <row r="578" spans="9:12" x14ac:dyDescent="0.45">
      <c r="I578" t="s">
        <v>182</v>
      </c>
      <c r="J578" t="s">
        <v>252</v>
      </c>
      <c r="K578">
        <v>2.1370908330599105E-3</v>
      </c>
      <c r="L578" t="s">
        <v>153</v>
      </c>
    </row>
    <row r="579" spans="9:12" x14ac:dyDescent="0.45">
      <c r="I579" t="s">
        <v>182</v>
      </c>
      <c r="J579" t="s">
        <v>253</v>
      </c>
      <c r="K579">
        <v>0</v>
      </c>
      <c r="L579" t="s">
        <v>153</v>
      </c>
    </row>
    <row r="580" spans="9:12" x14ac:dyDescent="0.45">
      <c r="I580" t="s">
        <v>182</v>
      </c>
      <c r="J580" t="s">
        <v>254</v>
      </c>
      <c r="K580">
        <v>0</v>
      </c>
      <c r="L580" t="s">
        <v>153</v>
      </c>
    </row>
    <row r="581" spans="9:12" x14ac:dyDescent="0.45">
      <c r="I581" t="s">
        <v>183</v>
      </c>
      <c r="J581" t="s">
        <v>152</v>
      </c>
      <c r="K581">
        <v>1.5788647263850403E-2</v>
      </c>
      <c r="L581" t="s">
        <v>153</v>
      </c>
    </row>
    <row r="582" spans="9:12" x14ac:dyDescent="0.45">
      <c r="I582" t="s">
        <v>183</v>
      </c>
      <c r="J582" t="s">
        <v>154</v>
      </c>
      <c r="K582">
        <v>4.2871558559847985E-2</v>
      </c>
      <c r="L582" t="s">
        <v>153</v>
      </c>
    </row>
    <row r="583" spans="9:12" x14ac:dyDescent="0.45">
      <c r="I583" t="s">
        <v>183</v>
      </c>
      <c r="J583" t="s">
        <v>155</v>
      </c>
      <c r="K583">
        <v>0.71068676470487524</v>
      </c>
      <c r="L583" t="s">
        <v>153</v>
      </c>
    </row>
    <row r="584" spans="9:12" x14ac:dyDescent="0.45">
      <c r="I584" t="s">
        <v>183</v>
      </c>
      <c r="J584" t="s">
        <v>232</v>
      </c>
      <c r="K584">
        <v>3.7661766334535808E-2</v>
      </c>
      <c r="L584" t="s">
        <v>153</v>
      </c>
    </row>
    <row r="585" spans="9:12" x14ac:dyDescent="0.45">
      <c r="I585" t="s">
        <v>183</v>
      </c>
      <c r="J585" t="s">
        <v>233</v>
      </c>
      <c r="K585">
        <v>8.1090578491815855E-3</v>
      </c>
      <c r="L585" t="s">
        <v>153</v>
      </c>
    </row>
    <row r="586" spans="9:12" x14ac:dyDescent="0.45">
      <c r="I586" t="s">
        <v>183</v>
      </c>
      <c r="J586" t="s">
        <v>234</v>
      </c>
      <c r="K586">
        <v>0</v>
      </c>
      <c r="L586" t="s">
        <v>153</v>
      </c>
    </row>
    <row r="587" spans="9:12" x14ac:dyDescent="0.45">
      <c r="I587" t="s">
        <v>183</v>
      </c>
      <c r="J587" t="s">
        <v>156</v>
      </c>
      <c r="K587">
        <v>2.5196781656994368E-4</v>
      </c>
      <c r="L587" t="s">
        <v>153</v>
      </c>
    </row>
    <row r="588" spans="9:12" x14ac:dyDescent="0.45">
      <c r="I588" t="s">
        <v>183</v>
      </c>
      <c r="J588" t="s">
        <v>157</v>
      </c>
      <c r="K588">
        <v>4.8331063494525667E-4</v>
      </c>
      <c r="L588" t="s">
        <v>153</v>
      </c>
    </row>
    <row r="589" spans="9:12" x14ac:dyDescent="0.45">
      <c r="I589" t="s">
        <v>183</v>
      </c>
      <c r="J589" t="s">
        <v>158</v>
      </c>
      <c r="K589">
        <v>1.2698355906238207E-2</v>
      </c>
      <c r="L589" t="s">
        <v>153</v>
      </c>
    </row>
    <row r="590" spans="9:12" x14ac:dyDescent="0.45">
      <c r="I590" t="s">
        <v>183</v>
      </c>
      <c r="J590" t="s">
        <v>235</v>
      </c>
      <c r="K590">
        <v>4.203947098187051E-4</v>
      </c>
      <c r="L590" t="s">
        <v>153</v>
      </c>
    </row>
    <row r="591" spans="9:12" x14ac:dyDescent="0.45">
      <c r="I591" t="s">
        <v>183</v>
      </c>
      <c r="J591" t="s">
        <v>236</v>
      </c>
      <c r="K591">
        <v>0</v>
      </c>
      <c r="L591" t="s">
        <v>153</v>
      </c>
    </row>
    <row r="592" spans="9:12" x14ac:dyDescent="0.45">
      <c r="I592" t="s">
        <v>183</v>
      </c>
      <c r="J592" t="s">
        <v>237</v>
      </c>
      <c r="K592">
        <v>0</v>
      </c>
      <c r="L592" t="s">
        <v>153</v>
      </c>
    </row>
    <row r="593" spans="9:12" x14ac:dyDescent="0.45">
      <c r="I593" t="s">
        <v>183</v>
      </c>
      <c r="J593" t="s">
        <v>159</v>
      </c>
      <c r="K593">
        <v>4.3462732027793513E-4</v>
      </c>
      <c r="L593" t="s">
        <v>153</v>
      </c>
    </row>
    <row r="594" spans="9:12" x14ac:dyDescent="0.45">
      <c r="I594" t="s">
        <v>183</v>
      </c>
      <c r="J594" t="s">
        <v>160</v>
      </c>
      <c r="K594">
        <v>2.8583840952751917E-3</v>
      </c>
      <c r="L594" t="s">
        <v>153</v>
      </c>
    </row>
    <row r="595" spans="9:12" x14ac:dyDescent="0.45">
      <c r="I595" t="s">
        <v>183</v>
      </c>
      <c r="J595" t="s">
        <v>161</v>
      </c>
      <c r="K595">
        <v>5.2905625096436398E-2</v>
      </c>
      <c r="L595" t="s">
        <v>153</v>
      </c>
    </row>
    <row r="596" spans="9:12" x14ac:dyDescent="0.45">
      <c r="I596" t="s">
        <v>183</v>
      </c>
      <c r="J596" t="s">
        <v>238</v>
      </c>
      <c r="K596">
        <v>2.3708758769446859E-3</v>
      </c>
      <c r="L596" t="s">
        <v>153</v>
      </c>
    </row>
    <row r="597" spans="9:12" x14ac:dyDescent="0.45">
      <c r="I597" t="s">
        <v>183</v>
      </c>
      <c r="J597" t="s">
        <v>239</v>
      </c>
      <c r="K597">
        <v>0</v>
      </c>
      <c r="L597" t="s">
        <v>153</v>
      </c>
    </row>
    <row r="598" spans="9:12" x14ac:dyDescent="0.45">
      <c r="I598" t="s">
        <v>183</v>
      </c>
      <c r="J598" t="s">
        <v>240</v>
      </c>
      <c r="K598">
        <v>0</v>
      </c>
      <c r="L598" t="s">
        <v>153</v>
      </c>
    </row>
    <row r="599" spans="9:12" x14ac:dyDescent="0.45">
      <c r="I599" t="s">
        <v>183</v>
      </c>
      <c r="J599" t="s">
        <v>162</v>
      </c>
      <c r="K599">
        <v>0</v>
      </c>
      <c r="L599" t="s">
        <v>153</v>
      </c>
    </row>
    <row r="600" spans="9:12" x14ac:dyDescent="0.45">
      <c r="I600" t="s">
        <v>183</v>
      </c>
      <c r="J600" t="s">
        <v>163</v>
      </c>
      <c r="K600">
        <v>2.7762877720414543E-3</v>
      </c>
      <c r="L600" t="s">
        <v>153</v>
      </c>
    </row>
    <row r="601" spans="9:12" x14ac:dyDescent="0.45">
      <c r="I601" t="s">
        <v>183</v>
      </c>
      <c r="J601" t="s">
        <v>164</v>
      </c>
      <c r="K601">
        <v>5.9580176152519933E-2</v>
      </c>
      <c r="L601" t="s">
        <v>153</v>
      </c>
    </row>
    <row r="602" spans="9:12" x14ac:dyDescent="0.45">
      <c r="I602" t="s">
        <v>183</v>
      </c>
      <c r="J602" t="s">
        <v>241</v>
      </c>
      <c r="K602">
        <v>2.2134598696808712E-3</v>
      </c>
      <c r="L602" t="s">
        <v>153</v>
      </c>
    </row>
    <row r="603" spans="9:12" x14ac:dyDescent="0.45">
      <c r="I603" t="s">
        <v>183</v>
      </c>
      <c r="J603" t="s">
        <v>242</v>
      </c>
      <c r="K603">
        <v>0</v>
      </c>
      <c r="L603" t="s">
        <v>153</v>
      </c>
    </row>
    <row r="604" spans="9:12" x14ac:dyDescent="0.45">
      <c r="I604" t="s">
        <v>183</v>
      </c>
      <c r="J604" t="s">
        <v>243</v>
      </c>
      <c r="K604">
        <v>0</v>
      </c>
      <c r="L604" t="s">
        <v>153</v>
      </c>
    </row>
    <row r="605" spans="9:12" x14ac:dyDescent="0.45">
      <c r="I605" t="s">
        <v>183</v>
      </c>
      <c r="J605" t="s">
        <v>249</v>
      </c>
      <c r="K605">
        <v>0</v>
      </c>
      <c r="L605" t="s">
        <v>153</v>
      </c>
    </row>
    <row r="606" spans="9:12" x14ac:dyDescent="0.45">
      <c r="I606" t="s">
        <v>183</v>
      </c>
      <c r="J606" t="s">
        <v>250</v>
      </c>
      <c r="K606">
        <v>2.2324173041115189E-3</v>
      </c>
      <c r="L606" t="s">
        <v>153</v>
      </c>
    </row>
    <row r="607" spans="9:12" x14ac:dyDescent="0.45">
      <c r="I607" t="s">
        <v>183</v>
      </c>
      <c r="J607" t="s">
        <v>251</v>
      </c>
      <c r="K607">
        <v>4.3740216960085801E-2</v>
      </c>
      <c r="L607" t="s">
        <v>153</v>
      </c>
    </row>
    <row r="608" spans="9:12" x14ac:dyDescent="0.45">
      <c r="I608" t="s">
        <v>183</v>
      </c>
      <c r="J608" t="s">
        <v>252</v>
      </c>
      <c r="K608">
        <v>1.9161057727636872E-3</v>
      </c>
      <c r="L608" t="s">
        <v>153</v>
      </c>
    </row>
    <row r="609" spans="9:12" x14ac:dyDescent="0.45">
      <c r="I609" t="s">
        <v>183</v>
      </c>
      <c r="J609" t="s">
        <v>253</v>
      </c>
      <c r="K609">
        <v>0</v>
      </c>
      <c r="L609" t="s">
        <v>153</v>
      </c>
    </row>
    <row r="610" spans="9:12" x14ac:dyDescent="0.45">
      <c r="I610" t="s">
        <v>183</v>
      </c>
      <c r="J610" t="s">
        <v>254</v>
      </c>
      <c r="K610">
        <v>0</v>
      </c>
      <c r="L610" t="s">
        <v>153</v>
      </c>
    </row>
    <row r="611" spans="9:12" x14ac:dyDescent="0.45">
      <c r="I611" t="s">
        <v>184</v>
      </c>
      <c r="J611" t="s">
        <v>152</v>
      </c>
      <c r="K611">
        <v>1.29221342457245E-2</v>
      </c>
      <c r="L611" t="s">
        <v>153</v>
      </c>
    </row>
    <row r="612" spans="9:12" x14ac:dyDescent="0.45">
      <c r="I612" t="s">
        <v>184</v>
      </c>
      <c r="J612" t="s">
        <v>154</v>
      </c>
      <c r="K612">
        <v>3.9432158483941875E-2</v>
      </c>
      <c r="L612" t="s">
        <v>153</v>
      </c>
    </row>
    <row r="613" spans="9:12" x14ac:dyDescent="0.45">
      <c r="I613" t="s">
        <v>184</v>
      </c>
      <c r="J613" t="s">
        <v>155</v>
      </c>
      <c r="K613">
        <v>0.69606666567814046</v>
      </c>
      <c r="L613" t="s">
        <v>153</v>
      </c>
    </row>
    <row r="614" spans="9:12" x14ac:dyDescent="0.45">
      <c r="I614" t="s">
        <v>184</v>
      </c>
      <c r="J614" t="s">
        <v>232</v>
      </c>
      <c r="K614">
        <v>3.5384610915149946E-2</v>
      </c>
      <c r="L614" t="s">
        <v>153</v>
      </c>
    </row>
    <row r="615" spans="9:12" x14ac:dyDescent="0.45">
      <c r="I615" t="s">
        <v>184</v>
      </c>
      <c r="J615" t="s">
        <v>233</v>
      </c>
      <c r="K615">
        <v>6.1833102796691169E-3</v>
      </c>
      <c r="L615" t="s">
        <v>153</v>
      </c>
    </row>
    <row r="616" spans="9:12" x14ac:dyDescent="0.45">
      <c r="I616" t="s">
        <v>184</v>
      </c>
      <c r="J616" t="s">
        <v>234</v>
      </c>
      <c r="K616">
        <v>0</v>
      </c>
      <c r="L616" t="s">
        <v>153</v>
      </c>
    </row>
    <row r="617" spans="9:12" x14ac:dyDescent="0.45">
      <c r="I617" t="s">
        <v>184</v>
      </c>
      <c r="J617" t="s">
        <v>156</v>
      </c>
      <c r="K617">
        <v>6.2599772479281517E-4</v>
      </c>
      <c r="L617" t="s">
        <v>153</v>
      </c>
    </row>
    <row r="618" spans="9:12" x14ac:dyDescent="0.45">
      <c r="I618" t="s">
        <v>184</v>
      </c>
      <c r="J618" t="s">
        <v>157</v>
      </c>
      <c r="K618">
        <v>1.2844731051801885E-3</v>
      </c>
      <c r="L618" t="s">
        <v>153</v>
      </c>
    </row>
    <row r="619" spans="9:12" x14ac:dyDescent="0.45">
      <c r="I619" t="s">
        <v>184</v>
      </c>
      <c r="J619" t="s">
        <v>158</v>
      </c>
      <c r="K619">
        <v>2.140938447133078E-2</v>
      </c>
      <c r="L619" t="s">
        <v>153</v>
      </c>
    </row>
    <row r="620" spans="9:12" x14ac:dyDescent="0.45">
      <c r="I620" t="s">
        <v>184</v>
      </c>
      <c r="J620" t="s">
        <v>235</v>
      </c>
      <c r="K620">
        <v>6.9760780384366399E-4</v>
      </c>
      <c r="L620" t="s">
        <v>153</v>
      </c>
    </row>
    <row r="621" spans="9:12" x14ac:dyDescent="0.45">
      <c r="I621" t="s">
        <v>184</v>
      </c>
      <c r="J621" t="s">
        <v>236</v>
      </c>
      <c r="K621">
        <v>0</v>
      </c>
      <c r="L621" t="s">
        <v>153</v>
      </c>
    </row>
    <row r="622" spans="9:12" x14ac:dyDescent="0.45">
      <c r="I622" t="s">
        <v>184</v>
      </c>
      <c r="J622" t="s">
        <v>237</v>
      </c>
      <c r="K622">
        <v>0</v>
      </c>
      <c r="L622" t="s">
        <v>153</v>
      </c>
    </row>
    <row r="623" spans="9:12" x14ac:dyDescent="0.45">
      <c r="I623" t="s">
        <v>184</v>
      </c>
      <c r="J623" t="s">
        <v>159</v>
      </c>
      <c r="K623">
        <v>2.097628153455734E-3</v>
      </c>
      <c r="L623" t="s">
        <v>153</v>
      </c>
    </row>
    <row r="624" spans="9:12" x14ac:dyDescent="0.45">
      <c r="I624" t="s">
        <v>184</v>
      </c>
      <c r="J624" t="s">
        <v>160</v>
      </c>
      <c r="K624">
        <v>3.6886906045228828E-3</v>
      </c>
      <c r="L624" t="s">
        <v>153</v>
      </c>
    </row>
    <row r="625" spans="9:12" x14ac:dyDescent="0.45">
      <c r="I625" t="s">
        <v>184</v>
      </c>
      <c r="J625" t="s">
        <v>161</v>
      </c>
      <c r="K625">
        <v>5.658729114668485E-2</v>
      </c>
      <c r="L625" t="s">
        <v>153</v>
      </c>
    </row>
    <row r="626" spans="9:12" x14ac:dyDescent="0.45">
      <c r="I626" t="s">
        <v>184</v>
      </c>
      <c r="J626" t="s">
        <v>238</v>
      </c>
      <c r="K626">
        <v>2.6144332072080253E-3</v>
      </c>
      <c r="L626" t="s">
        <v>153</v>
      </c>
    </row>
    <row r="627" spans="9:12" x14ac:dyDescent="0.45">
      <c r="I627" t="s">
        <v>184</v>
      </c>
      <c r="J627" t="s">
        <v>239</v>
      </c>
      <c r="K627">
        <v>0</v>
      </c>
      <c r="L627" t="s">
        <v>153</v>
      </c>
    </row>
    <row r="628" spans="9:12" x14ac:dyDescent="0.45">
      <c r="I628" t="s">
        <v>184</v>
      </c>
      <c r="J628" t="s">
        <v>240</v>
      </c>
      <c r="K628">
        <v>0</v>
      </c>
      <c r="L628" t="s">
        <v>153</v>
      </c>
    </row>
    <row r="629" spans="9:12" x14ac:dyDescent="0.45">
      <c r="I629" t="s">
        <v>184</v>
      </c>
      <c r="J629" t="s">
        <v>162</v>
      </c>
      <c r="K629">
        <v>3.3328960203565263E-4</v>
      </c>
      <c r="L629" t="s">
        <v>153</v>
      </c>
    </row>
    <row r="630" spans="9:12" x14ac:dyDescent="0.45">
      <c r="I630" t="s">
        <v>184</v>
      </c>
      <c r="J630" t="s">
        <v>163</v>
      </c>
      <c r="K630">
        <v>3.9277460729491096E-3</v>
      </c>
      <c r="L630" t="s">
        <v>153</v>
      </c>
    </row>
    <row r="631" spans="9:12" x14ac:dyDescent="0.45">
      <c r="I631" t="s">
        <v>184</v>
      </c>
      <c r="J631" t="s">
        <v>164</v>
      </c>
      <c r="K631">
        <v>6.9090851885301036E-2</v>
      </c>
      <c r="L631" t="s">
        <v>153</v>
      </c>
    </row>
    <row r="632" spans="9:12" x14ac:dyDescent="0.45">
      <c r="I632" t="s">
        <v>184</v>
      </c>
      <c r="J632" t="s">
        <v>241</v>
      </c>
      <c r="K632">
        <v>2.6355044934558464E-3</v>
      </c>
      <c r="L632" t="s">
        <v>153</v>
      </c>
    </row>
    <row r="633" spans="9:12" x14ac:dyDescent="0.45">
      <c r="I633" t="s">
        <v>184</v>
      </c>
      <c r="J633" t="s">
        <v>242</v>
      </c>
      <c r="K633">
        <v>0</v>
      </c>
      <c r="L633" t="s">
        <v>153</v>
      </c>
    </row>
    <row r="634" spans="9:12" x14ac:dyDescent="0.45">
      <c r="I634" t="s">
        <v>184</v>
      </c>
      <c r="J634" t="s">
        <v>243</v>
      </c>
      <c r="K634">
        <v>0</v>
      </c>
      <c r="L634" t="s">
        <v>153</v>
      </c>
    </row>
    <row r="635" spans="9:12" x14ac:dyDescent="0.45">
      <c r="I635" t="s">
        <v>184</v>
      </c>
      <c r="J635" t="s">
        <v>249</v>
      </c>
      <c r="K635">
        <v>0</v>
      </c>
      <c r="L635" t="s">
        <v>153</v>
      </c>
    </row>
    <row r="636" spans="9:12" x14ac:dyDescent="0.45">
      <c r="I636" t="s">
        <v>184</v>
      </c>
      <c r="J636" t="s">
        <v>250</v>
      </c>
      <c r="K636">
        <v>2.258912606175644E-3</v>
      </c>
      <c r="L636" t="s">
        <v>153</v>
      </c>
    </row>
    <row r="637" spans="9:12" x14ac:dyDescent="0.45">
      <c r="I637" t="s">
        <v>184</v>
      </c>
      <c r="J637" t="s">
        <v>251</v>
      </c>
      <c r="K637">
        <v>4.064219829101668E-2</v>
      </c>
      <c r="L637" t="s">
        <v>153</v>
      </c>
    </row>
    <row r="638" spans="9:12" x14ac:dyDescent="0.45">
      <c r="I638" t="s">
        <v>184</v>
      </c>
      <c r="J638" t="s">
        <v>252</v>
      </c>
      <c r="K638">
        <v>2.1171112294184604E-3</v>
      </c>
      <c r="L638" t="s">
        <v>153</v>
      </c>
    </row>
    <row r="639" spans="9:12" x14ac:dyDescent="0.45">
      <c r="I639" t="s">
        <v>184</v>
      </c>
      <c r="J639" t="s">
        <v>253</v>
      </c>
      <c r="K639">
        <v>0</v>
      </c>
      <c r="L639" t="s">
        <v>153</v>
      </c>
    </row>
    <row r="640" spans="9:12" x14ac:dyDescent="0.45">
      <c r="I640" t="s">
        <v>184</v>
      </c>
      <c r="J640" t="s">
        <v>254</v>
      </c>
      <c r="K640">
        <v>0</v>
      </c>
      <c r="L640" t="s">
        <v>153</v>
      </c>
    </row>
    <row r="641" spans="9:12" x14ac:dyDescent="0.45">
      <c r="I641" t="s">
        <v>185</v>
      </c>
      <c r="J641" t="s">
        <v>152</v>
      </c>
      <c r="K641">
        <v>1.3272843024806632E-2</v>
      </c>
      <c r="L641" t="s">
        <v>153</v>
      </c>
    </row>
    <row r="642" spans="9:12" x14ac:dyDescent="0.45">
      <c r="I642" t="s">
        <v>185</v>
      </c>
      <c r="J642" t="s">
        <v>154</v>
      </c>
      <c r="K642">
        <v>3.994120997095936E-2</v>
      </c>
      <c r="L642" t="s">
        <v>153</v>
      </c>
    </row>
    <row r="643" spans="9:12" x14ac:dyDescent="0.45">
      <c r="I643" t="s">
        <v>185</v>
      </c>
      <c r="J643" t="s">
        <v>155</v>
      </c>
      <c r="K643">
        <v>0.68290132864936104</v>
      </c>
      <c r="L643" t="s">
        <v>153</v>
      </c>
    </row>
    <row r="644" spans="9:12" x14ac:dyDescent="0.45">
      <c r="I644" t="s">
        <v>185</v>
      </c>
      <c r="J644" t="s">
        <v>232</v>
      </c>
      <c r="K644">
        <v>3.1073425045678338E-2</v>
      </c>
      <c r="L644" t="s">
        <v>153</v>
      </c>
    </row>
    <row r="645" spans="9:12" x14ac:dyDescent="0.45">
      <c r="I645" t="s">
        <v>185</v>
      </c>
      <c r="J645" t="s">
        <v>233</v>
      </c>
      <c r="K645">
        <v>4.4512192668226458E-3</v>
      </c>
      <c r="L645" t="s">
        <v>153</v>
      </c>
    </row>
    <row r="646" spans="9:12" x14ac:dyDescent="0.45">
      <c r="I646" t="s">
        <v>185</v>
      </c>
      <c r="J646" t="s">
        <v>234</v>
      </c>
      <c r="K646">
        <v>0</v>
      </c>
      <c r="L646" t="s">
        <v>153</v>
      </c>
    </row>
    <row r="647" spans="9:12" x14ac:dyDescent="0.45">
      <c r="I647" t="s">
        <v>185</v>
      </c>
      <c r="J647" t="s">
        <v>156</v>
      </c>
      <c r="K647">
        <v>3.9364790846566034E-4</v>
      </c>
      <c r="L647" t="s">
        <v>153</v>
      </c>
    </row>
    <row r="648" spans="9:12" x14ac:dyDescent="0.45">
      <c r="I648" t="s">
        <v>185</v>
      </c>
      <c r="J648" t="s">
        <v>157</v>
      </c>
      <c r="K648">
        <v>1.0198120686272321E-3</v>
      </c>
      <c r="L648" t="s">
        <v>153</v>
      </c>
    </row>
    <row r="649" spans="9:12" x14ac:dyDescent="0.45">
      <c r="I649" t="s">
        <v>185</v>
      </c>
      <c r="J649" t="s">
        <v>158</v>
      </c>
      <c r="K649">
        <v>1.9434805768014849E-2</v>
      </c>
      <c r="L649" t="s">
        <v>153</v>
      </c>
    </row>
    <row r="650" spans="9:12" x14ac:dyDescent="0.45">
      <c r="I650" t="s">
        <v>185</v>
      </c>
      <c r="J650" t="s">
        <v>235</v>
      </c>
      <c r="K650">
        <v>7.7651304272457599E-4</v>
      </c>
      <c r="L650" t="s">
        <v>153</v>
      </c>
    </row>
    <row r="651" spans="9:12" x14ac:dyDescent="0.45">
      <c r="I651" t="s">
        <v>185</v>
      </c>
      <c r="J651" t="s">
        <v>236</v>
      </c>
      <c r="K651">
        <v>0</v>
      </c>
      <c r="L651" t="s">
        <v>153</v>
      </c>
    </row>
    <row r="652" spans="9:12" x14ac:dyDescent="0.45">
      <c r="I652" t="s">
        <v>185</v>
      </c>
      <c r="J652" t="s">
        <v>237</v>
      </c>
      <c r="K652">
        <v>0</v>
      </c>
      <c r="L652" t="s">
        <v>153</v>
      </c>
    </row>
    <row r="653" spans="9:12" x14ac:dyDescent="0.45">
      <c r="I653" t="s">
        <v>185</v>
      </c>
      <c r="J653" t="s">
        <v>159</v>
      </c>
      <c r="K653">
        <v>2.1639263496665549E-3</v>
      </c>
      <c r="L653" t="s">
        <v>153</v>
      </c>
    </row>
    <row r="654" spans="9:12" x14ac:dyDescent="0.45">
      <c r="I654" t="s">
        <v>185</v>
      </c>
      <c r="J654" t="s">
        <v>160</v>
      </c>
      <c r="K654">
        <v>4.0330914869363445E-3</v>
      </c>
      <c r="L654" t="s">
        <v>153</v>
      </c>
    </row>
    <row r="655" spans="9:12" x14ac:dyDescent="0.45">
      <c r="I655" t="s">
        <v>185</v>
      </c>
      <c r="J655" t="s">
        <v>161</v>
      </c>
      <c r="K655">
        <v>5.7796460436937459E-2</v>
      </c>
      <c r="L655" t="s">
        <v>153</v>
      </c>
    </row>
    <row r="656" spans="9:12" x14ac:dyDescent="0.45">
      <c r="I656" t="s">
        <v>185</v>
      </c>
      <c r="J656" t="s">
        <v>238</v>
      </c>
      <c r="K656">
        <v>2.5244990885829564E-3</v>
      </c>
      <c r="L656" t="s">
        <v>153</v>
      </c>
    </row>
    <row r="657" spans="9:12" x14ac:dyDescent="0.45">
      <c r="I657" t="s">
        <v>185</v>
      </c>
      <c r="J657" t="s">
        <v>239</v>
      </c>
      <c r="K657">
        <v>0</v>
      </c>
      <c r="L657" t="s">
        <v>153</v>
      </c>
    </row>
    <row r="658" spans="9:12" x14ac:dyDescent="0.45">
      <c r="I658" t="s">
        <v>185</v>
      </c>
      <c r="J658" t="s">
        <v>240</v>
      </c>
      <c r="K658">
        <v>0</v>
      </c>
      <c r="L658" t="s">
        <v>153</v>
      </c>
    </row>
    <row r="659" spans="9:12" x14ac:dyDescent="0.45">
      <c r="I659" t="s">
        <v>185</v>
      </c>
      <c r="J659" t="s">
        <v>162</v>
      </c>
      <c r="K659">
        <v>5.1558499046612614E-4</v>
      </c>
      <c r="L659" t="s">
        <v>153</v>
      </c>
    </row>
    <row r="660" spans="9:12" x14ac:dyDescent="0.45">
      <c r="I660" t="s">
        <v>185</v>
      </c>
      <c r="J660" t="s">
        <v>163</v>
      </c>
      <c r="K660">
        <v>5.212234026154252E-3</v>
      </c>
      <c r="L660" t="s">
        <v>153</v>
      </c>
    </row>
    <row r="661" spans="9:12" x14ac:dyDescent="0.45">
      <c r="I661" t="s">
        <v>185</v>
      </c>
      <c r="J661" t="s">
        <v>164</v>
      </c>
      <c r="K661">
        <v>7.943700677449092E-2</v>
      </c>
      <c r="L661" t="s">
        <v>153</v>
      </c>
    </row>
    <row r="662" spans="9:12" x14ac:dyDescent="0.45">
      <c r="I662" t="s">
        <v>185</v>
      </c>
      <c r="J662" t="s">
        <v>241</v>
      </c>
      <c r="K662">
        <v>3.0634936501931585E-3</v>
      </c>
      <c r="L662" t="s">
        <v>153</v>
      </c>
    </row>
    <row r="663" spans="9:12" x14ac:dyDescent="0.45">
      <c r="I663" t="s">
        <v>185</v>
      </c>
      <c r="J663" t="s">
        <v>242</v>
      </c>
      <c r="K663">
        <v>0</v>
      </c>
      <c r="L663" t="s">
        <v>153</v>
      </c>
    </row>
    <row r="664" spans="9:12" x14ac:dyDescent="0.45">
      <c r="I664" t="s">
        <v>185</v>
      </c>
      <c r="J664" t="s">
        <v>243</v>
      </c>
      <c r="K664">
        <v>0</v>
      </c>
      <c r="L664" t="s">
        <v>153</v>
      </c>
    </row>
    <row r="665" spans="9:12" x14ac:dyDescent="0.45">
      <c r="I665" t="s">
        <v>185</v>
      </c>
      <c r="J665" t="s">
        <v>249</v>
      </c>
      <c r="K665">
        <v>0</v>
      </c>
      <c r="L665" t="s">
        <v>153</v>
      </c>
    </row>
    <row r="666" spans="9:12" x14ac:dyDescent="0.45">
      <c r="I666" t="s">
        <v>185</v>
      </c>
      <c r="J666" t="s">
        <v>250</v>
      </c>
      <c r="K666">
        <v>2.7346293616979933E-3</v>
      </c>
      <c r="L666" t="s">
        <v>153</v>
      </c>
    </row>
    <row r="667" spans="9:12" x14ac:dyDescent="0.45">
      <c r="I667" t="s">
        <v>185</v>
      </c>
      <c r="J667" t="s">
        <v>251</v>
      </c>
      <c r="K667">
        <v>4.6892728529883979E-2</v>
      </c>
      <c r="L667" t="s">
        <v>153</v>
      </c>
    </row>
    <row r="668" spans="9:12" x14ac:dyDescent="0.45">
      <c r="I668" t="s">
        <v>185</v>
      </c>
      <c r="J668" t="s">
        <v>252</v>
      </c>
      <c r="K668">
        <v>2.3615405595303856E-3</v>
      </c>
      <c r="L668" t="s">
        <v>153</v>
      </c>
    </row>
    <row r="669" spans="9:12" x14ac:dyDescent="0.45">
      <c r="I669" t="s">
        <v>185</v>
      </c>
      <c r="J669" t="s">
        <v>253</v>
      </c>
      <c r="K669">
        <v>0</v>
      </c>
      <c r="L669" t="s">
        <v>153</v>
      </c>
    </row>
    <row r="670" spans="9:12" x14ac:dyDescent="0.45">
      <c r="I670" t="s">
        <v>185</v>
      </c>
      <c r="J670" t="s">
        <v>254</v>
      </c>
      <c r="K670">
        <v>0</v>
      </c>
      <c r="L670" t="s">
        <v>153</v>
      </c>
    </row>
    <row r="671" spans="9:12" x14ac:dyDescent="0.45">
      <c r="I671" t="s">
        <v>186</v>
      </c>
      <c r="J671" t="s">
        <v>152</v>
      </c>
      <c r="K671">
        <v>7.3174607432419303E-3</v>
      </c>
      <c r="L671" t="s">
        <v>153</v>
      </c>
    </row>
    <row r="672" spans="9:12" x14ac:dyDescent="0.45">
      <c r="I672" t="s">
        <v>186</v>
      </c>
      <c r="J672" t="s">
        <v>154</v>
      </c>
      <c r="K672">
        <v>3.2137758597905991E-2</v>
      </c>
      <c r="L672" t="s">
        <v>153</v>
      </c>
    </row>
    <row r="673" spans="9:12" x14ac:dyDescent="0.45">
      <c r="I673" t="s">
        <v>186</v>
      </c>
      <c r="J673" t="s">
        <v>155</v>
      </c>
      <c r="K673">
        <v>0.68013724178315371</v>
      </c>
      <c r="L673" t="s">
        <v>153</v>
      </c>
    </row>
    <row r="674" spans="9:12" x14ac:dyDescent="0.45">
      <c r="I674" t="s">
        <v>186</v>
      </c>
      <c r="J674" t="s">
        <v>232</v>
      </c>
      <c r="K674">
        <v>3.6719253867537639E-2</v>
      </c>
      <c r="L674" t="s">
        <v>153</v>
      </c>
    </row>
    <row r="675" spans="9:12" x14ac:dyDescent="0.45">
      <c r="I675" t="s">
        <v>186</v>
      </c>
      <c r="J675" t="s">
        <v>233</v>
      </c>
      <c r="K675">
        <v>1.1124625492954673E-2</v>
      </c>
      <c r="L675" t="s">
        <v>153</v>
      </c>
    </row>
    <row r="676" spans="9:12" x14ac:dyDescent="0.45">
      <c r="I676" t="s">
        <v>186</v>
      </c>
      <c r="J676" t="s">
        <v>234</v>
      </c>
      <c r="K676">
        <v>0</v>
      </c>
      <c r="L676" t="s">
        <v>153</v>
      </c>
    </row>
    <row r="677" spans="9:12" x14ac:dyDescent="0.45">
      <c r="I677" t="s">
        <v>186</v>
      </c>
      <c r="J677" t="s">
        <v>156</v>
      </c>
      <c r="K677">
        <v>4.9558685767191646E-4</v>
      </c>
      <c r="L677" t="s">
        <v>153</v>
      </c>
    </row>
    <row r="678" spans="9:12" x14ac:dyDescent="0.45">
      <c r="I678" t="s">
        <v>186</v>
      </c>
      <c r="J678" t="s">
        <v>157</v>
      </c>
      <c r="K678">
        <v>1.1827325077160718E-3</v>
      </c>
      <c r="L678" t="s">
        <v>153</v>
      </c>
    </row>
    <row r="679" spans="9:12" x14ac:dyDescent="0.45">
      <c r="I679" t="s">
        <v>186</v>
      </c>
      <c r="J679" t="s">
        <v>158</v>
      </c>
      <c r="K679">
        <v>2.0273135443410601E-2</v>
      </c>
      <c r="L679" t="s">
        <v>153</v>
      </c>
    </row>
    <row r="680" spans="9:12" x14ac:dyDescent="0.45">
      <c r="I680" t="s">
        <v>186</v>
      </c>
      <c r="J680" t="s">
        <v>235</v>
      </c>
      <c r="K680">
        <v>5.321601211296837E-4</v>
      </c>
      <c r="L680" t="s">
        <v>153</v>
      </c>
    </row>
    <row r="681" spans="9:12" x14ac:dyDescent="0.45">
      <c r="I681" t="s">
        <v>186</v>
      </c>
      <c r="J681" t="s">
        <v>236</v>
      </c>
      <c r="K681">
        <v>0</v>
      </c>
      <c r="L681" t="s">
        <v>153</v>
      </c>
    </row>
    <row r="682" spans="9:12" x14ac:dyDescent="0.45">
      <c r="I682" t="s">
        <v>186</v>
      </c>
      <c r="J682" t="s">
        <v>237</v>
      </c>
      <c r="K682">
        <v>0</v>
      </c>
      <c r="L682" t="s">
        <v>153</v>
      </c>
    </row>
    <row r="683" spans="9:12" x14ac:dyDescent="0.45">
      <c r="I683" t="s">
        <v>186</v>
      </c>
      <c r="J683" t="s">
        <v>159</v>
      </c>
      <c r="K683">
        <v>1.1066397257555451E-4</v>
      </c>
      <c r="L683" t="s">
        <v>153</v>
      </c>
    </row>
    <row r="684" spans="9:12" x14ac:dyDescent="0.45">
      <c r="I684" t="s">
        <v>186</v>
      </c>
      <c r="J684" t="s">
        <v>160</v>
      </c>
      <c r="K684">
        <v>3.5452265543411479E-3</v>
      </c>
      <c r="L684" t="s">
        <v>153</v>
      </c>
    </row>
    <row r="685" spans="9:12" x14ac:dyDescent="0.45">
      <c r="I685" t="s">
        <v>186</v>
      </c>
      <c r="J685" t="s">
        <v>161</v>
      </c>
      <c r="K685">
        <v>5.832358252311165E-2</v>
      </c>
      <c r="L685" t="s">
        <v>153</v>
      </c>
    </row>
    <row r="686" spans="9:12" x14ac:dyDescent="0.45">
      <c r="I686" t="s">
        <v>186</v>
      </c>
      <c r="J686" t="s">
        <v>238</v>
      </c>
      <c r="K686">
        <v>2.0715236357102865E-3</v>
      </c>
      <c r="L686" t="s">
        <v>153</v>
      </c>
    </row>
    <row r="687" spans="9:12" x14ac:dyDescent="0.45">
      <c r="I687" t="s">
        <v>186</v>
      </c>
      <c r="J687" t="s">
        <v>239</v>
      </c>
      <c r="K687">
        <v>0</v>
      </c>
      <c r="L687" t="s">
        <v>153</v>
      </c>
    </row>
    <row r="688" spans="9:12" x14ac:dyDescent="0.45">
      <c r="I688" t="s">
        <v>186</v>
      </c>
      <c r="J688" t="s">
        <v>240</v>
      </c>
      <c r="K688">
        <v>0</v>
      </c>
      <c r="L688" t="s">
        <v>153</v>
      </c>
    </row>
    <row r="689" spans="9:12" x14ac:dyDescent="0.45">
      <c r="I689" t="s">
        <v>186</v>
      </c>
      <c r="J689" t="s">
        <v>162</v>
      </c>
      <c r="K689">
        <v>0</v>
      </c>
      <c r="L689" t="s">
        <v>153</v>
      </c>
    </row>
    <row r="690" spans="9:12" x14ac:dyDescent="0.45">
      <c r="I690" t="s">
        <v>186</v>
      </c>
      <c r="J690" t="s">
        <v>163</v>
      </c>
      <c r="K690">
        <v>4.8541593388496561E-3</v>
      </c>
      <c r="L690" t="s">
        <v>153</v>
      </c>
    </row>
    <row r="691" spans="9:12" x14ac:dyDescent="0.45">
      <c r="I691" t="s">
        <v>186</v>
      </c>
      <c r="J691" t="s">
        <v>164</v>
      </c>
      <c r="K691">
        <v>8.0518244557006721E-2</v>
      </c>
      <c r="L691" t="s">
        <v>153</v>
      </c>
    </row>
    <row r="692" spans="9:12" x14ac:dyDescent="0.45">
      <c r="I692" t="s">
        <v>186</v>
      </c>
      <c r="J692" t="s">
        <v>241</v>
      </c>
      <c r="K692">
        <v>2.6966571184038448E-3</v>
      </c>
      <c r="L692" t="s">
        <v>153</v>
      </c>
    </row>
    <row r="693" spans="9:12" x14ac:dyDescent="0.45">
      <c r="I693" t="s">
        <v>186</v>
      </c>
      <c r="J693" t="s">
        <v>242</v>
      </c>
      <c r="K693">
        <v>0</v>
      </c>
      <c r="L693" t="s">
        <v>153</v>
      </c>
    </row>
    <row r="694" spans="9:12" x14ac:dyDescent="0.45">
      <c r="I694" t="s">
        <v>186</v>
      </c>
      <c r="J694" t="s">
        <v>243</v>
      </c>
      <c r="K694">
        <v>0</v>
      </c>
      <c r="L694" t="s">
        <v>153</v>
      </c>
    </row>
    <row r="695" spans="9:12" x14ac:dyDescent="0.45">
      <c r="I695" t="s">
        <v>186</v>
      </c>
      <c r="J695" t="s">
        <v>249</v>
      </c>
      <c r="K695">
        <v>0</v>
      </c>
      <c r="L695" t="s">
        <v>153</v>
      </c>
    </row>
    <row r="696" spans="9:12" x14ac:dyDescent="0.45">
      <c r="I696" t="s">
        <v>186</v>
      </c>
      <c r="J696" t="s">
        <v>250</v>
      </c>
      <c r="K696">
        <v>2.9603585190356952E-3</v>
      </c>
      <c r="L696" t="s">
        <v>153</v>
      </c>
    </row>
    <row r="697" spans="9:12" x14ac:dyDescent="0.45">
      <c r="I697" t="s">
        <v>186</v>
      </c>
      <c r="J697" t="s">
        <v>251</v>
      </c>
      <c r="K697">
        <v>5.2356233425361706E-2</v>
      </c>
      <c r="L697" t="s">
        <v>153</v>
      </c>
    </row>
    <row r="698" spans="9:12" x14ac:dyDescent="0.45">
      <c r="I698" t="s">
        <v>186</v>
      </c>
      <c r="J698" t="s">
        <v>252</v>
      </c>
      <c r="K698">
        <v>2.6433949408783703E-3</v>
      </c>
      <c r="L698" t="s">
        <v>153</v>
      </c>
    </row>
    <row r="699" spans="9:12" x14ac:dyDescent="0.45">
      <c r="I699" t="s">
        <v>186</v>
      </c>
      <c r="J699" t="s">
        <v>253</v>
      </c>
      <c r="K699">
        <v>0</v>
      </c>
      <c r="L699" t="s">
        <v>153</v>
      </c>
    </row>
    <row r="700" spans="9:12" x14ac:dyDescent="0.45">
      <c r="I700" t="s">
        <v>186</v>
      </c>
      <c r="J700" t="s">
        <v>254</v>
      </c>
      <c r="K700">
        <v>0</v>
      </c>
      <c r="L700" t="s">
        <v>153</v>
      </c>
    </row>
    <row r="701" spans="9:12" x14ac:dyDescent="0.45">
      <c r="I701" t="s">
        <v>187</v>
      </c>
      <c r="J701" t="s">
        <v>152</v>
      </c>
      <c r="K701">
        <v>6.9258794295849867E-3</v>
      </c>
      <c r="L701" t="s">
        <v>153</v>
      </c>
    </row>
    <row r="702" spans="9:12" x14ac:dyDescent="0.45">
      <c r="I702" t="s">
        <v>187</v>
      </c>
      <c r="J702" t="s">
        <v>154</v>
      </c>
      <c r="K702">
        <v>2.9291327687263499E-2</v>
      </c>
      <c r="L702" t="s">
        <v>153</v>
      </c>
    </row>
    <row r="703" spans="9:12" x14ac:dyDescent="0.45">
      <c r="I703" t="s">
        <v>187</v>
      </c>
      <c r="J703" t="s">
        <v>155</v>
      </c>
      <c r="K703">
        <v>0.67191081220949667</v>
      </c>
      <c r="L703" t="s">
        <v>153</v>
      </c>
    </row>
    <row r="704" spans="9:12" x14ac:dyDescent="0.45">
      <c r="I704" t="s">
        <v>187</v>
      </c>
      <c r="J704" t="s">
        <v>232</v>
      </c>
      <c r="K704">
        <v>3.2485314584119289E-2</v>
      </c>
      <c r="L704" t="s">
        <v>153</v>
      </c>
    </row>
    <row r="705" spans="9:12" x14ac:dyDescent="0.45">
      <c r="I705" t="s">
        <v>187</v>
      </c>
      <c r="J705" t="s">
        <v>233</v>
      </c>
      <c r="K705">
        <v>1.015608636439031E-2</v>
      </c>
      <c r="L705" t="s">
        <v>153</v>
      </c>
    </row>
    <row r="706" spans="9:12" x14ac:dyDescent="0.45">
      <c r="I706" t="s">
        <v>187</v>
      </c>
      <c r="J706" t="s">
        <v>234</v>
      </c>
      <c r="K706">
        <v>0</v>
      </c>
      <c r="L706" t="s">
        <v>153</v>
      </c>
    </row>
    <row r="707" spans="9:12" x14ac:dyDescent="0.45">
      <c r="I707" t="s">
        <v>187</v>
      </c>
      <c r="J707" t="s">
        <v>156</v>
      </c>
      <c r="K707">
        <v>6.9448275036973278E-4</v>
      </c>
      <c r="L707" t="s">
        <v>153</v>
      </c>
    </row>
    <row r="708" spans="9:12" x14ac:dyDescent="0.45">
      <c r="I708" t="s">
        <v>187</v>
      </c>
      <c r="J708" t="s">
        <v>157</v>
      </c>
      <c r="K708">
        <v>1.2206848119070339E-3</v>
      </c>
      <c r="L708" t="s">
        <v>153</v>
      </c>
    </row>
    <row r="709" spans="9:12" x14ac:dyDescent="0.45">
      <c r="I709" t="s">
        <v>187</v>
      </c>
      <c r="J709" t="s">
        <v>158</v>
      </c>
      <c r="K709">
        <v>2.0741134712782581E-2</v>
      </c>
      <c r="L709" t="s">
        <v>153</v>
      </c>
    </row>
    <row r="710" spans="9:12" x14ac:dyDescent="0.45">
      <c r="I710" t="s">
        <v>187</v>
      </c>
      <c r="J710" t="s">
        <v>235</v>
      </c>
      <c r="K710">
        <v>5.8166314043959057E-4</v>
      </c>
      <c r="L710" t="s">
        <v>153</v>
      </c>
    </row>
    <row r="711" spans="9:12" x14ac:dyDescent="0.45">
      <c r="I711" t="s">
        <v>187</v>
      </c>
      <c r="J711" t="s">
        <v>236</v>
      </c>
      <c r="K711">
        <v>0</v>
      </c>
      <c r="L711" t="s">
        <v>153</v>
      </c>
    </row>
    <row r="712" spans="9:12" x14ac:dyDescent="0.45">
      <c r="I712" t="s">
        <v>187</v>
      </c>
      <c r="J712" t="s">
        <v>237</v>
      </c>
      <c r="K712">
        <v>0</v>
      </c>
      <c r="L712" t="s">
        <v>153</v>
      </c>
    </row>
    <row r="713" spans="9:12" x14ac:dyDescent="0.45">
      <c r="I713" t="s">
        <v>187</v>
      </c>
      <c r="J713" t="s">
        <v>159</v>
      </c>
      <c r="K713">
        <v>6.8023663078218438E-4</v>
      </c>
      <c r="L713" t="s">
        <v>153</v>
      </c>
    </row>
    <row r="714" spans="9:12" x14ac:dyDescent="0.45">
      <c r="I714" t="s">
        <v>187</v>
      </c>
      <c r="J714" t="s">
        <v>160</v>
      </c>
      <c r="K714">
        <v>3.8222075459749152E-3</v>
      </c>
      <c r="L714" t="s">
        <v>153</v>
      </c>
    </row>
    <row r="715" spans="9:12" x14ac:dyDescent="0.45">
      <c r="I715" t="s">
        <v>187</v>
      </c>
      <c r="J715" t="s">
        <v>161</v>
      </c>
      <c r="K715">
        <v>6.2092747047006715E-2</v>
      </c>
      <c r="L715" t="s">
        <v>153</v>
      </c>
    </row>
    <row r="716" spans="9:12" x14ac:dyDescent="0.45">
      <c r="I716" t="s">
        <v>187</v>
      </c>
      <c r="J716" t="s">
        <v>238</v>
      </c>
      <c r="K716">
        <v>2.3422235689363607E-3</v>
      </c>
      <c r="L716" t="s">
        <v>153</v>
      </c>
    </row>
    <row r="717" spans="9:12" x14ac:dyDescent="0.45">
      <c r="I717" t="s">
        <v>187</v>
      </c>
      <c r="J717" t="s">
        <v>239</v>
      </c>
      <c r="K717">
        <v>0</v>
      </c>
      <c r="L717" t="s">
        <v>153</v>
      </c>
    </row>
    <row r="718" spans="9:12" x14ac:dyDescent="0.45">
      <c r="I718" t="s">
        <v>187</v>
      </c>
      <c r="J718" t="s">
        <v>240</v>
      </c>
      <c r="K718">
        <v>0</v>
      </c>
      <c r="L718" t="s">
        <v>153</v>
      </c>
    </row>
    <row r="719" spans="9:12" x14ac:dyDescent="0.45">
      <c r="I719" t="s">
        <v>187</v>
      </c>
      <c r="J719" t="s">
        <v>162</v>
      </c>
      <c r="K719">
        <v>0</v>
      </c>
      <c r="L719" t="s">
        <v>153</v>
      </c>
    </row>
    <row r="720" spans="9:12" x14ac:dyDescent="0.45">
      <c r="I720" t="s">
        <v>187</v>
      </c>
      <c r="J720" t="s">
        <v>163</v>
      </c>
      <c r="K720">
        <v>5.1901296837256012E-3</v>
      </c>
      <c r="L720" t="s">
        <v>153</v>
      </c>
    </row>
    <row r="721" spans="9:12" x14ac:dyDescent="0.45">
      <c r="I721" t="s">
        <v>187</v>
      </c>
      <c r="J721" t="s">
        <v>164</v>
      </c>
      <c r="K721">
        <v>9.0386883471593432E-2</v>
      </c>
      <c r="L721" t="s">
        <v>153</v>
      </c>
    </row>
    <row r="722" spans="9:12" x14ac:dyDescent="0.45">
      <c r="I722" t="s">
        <v>187</v>
      </c>
      <c r="J722" t="s">
        <v>241</v>
      </c>
      <c r="K722">
        <v>3.4091862185665852E-3</v>
      </c>
      <c r="L722" t="s">
        <v>153</v>
      </c>
    </row>
    <row r="723" spans="9:12" x14ac:dyDescent="0.45">
      <c r="I723" t="s">
        <v>187</v>
      </c>
      <c r="J723" t="s">
        <v>242</v>
      </c>
      <c r="K723">
        <v>0</v>
      </c>
      <c r="L723" t="s">
        <v>153</v>
      </c>
    </row>
    <row r="724" spans="9:12" x14ac:dyDescent="0.45">
      <c r="I724" t="s">
        <v>187</v>
      </c>
      <c r="J724" t="s">
        <v>243</v>
      </c>
      <c r="K724">
        <v>0</v>
      </c>
      <c r="L724" t="s">
        <v>153</v>
      </c>
    </row>
    <row r="725" spans="9:12" x14ac:dyDescent="0.45">
      <c r="I725" t="s">
        <v>187</v>
      </c>
      <c r="J725" t="s">
        <v>249</v>
      </c>
      <c r="K725">
        <v>0</v>
      </c>
      <c r="L725" t="s">
        <v>153</v>
      </c>
    </row>
    <row r="726" spans="9:12" x14ac:dyDescent="0.45">
      <c r="I726" t="s">
        <v>187</v>
      </c>
      <c r="J726" t="s">
        <v>250</v>
      </c>
      <c r="K726">
        <v>2.6377896993781632E-3</v>
      </c>
      <c r="L726" t="s">
        <v>153</v>
      </c>
    </row>
    <row r="727" spans="9:12" x14ac:dyDescent="0.45">
      <c r="I727" t="s">
        <v>187</v>
      </c>
      <c r="J727" t="s">
        <v>251</v>
      </c>
      <c r="K727">
        <v>5.2699100567196094E-2</v>
      </c>
      <c r="L727" t="s">
        <v>153</v>
      </c>
    </row>
    <row r="728" spans="9:12" x14ac:dyDescent="0.45">
      <c r="I728" t="s">
        <v>187</v>
      </c>
      <c r="J728" t="s">
        <v>252</v>
      </c>
      <c r="K728">
        <v>2.7321098764862815E-3</v>
      </c>
      <c r="L728" t="s">
        <v>153</v>
      </c>
    </row>
    <row r="729" spans="9:12" x14ac:dyDescent="0.45">
      <c r="I729" t="s">
        <v>187</v>
      </c>
      <c r="J729" t="s">
        <v>253</v>
      </c>
      <c r="K729">
        <v>0</v>
      </c>
      <c r="L729" t="s">
        <v>153</v>
      </c>
    </row>
    <row r="730" spans="9:12" x14ac:dyDescent="0.45">
      <c r="I730" t="s">
        <v>187</v>
      </c>
      <c r="J730" t="s">
        <v>254</v>
      </c>
      <c r="K730">
        <v>0</v>
      </c>
      <c r="L730" t="s">
        <v>153</v>
      </c>
    </row>
    <row r="731" spans="9:12" x14ac:dyDescent="0.45">
      <c r="I731" t="s">
        <v>188</v>
      </c>
      <c r="J731" t="s">
        <v>152</v>
      </c>
      <c r="K731">
        <v>1.1076805257768602E-2</v>
      </c>
      <c r="L731" t="s">
        <v>153</v>
      </c>
    </row>
    <row r="732" spans="9:12" x14ac:dyDescent="0.45">
      <c r="I732" t="s">
        <v>188</v>
      </c>
      <c r="J732" t="s">
        <v>154</v>
      </c>
      <c r="K732">
        <v>3.8761506527565055E-2</v>
      </c>
      <c r="L732" t="s">
        <v>153</v>
      </c>
    </row>
    <row r="733" spans="9:12" x14ac:dyDescent="0.45">
      <c r="I733" t="s">
        <v>188</v>
      </c>
      <c r="J733" t="s">
        <v>155</v>
      </c>
      <c r="K733">
        <v>0.68542101965794711</v>
      </c>
      <c r="L733" t="s">
        <v>153</v>
      </c>
    </row>
    <row r="734" spans="9:12" x14ac:dyDescent="0.45">
      <c r="I734" t="s">
        <v>188</v>
      </c>
      <c r="J734" t="s">
        <v>232</v>
      </c>
      <c r="K734">
        <v>3.3754980544741429E-2</v>
      </c>
      <c r="L734" t="s">
        <v>153</v>
      </c>
    </row>
    <row r="735" spans="9:12" x14ac:dyDescent="0.45">
      <c r="I735" t="s">
        <v>188</v>
      </c>
      <c r="J735" t="s">
        <v>233</v>
      </c>
      <c r="K735">
        <v>6.9594939218854575E-3</v>
      </c>
      <c r="L735" t="s">
        <v>153</v>
      </c>
    </row>
    <row r="736" spans="9:12" x14ac:dyDescent="0.45">
      <c r="I736" t="s">
        <v>188</v>
      </c>
      <c r="J736" t="s">
        <v>234</v>
      </c>
      <c r="K736">
        <v>0</v>
      </c>
      <c r="L736" t="s">
        <v>153</v>
      </c>
    </row>
    <row r="737" spans="9:12" x14ac:dyDescent="0.45">
      <c r="I737" t="s">
        <v>188</v>
      </c>
      <c r="J737" t="s">
        <v>156</v>
      </c>
      <c r="K737">
        <v>4.7874637123984534E-4</v>
      </c>
      <c r="L737" t="s">
        <v>153</v>
      </c>
    </row>
    <row r="738" spans="9:12" x14ac:dyDescent="0.45">
      <c r="I738" t="s">
        <v>188</v>
      </c>
      <c r="J738" t="s">
        <v>157</v>
      </c>
      <c r="K738">
        <v>8.8502199547398639E-4</v>
      </c>
      <c r="L738" t="s">
        <v>153</v>
      </c>
    </row>
    <row r="739" spans="9:12" x14ac:dyDescent="0.45">
      <c r="I739" t="s">
        <v>188</v>
      </c>
      <c r="J739" t="s">
        <v>158</v>
      </c>
      <c r="K739">
        <v>1.7428987317170033E-2</v>
      </c>
      <c r="L739" t="s">
        <v>153</v>
      </c>
    </row>
    <row r="740" spans="9:12" x14ac:dyDescent="0.45">
      <c r="I740" t="s">
        <v>188</v>
      </c>
      <c r="J740" t="s">
        <v>235</v>
      </c>
      <c r="K740">
        <v>5.6542469632801351E-4</v>
      </c>
      <c r="L740" t="s">
        <v>153</v>
      </c>
    </row>
    <row r="741" spans="9:12" x14ac:dyDescent="0.45">
      <c r="I741" t="s">
        <v>188</v>
      </c>
      <c r="J741" t="s">
        <v>236</v>
      </c>
      <c r="K741">
        <v>0</v>
      </c>
      <c r="L741" t="s">
        <v>153</v>
      </c>
    </row>
    <row r="742" spans="9:12" x14ac:dyDescent="0.45">
      <c r="I742" t="s">
        <v>188</v>
      </c>
      <c r="J742" t="s">
        <v>237</v>
      </c>
      <c r="K742">
        <v>0</v>
      </c>
      <c r="L742" t="s">
        <v>153</v>
      </c>
    </row>
    <row r="743" spans="9:12" x14ac:dyDescent="0.45">
      <c r="I743" t="s">
        <v>188</v>
      </c>
      <c r="J743" t="s">
        <v>159</v>
      </c>
      <c r="K743">
        <v>1.0941525884410679E-3</v>
      </c>
      <c r="L743" t="s">
        <v>153</v>
      </c>
    </row>
    <row r="744" spans="9:12" x14ac:dyDescent="0.45">
      <c r="I744" t="s">
        <v>188</v>
      </c>
      <c r="J744" t="s">
        <v>160</v>
      </c>
      <c r="K744">
        <v>3.7558820271765855E-3</v>
      </c>
      <c r="L744" t="s">
        <v>153</v>
      </c>
    </row>
    <row r="745" spans="9:12" x14ac:dyDescent="0.45">
      <c r="I745" t="s">
        <v>188</v>
      </c>
      <c r="J745" t="s">
        <v>161</v>
      </c>
      <c r="K745">
        <v>5.5249309633093407E-2</v>
      </c>
      <c r="L745" t="s">
        <v>153</v>
      </c>
    </row>
    <row r="746" spans="9:12" x14ac:dyDescent="0.45">
      <c r="I746" t="s">
        <v>188</v>
      </c>
      <c r="J746" t="s">
        <v>238</v>
      </c>
      <c r="K746">
        <v>2.0475485936400041E-3</v>
      </c>
      <c r="L746" t="s">
        <v>153</v>
      </c>
    </row>
    <row r="747" spans="9:12" x14ac:dyDescent="0.45">
      <c r="I747" t="s">
        <v>188</v>
      </c>
      <c r="J747" t="s">
        <v>239</v>
      </c>
      <c r="K747">
        <v>0</v>
      </c>
      <c r="L747" t="s">
        <v>153</v>
      </c>
    </row>
    <row r="748" spans="9:12" x14ac:dyDescent="0.45">
      <c r="I748" t="s">
        <v>188</v>
      </c>
      <c r="J748" t="s">
        <v>240</v>
      </c>
      <c r="K748">
        <v>0</v>
      </c>
      <c r="L748" t="s">
        <v>153</v>
      </c>
    </row>
    <row r="749" spans="9:12" x14ac:dyDescent="0.45">
      <c r="I749" t="s">
        <v>188</v>
      </c>
      <c r="J749" t="s">
        <v>162</v>
      </c>
      <c r="K749">
        <v>0</v>
      </c>
      <c r="L749" t="s">
        <v>153</v>
      </c>
    </row>
    <row r="750" spans="9:12" x14ac:dyDescent="0.45">
      <c r="I750" t="s">
        <v>188</v>
      </c>
      <c r="J750" t="s">
        <v>163</v>
      </c>
      <c r="K750">
        <v>5.1854786400174612E-3</v>
      </c>
      <c r="L750" t="s">
        <v>153</v>
      </c>
    </row>
    <row r="751" spans="9:12" x14ac:dyDescent="0.45">
      <c r="I751" t="s">
        <v>188</v>
      </c>
      <c r="J751" t="s">
        <v>164</v>
      </c>
      <c r="K751">
        <v>7.8170079950981672E-2</v>
      </c>
      <c r="L751" t="s">
        <v>153</v>
      </c>
    </row>
    <row r="752" spans="9:12" x14ac:dyDescent="0.45">
      <c r="I752" t="s">
        <v>188</v>
      </c>
      <c r="J752" t="s">
        <v>241</v>
      </c>
      <c r="K752">
        <v>2.928008333405121E-3</v>
      </c>
      <c r="L752" t="s">
        <v>153</v>
      </c>
    </row>
    <row r="753" spans="9:12" x14ac:dyDescent="0.45">
      <c r="I753" t="s">
        <v>188</v>
      </c>
      <c r="J753" t="s">
        <v>242</v>
      </c>
      <c r="K753">
        <v>0</v>
      </c>
      <c r="L753" t="s">
        <v>153</v>
      </c>
    </row>
    <row r="754" spans="9:12" x14ac:dyDescent="0.45">
      <c r="I754" t="s">
        <v>188</v>
      </c>
      <c r="J754" t="s">
        <v>243</v>
      </c>
      <c r="K754">
        <v>0</v>
      </c>
      <c r="L754" t="s">
        <v>153</v>
      </c>
    </row>
    <row r="755" spans="9:12" x14ac:dyDescent="0.45">
      <c r="I755" t="s">
        <v>188</v>
      </c>
      <c r="J755" t="s">
        <v>249</v>
      </c>
      <c r="K755">
        <v>0</v>
      </c>
      <c r="L755" t="s">
        <v>153</v>
      </c>
    </row>
    <row r="756" spans="9:12" x14ac:dyDescent="0.45">
      <c r="I756" t="s">
        <v>188</v>
      </c>
      <c r="J756" t="s">
        <v>250</v>
      </c>
      <c r="K756">
        <v>3.0035512066987663E-3</v>
      </c>
      <c r="L756" t="s">
        <v>153</v>
      </c>
    </row>
    <row r="757" spans="9:12" x14ac:dyDescent="0.45">
      <c r="I757" t="s">
        <v>188</v>
      </c>
      <c r="J757" t="s">
        <v>251</v>
      </c>
      <c r="K757">
        <v>5.0630320996690285E-2</v>
      </c>
      <c r="L757" t="s">
        <v>153</v>
      </c>
    </row>
    <row r="758" spans="9:12" x14ac:dyDescent="0.45">
      <c r="I758" t="s">
        <v>188</v>
      </c>
      <c r="J758" t="s">
        <v>252</v>
      </c>
      <c r="K758">
        <v>2.603681739733286E-3</v>
      </c>
      <c r="L758" t="s">
        <v>153</v>
      </c>
    </row>
    <row r="759" spans="9:12" x14ac:dyDescent="0.45">
      <c r="I759" t="s">
        <v>188</v>
      </c>
      <c r="J759" t="s">
        <v>253</v>
      </c>
      <c r="K759">
        <v>0</v>
      </c>
      <c r="L759" t="s">
        <v>153</v>
      </c>
    </row>
    <row r="760" spans="9:12" x14ac:dyDescent="0.45">
      <c r="I760" t="s">
        <v>188</v>
      </c>
      <c r="J760" t="s">
        <v>254</v>
      </c>
      <c r="K760">
        <v>0</v>
      </c>
      <c r="L760" t="s">
        <v>153</v>
      </c>
    </row>
    <row r="761" spans="9:12" x14ac:dyDescent="0.45">
      <c r="I761" t="s">
        <v>189</v>
      </c>
      <c r="J761" t="s">
        <v>152</v>
      </c>
      <c r="K761">
        <v>1.4600585441115138E-2</v>
      </c>
      <c r="L761" t="s">
        <v>153</v>
      </c>
    </row>
    <row r="762" spans="9:12" x14ac:dyDescent="0.45">
      <c r="I762" t="s">
        <v>189</v>
      </c>
      <c r="J762" t="s">
        <v>154</v>
      </c>
      <c r="K762">
        <v>4.1936635141943242E-2</v>
      </c>
      <c r="L762" t="s">
        <v>153</v>
      </c>
    </row>
    <row r="763" spans="9:12" x14ac:dyDescent="0.45">
      <c r="I763" t="s">
        <v>189</v>
      </c>
      <c r="J763" t="s">
        <v>155</v>
      </c>
      <c r="K763">
        <v>0.69495376750376003</v>
      </c>
      <c r="L763" t="s">
        <v>153</v>
      </c>
    </row>
    <row r="764" spans="9:12" x14ac:dyDescent="0.45">
      <c r="I764" t="s">
        <v>189</v>
      </c>
      <c r="J764" t="s">
        <v>232</v>
      </c>
      <c r="K764">
        <v>3.4356179615939661E-2</v>
      </c>
      <c r="L764" t="s">
        <v>153</v>
      </c>
    </row>
    <row r="765" spans="9:12" x14ac:dyDescent="0.45">
      <c r="I765" t="s">
        <v>189</v>
      </c>
      <c r="J765" t="s">
        <v>233</v>
      </c>
      <c r="K765">
        <v>5.7058866952458855E-3</v>
      </c>
      <c r="L765" t="s">
        <v>153</v>
      </c>
    </row>
    <row r="766" spans="9:12" x14ac:dyDescent="0.45">
      <c r="I766" t="s">
        <v>189</v>
      </c>
      <c r="J766" t="s">
        <v>234</v>
      </c>
      <c r="K766">
        <v>0</v>
      </c>
      <c r="L766" t="s">
        <v>153</v>
      </c>
    </row>
    <row r="767" spans="9:12" x14ac:dyDescent="0.45">
      <c r="I767" t="s">
        <v>189</v>
      </c>
      <c r="J767" t="s">
        <v>156</v>
      </c>
      <c r="K767">
        <v>4.5802271801223543E-4</v>
      </c>
      <c r="L767" t="s">
        <v>153</v>
      </c>
    </row>
    <row r="768" spans="9:12" x14ac:dyDescent="0.45">
      <c r="I768" t="s">
        <v>189</v>
      </c>
      <c r="J768" t="s">
        <v>157</v>
      </c>
      <c r="K768">
        <v>9.9930698582868099E-4</v>
      </c>
      <c r="L768" t="s">
        <v>153</v>
      </c>
    </row>
    <row r="769" spans="9:12" x14ac:dyDescent="0.45">
      <c r="I769" t="s">
        <v>189</v>
      </c>
      <c r="J769" t="s">
        <v>158</v>
      </c>
      <c r="K769">
        <v>1.6388516877668506E-2</v>
      </c>
      <c r="L769" t="s">
        <v>153</v>
      </c>
    </row>
    <row r="770" spans="9:12" x14ac:dyDescent="0.45">
      <c r="I770" t="s">
        <v>189</v>
      </c>
      <c r="J770" t="s">
        <v>235</v>
      </c>
      <c r="K770">
        <v>4.9450699667287642E-4</v>
      </c>
      <c r="L770" t="s">
        <v>153</v>
      </c>
    </row>
    <row r="771" spans="9:12" x14ac:dyDescent="0.45">
      <c r="I771" t="s">
        <v>189</v>
      </c>
      <c r="J771" t="s">
        <v>236</v>
      </c>
      <c r="K771">
        <v>0</v>
      </c>
      <c r="L771" t="s">
        <v>153</v>
      </c>
    </row>
    <row r="772" spans="9:12" x14ac:dyDescent="0.45">
      <c r="I772" t="s">
        <v>189</v>
      </c>
      <c r="J772" t="s">
        <v>237</v>
      </c>
      <c r="K772">
        <v>0</v>
      </c>
      <c r="L772" t="s">
        <v>153</v>
      </c>
    </row>
    <row r="773" spans="9:12" x14ac:dyDescent="0.45">
      <c r="I773" t="s">
        <v>189</v>
      </c>
      <c r="J773" t="s">
        <v>159</v>
      </c>
      <c r="K773">
        <v>1.7901580134324978E-3</v>
      </c>
      <c r="L773" t="s">
        <v>153</v>
      </c>
    </row>
    <row r="774" spans="9:12" x14ac:dyDescent="0.45">
      <c r="I774" t="s">
        <v>189</v>
      </c>
      <c r="J774" t="s">
        <v>160</v>
      </c>
      <c r="K774">
        <v>3.6220057385212816E-3</v>
      </c>
      <c r="L774" t="s">
        <v>153</v>
      </c>
    </row>
    <row r="775" spans="9:12" x14ac:dyDescent="0.45">
      <c r="I775" t="s">
        <v>189</v>
      </c>
      <c r="J775" t="s">
        <v>161</v>
      </c>
      <c r="K775">
        <v>5.1509585614401186E-2</v>
      </c>
      <c r="L775" t="s">
        <v>153</v>
      </c>
    </row>
    <row r="776" spans="9:12" x14ac:dyDescent="0.45">
      <c r="I776" t="s">
        <v>189</v>
      </c>
      <c r="J776" t="s">
        <v>238</v>
      </c>
      <c r="K776">
        <v>1.7584363965044028E-3</v>
      </c>
      <c r="L776" t="s">
        <v>153</v>
      </c>
    </row>
    <row r="777" spans="9:12" x14ac:dyDescent="0.45">
      <c r="I777" t="s">
        <v>189</v>
      </c>
      <c r="J777" t="s">
        <v>239</v>
      </c>
      <c r="K777">
        <v>0</v>
      </c>
      <c r="L777" t="s">
        <v>153</v>
      </c>
    </row>
    <row r="778" spans="9:12" x14ac:dyDescent="0.45">
      <c r="I778" t="s">
        <v>189</v>
      </c>
      <c r="J778" t="s">
        <v>240</v>
      </c>
      <c r="K778">
        <v>0</v>
      </c>
      <c r="L778" t="s">
        <v>153</v>
      </c>
    </row>
    <row r="779" spans="9:12" x14ac:dyDescent="0.45">
      <c r="I779" t="s">
        <v>189</v>
      </c>
      <c r="J779" t="s">
        <v>162</v>
      </c>
      <c r="K779">
        <v>4.2639938054189531E-5</v>
      </c>
      <c r="L779" t="s">
        <v>153</v>
      </c>
    </row>
    <row r="780" spans="9:12" x14ac:dyDescent="0.45">
      <c r="I780" t="s">
        <v>189</v>
      </c>
      <c r="J780" t="s">
        <v>163</v>
      </c>
      <c r="K780">
        <v>4.9867950076552883E-3</v>
      </c>
      <c r="L780" t="s">
        <v>153</v>
      </c>
    </row>
    <row r="781" spans="9:12" x14ac:dyDescent="0.45">
      <c r="I781" t="s">
        <v>189</v>
      </c>
      <c r="J781" t="s">
        <v>164</v>
      </c>
      <c r="K781">
        <v>7.2868817979557382E-2</v>
      </c>
      <c r="L781" t="s">
        <v>153</v>
      </c>
    </row>
    <row r="782" spans="9:12" x14ac:dyDescent="0.45">
      <c r="I782" t="s">
        <v>189</v>
      </c>
      <c r="J782" t="s">
        <v>241</v>
      </c>
      <c r="K782">
        <v>2.6753600020763832E-3</v>
      </c>
      <c r="L782" t="s">
        <v>153</v>
      </c>
    </row>
    <row r="783" spans="9:12" x14ac:dyDescent="0.45">
      <c r="I783" t="s">
        <v>189</v>
      </c>
      <c r="J783" t="s">
        <v>242</v>
      </c>
      <c r="K783">
        <v>0</v>
      </c>
      <c r="L783" t="s">
        <v>153</v>
      </c>
    </row>
    <row r="784" spans="9:12" x14ac:dyDescent="0.45">
      <c r="I784" t="s">
        <v>189</v>
      </c>
      <c r="J784" t="s">
        <v>243</v>
      </c>
      <c r="K784">
        <v>0</v>
      </c>
      <c r="L784" t="s">
        <v>153</v>
      </c>
    </row>
    <row r="785" spans="9:12" x14ac:dyDescent="0.45">
      <c r="I785" t="s">
        <v>189</v>
      </c>
      <c r="J785" t="s">
        <v>249</v>
      </c>
      <c r="K785">
        <v>0</v>
      </c>
      <c r="L785" t="s">
        <v>153</v>
      </c>
    </row>
    <row r="786" spans="9:12" x14ac:dyDescent="0.45">
      <c r="I786" t="s">
        <v>189</v>
      </c>
      <c r="J786" t="s">
        <v>250</v>
      </c>
      <c r="K786">
        <v>2.8268275257851173E-3</v>
      </c>
      <c r="L786" t="s">
        <v>153</v>
      </c>
    </row>
    <row r="787" spans="9:12" x14ac:dyDescent="0.45">
      <c r="I787" t="s">
        <v>189</v>
      </c>
      <c r="J787" t="s">
        <v>251</v>
      </c>
      <c r="K787">
        <v>4.5865367826486293E-2</v>
      </c>
      <c r="L787" t="s">
        <v>153</v>
      </c>
    </row>
    <row r="788" spans="9:12" x14ac:dyDescent="0.45">
      <c r="I788" t="s">
        <v>189</v>
      </c>
      <c r="J788" t="s">
        <v>252</v>
      </c>
      <c r="K788">
        <v>2.1605979813415425E-3</v>
      </c>
      <c r="L788" t="s">
        <v>153</v>
      </c>
    </row>
    <row r="789" spans="9:12" x14ac:dyDescent="0.45">
      <c r="I789" t="s">
        <v>189</v>
      </c>
      <c r="J789" t="s">
        <v>253</v>
      </c>
      <c r="K789">
        <v>0</v>
      </c>
      <c r="L789" t="s">
        <v>153</v>
      </c>
    </row>
    <row r="790" spans="9:12" x14ac:dyDescent="0.45">
      <c r="I790" t="s">
        <v>189</v>
      </c>
      <c r="J790" t="s">
        <v>254</v>
      </c>
      <c r="K790">
        <v>0</v>
      </c>
      <c r="L790" t="s">
        <v>153</v>
      </c>
    </row>
    <row r="791" spans="9:12" x14ac:dyDescent="0.45">
      <c r="I791" t="s">
        <v>190</v>
      </c>
      <c r="J791" t="s">
        <v>152</v>
      </c>
      <c r="K791">
        <v>1.240030202783733E-2</v>
      </c>
      <c r="L791" t="s">
        <v>153</v>
      </c>
    </row>
    <row r="792" spans="9:12" x14ac:dyDescent="0.45">
      <c r="I792" t="s">
        <v>190</v>
      </c>
      <c r="J792" t="s">
        <v>154</v>
      </c>
      <c r="K792">
        <v>3.8624287520221172E-2</v>
      </c>
      <c r="L792" t="s">
        <v>153</v>
      </c>
    </row>
    <row r="793" spans="9:12" x14ac:dyDescent="0.45">
      <c r="I793" t="s">
        <v>190</v>
      </c>
      <c r="J793" t="s">
        <v>155</v>
      </c>
      <c r="K793">
        <v>0.68838764643810957</v>
      </c>
      <c r="L793" t="s">
        <v>153</v>
      </c>
    </row>
    <row r="794" spans="9:12" x14ac:dyDescent="0.45">
      <c r="I794" t="s">
        <v>190</v>
      </c>
      <c r="J794" t="s">
        <v>232</v>
      </c>
      <c r="K794">
        <v>3.088241764246669E-2</v>
      </c>
      <c r="L794" t="s">
        <v>153</v>
      </c>
    </row>
    <row r="795" spans="9:12" x14ac:dyDescent="0.45">
      <c r="I795" t="s">
        <v>190</v>
      </c>
      <c r="J795" t="s">
        <v>233</v>
      </c>
      <c r="K795">
        <v>4.9253655537066926E-3</v>
      </c>
      <c r="L795" t="s">
        <v>153</v>
      </c>
    </row>
    <row r="796" spans="9:12" x14ac:dyDescent="0.45">
      <c r="I796" t="s">
        <v>190</v>
      </c>
      <c r="J796" t="s">
        <v>234</v>
      </c>
      <c r="K796">
        <v>0</v>
      </c>
      <c r="L796" t="s">
        <v>153</v>
      </c>
    </row>
    <row r="797" spans="9:12" x14ac:dyDescent="0.45">
      <c r="I797" t="s">
        <v>190</v>
      </c>
      <c r="J797" t="s">
        <v>156</v>
      </c>
      <c r="K797">
        <v>3.5429539713684801E-4</v>
      </c>
      <c r="L797" t="s">
        <v>153</v>
      </c>
    </row>
    <row r="798" spans="9:12" x14ac:dyDescent="0.45">
      <c r="I798" t="s">
        <v>190</v>
      </c>
      <c r="J798" t="s">
        <v>157</v>
      </c>
      <c r="K798">
        <v>7.4788376669863478E-4</v>
      </c>
      <c r="L798" t="s">
        <v>153</v>
      </c>
    </row>
    <row r="799" spans="9:12" x14ac:dyDescent="0.45">
      <c r="I799" t="s">
        <v>190</v>
      </c>
      <c r="J799" t="s">
        <v>158</v>
      </c>
      <c r="K799">
        <v>1.8197851675438796E-2</v>
      </c>
      <c r="L799" t="s">
        <v>153</v>
      </c>
    </row>
    <row r="800" spans="9:12" x14ac:dyDescent="0.45">
      <c r="I800" t="s">
        <v>190</v>
      </c>
      <c r="J800" t="s">
        <v>235</v>
      </c>
      <c r="K800">
        <v>6.4197703826460368E-4</v>
      </c>
      <c r="L800" t="s">
        <v>153</v>
      </c>
    </row>
    <row r="801" spans="9:12" x14ac:dyDescent="0.45">
      <c r="I801" t="s">
        <v>190</v>
      </c>
      <c r="J801" t="s">
        <v>236</v>
      </c>
      <c r="K801">
        <v>0</v>
      </c>
      <c r="L801" t="s">
        <v>153</v>
      </c>
    </row>
    <row r="802" spans="9:12" x14ac:dyDescent="0.45">
      <c r="I802" t="s">
        <v>190</v>
      </c>
      <c r="J802" t="s">
        <v>237</v>
      </c>
      <c r="K802">
        <v>0</v>
      </c>
      <c r="L802" t="s">
        <v>153</v>
      </c>
    </row>
    <row r="803" spans="9:12" x14ac:dyDescent="0.45">
      <c r="I803" t="s">
        <v>190</v>
      </c>
      <c r="J803" t="s">
        <v>159</v>
      </c>
      <c r="K803">
        <v>2.2345469858206317E-3</v>
      </c>
      <c r="L803" t="s">
        <v>153</v>
      </c>
    </row>
    <row r="804" spans="9:12" x14ac:dyDescent="0.45">
      <c r="I804" t="s">
        <v>190</v>
      </c>
      <c r="J804" t="s">
        <v>160</v>
      </c>
      <c r="K804">
        <v>4.0801547014569194E-3</v>
      </c>
      <c r="L804" t="s">
        <v>153</v>
      </c>
    </row>
    <row r="805" spans="9:12" x14ac:dyDescent="0.45">
      <c r="I805" t="s">
        <v>190</v>
      </c>
      <c r="J805" t="s">
        <v>161</v>
      </c>
      <c r="K805">
        <v>5.5406002015306974E-2</v>
      </c>
      <c r="L805" t="s">
        <v>153</v>
      </c>
    </row>
    <row r="806" spans="9:12" x14ac:dyDescent="0.45">
      <c r="I806" t="s">
        <v>190</v>
      </c>
      <c r="J806" t="s">
        <v>238</v>
      </c>
      <c r="K806">
        <v>2.0111664066024874E-3</v>
      </c>
      <c r="L806" t="s">
        <v>153</v>
      </c>
    </row>
    <row r="807" spans="9:12" x14ac:dyDescent="0.45">
      <c r="I807" t="s">
        <v>190</v>
      </c>
      <c r="J807" t="s">
        <v>239</v>
      </c>
      <c r="K807">
        <v>0</v>
      </c>
      <c r="L807" t="s">
        <v>153</v>
      </c>
    </row>
    <row r="808" spans="9:12" x14ac:dyDescent="0.45">
      <c r="I808" t="s">
        <v>190</v>
      </c>
      <c r="J808" t="s">
        <v>240</v>
      </c>
      <c r="K808">
        <v>0</v>
      </c>
      <c r="L808" t="s">
        <v>153</v>
      </c>
    </row>
    <row r="809" spans="9:12" x14ac:dyDescent="0.45">
      <c r="I809" t="s">
        <v>190</v>
      </c>
      <c r="J809" t="s">
        <v>162</v>
      </c>
      <c r="K809">
        <v>1.6510940083500365E-4</v>
      </c>
      <c r="L809" t="s">
        <v>153</v>
      </c>
    </row>
    <row r="810" spans="9:12" x14ac:dyDescent="0.45">
      <c r="I810" t="s">
        <v>190</v>
      </c>
      <c r="J810" t="s">
        <v>163</v>
      </c>
      <c r="K810">
        <v>5.5451720527687929E-3</v>
      </c>
      <c r="L810" t="s">
        <v>153</v>
      </c>
    </row>
    <row r="811" spans="9:12" x14ac:dyDescent="0.45">
      <c r="I811" t="s">
        <v>190</v>
      </c>
      <c r="J811" t="s">
        <v>164</v>
      </c>
      <c r="K811">
        <v>7.8495060429198141E-2</v>
      </c>
      <c r="L811" t="s">
        <v>153</v>
      </c>
    </row>
    <row r="812" spans="9:12" x14ac:dyDescent="0.45">
      <c r="I812" t="s">
        <v>190</v>
      </c>
      <c r="J812" t="s">
        <v>241</v>
      </c>
      <c r="K812">
        <v>2.7617268222471002E-3</v>
      </c>
      <c r="L812" t="s">
        <v>153</v>
      </c>
    </row>
    <row r="813" spans="9:12" x14ac:dyDescent="0.45">
      <c r="I813" t="s">
        <v>190</v>
      </c>
      <c r="J813" t="s">
        <v>242</v>
      </c>
      <c r="K813">
        <v>0</v>
      </c>
      <c r="L813" t="s">
        <v>153</v>
      </c>
    </row>
    <row r="814" spans="9:12" x14ac:dyDescent="0.45">
      <c r="I814" t="s">
        <v>190</v>
      </c>
      <c r="J814" t="s">
        <v>243</v>
      </c>
      <c r="K814">
        <v>0</v>
      </c>
      <c r="L814" t="s">
        <v>153</v>
      </c>
    </row>
    <row r="815" spans="9:12" x14ac:dyDescent="0.45">
      <c r="I815" t="s">
        <v>190</v>
      </c>
      <c r="J815" t="s">
        <v>249</v>
      </c>
      <c r="K815">
        <v>0</v>
      </c>
      <c r="L815" t="s">
        <v>153</v>
      </c>
    </row>
    <row r="816" spans="9:12" x14ac:dyDescent="0.45">
      <c r="I816" t="s">
        <v>190</v>
      </c>
      <c r="J816" t="s">
        <v>250</v>
      </c>
      <c r="K816">
        <v>2.8669263352715424E-3</v>
      </c>
      <c r="L816" t="s">
        <v>153</v>
      </c>
    </row>
    <row r="817" spans="9:12" x14ac:dyDescent="0.45">
      <c r="I817" t="s">
        <v>190</v>
      </c>
      <c r="J817" t="s">
        <v>251</v>
      </c>
      <c r="K817">
        <v>4.8682952387744657E-2</v>
      </c>
      <c r="L817" t="s">
        <v>153</v>
      </c>
    </row>
    <row r="818" spans="9:12" x14ac:dyDescent="0.45">
      <c r="I818" t="s">
        <v>190</v>
      </c>
      <c r="J818" t="s">
        <v>252</v>
      </c>
      <c r="K818">
        <v>2.5891554028654286E-3</v>
      </c>
      <c r="L818" t="s">
        <v>153</v>
      </c>
    </row>
    <row r="819" spans="9:12" x14ac:dyDescent="0.45">
      <c r="I819" t="s">
        <v>190</v>
      </c>
      <c r="J819" t="s">
        <v>253</v>
      </c>
      <c r="K819">
        <v>0</v>
      </c>
      <c r="L819" t="s">
        <v>153</v>
      </c>
    </row>
    <row r="820" spans="9:12" x14ac:dyDescent="0.45">
      <c r="I820" t="s">
        <v>190</v>
      </c>
      <c r="J820" t="s">
        <v>254</v>
      </c>
      <c r="K820">
        <v>0</v>
      </c>
      <c r="L820" t="s">
        <v>153</v>
      </c>
    </row>
    <row r="821" spans="9:12" x14ac:dyDescent="0.45">
      <c r="I821" t="s">
        <v>191</v>
      </c>
      <c r="J821" t="s">
        <v>152</v>
      </c>
      <c r="K821">
        <v>1.4520011531713759E-2</v>
      </c>
      <c r="L821" t="s">
        <v>153</v>
      </c>
    </row>
    <row r="822" spans="9:12" x14ac:dyDescent="0.45">
      <c r="I822" t="s">
        <v>191</v>
      </c>
      <c r="J822" t="s">
        <v>154</v>
      </c>
      <c r="K822">
        <v>4.1503239220367354E-2</v>
      </c>
      <c r="L822" t="s">
        <v>153</v>
      </c>
    </row>
    <row r="823" spans="9:12" x14ac:dyDescent="0.45">
      <c r="I823" t="s">
        <v>191</v>
      </c>
      <c r="J823" t="s">
        <v>155</v>
      </c>
      <c r="K823">
        <v>0.68229302086915733</v>
      </c>
      <c r="L823" t="s">
        <v>153</v>
      </c>
    </row>
    <row r="824" spans="9:12" x14ac:dyDescent="0.45">
      <c r="I824" t="s">
        <v>191</v>
      </c>
      <c r="J824" t="s">
        <v>232</v>
      </c>
      <c r="K824">
        <v>3.0675731154021207E-2</v>
      </c>
      <c r="L824" t="s">
        <v>153</v>
      </c>
    </row>
    <row r="825" spans="9:12" x14ac:dyDescent="0.45">
      <c r="I825" t="s">
        <v>191</v>
      </c>
      <c r="J825" t="s">
        <v>233</v>
      </c>
      <c r="K825">
        <v>3.4880427060771197E-3</v>
      </c>
      <c r="L825" t="s">
        <v>153</v>
      </c>
    </row>
    <row r="826" spans="9:12" x14ac:dyDescent="0.45">
      <c r="I826" t="s">
        <v>191</v>
      </c>
      <c r="J826" t="s">
        <v>234</v>
      </c>
      <c r="K826">
        <v>0</v>
      </c>
      <c r="L826" t="s">
        <v>153</v>
      </c>
    </row>
    <row r="827" spans="9:12" x14ac:dyDescent="0.45">
      <c r="I827" t="s">
        <v>191</v>
      </c>
      <c r="J827" t="s">
        <v>156</v>
      </c>
      <c r="K827">
        <v>6.2825255464446451E-4</v>
      </c>
      <c r="L827" t="s">
        <v>153</v>
      </c>
    </row>
    <row r="828" spans="9:12" x14ac:dyDescent="0.45">
      <c r="I828" t="s">
        <v>191</v>
      </c>
      <c r="J828" t="s">
        <v>157</v>
      </c>
      <c r="K828">
        <v>1.2600868373779648E-3</v>
      </c>
      <c r="L828" t="s">
        <v>153</v>
      </c>
    </row>
    <row r="829" spans="9:12" x14ac:dyDescent="0.45">
      <c r="I829" t="s">
        <v>191</v>
      </c>
      <c r="J829" t="s">
        <v>158</v>
      </c>
      <c r="K829">
        <v>1.8833856011249917E-2</v>
      </c>
      <c r="L829" t="s">
        <v>153</v>
      </c>
    </row>
    <row r="830" spans="9:12" x14ac:dyDescent="0.45">
      <c r="I830" t="s">
        <v>191</v>
      </c>
      <c r="J830" t="s">
        <v>235</v>
      </c>
      <c r="K830">
        <v>6.4491494752199425E-4</v>
      </c>
      <c r="L830" t="s">
        <v>153</v>
      </c>
    </row>
    <row r="831" spans="9:12" x14ac:dyDescent="0.45">
      <c r="I831" t="s">
        <v>191</v>
      </c>
      <c r="J831" t="s">
        <v>236</v>
      </c>
      <c r="K831">
        <v>0</v>
      </c>
      <c r="L831" t="s">
        <v>153</v>
      </c>
    </row>
    <row r="832" spans="9:12" x14ac:dyDescent="0.45">
      <c r="I832" t="s">
        <v>191</v>
      </c>
      <c r="J832" t="s">
        <v>237</v>
      </c>
      <c r="K832">
        <v>0</v>
      </c>
      <c r="L832" t="s">
        <v>153</v>
      </c>
    </row>
    <row r="833" spans="9:12" x14ac:dyDescent="0.45">
      <c r="I833" t="s">
        <v>191</v>
      </c>
      <c r="J833" t="s">
        <v>159</v>
      </c>
      <c r="K833">
        <v>2.5205248427926778E-3</v>
      </c>
      <c r="L833" t="s">
        <v>153</v>
      </c>
    </row>
    <row r="834" spans="9:12" x14ac:dyDescent="0.45">
      <c r="I834" t="s">
        <v>191</v>
      </c>
      <c r="J834" t="s">
        <v>160</v>
      </c>
      <c r="K834">
        <v>4.5864214671159148E-3</v>
      </c>
      <c r="L834" t="s">
        <v>153</v>
      </c>
    </row>
    <row r="835" spans="9:12" x14ac:dyDescent="0.45">
      <c r="I835" t="s">
        <v>191</v>
      </c>
      <c r="J835" t="s">
        <v>161</v>
      </c>
      <c r="K835">
        <v>5.5692255962535103E-2</v>
      </c>
      <c r="L835" t="s">
        <v>153</v>
      </c>
    </row>
    <row r="836" spans="9:12" x14ac:dyDescent="0.45">
      <c r="I836" t="s">
        <v>191</v>
      </c>
      <c r="J836" t="s">
        <v>238</v>
      </c>
      <c r="K836">
        <v>1.969793585209976E-3</v>
      </c>
      <c r="L836" t="s">
        <v>153</v>
      </c>
    </row>
    <row r="837" spans="9:12" x14ac:dyDescent="0.45">
      <c r="I837" t="s">
        <v>191</v>
      </c>
      <c r="J837" t="s">
        <v>239</v>
      </c>
      <c r="K837">
        <v>0</v>
      </c>
      <c r="L837" t="s">
        <v>153</v>
      </c>
    </row>
    <row r="838" spans="9:12" x14ac:dyDescent="0.45">
      <c r="I838" t="s">
        <v>191</v>
      </c>
      <c r="J838" t="s">
        <v>240</v>
      </c>
      <c r="K838">
        <v>0</v>
      </c>
      <c r="L838" t="s">
        <v>153</v>
      </c>
    </row>
    <row r="839" spans="9:12" x14ac:dyDescent="0.45">
      <c r="I839" t="s">
        <v>191</v>
      </c>
      <c r="J839" t="s">
        <v>162</v>
      </c>
      <c r="K839">
        <v>8.1925665874850635E-4</v>
      </c>
      <c r="L839" t="s">
        <v>153</v>
      </c>
    </row>
    <row r="840" spans="9:12" x14ac:dyDescent="0.45">
      <c r="I840" t="s">
        <v>191</v>
      </c>
      <c r="J840" t="s">
        <v>163</v>
      </c>
      <c r="K840">
        <v>5.9786454867783653E-3</v>
      </c>
      <c r="L840" t="s">
        <v>153</v>
      </c>
    </row>
    <row r="841" spans="9:12" x14ac:dyDescent="0.45">
      <c r="I841" t="s">
        <v>191</v>
      </c>
      <c r="J841" t="s">
        <v>164</v>
      </c>
      <c r="K841">
        <v>7.9763358526157971E-2</v>
      </c>
      <c r="L841" t="s">
        <v>153</v>
      </c>
    </row>
    <row r="842" spans="9:12" x14ac:dyDescent="0.45">
      <c r="I842" t="s">
        <v>191</v>
      </c>
      <c r="J842" t="s">
        <v>241</v>
      </c>
      <c r="K842">
        <v>2.8364452541167007E-3</v>
      </c>
      <c r="L842" t="s">
        <v>153</v>
      </c>
    </row>
    <row r="843" spans="9:12" x14ac:dyDescent="0.45">
      <c r="I843" t="s">
        <v>191</v>
      </c>
      <c r="J843" t="s">
        <v>242</v>
      </c>
      <c r="K843">
        <v>0</v>
      </c>
      <c r="L843" t="s">
        <v>153</v>
      </c>
    </row>
    <row r="844" spans="9:12" x14ac:dyDescent="0.45">
      <c r="I844" t="s">
        <v>191</v>
      </c>
      <c r="J844" t="s">
        <v>243</v>
      </c>
      <c r="K844">
        <v>0</v>
      </c>
      <c r="L844" t="s">
        <v>153</v>
      </c>
    </row>
    <row r="845" spans="9:12" x14ac:dyDescent="0.45">
      <c r="I845" t="s">
        <v>191</v>
      </c>
      <c r="J845" t="s">
        <v>249</v>
      </c>
      <c r="K845">
        <v>0</v>
      </c>
      <c r="L845" t="s">
        <v>153</v>
      </c>
    </row>
    <row r="846" spans="9:12" x14ac:dyDescent="0.45">
      <c r="I846" t="s">
        <v>191</v>
      </c>
      <c r="J846" t="s">
        <v>250</v>
      </c>
      <c r="K846">
        <v>2.8661434111479003E-3</v>
      </c>
      <c r="L846" t="s">
        <v>153</v>
      </c>
    </row>
    <row r="847" spans="9:12" x14ac:dyDescent="0.45">
      <c r="I847" t="s">
        <v>191</v>
      </c>
      <c r="J847" t="s">
        <v>251</v>
      </c>
      <c r="K847">
        <v>4.6791902484463029E-2</v>
      </c>
      <c r="L847" t="s">
        <v>153</v>
      </c>
    </row>
    <row r="848" spans="9:12" x14ac:dyDescent="0.45">
      <c r="I848" t="s">
        <v>191</v>
      </c>
      <c r="J848" t="s">
        <v>252</v>
      </c>
      <c r="K848">
        <v>2.3280964888040901E-3</v>
      </c>
      <c r="L848" t="s">
        <v>153</v>
      </c>
    </row>
    <row r="849" spans="9:12" x14ac:dyDescent="0.45">
      <c r="I849" t="s">
        <v>191</v>
      </c>
      <c r="J849" t="s">
        <v>253</v>
      </c>
      <c r="K849">
        <v>0</v>
      </c>
      <c r="L849" t="s">
        <v>153</v>
      </c>
    </row>
    <row r="850" spans="9:12" x14ac:dyDescent="0.45">
      <c r="I850" t="s">
        <v>191</v>
      </c>
      <c r="J850" t="s">
        <v>254</v>
      </c>
      <c r="K850">
        <v>0</v>
      </c>
      <c r="L850" t="s">
        <v>153</v>
      </c>
    </row>
    <row r="851" spans="9:12" x14ac:dyDescent="0.45">
      <c r="I851" t="s">
        <v>192</v>
      </c>
      <c r="J851" t="s">
        <v>152</v>
      </c>
      <c r="K851">
        <v>1.4427913622230377E-2</v>
      </c>
      <c r="L851" t="s">
        <v>153</v>
      </c>
    </row>
    <row r="852" spans="9:12" x14ac:dyDescent="0.45">
      <c r="I852" t="s">
        <v>192</v>
      </c>
      <c r="J852" t="s">
        <v>154</v>
      </c>
      <c r="K852">
        <v>4.2079158268515431E-2</v>
      </c>
      <c r="L852" t="s">
        <v>153</v>
      </c>
    </row>
    <row r="853" spans="9:12" x14ac:dyDescent="0.45">
      <c r="I853" t="s">
        <v>192</v>
      </c>
      <c r="J853" t="s">
        <v>155</v>
      </c>
      <c r="K853">
        <v>0.69082366255300476</v>
      </c>
      <c r="L853" t="s">
        <v>153</v>
      </c>
    </row>
    <row r="854" spans="9:12" x14ac:dyDescent="0.45">
      <c r="I854" t="s">
        <v>192</v>
      </c>
      <c r="J854" t="s">
        <v>232</v>
      </c>
      <c r="K854">
        <v>3.1867741003982077E-2</v>
      </c>
      <c r="L854" t="s">
        <v>153</v>
      </c>
    </row>
    <row r="855" spans="9:12" x14ac:dyDescent="0.45">
      <c r="I855" t="s">
        <v>192</v>
      </c>
      <c r="J855" t="s">
        <v>233</v>
      </c>
      <c r="K855">
        <v>4.3159430236775652E-3</v>
      </c>
      <c r="L855" t="s">
        <v>153</v>
      </c>
    </row>
    <row r="856" spans="9:12" x14ac:dyDescent="0.45">
      <c r="I856" t="s">
        <v>192</v>
      </c>
      <c r="J856" t="s">
        <v>234</v>
      </c>
      <c r="K856">
        <v>0</v>
      </c>
      <c r="L856" t="s">
        <v>153</v>
      </c>
    </row>
    <row r="857" spans="9:12" x14ac:dyDescent="0.45">
      <c r="I857" t="s">
        <v>192</v>
      </c>
      <c r="J857" t="s">
        <v>156</v>
      </c>
      <c r="K857">
        <v>4.671303723488055E-4</v>
      </c>
      <c r="L857" t="s">
        <v>153</v>
      </c>
    </row>
    <row r="858" spans="9:12" x14ac:dyDescent="0.45">
      <c r="I858" t="s">
        <v>192</v>
      </c>
      <c r="J858" t="s">
        <v>157</v>
      </c>
      <c r="K858">
        <v>9.6905283908889697E-4</v>
      </c>
      <c r="L858" t="s">
        <v>153</v>
      </c>
    </row>
    <row r="859" spans="9:12" x14ac:dyDescent="0.45">
      <c r="I859" t="s">
        <v>192</v>
      </c>
      <c r="J859" t="s">
        <v>158</v>
      </c>
      <c r="K859">
        <v>1.7213245466683503E-2</v>
      </c>
      <c r="L859" t="s">
        <v>153</v>
      </c>
    </row>
    <row r="860" spans="9:12" x14ac:dyDescent="0.45">
      <c r="I860" t="s">
        <v>192</v>
      </c>
      <c r="J860" t="s">
        <v>235</v>
      </c>
      <c r="K860">
        <v>6.4449135351037784E-4</v>
      </c>
      <c r="L860" t="s">
        <v>153</v>
      </c>
    </row>
    <row r="861" spans="9:12" x14ac:dyDescent="0.45">
      <c r="I861" t="s">
        <v>192</v>
      </c>
      <c r="J861" t="s">
        <v>236</v>
      </c>
      <c r="K861">
        <v>0</v>
      </c>
      <c r="L861" t="s">
        <v>153</v>
      </c>
    </row>
    <row r="862" spans="9:12" x14ac:dyDescent="0.45">
      <c r="I862" t="s">
        <v>192</v>
      </c>
      <c r="J862" t="s">
        <v>237</v>
      </c>
      <c r="K862">
        <v>0</v>
      </c>
      <c r="L862" t="s">
        <v>153</v>
      </c>
    </row>
    <row r="863" spans="9:12" x14ac:dyDescent="0.45">
      <c r="I863" t="s">
        <v>192</v>
      </c>
      <c r="J863" t="s">
        <v>159</v>
      </c>
      <c r="K863">
        <v>2.2436727381870006E-3</v>
      </c>
      <c r="L863" t="s">
        <v>153</v>
      </c>
    </row>
    <row r="864" spans="9:12" x14ac:dyDescent="0.45">
      <c r="I864" t="s">
        <v>192</v>
      </c>
      <c r="J864" t="s">
        <v>160</v>
      </c>
      <c r="K864">
        <v>4.0421386432394494E-3</v>
      </c>
      <c r="L864" t="s">
        <v>153</v>
      </c>
    </row>
    <row r="865" spans="9:12" x14ac:dyDescent="0.45">
      <c r="I865" t="s">
        <v>192</v>
      </c>
      <c r="J865" t="s">
        <v>161</v>
      </c>
      <c r="K865">
        <v>5.2747364240235205E-2</v>
      </c>
      <c r="L865" t="s">
        <v>153</v>
      </c>
    </row>
    <row r="866" spans="9:12" x14ac:dyDescent="0.45">
      <c r="I866" t="s">
        <v>192</v>
      </c>
      <c r="J866" t="s">
        <v>238</v>
      </c>
      <c r="K866">
        <v>1.7990556273097496E-3</v>
      </c>
      <c r="L866" t="s">
        <v>153</v>
      </c>
    </row>
    <row r="867" spans="9:12" x14ac:dyDescent="0.45">
      <c r="I867" t="s">
        <v>192</v>
      </c>
      <c r="J867" t="s">
        <v>239</v>
      </c>
      <c r="K867">
        <v>0</v>
      </c>
      <c r="L867" t="s">
        <v>153</v>
      </c>
    </row>
    <row r="868" spans="9:12" x14ac:dyDescent="0.45">
      <c r="I868" t="s">
        <v>192</v>
      </c>
      <c r="J868" t="s">
        <v>240</v>
      </c>
      <c r="K868">
        <v>0</v>
      </c>
      <c r="L868" t="s">
        <v>153</v>
      </c>
    </row>
    <row r="869" spans="9:12" x14ac:dyDescent="0.45">
      <c r="I869" t="s">
        <v>192</v>
      </c>
      <c r="J869" t="s">
        <v>162</v>
      </c>
      <c r="K869">
        <v>2.2523187108474036E-4</v>
      </c>
      <c r="L869" t="s">
        <v>153</v>
      </c>
    </row>
    <row r="870" spans="9:12" x14ac:dyDescent="0.45">
      <c r="I870" t="s">
        <v>192</v>
      </c>
      <c r="J870" t="s">
        <v>163</v>
      </c>
      <c r="K870">
        <v>5.4182086331317813E-3</v>
      </c>
      <c r="L870" t="s">
        <v>153</v>
      </c>
    </row>
    <row r="871" spans="9:12" x14ac:dyDescent="0.45">
      <c r="I871" t="s">
        <v>192</v>
      </c>
      <c r="J871" t="s">
        <v>164</v>
      </c>
      <c r="K871">
        <v>7.667888421201742E-2</v>
      </c>
      <c r="L871" t="s">
        <v>153</v>
      </c>
    </row>
    <row r="872" spans="9:12" x14ac:dyDescent="0.45">
      <c r="I872" t="s">
        <v>192</v>
      </c>
      <c r="J872" t="s">
        <v>241</v>
      </c>
      <c r="K872">
        <v>2.8017033075908213E-3</v>
      </c>
      <c r="L872" t="s">
        <v>153</v>
      </c>
    </row>
    <row r="873" spans="9:12" x14ac:dyDescent="0.45">
      <c r="I873" t="s">
        <v>192</v>
      </c>
      <c r="J873" t="s">
        <v>242</v>
      </c>
      <c r="K873">
        <v>0</v>
      </c>
      <c r="L873" t="s">
        <v>153</v>
      </c>
    </row>
    <row r="874" spans="9:12" x14ac:dyDescent="0.45">
      <c r="I874" t="s">
        <v>192</v>
      </c>
      <c r="J874" t="s">
        <v>243</v>
      </c>
      <c r="K874">
        <v>0</v>
      </c>
      <c r="L874" t="s">
        <v>153</v>
      </c>
    </row>
    <row r="875" spans="9:12" x14ac:dyDescent="0.45">
      <c r="I875" t="s">
        <v>192</v>
      </c>
      <c r="J875" t="s">
        <v>249</v>
      </c>
      <c r="K875">
        <v>0</v>
      </c>
      <c r="L875" t="s">
        <v>153</v>
      </c>
    </row>
    <row r="876" spans="9:12" x14ac:dyDescent="0.45">
      <c r="I876" t="s">
        <v>192</v>
      </c>
      <c r="J876" t="s">
        <v>250</v>
      </c>
      <c r="K876">
        <v>2.8310402181081396E-3</v>
      </c>
      <c r="L876" t="s">
        <v>153</v>
      </c>
    </row>
    <row r="877" spans="9:12" x14ac:dyDescent="0.45">
      <c r="I877" t="s">
        <v>192</v>
      </c>
      <c r="J877" t="s">
        <v>251</v>
      </c>
      <c r="K877">
        <v>4.6143929227351763E-2</v>
      </c>
      <c r="L877" t="s">
        <v>153</v>
      </c>
    </row>
    <row r="878" spans="9:12" x14ac:dyDescent="0.45">
      <c r="I878" t="s">
        <v>192</v>
      </c>
      <c r="J878" t="s">
        <v>252</v>
      </c>
      <c r="K878">
        <v>2.2604327787040341E-3</v>
      </c>
      <c r="L878" t="s">
        <v>153</v>
      </c>
    </row>
    <row r="879" spans="9:12" x14ac:dyDescent="0.45">
      <c r="I879" t="s">
        <v>192</v>
      </c>
      <c r="J879" t="s">
        <v>253</v>
      </c>
      <c r="K879">
        <v>0</v>
      </c>
      <c r="L879" t="s">
        <v>153</v>
      </c>
    </row>
    <row r="880" spans="9:12" x14ac:dyDescent="0.45">
      <c r="I880" t="s">
        <v>192</v>
      </c>
      <c r="J880" t="s">
        <v>254</v>
      </c>
      <c r="K880">
        <v>0</v>
      </c>
      <c r="L880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B1CC-7EDD-486C-B6AE-6E9CD17802E8}">
  <dimension ref="A9:AN117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x</v>
      </c>
      <c r="C11" t="s">
        <v>141</v>
      </c>
      <c r="D11" t="s">
        <v>142</v>
      </c>
      <c r="E11" t="s">
        <v>143</v>
      </c>
      <c r="F11" t="s">
        <v>246</v>
      </c>
      <c r="G11" t="s">
        <v>142</v>
      </c>
      <c r="I11" t="s">
        <v>151</v>
      </c>
      <c r="J11" t="s">
        <v>152</v>
      </c>
      <c r="K11">
        <v>0</v>
      </c>
      <c r="L11" t="s">
        <v>153</v>
      </c>
      <c r="N11" t="s">
        <v>193</v>
      </c>
      <c r="O11" t="s">
        <v>152</v>
      </c>
      <c r="P11">
        <v>0.29537437359205554</v>
      </c>
      <c r="Q11" t="s">
        <v>153</v>
      </c>
      <c r="S11" t="s">
        <v>208</v>
      </c>
      <c r="T11" t="s">
        <v>152</v>
      </c>
      <c r="U11">
        <v>0.21493444542078799</v>
      </c>
      <c r="V11" t="s">
        <v>153</v>
      </c>
      <c r="X11">
        <v>0.23013698630136986</v>
      </c>
      <c r="Y11">
        <v>9.0885314372374029E-2</v>
      </c>
      <c r="Z11" t="s">
        <v>152</v>
      </c>
      <c r="AA11" t="s">
        <v>25</v>
      </c>
      <c r="AC11" t="s">
        <v>22</v>
      </c>
      <c r="AD11" t="s">
        <v>152</v>
      </c>
      <c r="AE11">
        <v>0.19171229618299823</v>
      </c>
      <c r="AG11" t="s">
        <v>96</v>
      </c>
      <c r="AH11" t="s">
        <v>152</v>
      </c>
      <c r="AI11">
        <v>0.34643223696004299</v>
      </c>
      <c r="AK11">
        <v>2020</v>
      </c>
      <c r="AL11" t="s">
        <v>141</v>
      </c>
      <c r="AM11">
        <v>0.17499999999999999</v>
      </c>
      <c r="AN11" t="s">
        <v>227</v>
      </c>
    </row>
    <row r="12" spans="1:40" x14ac:dyDescent="0.45">
      <c r="C12" t="s">
        <v>145</v>
      </c>
      <c r="E12" t="s">
        <v>146</v>
      </c>
      <c r="G12" t="s">
        <v>142</v>
      </c>
      <c r="I12" t="s">
        <v>151</v>
      </c>
      <c r="J12" t="s">
        <v>154</v>
      </c>
      <c r="K12">
        <v>1.7766273814540316E-2</v>
      </c>
      <c r="L12" t="s">
        <v>153</v>
      </c>
      <c r="N12" t="s">
        <v>193</v>
      </c>
      <c r="O12" t="s">
        <v>154</v>
      </c>
      <c r="P12">
        <v>2.6355984601380552E-2</v>
      </c>
      <c r="Q12" t="s">
        <v>153</v>
      </c>
      <c r="S12" t="s">
        <v>208</v>
      </c>
      <c r="T12" t="s">
        <v>154</v>
      </c>
      <c r="U12">
        <v>2.8308828643222591E-2</v>
      </c>
      <c r="V12" t="s">
        <v>153</v>
      </c>
      <c r="X12">
        <v>3.287671232876712E-2</v>
      </c>
      <c r="Y12">
        <v>5.4893966138776326E-2</v>
      </c>
      <c r="Z12" t="s">
        <v>154</v>
      </c>
      <c r="AA12" t="s">
        <v>25</v>
      </c>
      <c r="AC12" t="s">
        <v>22</v>
      </c>
      <c r="AD12" t="s">
        <v>154</v>
      </c>
      <c r="AE12">
        <v>2.8306397791720287E-2</v>
      </c>
      <c r="AG12" t="s">
        <v>96</v>
      </c>
      <c r="AH12" t="s">
        <v>154</v>
      </c>
      <c r="AI12">
        <v>0.1939971526430746</v>
      </c>
      <c r="AK12">
        <v>2020</v>
      </c>
      <c r="AL12" t="s">
        <v>145</v>
      </c>
      <c r="AM12">
        <v>9.9400000000000002E-2</v>
      </c>
      <c r="AN12" t="s">
        <v>227</v>
      </c>
    </row>
    <row r="13" spans="1:40" x14ac:dyDescent="0.45">
      <c r="C13" t="s">
        <v>147</v>
      </c>
      <c r="E13" t="s">
        <v>148</v>
      </c>
      <c r="G13" t="s">
        <v>142</v>
      </c>
      <c r="I13" t="s">
        <v>151</v>
      </c>
      <c r="J13" t="s">
        <v>155</v>
      </c>
      <c r="K13">
        <v>4.4079539002110549E-2</v>
      </c>
      <c r="L13" t="s">
        <v>153</v>
      </c>
      <c r="N13" t="s">
        <v>193</v>
      </c>
      <c r="O13" t="s">
        <v>155</v>
      </c>
      <c r="P13">
        <v>2.1782855334101958E-2</v>
      </c>
      <c r="Q13" t="s">
        <v>153</v>
      </c>
      <c r="S13" t="s">
        <v>208</v>
      </c>
      <c r="T13" t="s">
        <v>155</v>
      </c>
      <c r="U13">
        <v>2.8902785182811395E-2</v>
      </c>
      <c r="V13" t="s">
        <v>153</v>
      </c>
      <c r="X13">
        <v>3.287671232876712E-2</v>
      </c>
      <c r="Y13">
        <v>4.200581756706364E-2</v>
      </c>
      <c r="Z13" t="s">
        <v>155</v>
      </c>
      <c r="AA13" t="s">
        <v>25</v>
      </c>
      <c r="AC13" t="s">
        <v>22</v>
      </c>
      <c r="AD13" t="s">
        <v>155</v>
      </c>
      <c r="AE13">
        <v>3.173077060274973E-2</v>
      </c>
      <c r="AG13" t="s">
        <v>96</v>
      </c>
      <c r="AH13" t="s">
        <v>155</v>
      </c>
      <c r="AI13">
        <v>0.19036551524169387</v>
      </c>
      <c r="AK13">
        <v>2020</v>
      </c>
      <c r="AL13" t="s">
        <v>147</v>
      </c>
      <c r="AM13">
        <v>0.10550000000000001</v>
      </c>
      <c r="AN13" t="s">
        <v>227</v>
      </c>
    </row>
    <row r="14" spans="1:40" x14ac:dyDescent="0.45">
      <c r="C14" t="s">
        <v>149</v>
      </c>
      <c r="E14" t="s">
        <v>228</v>
      </c>
      <c r="G14" t="s">
        <v>142</v>
      </c>
      <c r="I14" t="s">
        <v>151</v>
      </c>
      <c r="J14" t="s">
        <v>232</v>
      </c>
      <c r="K14">
        <v>6.3583750984552614E-2</v>
      </c>
      <c r="L14" t="s">
        <v>153</v>
      </c>
      <c r="N14" t="s">
        <v>193</v>
      </c>
      <c r="O14" t="s">
        <v>232</v>
      </c>
      <c r="P14">
        <v>2.1424930181653912E-2</v>
      </c>
      <c r="Q14" t="s">
        <v>153</v>
      </c>
      <c r="S14" t="s">
        <v>208</v>
      </c>
      <c r="T14" t="s">
        <v>232</v>
      </c>
      <c r="U14">
        <v>2.9028132379142368E-2</v>
      </c>
      <c r="V14" t="s">
        <v>153</v>
      </c>
      <c r="X14">
        <v>3.287671232876712E-2</v>
      </c>
      <c r="Y14">
        <v>4.1623946498272141E-2</v>
      </c>
      <c r="Z14" t="s">
        <v>232</v>
      </c>
      <c r="AA14" t="s">
        <v>25</v>
      </c>
      <c r="AC14" t="s">
        <v>22</v>
      </c>
      <c r="AD14" t="s">
        <v>232</v>
      </c>
      <c r="AE14">
        <v>3.6392926180754473E-2</v>
      </c>
      <c r="AG14" t="s">
        <v>96</v>
      </c>
      <c r="AH14" t="s">
        <v>232</v>
      </c>
      <c r="AI14">
        <v>0.25905848196947656</v>
      </c>
      <c r="AK14">
        <v>2020</v>
      </c>
      <c r="AL14" t="s">
        <v>149</v>
      </c>
      <c r="AM14">
        <v>0.12709999999999999</v>
      </c>
      <c r="AN14" t="s">
        <v>227</v>
      </c>
    </row>
    <row r="15" spans="1:40" x14ac:dyDescent="0.45">
      <c r="C15" t="s">
        <v>247</v>
      </c>
      <c r="E15" t="s">
        <v>229</v>
      </c>
      <c r="G15" t="s">
        <v>142</v>
      </c>
      <c r="I15" t="s">
        <v>151</v>
      </c>
      <c r="J15" t="s">
        <v>233</v>
      </c>
      <c r="K15">
        <v>0.56945323067732156</v>
      </c>
      <c r="L15" t="s">
        <v>153</v>
      </c>
      <c r="N15" t="s">
        <v>193</v>
      </c>
      <c r="O15" t="s">
        <v>233</v>
      </c>
      <c r="P15">
        <v>0.12480552758583054</v>
      </c>
      <c r="Q15" t="s">
        <v>153</v>
      </c>
      <c r="S15" t="s">
        <v>208</v>
      </c>
      <c r="T15" t="s">
        <v>233</v>
      </c>
      <c r="U15">
        <v>0.21060921719186648</v>
      </c>
      <c r="V15" t="s">
        <v>153</v>
      </c>
      <c r="X15">
        <v>0.23013698630136986</v>
      </c>
      <c r="Y15">
        <v>0.32191731099122395</v>
      </c>
      <c r="Z15" t="s">
        <v>233</v>
      </c>
      <c r="AA15" t="s">
        <v>25</v>
      </c>
      <c r="AC15" t="s">
        <v>22</v>
      </c>
      <c r="AD15" t="s">
        <v>233</v>
      </c>
      <c r="AE15">
        <v>0.27218057458722833</v>
      </c>
      <c r="AG15" t="s">
        <v>96</v>
      </c>
      <c r="AH15" t="s">
        <v>233</v>
      </c>
      <c r="AI15">
        <v>0.21890974969961041</v>
      </c>
      <c r="AK15">
        <v>2020</v>
      </c>
      <c r="AL15" t="s">
        <v>247</v>
      </c>
      <c r="AM15">
        <v>0.1426</v>
      </c>
      <c r="AN15" t="s">
        <v>227</v>
      </c>
    </row>
    <row r="16" spans="1:40" x14ac:dyDescent="0.45">
      <c r="E16" t="s">
        <v>230</v>
      </c>
      <c r="G16" t="s">
        <v>142</v>
      </c>
      <c r="I16" t="s">
        <v>151</v>
      </c>
      <c r="J16" t="s">
        <v>234</v>
      </c>
      <c r="K16">
        <v>5.1704179416660667E-2</v>
      </c>
      <c r="L16" t="s">
        <v>153</v>
      </c>
      <c r="N16" t="s">
        <v>193</v>
      </c>
      <c r="O16" t="s">
        <v>234</v>
      </c>
      <c r="P16">
        <v>1.3250530751570283E-2</v>
      </c>
      <c r="Q16" t="s">
        <v>153</v>
      </c>
      <c r="S16" t="s">
        <v>208</v>
      </c>
      <c r="T16" t="s">
        <v>234</v>
      </c>
      <c r="U16">
        <v>3.3377056082535404E-2</v>
      </c>
      <c r="V16" t="s">
        <v>153</v>
      </c>
      <c r="X16">
        <v>3.287671232876712E-2</v>
      </c>
      <c r="Y16">
        <v>6.3963404022574166E-2</v>
      </c>
      <c r="Z16" t="s">
        <v>234</v>
      </c>
      <c r="AA16" t="s">
        <v>25</v>
      </c>
      <c r="AC16" t="s">
        <v>22</v>
      </c>
      <c r="AD16" t="s">
        <v>234</v>
      </c>
      <c r="AE16">
        <v>3.8070314016381127E-2</v>
      </c>
      <c r="AG16" t="s">
        <v>96</v>
      </c>
      <c r="AH16" t="s">
        <v>234</v>
      </c>
      <c r="AI16">
        <v>0.22741712223439148</v>
      </c>
      <c r="AK16">
        <v>2021</v>
      </c>
      <c r="AL16" t="s">
        <v>141</v>
      </c>
      <c r="AM16">
        <v>0.17168</v>
      </c>
      <c r="AN16" t="s">
        <v>227</v>
      </c>
    </row>
    <row r="17" spans="5:40" x14ac:dyDescent="0.45">
      <c r="E17" t="s">
        <v>257</v>
      </c>
      <c r="G17" t="s">
        <v>142</v>
      </c>
      <c r="I17" t="s">
        <v>151</v>
      </c>
      <c r="J17" t="s">
        <v>259</v>
      </c>
      <c r="K17">
        <v>3.0396956767549936E-2</v>
      </c>
      <c r="L17" t="s">
        <v>153</v>
      </c>
      <c r="N17" t="s">
        <v>193</v>
      </c>
      <c r="O17" t="s">
        <v>259</v>
      </c>
      <c r="P17">
        <v>1.5896651673650862E-2</v>
      </c>
      <c r="Q17" t="s">
        <v>153</v>
      </c>
      <c r="S17" t="s">
        <v>208</v>
      </c>
      <c r="T17" t="s">
        <v>259</v>
      </c>
      <c r="U17">
        <v>3.4326462495667953E-2</v>
      </c>
      <c r="V17" t="s">
        <v>153</v>
      </c>
      <c r="X17">
        <v>3.287671232876712E-2</v>
      </c>
      <c r="Y17">
        <v>4.9643238942893374E-2</v>
      </c>
      <c r="Z17" t="s">
        <v>259</v>
      </c>
      <c r="AA17" t="s">
        <v>25</v>
      </c>
      <c r="AC17" t="s">
        <v>22</v>
      </c>
      <c r="AD17" t="s">
        <v>259</v>
      </c>
      <c r="AE17">
        <v>4.1424338528104121E-2</v>
      </c>
      <c r="AG17" t="s">
        <v>96</v>
      </c>
      <c r="AH17" t="s">
        <v>259</v>
      </c>
      <c r="AI17">
        <v>0.1846419178694414</v>
      </c>
      <c r="AK17">
        <v>2021</v>
      </c>
      <c r="AL17" t="s">
        <v>145</v>
      </c>
      <c r="AM17">
        <v>0.13400000000000001</v>
      </c>
      <c r="AN17" t="s">
        <v>227</v>
      </c>
    </row>
    <row r="18" spans="5:40" x14ac:dyDescent="0.45">
      <c r="E18" t="s">
        <v>258</v>
      </c>
      <c r="G18" t="s">
        <v>142</v>
      </c>
      <c r="I18" t="s">
        <v>151</v>
      </c>
      <c r="J18" t="s">
        <v>260</v>
      </c>
      <c r="K18">
        <v>2.4596765728431141E-3</v>
      </c>
      <c r="L18" t="s">
        <v>153</v>
      </c>
      <c r="N18" t="s">
        <v>193</v>
      </c>
      <c r="O18" t="s">
        <v>260</v>
      </c>
      <c r="P18">
        <v>0.19872364393749578</v>
      </c>
      <c r="Q18" t="s">
        <v>153</v>
      </c>
      <c r="S18" t="s">
        <v>208</v>
      </c>
      <c r="T18" t="s">
        <v>260</v>
      </c>
      <c r="U18">
        <v>0.16498070109235097</v>
      </c>
      <c r="V18" t="s">
        <v>153</v>
      </c>
      <c r="X18">
        <v>0.16438356164383561</v>
      </c>
      <c r="Y18">
        <v>0.12410809735723342</v>
      </c>
      <c r="Z18" t="s">
        <v>260</v>
      </c>
      <c r="AA18" t="s">
        <v>25</v>
      </c>
      <c r="AC18" t="s">
        <v>22</v>
      </c>
      <c r="AD18" t="s">
        <v>260</v>
      </c>
      <c r="AE18">
        <v>0.18435129449801782</v>
      </c>
      <c r="AG18" t="s">
        <v>96</v>
      </c>
      <c r="AH18" t="s">
        <v>260</v>
      </c>
      <c r="AI18">
        <v>0.30717330712947177</v>
      </c>
      <c r="AK18">
        <v>2021</v>
      </c>
      <c r="AL18" t="s">
        <v>147</v>
      </c>
      <c r="AM18">
        <v>0.1273</v>
      </c>
      <c r="AN18" t="s">
        <v>227</v>
      </c>
    </row>
    <row r="19" spans="5:40" x14ac:dyDescent="0.45">
      <c r="I19" t="s">
        <v>151</v>
      </c>
      <c r="J19" t="s">
        <v>156</v>
      </c>
      <c r="K19">
        <v>0</v>
      </c>
      <c r="L19" t="s">
        <v>153</v>
      </c>
      <c r="N19" t="s">
        <v>193</v>
      </c>
      <c r="O19" t="s">
        <v>156</v>
      </c>
      <c r="P19">
        <v>1.6373994255004048E-2</v>
      </c>
      <c r="Q19" t="s">
        <v>153</v>
      </c>
      <c r="S19" t="s">
        <v>208</v>
      </c>
      <c r="T19" t="s">
        <v>156</v>
      </c>
      <c r="U19">
        <v>1.6004028013823055E-3</v>
      </c>
      <c r="V19" t="s">
        <v>153</v>
      </c>
      <c r="X19">
        <v>7.1917808219178082E-3</v>
      </c>
      <c r="Y19">
        <v>2.840166074136688E-3</v>
      </c>
      <c r="Z19" t="s">
        <v>156</v>
      </c>
      <c r="AA19" t="s">
        <v>25</v>
      </c>
      <c r="AC19" t="s">
        <v>22</v>
      </c>
      <c r="AD19" t="s">
        <v>156</v>
      </c>
      <c r="AE19">
        <v>4.7197659088835855E-3</v>
      </c>
      <c r="AG19" t="s">
        <v>96</v>
      </c>
      <c r="AH19" t="s">
        <v>156</v>
      </c>
      <c r="AI19">
        <v>6.1895453685604451E-2</v>
      </c>
      <c r="AK19">
        <v>2021</v>
      </c>
      <c r="AL19" t="s">
        <v>149</v>
      </c>
      <c r="AM19">
        <v>0.14460000000000001</v>
      </c>
      <c r="AN19" t="s">
        <v>227</v>
      </c>
    </row>
    <row r="20" spans="5:40" x14ac:dyDescent="0.45">
      <c r="I20" t="s">
        <v>151</v>
      </c>
      <c r="J20" t="s">
        <v>157</v>
      </c>
      <c r="K20">
        <v>8.5473231875540334E-4</v>
      </c>
      <c r="L20" t="s">
        <v>153</v>
      </c>
      <c r="N20" t="s">
        <v>193</v>
      </c>
      <c r="O20" t="s">
        <v>157</v>
      </c>
      <c r="P20">
        <v>1.8384311484490612E-3</v>
      </c>
      <c r="Q20" t="s">
        <v>153</v>
      </c>
      <c r="S20" t="s">
        <v>208</v>
      </c>
      <c r="T20" t="s">
        <v>157</v>
      </c>
      <c r="U20">
        <v>1.9653167958852107E-4</v>
      </c>
      <c r="V20" t="s">
        <v>153</v>
      </c>
      <c r="X20">
        <v>1.0273972602739725E-3</v>
      </c>
      <c r="Y20">
        <v>1.7154364418367602E-3</v>
      </c>
      <c r="Z20" t="s">
        <v>157</v>
      </c>
      <c r="AA20" t="s">
        <v>25</v>
      </c>
      <c r="AC20" t="s">
        <v>22</v>
      </c>
      <c r="AD20" t="s">
        <v>157</v>
      </c>
      <c r="AE20">
        <v>7.9955262584513562E-4</v>
      </c>
      <c r="AG20" t="s">
        <v>96</v>
      </c>
      <c r="AH20" t="s">
        <v>157</v>
      </c>
      <c r="AI20">
        <v>3.6907073568731574E-2</v>
      </c>
      <c r="AK20">
        <v>2021</v>
      </c>
      <c r="AL20" t="s">
        <v>247</v>
      </c>
      <c r="AM20">
        <v>0.1686</v>
      </c>
      <c r="AN20" t="s">
        <v>227</v>
      </c>
    </row>
    <row r="21" spans="5:40" x14ac:dyDescent="0.45">
      <c r="I21" t="s">
        <v>151</v>
      </c>
      <c r="J21" t="s">
        <v>158</v>
      </c>
      <c r="K21">
        <v>1.5531199444147037E-3</v>
      </c>
      <c r="L21" t="s">
        <v>153</v>
      </c>
      <c r="N21" t="s">
        <v>193</v>
      </c>
      <c r="O21" t="s">
        <v>158</v>
      </c>
      <c r="P21">
        <v>1.4920390482182193E-3</v>
      </c>
      <c r="Q21" t="s">
        <v>153</v>
      </c>
      <c r="S21" t="s">
        <v>208</v>
      </c>
      <c r="T21" t="s">
        <v>158</v>
      </c>
      <c r="U21">
        <v>2.0918377807768168E-4</v>
      </c>
      <c r="V21" t="s">
        <v>153</v>
      </c>
      <c r="X21">
        <v>1.0273972602739725E-3</v>
      </c>
      <c r="Y21">
        <v>1.3126817989707385E-3</v>
      </c>
      <c r="Z21" t="s">
        <v>158</v>
      </c>
      <c r="AA21" t="s">
        <v>25</v>
      </c>
      <c r="AC21" t="s">
        <v>22</v>
      </c>
      <c r="AD21" t="s">
        <v>158</v>
      </c>
      <c r="AE21">
        <v>9.0038474632582618E-4</v>
      </c>
      <c r="AG21" t="s">
        <v>96</v>
      </c>
      <c r="AH21" t="s">
        <v>158</v>
      </c>
      <c r="AI21">
        <v>6.0295045848541839E-3</v>
      </c>
      <c r="AK21">
        <v>2022</v>
      </c>
      <c r="AL21" t="s">
        <v>141</v>
      </c>
      <c r="AM21">
        <v>0.24783999999999998</v>
      </c>
      <c r="AN21" t="s">
        <v>227</v>
      </c>
    </row>
    <row r="22" spans="5:40" x14ac:dyDescent="0.45">
      <c r="I22" t="s">
        <v>151</v>
      </c>
      <c r="J22" t="s">
        <v>235</v>
      </c>
      <c r="K22">
        <v>2.0112000235489886E-3</v>
      </c>
      <c r="L22" t="s">
        <v>153</v>
      </c>
      <c r="N22" t="s">
        <v>193</v>
      </c>
      <c r="O22" t="s">
        <v>235</v>
      </c>
      <c r="P22">
        <v>1.4559842397412277E-3</v>
      </c>
      <c r="Q22" t="s">
        <v>153</v>
      </c>
      <c r="S22" t="s">
        <v>208</v>
      </c>
      <c r="T22" t="s">
        <v>235</v>
      </c>
      <c r="U22">
        <v>2.1836872177105783E-4</v>
      </c>
      <c r="V22" t="s">
        <v>153</v>
      </c>
      <c r="X22">
        <v>1.0273972602739725E-3</v>
      </c>
      <c r="Y22">
        <v>1.3007483280710044E-3</v>
      </c>
      <c r="Z22" t="s">
        <v>235</v>
      </c>
      <c r="AA22" t="s">
        <v>25</v>
      </c>
      <c r="AC22" t="s">
        <v>22</v>
      </c>
      <c r="AD22" t="s">
        <v>235</v>
      </c>
      <c r="AE22">
        <v>9.6026983523357374E-4</v>
      </c>
      <c r="AG22" t="s">
        <v>96</v>
      </c>
      <c r="AH22" t="s">
        <v>235</v>
      </c>
      <c r="AI22">
        <v>1.1022514071294509E-2</v>
      </c>
      <c r="AK22">
        <v>2022</v>
      </c>
      <c r="AL22" t="s">
        <v>145</v>
      </c>
      <c r="AM22">
        <v>0.13830000000000001</v>
      </c>
      <c r="AN22" t="s">
        <v>227</v>
      </c>
    </row>
    <row r="23" spans="5:40" x14ac:dyDescent="0.45">
      <c r="I23" t="s">
        <v>151</v>
      </c>
      <c r="J23" t="s">
        <v>236</v>
      </c>
      <c r="K23">
        <v>1.5573644387609832E-2</v>
      </c>
      <c r="L23" t="s">
        <v>153</v>
      </c>
      <c r="N23" t="s">
        <v>193</v>
      </c>
      <c r="O23" t="s">
        <v>236</v>
      </c>
      <c r="P23">
        <v>7.0036992450163635E-3</v>
      </c>
      <c r="Q23" t="s">
        <v>153</v>
      </c>
      <c r="S23" t="s">
        <v>208</v>
      </c>
      <c r="T23" t="s">
        <v>236</v>
      </c>
      <c r="U23">
        <v>8.8817433814165111E-4</v>
      </c>
      <c r="V23" t="s">
        <v>153</v>
      </c>
      <c r="X23">
        <v>7.1917808219178082E-3</v>
      </c>
      <c r="Y23">
        <v>1.005991596847575E-2</v>
      </c>
      <c r="Z23" t="s">
        <v>236</v>
      </c>
      <c r="AA23" t="s">
        <v>25</v>
      </c>
      <c r="AC23" t="s">
        <v>22</v>
      </c>
      <c r="AD23" t="s">
        <v>236</v>
      </c>
      <c r="AE23">
        <v>7.0223614959307188E-3</v>
      </c>
      <c r="AG23" t="s">
        <v>96</v>
      </c>
      <c r="AH23" t="s">
        <v>236</v>
      </c>
      <c r="AI23">
        <v>2.1974147337389116E-2</v>
      </c>
      <c r="AK23">
        <v>2022</v>
      </c>
      <c r="AL23" t="s">
        <v>147</v>
      </c>
      <c r="AM23">
        <v>0.16070000000000001</v>
      </c>
      <c r="AN23" t="s">
        <v>227</v>
      </c>
    </row>
    <row r="24" spans="5:40" x14ac:dyDescent="0.45">
      <c r="I24" t="s">
        <v>151</v>
      </c>
      <c r="J24" t="s">
        <v>237</v>
      </c>
      <c r="K24">
        <v>1.1345464202625684E-3</v>
      </c>
      <c r="L24" t="s">
        <v>153</v>
      </c>
      <c r="N24" t="s">
        <v>193</v>
      </c>
      <c r="O24" t="s">
        <v>237</v>
      </c>
      <c r="P24">
        <v>8.6542965241499488E-4</v>
      </c>
      <c r="Q24" t="s">
        <v>153</v>
      </c>
      <c r="S24" t="s">
        <v>208</v>
      </c>
      <c r="T24" t="s">
        <v>237</v>
      </c>
      <c r="U24">
        <v>5.1309273528381158E-5</v>
      </c>
      <c r="V24" t="s">
        <v>153</v>
      </c>
      <c r="X24">
        <v>1.0273972602739725E-3</v>
      </c>
      <c r="Y24">
        <v>1.9988563757054427E-3</v>
      </c>
      <c r="Z24" t="s">
        <v>237</v>
      </c>
      <c r="AA24" t="s">
        <v>25</v>
      </c>
      <c r="AC24" t="s">
        <v>22</v>
      </c>
      <c r="AD24" t="s">
        <v>237</v>
      </c>
      <c r="AE24">
        <v>1.0255102497338979E-3</v>
      </c>
      <c r="AG24" t="s">
        <v>96</v>
      </c>
      <c r="AH24" t="s">
        <v>237</v>
      </c>
      <c r="AI24">
        <v>3.8567804175768661E-3</v>
      </c>
      <c r="AK24">
        <v>2022</v>
      </c>
      <c r="AL24" t="s">
        <v>149</v>
      </c>
      <c r="AM24">
        <v>0.2147</v>
      </c>
      <c r="AN24" t="s">
        <v>227</v>
      </c>
    </row>
    <row r="25" spans="5:40" x14ac:dyDescent="0.45">
      <c r="I25" t="s">
        <v>151</v>
      </c>
      <c r="J25" t="s">
        <v>261</v>
      </c>
      <c r="K25">
        <v>8.0625229782445892E-4</v>
      </c>
      <c r="L25" t="s">
        <v>153</v>
      </c>
      <c r="N25" t="s">
        <v>193</v>
      </c>
      <c r="O25" t="s">
        <v>261</v>
      </c>
      <c r="P25">
        <v>1.1390410315468111E-3</v>
      </c>
      <c r="Q25" t="s">
        <v>153</v>
      </c>
      <c r="S25" t="s">
        <v>208</v>
      </c>
      <c r="T25" t="s">
        <v>261</v>
      </c>
      <c r="U25">
        <v>5.4797706653738547E-5</v>
      </c>
      <c r="V25" t="s">
        <v>153</v>
      </c>
      <c r="X25">
        <v>1.0273972602739725E-3</v>
      </c>
      <c r="Y25">
        <v>1.5513512169654179E-3</v>
      </c>
      <c r="Z25" t="s">
        <v>261</v>
      </c>
      <c r="AA25" t="s">
        <v>25</v>
      </c>
      <c r="AC25" t="s">
        <v>22</v>
      </c>
      <c r="AD25" t="s">
        <v>261</v>
      </c>
      <c r="AE25">
        <v>1.1648459240212817E-3</v>
      </c>
      <c r="AG25" t="s">
        <v>96</v>
      </c>
      <c r="AH25" t="s">
        <v>261</v>
      </c>
      <c r="AI25">
        <v>1.2650390085447327E-2</v>
      </c>
      <c r="AK25">
        <v>2022</v>
      </c>
      <c r="AL25" t="s">
        <v>247</v>
      </c>
      <c r="AM25">
        <v>0.24629999999999999</v>
      </c>
      <c r="AN25" t="s">
        <v>227</v>
      </c>
    </row>
    <row r="26" spans="5:40" x14ac:dyDescent="0.45">
      <c r="I26" t="s">
        <v>151</v>
      </c>
      <c r="J26" t="s">
        <v>262</v>
      </c>
      <c r="K26">
        <v>0</v>
      </c>
      <c r="L26" t="s">
        <v>153</v>
      </c>
      <c r="N26" t="s">
        <v>193</v>
      </c>
      <c r="O26" t="s">
        <v>262</v>
      </c>
      <c r="P26">
        <v>9.1015082009351517E-3</v>
      </c>
      <c r="Q26" t="s">
        <v>153</v>
      </c>
      <c r="S26" t="s">
        <v>208</v>
      </c>
      <c r="T26" t="s">
        <v>262</v>
      </c>
      <c r="U26">
        <v>2.6808446928379019E-4</v>
      </c>
      <c r="V26" t="s">
        <v>153</v>
      </c>
      <c r="X26">
        <v>5.1369863013698627E-3</v>
      </c>
      <c r="Y26">
        <v>3.8783780424135445E-3</v>
      </c>
      <c r="Z26" t="s">
        <v>262</v>
      </c>
      <c r="AA26" t="s">
        <v>25</v>
      </c>
      <c r="AC26" t="s">
        <v>22</v>
      </c>
      <c r="AD26" t="s">
        <v>262</v>
      </c>
      <c r="AE26">
        <v>4.9889844082543072E-3</v>
      </c>
      <c r="AG26" t="s">
        <v>96</v>
      </c>
      <c r="AH26" t="s">
        <v>262</v>
      </c>
      <c r="AI26">
        <v>0.15079837618403236</v>
      </c>
      <c r="AK26">
        <v>2025</v>
      </c>
      <c r="AL26" t="s">
        <v>141</v>
      </c>
      <c r="AM26">
        <v>0.255</v>
      </c>
      <c r="AN26" t="s">
        <v>227</v>
      </c>
    </row>
    <row r="27" spans="5:40" x14ac:dyDescent="0.45">
      <c r="I27" t="s">
        <v>151</v>
      </c>
      <c r="J27" t="s">
        <v>159</v>
      </c>
      <c r="K27">
        <v>0</v>
      </c>
      <c r="L27" t="s">
        <v>153</v>
      </c>
      <c r="N27" t="s">
        <v>193</v>
      </c>
      <c r="O27" t="s">
        <v>159</v>
      </c>
      <c r="P27">
        <v>2.1814041775164994E-2</v>
      </c>
      <c r="Q27" t="s">
        <v>153</v>
      </c>
      <c r="S27" t="s">
        <v>208</v>
      </c>
      <c r="T27" t="s">
        <v>159</v>
      </c>
      <c r="U27">
        <v>5.5392446964573063E-3</v>
      </c>
      <c r="V27" t="s">
        <v>153</v>
      </c>
      <c r="X27">
        <v>1.7579908675799085E-2</v>
      </c>
      <c r="Y27">
        <v>6.9426281812230159E-3</v>
      </c>
      <c r="Z27" t="s">
        <v>159</v>
      </c>
      <c r="AA27" t="s">
        <v>25</v>
      </c>
      <c r="AC27" t="s">
        <v>22</v>
      </c>
      <c r="AD27" t="s">
        <v>159</v>
      </c>
      <c r="AE27">
        <v>1.1376454818307914E-2</v>
      </c>
      <c r="AG27" t="s">
        <v>96</v>
      </c>
      <c r="AH27" t="s">
        <v>159</v>
      </c>
      <c r="AI27">
        <v>6.4381614983387125E-2</v>
      </c>
      <c r="AK27">
        <v>2025</v>
      </c>
      <c r="AL27" t="s">
        <v>145</v>
      </c>
      <c r="AM27">
        <v>0.1565</v>
      </c>
      <c r="AN27" t="s">
        <v>227</v>
      </c>
    </row>
    <row r="28" spans="5:40" x14ac:dyDescent="0.45">
      <c r="I28" t="s">
        <v>151</v>
      </c>
      <c r="J28" t="s">
        <v>160</v>
      </c>
      <c r="K28">
        <v>2.4445606917411658E-3</v>
      </c>
      <c r="L28" t="s">
        <v>153</v>
      </c>
      <c r="N28" t="s">
        <v>193</v>
      </c>
      <c r="O28" t="s">
        <v>160</v>
      </c>
      <c r="P28">
        <v>2.7102249641465575E-3</v>
      </c>
      <c r="Q28" t="s">
        <v>153</v>
      </c>
      <c r="S28" t="s">
        <v>208</v>
      </c>
      <c r="T28" t="s">
        <v>160</v>
      </c>
      <c r="U28">
        <v>1.1308960774298739E-3</v>
      </c>
      <c r="V28" t="s">
        <v>153</v>
      </c>
      <c r="X28">
        <v>2.5114155251141552E-3</v>
      </c>
      <c r="Y28">
        <v>4.1932890800454132E-3</v>
      </c>
      <c r="Z28" t="s">
        <v>160</v>
      </c>
      <c r="AA28" t="s">
        <v>25</v>
      </c>
      <c r="AC28" t="s">
        <v>22</v>
      </c>
      <c r="AD28" t="s">
        <v>160</v>
      </c>
      <c r="AE28">
        <v>1.9062784716731378E-3</v>
      </c>
      <c r="AG28" t="s">
        <v>96</v>
      </c>
      <c r="AH28" t="s">
        <v>160</v>
      </c>
      <c r="AI28">
        <v>5.3732779796877184E-2</v>
      </c>
      <c r="AK28">
        <v>2025</v>
      </c>
      <c r="AL28" t="s">
        <v>147</v>
      </c>
      <c r="AM28">
        <v>0.21860000000000002</v>
      </c>
      <c r="AN28" t="s">
        <v>227</v>
      </c>
    </row>
    <row r="29" spans="5:40" x14ac:dyDescent="0.45">
      <c r="I29" t="s">
        <v>151</v>
      </c>
      <c r="J29" t="s">
        <v>161</v>
      </c>
      <c r="K29">
        <v>4.7353399388420214E-3</v>
      </c>
      <c r="L29" t="s">
        <v>153</v>
      </c>
      <c r="N29" t="s">
        <v>193</v>
      </c>
      <c r="O29" t="s">
        <v>161</v>
      </c>
      <c r="P29">
        <v>1.9112399126035263E-3</v>
      </c>
      <c r="Q29" t="s">
        <v>153</v>
      </c>
      <c r="S29" t="s">
        <v>208</v>
      </c>
      <c r="T29" t="s">
        <v>161</v>
      </c>
      <c r="U29">
        <v>1.2243329046564097E-3</v>
      </c>
      <c r="V29" t="s">
        <v>153</v>
      </c>
      <c r="X29">
        <v>2.5114155251141552E-3</v>
      </c>
      <c r="Y29">
        <v>3.2087777308173605E-3</v>
      </c>
      <c r="Z29" t="s">
        <v>161</v>
      </c>
      <c r="AA29" t="s">
        <v>25</v>
      </c>
      <c r="AC29" t="s">
        <v>22</v>
      </c>
      <c r="AD29" t="s">
        <v>161</v>
      </c>
      <c r="AE29">
        <v>2.1857540028038863E-3</v>
      </c>
      <c r="AG29" t="s">
        <v>96</v>
      </c>
      <c r="AH29" t="s">
        <v>161</v>
      </c>
      <c r="AI29">
        <v>1.7495654305220931E-2</v>
      </c>
      <c r="AK29">
        <v>2025</v>
      </c>
      <c r="AL29" t="s">
        <v>149</v>
      </c>
      <c r="AM29">
        <v>0.30610000000000004</v>
      </c>
      <c r="AN29" t="s">
        <v>227</v>
      </c>
    </row>
    <row r="30" spans="5:40" x14ac:dyDescent="0.45">
      <c r="I30" t="s">
        <v>151</v>
      </c>
      <c r="J30" t="s">
        <v>238</v>
      </c>
      <c r="K30">
        <v>6.4043650769944373E-3</v>
      </c>
      <c r="L30" t="s">
        <v>153</v>
      </c>
      <c r="N30" t="s">
        <v>193</v>
      </c>
      <c r="O30" t="s">
        <v>238</v>
      </c>
      <c r="P30">
        <v>2.2562623617682965E-3</v>
      </c>
      <c r="Q30" t="s">
        <v>153</v>
      </c>
      <c r="S30" t="s">
        <v>208</v>
      </c>
      <c r="T30" t="s">
        <v>238</v>
      </c>
      <c r="U30">
        <v>1.4053498822607039E-3</v>
      </c>
      <c r="V30" t="s">
        <v>153</v>
      </c>
      <c r="X30">
        <v>2.5114155251141552E-3</v>
      </c>
      <c r="Y30">
        <v>3.1796070241735665E-3</v>
      </c>
      <c r="Z30" t="s">
        <v>238</v>
      </c>
      <c r="AA30" t="s">
        <v>25</v>
      </c>
      <c r="AC30" t="s">
        <v>22</v>
      </c>
      <c r="AD30" t="s">
        <v>238</v>
      </c>
      <c r="AE30">
        <v>2.3480839958897591E-3</v>
      </c>
      <c r="AG30" t="s">
        <v>96</v>
      </c>
      <c r="AH30" t="s">
        <v>238</v>
      </c>
      <c r="AI30">
        <v>1.1295616326580271E-2</v>
      </c>
      <c r="AK30">
        <v>2025</v>
      </c>
      <c r="AL30" t="s">
        <v>247</v>
      </c>
      <c r="AM30">
        <v>0.33150000000000002</v>
      </c>
      <c r="AN30" t="s">
        <v>227</v>
      </c>
    </row>
    <row r="31" spans="5:40" x14ac:dyDescent="0.45">
      <c r="I31" t="s">
        <v>151</v>
      </c>
      <c r="J31" t="s">
        <v>239</v>
      </c>
      <c r="K31">
        <v>4.6528515035449754E-2</v>
      </c>
      <c r="L31" t="s">
        <v>153</v>
      </c>
      <c r="N31" t="s">
        <v>193</v>
      </c>
      <c r="O31" t="s">
        <v>239</v>
      </c>
      <c r="P31">
        <v>1.6465686029267221E-2</v>
      </c>
      <c r="Q31" t="s">
        <v>153</v>
      </c>
      <c r="S31" t="s">
        <v>208</v>
      </c>
      <c r="T31" t="s">
        <v>239</v>
      </c>
      <c r="U31">
        <v>1.0334376736192077E-2</v>
      </c>
      <c r="V31" t="s">
        <v>153</v>
      </c>
      <c r="X31">
        <v>1.7579908675799085E-2</v>
      </c>
      <c r="Y31">
        <v>2.4590905700718497E-2</v>
      </c>
      <c r="Z31" t="s">
        <v>239</v>
      </c>
      <c r="AA31" t="s">
        <v>25</v>
      </c>
      <c r="AC31" t="s">
        <v>22</v>
      </c>
      <c r="AD31" t="s">
        <v>239</v>
      </c>
      <c r="AE31">
        <v>1.7393202888836928E-2</v>
      </c>
      <c r="AG31" t="s">
        <v>96</v>
      </c>
      <c r="AH31" t="s">
        <v>239</v>
      </c>
      <c r="AI31">
        <v>8.9348505070468986E-2</v>
      </c>
      <c r="AK31">
        <v>2026</v>
      </c>
      <c r="AL31" t="s">
        <v>141</v>
      </c>
      <c r="AM31">
        <v>0.24849000000000002</v>
      </c>
      <c r="AN31" t="s">
        <v>227</v>
      </c>
    </row>
    <row r="32" spans="5:40" x14ac:dyDescent="0.45">
      <c r="I32" t="s">
        <v>151</v>
      </c>
      <c r="J32" t="s">
        <v>240</v>
      </c>
      <c r="K32">
        <v>3.6209651908173882E-3</v>
      </c>
      <c r="L32" t="s">
        <v>153</v>
      </c>
      <c r="N32" t="s">
        <v>193</v>
      </c>
      <c r="O32" t="s">
        <v>240</v>
      </c>
      <c r="P32">
        <v>1.4605000998673249E-3</v>
      </c>
      <c r="Q32" t="s">
        <v>153</v>
      </c>
      <c r="S32" t="s">
        <v>208</v>
      </c>
      <c r="T32" t="s">
        <v>240</v>
      </c>
      <c r="U32">
        <v>1.2353029629059672E-3</v>
      </c>
      <c r="V32" t="s">
        <v>153</v>
      </c>
      <c r="X32">
        <v>2.5114155251141552E-3</v>
      </c>
      <c r="Y32">
        <v>4.8860933628355266E-3</v>
      </c>
      <c r="Z32" t="s">
        <v>240</v>
      </c>
      <c r="AA32" t="s">
        <v>25</v>
      </c>
      <c r="AC32" t="s">
        <v>22</v>
      </c>
      <c r="AD32" t="s">
        <v>240</v>
      </c>
      <c r="AE32">
        <v>2.5014265861247231E-3</v>
      </c>
      <c r="AG32" t="s">
        <v>96</v>
      </c>
      <c r="AH32" t="s">
        <v>240</v>
      </c>
      <c r="AI32">
        <v>8.3603722404408387E-3</v>
      </c>
      <c r="AK32">
        <v>2026</v>
      </c>
      <c r="AL32" t="s">
        <v>145</v>
      </c>
      <c r="AM32">
        <v>9.2100000000000001E-2</v>
      </c>
      <c r="AN32" t="s">
        <v>227</v>
      </c>
    </row>
    <row r="33" spans="9:40" x14ac:dyDescent="0.45">
      <c r="I33" t="s">
        <v>151</v>
      </c>
      <c r="J33" t="s">
        <v>263</v>
      </c>
      <c r="K33">
        <v>2.233164471857367E-4</v>
      </c>
      <c r="L33" t="s">
        <v>153</v>
      </c>
      <c r="N33" t="s">
        <v>193</v>
      </c>
      <c r="O33" t="s">
        <v>263</v>
      </c>
      <c r="P33">
        <v>1.8907778123926171E-3</v>
      </c>
      <c r="Q33" t="s">
        <v>153</v>
      </c>
      <c r="S33" t="s">
        <v>208</v>
      </c>
      <c r="T33" t="s">
        <v>263</v>
      </c>
      <c r="U33">
        <v>1.3331653335579433E-3</v>
      </c>
      <c r="V33" t="s">
        <v>153</v>
      </c>
      <c r="X33">
        <v>2.5114155251141552E-3</v>
      </c>
      <c r="Y33">
        <v>3.7921918636932435E-3</v>
      </c>
      <c r="Z33" t="s">
        <v>263</v>
      </c>
      <c r="AA33" t="s">
        <v>25</v>
      </c>
      <c r="AC33" t="s">
        <v>22</v>
      </c>
      <c r="AD33" t="s">
        <v>263</v>
      </c>
      <c r="AE33">
        <v>2.8641747790687541E-3</v>
      </c>
      <c r="AG33" t="s">
        <v>96</v>
      </c>
      <c r="AH33" t="s">
        <v>263</v>
      </c>
      <c r="AI33">
        <v>2.8241212265345927E-2</v>
      </c>
      <c r="AK33">
        <v>2026</v>
      </c>
      <c r="AL33" t="s">
        <v>147</v>
      </c>
      <c r="AM33">
        <v>0.13059999999999999</v>
      </c>
      <c r="AN33" t="s">
        <v>227</v>
      </c>
    </row>
    <row r="34" spans="9:40" x14ac:dyDescent="0.45">
      <c r="I34" t="s">
        <v>151</v>
      </c>
      <c r="J34" t="s">
        <v>264</v>
      </c>
      <c r="K34">
        <v>0</v>
      </c>
      <c r="L34" t="s">
        <v>153</v>
      </c>
      <c r="N34" t="s">
        <v>193</v>
      </c>
      <c r="O34" t="s">
        <v>264</v>
      </c>
      <c r="P34">
        <v>1.5625304684610569E-2</v>
      </c>
      <c r="Q34" t="s">
        <v>153</v>
      </c>
      <c r="S34" t="s">
        <v>208</v>
      </c>
      <c r="T34" t="s">
        <v>264</v>
      </c>
      <c r="U34">
        <v>5.4069320529342869E-3</v>
      </c>
      <c r="V34" t="s">
        <v>153</v>
      </c>
      <c r="X34">
        <v>1.2557077625570776E-2</v>
      </c>
      <c r="Y34">
        <v>9.4804796592331091E-3</v>
      </c>
      <c r="Z34" t="s">
        <v>264</v>
      </c>
      <c r="AA34" t="s">
        <v>25</v>
      </c>
      <c r="AC34" t="s">
        <v>22</v>
      </c>
      <c r="AD34" t="s">
        <v>264</v>
      </c>
      <c r="AE34">
        <v>1.2166300921622806E-2</v>
      </c>
      <c r="AG34" t="s">
        <v>96</v>
      </c>
      <c r="AH34" t="s">
        <v>264</v>
      </c>
      <c r="AI34">
        <v>0.17654349032371797</v>
      </c>
      <c r="AK34">
        <v>2026</v>
      </c>
      <c r="AL34" t="s">
        <v>149</v>
      </c>
      <c r="AM34">
        <v>0.20895</v>
      </c>
      <c r="AN34" t="s">
        <v>227</v>
      </c>
    </row>
    <row r="35" spans="9:40" x14ac:dyDescent="0.45">
      <c r="I35" t="s">
        <v>151</v>
      </c>
      <c r="J35" t="s">
        <v>162</v>
      </c>
      <c r="K35">
        <v>0</v>
      </c>
      <c r="L35" t="s">
        <v>153</v>
      </c>
      <c r="N35" t="s">
        <v>193</v>
      </c>
      <c r="O35" t="s">
        <v>162</v>
      </c>
      <c r="P35">
        <v>4.1568263119871871E-2</v>
      </c>
      <c r="Q35" t="s">
        <v>153</v>
      </c>
      <c r="S35" t="s">
        <v>208</v>
      </c>
      <c r="T35" t="s">
        <v>162</v>
      </c>
      <c r="U35">
        <v>3.4450545144137756E-2</v>
      </c>
      <c r="V35" t="s">
        <v>153</v>
      </c>
      <c r="X35">
        <v>2.4771689497716895E-2</v>
      </c>
      <c r="Y35">
        <v>9.7827942553597048E-3</v>
      </c>
      <c r="Z35" t="s">
        <v>162</v>
      </c>
      <c r="AA35" t="s">
        <v>25</v>
      </c>
      <c r="AC35" t="s">
        <v>22</v>
      </c>
      <c r="AD35" t="s">
        <v>162</v>
      </c>
      <c r="AE35">
        <v>1.4975732239533744E-2</v>
      </c>
      <c r="AG35" t="s">
        <v>96</v>
      </c>
      <c r="AH35" t="s">
        <v>162</v>
      </c>
      <c r="AI35">
        <v>0.11198253543603554</v>
      </c>
      <c r="AK35">
        <v>2026</v>
      </c>
      <c r="AL35" t="s">
        <v>247</v>
      </c>
      <c r="AM35">
        <v>0.24879999999999999</v>
      </c>
      <c r="AN35" t="s">
        <v>227</v>
      </c>
    </row>
    <row r="36" spans="9:40" x14ac:dyDescent="0.45">
      <c r="I36" t="s">
        <v>151</v>
      </c>
      <c r="J36" t="s">
        <v>163</v>
      </c>
      <c r="K36">
        <v>1.5544184053204937E-3</v>
      </c>
      <c r="L36" t="s">
        <v>153</v>
      </c>
      <c r="N36" t="s">
        <v>193</v>
      </c>
      <c r="O36" t="s">
        <v>163</v>
      </c>
      <c r="P36">
        <v>4.4684384010942229E-3</v>
      </c>
      <c r="Q36" t="s">
        <v>153</v>
      </c>
      <c r="S36" t="s">
        <v>208</v>
      </c>
      <c r="T36" t="s">
        <v>163</v>
      </c>
      <c r="U36">
        <v>6.4613609720744142E-3</v>
      </c>
      <c r="V36" t="s">
        <v>153</v>
      </c>
      <c r="X36">
        <v>3.5388127853881279E-3</v>
      </c>
      <c r="Y36">
        <v>5.9087255218821738E-3</v>
      </c>
      <c r="Z36" t="s">
        <v>163</v>
      </c>
      <c r="AA36" t="s">
        <v>25</v>
      </c>
      <c r="AC36" t="s">
        <v>22</v>
      </c>
      <c r="AD36" t="s">
        <v>163</v>
      </c>
      <c r="AE36">
        <v>2.5016019703557714E-3</v>
      </c>
      <c r="AG36" t="s">
        <v>96</v>
      </c>
      <c r="AH36" t="s">
        <v>163</v>
      </c>
      <c r="AI36">
        <v>0.10333472280116718</v>
      </c>
      <c r="AK36">
        <v>2027</v>
      </c>
      <c r="AL36" t="s">
        <v>141</v>
      </c>
      <c r="AM36">
        <v>0.27229000000000003</v>
      </c>
      <c r="AN36" t="s">
        <v>227</v>
      </c>
    </row>
    <row r="37" spans="9:40" x14ac:dyDescent="0.45">
      <c r="I37" t="s">
        <v>151</v>
      </c>
      <c r="J37" t="s">
        <v>164</v>
      </c>
      <c r="K37">
        <v>5.6156321445239143E-3</v>
      </c>
      <c r="L37" t="s">
        <v>153</v>
      </c>
      <c r="N37" t="s">
        <v>193</v>
      </c>
      <c r="O37" t="s">
        <v>164</v>
      </c>
      <c r="P37">
        <v>3.5463208399454148E-3</v>
      </c>
      <c r="Q37" t="s">
        <v>153</v>
      </c>
      <c r="S37" t="s">
        <v>208</v>
      </c>
      <c r="T37" t="s">
        <v>164</v>
      </c>
      <c r="U37">
        <v>6.6987771852390025E-3</v>
      </c>
      <c r="V37" t="s">
        <v>153</v>
      </c>
      <c r="X37">
        <v>3.5388127853881279E-3</v>
      </c>
      <c r="Y37">
        <v>4.521459529788099E-3</v>
      </c>
      <c r="Z37" t="s">
        <v>164</v>
      </c>
      <c r="AA37" t="s">
        <v>25</v>
      </c>
      <c r="AC37" t="s">
        <v>22</v>
      </c>
      <c r="AD37" t="s">
        <v>164</v>
      </c>
      <c r="AE37">
        <v>2.8764438317378229E-3</v>
      </c>
      <c r="AG37" t="s">
        <v>96</v>
      </c>
      <c r="AH37" t="s">
        <v>164</v>
      </c>
      <c r="AI37">
        <v>7.3763794125208504E-2</v>
      </c>
      <c r="AK37">
        <v>2027</v>
      </c>
      <c r="AL37" t="s">
        <v>145</v>
      </c>
      <c r="AM37">
        <v>0.19359999999999999</v>
      </c>
      <c r="AN37" t="s">
        <v>227</v>
      </c>
    </row>
    <row r="38" spans="9:40" x14ac:dyDescent="0.45">
      <c r="I38" t="s">
        <v>151</v>
      </c>
      <c r="J38" t="s">
        <v>241</v>
      </c>
      <c r="K38">
        <v>8.0524776643882134E-3</v>
      </c>
      <c r="L38" t="s">
        <v>153</v>
      </c>
      <c r="N38" t="s">
        <v>193</v>
      </c>
      <c r="O38" t="s">
        <v>241</v>
      </c>
      <c r="P38">
        <v>3.9183555851237247E-3</v>
      </c>
      <c r="Q38" t="s">
        <v>153</v>
      </c>
      <c r="S38" t="s">
        <v>208</v>
      </c>
      <c r="T38" t="s">
        <v>241</v>
      </c>
      <c r="U38">
        <v>6.7319888924792792E-3</v>
      </c>
      <c r="V38" t="s">
        <v>153</v>
      </c>
      <c r="X38">
        <v>3.5388127853881279E-3</v>
      </c>
      <c r="Y38">
        <v>4.4803553522445696E-3</v>
      </c>
      <c r="Z38" t="s">
        <v>241</v>
      </c>
      <c r="AA38" t="s">
        <v>25</v>
      </c>
      <c r="AC38" t="s">
        <v>22</v>
      </c>
      <c r="AD38" t="s">
        <v>241</v>
      </c>
      <c r="AE38">
        <v>3.1351873598319635E-3</v>
      </c>
      <c r="AG38" t="s">
        <v>96</v>
      </c>
      <c r="AH38" t="s">
        <v>241</v>
      </c>
      <c r="AI38">
        <v>4.5796268886381331E-2</v>
      </c>
      <c r="AK38">
        <v>2027</v>
      </c>
      <c r="AL38" t="s">
        <v>147</v>
      </c>
      <c r="AM38">
        <v>0.19505</v>
      </c>
      <c r="AN38" t="s">
        <v>227</v>
      </c>
    </row>
    <row r="39" spans="9:40" x14ac:dyDescent="0.45">
      <c r="I39" t="s">
        <v>151</v>
      </c>
      <c r="J39" t="s">
        <v>242</v>
      </c>
      <c r="K39">
        <v>6.3236992178299548E-2</v>
      </c>
      <c r="L39" t="s">
        <v>153</v>
      </c>
      <c r="N39" t="s">
        <v>193</v>
      </c>
      <c r="O39" t="s">
        <v>242</v>
      </c>
      <c r="P39">
        <v>2.487667568581008E-2</v>
      </c>
      <c r="Q39" t="s">
        <v>153</v>
      </c>
      <c r="S39" t="s">
        <v>208</v>
      </c>
      <c r="T39" t="s">
        <v>242</v>
      </c>
      <c r="U39">
        <v>3.8184982247305717E-2</v>
      </c>
      <c r="V39" t="s">
        <v>153</v>
      </c>
      <c r="X39">
        <v>2.4771689497716895E-2</v>
      </c>
      <c r="Y39">
        <v>3.4650821669194247E-2</v>
      </c>
      <c r="Z39" t="s">
        <v>242</v>
      </c>
      <c r="AA39" t="s">
        <v>25</v>
      </c>
      <c r="AC39" t="s">
        <v>22</v>
      </c>
      <c r="AD39" t="s">
        <v>242</v>
      </c>
      <c r="AE39">
        <v>2.2934461880949039E-2</v>
      </c>
      <c r="AG39" t="s">
        <v>96</v>
      </c>
      <c r="AH39" t="s">
        <v>242</v>
      </c>
      <c r="AI39">
        <v>7.9535198801467644E-2</v>
      </c>
      <c r="AK39">
        <v>2027</v>
      </c>
      <c r="AL39" t="s">
        <v>149</v>
      </c>
      <c r="AM39">
        <v>0.21005000000000001</v>
      </c>
      <c r="AN39" t="s">
        <v>227</v>
      </c>
    </row>
    <row r="40" spans="9:40" x14ac:dyDescent="0.45">
      <c r="I40" t="s">
        <v>151</v>
      </c>
      <c r="J40" t="s">
        <v>243</v>
      </c>
      <c r="K40">
        <v>3.9576608564480115E-3</v>
      </c>
      <c r="L40" t="s">
        <v>153</v>
      </c>
      <c r="N40" t="s">
        <v>193</v>
      </c>
      <c r="O40" t="s">
        <v>243</v>
      </c>
      <c r="P40">
        <v>2.465898671260713E-3</v>
      </c>
      <c r="Q40" t="s">
        <v>153</v>
      </c>
      <c r="S40" t="s">
        <v>208</v>
      </c>
      <c r="T40" t="s">
        <v>243</v>
      </c>
      <c r="U40">
        <v>3.8349052480881013E-3</v>
      </c>
      <c r="V40" t="s">
        <v>153</v>
      </c>
      <c r="X40">
        <v>3.5388127853881279E-3</v>
      </c>
      <c r="Y40">
        <v>6.8849497385409693E-3</v>
      </c>
      <c r="Z40" t="s">
        <v>243</v>
      </c>
      <c r="AA40" t="s">
        <v>25</v>
      </c>
      <c r="AC40" t="s">
        <v>22</v>
      </c>
      <c r="AD40" t="s">
        <v>243</v>
      </c>
      <c r="AE40">
        <v>3.3919646173908753E-3</v>
      </c>
      <c r="AG40" t="s">
        <v>96</v>
      </c>
      <c r="AH40" t="s">
        <v>243</v>
      </c>
      <c r="AI40">
        <v>5.263575519946162E-2</v>
      </c>
      <c r="AK40">
        <v>2027</v>
      </c>
      <c r="AL40" t="s">
        <v>247</v>
      </c>
      <c r="AM40">
        <v>0.22359999999999999</v>
      </c>
      <c r="AN40" t="s">
        <v>227</v>
      </c>
    </row>
    <row r="41" spans="9:40" x14ac:dyDescent="0.45">
      <c r="I41" t="s">
        <v>151</v>
      </c>
      <c r="J41" t="s">
        <v>265</v>
      </c>
      <c r="K41">
        <v>0</v>
      </c>
      <c r="L41" t="s">
        <v>153</v>
      </c>
      <c r="N41" t="s">
        <v>193</v>
      </c>
      <c r="O41" t="s">
        <v>265</v>
      </c>
      <c r="P41">
        <v>3.5148468115502917E-3</v>
      </c>
      <c r="Q41" t="s">
        <v>153</v>
      </c>
      <c r="S41" t="s">
        <v>208</v>
      </c>
      <c r="T41" t="s">
        <v>265</v>
      </c>
      <c r="U41">
        <v>3.9427559007725885E-3</v>
      </c>
      <c r="V41" t="s">
        <v>153</v>
      </c>
      <c r="X41">
        <v>3.5388127853881279E-3</v>
      </c>
      <c r="Y41">
        <v>5.3435430806586613E-3</v>
      </c>
      <c r="Z41" t="s">
        <v>265</v>
      </c>
      <c r="AA41" t="s">
        <v>25</v>
      </c>
      <c r="AC41" t="s">
        <v>22</v>
      </c>
      <c r="AD41" t="s">
        <v>265</v>
      </c>
      <c r="AE41">
        <v>3.7392433425959535E-3</v>
      </c>
      <c r="AG41" t="s">
        <v>96</v>
      </c>
      <c r="AH41" t="s">
        <v>265</v>
      </c>
      <c r="AI41">
        <v>8.7585430200949554E-2</v>
      </c>
      <c r="AK41">
        <v>2028</v>
      </c>
      <c r="AL41" t="s">
        <v>141</v>
      </c>
      <c r="AM41">
        <v>0.27421000000000001</v>
      </c>
      <c r="AN41" t="s">
        <v>227</v>
      </c>
    </row>
    <row r="42" spans="9:40" x14ac:dyDescent="0.45">
      <c r="I42" t="s">
        <v>151</v>
      </c>
      <c r="J42" t="s">
        <v>266</v>
      </c>
      <c r="K42">
        <v>0</v>
      </c>
      <c r="L42" t="s">
        <v>153</v>
      </c>
      <c r="N42" t="s">
        <v>193</v>
      </c>
      <c r="O42" t="s">
        <v>266</v>
      </c>
      <c r="P42">
        <v>3.3817207542016843E-2</v>
      </c>
      <c r="Q42" t="s">
        <v>153</v>
      </c>
      <c r="S42" t="s">
        <v>208</v>
      </c>
      <c r="T42" t="s">
        <v>266</v>
      </c>
      <c r="U42">
        <v>2.010125891631679E-2</v>
      </c>
      <c r="V42" t="s">
        <v>153</v>
      </c>
      <c r="X42">
        <v>1.7694063926940638E-2</v>
      </c>
      <c r="Y42">
        <v>1.3358857701646654E-2</v>
      </c>
      <c r="Z42" t="s">
        <v>266</v>
      </c>
      <c r="AA42" t="s">
        <v>25</v>
      </c>
      <c r="AC42" t="s">
        <v>22</v>
      </c>
      <c r="AD42" t="s">
        <v>266</v>
      </c>
      <c r="AE42">
        <v>1.6268840272191411E-2</v>
      </c>
      <c r="AG42" t="s">
        <v>96</v>
      </c>
      <c r="AH42" t="s">
        <v>266</v>
      </c>
      <c r="AI42">
        <v>0.21833495309972073</v>
      </c>
      <c r="AK42">
        <v>2028</v>
      </c>
      <c r="AL42" t="s">
        <v>145</v>
      </c>
      <c r="AM42">
        <v>7.3300000000000004E-2</v>
      </c>
      <c r="AN42" t="s">
        <v>227</v>
      </c>
    </row>
    <row r="43" spans="9:40" x14ac:dyDescent="0.45">
      <c r="I43" t="s">
        <v>151</v>
      </c>
      <c r="J43" t="s">
        <v>249</v>
      </c>
      <c r="K43">
        <v>0</v>
      </c>
      <c r="L43" t="s">
        <v>153</v>
      </c>
      <c r="N43" t="s">
        <v>193</v>
      </c>
      <c r="O43" t="s">
        <v>249</v>
      </c>
      <c r="P43">
        <v>2.341330177934511E-2</v>
      </c>
      <c r="Q43" t="s">
        <v>153</v>
      </c>
      <c r="S43" t="s">
        <v>208</v>
      </c>
      <c r="T43" t="s">
        <v>249</v>
      </c>
      <c r="U43">
        <v>2.5242947817219367E-2</v>
      </c>
      <c r="V43" t="s">
        <v>153</v>
      </c>
      <c r="X43">
        <v>1.1986301369863013E-2</v>
      </c>
      <c r="Y43">
        <v>4.7336101235611484E-3</v>
      </c>
      <c r="Z43" t="s">
        <v>249</v>
      </c>
      <c r="AA43" t="s">
        <v>25</v>
      </c>
      <c r="AC43" t="s">
        <v>22</v>
      </c>
      <c r="AD43" t="s">
        <v>249</v>
      </c>
      <c r="AE43">
        <v>6.4555710078985995E-3</v>
      </c>
      <c r="AG43" t="s">
        <v>96</v>
      </c>
      <c r="AH43" t="s">
        <v>249</v>
      </c>
      <c r="AI43">
        <v>2.6660834715031223E-2</v>
      </c>
      <c r="AK43">
        <v>2028</v>
      </c>
      <c r="AL43" t="s">
        <v>147</v>
      </c>
      <c r="AM43">
        <v>0.11255</v>
      </c>
      <c r="AN43" t="s">
        <v>227</v>
      </c>
    </row>
    <row r="44" spans="9:40" x14ac:dyDescent="0.45">
      <c r="I44" t="s">
        <v>151</v>
      </c>
      <c r="J44" t="s">
        <v>250</v>
      </c>
      <c r="K44">
        <v>0</v>
      </c>
      <c r="L44" t="s">
        <v>153</v>
      </c>
      <c r="N44" t="s">
        <v>193</v>
      </c>
      <c r="O44" t="s">
        <v>250</v>
      </c>
      <c r="P44">
        <v>2.7736127030378588E-3</v>
      </c>
      <c r="Q44" t="s">
        <v>153</v>
      </c>
      <c r="S44" t="s">
        <v>208</v>
      </c>
      <c r="T44" t="s">
        <v>250</v>
      </c>
      <c r="U44">
        <v>4.7889152587503123E-3</v>
      </c>
      <c r="V44" t="s">
        <v>153</v>
      </c>
      <c r="X44">
        <v>1.7123287671232876E-3</v>
      </c>
      <c r="Y44">
        <v>2.8590607363945995E-3</v>
      </c>
      <c r="Z44" t="s">
        <v>250</v>
      </c>
      <c r="AA44" t="s">
        <v>25</v>
      </c>
      <c r="AC44" t="s">
        <v>22</v>
      </c>
      <c r="AD44" t="s">
        <v>250</v>
      </c>
      <c r="AE44">
        <v>1.1220726320320153E-3</v>
      </c>
      <c r="AG44" t="s">
        <v>96</v>
      </c>
      <c r="AH44" t="s">
        <v>250</v>
      </c>
      <c r="AI44">
        <v>4.7225390703089287E-2</v>
      </c>
      <c r="AK44">
        <v>2028</v>
      </c>
      <c r="AL44" t="s">
        <v>149</v>
      </c>
      <c r="AM44">
        <v>0.21955</v>
      </c>
      <c r="AN44" t="s">
        <v>227</v>
      </c>
    </row>
    <row r="45" spans="9:40" x14ac:dyDescent="0.45">
      <c r="I45" t="s">
        <v>151</v>
      </c>
      <c r="J45" t="s">
        <v>251</v>
      </c>
      <c r="K45">
        <v>3.444827674147795E-3</v>
      </c>
      <c r="L45" t="s">
        <v>153</v>
      </c>
      <c r="N45" t="s">
        <v>193</v>
      </c>
      <c r="O45" t="s">
        <v>251</v>
      </c>
      <c r="P45">
        <v>1.8748449632275161E-3</v>
      </c>
      <c r="Q45" t="s">
        <v>153</v>
      </c>
      <c r="S45" t="s">
        <v>208</v>
      </c>
      <c r="T45" t="s">
        <v>251</v>
      </c>
      <c r="U45">
        <v>5.1758842035048236E-3</v>
      </c>
      <c r="V45" t="s">
        <v>153</v>
      </c>
      <c r="X45">
        <v>1.7123287671232876E-3</v>
      </c>
      <c r="Y45">
        <v>2.1878029982845639E-3</v>
      </c>
      <c r="Z45" t="s">
        <v>251</v>
      </c>
      <c r="AA45" t="s">
        <v>25</v>
      </c>
      <c r="AC45" t="s">
        <v>22</v>
      </c>
      <c r="AD45" t="s">
        <v>251</v>
      </c>
      <c r="AE45">
        <v>1.2936816546099761E-3</v>
      </c>
      <c r="AG45" t="s">
        <v>96</v>
      </c>
      <c r="AH45" t="s">
        <v>251</v>
      </c>
      <c r="AI45">
        <v>6.1059014126872757E-2</v>
      </c>
      <c r="AK45">
        <v>2028</v>
      </c>
      <c r="AL45" t="s">
        <v>247</v>
      </c>
      <c r="AM45">
        <v>0.2873</v>
      </c>
      <c r="AN45" t="s">
        <v>227</v>
      </c>
    </row>
    <row r="46" spans="9:40" x14ac:dyDescent="0.45">
      <c r="I46" t="s">
        <v>151</v>
      </c>
      <c r="J46" t="s">
        <v>252</v>
      </c>
      <c r="K46">
        <v>5.0506694417128172E-3</v>
      </c>
      <c r="L46" t="s">
        <v>153</v>
      </c>
      <c r="N46" t="s">
        <v>193</v>
      </c>
      <c r="O46" t="s">
        <v>252</v>
      </c>
      <c r="P46">
        <v>2.0140271168903596E-3</v>
      </c>
      <c r="Q46" t="s">
        <v>153</v>
      </c>
      <c r="S46" t="s">
        <v>208</v>
      </c>
      <c r="T46" t="s">
        <v>252</v>
      </c>
      <c r="U46">
        <v>5.5337074919214607E-3</v>
      </c>
      <c r="V46" t="s">
        <v>153</v>
      </c>
      <c r="X46">
        <v>1.7123287671232876E-3</v>
      </c>
      <c r="Y46">
        <v>2.1679138801183415E-3</v>
      </c>
      <c r="Z46" t="s">
        <v>252</v>
      </c>
      <c r="AA46" t="s">
        <v>25</v>
      </c>
      <c r="AC46" t="s">
        <v>22</v>
      </c>
      <c r="AD46" t="s">
        <v>252</v>
      </c>
      <c r="AE46">
        <v>1.4260227080945143E-3</v>
      </c>
      <c r="AG46" t="s">
        <v>96</v>
      </c>
      <c r="AH46" t="s">
        <v>252</v>
      </c>
      <c r="AI46">
        <v>5.3185636210248299E-2</v>
      </c>
      <c r="AK46">
        <v>2029</v>
      </c>
      <c r="AL46" t="s">
        <v>141</v>
      </c>
      <c r="AM46">
        <v>0.27734000000000003</v>
      </c>
      <c r="AN46" t="s">
        <v>227</v>
      </c>
    </row>
    <row r="47" spans="9:40" x14ac:dyDescent="0.45">
      <c r="I47" t="s">
        <v>151</v>
      </c>
      <c r="J47" t="s">
        <v>253</v>
      </c>
      <c r="K47">
        <v>3.913128051132074E-2</v>
      </c>
      <c r="L47" t="s">
        <v>153</v>
      </c>
      <c r="N47" t="s">
        <v>193</v>
      </c>
      <c r="O47" t="s">
        <v>253</v>
      </c>
      <c r="P47">
        <v>1.060399612746717E-2</v>
      </c>
      <c r="Q47" t="s">
        <v>153</v>
      </c>
      <c r="S47" t="s">
        <v>208</v>
      </c>
      <c r="T47" t="s">
        <v>253</v>
      </c>
      <c r="U47">
        <v>3.8230333819286366E-2</v>
      </c>
      <c r="V47" t="s">
        <v>153</v>
      </c>
      <c r="X47">
        <v>1.1986301369863013E-2</v>
      </c>
      <c r="Y47">
        <v>1.6766526614126247E-2</v>
      </c>
      <c r="Z47" t="s">
        <v>253</v>
      </c>
      <c r="AA47" t="s">
        <v>25</v>
      </c>
      <c r="AC47" t="s">
        <v>22</v>
      </c>
      <c r="AD47" t="s">
        <v>253</v>
      </c>
      <c r="AE47">
        <v>1.072256806851909E-2</v>
      </c>
      <c r="AG47" t="s">
        <v>96</v>
      </c>
      <c r="AH47" t="s">
        <v>253</v>
      </c>
      <c r="AI47">
        <v>6.071351489778487E-2</v>
      </c>
      <c r="AK47">
        <v>2029</v>
      </c>
      <c r="AL47" t="s">
        <v>145</v>
      </c>
      <c r="AM47">
        <v>0.20519999999999999</v>
      </c>
      <c r="AN47" t="s">
        <v>227</v>
      </c>
    </row>
    <row r="48" spans="9:40" x14ac:dyDescent="0.45">
      <c r="I48" t="s">
        <v>151</v>
      </c>
      <c r="J48" t="s">
        <v>254</v>
      </c>
      <c r="K48">
        <v>3.5835018709221371E-3</v>
      </c>
      <c r="L48" t="s">
        <v>153</v>
      </c>
      <c r="N48" t="s">
        <v>193</v>
      </c>
      <c r="O48" t="s">
        <v>254</v>
      </c>
      <c r="P48">
        <v>6.6547139035804043E-4</v>
      </c>
      <c r="Q48" t="s">
        <v>153</v>
      </c>
      <c r="S48" t="s">
        <v>208</v>
      </c>
      <c r="T48" t="s">
        <v>254</v>
      </c>
      <c r="U48">
        <v>3.9034550672412153E-3</v>
      </c>
      <c r="V48" t="s">
        <v>153</v>
      </c>
      <c r="X48">
        <v>1.7123287671232876E-3</v>
      </c>
      <c r="Y48">
        <v>3.3314272928424045E-3</v>
      </c>
      <c r="Z48" t="s">
        <v>254</v>
      </c>
      <c r="AA48" t="s">
        <v>25</v>
      </c>
      <c r="AC48" t="s">
        <v>22</v>
      </c>
      <c r="AD48" t="s">
        <v>254</v>
      </c>
      <c r="AE48">
        <v>1.5873717752055089E-3</v>
      </c>
      <c r="AG48" t="s">
        <v>96</v>
      </c>
      <c r="AH48" t="s">
        <v>254</v>
      </c>
      <c r="AI48">
        <v>3.7161502353741271E-2</v>
      </c>
      <c r="AK48">
        <v>2029</v>
      </c>
      <c r="AL48" t="s">
        <v>147</v>
      </c>
      <c r="AM48">
        <v>0.21345</v>
      </c>
      <c r="AN48" t="s">
        <v>227</v>
      </c>
    </row>
    <row r="49" spans="9:40" x14ac:dyDescent="0.45">
      <c r="I49" t="s">
        <v>151</v>
      </c>
      <c r="J49" t="s">
        <v>267</v>
      </c>
      <c r="K49">
        <v>1.0383742438879117E-3</v>
      </c>
      <c r="L49" t="s">
        <v>153</v>
      </c>
      <c r="N49" t="s">
        <v>193</v>
      </c>
      <c r="O49" t="s">
        <v>267</v>
      </c>
      <c r="P49">
        <v>1.3522946370085115E-3</v>
      </c>
      <c r="Q49" t="s">
        <v>153</v>
      </c>
      <c r="S49" t="s">
        <v>208</v>
      </c>
      <c r="T49" t="s">
        <v>267</v>
      </c>
      <c r="U49">
        <v>3.8702226937669384E-3</v>
      </c>
      <c r="V49" t="s">
        <v>153</v>
      </c>
      <c r="X49">
        <v>1.7123287671232876E-3</v>
      </c>
      <c r="Y49">
        <v>2.5855853616090292E-3</v>
      </c>
      <c r="Z49" t="s">
        <v>267</v>
      </c>
      <c r="AA49" t="s">
        <v>25</v>
      </c>
      <c r="AC49" t="s">
        <v>22</v>
      </c>
      <c r="AD49" t="s">
        <v>267</v>
      </c>
      <c r="AE49">
        <v>1.6876736654295088E-3</v>
      </c>
      <c r="AG49" t="s">
        <v>96</v>
      </c>
      <c r="AH49" t="s">
        <v>267</v>
      </c>
      <c r="AI49">
        <v>3.3458575148292979E-2</v>
      </c>
      <c r="AK49">
        <v>2029</v>
      </c>
      <c r="AL49" t="s">
        <v>149</v>
      </c>
      <c r="AM49">
        <v>0.17899999999999999</v>
      </c>
      <c r="AN49" t="s">
        <v>227</v>
      </c>
    </row>
    <row r="50" spans="9:40" x14ac:dyDescent="0.45">
      <c r="I50" t="s">
        <v>151</v>
      </c>
      <c r="J50" t="s">
        <v>268</v>
      </c>
      <c r="K50">
        <v>0</v>
      </c>
      <c r="L50" t="s">
        <v>153</v>
      </c>
      <c r="N50" t="s">
        <v>193</v>
      </c>
      <c r="O50" t="s">
        <v>268</v>
      </c>
      <c r="P50">
        <v>1.8107782507105097E-2</v>
      </c>
      <c r="Q50" t="s">
        <v>153</v>
      </c>
      <c r="S50" t="s">
        <v>208</v>
      </c>
      <c r="T50" t="s">
        <v>268</v>
      </c>
      <c r="U50">
        <v>1.7283877238692937E-2</v>
      </c>
      <c r="V50" t="s">
        <v>153</v>
      </c>
      <c r="X50">
        <v>8.5616438356164379E-3</v>
      </c>
      <c r="Y50">
        <v>6.4639634040225746E-3</v>
      </c>
      <c r="Z50" t="s">
        <v>268</v>
      </c>
      <c r="AA50" t="s">
        <v>25</v>
      </c>
      <c r="AC50" t="s">
        <v>22</v>
      </c>
      <c r="AD50" t="s">
        <v>268</v>
      </c>
      <c r="AE50">
        <v>7.3892989271139541E-3</v>
      </c>
      <c r="AG50" t="s">
        <v>96</v>
      </c>
      <c r="AH50" t="s">
        <v>268</v>
      </c>
      <c r="AI50">
        <v>0.15011151083754126</v>
      </c>
      <c r="AK50">
        <v>2029</v>
      </c>
      <c r="AL50" t="s">
        <v>247</v>
      </c>
      <c r="AM50">
        <v>0.1363</v>
      </c>
      <c r="AN50" t="s">
        <v>227</v>
      </c>
    </row>
    <row r="51" spans="9:40" x14ac:dyDescent="0.45">
      <c r="I51" t="s">
        <v>165</v>
      </c>
      <c r="J51" t="s">
        <v>152</v>
      </c>
      <c r="K51">
        <v>0</v>
      </c>
      <c r="L51" t="s">
        <v>153</v>
      </c>
      <c r="N51" t="s">
        <v>194</v>
      </c>
      <c r="O51" t="s">
        <v>152</v>
      </c>
      <c r="P51">
        <v>0.22149508981533347</v>
      </c>
      <c r="Q51" t="s">
        <v>153</v>
      </c>
      <c r="S51" t="s">
        <v>209</v>
      </c>
      <c r="T51" t="s">
        <v>152</v>
      </c>
      <c r="U51">
        <v>0.25125257859760119</v>
      </c>
      <c r="V51" t="s">
        <v>153</v>
      </c>
      <c r="AC51" t="s">
        <v>19</v>
      </c>
      <c r="AD51" t="s">
        <v>152</v>
      </c>
      <c r="AE51">
        <v>0.22622881855802598</v>
      </c>
      <c r="AK51">
        <v>2030</v>
      </c>
      <c r="AL51" t="s">
        <v>141</v>
      </c>
      <c r="AM51">
        <v>0.26264999999999999</v>
      </c>
      <c r="AN51" t="s">
        <v>227</v>
      </c>
    </row>
    <row r="52" spans="9:40" x14ac:dyDescent="0.45">
      <c r="I52" t="s">
        <v>165</v>
      </c>
      <c r="J52" t="s">
        <v>154</v>
      </c>
      <c r="K52">
        <v>2.0286867755578072E-2</v>
      </c>
      <c r="L52" t="s">
        <v>153</v>
      </c>
      <c r="N52" t="s">
        <v>194</v>
      </c>
      <c r="O52" t="s">
        <v>154</v>
      </c>
      <c r="P52">
        <v>2.4523000849256578E-2</v>
      </c>
      <c r="Q52" t="s">
        <v>153</v>
      </c>
      <c r="S52" t="s">
        <v>209</v>
      </c>
      <c r="T52" t="s">
        <v>154</v>
      </c>
      <c r="U52">
        <v>3.299906275741489E-2</v>
      </c>
      <c r="V52" t="s">
        <v>153</v>
      </c>
      <c r="AC52" t="s">
        <v>19</v>
      </c>
      <c r="AD52" t="s">
        <v>154</v>
      </c>
      <c r="AE52">
        <v>3.2393815358126153E-2</v>
      </c>
      <c r="AK52">
        <v>2030</v>
      </c>
      <c r="AL52" t="s">
        <v>145</v>
      </c>
      <c r="AM52">
        <v>0.21609999999999999</v>
      </c>
      <c r="AN52" t="s">
        <v>227</v>
      </c>
    </row>
    <row r="53" spans="9:40" x14ac:dyDescent="0.45">
      <c r="I53" t="s">
        <v>165</v>
      </c>
      <c r="J53" t="s">
        <v>155</v>
      </c>
      <c r="K53">
        <v>4.772790690632913E-2</v>
      </c>
      <c r="L53" t="s">
        <v>153</v>
      </c>
      <c r="N53" t="s">
        <v>194</v>
      </c>
      <c r="O53" t="s">
        <v>155</v>
      </c>
      <c r="P53">
        <v>2.2484361518610271E-2</v>
      </c>
      <c r="Q53" t="s">
        <v>153</v>
      </c>
      <c r="S53" t="s">
        <v>209</v>
      </c>
      <c r="T53" t="s">
        <v>155</v>
      </c>
      <c r="U53">
        <v>3.3209969165945451E-2</v>
      </c>
      <c r="V53" t="s">
        <v>153</v>
      </c>
      <c r="AC53" t="s">
        <v>19</v>
      </c>
      <c r="AD53" t="s">
        <v>155</v>
      </c>
      <c r="AE53">
        <v>3.2674840128449699E-2</v>
      </c>
      <c r="AK53">
        <v>2030</v>
      </c>
      <c r="AL53" t="s">
        <v>147</v>
      </c>
      <c r="AM53">
        <v>0.19939999999999999</v>
      </c>
      <c r="AN53" t="s">
        <v>227</v>
      </c>
    </row>
    <row r="54" spans="9:40" x14ac:dyDescent="0.45">
      <c r="I54" t="s">
        <v>165</v>
      </c>
      <c r="J54" t="s">
        <v>232</v>
      </c>
      <c r="K54">
        <v>6.6122133605282324E-2</v>
      </c>
      <c r="L54" t="s">
        <v>153</v>
      </c>
      <c r="N54" t="s">
        <v>194</v>
      </c>
      <c r="O54" t="s">
        <v>232</v>
      </c>
      <c r="P54">
        <v>2.3767106007706075E-2</v>
      </c>
      <c r="Q54" t="s">
        <v>153</v>
      </c>
      <c r="S54" t="s">
        <v>209</v>
      </c>
      <c r="T54" t="s">
        <v>232</v>
      </c>
      <c r="U54">
        <v>3.3260634045976761E-2</v>
      </c>
      <c r="V54" t="s">
        <v>153</v>
      </c>
      <c r="AC54" t="s">
        <v>19</v>
      </c>
      <c r="AD54" t="s">
        <v>232</v>
      </c>
      <c r="AE54">
        <v>3.3057444848444403E-2</v>
      </c>
      <c r="AK54">
        <v>2030</v>
      </c>
      <c r="AL54" t="s">
        <v>149</v>
      </c>
      <c r="AM54">
        <v>0.20879999999999999</v>
      </c>
      <c r="AN54" t="s">
        <v>227</v>
      </c>
    </row>
    <row r="55" spans="9:40" x14ac:dyDescent="0.45">
      <c r="I55" t="s">
        <v>165</v>
      </c>
      <c r="J55" t="s">
        <v>233</v>
      </c>
      <c r="K55">
        <v>0.56494117813583788</v>
      </c>
      <c r="L55" t="s">
        <v>153</v>
      </c>
      <c r="N55" t="s">
        <v>194</v>
      </c>
      <c r="O55" t="s">
        <v>233</v>
      </c>
      <c r="P55">
        <v>0.13873255604535711</v>
      </c>
      <c r="Q55" t="s">
        <v>153</v>
      </c>
      <c r="S55" t="s">
        <v>209</v>
      </c>
      <c r="T55" t="s">
        <v>233</v>
      </c>
      <c r="U55">
        <v>0.21990452616066686</v>
      </c>
      <c r="V55" t="s">
        <v>153</v>
      </c>
      <c r="AC55" t="s">
        <v>19</v>
      </c>
      <c r="AD55" t="s">
        <v>233</v>
      </c>
      <c r="AE55">
        <v>0.23283253278681687</v>
      </c>
      <c r="AK55">
        <v>2030</v>
      </c>
      <c r="AL55" t="s">
        <v>247</v>
      </c>
      <c r="AM55">
        <v>0.2349</v>
      </c>
      <c r="AN55" t="s">
        <v>227</v>
      </c>
    </row>
    <row r="56" spans="9:40" x14ac:dyDescent="0.45">
      <c r="I56" t="s">
        <v>165</v>
      </c>
      <c r="J56" t="s">
        <v>234</v>
      </c>
      <c r="K56">
        <v>5.0662431109142571E-2</v>
      </c>
      <c r="L56" t="s">
        <v>153</v>
      </c>
      <c r="N56" t="s">
        <v>194</v>
      </c>
      <c r="O56" t="s">
        <v>234</v>
      </c>
      <c r="P56">
        <v>1.6224210635138372E-2</v>
      </c>
      <c r="Q56" t="s">
        <v>153</v>
      </c>
      <c r="S56" t="s">
        <v>209</v>
      </c>
      <c r="T56" t="s">
        <v>234</v>
      </c>
      <c r="U56">
        <v>3.1413678360989121E-2</v>
      </c>
      <c r="V56" t="s">
        <v>153</v>
      </c>
      <c r="AC56" t="s">
        <v>19</v>
      </c>
      <c r="AD56" t="s">
        <v>234</v>
      </c>
      <c r="AE56">
        <v>3.3195101452226622E-2</v>
      </c>
      <c r="AK56">
        <v>2031</v>
      </c>
      <c r="AL56" t="s">
        <v>141</v>
      </c>
      <c r="AM56">
        <v>0.23094000000000001</v>
      </c>
      <c r="AN56" t="s">
        <v>227</v>
      </c>
    </row>
    <row r="57" spans="9:40" x14ac:dyDescent="0.45">
      <c r="I57" t="s">
        <v>165</v>
      </c>
      <c r="J57" t="s">
        <v>259</v>
      </c>
      <c r="K57">
        <v>2.9719174153401525E-2</v>
      </c>
      <c r="L57" t="s">
        <v>153</v>
      </c>
      <c r="N57" t="s">
        <v>194</v>
      </c>
      <c r="O57" t="s">
        <v>259</v>
      </c>
      <c r="P57">
        <v>2.281602740673019E-2</v>
      </c>
      <c r="Q57" t="s">
        <v>153</v>
      </c>
      <c r="S57" t="s">
        <v>209</v>
      </c>
      <c r="T57" t="s">
        <v>259</v>
      </c>
      <c r="U57">
        <v>3.3037685454594734E-2</v>
      </c>
      <c r="V57" t="s">
        <v>153</v>
      </c>
      <c r="AC57" t="s">
        <v>19</v>
      </c>
      <c r="AD57" t="s">
        <v>259</v>
      </c>
      <c r="AE57">
        <v>3.3470353015091103E-2</v>
      </c>
      <c r="AK57">
        <v>2031</v>
      </c>
      <c r="AL57" t="s">
        <v>145</v>
      </c>
      <c r="AM57">
        <v>0.14449999999999999</v>
      </c>
      <c r="AN57" t="s">
        <v>227</v>
      </c>
    </row>
    <row r="58" spans="9:40" x14ac:dyDescent="0.45">
      <c r="I58" t="s">
        <v>165</v>
      </c>
      <c r="J58" t="s">
        <v>260</v>
      </c>
      <c r="K58">
        <v>2.0677056594616528E-3</v>
      </c>
      <c r="L58" t="s">
        <v>153</v>
      </c>
      <c r="N58" t="s">
        <v>194</v>
      </c>
      <c r="O58" t="s">
        <v>260</v>
      </c>
      <c r="P58">
        <v>0.18048211952319521</v>
      </c>
      <c r="Q58" t="s">
        <v>153</v>
      </c>
      <c r="S58" t="s">
        <v>209</v>
      </c>
      <c r="T58" t="s">
        <v>260</v>
      </c>
      <c r="U58">
        <v>0.17489215727218196</v>
      </c>
      <c r="V58" t="s">
        <v>153</v>
      </c>
      <c r="AC58" t="s">
        <v>19</v>
      </c>
      <c r="AD58" t="s">
        <v>260</v>
      </c>
      <c r="AE58">
        <v>0.16548308831001632</v>
      </c>
      <c r="AK58">
        <v>2031</v>
      </c>
      <c r="AL58" t="s">
        <v>147</v>
      </c>
      <c r="AM58">
        <v>0.1452</v>
      </c>
      <c r="AN58" t="s">
        <v>227</v>
      </c>
    </row>
    <row r="59" spans="9:40" x14ac:dyDescent="0.45">
      <c r="I59" t="s">
        <v>165</v>
      </c>
      <c r="J59" t="s">
        <v>156</v>
      </c>
      <c r="K59">
        <v>0</v>
      </c>
      <c r="L59" t="s">
        <v>153</v>
      </c>
      <c r="N59" t="s">
        <v>194</v>
      </c>
      <c r="O59" t="s">
        <v>156</v>
      </c>
      <c r="P59">
        <v>1.2308846459205004E-2</v>
      </c>
      <c r="Q59" t="s">
        <v>153</v>
      </c>
      <c r="S59" t="s">
        <v>209</v>
      </c>
      <c r="T59" t="s">
        <v>156</v>
      </c>
      <c r="U59">
        <v>1.9028247332625507E-3</v>
      </c>
      <c r="V59" t="s">
        <v>153</v>
      </c>
      <c r="AC59" t="s">
        <v>19</v>
      </c>
      <c r="AD59" t="s">
        <v>156</v>
      </c>
      <c r="AE59">
        <v>7.0531845901653156E-3</v>
      </c>
      <c r="AK59">
        <v>2031</v>
      </c>
      <c r="AL59" t="s">
        <v>149</v>
      </c>
      <c r="AM59">
        <v>0.16320000000000001</v>
      </c>
      <c r="AN59" t="s">
        <v>227</v>
      </c>
    </row>
    <row r="60" spans="9:40" x14ac:dyDescent="0.45">
      <c r="I60" t="s">
        <v>165</v>
      </c>
      <c r="J60" t="s">
        <v>157</v>
      </c>
      <c r="K60">
        <v>9.7419033208716657E-4</v>
      </c>
      <c r="L60" t="s">
        <v>153</v>
      </c>
      <c r="N60" t="s">
        <v>194</v>
      </c>
      <c r="O60" t="s">
        <v>157</v>
      </c>
      <c r="P60">
        <v>1.3356912104428192E-3</v>
      </c>
      <c r="Q60" t="s">
        <v>153</v>
      </c>
      <c r="S60" t="s">
        <v>209</v>
      </c>
      <c r="T60" t="s">
        <v>157</v>
      </c>
      <c r="U60">
        <v>2.2298582168474705E-4</v>
      </c>
      <c r="V60" t="s">
        <v>153</v>
      </c>
      <c r="AC60" t="s">
        <v>19</v>
      </c>
      <c r="AD60" t="s">
        <v>157</v>
      </c>
      <c r="AE60">
        <v>1.0178807043730942E-3</v>
      </c>
      <c r="AK60">
        <v>2031</v>
      </c>
      <c r="AL60" t="s">
        <v>247</v>
      </c>
      <c r="AM60">
        <v>0.18049999999999999</v>
      </c>
      <c r="AN60" t="s">
        <v>227</v>
      </c>
    </row>
    <row r="61" spans="9:40" x14ac:dyDescent="0.45">
      <c r="I61" t="s">
        <v>165</v>
      </c>
      <c r="J61" t="s">
        <v>158</v>
      </c>
      <c r="K61">
        <v>1.727794372004082E-3</v>
      </c>
      <c r="L61" t="s">
        <v>153</v>
      </c>
      <c r="N61" t="s">
        <v>194</v>
      </c>
      <c r="O61" t="s">
        <v>158</v>
      </c>
      <c r="P61">
        <v>1.1036618069555028E-3</v>
      </c>
      <c r="Q61" t="s">
        <v>153</v>
      </c>
      <c r="S61" t="s">
        <v>209</v>
      </c>
      <c r="T61" t="s">
        <v>158</v>
      </c>
      <c r="U61">
        <v>2.2476550098536908E-4</v>
      </c>
      <c r="V61" t="s">
        <v>153</v>
      </c>
      <c r="AC61" t="s">
        <v>19</v>
      </c>
      <c r="AD61" t="s">
        <v>158</v>
      </c>
      <c r="AE61">
        <v>1.0261555988028287E-3</v>
      </c>
      <c r="AK61">
        <v>2032</v>
      </c>
      <c r="AL61" t="s">
        <v>141</v>
      </c>
      <c r="AM61">
        <v>0.26496999999999998</v>
      </c>
      <c r="AN61" t="s">
        <v>227</v>
      </c>
    </row>
    <row r="62" spans="9:40" x14ac:dyDescent="0.45">
      <c r="I62" t="s">
        <v>165</v>
      </c>
      <c r="J62" t="s">
        <v>235</v>
      </c>
      <c r="K62">
        <v>2.2113018875169338E-3</v>
      </c>
      <c r="L62" t="s">
        <v>153</v>
      </c>
      <c r="N62" t="s">
        <v>194</v>
      </c>
      <c r="O62" t="s">
        <v>235</v>
      </c>
      <c r="P62">
        <v>1.6141734634983968E-3</v>
      </c>
      <c r="Q62" t="s">
        <v>153</v>
      </c>
      <c r="S62" t="s">
        <v>209</v>
      </c>
      <c r="T62" t="s">
        <v>235</v>
      </c>
      <c r="U62">
        <v>2.4957364940016049E-4</v>
      </c>
      <c r="V62" t="s">
        <v>153</v>
      </c>
      <c r="AC62" t="s">
        <v>19</v>
      </c>
      <c r="AD62" t="s">
        <v>235</v>
      </c>
      <c r="AE62">
        <v>1.0310701318530563E-3</v>
      </c>
      <c r="AK62">
        <v>2032</v>
      </c>
      <c r="AL62" t="s">
        <v>145</v>
      </c>
      <c r="AM62">
        <v>0.1181</v>
      </c>
      <c r="AN62" t="s">
        <v>227</v>
      </c>
    </row>
    <row r="63" spans="9:40" x14ac:dyDescent="0.45">
      <c r="I63" t="s">
        <v>165</v>
      </c>
      <c r="J63" t="s">
        <v>236</v>
      </c>
      <c r="K63">
        <v>1.5919673468614649E-2</v>
      </c>
      <c r="L63" t="s">
        <v>153</v>
      </c>
      <c r="N63" t="s">
        <v>194</v>
      </c>
      <c r="O63" t="s">
        <v>236</v>
      </c>
      <c r="P63">
        <v>1.0660803652264853E-2</v>
      </c>
      <c r="Q63" t="s">
        <v>153</v>
      </c>
      <c r="S63" t="s">
        <v>209</v>
      </c>
      <c r="T63" t="s">
        <v>236</v>
      </c>
      <c r="U63">
        <v>8.7002947853438597E-4</v>
      </c>
      <c r="V63" t="s">
        <v>153</v>
      </c>
      <c r="AC63" t="s">
        <v>19</v>
      </c>
      <c r="AD63" t="s">
        <v>236</v>
      </c>
      <c r="AE63">
        <v>7.2421495281865924E-3</v>
      </c>
      <c r="AK63">
        <v>2032</v>
      </c>
      <c r="AL63" t="s">
        <v>147</v>
      </c>
      <c r="AM63">
        <v>0.1699</v>
      </c>
      <c r="AN63" t="s">
        <v>227</v>
      </c>
    </row>
    <row r="64" spans="9:40" x14ac:dyDescent="0.45">
      <c r="I64" t="s">
        <v>165</v>
      </c>
      <c r="J64" t="s">
        <v>237</v>
      </c>
      <c r="K64">
        <v>1.1358283700820245E-3</v>
      </c>
      <c r="L64" t="s">
        <v>153</v>
      </c>
      <c r="N64" t="s">
        <v>194</v>
      </c>
      <c r="O64" t="s">
        <v>237</v>
      </c>
      <c r="P64">
        <v>1.3422768408793287E-3</v>
      </c>
      <c r="Q64" t="s">
        <v>153</v>
      </c>
      <c r="S64" t="s">
        <v>209</v>
      </c>
      <c r="T64" t="s">
        <v>237</v>
      </c>
      <c r="U64">
        <v>3.6681938233855811E-5</v>
      </c>
      <c r="V64" t="s">
        <v>153</v>
      </c>
      <c r="AC64" t="s">
        <v>19</v>
      </c>
      <c r="AD64" t="s">
        <v>237</v>
      </c>
      <c r="AE64">
        <v>1.0364241553524004E-3</v>
      </c>
      <c r="AK64">
        <v>2032</v>
      </c>
      <c r="AL64" t="s">
        <v>149</v>
      </c>
      <c r="AM64">
        <v>0.19405</v>
      </c>
      <c r="AN64" t="s">
        <v>227</v>
      </c>
    </row>
    <row r="65" spans="9:40" x14ac:dyDescent="0.45">
      <c r="I65" t="s">
        <v>165</v>
      </c>
      <c r="J65" t="s">
        <v>261</v>
      </c>
      <c r="K65">
        <v>6.683816705711546E-4</v>
      </c>
      <c r="L65" t="s">
        <v>153</v>
      </c>
      <c r="N65" t="s">
        <v>194</v>
      </c>
      <c r="O65" t="s">
        <v>261</v>
      </c>
      <c r="P65">
        <v>1.5817033488886155E-3</v>
      </c>
      <c r="Q65" t="s">
        <v>153</v>
      </c>
      <c r="S65" t="s">
        <v>209</v>
      </c>
      <c r="T65" t="s">
        <v>261</v>
      </c>
      <c r="U65">
        <v>3.0137587610841075E-5</v>
      </c>
      <c r="V65" t="s">
        <v>153</v>
      </c>
      <c r="AC65" t="s">
        <v>19</v>
      </c>
      <c r="AD65" t="s">
        <v>261</v>
      </c>
      <c r="AE65">
        <v>1.0478588845788353E-3</v>
      </c>
      <c r="AK65">
        <v>2032</v>
      </c>
      <c r="AL65" t="s">
        <v>247</v>
      </c>
      <c r="AM65">
        <v>0.16639999999999999</v>
      </c>
      <c r="AN65" t="s">
        <v>227</v>
      </c>
    </row>
    <row r="66" spans="9:40" x14ac:dyDescent="0.45">
      <c r="I66" t="s">
        <v>165</v>
      </c>
      <c r="J66" t="s">
        <v>262</v>
      </c>
      <c r="K66">
        <v>0</v>
      </c>
      <c r="L66" t="s">
        <v>153</v>
      </c>
      <c r="N66" t="s">
        <v>194</v>
      </c>
      <c r="O66" t="s">
        <v>262</v>
      </c>
      <c r="P66">
        <v>1.0366694200944264E-2</v>
      </c>
      <c r="Q66" t="s">
        <v>153</v>
      </c>
      <c r="S66" t="s">
        <v>209</v>
      </c>
      <c r="T66" t="s">
        <v>262</v>
      </c>
      <c r="U66">
        <v>3.4651050001948606E-4</v>
      </c>
      <c r="V66" t="s">
        <v>153</v>
      </c>
      <c r="AC66" t="s">
        <v>19</v>
      </c>
      <c r="AD66" t="s">
        <v>262</v>
      </c>
      <c r="AE66">
        <v>5.1707491426990536E-3</v>
      </c>
      <c r="AK66">
        <v>2033</v>
      </c>
      <c r="AL66" t="s">
        <v>141</v>
      </c>
      <c r="AM66">
        <v>0.23738000000000001</v>
      </c>
      <c r="AN66" t="s">
        <v>227</v>
      </c>
    </row>
    <row r="67" spans="9:40" x14ac:dyDescent="0.45">
      <c r="I67" t="s">
        <v>165</v>
      </c>
      <c r="J67" t="s">
        <v>159</v>
      </c>
      <c r="K67">
        <v>0</v>
      </c>
      <c r="L67" t="s">
        <v>153</v>
      </c>
      <c r="N67" t="s">
        <v>194</v>
      </c>
      <c r="O67" t="s">
        <v>159</v>
      </c>
      <c r="P67">
        <v>2.1193914897489608E-2</v>
      </c>
      <c r="Q67" t="s">
        <v>153</v>
      </c>
      <c r="S67" t="s">
        <v>209</v>
      </c>
      <c r="T67" t="s">
        <v>159</v>
      </c>
      <c r="U67">
        <v>4.5775634614683433E-3</v>
      </c>
      <c r="V67" t="s">
        <v>153</v>
      </c>
      <c r="AC67" t="s">
        <v>19</v>
      </c>
      <c r="AD67" t="s">
        <v>159</v>
      </c>
      <c r="AE67">
        <v>1.7236307263941018E-2</v>
      </c>
      <c r="AK67">
        <v>2033</v>
      </c>
      <c r="AL67" t="s">
        <v>145</v>
      </c>
      <c r="AM67">
        <v>0.1333</v>
      </c>
      <c r="AN67" t="s">
        <v>227</v>
      </c>
    </row>
    <row r="68" spans="9:40" x14ac:dyDescent="0.45">
      <c r="I68" t="s">
        <v>165</v>
      </c>
      <c r="J68" t="s">
        <v>160</v>
      </c>
      <c r="K68">
        <v>2.5879528619162139E-3</v>
      </c>
      <c r="L68" t="s">
        <v>153</v>
      </c>
      <c r="N68" t="s">
        <v>194</v>
      </c>
      <c r="O68" t="s">
        <v>160</v>
      </c>
      <c r="P68">
        <v>2.5152895477682084E-3</v>
      </c>
      <c r="Q68" t="s">
        <v>153</v>
      </c>
      <c r="S68" t="s">
        <v>209</v>
      </c>
      <c r="T68" t="s">
        <v>160</v>
      </c>
      <c r="U68">
        <v>9.162030740023099E-4</v>
      </c>
      <c r="V68" t="s">
        <v>153</v>
      </c>
      <c r="AC68" t="s">
        <v>19</v>
      </c>
      <c r="AD68" t="s">
        <v>160</v>
      </c>
      <c r="AE68">
        <v>2.4853959680112866E-3</v>
      </c>
      <c r="AK68">
        <v>2033</v>
      </c>
      <c r="AL68" t="s">
        <v>147</v>
      </c>
      <c r="AM68">
        <v>0.12725</v>
      </c>
      <c r="AN68" t="s">
        <v>227</v>
      </c>
    </row>
    <row r="69" spans="9:40" x14ac:dyDescent="0.45">
      <c r="I69" t="s">
        <v>165</v>
      </c>
      <c r="J69" t="s">
        <v>161</v>
      </c>
      <c r="K69">
        <v>4.8848237509967959E-3</v>
      </c>
      <c r="L69" t="s">
        <v>153</v>
      </c>
      <c r="N69" t="s">
        <v>194</v>
      </c>
      <c r="O69" t="s">
        <v>161</v>
      </c>
      <c r="P69">
        <v>1.8817081466947182E-3</v>
      </c>
      <c r="Q69" t="s">
        <v>153</v>
      </c>
      <c r="S69" t="s">
        <v>209</v>
      </c>
      <c r="T69" t="s">
        <v>161</v>
      </c>
      <c r="U69">
        <v>9.7509370564743123E-4</v>
      </c>
      <c r="V69" t="s">
        <v>153</v>
      </c>
      <c r="AC69" t="s">
        <v>19</v>
      </c>
      <c r="AD69" t="s">
        <v>161</v>
      </c>
      <c r="AE69">
        <v>2.5083314225547008E-3</v>
      </c>
      <c r="AK69">
        <v>2033</v>
      </c>
      <c r="AL69" t="s">
        <v>149</v>
      </c>
      <c r="AM69">
        <v>0.17985000000000001</v>
      </c>
      <c r="AN69" t="s">
        <v>227</v>
      </c>
    </row>
    <row r="70" spans="9:40" x14ac:dyDescent="0.45">
      <c r="I70" t="s">
        <v>165</v>
      </c>
      <c r="J70" t="s">
        <v>238</v>
      </c>
      <c r="K70">
        <v>6.3243483719139567E-3</v>
      </c>
      <c r="L70" t="s">
        <v>153</v>
      </c>
      <c r="N70" t="s">
        <v>194</v>
      </c>
      <c r="O70" t="s">
        <v>238</v>
      </c>
      <c r="P70">
        <v>2.6896845645171487E-3</v>
      </c>
      <c r="Q70" t="s">
        <v>153</v>
      </c>
      <c r="S70" t="s">
        <v>209</v>
      </c>
      <c r="T70" t="s">
        <v>238</v>
      </c>
      <c r="U70">
        <v>1.0843286490898035E-3</v>
      </c>
      <c r="V70" t="s">
        <v>153</v>
      </c>
      <c r="AC70" t="s">
        <v>19</v>
      </c>
      <c r="AD70" t="s">
        <v>238</v>
      </c>
      <c r="AE70">
        <v>2.521653204831633E-3</v>
      </c>
      <c r="AK70">
        <v>2033</v>
      </c>
      <c r="AL70" t="s">
        <v>247</v>
      </c>
      <c r="AM70">
        <v>0.23849999999999999</v>
      </c>
      <c r="AN70" t="s">
        <v>227</v>
      </c>
    </row>
    <row r="71" spans="9:40" x14ac:dyDescent="0.45">
      <c r="I71" t="s">
        <v>165</v>
      </c>
      <c r="J71" t="s">
        <v>239</v>
      </c>
      <c r="K71">
        <v>4.3426698696296853E-2</v>
      </c>
      <c r="L71" t="s">
        <v>153</v>
      </c>
      <c r="N71" t="s">
        <v>194</v>
      </c>
      <c r="O71" t="s">
        <v>239</v>
      </c>
      <c r="P71">
        <v>1.9858267940411012E-2</v>
      </c>
      <c r="Q71" t="s">
        <v>153</v>
      </c>
      <c r="S71" t="s">
        <v>209</v>
      </c>
      <c r="T71" t="s">
        <v>239</v>
      </c>
      <c r="U71">
        <v>7.0405844130452333E-3</v>
      </c>
      <c r="V71" t="s">
        <v>153</v>
      </c>
      <c r="AC71" t="s">
        <v>19</v>
      </c>
      <c r="AD71" t="s">
        <v>239</v>
      </c>
      <c r="AE71">
        <v>1.773007804706633E-2</v>
      </c>
      <c r="AK71">
        <v>2034</v>
      </c>
      <c r="AL71" t="s">
        <v>141</v>
      </c>
      <c r="AM71">
        <v>0.23388000000000003</v>
      </c>
      <c r="AN71" t="s">
        <v>227</v>
      </c>
    </row>
    <row r="72" spans="9:40" x14ac:dyDescent="0.45">
      <c r="I72" t="s">
        <v>165</v>
      </c>
      <c r="J72" t="s">
        <v>240</v>
      </c>
      <c r="K72">
        <v>3.1155013099823906E-3</v>
      </c>
      <c r="L72" t="s">
        <v>153</v>
      </c>
      <c r="N72" t="s">
        <v>194</v>
      </c>
      <c r="O72" t="s">
        <v>240</v>
      </c>
      <c r="P72">
        <v>2.438468214803465E-3</v>
      </c>
      <c r="Q72" t="s">
        <v>153</v>
      </c>
      <c r="S72" t="s">
        <v>209</v>
      </c>
      <c r="T72" t="s">
        <v>240</v>
      </c>
      <c r="U72">
        <v>8.9058411797390683E-4</v>
      </c>
      <c r="V72" t="s">
        <v>153</v>
      </c>
      <c r="AC72" t="s">
        <v>19</v>
      </c>
      <c r="AD72" t="s">
        <v>240</v>
      </c>
      <c r="AE72">
        <v>2.5342374264043545E-3</v>
      </c>
      <c r="AK72">
        <v>2034</v>
      </c>
      <c r="AL72" t="s">
        <v>145</v>
      </c>
      <c r="AM72">
        <v>0.14000000000000001</v>
      </c>
      <c r="AN72" t="s">
        <v>227</v>
      </c>
    </row>
    <row r="73" spans="9:40" x14ac:dyDescent="0.45">
      <c r="I73" t="s">
        <v>165</v>
      </c>
      <c r="J73" t="s">
        <v>263</v>
      </c>
      <c r="K73">
        <v>1.7911693981521539E-4</v>
      </c>
      <c r="L73" t="s">
        <v>153</v>
      </c>
      <c r="N73" t="s">
        <v>194</v>
      </c>
      <c r="O73" t="s">
        <v>263</v>
      </c>
      <c r="P73">
        <v>3.5143666590366648E-3</v>
      </c>
      <c r="Q73" t="s">
        <v>153</v>
      </c>
      <c r="S73" t="s">
        <v>209</v>
      </c>
      <c r="T73" t="s">
        <v>263</v>
      </c>
      <c r="U73">
        <v>9.3081063405026879E-4</v>
      </c>
      <c r="V73" t="s">
        <v>153</v>
      </c>
      <c r="AC73" t="s">
        <v>19</v>
      </c>
      <c r="AD73" t="s">
        <v>263</v>
      </c>
      <c r="AE73">
        <v>2.5640067398620004E-3</v>
      </c>
      <c r="AK73">
        <v>2034</v>
      </c>
      <c r="AL73" t="s">
        <v>147</v>
      </c>
      <c r="AM73">
        <v>0.17835000000000001</v>
      </c>
      <c r="AN73" t="s">
        <v>227</v>
      </c>
    </row>
    <row r="74" spans="9:40" x14ac:dyDescent="0.45">
      <c r="I74" t="s">
        <v>165</v>
      </c>
      <c r="J74" t="s">
        <v>264</v>
      </c>
      <c r="K74">
        <v>0</v>
      </c>
      <c r="L74" t="s">
        <v>153</v>
      </c>
      <c r="N74" t="s">
        <v>194</v>
      </c>
      <c r="O74" t="s">
        <v>264</v>
      </c>
      <c r="P74">
        <v>2.1615157717112459E-2</v>
      </c>
      <c r="Q74" t="s">
        <v>153</v>
      </c>
      <c r="S74" t="s">
        <v>209</v>
      </c>
      <c r="T74" t="s">
        <v>264</v>
      </c>
      <c r="U74">
        <v>3.6514964449578594E-3</v>
      </c>
      <c r="V74" t="s">
        <v>153</v>
      </c>
      <c r="AC74" t="s">
        <v>19</v>
      </c>
      <c r="AD74" t="s">
        <v>264</v>
      </c>
      <c r="AE74">
        <v>1.2643216393339388E-2</v>
      </c>
      <c r="AK74">
        <v>2034</v>
      </c>
      <c r="AL74" t="s">
        <v>149</v>
      </c>
      <c r="AM74">
        <v>0.19219999999999998</v>
      </c>
      <c r="AN74" t="s">
        <v>227</v>
      </c>
    </row>
    <row r="75" spans="9:40" x14ac:dyDescent="0.45">
      <c r="I75" t="s">
        <v>165</v>
      </c>
      <c r="J75" t="s">
        <v>162</v>
      </c>
      <c r="K75">
        <v>0</v>
      </c>
      <c r="L75" t="s">
        <v>153</v>
      </c>
      <c r="N75" t="s">
        <v>194</v>
      </c>
      <c r="O75" t="s">
        <v>162</v>
      </c>
      <c r="P75">
        <v>4.1416272301164764E-2</v>
      </c>
      <c r="Q75" t="s">
        <v>153</v>
      </c>
      <c r="S75" t="s">
        <v>209</v>
      </c>
      <c r="T75" t="s">
        <v>162</v>
      </c>
      <c r="U75">
        <v>2.8137879337062854E-2</v>
      </c>
      <c r="V75" t="s">
        <v>153</v>
      </c>
      <c r="AC75" t="s">
        <v>19</v>
      </c>
      <c r="AD75" t="s">
        <v>162</v>
      </c>
      <c r="AE75">
        <v>2.4294650963380945E-2</v>
      </c>
      <c r="AK75">
        <v>2034</v>
      </c>
      <c r="AL75" t="s">
        <v>247</v>
      </c>
      <c r="AM75">
        <v>0.16769999999999999</v>
      </c>
      <c r="AN75" t="s">
        <v>227</v>
      </c>
    </row>
    <row r="76" spans="9:40" x14ac:dyDescent="0.45">
      <c r="I76" t="s">
        <v>165</v>
      </c>
      <c r="J76" t="s">
        <v>163</v>
      </c>
      <c r="K76">
        <v>2.5171408136069919E-3</v>
      </c>
      <c r="L76" t="s">
        <v>153</v>
      </c>
      <c r="N76" t="s">
        <v>194</v>
      </c>
      <c r="O76" t="s">
        <v>163</v>
      </c>
      <c r="P76">
        <v>5.1803677427132502E-3</v>
      </c>
      <c r="Q76" t="s">
        <v>153</v>
      </c>
      <c r="S76" t="s">
        <v>209</v>
      </c>
      <c r="T76" t="s">
        <v>163</v>
      </c>
      <c r="U76">
        <v>5.40329819191221E-3</v>
      </c>
      <c r="V76" t="s">
        <v>153</v>
      </c>
      <c r="AC76" t="s">
        <v>19</v>
      </c>
      <c r="AD76" t="s">
        <v>163</v>
      </c>
      <c r="AE76">
        <v>3.5003897048692389E-3</v>
      </c>
      <c r="AK76">
        <v>2035</v>
      </c>
      <c r="AL76" t="s">
        <v>141</v>
      </c>
      <c r="AM76">
        <v>0.30412</v>
      </c>
      <c r="AN76" t="s">
        <v>227</v>
      </c>
    </row>
    <row r="77" spans="9:40" x14ac:dyDescent="0.45">
      <c r="I77" t="s">
        <v>165</v>
      </c>
      <c r="J77" t="s">
        <v>164</v>
      </c>
      <c r="K77">
        <v>6.2424179130908374E-3</v>
      </c>
      <c r="L77" t="s">
        <v>153</v>
      </c>
      <c r="N77" t="s">
        <v>194</v>
      </c>
      <c r="O77" t="s">
        <v>164</v>
      </c>
      <c r="P77">
        <v>4.1008856650468347E-3</v>
      </c>
      <c r="Q77" t="s">
        <v>153</v>
      </c>
      <c r="S77" t="s">
        <v>209</v>
      </c>
      <c r="T77" t="s">
        <v>164</v>
      </c>
      <c r="U77">
        <v>5.5828518562871876E-3</v>
      </c>
      <c r="V77" t="s">
        <v>153</v>
      </c>
      <c r="AC77" t="s">
        <v>19</v>
      </c>
      <c r="AD77" t="s">
        <v>164</v>
      </c>
      <c r="AE77">
        <v>3.5311514979962186E-3</v>
      </c>
      <c r="AK77">
        <v>2035</v>
      </c>
      <c r="AL77" t="s">
        <v>145</v>
      </c>
      <c r="AM77">
        <v>0.19</v>
      </c>
      <c r="AN77" t="s">
        <v>227</v>
      </c>
    </row>
    <row r="78" spans="9:40" x14ac:dyDescent="0.45">
      <c r="I78" t="s">
        <v>165</v>
      </c>
      <c r="J78" t="s">
        <v>241</v>
      </c>
      <c r="K78">
        <v>8.6322346490191534E-3</v>
      </c>
      <c r="L78" t="s">
        <v>153</v>
      </c>
      <c r="N78" t="s">
        <v>194</v>
      </c>
      <c r="O78" t="s">
        <v>241</v>
      </c>
      <c r="P78">
        <v>5.4072865647210415E-3</v>
      </c>
      <c r="Q78" t="s">
        <v>153</v>
      </c>
      <c r="S78" t="s">
        <v>209</v>
      </c>
      <c r="T78" t="s">
        <v>241</v>
      </c>
      <c r="U78">
        <v>5.454307299924843E-3</v>
      </c>
      <c r="V78" t="s">
        <v>153</v>
      </c>
      <c r="AC78" t="s">
        <v>19</v>
      </c>
      <c r="AD78" t="s">
        <v>241</v>
      </c>
      <c r="AE78">
        <v>3.5523855588207756E-3</v>
      </c>
      <c r="AK78">
        <v>2035</v>
      </c>
      <c r="AL78" t="s">
        <v>147</v>
      </c>
      <c r="AM78">
        <v>0.16985</v>
      </c>
      <c r="AN78" t="s">
        <v>227</v>
      </c>
    </row>
    <row r="79" spans="9:40" x14ac:dyDescent="0.45">
      <c r="I79" t="s">
        <v>165</v>
      </c>
      <c r="J79" t="s">
        <v>242</v>
      </c>
      <c r="K79">
        <v>6.28350456810646E-2</v>
      </c>
      <c r="L79" t="s">
        <v>153</v>
      </c>
      <c r="N79" t="s">
        <v>194</v>
      </c>
      <c r="O79" t="s">
        <v>242</v>
      </c>
      <c r="P79">
        <v>4.0672678653236961E-2</v>
      </c>
      <c r="Q79" t="s">
        <v>153</v>
      </c>
      <c r="S79" t="s">
        <v>209</v>
      </c>
      <c r="T79" t="s">
        <v>242</v>
      </c>
      <c r="U79">
        <v>2.5826037211859124E-2</v>
      </c>
      <c r="V79" t="s">
        <v>153</v>
      </c>
      <c r="AC79" t="s">
        <v>19</v>
      </c>
      <c r="AD79" t="s">
        <v>242</v>
      </c>
      <c r="AE79">
        <v>2.4947792514540944E-2</v>
      </c>
      <c r="AK79">
        <v>2035</v>
      </c>
      <c r="AL79" t="s">
        <v>149</v>
      </c>
      <c r="AM79">
        <v>0.113</v>
      </c>
      <c r="AN79" t="s">
        <v>227</v>
      </c>
    </row>
    <row r="80" spans="9:40" x14ac:dyDescent="0.45">
      <c r="I80" t="s">
        <v>165</v>
      </c>
      <c r="J80" t="s">
        <v>243</v>
      </c>
      <c r="K80">
        <v>4.1057531624639999E-3</v>
      </c>
      <c r="L80" t="s">
        <v>153</v>
      </c>
      <c r="N80" t="s">
        <v>194</v>
      </c>
      <c r="O80" t="s">
        <v>243</v>
      </c>
      <c r="P80">
        <v>5.4771805843159844E-3</v>
      </c>
      <c r="Q80" t="s">
        <v>153</v>
      </c>
      <c r="S80" t="s">
        <v>209</v>
      </c>
      <c r="T80" t="s">
        <v>243</v>
      </c>
      <c r="U80">
        <v>2.2831611232605928E-3</v>
      </c>
      <c r="V80" t="s">
        <v>153</v>
      </c>
      <c r="AC80" t="s">
        <v>19</v>
      </c>
      <c r="AD80" t="s">
        <v>243</v>
      </c>
      <c r="AE80">
        <v>3.5734582555777944E-3</v>
      </c>
      <c r="AK80">
        <v>2035</v>
      </c>
      <c r="AL80" t="s">
        <v>247</v>
      </c>
      <c r="AM80">
        <v>7.6300000000000007E-2</v>
      </c>
      <c r="AN80" t="s">
        <v>227</v>
      </c>
    </row>
    <row r="81" spans="9:40" x14ac:dyDescent="0.45">
      <c r="I81" t="s">
        <v>165</v>
      </c>
      <c r="J81" t="s">
        <v>265</v>
      </c>
      <c r="K81">
        <v>0</v>
      </c>
      <c r="L81" t="s">
        <v>153</v>
      </c>
      <c r="N81" t="s">
        <v>194</v>
      </c>
      <c r="O81" t="s">
        <v>265</v>
      </c>
      <c r="P81">
        <v>7.2272473701215402E-3</v>
      </c>
      <c r="Q81" t="s">
        <v>153</v>
      </c>
      <c r="S81" t="s">
        <v>209</v>
      </c>
      <c r="T81" t="s">
        <v>265</v>
      </c>
      <c r="U81">
        <v>2.430396215982763E-3</v>
      </c>
      <c r="V81" t="s">
        <v>153</v>
      </c>
      <c r="AC81" t="s">
        <v>19</v>
      </c>
      <c r="AD81" t="s">
        <v>265</v>
      </c>
      <c r="AE81">
        <v>3.6019580508321759E-3</v>
      </c>
      <c r="AK81">
        <v>2036</v>
      </c>
      <c r="AL81" t="s">
        <v>141</v>
      </c>
      <c r="AM81">
        <v>0.26789999999999997</v>
      </c>
      <c r="AN81" t="s">
        <v>227</v>
      </c>
    </row>
    <row r="82" spans="9:40" x14ac:dyDescent="0.45">
      <c r="I82" t="s">
        <v>165</v>
      </c>
      <c r="J82" t="s">
        <v>266</v>
      </c>
      <c r="K82">
        <v>0</v>
      </c>
      <c r="L82" t="s">
        <v>153</v>
      </c>
      <c r="N82" t="s">
        <v>194</v>
      </c>
      <c r="O82" t="s">
        <v>266</v>
      </c>
      <c r="P82">
        <v>3.8258635805384911E-2</v>
      </c>
      <c r="Q82" t="s">
        <v>153</v>
      </c>
      <c r="S82" t="s">
        <v>209</v>
      </c>
      <c r="T82" t="s">
        <v>266</v>
      </c>
      <c r="U82">
        <v>1.4389062930757927E-2</v>
      </c>
      <c r="V82" t="s">
        <v>153</v>
      </c>
      <c r="AC82" t="s">
        <v>19</v>
      </c>
      <c r="AD82" t="s">
        <v>266</v>
      </c>
      <c r="AE82">
        <v>1.7810585043628833E-2</v>
      </c>
      <c r="AK82">
        <v>2036</v>
      </c>
      <c r="AL82" t="s">
        <v>145</v>
      </c>
      <c r="AM82">
        <v>0.1608</v>
      </c>
      <c r="AN82" t="s">
        <v>227</v>
      </c>
    </row>
    <row r="83" spans="9:40" x14ac:dyDescent="0.45">
      <c r="I83" t="s">
        <v>165</v>
      </c>
      <c r="J83" t="s">
        <v>249</v>
      </c>
      <c r="K83">
        <v>0</v>
      </c>
      <c r="L83" t="s">
        <v>153</v>
      </c>
      <c r="N83" t="s">
        <v>194</v>
      </c>
      <c r="O83" t="s">
        <v>249</v>
      </c>
      <c r="P83">
        <v>2.6170304120850467E-2</v>
      </c>
      <c r="Q83" t="s">
        <v>153</v>
      </c>
      <c r="S83" t="s">
        <v>209</v>
      </c>
      <c r="T83" t="s">
        <v>249</v>
      </c>
      <c r="U83">
        <v>2.0228388262992898E-2</v>
      </c>
      <c r="V83" t="s">
        <v>153</v>
      </c>
      <c r="AC83" t="s">
        <v>19</v>
      </c>
      <c r="AD83" t="s">
        <v>249</v>
      </c>
      <c r="AE83">
        <v>1.1730580219688608E-2</v>
      </c>
      <c r="AK83">
        <v>2036</v>
      </c>
      <c r="AL83" t="s">
        <v>147</v>
      </c>
      <c r="AM83">
        <v>0.21445</v>
      </c>
      <c r="AN83" t="s">
        <v>227</v>
      </c>
    </row>
    <row r="84" spans="9:40" x14ac:dyDescent="0.45">
      <c r="I84" t="s">
        <v>165</v>
      </c>
      <c r="J84" t="s">
        <v>250</v>
      </c>
      <c r="K84">
        <v>0</v>
      </c>
      <c r="L84" t="s">
        <v>153</v>
      </c>
      <c r="N84" t="s">
        <v>194</v>
      </c>
      <c r="O84" t="s">
        <v>250</v>
      </c>
      <c r="P84">
        <v>3.6133809221654033E-3</v>
      </c>
      <c r="Q84" t="s">
        <v>153</v>
      </c>
      <c r="S84" t="s">
        <v>209</v>
      </c>
      <c r="T84" t="s">
        <v>250</v>
      </c>
      <c r="U84">
        <v>3.580135191739376E-3</v>
      </c>
      <c r="V84" t="s">
        <v>153</v>
      </c>
      <c r="AC84" t="s">
        <v>19</v>
      </c>
      <c r="AD84" t="s">
        <v>250</v>
      </c>
      <c r="AE84">
        <v>1.6921979279731518E-3</v>
      </c>
      <c r="AK84">
        <v>2036</v>
      </c>
      <c r="AL84" t="s">
        <v>149</v>
      </c>
      <c r="AM84">
        <v>0.26624999999999999</v>
      </c>
      <c r="AN84" t="s">
        <v>227</v>
      </c>
    </row>
    <row r="85" spans="9:40" x14ac:dyDescent="0.45">
      <c r="I85" t="s">
        <v>165</v>
      </c>
      <c r="J85" t="s">
        <v>251</v>
      </c>
      <c r="K85">
        <v>3.289680859051531E-3</v>
      </c>
      <c r="L85" t="s">
        <v>153</v>
      </c>
      <c r="N85" t="s">
        <v>194</v>
      </c>
      <c r="O85" t="s">
        <v>251</v>
      </c>
      <c r="P85">
        <v>2.6262606350999753E-3</v>
      </c>
      <c r="Q85" t="s">
        <v>153</v>
      </c>
      <c r="S85" t="s">
        <v>209</v>
      </c>
      <c r="T85" t="s">
        <v>251</v>
      </c>
      <c r="U85">
        <v>3.8156209414929804E-3</v>
      </c>
      <c r="V85" t="s">
        <v>153</v>
      </c>
      <c r="AC85" t="s">
        <v>19</v>
      </c>
      <c r="AD85" t="s">
        <v>251</v>
      </c>
      <c r="AE85">
        <v>1.7062812036025134E-3</v>
      </c>
      <c r="AK85">
        <v>2036</v>
      </c>
      <c r="AL85" t="s">
        <v>247</v>
      </c>
      <c r="AM85">
        <v>0.26440000000000002</v>
      </c>
      <c r="AN85" t="s">
        <v>227</v>
      </c>
    </row>
    <row r="86" spans="9:40" x14ac:dyDescent="0.45">
      <c r="I86" t="s">
        <v>165</v>
      </c>
      <c r="J86" t="s">
        <v>252</v>
      </c>
      <c r="K86">
        <v>4.7198376854365584E-3</v>
      </c>
      <c r="L86" t="s">
        <v>153</v>
      </c>
      <c r="N86" t="s">
        <v>194</v>
      </c>
      <c r="O86" t="s">
        <v>252</v>
      </c>
      <c r="P86">
        <v>3.2674561750955888E-3</v>
      </c>
      <c r="Q86" t="s">
        <v>153</v>
      </c>
      <c r="S86" t="s">
        <v>209</v>
      </c>
      <c r="T86" t="s">
        <v>252</v>
      </c>
      <c r="U86">
        <v>4.0318029626781743E-3</v>
      </c>
      <c r="V86" t="s">
        <v>153</v>
      </c>
      <c r="AC86" t="s">
        <v>19</v>
      </c>
      <c r="AD86" t="s">
        <v>252</v>
      </c>
      <c r="AE86">
        <v>1.7171419118875693E-3</v>
      </c>
      <c r="AK86">
        <v>2037</v>
      </c>
      <c r="AL86" t="s">
        <v>141</v>
      </c>
      <c r="AM86">
        <v>0.21160999999999999</v>
      </c>
      <c r="AN86" t="s">
        <v>227</v>
      </c>
    </row>
    <row r="87" spans="9:40" x14ac:dyDescent="0.45">
      <c r="I87" t="s">
        <v>165</v>
      </c>
      <c r="J87" t="s">
        <v>253</v>
      </c>
      <c r="K87">
        <v>3.81303725759084E-2</v>
      </c>
      <c r="L87" t="s">
        <v>153</v>
      </c>
      <c r="N87" t="s">
        <v>194</v>
      </c>
      <c r="O87" t="s">
        <v>253</v>
      </c>
      <c r="P87">
        <v>2.0743531752384369E-2</v>
      </c>
      <c r="Q87" t="s">
        <v>153</v>
      </c>
      <c r="S87" t="s">
        <v>209</v>
      </c>
      <c r="T87" t="s">
        <v>253</v>
      </c>
      <c r="U87">
        <v>2.6893221390628448E-2</v>
      </c>
      <c r="V87" t="s">
        <v>153</v>
      </c>
      <c r="AC87" t="s">
        <v>19</v>
      </c>
      <c r="AD87" t="s">
        <v>253</v>
      </c>
      <c r="AE87">
        <v>1.2080755838730396E-2</v>
      </c>
      <c r="AK87">
        <v>2037</v>
      </c>
      <c r="AL87" t="s">
        <v>145</v>
      </c>
      <c r="AM87">
        <v>0.20710000000000001</v>
      </c>
      <c r="AN87" t="s">
        <v>227</v>
      </c>
    </row>
    <row r="88" spans="9:40" x14ac:dyDescent="0.45">
      <c r="I88" t="s">
        <v>165</v>
      </c>
      <c r="J88" t="s">
        <v>254</v>
      </c>
      <c r="K88">
        <v>3.6723249445226027E-3</v>
      </c>
      <c r="L88" t="s">
        <v>153</v>
      </c>
      <c r="N88" t="s">
        <v>194</v>
      </c>
      <c r="O88" t="s">
        <v>254</v>
      </c>
      <c r="P88">
        <v>2.4389617859850434E-3</v>
      </c>
      <c r="Q88" t="s">
        <v>153</v>
      </c>
      <c r="S88" t="s">
        <v>209</v>
      </c>
      <c r="T88" t="s">
        <v>254</v>
      </c>
      <c r="U88">
        <v>2.8002255369778354E-3</v>
      </c>
      <c r="V88" t="s">
        <v>153</v>
      </c>
      <c r="AC88" t="s">
        <v>19</v>
      </c>
      <c r="AD88" t="s">
        <v>254</v>
      </c>
      <c r="AE88">
        <v>1.7303831934386727E-3</v>
      </c>
      <c r="AK88">
        <v>2037</v>
      </c>
      <c r="AL88" t="s">
        <v>147</v>
      </c>
      <c r="AM88">
        <v>0.18404999999999999</v>
      </c>
      <c r="AN88" t="s">
        <v>227</v>
      </c>
    </row>
    <row r="89" spans="9:40" x14ac:dyDescent="0.45">
      <c r="I89" t="s">
        <v>165</v>
      </c>
      <c r="J89" t="s">
        <v>267</v>
      </c>
      <c r="K89">
        <v>1.1721823590010677E-3</v>
      </c>
      <c r="L89" t="s">
        <v>153</v>
      </c>
      <c r="N89" t="s">
        <v>194</v>
      </c>
      <c r="O89" t="s">
        <v>267</v>
      </c>
      <c r="P89">
        <v>3.8945612254396873E-3</v>
      </c>
      <c r="Q89" t="s">
        <v>153</v>
      </c>
      <c r="S89" t="s">
        <v>209</v>
      </c>
      <c r="T89" t="s">
        <v>267</v>
      </c>
      <c r="U89">
        <v>2.7379977023087097E-3</v>
      </c>
      <c r="V89" t="s">
        <v>153</v>
      </c>
      <c r="AC89" t="s">
        <v>19</v>
      </c>
      <c r="AD89" t="s">
        <v>267</v>
      </c>
      <c r="AE89">
        <v>1.7386145739625542E-3</v>
      </c>
      <c r="AK89">
        <v>2037</v>
      </c>
      <c r="AL89" t="s">
        <v>149</v>
      </c>
      <c r="AM89">
        <v>0.19974999999999998</v>
      </c>
      <c r="AN89" t="s">
        <v>227</v>
      </c>
    </row>
    <row r="90" spans="9:40" x14ac:dyDescent="0.45">
      <c r="I90" t="s">
        <v>165</v>
      </c>
      <c r="J90" t="s">
        <v>268</v>
      </c>
      <c r="K90">
        <v>0</v>
      </c>
      <c r="L90" t="s">
        <v>153</v>
      </c>
      <c r="N90" t="s">
        <v>194</v>
      </c>
      <c r="O90" t="s">
        <v>268</v>
      </c>
      <c r="P90">
        <v>2.2959808224031941E-2</v>
      </c>
      <c r="Q90" t="s">
        <v>153</v>
      </c>
      <c r="S90" t="s">
        <v>209</v>
      </c>
      <c r="T90" t="s">
        <v>268</v>
      </c>
      <c r="U90">
        <v>1.2485148318793904E-2</v>
      </c>
      <c r="V90" t="s">
        <v>153</v>
      </c>
      <c r="AC90" t="s">
        <v>19</v>
      </c>
      <c r="AD90" t="s">
        <v>268</v>
      </c>
      <c r="AE90">
        <v>8.6069798818506141E-3</v>
      </c>
      <c r="AK90">
        <v>2037</v>
      </c>
      <c r="AL90" t="s">
        <v>247</v>
      </c>
      <c r="AM90">
        <v>0.23849999999999999</v>
      </c>
      <c r="AN90" t="s">
        <v>227</v>
      </c>
    </row>
    <row r="91" spans="9:40" x14ac:dyDescent="0.45">
      <c r="I91" t="s">
        <v>166</v>
      </c>
      <c r="J91" t="s">
        <v>152</v>
      </c>
      <c r="K91">
        <v>0</v>
      </c>
      <c r="L91" t="s">
        <v>153</v>
      </c>
      <c r="N91" t="s">
        <v>195</v>
      </c>
      <c r="O91" t="s">
        <v>152</v>
      </c>
      <c r="P91">
        <v>0.23185869232905984</v>
      </c>
      <c r="Q91" t="s">
        <v>153</v>
      </c>
      <c r="S91" t="s">
        <v>210</v>
      </c>
      <c r="T91" t="s">
        <v>152</v>
      </c>
      <c r="U91">
        <v>0.24858259783990128</v>
      </c>
      <c r="V91" t="s">
        <v>153</v>
      </c>
      <c r="AK91">
        <v>2038</v>
      </c>
      <c r="AL91" t="s">
        <v>141</v>
      </c>
      <c r="AM91">
        <v>0.22005000000000002</v>
      </c>
      <c r="AN91" t="s">
        <v>227</v>
      </c>
    </row>
    <row r="92" spans="9:40" x14ac:dyDescent="0.45">
      <c r="I92" t="s">
        <v>166</v>
      </c>
      <c r="J92" t="s">
        <v>154</v>
      </c>
      <c r="K92">
        <v>1.6268737638094E-2</v>
      </c>
      <c r="L92" t="s">
        <v>153</v>
      </c>
      <c r="N92" t="s">
        <v>195</v>
      </c>
      <c r="O92" t="s">
        <v>154</v>
      </c>
      <c r="P92">
        <v>2.3831363891313351E-2</v>
      </c>
      <c r="Q92" t="s">
        <v>153</v>
      </c>
      <c r="S92" t="s">
        <v>210</v>
      </c>
      <c r="T92" t="s">
        <v>154</v>
      </c>
      <c r="U92">
        <v>3.0906610977273818E-2</v>
      </c>
      <c r="V92" t="s">
        <v>153</v>
      </c>
      <c r="AK92">
        <v>2038</v>
      </c>
      <c r="AL92" t="s">
        <v>145</v>
      </c>
      <c r="AM92">
        <v>6.59E-2</v>
      </c>
      <c r="AN92" t="s">
        <v>227</v>
      </c>
    </row>
    <row r="93" spans="9:40" x14ac:dyDescent="0.45">
      <c r="I93" t="s">
        <v>166</v>
      </c>
      <c r="J93" t="s">
        <v>155</v>
      </c>
      <c r="K93">
        <v>4.37474909279367E-2</v>
      </c>
      <c r="L93" t="s">
        <v>153</v>
      </c>
      <c r="N93" t="s">
        <v>195</v>
      </c>
      <c r="O93" t="s">
        <v>155</v>
      </c>
      <c r="P93">
        <v>2.1608719994995373E-2</v>
      </c>
      <c r="Q93" t="s">
        <v>153</v>
      </c>
      <c r="S93" t="s">
        <v>210</v>
      </c>
      <c r="T93" t="s">
        <v>155</v>
      </c>
      <c r="U93">
        <v>3.09971252450588E-2</v>
      </c>
      <c r="V93" t="s">
        <v>153</v>
      </c>
      <c r="AK93">
        <v>2038</v>
      </c>
      <c r="AL93" t="s">
        <v>147</v>
      </c>
      <c r="AM93">
        <v>9.5450000000000007E-2</v>
      </c>
      <c r="AN93" t="s">
        <v>227</v>
      </c>
    </row>
    <row r="94" spans="9:40" x14ac:dyDescent="0.45">
      <c r="I94" t="s">
        <v>166</v>
      </c>
      <c r="J94" t="s">
        <v>232</v>
      </c>
      <c r="K94">
        <v>6.4571235462719825E-2</v>
      </c>
      <c r="L94" t="s">
        <v>153</v>
      </c>
      <c r="N94" t="s">
        <v>195</v>
      </c>
      <c r="O94" t="s">
        <v>232</v>
      </c>
      <c r="P94">
        <v>2.1933829090738474E-2</v>
      </c>
      <c r="Q94" t="s">
        <v>153</v>
      </c>
      <c r="S94" t="s">
        <v>210</v>
      </c>
      <c r="T94" t="s">
        <v>232</v>
      </c>
      <c r="U94">
        <v>3.1124728575469985E-2</v>
      </c>
      <c r="V94" t="s">
        <v>153</v>
      </c>
      <c r="AK94">
        <v>2038</v>
      </c>
      <c r="AL94" t="s">
        <v>149</v>
      </c>
      <c r="AM94">
        <v>0.21249999999999999</v>
      </c>
      <c r="AN94" t="s">
        <v>227</v>
      </c>
    </row>
    <row r="95" spans="9:40" x14ac:dyDescent="0.45">
      <c r="I95" t="s">
        <v>166</v>
      </c>
      <c r="J95" t="s">
        <v>233</v>
      </c>
      <c r="K95">
        <v>0.58258957945748624</v>
      </c>
      <c r="L95" t="s">
        <v>153</v>
      </c>
      <c r="N95" t="s">
        <v>195</v>
      </c>
      <c r="O95" t="s">
        <v>233</v>
      </c>
      <c r="P95">
        <v>0.11411328875012025</v>
      </c>
      <c r="Q95" t="s">
        <v>153</v>
      </c>
      <c r="S95" t="s">
        <v>210</v>
      </c>
      <c r="T95" t="s">
        <v>233</v>
      </c>
      <c r="U95">
        <v>0.2075608178026935</v>
      </c>
      <c r="V95" t="s">
        <v>153</v>
      </c>
      <c r="AK95">
        <v>2038</v>
      </c>
      <c r="AL95" t="s">
        <v>247</v>
      </c>
      <c r="AM95">
        <v>0.3</v>
      </c>
      <c r="AN95" t="s">
        <v>227</v>
      </c>
    </row>
    <row r="96" spans="9:40" x14ac:dyDescent="0.45">
      <c r="I96" t="s">
        <v>166</v>
      </c>
      <c r="J96" t="s">
        <v>234</v>
      </c>
      <c r="K96">
        <v>5.4261629422248686E-2</v>
      </c>
      <c r="L96" t="s">
        <v>153</v>
      </c>
      <c r="N96" t="s">
        <v>195</v>
      </c>
      <c r="O96" t="s">
        <v>234</v>
      </c>
      <c r="P96">
        <v>1.2803696785418612E-2</v>
      </c>
      <c r="Q96" t="s">
        <v>153</v>
      </c>
      <c r="S96" t="s">
        <v>210</v>
      </c>
      <c r="T96" t="s">
        <v>234</v>
      </c>
      <c r="U96">
        <v>2.9982018683916055E-2</v>
      </c>
      <c r="V96" t="s">
        <v>153</v>
      </c>
      <c r="AK96">
        <v>2039</v>
      </c>
      <c r="AL96" t="s">
        <v>141</v>
      </c>
      <c r="AM96">
        <v>0.25797999999999999</v>
      </c>
      <c r="AN96" t="s">
        <v>227</v>
      </c>
    </row>
    <row r="97" spans="9:40" x14ac:dyDescent="0.45">
      <c r="I97" t="s">
        <v>166</v>
      </c>
      <c r="J97" t="s">
        <v>259</v>
      </c>
      <c r="K97">
        <v>3.3477957727369272E-2</v>
      </c>
      <c r="L97" t="s">
        <v>153</v>
      </c>
      <c r="N97" t="s">
        <v>195</v>
      </c>
      <c r="O97" t="s">
        <v>259</v>
      </c>
      <c r="P97">
        <v>1.7161970417680021E-2</v>
      </c>
      <c r="Q97" t="s">
        <v>153</v>
      </c>
      <c r="S97" t="s">
        <v>210</v>
      </c>
      <c r="T97" t="s">
        <v>259</v>
      </c>
      <c r="U97">
        <v>3.15217188993904E-2</v>
      </c>
      <c r="V97" t="s">
        <v>153</v>
      </c>
      <c r="AK97">
        <v>2039</v>
      </c>
      <c r="AL97" t="s">
        <v>145</v>
      </c>
      <c r="AM97">
        <v>0.15540000000000001</v>
      </c>
      <c r="AN97" t="s">
        <v>227</v>
      </c>
    </row>
    <row r="98" spans="9:40" x14ac:dyDescent="0.45">
      <c r="I98" t="s">
        <v>166</v>
      </c>
      <c r="J98" t="s">
        <v>260</v>
      </c>
      <c r="K98">
        <v>4.6560537774321849E-3</v>
      </c>
      <c r="L98" t="s">
        <v>153</v>
      </c>
      <c r="N98" t="s">
        <v>195</v>
      </c>
      <c r="O98" t="s">
        <v>260</v>
      </c>
      <c r="P98">
        <v>0.16653340388621868</v>
      </c>
      <c r="Q98" t="s">
        <v>153</v>
      </c>
      <c r="S98" t="s">
        <v>210</v>
      </c>
      <c r="T98" t="s">
        <v>260</v>
      </c>
      <c r="U98">
        <v>0.16957864215962831</v>
      </c>
      <c r="V98" t="s">
        <v>153</v>
      </c>
      <c r="AK98">
        <v>2039</v>
      </c>
      <c r="AL98" t="s">
        <v>147</v>
      </c>
      <c r="AM98">
        <v>0.15775</v>
      </c>
      <c r="AN98" t="s">
        <v>227</v>
      </c>
    </row>
    <row r="99" spans="9:40" x14ac:dyDescent="0.45">
      <c r="I99" t="s">
        <v>166</v>
      </c>
      <c r="J99" t="s">
        <v>156</v>
      </c>
      <c r="K99">
        <v>0</v>
      </c>
      <c r="L99" t="s">
        <v>153</v>
      </c>
      <c r="N99" t="s">
        <v>195</v>
      </c>
      <c r="O99" t="s">
        <v>156</v>
      </c>
      <c r="P99">
        <v>1.4109232434840451E-2</v>
      </c>
      <c r="Q99" t="s">
        <v>153</v>
      </c>
      <c r="S99" t="s">
        <v>210</v>
      </c>
      <c r="T99" t="s">
        <v>156</v>
      </c>
      <c r="U99">
        <v>1.8570626816637786E-3</v>
      </c>
      <c r="V99" t="s">
        <v>153</v>
      </c>
      <c r="AK99">
        <v>2039</v>
      </c>
      <c r="AL99" t="s">
        <v>149</v>
      </c>
      <c r="AM99">
        <v>0.22799999999999998</v>
      </c>
      <c r="AN99" t="s">
        <v>227</v>
      </c>
    </row>
    <row r="100" spans="9:40" x14ac:dyDescent="0.45">
      <c r="I100" t="s">
        <v>166</v>
      </c>
      <c r="J100" t="s">
        <v>157</v>
      </c>
      <c r="K100">
        <v>4.4512674124617014E-4</v>
      </c>
      <c r="L100" t="s">
        <v>153</v>
      </c>
      <c r="N100" t="s">
        <v>195</v>
      </c>
      <c r="O100" t="s">
        <v>157</v>
      </c>
      <c r="P100">
        <v>1.5709992612038667E-3</v>
      </c>
      <c r="Q100" t="s">
        <v>153</v>
      </c>
      <c r="S100" t="s">
        <v>210</v>
      </c>
      <c r="T100" t="s">
        <v>157</v>
      </c>
      <c r="U100">
        <v>2.1075994513608098E-4</v>
      </c>
      <c r="V100" t="s">
        <v>153</v>
      </c>
      <c r="AK100">
        <v>2039</v>
      </c>
      <c r="AL100" t="s">
        <v>247</v>
      </c>
      <c r="AM100">
        <v>0.2959</v>
      </c>
      <c r="AN100" t="s">
        <v>227</v>
      </c>
    </row>
    <row r="101" spans="9:40" x14ac:dyDescent="0.45">
      <c r="I101" t="s">
        <v>166</v>
      </c>
      <c r="J101" t="s">
        <v>158</v>
      </c>
      <c r="K101">
        <v>1.0250828162612893E-3</v>
      </c>
      <c r="L101" t="s">
        <v>153</v>
      </c>
      <c r="N101" t="s">
        <v>195</v>
      </c>
      <c r="O101" t="s">
        <v>158</v>
      </c>
      <c r="P101">
        <v>1.3675890482327123E-3</v>
      </c>
      <c r="Q101" t="s">
        <v>153</v>
      </c>
      <c r="S101" t="s">
        <v>210</v>
      </c>
      <c r="T101" t="s">
        <v>158</v>
      </c>
      <c r="U101">
        <v>2.0630921460619507E-4</v>
      </c>
      <c r="V101" t="s">
        <v>153</v>
      </c>
      <c r="AK101">
        <v>2040</v>
      </c>
      <c r="AL101" t="s">
        <v>141</v>
      </c>
      <c r="AM101">
        <v>0.27638999999999997</v>
      </c>
      <c r="AN101" t="s">
        <v>227</v>
      </c>
    </row>
    <row r="102" spans="9:40" x14ac:dyDescent="0.45">
      <c r="I102" t="s">
        <v>166</v>
      </c>
      <c r="J102" t="s">
        <v>235</v>
      </c>
      <c r="K102">
        <v>1.4861894310666218E-3</v>
      </c>
      <c r="L102" t="s">
        <v>153</v>
      </c>
      <c r="N102" t="s">
        <v>195</v>
      </c>
      <c r="O102" t="s">
        <v>235</v>
      </c>
      <c r="P102">
        <v>1.6841001373718702E-3</v>
      </c>
      <c r="Q102" t="s">
        <v>153</v>
      </c>
      <c r="S102" t="s">
        <v>210</v>
      </c>
      <c r="T102" t="s">
        <v>235</v>
      </c>
      <c r="U102">
        <v>2.0495643951404742E-4</v>
      </c>
      <c r="V102" t="s">
        <v>153</v>
      </c>
      <c r="AK102">
        <v>2040</v>
      </c>
      <c r="AL102" t="s">
        <v>145</v>
      </c>
      <c r="AM102">
        <v>0.22070000000000001</v>
      </c>
      <c r="AN102" t="s">
        <v>227</v>
      </c>
    </row>
    <row r="103" spans="9:40" x14ac:dyDescent="0.45">
      <c r="I103" t="s">
        <v>166</v>
      </c>
      <c r="J103" t="s">
        <v>236</v>
      </c>
      <c r="K103">
        <v>1.3168132405752896E-2</v>
      </c>
      <c r="L103" t="s">
        <v>153</v>
      </c>
      <c r="N103" t="s">
        <v>195</v>
      </c>
      <c r="O103" t="s">
        <v>236</v>
      </c>
      <c r="P103">
        <v>8.8665872202199764E-3</v>
      </c>
      <c r="Q103" t="s">
        <v>153</v>
      </c>
      <c r="S103" t="s">
        <v>210</v>
      </c>
      <c r="T103" t="s">
        <v>236</v>
      </c>
      <c r="U103">
        <v>7.5330229698801184E-4</v>
      </c>
      <c r="V103" t="s">
        <v>153</v>
      </c>
      <c r="AK103">
        <v>2040</v>
      </c>
      <c r="AL103" t="s">
        <v>147</v>
      </c>
      <c r="AM103">
        <v>0.15195</v>
      </c>
      <c r="AN103" t="s">
        <v>227</v>
      </c>
    </row>
    <row r="104" spans="9:40" x14ac:dyDescent="0.45">
      <c r="I104" t="s">
        <v>166</v>
      </c>
      <c r="J104" t="s">
        <v>237</v>
      </c>
      <c r="K104">
        <v>9.972053487968249E-4</v>
      </c>
      <c r="L104" t="s">
        <v>153</v>
      </c>
      <c r="N104" t="s">
        <v>195</v>
      </c>
      <c r="O104" t="s">
        <v>237</v>
      </c>
      <c r="P104">
        <v>1.0947873320545224E-3</v>
      </c>
      <c r="Q104" t="s">
        <v>153</v>
      </c>
      <c r="S104" t="s">
        <v>210</v>
      </c>
      <c r="T104" t="s">
        <v>237</v>
      </c>
      <c r="U104">
        <v>2.9587293692940925E-5</v>
      </c>
      <c r="V104" t="s">
        <v>153</v>
      </c>
      <c r="AK104">
        <v>2040</v>
      </c>
      <c r="AL104" t="s">
        <v>149</v>
      </c>
      <c r="AM104">
        <v>0.17879999999999999</v>
      </c>
      <c r="AN104" t="s">
        <v>227</v>
      </c>
    </row>
    <row r="105" spans="9:40" x14ac:dyDescent="0.45">
      <c r="I105" t="s">
        <v>166</v>
      </c>
      <c r="J105" t="s">
        <v>261</v>
      </c>
      <c r="K105">
        <v>5.2487929614605789E-4</v>
      </c>
      <c r="L105" t="s">
        <v>153</v>
      </c>
      <c r="N105" t="s">
        <v>195</v>
      </c>
      <c r="O105" t="s">
        <v>261</v>
      </c>
      <c r="P105">
        <v>1.2722450699769114E-3</v>
      </c>
      <c r="Q105" t="s">
        <v>153</v>
      </c>
      <c r="S105" t="s">
        <v>210</v>
      </c>
      <c r="T105" t="s">
        <v>261</v>
      </c>
      <c r="U105">
        <v>3.1174731626703567E-5</v>
      </c>
      <c r="V105" t="s">
        <v>153</v>
      </c>
      <c r="AK105">
        <v>2040</v>
      </c>
      <c r="AL105" t="s">
        <v>247</v>
      </c>
      <c r="AM105">
        <v>0.27439999999999998</v>
      </c>
      <c r="AN105" t="s">
        <v>227</v>
      </c>
    </row>
    <row r="106" spans="9:40" x14ac:dyDescent="0.45">
      <c r="I106" t="s">
        <v>166</v>
      </c>
      <c r="J106" t="s">
        <v>262</v>
      </c>
      <c r="K106">
        <v>0</v>
      </c>
      <c r="L106" t="s">
        <v>153</v>
      </c>
      <c r="N106" t="s">
        <v>195</v>
      </c>
      <c r="O106" t="s">
        <v>262</v>
      </c>
      <c r="P106">
        <v>9.8400302119193966E-3</v>
      </c>
      <c r="Q106" t="s">
        <v>153</v>
      </c>
      <c r="S106" t="s">
        <v>210</v>
      </c>
      <c r="T106" t="s">
        <v>262</v>
      </c>
      <c r="U106">
        <v>3.9211863494746516E-4</v>
      </c>
      <c r="V106" t="s">
        <v>153</v>
      </c>
      <c r="AK106">
        <v>2041</v>
      </c>
      <c r="AL106" t="s">
        <v>141</v>
      </c>
      <c r="AM106">
        <v>0.20350000000000001</v>
      </c>
      <c r="AN106" t="s">
        <v>227</v>
      </c>
    </row>
    <row r="107" spans="9:40" x14ac:dyDescent="0.45">
      <c r="I107" t="s">
        <v>166</v>
      </c>
      <c r="J107" t="s">
        <v>159</v>
      </c>
      <c r="K107">
        <v>0</v>
      </c>
      <c r="L107" t="s">
        <v>153</v>
      </c>
      <c r="N107" t="s">
        <v>195</v>
      </c>
      <c r="O107" t="s">
        <v>159</v>
      </c>
      <c r="P107">
        <v>2.7133860161405194E-2</v>
      </c>
      <c r="Q107" t="s">
        <v>153</v>
      </c>
      <c r="S107" t="s">
        <v>210</v>
      </c>
      <c r="T107" t="s">
        <v>159</v>
      </c>
      <c r="U107">
        <v>7.4060231578539897E-3</v>
      </c>
      <c r="V107" t="s">
        <v>153</v>
      </c>
      <c r="AK107">
        <v>2041</v>
      </c>
      <c r="AL107" t="s">
        <v>145</v>
      </c>
      <c r="AM107">
        <v>9.1300000000000006E-2</v>
      </c>
      <c r="AN107" t="s">
        <v>227</v>
      </c>
    </row>
    <row r="108" spans="9:40" x14ac:dyDescent="0.45">
      <c r="I108" t="s">
        <v>166</v>
      </c>
      <c r="J108" t="s">
        <v>160</v>
      </c>
      <c r="K108">
        <v>1.8380275101671489E-3</v>
      </c>
      <c r="L108" t="s">
        <v>153</v>
      </c>
      <c r="N108" t="s">
        <v>195</v>
      </c>
      <c r="O108" t="s">
        <v>160</v>
      </c>
      <c r="P108">
        <v>3.2832649518225185E-3</v>
      </c>
      <c r="Q108" t="s">
        <v>153</v>
      </c>
      <c r="S108" t="s">
        <v>210</v>
      </c>
      <c r="T108" t="s">
        <v>160</v>
      </c>
      <c r="U108">
        <v>1.5117849852741762E-3</v>
      </c>
      <c r="V108" t="s">
        <v>153</v>
      </c>
      <c r="AK108">
        <v>2041</v>
      </c>
      <c r="AL108" t="s">
        <v>147</v>
      </c>
      <c r="AM108">
        <v>0.12825</v>
      </c>
      <c r="AN108" t="s">
        <v>227</v>
      </c>
    </row>
    <row r="109" spans="9:40" x14ac:dyDescent="0.45">
      <c r="I109" t="s">
        <v>166</v>
      </c>
      <c r="J109" t="s">
        <v>161</v>
      </c>
      <c r="K109">
        <v>3.4795551801070509E-3</v>
      </c>
      <c r="L109" t="s">
        <v>153</v>
      </c>
      <c r="N109" t="s">
        <v>195</v>
      </c>
      <c r="O109" t="s">
        <v>161</v>
      </c>
      <c r="P109">
        <v>2.8043815284498229E-3</v>
      </c>
      <c r="Q109" t="s">
        <v>153</v>
      </c>
      <c r="S109" t="s">
        <v>210</v>
      </c>
      <c r="T109" t="s">
        <v>161</v>
      </c>
      <c r="U109">
        <v>1.6601663431616473E-3</v>
      </c>
      <c r="V109" t="s">
        <v>153</v>
      </c>
      <c r="AK109">
        <v>2041</v>
      </c>
      <c r="AL109" t="s">
        <v>149</v>
      </c>
      <c r="AM109">
        <v>0.17615</v>
      </c>
      <c r="AN109" t="s">
        <v>227</v>
      </c>
    </row>
    <row r="110" spans="9:40" x14ac:dyDescent="0.45">
      <c r="I110" t="s">
        <v>166</v>
      </c>
      <c r="J110" t="s">
        <v>238</v>
      </c>
      <c r="K110">
        <v>5.3568344147880559E-3</v>
      </c>
      <c r="L110" t="s">
        <v>153</v>
      </c>
      <c r="N110" t="s">
        <v>195</v>
      </c>
      <c r="O110" t="s">
        <v>238</v>
      </c>
      <c r="P110">
        <v>3.4126737316442263E-3</v>
      </c>
      <c r="Q110" t="s">
        <v>153</v>
      </c>
      <c r="S110" t="s">
        <v>210</v>
      </c>
      <c r="T110" t="s">
        <v>238</v>
      </c>
      <c r="U110">
        <v>1.8140039468319219E-3</v>
      </c>
      <c r="V110" t="s">
        <v>153</v>
      </c>
      <c r="AK110">
        <v>2041</v>
      </c>
      <c r="AL110" t="s">
        <v>247</v>
      </c>
      <c r="AM110">
        <v>0.18709999999999999</v>
      </c>
      <c r="AN110" t="s">
        <v>227</v>
      </c>
    </row>
    <row r="111" spans="9:40" x14ac:dyDescent="0.45">
      <c r="I111" t="s">
        <v>166</v>
      </c>
      <c r="J111" t="s">
        <v>239</v>
      </c>
      <c r="K111">
        <v>4.4636453639305462E-2</v>
      </c>
      <c r="L111" t="s">
        <v>153</v>
      </c>
      <c r="N111" t="s">
        <v>195</v>
      </c>
      <c r="O111" t="s">
        <v>239</v>
      </c>
      <c r="P111">
        <v>1.9889237697487898E-2</v>
      </c>
      <c r="Q111" t="s">
        <v>153</v>
      </c>
      <c r="S111" t="s">
        <v>210</v>
      </c>
      <c r="T111" t="s">
        <v>239</v>
      </c>
      <c r="U111">
        <v>9.8478089872404053E-3</v>
      </c>
      <c r="V111" t="s">
        <v>153</v>
      </c>
      <c r="AK111">
        <v>2042</v>
      </c>
      <c r="AL111" t="s">
        <v>141</v>
      </c>
      <c r="AM111">
        <v>0.23250999999999999</v>
      </c>
      <c r="AN111" t="s">
        <v>227</v>
      </c>
    </row>
    <row r="112" spans="9:40" x14ac:dyDescent="0.45">
      <c r="I112" t="s">
        <v>166</v>
      </c>
      <c r="J112" t="s">
        <v>240</v>
      </c>
      <c r="K112">
        <v>3.5679407422382218E-3</v>
      </c>
      <c r="L112" t="s">
        <v>153</v>
      </c>
      <c r="N112" t="s">
        <v>195</v>
      </c>
      <c r="O112" t="s">
        <v>240</v>
      </c>
      <c r="P112">
        <v>2.6153019927796788E-3</v>
      </c>
      <c r="Q112" t="s">
        <v>153</v>
      </c>
      <c r="S112" t="s">
        <v>210</v>
      </c>
      <c r="T112" t="s">
        <v>240</v>
      </c>
      <c r="U112">
        <v>9.9172862468722089E-4</v>
      </c>
      <c r="V112" t="s">
        <v>153</v>
      </c>
      <c r="AK112">
        <v>2042</v>
      </c>
      <c r="AL112" t="s">
        <v>145</v>
      </c>
      <c r="AM112">
        <v>0.05</v>
      </c>
      <c r="AN112" t="s">
        <v>227</v>
      </c>
    </row>
    <row r="113" spans="9:40" x14ac:dyDescent="0.45">
      <c r="I113" t="s">
        <v>166</v>
      </c>
      <c r="J113" t="s">
        <v>263</v>
      </c>
      <c r="K113">
        <v>2.0319925699048857E-3</v>
      </c>
      <c r="L113" t="s">
        <v>153</v>
      </c>
      <c r="N113" t="s">
        <v>195</v>
      </c>
      <c r="O113" t="s">
        <v>263</v>
      </c>
      <c r="P113">
        <v>3.231357229725442E-3</v>
      </c>
      <c r="Q113" t="s">
        <v>153</v>
      </c>
      <c r="S113" t="s">
        <v>210</v>
      </c>
      <c r="T113" t="s">
        <v>263</v>
      </c>
      <c r="U113">
        <v>1.0201044676415268E-3</v>
      </c>
      <c r="V113" t="s">
        <v>153</v>
      </c>
      <c r="AK113">
        <v>2042</v>
      </c>
      <c r="AL113" t="s">
        <v>147</v>
      </c>
      <c r="AM113">
        <v>0.12065000000000001</v>
      </c>
      <c r="AN113" t="s">
        <v>227</v>
      </c>
    </row>
    <row r="114" spans="9:40" x14ac:dyDescent="0.45">
      <c r="I114" t="s">
        <v>166</v>
      </c>
      <c r="J114" t="s">
        <v>264</v>
      </c>
      <c r="K114">
        <v>0</v>
      </c>
      <c r="L114" t="s">
        <v>153</v>
      </c>
      <c r="N114" t="s">
        <v>195</v>
      </c>
      <c r="O114" t="s">
        <v>264</v>
      </c>
      <c r="P114">
        <v>2.1919056583782376E-2</v>
      </c>
      <c r="Q114" t="s">
        <v>153</v>
      </c>
      <c r="S114" t="s">
        <v>210</v>
      </c>
      <c r="T114" t="s">
        <v>264</v>
      </c>
      <c r="U114">
        <v>5.235833490717017E-3</v>
      </c>
      <c r="V114" t="s">
        <v>153</v>
      </c>
      <c r="AK114">
        <v>2042</v>
      </c>
      <c r="AL114" t="s">
        <v>149</v>
      </c>
      <c r="AM114">
        <v>0.24945000000000001</v>
      </c>
      <c r="AN114" t="s">
        <v>227</v>
      </c>
    </row>
    <row r="115" spans="9:40" x14ac:dyDescent="0.45">
      <c r="I115" t="s">
        <v>166</v>
      </c>
      <c r="J115" t="s">
        <v>162</v>
      </c>
      <c r="K115">
        <v>0</v>
      </c>
      <c r="L115" t="s">
        <v>153</v>
      </c>
      <c r="N115" t="s">
        <v>195</v>
      </c>
      <c r="O115" t="s">
        <v>162</v>
      </c>
      <c r="P115">
        <v>5.3960802254742271E-2</v>
      </c>
      <c r="Q115" t="s">
        <v>153</v>
      </c>
      <c r="S115" t="s">
        <v>210</v>
      </c>
      <c r="T115" t="s">
        <v>162</v>
      </c>
      <c r="U115">
        <v>3.3038183295884656E-2</v>
      </c>
      <c r="V115" t="s">
        <v>153</v>
      </c>
      <c r="AK115">
        <v>2042</v>
      </c>
      <c r="AL115" t="s">
        <v>247</v>
      </c>
      <c r="AM115">
        <v>0.30759999999999998</v>
      </c>
      <c r="AN115" t="s">
        <v>227</v>
      </c>
    </row>
    <row r="116" spans="9:40" x14ac:dyDescent="0.45">
      <c r="I116" t="s">
        <v>166</v>
      </c>
      <c r="J116" t="s">
        <v>163</v>
      </c>
      <c r="K116">
        <v>7.6028619219961789E-5</v>
      </c>
      <c r="L116" t="s">
        <v>153</v>
      </c>
      <c r="N116" t="s">
        <v>195</v>
      </c>
      <c r="O116" t="s">
        <v>163</v>
      </c>
      <c r="P116">
        <v>6.4907736622088798E-3</v>
      </c>
      <c r="Q116" t="s">
        <v>153</v>
      </c>
      <c r="S116" t="s">
        <v>210</v>
      </c>
      <c r="T116" t="s">
        <v>163</v>
      </c>
      <c r="U116">
        <v>6.1980681940398772E-3</v>
      </c>
      <c r="V116" t="s">
        <v>153</v>
      </c>
      <c r="AK116">
        <v>2043</v>
      </c>
      <c r="AL116" t="s">
        <v>141</v>
      </c>
      <c r="AM116">
        <v>0.23647000000000001</v>
      </c>
      <c r="AN116" t="s">
        <v>227</v>
      </c>
    </row>
    <row r="117" spans="9:40" x14ac:dyDescent="0.45">
      <c r="I117" t="s">
        <v>166</v>
      </c>
      <c r="J117" t="s">
        <v>164</v>
      </c>
      <c r="K117">
        <v>4.1262496983625772E-3</v>
      </c>
      <c r="L117" t="s">
        <v>153</v>
      </c>
      <c r="N117" t="s">
        <v>195</v>
      </c>
      <c r="O117" t="s">
        <v>164</v>
      </c>
      <c r="P117">
        <v>5.6466618889715395E-3</v>
      </c>
      <c r="Q117" t="s">
        <v>153</v>
      </c>
      <c r="S117" t="s">
        <v>210</v>
      </c>
      <c r="T117" t="s">
        <v>164</v>
      </c>
      <c r="U117">
        <v>6.3654521750411185E-3</v>
      </c>
      <c r="V117" t="s">
        <v>153</v>
      </c>
      <c r="AK117">
        <v>2043</v>
      </c>
      <c r="AL117" t="s">
        <v>145</v>
      </c>
      <c r="AM117">
        <v>0.05</v>
      </c>
      <c r="AN117" t="s">
        <v>227</v>
      </c>
    </row>
    <row r="118" spans="9:40" x14ac:dyDescent="0.45">
      <c r="I118" t="s">
        <v>166</v>
      </c>
      <c r="J118" t="s">
        <v>241</v>
      </c>
      <c r="K118">
        <v>6.4240063849846964E-3</v>
      </c>
      <c r="L118" t="s">
        <v>153</v>
      </c>
      <c r="N118" t="s">
        <v>195</v>
      </c>
      <c r="O118" t="s">
        <v>241</v>
      </c>
      <c r="P118">
        <v>6.3993956260651359E-3</v>
      </c>
      <c r="Q118" t="s">
        <v>153</v>
      </c>
      <c r="S118" t="s">
        <v>210</v>
      </c>
      <c r="T118" t="s">
        <v>241</v>
      </c>
      <c r="U118">
        <v>6.1149712187460303E-3</v>
      </c>
      <c r="V118" t="s">
        <v>153</v>
      </c>
      <c r="AK118">
        <v>2043</v>
      </c>
      <c r="AL118" t="s">
        <v>147</v>
      </c>
      <c r="AM118">
        <v>0.11945</v>
      </c>
      <c r="AN118" t="s">
        <v>227</v>
      </c>
    </row>
    <row r="119" spans="9:40" x14ac:dyDescent="0.45">
      <c r="I119" t="s">
        <v>166</v>
      </c>
      <c r="J119" t="s">
        <v>242</v>
      </c>
      <c r="K119">
        <v>5.4240425377847221E-2</v>
      </c>
      <c r="L119" t="s">
        <v>153</v>
      </c>
      <c r="N119" t="s">
        <v>195</v>
      </c>
      <c r="O119" t="s">
        <v>242</v>
      </c>
      <c r="P119">
        <v>3.750419726423964E-2</v>
      </c>
      <c r="Q119" t="s">
        <v>153</v>
      </c>
      <c r="S119" t="s">
        <v>210</v>
      </c>
      <c r="T119" t="s">
        <v>242</v>
      </c>
      <c r="U119">
        <v>2.7708962056044457E-2</v>
      </c>
      <c r="V119" t="s">
        <v>153</v>
      </c>
      <c r="AK119">
        <v>2043</v>
      </c>
      <c r="AL119" t="s">
        <v>149</v>
      </c>
      <c r="AM119">
        <v>0.24075000000000002</v>
      </c>
      <c r="AN119" t="s">
        <v>227</v>
      </c>
    </row>
    <row r="120" spans="9:40" x14ac:dyDescent="0.45">
      <c r="I120" t="s">
        <v>166</v>
      </c>
      <c r="J120" t="s">
        <v>243</v>
      </c>
      <c r="K120">
        <v>4.2685109468747458E-3</v>
      </c>
      <c r="L120" t="s">
        <v>153</v>
      </c>
      <c r="N120" t="s">
        <v>195</v>
      </c>
      <c r="O120" t="s">
        <v>243</v>
      </c>
      <c r="P120">
        <v>4.9873675758231881E-3</v>
      </c>
      <c r="Q120" t="s">
        <v>153</v>
      </c>
      <c r="S120" t="s">
        <v>210</v>
      </c>
      <c r="T120" t="s">
        <v>243</v>
      </c>
      <c r="U120">
        <v>2.1413005540455487E-3</v>
      </c>
      <c r="V120" t="s">
        <v>153</v>
      </c>
      <c r="AK120">
        <v>2043</v>
      </c>
      <c r="AL120" t="s">
        <v>247</v>
      </c>
      <c r="AM120">
        <v>0.29260000000000003</v>
      </c>
      <c r="AN120" t="s">
        <v>227</v>
      </c>
    </row>
    <row r="121" spans="9:40" x14ac:dyDescent="0.45">
      <c r="I121" t="s">
        <v>166</v>
      </c>
      <c r="J121" t="s">
        <v>265</v>
      </c>
      <c r="K121">
        <v>8.5980588564220806E-4</v>
      </c>
      <c r="L121" t="s">
        <v>153</v>
      </c>
      <c r="N121" t="s">
        <v>195</v>
      </c>
      <c r="O121" t="s">
        <v>265</v>
      </c>
      <c r="P121">
        <v>6.3776144865302364E-3</v>
      </c>
      <c r="Q121" t="s">
        <v>153</v>
      </c>
      <c r="S121" t="s">
        <v>210</v>
      </c>
      <c r="T121" t="s">
        <v>265</v>
      </c>
      <c r="U121">
        <v>2.2617188707942863E-3</v>
      </c>
      <c r="V121" t="s">
        <v>153</v>
      </c>
      <c r="AK121">
        <v>2044</v>
      </c>
      <c r="AL121" t="s">
        <v>141</v>
      </c>
      <c r="AM121">
        <v>0.24417</v>
      </c>
      <c r="AN121" t="s">
        <v>227</v>
      </c>
    </row>
    <row r="122" spans="9:40" x14ac:dyDescent="0.45">
      <c r="I122" t="s">
        <v>166</v>
      </c>
      <c r="J122" t="s">
        <v>266</v>
      </c>
      <c r="K122">
        <v>0</v>
      </c>
      <c r="L122" t="s">
        <v>153</v>
      </c>
      <c r="N122" t="s">
        <v>195</v>
      </c>
      <c r="O122" t="s">
        <v>266</v>
      </c>
      <c r="P122">
        <v>4.0852118911443511E-2</v>
      </c>
      <c r="Q122" t="s">
        <v>153</v>
      </c>
      <c r="S122" t="s">
        <v>210</v>
      </c>
      <c r="T122" t="s">
        <v>266</v>
      </c>
      <c r="U122">
        <v>1.5289747588243703E-2</v>
      </c>
      <c r="V122" t="s">
        <v>153</v>
      </c>
      <c r="AK122">
        <v>2044</v>
      </c>
      <c r="AL122" t="s">
        <v>145</v>
      </c>
      <c r="AM122">
        <v>0.23430000000000001</v>
      </c>
      <c r="AN122" t="s">
        <v>227</v>
      </c>
    </row>
    <row r="123" spans="9:40" x14ac:dyDescent="0.45">
      <c r="I123" t="s">
        <v>166</v>
      </c>
      <c r="J123" t="s">
        <v>249</v>
      </c>
      <c r="K123">
        <v>0</v>
      </c>
      <c r="L123" t="s">
        <v>153</v>
      </c>
      <c r="N123" t="s">
        <v>195</v>
      </c>
      <c r="O123" t="s">
        <v>249</v>
      </c>
      <c r="P123">
        <v>3.5356724456287146E-2</v>
      </c>
      <c r="Q123" t="s">
        <v>153</v>
      </c>
      <c r="S123" t="s">
        <v>210</v>
      </c>
      <c r="T123" t="s">
        <v>249</v>
      </c>
      <c r="U123">
        <v>2.5774339379517428E-2</v>
      </c>
      <c r="V123" t="s">
        <v>153</v>
      </c>
      <c r="AK123">
        <v>2044</v>
      </c>
      <c r="AL123" t="s">
        <v>147</v>
      </c>
      <c r="AM123">
        <v>0.1772</v>
      </c>
      <c r="AN123" t="s">
        <v>227</v>
      </c>
    </row>
    <row r="124" spans="9:40" x14ac:dyDescent="0.45">
      <c r="I124" t="s">
        <v>166</v>
      </c>
      <c r="J124" t="s">
        <v>250</v>
      </c>
      <c r="K124">
        <v>0</v>
      </c>
      <c r="L124" t="s">
        <v>153</v>
      </c>
      <c r="N124" t="s">
        <v>195</v>
      </c>
      <c r="O124" t="s">
        <v>250</v>
      </c>
      <c r="P124">
        <v>4.7848109354417575E-3</v>
      </c>
      <c r="Q124" t="s">
        <v>153</v>
      </c>
      <c r="S124" t="s">
        <v>210</v>
      </c>
      <c r="T124" t="s">
        <v>250</v>
      </c>
      <c r="U124">
        <v>4.5784937613793644E-3</v>
      </c>
      <c r="V124" t="s">
        <v>153</v>
      </c>
      <c r="AK124">
        <v>2044</v>
      </c>
      <c r="AL124" t="s">
        <v>149</v>
      </c>
      <c r="AM124">
        <v>0.13789999999999999</v>
      </c>
      <c r="AN124" t="s">
        <v>227</v>
      </c>
    </row>
    <row r="125" spans="9:40" x14ac:dyDescent="0.45">
      <c r="I125" t="s">
        <v>166</v>
      </c>
      <c r="J125" t="s">
        <v>251</v>
      </c>
      <c r="K125">
        <v>2.8992413896188878E-3</v>
      </c>
      <c r="L125" t="s">
        <v>153</v>
      </c>
      <c r="N125" t="s">
        <v>195</v>
      </c>
      <c r="O125" t="s">
        <v>251</v>
      </c>
      <c r="P125">
        <v>4.0044920077221598E-3</v>
      </c>
      <c r="Q125" t="s">
        <v>153</v>
      </c>
      <c r="S125" t="s">
        <v>210</v>
      </c>
      <c r="T125" t="s">
        <v>251</v>
      </c>
      <c r="U125">
        <v>4.9217768519331474E-3</v>
      </c>
      <c r="V125" t="s">
        <v>153</v>
      </c>
      <c r="AK125">
        <v>2044</v>
      </c>
      <c r="AL125" t="s">
        <v>247</v>
      </c>
      <c r="AM125">
        <v>0.15570000000000001</v>
      </c>
      <c r="AN125" t="s">
        <v>227</v>
      </c>
    </row>
    <row r="126" spans="9:40" x14ac:dyDescent="0.45">
      <c r="I126" t="s">
        <v>166</v>
      </c>
      <c r="J126" t="s">
        <v>252</v>
      </c>
      <c r="K126">
        <v>4.6537520447118398E-3</v>
      </c>
      <c r="L126" t="s">
        <v>153</v>
      </c>
      <c r="N126" t="s">
        <v>195</v>
      </c>
      <c r="O126" t="s">
        <v>252</v>
      </c>
      <c r="P126">
        <v>4.5492587765404375E-3</v>
      </c>
      <c r="Q126" t="s">
        <v>153</v>
      </c>
      <c r="S126" t="s">
        <v>210</v>
      </c>
      <c r="T126" t="s">
        <v>252</v>
      </c>
      <c r="U126">
        <v>5.0746255432270572E-3</v>
      </c>
      <c r="V126" t="s">
        <v>153</v>
      </c>
      <c r="AK126">
        <v>2045</v>
      </c>
      <c r="AL126" t="s">
        <v>141</v>
      </c>
      <c r="AM126">
        <v>0.20683999999999997</v>
      </c>
      <c r="AN126" t="s">
        <v>227</v>
      </c>
    </row>
    <row r="127" spans="9:40" x14ac:dyDescent="0.45">
      <c r="I127" t="s">
        <v>166</v>
      </c>
      <c r="J127" t="s">
        <v>253</v>
      </c>
      <c r="K127">
        <v>3.8611180946433184E-2</v>
      </c>
      <c r="L127" t="s">
        <v>153</v>
      </c>
      <c r="N127" t="s">
        <v>195</v>
      </c>
      <c r="O127" t="s">
        <v>253</v>
      </c>
      <c r="P127">
        <v>2.4190244859113721E-2</v>
      </c>
      <c r="Q127" t="s">
        <v>153</v>
      </c>
      <c r="S127" t="s">
        <v>210</v>
      </c>
      <c r="T127" t="s">
        <v>253</v>
      </c>
      <c r="U127">
        <v>2.8787143274831544E-2</v>
      </c>
      <c r="V127" t="s">
        <v>153</v>
      </c>
      <c r="AK127">
        <v>2045</v>
      </c>
      <c r="AL127" t="s">
        <v>145</v>
      </c>
      <c r="AM127">
        <v>7.1099999999999997E-2</v>
      </c>
      <c r="AN127" t="s">
        <v>227</v>
      </c>
    </row>
    <row r="128" spans="9:40" x14ac:dyDescent="0.45">
      <c r="I128" t="s">
        <v>166</v>
      </c>
      <c r="J128" t="s">
        <v>254</v>
      </c>
      <c r="K128">
        <v>3.536187193935903E-3</v>
      </c>
      <c r="L128" t="s">
        <v>153</v>
      </c>
      <c r="N128" t="s">
        <v>195</v>
      </c>
      <c r="O128" t="s">
        <v>254</v>
      </c>
      <c r="P128">
        <v>2.3228942714750337E-3</v>
      </c>
      <c r="Q128" t="s">
        <v>153</v>
      </c>
      <c r="S128" t="s">
        <v>210</v>
      </c>
      <c r="T128" t="s">
        <v>254</v>
      </c>
      <c r="U128">
        <v>2.5999651754453862E-3</v>
      </c>
      <c r="V128" t="s">
        <v>153</v>
      </c>
      <c r="AK128">
        <v>2045</v>
      </c>
      <c r="AL128" t="s">
        <v>147</v>
      </c>
      <c r="AM128">
        <v>7.8300000000000008E-2</v>
      </c>
      <c r="AN128" t="s">
        <v>227</v>
      </c>
    </row>
    <row r="129" spans="9:40" x14ac:dyDescent="0.45">
      <c r="I129" t="s">
        <v>166</v>
      </c>
      <c r="J129" t="s">
        <v>267</v>
      </c>
      <c r="K129">
        <v>2.1745070032995009E-3</v>
      </c>
      <c r="L129" t="s">
        <v>153</v>
      </c>
      <c r="N129" t="s">
        <v>195</v>
      </c>
      <c r="O129" t="s">
        <v>267</v>
      </c>
      <c r="P129">
        <v>3.3747829195145624E-3</v>
      </c>
      <c r="Q129" t="s">
        <v>153</v>
      </c>
      <c r="S129" t="s">
        <v>210</v>
      </c>
      <c r="T129" t="s">
        <v>267</v>
      </c>
      <c r="U129">
        <v>2.5503192169091609E-3</v>
      </c>
      <c r="V129" t="s">
        <v>153</v>
      </c>
      <c r="AK129">
        <v>2045</v>
      </c>
      <c r="AL129" t="s">
        <v>149</v>
      </c>
      <c r="AM129">
        <v>0.20995</v>
      </c>
      <c r="AN129" t="s">
        <v>227</v>
      </c>
    </row>
    <row r="130" spans="9:40" x14ac:dyDescent="0.45">
      <c r="I130" t="s">
        <v>166</v>
      </c>
      <c r="J130" t="s">
        <v>268</v>
      </c>
      <c r="K130">
        <v>0</v>
      </c>
      <c r="L130" t="s">
        <v>153</v>
      </c>
      <c r="N130" t="s">
        <v>195</v>
      </c>
      <c r="O130" t="s">
        <v>268</v>
      </c>
      <c r="P130">
        <v>2.525819036542418E-2</v>
      </c>
      <c r="Q130" t="s">
        <v>153</v>
      </c>
      <c r="S130" t="s">
        <v>210</v>
      </c>
      <c r="T130" t="s">
        <v>268</v>
      </c>
      <c r="U130">
        <v>1.3167947419002355E-2</v>
      </c>
      <c r="V130" t="s">
        <v>153</v>
      </c>
      <c r="AK130">
        <v>2045</v>
      </c>
      <c r="AL130" t="s">
        <v>247</v>
      </c>
      <c r="AM130">
        <v>0.33439999999999998</v>
      </c>
      <c r="AN130" t="s">
        <v>227</v>
      </c>
    </row>
    <row r="131" spans="9:40" x14ac:dyDescent="0.45">
      <c r="I131" t="s">
        <v>167</v>
      </c>
      <c r="J131" t="s">
        <v>152</v>
      </c>
      <c r="K131">
        <v>0</v>
      </c>
      <c r="L131" t="s">
        <v>153</v>
      </c>
      <c r="N131" t="s">
        <v>196</v>
      </c>
      <c r="O131" t="s">
        <v>152</v>
      </c>
      <c r="P131">
        <v>0.22366902344954059</v>
      </c>
      <c r="Q131" t="s">
        <v>153</v>
      </c>
      <c r="S131" t="s">
        <v>211</v>
      </c>
      <c r="T131" t="s">
        <v>152</v>
      </c>
      <c r="U131">
        <v>0.27030592779479951</v>
      </c>
      <c r="V131" t="s">
        <v>153</v>
      </c>
      <c r="AK131">
        <v>2046</v>
      </c>
      <c r="AL131" t="s">
        <v>141</v>
      </c>
      <c r="AM131">
        <v>0.26700999999999997</v>
      </c>
      <c r="AN131" t="s">
        <v>227</v>
      </c>
    </row>
    <row r="132" spans="9:40" x14ac:dyDescent="0.45">
      <c r="I132" t="s">
        <v>167</v>
      </c>
      <c r="J132" t="s">
        <v>154</v>
      </c>
      <c r="K132">
        <v>1.6828713576940341E-2</v>
      </c>
      <c r="L132" t="s">
        <v>153</v>
      </c>
      <c r="N132" t="s">
        <v>196</v>
      </c>
      <c r="O132" t="s">
        <v>154</v>
      </c>
      <c r="P132">
        <v>2.033789697932321E-2</v>
      </c>
      <c r="Q132" t="s">
        <v>153</v>
      </c>
      <c r="S132" t="s">
        <v>211</v>
      </c>
      <c r="T132" t="s">
        <v>154</v>
      </c>
      <c r="U132">
        <v>3.4840312738626665E-2</v>
      </c>
      <c r="V132" t="s">
        <v>153</v>
      </c>
      <c r="AK132">
        <v>2046</v>
      </c>
      <c r="AL132" t="s">
        <v>145</v>
      </c>
      <c r="AM132">
        <v>0.14599999999999999</v>
      </c>
      <c r="AN132" t="s">
        <v>227</v>
      </c>
    </row>
    <row r="133" spans="9:40" x14ac:dyDescent="0.45">
      <c r="I133" t="s">
        <v>167</v>
      </c>
      <c r="J133" t="s">
        <v>155</v>
      </c>
      <c r="K133">
        <v>4.4343611755619863E-2</v>
      </c>
      <c r="L133" t="s">
        <v>153</v>
      </c>
      <c r="N133" t="s">
        <v>196</v>
      </c>
      <c r="O133" t="s">
        <v>155</v>
      </c>
      <c r="P133">
        <v>1.8429504552275891E-2</v>
      </c>
      <c r="Q133" t="s">
        <v>153</v>
      </c>
      <c r="S133" t="s">
        <v>211</v>
      </c>
      <c r="T133" t="s">
        <v>155</v>
      </c>
      <c r="U133">
        <v>3.4179207153576162E-2</v>
      </c>
      <c r="V133" t="s">
        <v>153</v>
      </c>
      <c r="AK133">
        <v>2046</v>
      </c>
      <c r="AL133" t="s">
        <v>147</v>
      </c>
      <c r="AM133">
        <v>0.12945000000000001</v>
      </c>
      <c r="AN133" t="s">
        <v>227</v>
      </c>
    </row>
    <row r="134" spans="9:40" x14ac:dyDescent="0.45">
      <c r="I134" t="s">
        <v>167</v>
      </c>
      <c r="J134" t="s">
        <v>232</v>
      </c>
      <c r="K134">
        <v>6.5009204651116981E-2</v>
      </c>
      <c r="L134" t="s">
        <v>153</v>
      </c>
      <c r="N134" t="s">
        <v>196</v>
      </c>
      <c r="O134" t="s">
        <v>232</v>
      </c>
      <c r="P134">
        <v>1.901062089579534E-2</v>
      </c>
      <c r="Q134" t="s">
        <v>153</v>
      </c>
      <c r="S134" t="s">
        <v>211</v>
      </c>
      <c r="T134" t="s">
        <v>232</v>
      </c>
      <c r="U134">
        <v>3.3546021626526527E-2</v>
      </c>
      <c r="V134" t="s">
        <v>153</v>
      </c>
      <c r="AK134">
        <v>2046</v>
      </c>
      <c r="AL134" t="s">
        <v>149</v>
      </c>
      <c r="AM134">
        <v>0.19005</v>
      </c>
      <c r="AN134" t="s">
        <v>227</v>
      </c>
    </row>
    <row r="135" spans="9:40" x14ac:dyDescent="0.45">
      <c r="I135" t="s">
        <v>167</v>
      </c>
      <c r="J135" t="s">
        <v>233</v>
      </c>
      <c r="K135">
        <v>0.57519596073761114</v>
      </c>
      <c r="L135" t="s">
        <v>153</v>
      </c>
      <c r="N135" t="s">
        <v>196</v>
      </c>
      <c r="O135" t="s">
        <v>233</v>
      </c>
      <c r="P135">
        <v>0.10166087633437741</v>
      </c>
      <c r="Q135" t="s">
        <v>153</v>
      </c>
      <c r="S135" t="s">
        <v>211</v>
      </c>
      <c r="T135" t="s">
        <v>233</v>
      </c>
      <c r="U135">
        <v>0.22204154600758966</v>
      </c>
      <c r="V135" t="s">
        <v>153</v>
      </c>
      <c r="AK135">
        <v>2046</v>
      </c>
      <c r="AL135" t="s">
        <v>247</v>
      </c>
      <c r="AM135">
        <v>0.26719999999999999</v>
      </c>
      <c r="AN135" t="s">
        <v>227</v>
      </c>
    </row>
    <row r="136" spans="9:40" x14ac:dyDescent="0.45">
      <c r="I136" t="s">
        <v>167</v>
      </c>
      <c r="J136" t="s">
        <v>234</v>
      </c>
      <c r="K136">
        <v>5.2280522929608879E-2</v>
      </c>
      <c r="L136" t="s">
        <v>153</v>
      </c>
      <c r="N136" t="s">
        <v>196</v>
      </c>
      <c r="O136" t="s">
        <v>234</v>
      </c>
      <c r="P136">
        <v>1.1675916431878144E-2</v>
      </c>
      <c r="Q136" t="s">
        <v>153</v>
      </c>
      <c r="S136" t="s">
        <v>211</v>
      </c>
      <c r="T136" t="s">
        <v>234</v>
      </c>
      <c r="U136">
        <v>2.8339656173719419E-2</v>
      </c>
      <c r="V136" t="s">
        <v>153</v>
      </c>
      <c r="AK136">
        <v>2047</v>
      </c>
      <c r="AL136" t="s">
        <v>141</v>
      </c>
      <c r="AM136">
        <v>0.24547000000000002</v>
      </c>
      <c r="AN136" t="s">
        <v>227</v>
      </c>
    </row>
    <row r="137" spans="9:40" x14ac:dyDescent="0.45">
      <c r="I137" t="s">
        <v>167</v>
      </c>
      <c r="J137" t="s">
        <v>259</v>
      </c>
      <c r="K137">
        <v>3.1475237618393624E-2</v>
      </c>
      <c r="L137" t="s">
        <v>153</v>
      </c>
      <c r="N137" t="s">
        <v>196</v>
      </c>
      <c r="O137" t="s">
        <v>259</v>
      </c>
      <c r="P137">
        <v>1.6252747069499425E-2</v>
      </c>
      <c r="Q137" t="s">
        <v>153</v>
      </c>
      <c r="S137" t="s">
        <v>211</v>
      </c>
      <c r="T137" t="s">
        <v>259</v>
      </c>
      <c r="U137">
        <v>2.9030756678860844E-2</v>
      </c>
      <c r="V137" t="s">
        <v>153</v>
      </c>
      <c r="AK137">
        <v>2047</v>
      </c>
      <c r="AL137" t="s">
        <v>145</v>
      </c>
      <c r="AM137">
        <v>0.1968</v>
      </c>
      <c r="AN137" t="s">
        <v>227</v>
      </c>
    </row>
    <row r="138" spans="9:40" x14ac:dyDescent="0.45">
      <c r="I138" t="s">
        <v>167</v>
      </c>
      <c r="J138" t="s">
        <v>260</v>
      </c>
      <c r="K138">
        <v>3.7831615562983669E-3</v>
      </c>
      <c r="L138" t="s">
        <v>153</v>
      </c>
      <c r="N138" t="s">
        <v>196</v>
      </c>
      <c r="O138" t="s">
        <v>260</v>
      </c>
      <c r="P138">
        <v>0.171585330030989</v>
      </c>
      <c r="Q138" t="s">
        <v>153</v>
      </c>
      <c r="S138" t="s">
        <v>211</v>
      </c>
      <c r="T138" t="s">
        <v>260</v>
      </c>
      <c r="U138">
        <v>0.16370627873225965</v>
      </c>
      <c r="V138" t="s">
        <v>153</v>
      </c>
      <c r="AK138">
        <v>2047</v>
      </c>
      <c r="AL138" t="s">
        <v>147</v>
      </c>
      <c r="AM138">
        <v>0.15279999999999999</v>
      </c>
      <c r="AN138" t="s">
        <v>227</v>
      </c>
    </row>
    <row r="139" spans="9:40" x14ac:dyDescent="0.45">
      <c r="I139" t="s">
        <v>167</v>
      </c>
      <c r="J139" t="s">
        <v>156</v>
      </c>
      <c r="K139">
        <v>0</v>
      </c>
      <c r="L139" t="s">
        <v>153</v>
      </c>
      <c r="N139" t="s">
        <v>196</v>
      </c>
      <c r="O139" t="s">
        <v>156</v>
      </c>
      <c r="P139">
        <v>1.3850190660012078E-2</v>
      </c>
      <c r="Q139" t="s">
        <v>153</v>
      </c>
      <c r="S139" t="s">
        <v>211</v>
      </c>
      <c r="T139" t="s">
        <v>156</v>
      </c>
      <c r="U139">
        <v>2.0367089147112624E-3</v>
      </c>
      <c r="V139" t="s">
        <v>153</v>
      </c>
      <c r="AK139">
        <v>2047</v>
      </c>
      <c r="AL139" t="s">
        <v>149</v>
      </c>
      <c r="AM139">
        <v>0.14860000000000001</v>
      </c>
      <c r="AN139" t="s">
        <v>227</v>
      </c>
    </row>
    <row r="140" spans="9:40" x14ac:dyDescent="0.45">
      <c r="I140" t="s">
        <v>167</v>
      </c>
      <c r="J140" t="s">
        <v>157</v>
      </c>
      <c r="K140">
        <v>5.409709296611445E-4</v>
      </c>
      <c r="L140" t="s">
        <v>153</v>
      </c>
      <c r="N140" t="s">
        <v>196</v>
      </c>
      <c r="O140" t="s">
        <v>157</v>
      </c>
      <c r="P140">
        <v>1.7679872619683387E-3</v>
      </c>
      <c r="Q140" t="s">
        <v>153</v>
      </c>
      <c r="S140" t="s">
        <v>211</v>
      </c>
      <c r="T140" t="s">
        <v>157</v>
      </c>
      <c r="U140">
        <v>2.3155868572190459E-4</v>
      </c>
      <c r="V140" t="s">
        <v>153</v>
      </c>
      <c r="AK140">
        <v>2047</v>
      </c>
      <c r="AL140" t="s">
        <v>247</v>
      </c>
      <c r="AM140">
        <v>0.18840000000000001</v>
      </c>
      <c r="AN140" t="s">
        <v>227</v>
      </c>
    </row>
    <row r="141" spans="9:40" x14ac:dyDescent="0.45">
      <c r="I141" t="s">
        <v>167</v>
      </c>
      <c r="J141" t="s">
        <v>158</v>
      </c>
      <c r="K141">
        <v>1.1107319290486553E-3</v>
      </c>
      <c r="L141" t="s">
        <v>153</v>
      </c>
      <c r="N141" t="s">
        <v>196</v>
      </c>
      <c r="O141" t="s">
        <v>158</v>
      </c>
      <c r="P141">
        <v>1.5492731461032127E-3</v>
      </c>
      <c r="Q141" t="s">
        <v>153</v>
      </c>
      <c r="S141" t="s">
        <v>211</v>
      </c>
      <c r="T141" t="s">
        <v>158</v>
      </c>
      <c r="U141">
        <v>2.2882527127492079E-4</v>
      </c>
      <c r="V141" t="s">
        <v>153</v>
      </c>
      <c r="AK141">
        <v>2048</v>
      </c>
      <c r="AL141" t="s">
        <v>141</v>
      </c>
      <c r="AM141">
        <v>0.18973999999999999</v>
      </c>
      <c r="AN141" t="s">
        <v>227</v>
      </c>
    </row>
    <row r="142" spans="9:40" x14ac:dyDescent="0.45">
      <c r="I142" t="s">
        <v>167</v>
      </c>
      <c r="J142" t="s">
        <v>235</v>
      </c>
      <c r="K142">
        <v>1.6823321919328766E-3</v>
      </c>
      <c r="L142" t="s">
        <v>153</v>
      </c>
      <c r="N142" t="s">
        <v>196</v>
      </c>
      <c r="O142" t="s">
        <v>235</v>
      </c>
      <c r="P142">
        <v>1.5334701384010589E-3</v>
      </c>
      <c r="Q142" t="s">
        <v>153</v>
      </c>
      <c r="S142" t="s">
        <v>211</v>
      </c>
      <c r="T142" t="s">
        <v>235</v>
      </c>
      <c r="U142">
        <v>2.2517722178550147E-4</v>
      </c>
      <c r="V142" t="s">
        <v>153</v>
      </c>
      <c r="AK142">
        <v>2048</v>
      </c>
      <c r="AL142" t="s">
        <v>145</v>
      </c>
      <c r="AM142">
        <v>0.1081</v>
      </c>
      <c r="AN142" t="s">
        <v>227</v>
      </c>
    </row>
    <row r="143" spans="9:40" x14ac:dyDescent="0.45">
      <c r="I143" t="s">
        <v>167</v>
      </c>
      <c r="J143" t="s">
        <v>236</v>
      </c>
      <c r="K143">
        <v>1.3653518798663798E-2</v>
      </c>
      <c r="L143" t="s">
        <v>153</v>
      </c>
      <c r="N143" t="s">
        <v>196</v>
      </c>
      <c r="O143" t="s">
        <v>236</v>
      </c>
      <c r="P143">
        <v>7.6684295419360655E-3</v>
      </c>
      <c r="Q143" t="s">
        <v>153</v>
      </c>
      <c r="S143" t="s">
        <v>211</v>
      </c>
      <c r="T143" t="s">
        <v>236</v>
      </c>
      <c r="U143">
        <v>1.1631960006620039E-3</v>
      </c>
      <c r="V143" t="s">
        <v>153</v>
      </c>
      <c r="AK143">
        <v>2048</v>
      </c>
      <c r="AL143" t="s">
        <v>147</v>
      </c>
      <c r="AM143">
        <v>0.14255000000000001</v>
      </c>
      <c r="AN143" t="s">
        <v>227</v>
      </c>
    </row>
    <row r="144" spans="9:40" x14ac:dyDescent="0.45">
      <c r="I144" t="s">
        <v>167</v>
      </c>
      <c r="J144" t="s">
        <v>237</v>
      </c>
      <c r="K144">
        <v>1.0859100314221516E-3</v>
      </c>
      <c r="L144" t="s">
        <v>153</v>
      </c>
      <c r="N144" t="s">
        <v>196</v>
      </c>
      <c r="O144" t="s">
        <v>237</v>
      </c>
      <c r="P144">
        <v>9.3501477160930278E-4</v>
      </c>
      <c r="Q144" t="s">
        <v>153</v>
      </c>
      <c r="S144" t="s">
        <v>211</v>
      </c>
      <c r="T144" t="s">
        <v>237</v>
      </c>
      <c r="U144">
        <v>4.4228164752311055E-5</v>
      </c>
      <c r="V144" t="s">
        <v>153</v>
      </c>
      <c r="AK144">
        <v>2048</v>
      </c>
      <c r="AL144" t="s">
        <v>149</v>
      </c>
      <c r="AM144">
        <v>0.22319999999999998</v>
      </c>
      <c r="AN144" t="s">
        <v>227</v>
      </c>
    </row>
    <row r="145" spans="9:40" x14ac:dyDescent="0.45">
      <c r="I145" t="s">
        <v>167</v>
      </c>
      <c r="J145" t="s">
        <v>261</v>
      </c>
      <c r="K145">
        <v>6.5099672686444205E-4</v>
      </c>
      <c r="L145" t="s">
        <v>153</v>
      </c>
      <c r="N145" t="s">
        <v>196</v>
      </c>
      <c r="O145" t="s">
        <v>261</v>
      </c>
      <c r="P145">
        <v>1.0418638973120969E-3</v>
      </c>
      <c r="Q145" t="s">
        <v>153</v>
      </c>
      <c r="S145" t="s">
        <v>211</v>
      </c>
      <c r="T145" t="s">
        <v>261</v>
      </c>
      <c r="U145">
        <v>4.1110135337093845E-5</v>
      </c>
      <c r="V145" t="s">
        <v>153</v>
      </c>
      <c r="AK145">
        <v>2048</v>
      </c>
      <c r="AL145" t="s">
        <v>247</v>
      </c>
      <c r="AM145">
        <v>0.26939999999999997</v>
      </c>
      <c r="AN145" t="s">
        <v>227</v>
      </c>
    </row>
    <row r="146" spans="9:40" x14ac:dyDescent="0.45">
      <c r="I146" t="s">
        <v>167</v>
      </c>
      <c r="J146" t="s">
        <v>262</v>
      </c>
      <c r="K146">
        <v>0</v>
      </c>
      <c r="L146" t="s">
        <v>153</v>
      </c>
      <c r="N146" t="s">
        <v>196</v>
      </c>
      <c r="O146" t="s">
        <v>262</v>
      </c>
      <c r="P146">
        <v>9.0215252931420305E-3</v>
      </c>
      <c r="Q146" t="s">
        <v>153</v>
      </c>
      <c r="S146" t="s">
        <v>211</v>
      </c>
      <c r="T146" t="s">
        <v>262</v>
      </c>
      <c r="U146">
        <v>3.5517691408464209E-4</v>
      </c>
      <c r="V146" t="s">
        <v>153</v>
      </c>
      <c r="AK146">
        <v>2049</v>
      </c>
      <c r="AL146" t="s">
        <v>141</v>
      </c>
      <c r="AM146">
        <v>0.20897000000000002</v>
      </c>
      <c r="AN146" t="s">
        <v>227</v>
      </c>
    </row>
    <row r="147" spans="9:40" x14ac:dyDescent="0.45">
      <c r="I147" t="s">
        <v>167</v>
      </c>
      <c r="J147" t="s">
        <v>159</v>
      </c>
      <c r="K147">
        <v>0</v>
      </c>
      <c r="L147" t="s">
        <v>153</v>
      </c>
      <c r="N147" t="s">
        <v>196</v>
      </c>
      <c r="O147" t="s">
        <v>159</v>
      </c>
      <c r="P147">
        <v>3.0116236349352725E-2</v>
      </c>
      <c r="Q147" t="s">
        <v>153</v>
      </c>
      <c r="S147" t="s">
        <v>211</v>
      </c>
      <c r="T147" t="s">
        <v>159</v>
      </c>
      <c r="U147">
        <v>7.4293181977710173E-3</v>
      </c>
      <c r="V147" t="s">
        <v>153</v>
      </c>
      <c r="AK147">
        <v>2049</v>
      </c>
      <c r="AL147" t="s">
        <v>145</v>
      </c>
      <c r="AM147">
        <v>0.13619999999999999</v>
      </c>
      <c r="AN147" t="s">
        <v>227</v>
      </c>
    </row>
    <row r="148" spans="9:40" x14ac:dyDescent="0.45">
      <c r="I148" t="s">
        <v>167</v>
      </c>
      <c r="J148" t="s">
        <v>160</v>
      </c>
      <c r="K148">
        <v>2.0882174012459625E-3</v>
      </c>
      <c r="L148" t="s">
        <v>153</v>
      </c>
      <c r="N148" t="s">
        <v>196</v>
      </c>
      <c r="O148" t="s">
        <v>160</v>
      </c>
      <c r="P148">
        <v>3.3820976065135197E-3</v>
      </c>
      <c r="Q148" t="s">
        <v>153</v>
      </c>
      <c r="S148" t="s">
        <v>211</v>
      </c>
      <c r="T148" t="s">
        <v>160</v>
      </c>
      <c r="U148">
        <v>1.5950061929626939E-3</v>
      </c>
      <c r="V148" t="s">
        <v>153</v>
      </c>
      <c r="AK148">
        <v>2049</v>
      </c>
      <c r="AL148" t="s">
        <v>147</v>
      </c>
      <c r="AM148">
        <v>0.13439999999999999</v>
      </c>
      <c r="AN148" t="s">
        <v>227</v>
      </c>
    </row>
    <row r="149" spans="9:40" x14ac:dyDescent="0.45">
      <c r="I149" t="s">
        <v>167</v>
      </c>
      <c r="J149" t="s">
        <v>161</v>
      </c>
      <c r="K149">
        <v>3.9213308297671966E-3</v>
      </c>
      <c r="L149" t="s">
        <v>153</v>
      </c>
      <c r="N149" t="s">
        <v>196</v>
      </c>
      <c r="O149" t="s">
        <v>161</v>
      </c>
      <c r="P149">
        <v>2.8192249983689647E-3</v>
      </c>
      <c r="Q149" t="s">
        <v>153</v>
      </c>
      <c r="S149" t="s">
        <v>211</v>
      </c>
      <c r="T149" t="s">
        <v>161</v>
      </c>
      <c r="U149">
        <v>1.719587977948713E-3</v>
      </c>
      <c r="V149" t="s">
        <v>153</v>
      </c>
      <c r="AK149">
        <v>2049</v>
      </c>
      <c r="AL149" t="s">
        <v>149</v>
      </c>
      <c r="AM149">
        <v>0.1429</v>
      </c>
      <c r="AN149" t="s">
        <v>227</v>
      </c>
    </row>
    <row r="150" spans="9:40" x14ac:dyDescent="0.45">
      <c r="I150" t="s">
        <v>167</v>
      </c>
      <c r="J150" t="s">
        <v>238</v>
      </c>
      <c r="K150">
        <v>5.6437541543071E-3</v>
      </c>
      <c r="L150" t="s">
        <v>153</v>
      </c>
      <c r="N150" t="s">
        <v>196</v>
      </c>
      <c r="O150" t="s">
        <v>238</v>
      </c>
      <c r="P150">
        <v>3.0780941215960683E-3</v>
      </c>
      <c r="Q150" t="s">
        <v>153</v>
      </c>
      <c r="S150" t="s">
        <v>211</v>
      </c>
      <c r="T150" t="s">
        <v>238</v>
      </c>
      <c r="U150">
        <v>1.7839212446730036E-3</v>
      </c>
      <c r="V150" t="s">
        <v>153</v>
      </c>
      <c r="AK150">
        <v>2049</v>
      </c>
      <c r="AL150" t="s">
        <v>247</v>
      </c>
      <c r="AM150">
        <v>0.1532</v>
      </c>
      <c r="AN150" t="s">
        <v>227</v>
      </c>
    </row>
    <row r="151" spans="9:40" x14ac:dyDescent="0.45">
      <c r="I151" t="s">
        <v>167</v>
      </c>
      <c r="J151" t="s">
        <v>239</v>
      </c>
      <c r="K151">
        <v>4.3267754199079682E-2</v>
      </c>
      <c r="L151" t="s">
        <v>153</v>
      </c>
      <c r="N151" t="s">
        <v>196</v>
      </c>
      <c r="O151" t="s">
        <v>239</v>
      </c>
      <c r="P151">
        <v>1.8823126344851664E-2</v>
      </c>
      <c r="Q151" t="s">
        <v>153</v>
      </c>
      <c r="S151" t="s">
        <v>211</v>
      </c>
      <c r="T151" t="s">
        <v>239</v>
      </c>
      <c r="U151">
        <v>8.8273742638604515E-3</v>
      </c>
      <c r="V151" t="s">
        <v>153</v>
      </c>
      <c r="AK151">
        <v>2050</v>
      </c>
      <c r="AL151" t="s">
        <v>141</v>
      </c>
      <c r="AM151">
        <v>0.22616</v>
      </c>
      <c r="AN151" t="s">
        <v>227</v>
      </c>
    </row>
    <row r="152" spans="9:40" x14ac:dyDescent="0.45">
      <c r="I152" t="s">
        <v>167</v>
      </c>
      <c r="J152" t="s">
        <v>240</v>
      </c>
      <c r="K152">
        <v>3.255678808784484E-3</v>
      </c>
      <c r="L152" t="s">
        <v>153</v>
      </c>
      <c r="N152" t="s">
        <v>196</v>
      </c>
      <c r="O152" t="s">
        <v>240</v>
      </c>
      <c r="P152">
        <v>3.1123806033530321E-3</v>
      </c>
      <c r="Q152" t="s">
        <v>153</v>
      </c>
      <c r="S152" t="s">
        <v>211</v>
      </c>
      <c r="T152" t="s">
        <v>240</v>
      </c>
      <c r="U152">
        <v>7.0953084666239513E-4</v>
      </c>
      <c r="V152" t="s">
        <v>153</v>
      </c>
      <c r="AK152">
        <v>2050</v>
      </c>
      <c r="AL152" t="s">
        <v>145</v>
      </c>
      <c r="AM152">
        <v>0.17199999999999999</v>
      </c>
      <c r="AN152" t="s">
        <v>227</v>
      </c>
    </row>
    <row r="153" spans="9:40" x14ac:dyDescent="0.45">
      <c r="I153" t="s">
        <v>167</v>
      </c>
      <c r="J153" t="s">
        <v>263</v>
      </c>
      <c r="K153">
        <v>1.9117109389713432E-3</v>
      </c>
      <c r="L153" t="s">
        <v>153</v>
      </c>
      <c r="N153" t="s">
        <v>196</v>
      </c>
      <c r="O153" t="s">
        <v>263</v>
      </c>
      <c r="P153">
        <v>3.7145464199160013E-3</v>
      </c>
      <c r="Q153" t="s">
        <v>153</v>
      </c>
      <c r="S153" t="s">
        <v>211</v>
      </c>
      <c r="T153" t="s">
        <v>263</v>
      </c>
      <c r="U153">
        <v>8.1873392343167085E-4</v>
      </c>
      <c r="V153" t="s">
        <v>153</v>
      </c>
      <c r="AK153">
        <v>2050</v>
      </c>
      <c r="AL153" t="s">
        <v>147</v>
      </c>
      <c r="AM153">
        <v>0.19500000000000001</v>
      </c>
      <c r="AN153" t="s">
        <v>227</v>
      </c>
    </row>
    <row r="154" spans="9:40" x14ac:dyDescent="0.45">
      <c r="I154" t="s">
        <v>167</v>
      </c>
      <c r="J154" t="s">
        <v>264</v>
      </c>
      <c r="K154">
        <v>0</v>
      </c>
      <c r="L154" t="s">
        <v>153</v>
      </c>
      <c r="N154" t="s">
        <v>196</v>
      </c>
      <c r="O154" t="s">
        <v>264</v>
      </c>
      <c r="P154">
        <v>2.6929404805118518E-2</v>
      </c>
      <c r="Q154" t="s">
        <v>153</v>
      </c>
      <c r="S154" t="s">
        <v>211</v>
      </c>
      <c r="T154" t="s">
        <v>264</v>
      </c>
      <c r="U154">
        <v>4.6983272738879162E-3</v>
      </c>
      <c r="V154" t="s">
        <v>153</v>
      </c>
      <c r="AK154">
        <v>2050</v>
      </c>
      <c r="AL154" t="s">
        <v>149</v>
      </c>
      <c r="AM154">
        <v>0.24059999999999998</v>
      </c>
      <c r="AN154" t="s">
        <v>227</v>
      </c>
    </row>
    <row r="155" spans="9:40" x14ac:dyDescent="0.45">
      <c r="I155" t="s">
        <v>167</v>
      </c>
      <c r="J155" t="s">
        <v>162</v>
      </c>
      <c r="K155">
        <v>0</v>
      </c>
      <c r="L155" t="s">
        <v>153</v>
      </c>
      <c r="N155" t="s">
        <v>196</v>
      </c>
      <c r="O155" t="s">
        <v>162</v>
      </c>
      <c r="P155">
        <v>5.7525209144093599E-2</v>
      </c>
      <c r="Q155" t="s">
        <v>153</v>
      </c>
      <c r="S155" t="s">
        <v>211</v>
      </c>
      <c r="T155" t="s">
        <v>162</v>
      </c>
      <c r="U155">
        <v>2.7363253803938715E-2</v>
      </c>
      <c r="V155" t="s">
        <v>153</v>
      </c>
      <c r="AK155">
        <v>2050</v>
      </c>
      <c r="AL155" t="s">
        <v>247</v>
      </c>
      <c r="AM155">
        <v>0.26319999999999999</v>
      </c>
      <c r="AN155" t="s">
        <v>227</v>
      </c>
    </row>
    <row r="156" spans="9:40" x14ac:dyDescent="0.45">
      <c r="I156" t="s">
        <v>167</v>
      </c>
      <c r="J156" t="s">
        <v>163</v>
      </c>
      <c r="K156">
        <v>5.4514472893956595E-4</v>
      </c>
      <c r="L156" t="s">
        <v>153</v>
      </c>
      <c r="N156" t="s">
        <v>196</v>
      </c>
      <c r="O156" t="s">
        <v>163</v>
      </c>
      <c r="P156">
        <v>6.3333828656844324E-3</v>
      </c>
      <c r="Q156" t="s">
        <v>153</v>
      </c>
      <c r="S156" t="s">
        <v>211</v>
      </c>
      <c r="T156" t="s">
        <v>163</v>
      </c>
      <c r="U156">
        <v>5.1931301680721532E-3</v>
      </c>
      <c r="V156" t="s">
        <v>153</v>
      </c>
    </row>
    <row r="157" spans="9:40" x14ac:dyDescent="0.45">
      <c r="I157" t="s">
        <v>167</v>
      </c>
      <c r="J157" t="s">
        <v>164</v>
      </c>
      <c r="K157">
        <v>5.1470949844534281E-3</v>
      </c>
      <c r="L157" t="s">
        <v>153</v>
      </c>
      <c r="N157" t="s">
        <v>196</v>
      </c>
      <c r="O157" t="s">
        <v>164</v>
      </c>
      <c r="P157">
        <v>5.4403084477363242E-3</v>
      </c>
      <c r="Q157" t="s">
        <v>153</v>
      </c>
      <c r="S157" t="s">
        <v>211</v>
      </c>
      <c r="T157" t="s">
        <v>164</v>
      </c>
      <c r="U157">
        <v>5.6129936499394696E-3</v>
      </c>
      <c r="V157" t="s">
        <v>153</v>
      </c>
    </row>
    <row r="158" spans="9:40" x14ac:dyDescent="0.45">
      <c r="I158" t="s">
        <v>167</v>
      </c>
      <c r="J158" t="s">
        <v>241</v>
      </c>
      <c r="K158">
        <v>7.8080195437202548E-3</v>
      </c>
      <c r="L158" t="s">
        <v>153</v>
      </c>
      <c r="N158" t="s">
        <v>196</v>
      </c>
      <c r="O158" t="s">
        <v>241</v>
      </c>
      <c r="P158">
        <v>5.3632315466276212E-3</v>
      </c>
      <c r="Q158" t="s">
        <v>153</v>
      </c>
      <c r="S158" t="s">
        <v>211</v>
      </c>
      <c r="T158" t="s">
        <v>241</v>
      </c>
      <c r="U158">
        <v>5.682072148207179E-3</v>
      </c>
      <c r="V158" t="s">
        <v>153</v>
      </c>
    </row>
    <row r="159" spans="9:40" x14ac:dyDescent="0.45">
      <c r="I159" t="s">
        <v>167</v>
      </c>
      <c r="J159" t="s">
        <v>242</v>
      </c>
      <c r="K159">
        <v>6.0345563688053515E-2</v>
      </c>
      <c r="L159" t="s">
        <v>153</v>
      </c>
      <c r="N159" t="s">
        <v>196</v>
      </c>
      <c r="O159" t="s">
        <v>242</v>
      </c>
      <c r="P159">
        <v>3.2877946369629499E-2</v>
      </c>
      <c r="Q159" t="s">
        <v>153</v>
      </c>
      <c r="S159" t="s">
        <v>211</v>
      </c>
      <c r="T159" t="s">
        <v>242</v>
      </c>
      <c r="U159">
        <v>2.2828506775517517E-2</v>
      </c>
      <c r="V159" t="s">
        <v>153</v>
      </c>
    </row>
    <row r="160" spans="9:40" x14ac:dyDescent="0.45">
      <c r="I160" t="s">
        <v>167</v>
      </c>
      <c r="J160" t="s">
        <v>243</v>
      </c>
      <c r="K160">
        <v>4.360622311646448E-3</v>
      </c>
      <c r="L160" t="s">
        <v>153</v>
      </c>
      <c r="N160" t="s">
        <v>196</v>
      </c>
      <c r="O160" t="s">
        <v>243</v>
      </c>
      <c r="P160">
        <v>5.2375730250284582E-3</v>
      </c>
      <c r="Q160" t="s">
        <v>153</v>
      </c>
      <c r="S160" t="s">
        <v>211</v>
      </c>
      <c r="T160" t="s">
        <v>243</v>
      </c>
      <c r="U160">
        <v>1.243845454459267E-3</v>
      </c>
      <c r="V160" t="s">
        <v>153</v>
      </c>
    </row>
    <row r="161" spans="9:22" x14ac:dyDescent="0.45">
      <c r="I161" t="s">
        <v>167</v>
      </c>
      <c r="J161" t="s">
        <v>265</v>
      </c>
      <c r="K161">
        <v>1.1454692370093059E-3</v>
      </c>
      <c r="L161" t="s">
        <v>153</v>
      </c>
      <c r="N161" t="s">
        <v>196</v>
      </c>
      <c r="O161" t="s">
        <v>265</v>
      </c>
      <c r="P161">
        <v>6.8589358354601082E-3</v>
      </c>
      <c r="Q161" t="s">
        <v>153</v>
      </c>
      <c r="S161" t="s">
        <v>211</v>
      </c>
      <c r="T161" t="s">
        <v>265</v>
      </c>
      <c r="U161">
        <v>1.3614560966443059E-3</v>
      </c>
      <c r="V161" t="s">
        <v>153</v>
      </c>
    </row>
    <row r="162" spans="9:22" x14ac:dyDescent="0.45">
      <c r="I162" t="s">
        <v>167</v>
      </c>
      <c r="J162" t="s">
        <v>266</v>
      </c>
      <c r="K162">
        <v>0</v>
      </c>
      <c r="L162" t="s">
        <v>153</v>
      </c>
      <c r="N162" t="s">
        <v>196</v>
      </c>
      <c r="O162" t="s">
        <v>266</v>
      </c>
      <c r="P162">
        <v>4.6799485939997533E-2</v>
      </c>
      <c r="Q162" t="s">
        <v>153</v>
      </c>
      <c r="S162" t="s">
        <v>211</v>
      </c>
      <c r="T162" t="s">
        <v>266</v>
      </c>
      <c r="U162">
        <v>1.2259724642311615E-2</v>
      </c>
      <c r="V162" t="s">
        <v>153</v>
      </c>
    </row>
    <row r="163" spans="9:22" x14ac:dyDescent="0.45">
      <c r="I163" t="s">
        <v>167</v>
      </c>
      <c r="J163" t="s">
        <v>249</v>
      </c>
      <c r="K163">
        <v>0</v>
      </c>
      <c r="L163" t="s">
        <v>153</v>
      </c>
      <c r="N163" t="s">
        <v>196</v>
      </c>
      <c r="O163" t="s">
        <v>249</v>
      </c>
      <c r="P163">
        <v>4.121391018792004E-2</v>
      </c>
      <c r="Q163" t="s">
        <v>153</v>
      </c>
      <c r="S163" t="s">
        <v>211</v>
      </c>
      <c r="T163" t="s">
        <v>249</v>
      </c>
      <c r="U163">
        <v>2.2251014577613387E-2</v>
      </c>
      <c r="V163" t="s">
        <v>153</v>
      </c>
    </row>
    <row r="164" spans="9:22" x14ac:dyDescent="0.45">
      <c r="I164" t="s">
        <v>167</v>
      </c>
      <c r="J164" t="s">
        <v>250</v>
      </c>
      <c r="K164">
        <v>0</v>
      </c>
      <c r="L164" t="s">
        <v>153</v>
      </c>
      <c r="N164" t="s">
        <v>196</v>
      </c>
      <c r="O164" t="s">
        <v>250</v>
      </c>
      <c r="P164">
        <v>5.3395515711733184E-3</v>
      </c>
      <c r="Q164" t="s">
        <v>153</v>
      </c>
      <c r="S164" t="s">
        <v>211</v>
      </c>
      <c r="T164" t="s">
        <v>250</v>
      </c>
      <c r="U164">
        <v>3.593972921754683E-3</v>
      </c>
      <c r="V164" t="s">
        <v>153</v>
      </c>
    </row>
    <row r="165" spans="9:22" x14ac:dyDescent="0.45">
      <c r="I165" t="s">
        <v>167</v>
      </c>
      <c r="J165" t="s">
        <v>251</v>
      </c>
      <c r="K165">
        <v>3.148249123038631E-3</v>
      </c>
      <c r="L165" t="s">
        <v>153</v>
      </c>
      <c r="N165" t="s">
        <v>196</v>
      </c>
      <c r="O165" t="s">
        <v>251</v>
      </c>
      <c r="P165">
        <v>4.7016550891428466E-3</v>
      </c>
      <c r="Q165" t="s">
        <v>153</v>
      </c>
      <c r="S165" t="s">
        <v>211</v>
      </c>
      <c r="T165" t="s">
        <v>251</v>
      </c>
      <c r="U165">
        <v>3.8133495375174417E-3</v>
      </c>
      <c r="V165" t="s">
        <v>153</v>
      </c>
    </row>
    <row r="166" spans="9:22" x14ac:dyDescent="0.45">
      <c r="I166" t="s">
        <v>167</v>
      </c>
      <c r="J166" t="s">
        <v>252</v>
      </c>
      <c r="K166">
        <v>4.7820295801996411E-3</v>
      </c>
      <c r="L166" t="s">
        <v>153</v>
      </c>
      <c r="N166" t="s">
        <v>196</v>
      </c>
      <c r="O166" t="s">
        <v>252</v>
      </c>
      <c r="P166">
        <v>4.9252316122602906E-3</v>
      </c>
      <c r="Q166" t="s">
        <v>153</v>
      </c>
      <c r="S166" t="s">
        <v>211</v>
      </c>
      <c r="T166" t="s">
        <v>252</v>
      </c>
      <c r="U166">
        <v>3.9436480819084524E-3</v>
      </c>
      <c r="V166" t="s">
        <v>153</v>
      </c>
    </row>
    <row r="167" spans="9:22" x14ac:dyDescent="0.45">
      <c r="I167" t="s">
        <v>167</v>
      </c>
      <c r="J167" t="s">
        <v>253</v>
      </c>
      <c r="K167">
        <v>3.8887003572432841E-2</v>
      </c>
      <c r="L167" t="s">
        <v>153</v>
      </c>
      <c r="N167" t="s">
        <v>196</v>
      </c>
      <c r="O167" t="s">
        <v>253</v>
      </c>
      <c r="P167">
        <v>2.5647086206462982E-2</v>
      </c>
      <c r="Q167" t="s">
        <v>153</v>
      </c>
      <c r="S167" t="s">
        <v>211</v>
      </c>
      <c r="T167" t="s">
        <v>253</v>
      </c>
      <c r="U167">
        <v>2.2136274591542996E-2</v>
      </c>
      <c r="V167" t="s">
        <v>153</v>
      </c>
    </row>
    <row r="168" spans="9:22" x14ac:dyDescent="0.45">
      <c r="I168" t="s">
        <v>167</v>
      </c>
      <c r="J168" t="s">
        <v>254</v>
      </c>
      <c r="K168">
        <v>3.8299323772768915E-3</v>
      </c>
      <c r="L168" t="s">
        <v>153</v>
      </c>
      <c r="N168" t="s">
        <v>196</v>
      </c>
      <c r="O168" t="s">
        <v>254</v>
      </c>
      <c r="P168">
        <v>2.9266860481005474E-3</v>
      </c>
      <c r="Q168" t="s">
        <v>153</v>
      </c>
      <c r="S168" t="s">
        <v>211</v>
      </c>
      <c r="T168" t="s">
        <v>254</v>
      </c>
      <c r="U168">
        <v>1.65524001880438E-3</v>
      </c>
      <c r="V168" t="s">
        <v>153</v>
      </c>
    </row>
    <row r="169" spans="9:22" x14ac:dyDescent="0.45">
      <c r="I169" t="s">
        <v>167</v>
      </c>
      <c r="J169" t="s">
        <v>267</v>
      </c>
      <c r="K169">
        <v>2.2715510878925245E-3</v>
      </c>
      <c r="L169" t="s">
        <v>153</v>
      </c>
      <c r="N169" t="s">
        <v>196</v>
      </c>
      <c r="O169" t="s">
        <v>267</v>
      </c>
      <c r="P169">
        <v>4.4897160419753637E-3</v>
      </c>
      <c r="Q169" t="s">
        <v>153</v>
      </c>
      <c r="S169" t="s">
        <v>211</v>
      </c>
      <c r="T169" t="s">
        <v>267</v>
      </c>
      <c r="U169">
        <v>1.8164703189181533E-3</v>
      </c>
      <c r="V169" t="s">
        <v>153</v>
      </c>
    </row>
    <row r="170" spans="9:22" x14ac:dyDescent="0.45">
      <c r="I170" t="s">
        <v>167</v>
      </c>
      <c r="J170" t="s">
        <v>268</v>
      </c>
      <c r="K170">
        <v>0</v>
      </c>
      <c r="L170" t="s">
        <v>153</v>
      </c>
      <c r="N170" t="s">
        <v>196</v>
      </c>
      <c r="O170" t="s">
        <v>268</v>
      </c>
      <c r="P170">
        <v>3.2355308365476593E-2</v>
      </c>
      <c r="Q170" t="s">
        <v>153</v>
      </c>
      <c r="S170" t="s">
        <v>211</v>
      </c>
      <c r="T170" t="s">
        <v>268</v>
      </c>
      <c r="U170">
        <v>1.1347559077368199E-2</v>
      </c>
      <c r="V170" t="s">
        <v>153</v>
      </c>
    </row>
    <row r="171" spans="9:22" x14ac:dyDescent="0.45">
      <c r="I171" t="s">
        <v>168</v>
      </c>
      <c r="J171" t="s">
        <v>152</v>
      </c>
      <c r="K171">
        <v>0</v>
      </c>
      <c r="L171" t="s">
        <v>153</v>
      </c>
      <c r="N171" t="s">
        <v>197</v>
      </c>
      <c r="O171" t="s">
        <v>152</v>
      </c>
      <c r="P171">
        <v>0.26096772303923871</v>
      </c>
      <c r="Q171" t="s">
        <v>153</v>
      </c>
      <c r="S171" t="s">
        <v>212</v>
      </c>
      <c r="T171" t="s">
        <v>152</v>
      </c>
      <c r="U171">
        <v>0.26417888065074363</v>
      </c>
      <c r="V171" t="s">
        <v>153</v>
      </c>
    </row>
    <row r="172" spans="9:22" x14ac:dyDescent="0.45">
      <c r="I172" t="s">
        <v>168</v>
      </c>
      <c r="J172" t="s">
        <v>154</v>
      </c>
      <c r="K172">
        <v>1.86111912276039E-2</v>
      </c>
      <c r="L172" t="s">
        <v>153</v>
      </c>
      <c r="N172" t="s">
        <v>197</v>
      </c>
      <c r="O172" t="s">
        <v>154</v>
      </c>
      <c r="P172">
        <v>2.3781712158879975E-2</v>
      </c>
      <c r="Q172" t="s">
        <v>153</v>
      </c>
      <c r="S172" t="s">
        <v>212</v>
      </c>
      <c r="T172" t="s">
        <v>154</v>
      </c>
      <c r="U172">
        <v>3.6040457274874607E-2</v>
      </c>
      <c r="V172" t="s">
        <v>153</v>
      </c>
    </row>
    <row r="173" spans="9:22" x14ac:dyDescent="0.45">
      <c r="I173" t="s">
        <v>168</v>
      </c>
      <c r="J173" t="s">
        <v>155</v>
      </c>
      <c r="K173">
        <v>4.6467775297711074E-2</v>
      </c>
      <c r="L173" t="s">
        <v>153</v>
      </c>
      <c r="N173" t="s">
        <v>197</v>
      </c>
      <c r="O173" t="s">
        <v>155</v>
      </c>
      <c r="P173">
        <v>2.0643323348600962E-2</v>
      </c>
      <c r="Q173" t="s">
        <v>153</v>
      </c>
      <c r="S173" t="s">
        <v>212</v>
      </c>
      <c r="T173" t="s">
        <v>155</v>
      </c>
      <c r="U173">
        <v>3.5745920130582372E-2</v>
      </c>
      <c r="V173" t="s">
        <v>153</v>
      </c>
    </row>
    <row r="174" spans="9:22" x14ac:dyDescent="0.45">
      <c r="I174" t="s">
        <v>168</v>
      </c>
      <c r="J174" t="s">
        <v>232</v>
      </c>
      <c r="K174">
        <v>6.526774207952965E-2</v>
      </c>
      <c r="L174" t="s">
        <v>153</v>
      </c>
      <c r="N174" t="s">
        <v>197</v>
      </c>
      <c r="O174" t="s">
        <v>232</v>
      </c>
      <c r="P174">
        <v>2.0089324172042417E-2</v>
      </c>
      <c r="Q174" t="s">
        <v>153</v>
      </c>
      <c r="S174" t="s">
        <v>212</v>
      </c>
      <c r="T174" t="s">
        <v>232</v>
      </c>
      <c r="U174">
        <v>3.5679682861164956E-2</v>
      </c>
      <c r="V174" t="s">
        <v>153</v>
      </c>
    </row>
    <row r="175" spans="9:22" x14ac:dyDescent="0.45">
      <c r="I175" t="s">
        <v>168</v>
      </c>
      <c r="J175" t="s">
        <v>233</v>
      </c>
      <c r="K175">
        <v>0.56673933607165472</v>
      </c>
      <c r="L175" t="s">
        <v>153</v>
      </c>
      <c r="N175" t="s">
        <v>197</v>
      </c>
      <c r="O175" t="s">
        <v>233</v>
      </c>
      <c r="P175">
        <v>0.11535194597109029</v>
      </c>
      <c r="Q175" t="s">
        <v>153</v>
      </c>
      <c r="S175" t="s">
        <v>212</v>
      </c>
      <c r="T175" t="s">
        <v>233</v>
      </c>
      <c r="U175">
        <v>0.24772073687023557</v>
      </c>
      <c r="V175" t="s">
        <v>153</v>
      </c>
    </row>
    <row r="176" spans="9:22" x14ac:dyDescent="0.45">
      <c r="I176" t="s">
        <v>168</v>
      </c>
      <c r="J176" t="s">
        <v>234</v>
      </c>
      <c r="K176">
        <v>5.0498079052239006E-2</v>
      </c>
      <c r="L176" t="s">
        <v>153</v>
      </c>
      <c r="N176" t="s">
        <v>197</v>
      </c>
      <c r="O176" t="s">
        <v>234</v>
      </c>
      <c r="P176">
        <v>1.4892662615107584E-2</v>
      </c>
      <c r="Q176" t="s">
        <v>153</v>
      </c>
      <c r="S176" t="s">
        <v>212</v>
      </c>
      <c r="T176" t="s">
        <v>234</v>
      </c>
      <c r="U176">
        <v>3.5319112955944122E-2</v>
      </c>
      <c r="V176" t="s">
        <v>153</v>
      </c>
    </row>
    <row r="177" spans="9:22" x14ac:dyDescent="0.45">
      <c r="I177" t="s">
        <v>168</v>
      </c>
      <c r="J177" t="s">
        <v>259</v>
      </c>
      <c r="K177">
        <v>2.9247754427559534E-2</v>
      </c>
      <c r="L177" t="s">
        <v>153</v>
      </c>
      <c r="N177" t="s">
        <v>197</v>
      </c>
      <c r="O177" t="s">
        <v>259</v>
      </c>
      <c r="P177">
        <v>1.7801189652932547E-2</v>
      </c>
      <c r="Q177" t="s">
        <v>153</v>
      </c>
      <c r="S177" t="s">
        <v>212</v>
      </c>
      <c r="T177" t="s">
        <v>259</v>
      </c>
      <c r="U177">
        <v>3.5965846962157717E-2</v>
      </c>
      <c r="V177" t="s">
        <v>153</v>
      </c>
    </row>
    <row r="178" spans="9:22" x14ac:dyDescent="0.45">
      <c r="I178" t="s">
        <v>168</v>
      </c>
      <c r="J178" t="s">
        <v>260</v>
      </c>
      <c r="K178">
        <v>2.6045785677822255E-3</v>
      </c>
      <c r="L178" t="s">
        <v>153</v>
      </c>
      <c r="N178" t="s">
        <v>197</v>
      </c>
      <c r="O178" t="s">
        <v>260</v>
      </c>
      <c r="P178">
        <v>0.16723797022030742</v>
      </c>
      <c r="Q178" t="s">
        <v>153</v>
      </c>
      <c r="S178" t="s">
        <v>212</v>
      </c>
      <c r="T178" t="s">
        <v>260</v>
      </c>
      <c r="U178">
        <v>0.18105535685794158</v>
      </c>
      <c r="V178" t="s">
        <v>153</v>
      </c>
    </row>
    <row r="179" spans="9:22" x14ac:dyDescent="0.45">
      <c r="I179" t="s">
        <v>168</v>
      </c>
      <c r="J179" t="s">
        <v>156</v>
      </c>
      <c r="K179">
        <v>0</v>
      </c>
      <c r="L179" t="s">
        <v>153</v>
      </c>
      <c r="N179" t="s">
        <v>197</v>
      </c>
      <c r="O179" t="s">
        <v>156</v>
      </c>
      <c r="P179">
        <v>1.0996921422539736E-2</v>
      </c>
      <c r="Q179" t="s">
        <v>153</v>
      </c>
      <c r="S179" t="s">
        <v>212</v>
      </c>
      <c r="T179" t="s">
        <v>156</v>
      </c>
      <c r="U179">
        <v>2.304841665224917E-3</v>
      </c>
      <c r="V179" t="s">
        <v>153</v>
      </c>
    </row>
    <row r="180" spans="9:22" x14ac:dyDescent="0.45">
      <c r="I180" t="s">
        <v>168</v>
      </c>
      <c r="J180" t="s">
        <v>157</v>
      </c>
      <c r="K180">
        <v>8.0442874172886728E-4</v>
      </c>
      <c r="L180" t="s">
        <v>153</v>
      </c>
      <c r="N180" t="s">
        <v>197</v>
      </c>
      <c r="O180" t="s">
        <v>157</v>
      </c>
      <c r="P180">
        <v>1.4224034003245153E-3</v>
      </c>
      <c r="Q180" t="s">
        <v>153</v>
      </c>
      <c r="S180" t="s">
        <v>212</v>
      </c>
      <c r="T180" t="s">
        <v>157</v>
      </c>
      <c r="U180">
        <v>1.6443051384129164E-4</v>
      </c>
      <c r="V180" t="s">
        <v>153</v>
      </c>
    </row>
    <row r="181" spans="9:22" x14ac:dyDescent="0.45">
      <c r="I181" t="s">
        <v>168</v>
      </c>
      <c r="J181" t="s">
        <v>158</v>
      </c>
      <c r="K181">
        <v>1.5286477642402674E-3</v>
      </c>
      <c r="L181" t="s">
        <v>153</v>
      </c>
      <c r="N181" t="s">
        <v>197</v>
      </c>
      <c r="O181" t="s">
        <v>158</v>
      </c>
      <c r="P181">
        <v>1.3154984036028072E-3</v>
      </c>
      <c r="Q181" t="s">
        <v>153</v>
      </c>
      <c r="S181" t="s">
        <v>212</v>
      </c>
      <c r="T181" t="s">
        <v>158</v>
      </c>
      <c r="U181">
        <v>1.6385764741685475E-4</v>
      </c>
      <c r="V181" t="s">
        <v>153</v>
      </c>
    </row>
    <row r="182" spans="9:22" x14ac:dyDescent="0.45">
      <c r="I182" t="s">
        <v>168</v>
      </c>
      <c r="J182" t="s">
        <v>235</v>
      </c>
      <c r="K182">
        <v>2.041175352462571E-3</v>
      </c>
      <c r="L182" t="s">
        <v>153</v>
      </c>
      <c r="N182" t="s">
        <v>197</v>
      </c>
      <c r="O182" t="s">
        <v>235</v>
      </c>
      <c r="P182">
        <v>1.2137055397710931E-3</v>
      </c>
      <c r="Q182" t="s">
        <v>153</v>
      </c>
      <c r="S182" t="s">
        <v>212</v>
      </c>
      <c r="T182" t="s">
        <v>235</v>
      </c>
      <c r="U182">
        <v>2.0171205787184346E-4</v>
      </c>
      <c r="V182" t="s">
        <v>153</v>
      </c>
    </row>
    <row r="183" spans="9:22" x14ac:dyDescent="0.45">
      <c r="I183" t="s">
        <v>168</v>
      </c>
      <c r="J183" t="s">
        <v>236</v>
      </c>
      <c r="K183">
        <v>1.4183579060962959E-2</v>
      </c>
      <c r="L183" t="s">
        <v>153</v>
      </c>
      <c r="N183" t="s">
        <v>197</v>
      </c>
      <c r="O183" t="s">
        <v>236</v>
      </c>
      <c r="P183">
        <v>5.185627307878588E-3</v>
      </c>
      <c r="Q183" t="s">
        <v>153</v>
      </c>
      <c r="S183" t="s">
        <v>212</v>
      </c>
      <c r="T183" t="s">
        <v>236</v>
      </c>
      <c r="U183">
        <v>1.1912701156589719E-3</v>
      </c>
      <c r="V183" t="s">
        <v>153</v>
      </c>
    </row>
    <row r="184" spans="9:22" x14ac:dyDescent="0.45">
      <c r="I184" t="s">
        <v>168</v>
      </c>
      <c r="J184" t="s">
        <v>237</v>
      </c>
      <c r="K184">
        <v>1.0777574393906729E-3</v>
      </c>
      <c r="L184" t="s">
        <v>153</v>
      </c>
      <c r="N184" t="s">
        <v>197</v>
      </c>
      <c r="O184" t="s">
        <v>237</v>
      </c>
      <c r="P184">
        <v>4.5665899093288298E-4</v>
      </c>
      <c r="Q184" t="s">
        <v>153</v>
      </c>
      <c r="S184" t="s">
        <v>212</v>
      </c>
      <c r="T184" t="s">
        <v>237</v>
      </c>
      <c r="U184">
        <v>1.4801119333205062E-4</v>
      </c>
      <c r="V184" t="s">
        <v>153</v>
      </c>
    </row>
    <row r="185" spans="9:22" x14ac:dyDescent="0.45">
      <c r="I185" t="s">
        <v>168</v>
      </c>
      <c r="J185" t="s">
        <v>261</v>
      </c>
      <c r="K185">
        <v>7.6325940905225893E-4</v>
      </c>
      <c r="L185" t="s">
        <v>153</v>
      </c>
      <c r="N185" t="s">
        <v>197</v>
      </c>
      <c r="O185" t="s">
        <v>261</v>
      </c>
      <c r="P185">
        <v>5.6887670734292507E-4</v>
      </c>
      <c r="Q185" t="s">
        <v>153</v>
      </c>
      <c r="S185" t="s">
        <v>212</v>
      </c>
      <c r="T185" t="s">
        <v>261</v>
      </c>
      <c r="U185">
        <v>1.5417091519832321E-4</v>
      </c>
      <c r="V185" t="s">
        <v>153</v>
      </c>
    </row>
    <row r="186" spans="9:22" x14ac:dyDescent="0.45">
      <c r="I186" t="s">
        <v>168</v>
      </c>
      <c r="J186" t="s">
        <v>262</v>
      </c>
      <c r="K186">
        <v>0</v>
      </c>
      <c r="L186" t="s">
        <v>153</v>
      </c>
      <c r="N186" t="s">
        <v>197</v>
      </c>
      <c r="O186" t="s">
        <v>262</v>
      </c>
      <c r="P186">
        <v>5.1528060782991842E-3</v>
      </c>
      <c r="Q186" t="s">
        <v>153</v>
      </c>
      <c r="S186" t="s">
        <v>212</v>
      </c>
      <c r="T186" t="s">
        <v>262</v>
      </c>
      <c r="U186">
        <v>1.3526328261479032E-3</v>
      </c>
      <c r="V186" t="s">
        <v>153</v>
      </c>
    </row>
    <row r="187" spans="9:22" x14ac:dyDescent="0.45">
      <c r="I187" t="s">
        <v>168</v>
      </c>
      <c r="J187" t="s">
        <v>159</v>
      </c>
      <c r="K187">
        <v>0</v>
      </c>
      <c r="L187" t="s">
        <v>153</v>
      </c>
      <c r="N187" t="s">
        <v>197</v>
      </c>
      <c r="O187" t="s">
        <v>159</v>
      </c>
      <c r="P187">
        <v>2.9296397706368004E-2</v>
      </c>
      <c r="Q187" t="s">
        <v>153</v>
      </c>
      <c r="S187" t="s">
        <v>212</v>
      </c>
      <c r="T187" t="s">
        <v>159</v>
      </c>
      <c r="U187">
        <v>1.8556997007211009E-3</v>
      </c>
      <c r="V187" t="s">
        <v>153</v>
      </c>
    </row>
    <row r="188" spans="9:22" x14ac:dyDescent="0.45">
      <c r="I188" t="s">
        <v>168</v>
      </c>
      <c r="J188" t="s">
        <v>160</v>
      </c>
      <c r="K188">
        <v>2.4476573729263003E-3</v>
      </c>
      <c r="L188" t="s">
        <v>153</v>
      </c>
      <c r="N188" t="s">
        <v>197</v>
      </c>
      <c r="O188" t="s">
        <v>160</v>
      </c>
      <c r="P188">
        <v>4.0140989643935882E-3</v>
      </c>
      <c r="Q188" t="s">
        <v>153</v>
      </c>
      <c r="S188" t="s">
        <v>212</v>
      </c>
      <c r="T188" t="s">
        <v>160</v>
      </c>
      <c r="U188">
        <v>2.8391311230491738E-4</v>
      </c>
      <c r="V188" t="s">
        <v>153</v>
      </c>
    </row>
    <row r="189" spans="9:22" x14ac:dyDescent="0.45">
      <c r="I189" t="s">
        <v>168</v>
      </c>
      <c r="J189" t="s">
        <v>161</v>
      </c>
      <c r="K189">
        <v>4.824255378717163E-3</v>
      </c>
      <c r="L189" t="s">
        <v>153</v>
      </c>
      <c r="N189" t="s">
        <v>197</v>
      </c>
      <c r="O189" t="s">
        <v>161</v>
      </c>
      <c r="P189">
        <v>3.2723869429004048E-3</v>
      </c>
      <c r="Q189" t="s">
        <v>153</v>
      </c>
      <c r="S189" t="s">
        <v>212</v>
      </c>
      <c r="T189" t="s">
        <v>161</v>
      </c>
      <c r="U189">
        <v>2.9407780913330627E-4</v>
      </c>
      <c r="V189" t="s">
        <v>153</v>
      </c>
    </row>
    <row r="190" spans="9:22" x14ac:dyDescent="0.45">
      <c r="I190" t="s">
        <v>168</v>
      </c>
      <c r="J190" t="s">
        <v>238</v>
      </c>
      <c r="K190">
        <v>6.4642966872209334E-3</v>
      </c>
      <c r="L190" t="s">
        <v>153</v>
      </c>
      <c r="N190" t="s">
        <v>197</v>
      </c>
      <c r="O190" t="s">
        <v>238</v>
      </c>
      <c r="P190">
        <v>3.5972224182651922E-3</v>
      </c>
      <c r="Q190" t="s">
        <v>153</v>
      </c>
      <c r="S190" t="s">
        <v>212</v>
      </c>
      <c r="T190" t="s">
        <v>238</v>
      </c>
      <c r="U190">
        <v>3.26843070828266E-4</v>
      </c>
      <c r="V190" t="s">
        <v>153</v>
      </c>
    </row>
    <row r="191" spans="9:22" x14ac:dyDescent="0.45">
      <c r="I191" t="s">
        <v>168</v>
      </c>
      <c r="J191" t="s">
        <v>239</v>
      </c>
      <c r="K191">
        <v>4.4849918716986646E-2</v>
      </c>
      <c r="L191" t="s">
        <v>153</v>
      </c>
      <c r="N191" t="s">
        <v>197</v>
      </c>
      <c r="O191" t="s">
        <v>239</v>
      </c>
      <c r="P191">
        <v>1.8530734753038684E-2</v>
      </c>
      <c r="Q191" t="s">
        <v>153</v>
      </c>
      <c r="S191" t="s">
        <v>212</v>
      </c>
      <c r="T191" t="s">
        <v>239</v>
      </c>
      <c r="U191">
        <v>2.2802919838467144E-3</v>
      </c>
      <c r="V191" t="s">
        <v>153</v>
      </c>
    </row>
    <row r="192" spans="9:22" x14ac:dyDescent="0.45">
      <c r="I192" t="s">
        <v>168</v>
      </c>
      <c r="J192" t="s">
        <v>240</v>
      </c>
      <c r="K192">
        <v>3.2298685859493688E-3</v>
      </c>
      <c r="L192" t="s">
        <v>153</v>
      </c>
      <c r="N192" t="s">
        <v>197</v>
      </c>
      <c r="O192" t="s">
        <v>240</v>
      </c>
      <c r="P192">
        <v>2.3326720424777575E-3</v>
      </c>
      <c r="Q192" t="s">
        <v>153</v>
      </c>
      <c r="S192" t="s">
        <v>212</v>
      </c>
      <c r="T192" t="s">
        <v>240</v>
      </c>
      <c r="U192">
        <v>1.1689746753259965E-4</v>
      </c>
      <c r="V192" t="s">
        <v>153</v>
      </c>
    </row>
    <row r="193" spans="9:22" x14ac:dyDescent="0.45">
      <c r="I193" t="s">
        <v>168</v>
      </c>
      <c r="J193" t="s">
        <v>263</v>
      </c>
      <c r="K193">
        <v>1.8640547709074535E-3</v>
      </c>
      <c r="L193" t="s">
        <v>153</v>
      </c>
      <c r="N193" t="s">
        <v>197</v>
      </c>
      <c r="O193" t="s">
        <v>263</v>
      </c>
      <c r="P193">
        <v>2.5960561633642564E-3</v>
      </c>
      <c r="Q193" t="s">
        <v>153</v>
      </c>
      <c r="S193" t="s">
        <v>212</v>
      </c>
      <c r="T193" t="s">
        <v>263</v>
      </c>
      <c r="U193">
        <v>1.0982668046332741E-4</v>
      </c>
      <c r="V193" t="s">
        <v>153</v>
      </c>
    </row>
    <row r="194" spans="9:22" x14ac:dyDescent="0.45">
      <c r="I194" t="s">
        <v>168</v>
      </c>
      <c r="J194" t="s">
        <v>264</v>
      </c>
      <c r="K194">
        <v>0</v>
      </c>
      <c r="L194" t="s">
        <v>153</v>
      </c>
      <c r="N194" t="s">
        <v>197</v>
      </c>
      <c r="O194" t="s">
        <v>264</v>
      </c>
      <c r="P194">
        <v>1.9410950999769621E-2</v>
      </c>
      <c r="Q194" t="s">
        <v>153</v>
      </c>
      <c r="S194" t="s">
        <v>212</v>
      </c>
      <c r="T194" t="s">
        <v>264</v>
      </c>
      <c r="U194">
        <v>6.4596137605902064E-4</v>
      </c>
      <c r="V194" t="s">
        <v>153</v>
      </c>
    </row>
    <row r="195" spans="9:22" x14ac:dyDescent="0.45">
      <c r="I195" t="s">
        <v>168</v>
      </c>
      <c r="J195" t="s">
        <v>162</v>
      </c>
      <c r="K195">
        <v>0</v>
      </c>
      <c r="L195" t="s">
        <v>153</v>
      </c>
      <c r="N195" t="s">
        <v>197</v>
      </c>
      <c r="O195" t="s">
        <v>162</v>
      </c>
      <c r="P195">
        <v>5.8161460046322902E-2</v>
      </c>
      <c r="Q195" t="s">
        <v>153</v>
      </c>
      <c r="S195" t="s">
        <v>212</v>
      </c>
      <c r="T195" t="s">
        <v>162</v>
      </c>
      <c r="U195">
        <v>2.0836865838282446E-2</v>
      </c>
      <c r="V195" t="s">
        <v>153</v>
      </c>
    </row>
    <row r="196" spans="9:22" x14ac:dyDescent="0.45">
      <c r="I196" t="s">
        <v>168</v>
      </c>
      <c r="J196" t="s">
        <v>163</v>
      </c>
      <c r="K196">
        <v>2.0354069834516543E-3</v>
      </c>
      <c r="L196" t="s">
        <v>153</v>
      </c>
      <c r="N196" t="s">
        <v>197</v>
      </c>
      <c r="O196" t="s">
        <v>163</v>
      </c>
      <c r="P196">
        <v>6.7307935003708807E-3</v>
      </c>
      <c r="Q196" t="s">
        <v>153</v>
      </c>
      <c r="S196" t="s">
        <v>212</v>
      </c>
      <c r="T196" t="s">
        <v>163</v>
      </c>
      <c r="U196">
        <v>3.3525163976740424E-3</v>
      </c>
      <c r="V196" t="s">
        <v>153</v>
      </c>
    </row>
    <row r="197" spans="9:22" x14ac:dyDescent="0.45">
      <c r="I197" t="s">
        <v>168</v>
      </c>
      <c r="J197" t="s">
        <v>164</v>
      </c>
      <c r="K197">
        <v>6.2441420448953672E-3</v>
      </c>
      <c r="L197" t="s">
        <v>153</v>
      </c>
      <c r="N197" t="s">
        <v>197</v>
      </c>
      <c r="O197" t="s">
        <v>164</v>
      </c>
      <c r="P197">
        <v>6.3423378555066742E-3</v>
      </c>
      <c r="Q197" t="s">
        <v>153</v>
      </c>
      <c r="S197" t="s">
        <v>212</v>
      </c>
      <c r="T197" t="s">
        <v>164</v>
      </c>
      <c r="U197">
        <v>3.5027186036764497E-3</v>
      </c>
      <c r="V197" t="s">
        <v>153</v>
      </c>
    </row>
    <row r="198" spans="9:22" x14ac:dyDescent="0.45">
      <c r="I198" t="s">
        <v>168</v>
      </c>
      <c r="J198" t="s">
        <v>241</v>
      </c>
      <c r="K198">
        <v>8.6753798774099975E-3</v>
      </c>
      <c r="L198" t="s">
        <v>153</v>
      </c>
      <c r="N198" t="s">
        <v>197</v>
      </c>
      <c r="O198" t="s">
        <v>241</v>
      </c>
      <c r="P198">
        <v>6.1894845950260027E-3</v>
      </c>
      <c r="Q198" t="s">
        <v>153</v>
      </c>
      <c r="S198" t="s">
        <v>212</v>
      </c>
      <c r="T198" t="s">
        <v>241</v>
      </c>
      <c r="U198">
        <v>3.4455351261146196E-3</v>
      </c>
      <c r="V198" t="s">
        <v>153</v>
      </c>
    </row>
    <row r="199" spans="9:22" x14ac:dyDescent="0.45">
      <c r="I199" t="s">
        <v>168</v>
      </c>
      <c r="J199" t="s">
        <v>242</v>
      </c>
      <c r="K199">
        <v>6.2635682146569005E-2</v>
      </c>
      <c r="L199" t="s">
        <v>153</v>
      </c>
      <c r="N199" t="s">
        <v>197</v>
      </c>
      <c r="O199" t="s">
        <v>242</v>
      </c>
      <c r="P199">
        <v>2.4801450522642137E-2</v>
      </c>
      <c r="Q199" t="s">
        <v>153</v>
      </c>
      <c r="S199" t="s">
        <v>212</v>
      </c>
      <c r="T199" t="s">
        <v>242</v>
      </c>
      <c r="U199">
        <v>2.1018642838701643E-2</v>
      </c>
      <c r="V199" t="s">
        <v>153</v>
      </c>
    </row>
    <row r="200" spans="9:22" x14ac:dyDescent="0.45">
      <c r="I200" t="s">
        <v>168</v>
      </c>
      <c r="J200" t="s">
        <v>243</v>
      </c>
      <c r="K200">
        <v>4.6059656773044227E-3</v>
      </c>
      <c r="L200" t="s">
        <v>153</v>
      </c>
      <c r="N200" t="s">
        <v>197</v>
      </c>
      <c r="O200" t="s">
        <v>243</v>
      </c>
      <c r="P200">
        <v>2.95066038369266E-3</v>
      </c>
      <c r="Q200" t="s">
        <v>153</v>
      </c>
      <c r="S200" t="s">
        <v>212</v>
      </c>
      <c r="T200" t="s">
        <v>243</v>
      </c>
      <c r="U200">
        <v>2.2136198948986977E-3</v>
      </c>
      <c r="V200" t="s">
        <v>153</v>
      </c>
    </row>
    <row r="201" spans="9:22" x14ac:dyDescent="0.45">
      <c r="I201" t="s">
        <v>168</v>
      </c>
      <c r="J201" t="s">
        <v>265</v>
      </c>
      <c r="K201">
        <v>1.7989860347557111E-3</v>
      </c>
      <c r="L201" t="s">
        <v>153</v>
      </c>
      <c r="N201" t="s">
        <v>197</v>
      </c>
      <c r="O201" t="s">
        <v>265</v>
      </c>
      <c r="P201">
        <v>3.650624803104594E-3</v>
      </c>
      <c r="Q201" t="s">
        <v>153</v>
      </c>
      <c r="S201" t="s">
        <v>212</v>
      </c>
      <c r="T201" t="s">
        <v>265</v>
      </c>
      <c r="U201">
        <v>2.271212868006476E-3</v>
      </c>
      <c r="V201" t="s">
        <v>153</v>
      </c>
    </row>
    <row r="202" spans="9:22" x14ac:dyDescent="0.45">
      <c r="I202" t="s">
        <v>168</v>
      </c>
      <c r="J202" t="s">
        <v>266</v>
      </c>
      <c r="K202">
        <v>0</v>
      </c>
      <c r="L202" t="s">
        <v>153</v>
      </c>
      <c r="N202" t="s">
        <v>197</v>
      </c>
      <c r="O202" t="s">
        <v>266</v>
      </c>
      <c r="P202">
        <v>3.4008028616922689E-2</v>
      </c>
      <c r="Q202" t="s">
        <v>153</v>
      </c>
      <c r="S202" t="s">
        <v>212</v>
      </c>
      <c r="T202" t="s">
        <v>266</v>
      </c>
      <c r="U202">
        <v>1.3140766657729851E-2</v>
      </c>
      <c r="V202" t="s">
        <v>153</v>
      </c>
    </row>
    <row r="203" spans="9:22" x14ac:dyDescent="0.45">
      <c r="I203" t="s">
        <v>168</v>
      </c>
      <c r="J203" t="s">
        <v>249</v>
      </c>
      <c r="K203">
        <v>0</v>
      </c>
      <c r="L203" t="s">
        <v>153</v>
      </c>
      <c r="N203" t="s">
        <v>197</v>
      </c>
      <c r="O203" t="s">
        <v>249</v>
      </c>
      <c r="P203">
        <v>4.3984380168297081E-2</v>
      </c>
      <c r="Q203" t="s">
        <v>153</v>
      </c>
      <c r="S203" t="s">
        <v>212</v>
      </c>
      <c r="T203" t="s">
        <v>249</v>
      </c>
      <c r="U203">
        <v>1.2683640010622107E-2</v>
      </c>
      <c r="V203" t="s">
        <v>153</v>
      </c>
    </row>
    <row r="204" spans="9:22" x14ac:dyDescent="0.45">
      <c r="I204" t="s">
        <v>168</v>
      </c>
      <c r="J204" t="s">
        <v>250</v>
      </c>
      <c r="K204">
        <v>0</v>
      </c>
      <c r="L204" t="s">
        <v>153</v>
      </c>
      <c r="N204" t="s">
        <v>197</v>
      </c>
      <c r="O204" t="s">
        <v>250</v>
      </c>
      <c r="P204">
        <v>5.6267250082251037E-3</v>
      </c>
      <c r="Q204" t="s">
        <v>153</v>
      </c>
      <c r="S204" t="s">
        <v>212</v>
      </c>
      <c r="T204" t="s">
        <v>250</v>
      </c>
      <c r="U204">
        <v>2.3236139440133995E-3</v>
      </c>
      <c r="V204" t="s">
        <v>153</v>
      </c>
    </row>
    <row r="205" spans="9:22" x14ac:dyDescent="0.45">
      <c r="I205" t="s">
        <v>168</v>
      </c>
      <c r="J205" t="s">
        <v>251</v>
      </c>
      <c r="K205">
        <v>3.0004430093733959E-3</v>
      </c>
      <c r="L205" t="s">
        <v>153</v>
      </c>
      <c r="N205" t="s">
        <v>197</v>
      </c>
      <c r="O205" t="s">
        <v>251</v>
      </c>
      <c r="P205">
        <v>4.8599379141597825E-3</v>
      </c>
      <c r="Q205" t="s">
        <v>153</v>
      </c>
      <c r="S205" t="s">
        <v>212</v>
      </c>
      <c r="T205" t="s">
        <v>251</v>
      </c>
      <c r="U205">
        <v>2.6146674295799443E-3</v>
      </c>
      <c r="V205" t="s">
        <v>153</v>
      </c>
    </row>
    <row r="206" spans="9:22" x14ac:dyDescent="0.45">
      <c r="I206" t="s">
        <v>168</v>
      </c>
      <c r="J206" t="s">
        <v>252</v>
      </c>
      <c r="K206">
        <v>4.39429523040026E-3</v>
      </c>
      <c r="L206" t="s">
        <v>153</v>
      </c>
      <c r="N206" t="s">
        <v>197</v>
      </c>
      <c r="O206" t="s">
        <v>252</v>
      </c>
      <c r="P206">
        <v>4.8180832484662388E-3</v>
      </c>
      <c r="Q206" t="s">
        <v>153</v>
      </c>
      <c r="S206" t="s">
        <v>212</v>
      </c>
      <c r="T206" t="s">
        <v>252</v>
      </c>
      <c r="U206">
        <v>2.7572474432851044E-3</v>
      </c>
      <c r="V206" t="s">
        <v>153</v>
      </c>
    </row>
    <row r="207" spans="9:22" x14ac:dyDescent="0.45">
      <c r="I207" t="s">
        <v>168</v>
      </c>
      <c r="J207" t="s">
        <v>253</v>
      </c>
      <c r="K207">
        <v>3.6971307184957981E-2</v>
      </c>
      <c r="L207" t="s">
        <v>153</v>
      </c>
      <c r="N207" t="s">
        <v>197</v>
      </c>
      <c r="O207" t="s">
        <v>253</v>
      </c>
      <c r="P207">
        <v>1.9002338177680128E-2</v>
      </c>
      <c r="Q207" t="s">
        <v>153</v>
      </c>
      <c r="S207" t="s">
        <v>212</v>
      </c>
      <c r="T207" t="s">
        <v>253</v>
      </c>
      <c r="U207">
        <v>1.5902355101530333E-2</v>
      </c>
      <c r="V207" t="s">
        <v>153</v>
      </c>
    </row>
    <row r="208" spans="9:22" x14ac:dyDescent="0.45">
      <c r="I208" t="s">
        <v>168</v>
      </c>
      <c r="J208" t="s">
        <v>254</v>
      </c>
      <c r="K208">
        <v>3.8422267510471583E-3</v>
      </c>
      <c r="L208" t="s">
        <v>153</v>
      </c>
      <c r="N208" t="s">
        <v>197</v>
      </c>
      <c r="O208" t="s">
        <v>254</v>
      </c>
      <c r="P208">
        <v>1.2568765169331687E-3</v>
      </c>
      <c r="Q208" t="s">
        <v>153</v>
      </c>
      <c r="S208" t="s">
        <v>212</v>
      </c>
      <c r="T208" t="s">
        <v>254</v>
      </c>
      <c r="U208">
        <v>1.2511561204290777E-3</v>
      </c>
      <c r="V208" t="s">
        <v>153</v>
      </c>
    </row>
    <row r="209" spans="9:22" x14ac:dyDescent="0.45">
      <c r="I209" t="s">
        <v>168</v>
      </c>
      <c r="J209" t="s">
        <v>267</v>
      </c>
      <c r="K209">
        <v>2.2808090552095587E-3</v>
      </c>
      <c r="L209" t="s">
        <v>153</v>
      </c>
      <c r="N209" t="s">
        <v>197</v>
      </c>
      <c r="O209" t="s">
        <v>267</v>
      </c>
      <c r="P209">
        <v>1.8783700251702171E-3</v>
      </c>
      <c r="Q209" t="s">
        <v>153</v>
      </c>
      <c r="S209" t="s">
        <v>212</v>
      </c>
      <c r="T209" t="s">
        <v>267</v>
      </c>
      <c r="U209">
        <v>1.3710002751353301E-3</v>
      </c>
      <c r="V209" t="s">
        <v>153</v>
      </c>
    </row>
    <row r="210" spans="9:22" x14ac:dyDescent="0.45">
      <c r="I210" t="s">
        <v>168</v>
      </c>
      <c r="J210" t="s">
        <v>268</v>
      </c>
      <c r="K210">
        <v>0</v>
      </c>
      <c r="L210" t="s">
        <v>153</v>
      </c>
      <c r="N210" t="s">
        <v>197</v>
      </c>
      <c r="O210" t="s">
        <v>268</v>
      </c>
      <c r="P210">
        <v>2.560957959801223E-2</v>
      </c>
      <c r="Q210" t="s">
        <v>153</v>
      </c>
      <c r="S210" t="s">
        <v>212</v>
      </c>
      <c r="T210" t="s">
        <v>268</v>
      </c>
      <c r="U210">
        <v>8.0140087510932514E-3</v>
      </c>
      <c r="V210" t="s">
        <v>153</v>
      </c>
    </row>
    <row r="211" spans="9:22" x14ac:dyDescent="0.45">
      <c r="I211" t="s">
        <v>169</v>
      </c>
      <c r="J211" t="s">
        <v>152</v>
      </c>
      <c r="K211">
        <v>0</v>
      </c>
      <c r="L211" t="s">
        <v>153</v>
      </c>
      <c r="N211" t="s">
        <v>198</v>
      </c>
      <c r="O211" t="s">
        <v>152</v>
      </c>
      <c r="P211">
        <v>0.24667070828031712</v>
      </c>
      <c r="Q211" t="s">
        <v>153</v>
      </c>
      <c r="S211" t="s">
        <v>213</v>
      </c>
      <c r="T211" t="s">
        <v>152</v>
      </c>
      <c r="U211">
        <v>0.26190194385876986</v>
      </c>
      <c r="V211" t="s">
        <v>153</v>
      </c>
    </row>
    <row r="212" spans="9:22" x14ac:dyDescent="0.45">
      <c r="I212" t="s">
        <v>169</v>
      </c>
      <c r="J212" t="s">
        <v>154</v>
      </c>
      <c r="K212">
        <v>1.8404489083960546E-2</v>
      </c>
      <c r="L212" t="s">
        <v>153</v>
      </c>
      <c r="N212" t="s">
        <v>198</v>
      </c>
      <c r="O212" t="s">
        <v>154</v>
      </c>
      <c r="P212">
        <v>2.5639320676962653E-2</v>
      </c>
      <c r="Q212" t="s">
        <v>153</v>
      </c>
      <c r="S212" t="s">
        <v>213</v>
      </c>
      <c r="T212" t="s">
        <v>154</v>
      </c>
      <c r="U212">
        <v>3.7091013728278339E-2</v>
      </c>
      <c r="V212" t="s">
        <v>153</v>
      </c>
    </row>
    <row r="213" spans="9:22" x14ac:dyDescent="0.45">
      <c r="I213" t="s">
        <v>169</v>
      </c>
      <c r="J213" t="s">
        <v>155</v>
      </c>
      <c r="K213">
        <v>4.5873498044864153E-2</v>
      </c>
      <c r="L213" t="s">
        <v>153</v>
      </c>
      <c r="N213" t="s">
        <v>198</v>
      </c>
      <c r="O213" t="s">
        <v>155</v>
      </c>
      <c r="P213">
        <v>2.3905555735315696E-2</v>
      </c>
      <c r="Q213" t="s">
        <v>153</v>
      </c>
      <c r="S213" t="s">
        <v>213</v>
      </c>
      <c r="T213" t="s">
        <v>155</v>
      </c>
      <c r="U213">
        <v>3.7081097673034309E-2</v>
      </c>
      <c r="V213" t="s">
        <v>153</v>
      </c>
    </row>
    <row r="214" spans="9:22" x14ac:dyDescent="0.45">
      <c r="I214" t="s">
        <v>169</v>
      </c>
      <c r="J214" t="s">
        <v>232</v>
      </c>
      <c r="K214">
        <v>6.5174174522127787E-2</v>
      </c>
      <c r="L214" t="s">
        <v>153</v>
      </c>
      <c r="N214" t="s">
        <v>198</v>
      </c>
      <c r="O214" t="s">
        <v>232</v>
      </c>
      <c r="P214">
        <v>2.5421694846446699E-2</v>
      </c>
      <c r="Q214" t="s">
        <v>153</v>
      </c>
      <c r="S214" t="s">
        <v>213</v>
      </c>
      <c r="T214" t="s">
        <v>232</v>
      </c>
      <c r="U214">
        <v>3.6892189818938402E-2</v>
      </c>
      <c r="V214" t="s">
        <v>153</v>
      </c>
    </row>
    <row r="215" spans="9:22" x14ac:dyDescent="0.45">
      <c r="I215" t="s">
        <v>169</v>
      </c>
      <c r="J215" t="s">
        <v>233</v>
      </c>
      <c r="K215">
        <v>0.56994856412189088</v>
      </c>
      <c r="L215" t="s">
        <v>153</v>
      </c>
      <c r="N215" t="s">
        <v>198</v>
      </c>
      <c r="O215" t="s">
        <v>233</v>
      </c>
      <c r="P215">
        <v>0.18165235990419182</v>
      </c>
      <c r="Q215" t="s">
        <v>153</v>
      </c>
      <c r="S215" t="s">
        <v>213</v>
      </c>
      <c r="T215" t="s">
        <v>233</v>
      </c>
      <c r="U215">
        <v>0.25887171376873486</v>
      </c>
      <c r="V215" t="s">
        <v>153</v>
      </c>
    </row>
    <row r="216" spans="9:22" x14ac:dyDescent="0.45">
      <c r="I216" t="s">
        <v>169</v>
      </c>
      <c r="J216" t="s">
        <v>234</v>
      </c>
      <c r="K216">
        <v>5.194624059135431E-2</v>
      </c>
      <c r="L216" t="s">
        <v>153</v>
      </c>
      <c r="N216" t="s">
        <v>198</v>
      </c>
      <c r="O216" t="s">
        <v>234</v>
      </c>
      <c r="P216">
        <v>2.224047964823387E-2</v>
      </c>
      <c r="Q216" t="s">
        <v>153</v>
      </c>
      <c r="S216" t="s">
        <v>213</v>
      </c>
      <c r="T216" t="s">
        <v>234</v>
      </c>
      <c r="U216">
        <v>3.559482607363746E-2</v>
      </c>
      <c r="V216" t="s">
        <v>153</v>
      </c>
    </row>
    <row r="217" spans="9:22" x14ac:dyDescent="0.45">
      <c r="I217" t="s">
        <v>169</v>
      </c>
      <c r="J217" t="s">
        <v>259</v>
      </c>
      <c r="K217">
        <v>3.0378522587366501E-2</v>
      </c>
      <c r="L217" t="s">
        <v>153</v>
      </c>
      <c r="N217" t="s">
        <v>198</v>
      </c>
      <c r="O217" t="s">
        <v>259</v>
      </c>
      <c r="P217">
        <v>2.5111021914794418E-2</v>
      </c>
      <c r="Q217" t="s">
        <v>153</v>
      </c>
      <c r="S217" t="s">
        <v>213</v>
      </c>
      <c r="T217" t="s">
        <v>259</v>
      </c>
      <c r="U217">
        <v>3.5733987014141433E-2</v>
      </c>
      <c r="V217" t="s">
        <v>153</v>
      </c>
    </row>
    <row r="218" spans="9:22" x14ac:dyDescent="0.45">
      <c r="I218" t="s">
        <v>169</v>
      </c>
      <c r="J218" t="s">
        <v>260</v>
      </c>
      <c r="K218">
        <v>3.0771783217060362E-3</v>
      </c>
      <c r="L218" t="s">
        <v>153</v>
      </c>
      <c r="N218" t="s">
        <v>198</v>
      </c>
      <c r="O218" t="s">
        <v>260</v>
      </c>
      <c r="P218">
        <v>0.17153175405419152</v>
      </c>
      <c r="Q218" t="s">
        <v>153</v>
      </c>
      <c r="S218" t="s">
        <v>213</v>
      </c>
      <c r="T218" t="s">
        <v>260</v>
      </c>
      <c r="U218">
        <v>0.17595317814794267</v>
      </c>
      <c r="V218" t="s">
        <v>153</v>
      </c>
    </row>
    <row r="219" spans="9:22" x14ac:dyDescent="0.45">
      <c r="I219" t="s">
        <v>169</v>
      </c>
      <c r="J219" t="s">
        <v>156</v>
      </c>
      <c r="K219">
        <v>0</v>
      </c>
      <c r="L219" t="s">
        <v>153</v>
      </c>
      <c r="N219" t="s">
        <v>198</v>
      </c>
      <c r="O219" t="s">
        <v>156</v>
      </c>
      <c r="P219">
        <v>6.5240024029909931E-3</v>
      </c>
      <c r="Q219" t="s">
        <v>153</v>
      </c>
      <c r="S219" t="s">
        <v>213</v>
      </c>
      <c r="T219" t="s">
        <v>156</v>
      </c>
      <c r="U219">
        <v>2.0546299318578705E-3</v>
      </c>
      <c r="V219" t="s">
        <v>153</v>
      </c>
    </row>
    <row r="220" spans="9:22" x14ac:dyDescent="0.45">
      <c r="I220" t="s">
        <v>169</v>
      </c>
      <c r="J220" t="s">
        <v>157</v>
      </c>
      <c r="K220">
        <v>6.6459863944203206E-4</v>
      </c>
      <c r="L220" t="s">
        <v>153</v>
      </c>
      <c r="N220" t="s">
        <v>198</v>
      </c>
      <c r="O220" t="s">
        <v>157</v>
      </c>
      <c r="P220">
        <v>1.2103619993395704E-3</v>
      </c>
      <c r="Q220" t="s">
        <v>153</v>
      </c>
      <c r="S220" t="s">
        <v>213</v>
      </c>
      <c r="T220" t="s">
        <v>157</v>
      </c>
      <c r="U220">
        <v>1.4059320460063301E-4</v>
      </c>
      <c r="V220" t="s">
        <v>153</v>
      </c>
    </row>
    <row r="221" spans="9:22" x14ac:dyDescent="0.45">
      <c r="I221" t="s">
        <v>169</v>
      </c>
      <c r="J221" t="s">
        <v>158</v>
      </c>
      <c r="K221">
        <v>1.2472775566867793E-3</v>
      </c>
      <c r="L221" t="s">
        <v>153</v>
      </c>
      <c r="N221" t="s">
        <v>198</v>
      </c>
      <c r="O221" t="s">
        <v>158</v>
      </c>
      <c r="P221">
        <v>9.5969551873885514E-4</v>
      </c>
      <c r="Q221" t="s">
        <v>153</v>
      </c>
      <c r="S221" t="s">
        <v>213</v>
      </c>
      <c r="T221" t="s">
        <v>158</v>
      </c>
      <c r="U221">
        <v>1.2935366737698556E-4</v>
      </c>
      <c r="V221" t="s">
        <v>153</v>
      </c>
    </row>
    <row r="222" spans="9:22" x14ac:dyDescent="0.45">
      <c r="I222" t="s">
        <v>169</v>
      </c>
      <c r="J222" t="s">
        <v>235</v>
      </c>
      <c r="K222">
        <v>1.7470048223665272E-3</v>
      </c>
      <c r="L222" t="s">
        <v>153</v>
      </c>
      <c r="N222" t="s">
        <v>198</v>
      </c>
      <c r="O222" t="s">
        <v>235</v>
      </c>
      <c r="P222">
        <v>8.8272916905271688E-4</v>
      </c>
      <c r="Q222" t="s">
        <v>153</v>
      </c>
      <c r="S222" t="s">
        <v>213</v>
      </c>
      <c r="T222" t="s">
        <v>235</v>
      </c>
      <c r="U222">
        <v>1.4981593837974286E-4</v>
      </c>
      <c r="V222" t="s">
        <v>153</v>
      </c>
    </row>
    <row r="223" spans="9:22" x14ac:dyDescent="0.45">
      <c r="I223" t="s">
        <v>169</v>
      </c>
      <c r="J223" t="s">
        <v>236</v>
      </c>
      <c r="K223">
        <v>1.40608178313609E-2</v>
      </c>
      <c r="L223" t="s">
        <v>153</v>
      </c>
      <c r="N223" t="s">
        <v>198</v>
      </c>
      <c r="O223" t="s">
        <v>236</v>
      </c>
      <c r="P223">
        <v>3.4812247070835855E-3</v>
      </c>
      <c r="Q223" t="s">
        <v>153</v>
      </c>
      <c r="S223" t="s">
        <v>213</v>
      </c>
      <c r="T223" t="s">
        <v>236</v>
      </c>
      <c r="U223">
        <v>8.7841343099177101E-4</v>
      </c>
      <c r="V223" t="s">
        <v>153</v>
      </c>
    </row>
    <row r="224" spans="9:22" x14ac:dyDescent="0.45">
      <c r="I224" t="s">
        <v>169</v>
      </c>
      <c r="J224" t="s">
        <v>237</v>
      </c>
      <c r="K224">
        <v>1.1824190305101167E-3</v>
      </c>
      <c r="L224" t="s">
        <v>153</v>
      </c>
      <c r="N224" t="s">
        <v>198</v>
      </c>
      <c r="O224" t="s">
        <v>237</v>
      </c>
      <c r="P224">
        <v>1.8762999746928382E-4</v>
      </c>
      <c r="Q224" t="s">
        <v>153</v>
      </c>
      <c r="S224" t="s">
        <v>213</v>
      </c>
      <c r="T224" t="s">
        <v>237</v>
      </c>
      <c r="U224">
        <v>1.5406389373943637E-4</v>
      </c>
      <c r="V224" t="s">
        <v>153</v>
      </c>
    </row>
    <row r="225" spans="9:22" x14ac:dyDescent="0.45">
      <c r="I225" t="s">
        <v>169</v>
      </c>
      <c r="J225" t="s">
        <v>261</v>
      </c>
      <c r="K225">
        <v>7.4737601492842786E-4</v>
      </c>
      <c r="L225" t="s">
        <v>153</v>
      </c>
      <c r="N225" t="s">
        <v>198</v>
      </c>
      <c r="O225" t="s">
        <v>261</v>
      </c>
      <c r="P225">
        <v>2.9808767719894931E-4</v>
      </c>
      <c r="Q225" t="s">
        <v>153</v>
      </c>
      <c r="S225" t="s">
        <v>213</v>
      </c>
      <c r="T225" t="s">
        <v>261</v>
      </c>
      <c r="U225">
        <v>1.7579873091109048E-4</v>
      </c>
      <c r="V225" t="s">
        <v>153</v>
      </c>
    </row>
    <row r="226" spans="9:22" x14ac:dyDescent="0.45">
      <c r="I226" t="s">
        <v>169</v>
      </c>
      <c r="J226" t="s">
        <v>262</v>
      </c>
      <c r="K226">
        <v>0</v>
      </c>
      <c r="L226" t="s">
        <v>153</v>
      </c>
      <c r="N226" t="s">
        <v>198</v>
      </c>
      <c r="O226" t="s">
        <v>262</v>
      </c>
      <c r="P226">
        <v>2.569115152098349E-3</v>
      </c>
      <c r="Q226" t="s">
        <v>153</v>
      </c>
      <c r="S226" t="s">
        <v>213</v>
      </c>
      <c r="T226" t="s">
        <v>262</v>
      </c>
      <c r="U226">
        <v>1.1311849986705245E-3</v>
      </c>
      <c r="V226" t="s">
        <v>153</v>
      </c>
    </row>
    <row r="227" spans="9:22" x14ac:dyDescent="0.45">
      <c r="I227" t="s">
        <v>169</v>
      </c>
      <c r="J227" t="s">
        <v>159</v>
      </c>
      <c r="K227">
        <v>0</v>
      </c>
      <c r="L227" t="s">
        <v>153</v>
      </c>
      <c r="N227" t="s">
        <v>198</v>
      </c>
      <c r="O227" t="s">
        <v>159</v>
      </c>
      <c r="P227">
        <v>2.0322617442433809E-2</v>
      </c>
      <c r="Q227" t="s">
        <v>153</v>
      </c>
      <c r="S227" t="s">
        <v>213</v>
      </c>
      <c r="T227" t="s">
        <v>159</v>
      </c>
      <c r="U227">
        <v>1.866589521744501E-3</v>
      </c>
      <c r="V227" t="s">
        <v>153</v>
      </c>
    </row>
    <row r="228" spans="9:22" x14ac:dyDescent="0.45">
      <c r="I228" t="s">
        <v>169</v>
      </c>
      <c r="J228" t="s">
        <v>160</v>
      </c>
      <c r="K228">
        <v>2.2570418071806227E-3</v>
      </c>
      <c r="L228" t="s">
        <v>153</v>
      </c>
      <c r="N228" t="s">
        <v>198</v>
      </c>
      <c r="O228" t="s">
        <v>160</v>
      </c>
      <c r="P228">
        <v>3.4486225630606525E-3</v>
      </c>
      <c r="Q228" t="s">
        <v>153</v>
      </c>
      <c r="S228" t="s">
        <v>213</v>
      </c>
      <c r="T228" t="s">
        <v>160</v>
      </c>
      <c r="U228">
        <v>3.1233403604801575E-4</v>
      </c>
      <c r="V228" t="s">
        <v>153</v>
      </c>
    </row>
    <row r="229" spans="9:22" x14ac:dyDescent="0.45">
      <c r="I229" t="s">
        <v>169</v>
      </c>
      <c r="J229" t="s">
        <v>161</v>
      </c>
      <c r="K229">
        <v>4.3481890543593926E-3</v>
      </c>
      <c r="L229" t="s">
        <v>153</v>
      </c>
      <c r="N229" t="s">
        <v>198</v>
      </c>
      <c r="O229" t="s">
        <v>161</v>
      </c>
      <c r="P229">
        <v>2.6262001791122432E-3</v>
      </c>
      <c r="Q229" t="s">
        <v>153</v>
      </c>
      <c r="S229" t="s">
        <v>213</v>
      </c>
      <c r="T229" t="s">
        <v>161</v>
      </c>
      <c r="U229">
        <v>3.0588533626992059E-4</v>
      </c>
      <c r="V229" t="s">
        <v>153</v>
      </c>
    </row>
    <row r="230" spans="9:22" x14ac:dyDescent="0.45">
      <c r="I230" t="s">
        <v>169</v>
      </c>
      <c r="J230" t="s">
        <v>238</v>
      </c>
      <c r="K230">
        <v>5.9298106853528515E-3</v>
      </c>
      <c r="L230" t="s">
        <v>153</v>
      </c>
      <c r="N230" t="s">
        <v>198</v>
      </c>
      <c r="O230" t="s">
        <v>238</v>
      </c>
      <c r="P230">
        <v>2.9193969567425882E-3</v>
      </c>
      <c r="Q230" t="s">
        <v>153</v>
      </c>
      <c r="S230" t="s">
        <v>213</v>
      </c>
      <c r="T230" t="s">
        <v>238</v>
      </c>
      <c r="U230">
        <v>3.1573676257056339E-4</v>
      </c>
      <c r="V230" t="s">
        <v>153</v>
      </c>
    </row>
    <row r="231" spans="9:22" x14ac:dyDescent="0.45">
      <c r="I231" t="s">
        <v>169</v>
      </c>
      <c r="J231" t="s">
        <v>239</v>
      </c>
      <c r="K231">
        <v>4.3434031292633832E-2</v>
      </c>
      <c r="L231" t="s">
        <v>153</v>
      </c>
      <c r="N231" t="s">
        <v>198</v>
      </c>
      <c r="O231" t="s">
        <v>239</v>
      </c>
      <c r="P231">
        <v>1.7192846323584643E-2</v>
      </c>
      <c r="Q231" t="s">
        <v>153</v>
      </c>
      <c r="S231" t="s">
        <v>213</v>
      </c>
      <c r="T231" t="s">
        <v>239</v>
      </c>
      <c r="U231">
        <v>2.3154200154822582E-3</v>
      </c>
      <c r="V231" t="s">
        <v>153</v>
      </c>
    </row>
    <row r="232" spans="9:22" x14ac:dyDescent="0.45">
      <c r="I232" t="s">
        <v>169</v>
      </c>
      <c r="J232" t="s">
        <v>240</v>
      </c>
      <c r="K232">
        <v>3.1896961687418435E-3</v>
      </c>
      <c r="L232" t="s">
        <v>153</v>
      </c>
      <c r="N232" t="s">
        <v>198</v>
      </c>
      <c r="O232" t="s">
        <v>240</v>
      </c>
      <c r="P232">
        <v>1.6840364221988569E-3</v>
      </c>
      <c r="Q232" t="s">
        <v>153</v>
      </c>
      <c r="S232" t="s">
        <v>213</v>
      </c>
      <c r="T232" t="s">
        <v>240</v>
      </c>
      <c r="U232">
        <v>1.2381954744180695E-4</v>
      </c>
      <c r="V232" t="s">
        <v>153</v>
      </c>
    </row>
    <row r="233" spans="9:22" x14ac:dyDescent="0.45">
      <c r="I233" t="s">
        <v>169</v>
      </c>
      <c r="J233" t="s">
        <v>263</v>
      </c>
      <c r="K233">
        <v>1.5002811647857131E-3</v>
      </c>
      <c r="L233" t="s">
        <v>153</v>
      </c>
      <c r="N233" t="s">
        <v>198</v>
      </c>
      <c r="O233" t="s">
        <v>263</v>
      </c>
      <c r="P233">
        <v>2.1073208088057912E-3</v>
      </c>
      <c r="Q233" t="s">
        <v>153</v>
      </c>
      <c r="S233" t="s">
        <v>213</v>
      </c>
      <c r="T233" t="s">
        <v>263</v>
      </c>
      <c r="U233">
        <v>1.0558773222606916E-4</v>
      </c>
      <c r="V233" t="s">
        <v>153</v>
      </c>
    </row>
    <row r="234" spans="9:22" x14ac:dyDescent="0.45">
      <c r="I234" t="s">
        <v>169</v>
      </c>
      <c r="J234" t="s">
        <v>264</v>
      </c>
      <c r="K234">
        <v>0</v>
      </c>
      <c r="L234" t="s">
        <v>153</v>
      </c>
      <c r="N234" t="s">
        <v>198</v>
      </c>
      <c r="O234" t="s">
        <v>264</v>
      </c>
      <c r="P234">
        <v>1.3630551268624183E-2</v>
      </c>
      <c r="Q234" t="s">
        <v>153</v>
      </c>
      <c r="S234" t="s">
        <v>213</v>
      </c>
      <c r="T234" t="s">
        <v>264</v>
      </c>
      <c r="U234">
        <v>6.3757279407984603E-4</v>
      </c>
      <c r="V234" t="s">
        <v>153</v>
      </c>
    </row>
    <row r="235" spans="9:22" x14ac:dyDescent="0.45">
      <c r="I235" t="s">
        <v>169</v>
      </c>
      <c r="J235" t="s">
        <v>162</v>
      </c>
      <c r="K235">
        <v>0</v>
      </c>
      <c r="L235" t="s">
        <v>153</v>
      </c>
      <c r="N235" t="s">
        <v>198</v>
      </c>
      <c r="O235" t="s">
        <v>162</v>
      </c>
      <c r="P235">
        <v>4.6680329345503903E-2</v>
      </c>
      <c r="Q235" t="s">
        <v>153</v>
      </c>
      <c r="S235" t="s">
        <v>213</v>
      </c>
      <c r="T235" t="s">
        <v>162</v>
      </c>
      <c r="U235">
        <v>1.9331091406054882E-2</v>
      </c>
      <c r="V235" t="s">
        <v>153</v>
      </c>
    </row>
    <row r="236" spans="9:22" x14ac:dyDescent="0.45">
      <c r="I236" t="s">
        <v>169</v>
      </c>
      <c r="J236" t="s">
        <v>163</v>
      </c>
      <c r="K236">
        <v>1.3183161746225839E-3</v>
      </c>
      <c r="L236" t="s">
        <v>153</v>
      </c>
      <c r="N236" t="s">
        <v>198</v>
      </c>
      <c r="O236" t="s">
        <v>163</v>
      </c>
      <c r="P236">
        <v>6.5656485916504729E-3</v>
      </c>
      <c r="Q236" t="s">
        <v>153</v>
      </c>
      <c r="S236" t="s">
        <v>213</v>
      </c>
      <c r="T236" t="s">
        <v>163</v>
      </c>
      <c r="U236">
        <v>3.2038280359999141E-3</v>
      </c>
      <c r="V236" t="s">
        <v>153</v>
      </c>
    </row>
    <row r="237" spans="9:22" x14ac:dyDescent="0.45">
      <c r="I237" t="s">
        <v>169</v>
      </c>
      <c r="J237" t="s">
        <v>164</v>
      </c>
      <c r="K237">
        <v>5.768104631329745E-3</v>
      </c>
      <c r="L237" t="s">
        <v>153</v>
      </c>
      <c r="N237" t="s">
        <v>198</v>
      </c>
      <c r="O237" t="s">
        <v>164</v>
      </c>
      <c r="P237">
        <v>5.2829634922382691E-3</v>
      </c>
      <c r="Q237" t="s">
        <v>153</v>
      </c>
      <c r="S237" t="s">
        <v>213</v>
      </c>
      <c r="T237" t="s">
        <v>164</v>
      </c>
      <c r="U237">
        <v>3.4716582932440739E-3</v>
      </c>
      <c r="V237" t="s">
        <v>153</v>
      </c>
    </row>
    <row r="238" spans="9:22" x14ac:dyDescent="0.45">
      <c r="I238" t="s">
        <v>169</v>
      </c>
      <c r="J238" t="s">
        <v>241</v>
      </c>
      <c r="K238">
        <v>8.2587052048316723E-3</v>
      </c>
      <c r="L238" t="s">
        <v>153</v>
      </c>
      <c r="N238" t="s">
        <v>198</v>
      </c>
      <c r="O238" t="s">
        <v>241</v>
      </c>
      <c r="P238">
        <v>5.3036955806523194E-3</v>
      </c>
      <c r="Q238" t="s">
        <v>153</v>
      </c>
      <c r="S238" t="s">
        <v>213</v>
      </c>
      <c r="T238" t="s">
        <v>241</v>
      </c>
      <c r="U238">
        <v>3.4069950581397776E-3</v>
      </c>
      <c r="V238" t="s">
        <v>153</v>
      </c>
    </row>
    <row r="239" spans="9:22" x14ac:dyDescent="0.45">
      <c r="I239" t="s">
        <v>169</v>
      </c>
      <c r="J239" t="s">
        <v>242</v>
      </c>
      <c r="K239">
        <v>6.2218322668867967E-2</v>
      </c>
      <c r="L239" t="s">
        <v>153</v>
      </c>
      <c r="N239" t="s">
        <v>198</v>
      </c>
      <c r="O239" t="s">
        <v>242</v>
      </c>
      <c r="P239">
        <v>2.2809218331786413E-2</v>
      </c>
      <c r="Q239" t="s">
        <v>153</v>
      </c>
      <c r="S239" t="s">
        <v>213</v>
      </c>
      <c r="T239" t="s">
        <v>242</v>
      </c>
      <c r="U239">
        <v>2.0663775558077975E-2</v>
      </c>
      <c r="V239" t="s">
        <v>153</v>
      </c>
    </row>
    <row r="240" spans="9:22" x14ac:dyDescent="0.45">
      <c r="I240" t="s">
        <v>169</v>
      </c>
      <c r="J240" t="s">
        <v>243</v>
      </c>
      <c r="K240">
        <v>4.4726813292372443E-3</v>
      </c>
      <c r="L240" t="s">
        <v>153</v>
      </c>
      <c r="N240" t="s">
        <v>198</v>
      </c>
      <c r="O240" t="s">
        <v>243</v>
      </c>
      <c r="P240">
        <v>1.1514751601858176E-3</v>
      </c>
      <c r="Q240" t="s">
        <v>153</v>
      </c>
      <c r="S240" t="s">
        <v>213</v>
      </c>
      <c r="T240" t="s">
        <v>243</v>
      </c>
      <c r="U240">
        <v>2.1991819779685474E-3</v>
      </c>
      <c r="V240" t="s">
        <v>153</v>
      </c>
    </row>
    <row r="241" spans="9:22" x14ac:dyDescent="0.45">
      <c r="I241" t="s">
        <v>169</v>
      </c>
      <c r="J241" t="s">
        <v>265</v>
      </c>
      <c r="K241">
        <v>9.5597411056220051E-4</v>
      </c>
      <c r="L241" t="s">
        <v>153</v>
      </c>
      <c r="N241" t="s">
        <v>198</v>
      </c>
      <c r="O241" t="s">
        <v>265</v>
      </c>
      <c r="P241">
        <v>1.4394106371198314E-3</v>
      </c>
      <c r="Q241" t="s">
        <v>153</v>
      </c>
      <c r="S241" t="s">
        <v>213</v>
      </c>
      <c r="T241" t="s">
        <v>265</v>
      </c>
      <c r="U241">
        <v>2.1767125977441583E-3</v>
      </c>
      <c r="V241" t="s">
        <v>153</v>
      </c>
    </row>
    <row r="242" spans="9:22" x14ac:dyDescent="0.45">
      <c r="I242" t="s">
        <v>169</v>
      </c>
      <c r="J242" t="s">
        <v>266</v>
      </c>
      <c r="K242">
        <v>0</v>
      </c>
      <c r="L242" t="s">
        <v>153</v>
      </c>
      <c r="N242" t="s">
        <v>198</v>
      </c>
      <c r="O242" t="s">
        <v>266</v>
      </c>
      <c r="P242">
        <v>1.8044691344687617E-2</v>
      </c>
      <c r="Q242" t="s">
        <v>153</v>
      </c>
      <c r="S242" t="s">
        <v>213</v>
      </c>
      <c r="T242" t="s">
        <v>266</v>
      </c>
      <c r="U242">
        <v>1.1915182438739546E-2</v>
      </c>
      <c r="V242" t="s">
        <v>153</v>
      </c>
    </row>
    <row r="243" spans="9:22" x14ac:dyDescent="0.45">
      <c r="I243" t="s">
        <v>169</v>
      </c>
      <c r="J243" t="s">
        <v>249</v>
      </c>
      <c r="K243">
        <v>0</v>
      </c>
      <c r="L243" t="s">
        <v>153</v>
      </c>
      <c r="N243" t="s">
        <v>198</v>
      </c>
      <c r="O243" t="s">
        <v>249</v>
      </c>
      <c r="P243">
        <v>4.1960326824070499E-2</v>
      </c>
      <c r="Q243" t="s">
        <v>153</v>
      </c>
      <c r="S243" t="s">
        <v>213</v>
      </c>
      <c r="T243" t="s">
        <v>249</v>
      </c>
      <c r="U243">
        <v>1.1475464431243608E-2</v>
      </c>
      <c r="V243" t="s">
        <v>153</v>
      </c>
    </row>
    <row r="244" spans="9:22" x14ac:dyDescent="0.45">
      <c r="I244" t="s">
        <v>169</v>
      </c>
      <c r="J244" t="s">
        <v>250</v>
      </c>
      <c r="K244">
        <v>0</v>
      </c>
      <c r="L244" t="s">
        <v>153</v>
      </c>
      <c r="N244" t="s">
        <v>198</v>
      </c>
      <c r="O244" t="s">
        <v>250</v>
      </c>
      <c r="P244">
        <v>5.5056019964578578E-3</v>
      </c>
      <c r="Q244" t="s">
        <v>153</v>
      </c>
      <c r="S244" t="s">
        <v>213</v>
      </c>
      <c r="T244" t="s">
        <v>250</v>
      </c>
      <c r="U244">
        <v>2.0837163114955154E-3</v>
      </c>
      <c r="V244" t="s">
        <v>153</v>
      </c>
    </row>
    <row r="245" spans="9:22" x14ac:dyDescent="0.45">
      <c r="I245" t="s">
        <v>169</v>
      </c>
      <c r="J245" t="s">
        <v>251</v>
      </c>
      <c r="K245">
        <v>3.1011007236958015E-3</v>
      </c>
      <c r="L245" t="s">
        <v>153</v>
      </c>
      <c r="N245" t="s">
        <v>198</v>
      </c>
      <c r="O245" t="s">
        <v>251</v>
      </c>
      <c r="P245">
        <v>4.4960793853561212E-3</v>
      </c>
      <c r="Q245" t="s">
        <v>153</v>
      </c>
      <c r="S245" t="s">
        <v>213</v>
      </c>
      <c r="T245" t="s">
        <v>251</v>
      </c>
      <c r="U245">
        <v>2.3691234043589108E-3</v>
      </c>
      <c r="V245" t="s">
        <v>153</v>
      </c>
    </row>
    <row r="246" spans="9:22" x14ac:dyDescent="0.45">
      <c r="I246" t="s">
        <v>169</v>
      </c>
      <c r="J246" t="s">
        <v>252</v>
      </c>
      <c r="K246">
        <v>4.6339305400386359E-3</v>
      </c>
      <c r="L246" t="s">
        <v>153</v>
      </c>
      <c r="N246" t="s">
        <v>198</v>
      </c>
      <c r="O246" t="s">
        <v>252</v>
      </c>
      <c r="P246">
        <v>4.2339907800236663E-3</v>
      </c>
      <c r="Q246" t="s">
        <v>153</v>
      </c>
      <c r="S246" t="s">
        <v>213</v>
      </c>
      <c r="T246" t="s">
        <v>252</v>
      </c>
      <c r="U246">
        <v>2.5141012343608874E-3</v>
      </c>
      <c r="V246" t="s">
        <v>153</v>
      </c>
    </row>
    <row r="247" spans="9:22" x14ac:dyDescent="0.45">
      <c r="I247" t="s">
        <v>169</v>
      </c>
      <c r="J247" t="s">
        <v>253</v>
      </c>
      <c r="K247">
        <v>3.8045332236454898E-2</v>
      </c>
      <c r="L247" t="s">
        <v>153</v>
      </c>
      <c r="N247" t="s">
        <v>198</v>
      </c>
      <c r="O247" t="s">
        <v>253</v>
      </c>
      <c r="P247">
        <v>1.7270873542216385E-2</v>
      </c>
      <c r="Q247" t="s">
        <v>153</v>
      </c>
      <c r="S247" t="s">
        <v>213</v>
      </c>
      <c r="T247" t="s">
        <v>253</v>
      </c>
      <c r="U247">
        <v>1.5022658037483727E-2</v>
      </c>
      <c r="V247" t="s">
        <v>153</v>
      </c>
    </row>
    <row r="248" spans="9:22" x14ac:dyDescent="0.45">
      <c r="I248" t="s">
        <v>169</v>
      </c>
      <c r="J248" t="s">
        <v>254</v>
      </c>
      <c r="K248">
        <v>3.8039807511732206E-3</v>
      </c>
      <c r="L248" t="s">
        <v>153</v>
      </c>
      <c r="N248" t="s">
        <v>198</v>
      </c>
      <c r="O248" t="s">
        <v>254</v>
      </c>
      <c r="P248">
        <v>9.5385141278401544E-4</v>
      </c>
      <c r="Q248" t="s">
        <v>153</v>
      </c>
      <c r="S248" t="s">
        <v>213</v>
      </c>
      <c r="T248" t="s">
        <v>254</v>
      </c>
      <c r="U248">
        <v>1.2067456103609471E-3</v>
      </c>
      <c r="V248" t="s">
        <v>153</v>
      </c>
    </row>
    <row r="249" spans="9:22" x14ac:dyDescent="0.45">
      <c r="I249" t="s">
        <v>169</v>
      </c>
      <c r="J249" t="s">
        <v>267</v>
      </c>
      <c r="K249">
        <v>2.3123402875689417E-3</v>
      </c>
      <c r="L249" t="s">
        <v>153</v>
      </c>
      <c r="N249" t="s">
        <v>198</v>
      </c>
      <c r="O249" t="s">
        <v>267</v>
      </c>
      <c r="P249">
        <v>1.2256664523437855E-3</v>
      </c>
      <c r="Q249" t="s">
        <v>153</v>
      </c>
      <c r="S249" t="s">
        <v>213</v>
      </c>
      <c r="T249" t="s">
        <v>267</v>
      </c>
      <c r="U249">
        <v>1.316450867639034E-3</v>
      </c>
      <c r="V249" t="s">
        <v>153</v>
      </c>
    </row>
    <row r="250" spans="9:22" x14ac:dyDescent="0.45">
      <c r="I250" t="s">
        <v>169</v>
      </c>
      <c r="J250" t="s">
        <v>268</v>
      </c>
      <c r="K250">
        <v>0</v>
      </c>
      <c r="L250" t="s">
        <v>153</v>
      </c>
      <c r="N250" t="s">
        <v>198</v>
      </c>
      <c r="O250" t="s">
        <v>268</v>
      </c>
      <c r="P250">
        <v>1.4858843473933892E-2</v>
      </c>
      <c r="Q250" t="s">
        <v>153</v>
      </c>
      <c r="S250" t="s">
        <v>213</v>
      </c>
      <c r="T250" t="s">
        <v>268</v>
      </c>
      <c r="U250">
        <v>7.7265651112180846E-3</v>
      </c>
      <c r="V250" t="s">
        <v>153</v>
      </c>
    </row>
    <row r="251" spans="9:22" x14ac:dyDescent="0.45">
      <c r="I251" t="s">
        <v>170</v>
      </c>
      <c r="J251" t="s">
        <v>152</v>
      </c>
      <c r="K251">
        <v>0</v>
      </c>
      <c r="L251" t="s">
        <v>153</v>
      </c>
      <c r="N251" t="s">
        <v>199</v>
      </c>
      <c r="O251" t="s">
        <v>152</v>
      </c>
      <c r="P251">
        <v>0.27090800426662653</v>
      </c>
      <c r="Q251" t="s">
        <v>153</v>
      </c>
      <c r="S251" t="s">
        <v>214</v>
      </c>
      <c r="T251" t="s">
        <v>152</v>
      </c>
      <c r="U251">
        <v>0.23924238572214937</v>
      </c>
      <c r="V251" t="s">
        <v>153</v>
      </c>
    </row>
    <row r="252" spans="9:22" x14ac:dyDescent="0.45">
      <c r="I252" t="s">
        <v>170</v>
      </c>
      <c r="J252" t="s">
        <v>154</v>
      </c>
      <c r="K252">
        <v>2.0947867929096774E-2</v>
      </c>
      <c r="L252" t="s">
        <v>153</v>
      </c>
      <c r="N252" t="s">
        <v>199</v>
      </c>
      <c r="O252" t="s">
        <v>154</v>
      </c>
      <c r="P252">
        <v>2.4660980789136828E-2</v>
      </c>
      <c r="Q252" t="s">
        <v>153</v>
      </c>
      <c r="S252" t="s">
        <v>214</v>
      </c>
      <c r="T252" t="s">
        <v>154</v>
      </c>
      <c r="U252">
        <v>3.1532737627064523E-2</v>
      </c>
      <c r="V252" t="s">
        <v>153</v>
      </c>
    </row>
    <row r="253" spans="9:22" x14ac:dyDescent="0.45">
      <c r="I253" t="s">
        <v>170</v>
      </c>
      <c r="J253" t="s">
        <v>155</v>
      </c>
      <c r="K253">
        <v>4.8253490797334875E-2</v>
      </c>
      <c r="L253" t="s">
        <v>153</v>
      </c>
      <c r="N253" t="s">
        <v>199</v>
      </c>
      <c r="O253" t="s">
        <v>155</v>
      </c>
      <c r="P253">
        <v>2.1628240656819824E-2</v>
      </c>
      <c r="Q253" t="s">
        <v>153</v>
      </c>
      <c r="S253" t="s">
        <v>214</v>
      </c>
      <c r="T253" t="s">
        <v>155</v>
      </c>
      <c r="U253">
        <v>3.1664884007784701E-2</v>
      </c>
      <c r="V253" t="s">
        <v>153</v>
      </c>
    </row>
    <row r="254" spans="9:22" x14ac:dyDescent="0.45">
      <c r="I254" t="s">
        <v>170</v>
      </c>
      <c r="J254" t="s">
        <v>232</v>
      </c>
      <c r="K254">
        <v>6.6314214449402484E-2</v>
      </c>
      <c r="L254" t="s">
        <v>153</v>
      </c>
      <c r="N254" t="s">
        <v>199</v>
      </c>
      <c r="O254" t="s">
        <v>232</v>
      </c>
      <c r="P254">
        <v>2.2102830386581729E-2</v>
      </c>
      <c r="Q254" t="s">
        <v>153</v>
      </c>
      <c r="S254" t="s">
        <v>214</v>
      </c>
      <c r="T254" t="s">
        <v>232</v>
      </c>
      <c r="U254">
        <v>3.2145861354364549E-2</v>
      </c>
      <c r="V254" t="s">
        <v>153</v>
      </c>
    </row>
    <row r="255" spans="9:22" x14ac:dyDescent="0.45">
      <c r="I255" t="s">
        <v>170</v>
      </c>
      <c r="J255" t="s">
        <v>233</v>
      </c>
      <c r="K255">
        <v>0.56486066309307015</v>
      </c>
      <c r="L255" t="s">
        <v>153</v>
      </c>
      <c r="N255" t="s">
        <v>199</v>
      </c>
      <c r="O255" t="s">
        <v>233</v>
      </c>
      <c r="P255">
        <v>0.14839287149062597</v>
      </c>
      <c r="Q255" t="s">
        <v>153</v>
      </c>
      <c r="S255" t="s">
        <v>214</v>
      </c>
      <c r="T255" t="s">
        <v>233</v>
      </c>
      <c r="U255">
        <v>0.23010332460861518</v>
      </c>
      <c r="V255" t="s">
        <v>153</v>
      </c>
    </row>
    <row r="256" spans="9:22" x14ac:dyDescent="0.45">
      <c r="I256" t="s">
        <v>170</v>
      </c>
      <c r="J256" t="s">
        <v>234</v>
      </c>
      <c r="K256">
        <v>4.8959441704320254E-2</v>
      </c>
      <c r="L256" t="s">
        <v>153</v>
      </c>
      <c r="N256" t="s">
        <v>199</v>
      </c>
      <c r="O256" t="s">
        <v>234</v>
      </c>
      <c r="P256">
        <v>1.6870316774981964E-2</v>
      </c>
      <c r="Q256" t="s">
        <v>153</v>
      </c>
      <c r="S256" t="s">
        <v>214</v>
      </c>
      <c r="T256" t="s">
        <v>234</v>
      </c>
      <c r="U256">
        <v>3.2435691416807917E-2</v>
      </c>
      <c r="V256" t="s">
        <v>153</v>
      </c>
    </row>
    <row r="257" spans="9:22" x14ac:dyDescent="0.45">
      <c r="I257" t="s">
        <v>170</v>
      </c>
      <c r="J257" t="s">
        <v>259</v>
      </c>
      <c r="K257">
        <v>2.7602530365926154E-2</v>
      </c>
      <c r="L257" t="s">
        <v>153</v>
      </c>
      <c r="N257" t="s">
        <v>199</v>
      </c>
      <c r="O257" t="s">
        <v>259</v>
      </c>
      <c r="P257">
        <v>1.9062015124920954E-2</v>
      </c>
      <c r="Q257" t="s">
        <v>153</v>
      </c>
      <c r="S257" t="s">
        <v>214</v>
      </c>
      <c r="T257" t="s">
        <v>259</v>
      </c>
      <c r="U257">
        <v>3.3831902901572258E-2</v>
      </c>
      <c r="V257" t="s">
        <v>153</v>
      </c>
    </row>
    <row r="258" spans="9:22" x14ac:dyDescent="0.45">
      <c r="I258" t="s">
        <v>170</v>
      </c>
      <c r="J258" t="s">
        <v>260</v>
      </c>
      <c r="K258">
        <v>5.9085726854175467E-4</v>
      </c>
      <c r="L258" t="s">
        <v>153</v>
      </c>
      <c r="N258" t="s">
        <v>199</v>
      </c>
      <c r="O258" t="s">
        <v>260</v>
      </c>
      <c r="P258">
        <v>0.17124868020625783</v>
      </c>
      <c r="Q258" t="s">
        <v>153</v>
      </c>
      <c r="S258" t="s">
        <v>214</v>
      </c>
      <c r="T258" t="s">
        <v>260</v>
      </c>
      <c r="U258">
        <v>0.17479322971553954</v>
      </c>
      <c r="V258" t="s">
        <v>153</v>
      </c>
    </row>
    <row r="259" spans="9:22" x14ac:dyDescent="0.45">
      <c r="I259" t="s">
        <v>170</v>
      </c>
      <c r="J259" t="s">
        <v>156</v>
      </c>
      <c r="K259">
        <v>0</v>
      </c>
      <c r="L259" t="s">
        <v>153</v>
      </c>
      <c r="N259" t="s">
        <v>199</v>
      </c>
      <c r="O259" t="s">
        <v>156</v>
      </c>
      <c r="P259">
        <v>1.0665194331016972E-2</v>
      </c>
      <c r="Q259" t="s">
        <v>153</v>
      </c>
      <c r="S259" t="s">
        <v>214</v>
      </c>
      <c r="T259" t="s">
        <v>156</v>
      </c>
      <c r="U259">
        <v>4.7109691135971556E-4</v>
      </c>
      <c r="V259" t="s">
        <v>153</v>
      </c>
    </row>
    <row r="260" spans="9:22" x14ac:dyDescent="0.45">
      <c r="I260" t="s">
        <v>170</v>
      </c>
      <c r="J260" t="s">
        <v>157</v>
      </c>
      <c r="K260">
        <v>9.6793253026079677E-4</v>
      </c>
      <c r="L260" t="s">
        <v>153</v>
      </c>
      <c r="N260" t="s">
        <v>199</v>
      </c>
      <c r="O260" t="s">
        <v>157</v>
      </c>
      <c r="P260">
        <v>1.5753960036514613E-3</v>
      </c>
      <c r="Q260" t="s">
        <v>153</v>
      </c>
      <c r="S260" t="s">
        <v>214</v>
      </c>
      <c r="T260" t="s">
        <v>157</v>
      </c>
      <c r="U260">
        <v>7.9513881714681961E-5</v>
      </c>
      <c r="V260" t="s">
        <v>153</v>
      </c>
    </row>
    <row r="261" spans="9:22" x14ac:dyDescent="0.45">
      <c r="I261" t="s">
        <v>170</v>
      </c>
      <c r="J261" t="s">
        <v>158</v>
      </c>
      <c r="K261">
        <v>1.7499500578309997E-3</v>
      </c>
      <c r="L261" t="s">
        <v>153</v>
      </c>
      <c r="N261" t="s">
        <v>199</v>
      </c>
      <c r="O261" t="s">
        <v>158</v>
      </c>
      <c r="P261">
        <v>1.4205200563629544E-3</v>
      </c>
      <c r="Q261" t="s">
        <v>153</v>
      </c>
      <c r="S261" t="s">
        <v>214</v>
      </c>
      <c r="T261" t="s">
        <v>158</v>
      </c>
      <c r="U261">
        <v>8.5638605392889826E-5</v>
      </c>
      <c r="V261" t="s">
        <v>153</v>
      </c>
    </row>
    <row r="262" spans="9:22" x14ac:dyDescent="0.45">
      <c r="I262" t="s">
        <v>170</v>
      </c>
      <c r="J262" t="s">
        <v>235</v>
      </c>
      <c r="K262">
        <v>2.2407242374522037E-3</v>
      </c>
      <c r="L262" t="s">
        <v>153</v>
      </c>
      <c r="N262" t="s">
        <v>199</v>
      </c>
      <c r="O262" t="s">
        <v>235</v>
      </c>
      <c r="P262">
        <v>1.613093827438047E-3</v>
      </c>
      <c r="Q262" t="s">
        <v>153</v>
      </c>
      <c r="S262" t="s">
        <v>214</v>
      </c>
      <c r="T262" t="s">
        <v>235</v>
      </c>
      <c r="U262">
        <v>1.0280084278604372E-4</v>
      </c>
      <c r="V262" t="s">
        <v>153</v>
      </c>
    </row>
    <row r="263" spans="9:22" x14ac:dyDescent="0.45">
      <c r="I263" t="s">
        <v>170</v>
      </c>
      <c r="J263" t="s">
        <v>236</v>
      </c>
      <c r="K263">
        <v>1.7364980774881432E-2</v>
      </c>
      <c r="L263" t="s">
        <v>153</v>
      </c>
      <c r="N263" t="s">
        <v>199</v>
      </c>
      <c r="O263" t="s">
        <v>236</v>
      </c>
      <c r="P263">
        <v>6.0949713004173579E-3</v>
      </c>
      <c r="Q263" t="s">
        <v>153</v>
      </c>
      <c r="S263" t="s">
        <v>214</v>
      </c>
      <c r="T263" t="s">
        <v>236</v>
      </c>
      <c r="U263">
        <v>4.5185482276358411E-4</v>
      </c>
      <c r="V263" t="s">
        <v>153</v>
      </c>
    </row>
    <row r="264" spans="9:22" x14ac:dyDescent="0.45">
      <c r="I264" t="s">
        <v>170</v>
      </c>
      <c r="J264" t="s">
        <v>237</v>
      </c>
      <c r="K264">
        <v>1.3368945140883604E-3</v>
      </c>
      <c r="L264" t="s">
        <v>153</v>
      </c>
      <c r="N264" t="s">
        <v>199</v>
      </c>
      <c r="O264" t="s">
        <v>237</v>
      </c>
      <c r="P264">
        <v>4.7324467569139622E-4</v>
      </c>
      <c r="Q264" t="s">
        <v>153</v>
      </c>
      <c r="S264" t="s">
        <v>214</v>
      </c>
      <c r="T264" t="s">
        <v>237</v>
      </c>
      <c r="U264">
        <v>2.2735326725156568E-5</v>
      </c>
      <c r="V264" t="s">
        <v>153</v>
      </c>
    </row>
    <row r="265" spans="9:22" x14ac:dyDescent="0.45">
      <c r="I265" t="s">
        <v>170</v>
      </c>
      <c r="J265" t="s">
        <v>261</v>
      </c>
      <c r="K265">
        <v>8.2031221484977731E-4</v>
      </c>
      <c r="L265" t="s">
        <v>153</v>
      </c>
      <c r="N265" t="s">
        <v>199</v>
      </c>
      <c r="O265" t="s">
        <v>261</v>
      </c>
      <c r="P265">
        <v>6.3533669998231735E-4</v>
      </c>
      <c r="Q265" t="s">
        <v>153</v>
      </c>
      <c r="S265" t="s">
        <v>214</v>
      </c>
      <c r="T265" t="s">
        <v>261</v>
      </c>
      <c r="U265">
        <v>4.6351923666545692E-5</v>
      </c>
      <c r="V265" t="s">
        <v>153</v>
      </c>
    </row>
    <row r="266" spans="9:22" x14ac:dyDescent="0.45">
      <c r="I266" t="s">
        <v>170</v>
      </c>
      <c r="J266" t="s">
        <v>262</v>
      </c>
      <c r="K266">
        <v>0</v>
      </c>
      <c r="L266" t="s">
        <v>153</v>
      </c>
      <c r="N266" t="s">
        <v>199</v>
      </c>
      <c r="O266" t="s">
        <v>262</v>
      </c>
      <c r="P266">
        <v>4.552517806592285E-3</v>
      </c>
      <c r="Q266" t="s">
        <v>153</v>
      </c>
      <c r="S266" t="s">
        <v>214</v>
      </c>
      <c r="T266" t="s">
        <v>262</v>
      </c>
      <c r="U266">
        <v>4.3181079285601248E-4</v>
      </c>
      <c r="V266" t="s">
        <v>153</v>
      </c>
    </row>
    <row r="267" spans="9:22" x14ac:dyDescent="0.45">
      <c r="I267" t="s">
        <v>170</v>
      </c>
      <c r="J267" t="s">
        <v>159</v>
      </c>
      <c r="K267">
        <v>0</v>
      </c>
      <c r="L267" t="s">
        <v>153</v>
      </c>
      <c r="N267" t="s">
        <v>199</v>
      </c>
      <c r="O267" t="s">
        <v>159</v>
      </c>
      <c r="P267">
        <v>2.1717640061316441E-2</v>
      </c>
      <c r="Q267" t="s">
        <v>153</v>
      </c>
      <c r="S267" t="s">
        <v>214</v>
      </c>
      <c r="T267" t="s">
        <v>159</v>
      </c>
      <c r="U267">
        <v>4.1415896267393715E-3</v>
      </c>
      <c r="V267" t="s">
        <v>153</v>
      </c>
    </row>
    <row r="268" spans="9:22" x14ac:dyDescent="0.45">
      <c r="I268" t="s">
        <v>170</v>
      </c>
      <c r="J268" t="s">
        <v>160</v>
      </c>
      <c r="K268">
        <v>2.7997018038892897E-3</v>
      </c>
      <c r="L268" t="s">
        <v>153</v>
      </c>
      <c r="N268" t="s">
        <v>199</v>
      </c>
      <c r="O268" t="s">
        <v>160</v>
      </c>
      <c r="P268">
        <v>3.0531293951473939E-3</v>
      </c>
      <c r="Q268" t="s">
        <v>153</v>
      </c>
      <c r="S268" t="s">
        <v>214</v>
      </c>
      <c r="T268" t="s">
        <v>160</v>
      </c>
      <c r="U268">
        <v>7.3609844904198851E-4</v>
      </c>
      <c r="V268" t="s">
        <v>153</v>
      </c>
    </row>
    <row r="269" spans="9:22" x14ac:dyDescent="0.45">
      <c r="I269" t="s">
        <v>170</v>
      </c>
      <c r="J269" t="s">
        <v>161</v>
      </c>
      <c r="K269">
        <v>5.151701210959956E-3</v>
      </c>
      <c r="L269" t="s">
        <v>153</v>
      </c>
      <c r="N269" t="s">
        <v>199</v>
      </c>
      <c r="O269" t="s">
        <v>161</v>
      </c>
      <c r="P269">
        <v>2.3915025480948141E-3</v>
      </c>
      <c r="Q269" t="s">
        <v>153</v>
      </c>
      <c r="S269" t="s">
        <v>214</v>
      </c>
      <c r="T269" t="s">
        <v>161</v>
      </c>
      <c r="U269">
        <v>8.0534138370465464E-4</v>
      </c>
      <c r="V269" t="s">
        <v>153</v>
      </c>
    </row>
    <row r="270" spans="9:22" x14ac:dyDescent="0.45">
      <c r="I270" t="s">
        <v>170</v>
      </c>
      <c r="J270" t="s">
        <v>238</v>
      </c>
      <c r="K270">
        <v>6.5068188241163361E-3</v>
      </c>
      <c r="L270" t="s">
        <v>153</v>
      </c>
      <c r="N270" t="s">
        <v>199</v>
      </c>
      <c r="O270" t="s">
        <v>238</v>
      </c>
      <c r="P270">
        <v>3.1370526552504394E-3</v>
      </c>
      <c r="Q270" t="s">
        <v>153</v>
      </c>
      <c r="S270" t="s">
        <v>214</v>
      </c>
      <c r="T270" t="s">
        <v>238</v>
      </c>
      <c r="U270">
        <v>8.6164615472632635E-4</v>
      </c>
      <c r="V270" t="s">
        <v>153</v>
      </c>
    </row>
    <row r="271" spans="9:22" x14ac:dyDescent="0.45">
      <c r="I271" t="s">
        <v>170</v>
      </c>
      <c r="J271" t="s">
        <v>239</v>
      </c>
      <c r="K271">
        <v>4.3762614498709045E-2</v>
      </c>
      <c r="L271" t="s">
        <v>153</v>
      </c>
      <c r="N271" t="s">
        <v>199</v>
      </c>
      <c r="O271" t="s">
        <v>239</v>
      </c>
      <c r="P271">
        <v>2.2234758123082728E-2</v>
      </c>
      <c r="Q271" t="s">
        <v>153</v>
      </c>
      <c r="S271" t="s">
        <v>214</v>
      </c>
      <c r="T271" t="s">
        <v>239</v>
      </c>
      <c r="U271">
        <v>3.9523416721812636E-3</v>
      </c>
      <c r="V271" t="s">
        <v>153</v>
      </c>
    </row>
    <row r="272" spans="9:22" x14ac:dyDescent="0.45">
      <c r="I272" t="s">
        <v>170</v>
      </c>
      <c r="J272" t="s">
        <v>240</v>
      </c>
      <c r="K272">
        <v>3.0527549954891525E-3</v>
      </c>
      <c r="L272" t="s">
        <v>153</v>
      </c>
      <c r="N272" t="s">
        <v>199</v>
      </c>
      <c r="O272" t="s">
        <v>240</v>
      </c>
      <c r="P272">
        <v>1.9415648483724795E-3</v>
      </c>
      <c r="Q272" t="s">
        <v>153</v>
      </c>
      <c r="S272" t="s">
        <v>214</v>
      </c>
      <c r="T272" t="s">
        <v>240</v>
      </c>
      <c r="U272">
        <v>3.0375210774732919E-4</v>
      </c>
      <c r="V272" t="s">
        <v>153</v>
      </c>
    </row>
    <row r="273" spans="9:22" x14ac:dyDescent="0.45">
      <c r="I273" t="s">
        <v>170</v>
      </c>
      <c r="J273" t="s">
        <v>263</v>
      </c>
      <c r="K273">
        <v>3.8102836583483042E-4</v>
      </c>
      <c r="L273" t="s">
        <v>153</v>
      </c>
      <c r="N273" t="s">
        <v>199</v>
      </c>
      <c r="O273" t="s">
        <v>263</v>
      </c>
      <c r="P273">
        <v>2.2436501680085479E-3</v>
      </c>
      <c r="Q273" t="s">
        <v>153</v>
      </c>
      <c r="S273" t="s">
        <v>214</v>
      </c>
      <c r="T273" t="s">
        <v>263</v>
      </c>
      <c r="U273">
        <v>4.1165326893698715E-4</v>
      </c>
      <c r="V273" t="s">
        <v>153</v>
      </c>
    </row>
    <row r="274" spans="9:22" x14ac:dyDescent="0.45">
      <c r="I274" t="s">
        <v>170</v>
      </c>
      <c r="J274" t="s">
        <v>264</v>
      </c>
      <c r="K274">
        <v>0</v>
      </c>
      <c r="L274" t="s">
        <v>153</v>
      </c>
      <c r="N274" t="s">
        <v>199</v>
      </c>
      <c r="O274" t="s">
        <v>264</v>
      </c>
      <c r="P274">
        <v>1.4468532034254626E-2</v>
      </c>
      <c r="Q274" t="s">
        <v>153</v>
      </c>
      <c r="S274" t="s">
        <v>214</v>
      </c>
      <c r="T274" t="s">
        <v>264</v>
      </c>
      <c r="U274">
        <v>3.2015463874449819E-3</v>
      </c>
      <c r="V274" t="s">
        <v>153</v>
      </c>
    </row>
    <row r="275" spans="9:22" x14ac:dyDescent="0.45">
      <c r="I275" t="s">
        <v>170</v>
      </c>
      <c r="J275" t="s">
        <v>162</v>
      </c>
      <c r="K275">
        <v>0</v>
      </c>
      <c r="L275" t="s">
        <v>153</v>
      </c>
      <c r="N275" t="s">
        <v>199</v>
      </c>
      <c r="O275" t="s">
        <v>162</v>
      </c>
      <c r="P275">
        <v>4.5641520632818552E-2</v>
      </c>
      <c r="Q275" t="s">
        <v>153</v>
      </c>
      <c r="S275" t="s">
        <v>214</v>
      </c>
      <c r="T275" t="s">
        <v>162</v>
      </c>
      <c r="U275">
        <v>3.3466040530537443E-2</v>
      </c>
      <c r="V275" t="s">
        <v>153</v>
      </c>
    </row>
    <row r="276" spans="9:22" x14ac:dyDescent="0.45">
      <c r="I276" t="s">
        <v>170</v>
      </c>
      <c r="J276" t="s">
        <v>163</v>
      </c>
      <c r="K276">
        <v>3.5895491576029451E-3</v>
      </c>
      <c r="L276" t="s">
        <v>153</v>
      </c>
      <c r="N276" t="s">
        <v>199</v>
      </c>
      <c r="O276" t="s">
        <v>163</v>
      </c>
      <c r="P276">
        <v>5.4199774770683313E-3</v>
      </c>
      <c r="Q276" t="s">
        <v>153</v>
      </c>
      <c r="S276" t="s">
        <v>214</v>
      </c>
      <c r="T276" t="s">
        <v>163</v>
      </c>
      <c r="U276">
        <v>5.2173720332474955E-3</v>
      </c>
      <c r="V276" t="s">
        <v>153</v>
      </c>
    </row>
    <row r="277" spans="9:22" x14ac:dyDescent="0.45">
      <c r="I277" t="s">
        <v>170</v>
      </c>
      <c r="J277" t="s">
        <v>164</v>
      </c>
      <c r="K277">
        <v>6.7139210783363004E-3</v>
      </c>
      <c r="L277" t="s">
        <v>153</v>
      </c>
      <c r="N277" t="s">
        <v>199</v>
      </c>
      <c r="O277" t="s">
        <v>164</v>
      </c>
      <c r="P277">
        <v>5.0446371281571735E-3</v>
      </c>
      <c r="Q277" t="s">
        <v>153</v>
      </c>
      <c r="S277" t="s">
        <v>214</v>
      </c>
      <c r="T277" t="s">
        <v>164</v>
      </c>
      <c r="U277">
        <v>5.2992225270520887E-3</v>
      </c>
      <c r="V277" t="s">
        <v>153</v>
      </c>
    </row>
    <row r="278" spans="9:22" x14ac:dyDescent="0.45">
      <c r="I278" t="s">
        <v>170</v>
      </c>
      <c r="J278" t="s">
        <v>241</v>
      </c>
      <c r="K278">
        <v>9.0115724409228753E-3</v>
      </c>
      <c r="L278" t="s">
        <v>153</v>
      </c>
      <c r="N278" t="s">
        <v>199</v>
      </c>
      <c r="O278" t="s">
        <v>241</v>
      </c>
      <c r="P278">
        <v>6.1148643370951454E-3</v>
      </c>
      <c r="Q278" t="s">
        <v>153</v>
      </c>
      <c r="S278" t="s">
        <v>214</v>
      </c>
      <c r="T278" t="s">
        <v>241</v>
      </c>
      <c r="U278">
        <v>5.2136453496719956E-3</v>
      </c>
      <c r="V278" t="s">
        <v>153</v>
      </c>
    </row>
    <row r="279" spans="9:22" x14ac:dyDescent="0.45">
      <c r="I279" t="s">
        <v>170</v>
      </c>
      <c r="J279" t="s">
        <v>242</v>
      </c>
      <c r="K279">
        <v>6.4554981483483848E-2</v>
      </c>
      <c r="L279" t="s">
        <v>153</v>
      </c>
      <c r="N279" t="s">
        <v>199</v>
      </c>
      <c r="O279" t="s">
        <v>242</v>
      </c>
      <c r="P279">
        <v>3.1598153497675016E-2</v>
      </c>
      <c r="Q279" t="s">
        <v>153</v>
      </c>
      <c r="S279" t="s">
        <v>214</v>
      </c>
      <c r="T279" t="s">
        <v>242</v>
      </c>
      <c r="U279">
        <v>2.8725283215454929E-2</v>
      </c>
      <c r="V279" t="s">
        <v>153</v>
      </c>
    </row>
    <row r="280" spans="9:22" x14ac:dyDescent="0.45">
      <c r="I280" t="s">
        <v>170</v>
      </c>
      <c r="J280" t="s">
        <v>243</v>
      </c>
      <c r="K280">
        <v>4.5934450299611497E-3</v>
      </c>
      <c r="L280" t="s">
        <v>153</v>
      </c>
      <c r="N280" t="s">
        <v>199</v>
      </c>
      <c r="O280" t="s">
        <v>243</v>
      </c>
      <c r="P280">
        <v>2.5332012772919374E-3</v>
      </c>
      <c r="Q280" t="s">
        <v>153</v>
      </c>
      <c r="S280" t="s">
        <v>214</v>
      </c>
      <c r="T280" t="s">
        <v>243</v>
      </c>
      <c r="U280">
        <v>3.1410407601041189E-3</v>
      </c>
      <c r="V280" t="s">
        <v>153</v>
      </c>
    </row>
    <row r="281" spans="9:22" x14ac:dyDescent="0.45">
      <c r="I281" t="s">
        <v>170</v>
      </c>
      <c r="J281" t="s">
        <v>265</v>
      </c>
      <c r="K281">
        <v>4.2879715995551558E-5</v>
      </c>
      <c r="L281" t="s">
        <v>153</v>
      </c>
      <c r="N281" t="s">
        <v>199</v>
      </c>
      <c r="O281" t="s">
        <v>265</v>
      </c>
      <c r="P281">
        <v>3.116431651472041E-3</v>
      </c>
      <c r="Q281" t="s">
        <v>153</v>
      </c>
      <c r="S281" t="s">
        <v>214</v>
      </c>
      <c r="T281" t="s">
        <v>265</v>
      </c>
      <c r="U281">
        <v>3.5153729588775608E-3</v>
      </c>
      <c r="V281" t="s">
        <v>153</v>
      </c>
    </row>
    <row r="282" spans="9:22" x14ac:dyDescent="0.45">
      <c r="I282" t="s">
        <v>170</v>
      </c>
      <c r="J282" t="s">
        <v>266</v>
      </c>
      <c r="K282">
        <v>0</v>
      </c>
      <c r="L282" t="s">
        <v>153</v>
      </c>
      <c r="N282" t="s">
        <v>199</v>
      </c>
      <c r="O282" t="s">
        <v>266</v>
      </c>
      <c r="P282">
        <v>2.8693883992350924E-2</v>
      </c>
      <c r="Q282" t="s">
        <v>153</v>
      </c>
      <c r="S282" t="s">
        <v>214</v>
      </c>
      <c r="T282" t="s">
        <v>266</v>
      </c>
      <c r="U282">
        <v>2.3864509879975383E-2</v>
      </c>
      <c r="V282" t="s">
        <v>153</v>
      </c>
    </row>
    <row r="283" spans="9:22" x14ac:dyDescent="0.45">
      <c r="I283" t="s">
        <v>170</v>
      </c>
      <c r="J283" t="s">
        <v>249</v>
      </c>
      <c r="K283">
        <v>0</v>
      </c>
      <c r="L283" t="s">
        <v>153</v>
      </c>
      <c r="N283" t="s">
        <v>199</v>
      </c>
      <c r="O283" t="s">
        <v>249</v>
      </c>
      <c r="P283">
        <v>2.9878140152521993E-2</v>
      </c>
      <c r="Q283" t="s">
        <v>153</v>
      </c>
      <c r="S283" t="s">
        <v>214</v>
      </c>
      <c r="T283" t="s">
        <v>249</v>
      </c>
      <c r="U283">
        <v>1.8775679198936867E-2</v>
      </c>
      <c r="V283" t="s">
        <v>153</v>
      </c>
    </row>
    <row r="284" spans="9:22" x14ac:dyDescent="0.45">
      <c r="I284" t="s">
        <v>170</v>
      </c>
      <c r="J284" t="s">
        <v>250</v>
      </c>
      <c r="K284">
        <v>6.6590443551906587E-5</v>
      </c>
      <c r="L284" t="s">
        <v>153</v>
      </c>
      <c r="N284" t="s">
        <v>199</v>
      </c>
      <c r="O284" t="s">
        <v>250</v>
      </c>
      <c r="P284">
        <v>3.6108959256907604E-3</v>
      </c>
      <c r="Q284" t="s">
        <v>153</v>
      </c>
      <c r="S284" t="s">
        <v>214</v>
      </c>
      <c r="T284" t="s">
        <v>250</v>
      </c>
      <c r="U284">
        <v>2.9601322805622695E-3</v>
      </c>
      <c r="V284" t="s">
        <v>153</v>
      </c>
    </row>
    <row r="285" spans="9:22" x14ac:dyDescent="0.45">
      <c r="I285" t="s">
        <v>170</v>
      </c>
      <c r="J285" t="s">
        <v>251</v>
      </c>
      <c r="K285">
        <v>2.9785973108459192E-3</v>
      </c>
      <c r="L285" t="s">
        <v>153</v>
      </c>
      <c r="N285" t="s">
        <v>199</v>
      </c>
      <c r="O285" t="s">
        <v>251</v>
      </c>
      <c r="P285">
        <v>2.8624619898703061E-3</v>
      </c>
      <c r="Q285" t="s">
        <v>153</v>
      </c>
      <c r="S285" t="s">
        <v>214</v>
      </c>
      <c r="T285" t="s">
        <v>251</v>
      </c>
      <c r="U285">
        <v>3.3171802478595171E-3</v>
      </c>
      <c r="V285" t="s">
        <v>153</v>
      </c>
    </row>
    <row r="286" spans="9:22" x14ac:dyDescent="0.45">
      <c r="I286" t="s">
        <v>170</v>
      </c>
      <c r="J286" t="s">
        <v>252</v>
      </c>
      <c r="K286">
        <v>4.1668207754293682E-3</v>
      </c>
      <c r="L286" t="s">
        <v>153</v>
      </c>
      <c r="N286" t="s">
        <v>199</v>
      </c>
      <c r="O286" t="s">
        <v>252</v>
      </c>
      <c r="P286">
        <v>3.3538626444136149E-3</v>
      </c>
      <c r="Q286" t="s">
        <v>153</v>
      </c>
      <c r="S286" t="s">
        <v>214</v>
      </c>
      <c r="T286" t="s">
        <v>252</v>
      </c>
      <c r="U286">
        <v>3.5847595677311215E-3</v>
      </c>
      <c r="V286" t="s">
        <v>153</v>
      </c>
    </row>
    <row r="287" spans="9:22" x14ac:dyDescent="0.45">
      <c r="I287" t="s">
        <v>170</v>
      </c>
      <c r="J287" t="s">
        <v>253</v>
      </c>
      <c r="K287">
        <v>3.5472474847193895E-2</v>
      </c>
      <c r="L287" t="s">
        <v>153</v>
      </c>
      <c r="N287" t="s">
        <v>199</v>
      </c>
      <c r="O287" t="s">
        <v>253</v>
      </c>
      <c r="P287">
        <v>1.7899893368947505E-2</v>
      </c>
      <c r="Q287" t="s">
        <v>153</v>
      </c>
      <c r="S287" t="s">
        <v>214</v>
      </c>
      <c r="T287" t="s">
        <v>253</v>
      </c>
      <c r="U287">
        <v>1.9601843475891379E-2</v>
      </c>
      <c r="V287" t="s">
        <v>153</v>
      </c>
    </row>
    <row r="288" spans="9:22" x14ac:dyDescent="0.45">
      <c r="I288" t="s">
        <v>170</v>
      </c>
      <c r="J288" t="s">
        <v>254</v>
      </c>
      <c r="K288">
        <v>3.3169088459316016E-3</v>
      </c>
      <c r="L288" t="s">
        <v>153</v>
      </c>
      <c r="N288" t="s">
        <v>199</v>
      </c>
      <c r="O288" t="s">
        <v>254</v>
      </c>
      <c r="P288">
        <v>1.0625191986612494E-3</v>
      </c>
      <c r="Q288" t="s">
        <v>153</v>
      </c>
      <c r="S288" t="s">
        <v>214</v>
      </c>
      <c r="T288" t="s">
        <v>254</v>
      </c>
      <c r="U288">
        <v>2.1199734932351943E-3</v>
      </c>
      <c r="V288" t="s">
        <v>153</v>
      </c>
    </row>
    <row r="289" spans="9:22" x14ac:dyDescent="0.45">
      <c r="I289" t="s">
        <v>170</v>
      </c>
      <c r="J289" t="s">
        <v>267</v>
      </c>
      <c r="K289">
        <v>1.8277792346911848E-3</v>
      </c>
      <c r="L289" t="s">
        <v>153</v>
      </c>
      <c r="N289" t="s">
        <v>199</v>
      </c>
      <c r="O289" t="s">
        <v>267</v>
      </c>
      <c r="P289">
        <v>1.5697910359196952E-3</v>
      </c>
      <c r="Q289" t="s">
        <v>153</v>
      </c>
      <c r="S289" t="s">
        <v>214</v>
      </c>
      <c r="T289" t="s">
        <v>267</v>
      </c>
      <c r="U289">
        <v>2.5150666640090273E-3</v>
      </c>
      <c r="V289" t="s">
        <v>153</v>
      </c>
    </row>
    <row r="290" spans="9:22" x14ac:dyDescent="0.45">
      <c r="I290" t="s">
        <v>170</v>
      </c>
      <c r="J290" t="s">
        <v>268</v>
      </c>
      <c r="K290">
        <v>0</v>
      </c>
      <c r="L290" t="s">
        <v>153</v>
      </c>
      <c r="N290" t="s">
        <v>199</v>
      </c>
      <c r="O290" t="s">
        <v>268</v>
      </c>
      <c r="P290">
        <v>1.8507721459416097E-2</v>
      </c>
      <c r="Q290" t="s">
        <v>153</v>
      </c>
      <c r="S290" t="s">
        <v>214</v>
      </c>
      <c r="T290" t="s">
        <v>268</v>
      </c>
      <c r="U290">
        <v>1.6827088305168669E-2</v>
      </c>
      <c r="V290" t="s">
        <v>153</v>
      </c>
    </row>
    <row r="291" spans="9:22" x14ac:dyDescent="0.45">
      <c r="I291" t="s">
        <v>171</v>
      </c>
      <c r="J291" t="s">
        <v>152</v>
      </c>
      <c r="K291">
        <v>0</v>
      </c>
      <c r="L291" t="s">
        <v>153</v>
      </c>
      <c r="N291" t="s">
        <v>200</v>
      </c>
      <c r="O291" t="s">
        <v>152</v>
      </c>
      <c r="P291">
        <v>0.24080771646369864</v>
      </c>
      <c r="Q291" t="s">
        <v>153</v>
      </c>
      <c r="S291" t="s">
        <v>215</v>
      </c>
      <c r="T291" t="s">
        <v>152</v>
      </c>
      <c r="U291">
        <v>0.24793662569005781</v>
      </c>
      <c r="V291" t="s">
        <v>153</v>
      </c>
    </row>
    <row r="292" spans="9:22" x14ac:dyDescent="0.45">
      <c r="I292" t="s">
        <v>171</v>
      </c>
      <c r="J292" t="s">
        <v>154</v>
      </c>
      <c r="K292">
        <v>2.226515124276001E-2</v>
      </c>
      <c r="L292" t="s">
        <v>153</v>
      </c>
      <c r="N292" t="s">
        <v>200</v>
      </c>
      <c r="O292" t="s">
        <v>154</v>
      </c>
      <c r="P292">
        <v>2.5375598811145064E-2</v>
      </c>
      <c r="Q292" t="s">
        <v>153</v>
      </c>
      <c r="S292" t="s">
        <v>215</v>
      </c>
      <c r="T292" t="s">
        <v>154</v>
      </c>
      <c r="U292">
        <v>3.3238471730242358E-2</v>
      </c>
      <c r="V292" t="s">
        <v>153</v>
      </c>
    </row>
    <row r="293" spans="9:22" x14ac:dyDescent="0.45">
      <c r="I293" t="s">
        <v>171</v>
      </c>
      <c r="J293" t="s">
        <v>155</v>
      </c>
      <c r="K293">
        <v>4.929792099695373E-2</v>
      </c>
      <c r="L293" t="s">
        <v>153</v>
      </c>
      <c r="N293" t="s">
        <v>200</v>
      </c>
      <c r="O293" t="s">
        <v>155</v>
      </c>
      <c r="P293">
        <v>2.3678751691031012E-2</v>
      </c>
      <c r="Q293" t="s">
        <v>153</v>
      </c>
      <c r="S293" t="s">
        <v>215</v>
      </c>
      <c r="T293" t="s">
        <v>155</v>
      </c>
      <c r="U293">
        <v>3.3463641343796861E-2</v>
      </c>
      <c r="V293" t="s">
        <v>153</v>
      </c>
    </row>
    <row r="294" spans="9:22" x14ac:dyDescent="0.45">
      <c r="I294" t="s">
        <v>171</v>
      </c>
      <c r="J294" t="s">
        <v>232</v>
      </c>
      <c r="K294">
        <v>6.676326354056572E-2</v>
      </c>
      <c r="L294" t="s">
        <v>153</v>
      </c>
      <c r="N294" t="s">
        <v>200</v>
      </c>
      <c r="O294" t="s">
        <v>232</v>
      </c>
      <c r="P294">
        <v>2.5497546803720263E-2</v>
      </c>
      <c r="Q294" t="s">
        <v>153</v>
      </c>
      <c r="S294" t="s">
        <v>215</v>
      </c>
      <c r="T294" t="s">
        <v>232</v>
      </c>
      <c r="U294">
        <v>3.3976565183902054E-2</v>
      </c>
      <c r="V294" t="s">
        <v>153</v>
      </c>
    </row>
    <row r="295" spans="9:22" x14ac:dyDescent="0.45">
      <c r="I295" t="s">
        <v>171</v>
      </c>
      <c r="J295" t="s">
        <v>233</v>
      </c>
      <c r="K295">
        <v>0.56472018614944819</v>
      </c>
      <c r="L295" t="s">
        <v>153</v>
      </c>
      <c r="N295" t="s">
        <v>200</v>
      </c>
      <c r="O295" t="s">
        <v>233</v>
      </c>
      <c r="P295">
        <v>0.17276805040214377</v>
      </c>
      <c r="Q295" t="s">
        <v>153</v>
      </c>
      <c r="S295" t="s">
        <v>215</v>
      </c>
      <c r="T295" t="s">
        <v>233</v>
      </c>
      <c r="U295">
        <v>0.24204590316694832</v>
      </c>
      <c r="V295" t="s">
        <v>153</v>
      </c>
    </row>
    <row r="296" spans="9:22" x14ac:dyDescent="0.45">
      <c r="I296" t="s">
        <v>171</v>
      </c>
      <c r="J296" t="s">
        <v>234</v>
      </c>
      <c r="K296">
        <v>4.6997203306707896E-2</v>
      </c>
      <c r="L296" t="s">
        <v>153</v>
      </c>
      <c r="N296" t="s">
        <v>200</v>
      </c>
      <c r="O296" t="s">
        <v>234</v>
      </c>
      <c r="P296">
        <v>1.6906430863359068E-2</v>
      </c>
      <c r="Q296" t="s">
        <v>153</v>
      </c>
      <c r="S296" t="s">
        <v>215</v>
      </c>
      <c r="T296" t="s">
        <v>234</v>
      </c>
      <c r="U296">
        <v>3.2952026256146551E-2</v>
      </c>
      <c r="V296" t="s">
        <v>153</v>
      </c>
    </row>
    <row r="297" spans="9:22" x14ac:dyDescent="0.45">
      <c r="I297" t="s">
        <v>171</v>
      </c>
      <c r="J297" t="s">
        <v>259</v>
      </c>
      <c r="K297">
        <v>2.6176412932423797E-2</v>
      </c>
      <c r="L297" t="s">
        <v>153</v>
      </c>
      <c r="N297" t="s">
        <v>200</v>
      </c>
      <c r="O297" t="s">
        <v>259</v>
      </c>
      <c r="P297">
        <v>1.8986095714054834E-2</v>
      </c>
      <c r="Q297" t="s">
        <v>153</v>
      </c>
      <c r="S297" t="s">
        <v>215</v>
      </c>
      <c r="T297" t="s">
        <v>259</v>
      </c>
      <c r="U297">
        <v>3.359878048703694E-2</v>
      </c>
      <c r="V297" t="s">
        <v>153</v>
      </c>
    </row>
    <row r="298" spans="9:22" x14ac:dyDescent="0.45">
      <c r="I298" t="s">
        <v>171</v>
      </c>
      <c r="J298" t="s">
        <v>260</v>
      </c>
      <c r="K298">
        <v>7.5400881560145409E-6</v>
      </c>
      <c r="L298" t="s">
        <v>153</v>
      </c>
      <c r="N298" t="s">
        <v>200</v>
      </c>
      <c r="O298" t="s">
        <v>260</v>
      </c>
      <c r="P298">
        <v>0.1527682406142471</v>
      </c>
      <c r="Q298" t="s">
        <v>153</v>
      </c>
      <c r="S298" t="s">
        <v>215</v>
      </c>
      <c r="T298" t="s">
        <v>260</v>
      </c>
      <c r="U298">
        <v>0.17147963694554691</v>
      </c>
      <c r="V298" t="s">
        <v>153</v>
      </c>
    </row>
    <row r="299" spans="9:22" x14ac:dyDescent="0.45">
      <c r="I299" t="s">
        <v>171</v>
      </c>
      <c r="J299" t="s">
        <v>156</v>
      </c>
      <c r="K299">
        <v>0</v>
      </c>
      <c r="L299" t="s">
        <v>153</v>
      </c>
      <c r="N299" t="s">
        <v>200</v>
      </c>
      <c r="O299" t="s">
        <v>156</v>
      </c>
      <c r="P299">
        <v>6.9052873342529764E-3</v>
      </c>
      <c r="Q299" t="s">
        <v>153</v>
      </c>
      <c r="S299" t="s">
        <v>215</v>
      </c>
      <c r="T299" t="s">
        <v>156</v>
      </c>
      <c r="U299">
        <v>3.8016189369400797E-4</v>
      </c>
      <c r="V299" t="s">
        <v>153</v>
      </c>
    </row>
    <row r="300" spans="9:22" x14ac:dyDescent="0.45">
      <c r="I300" t="s">
        <v>171</v>
      </c>
      <c r="J300" t="s">
        <v>157</v>
      </c>
      <c r="K300">
        <v>1.1132088961003704E-3</v>
      </c>
      <c r="L300" t="s">
        <v>153</v>
      </c>
      <c r="N300" t="s">
        <v>200</v>
      </c>
      <c r="O300" t="s">
        <v>157</v>
      </c>
      <c r="P300">
        <v>1.5516046450075242E-3</v>
      </c>
      <c r="Q300" t="s">
        <v>153</v>
      </c>
      <c r="S300" t="s">
        <v>215</v>
      </c>
      <c r="T300" t="s">
        <v>157</v>
      </c>
      <c r="U300">
        <v>6.6138152325012517E-5</v>
      </c>
      <c r="V300" t="s">
        <v>153</v>
      </c>
    </row>
    <row r="301" spans="9:22" x14ac:dyDescent="0.45">
      <c r="I301" t="s">
        <v>171</v>
      </c>
      <c r="J301" t="s">
        <v>158</v>
      </c>
      <c r="K301">
        <v>1.981901378551097E-3</v>
      </c>
      <c r="L301" t="s">
        <v>153</v>
      </c>
      <c r="N301" t="s">
        <v>200</v>
      </c>
      <c r="O301" t="s">
        <v>158</v>
      </c>
      <c r="P301">
        <v>1.5181618611701238E-3</v>
      </c>
      <c r="Q301" t="s">
        <v>153</v>
      </c>
      <c r="S301" t="s">
        <v>215</v>
      </c>
      <c r="T301" t="s">
        <v>158</v>
      </c>
      <c r="U301">
        <v>5.9098498648925579E-5</v>
      </c>
      <c r="V301" t="s">
        <v>153</v>
      </c>
    </row>
    <row r="302" spans="9:22" x14ac:dyDescent="0.45">
      <c r="I302" t="s">
        <v>171</v>
      </c>
      <c r="J302" t="s">
        <v>235</v>
      </c>
      <c r="K302">
        <v>2.4536903104035975E-3</v>
      </c>
      <c r="L302" t="s">
        <v>153</v>
      </c>
      <c r="N302" t="s">
        <v>200</v>
      </c>
      <c r="O302" t="s">
        <v>235</v>
      </c>
      <c r="P302">
        <v>1.9676116676306953E-3</v>
      </c>
      <c r="Q302" t="s">
        <v>153</v>
      </c>
      <c r="S302" t="s">
        <v>215</v>
      </c>
      <c r="T302" t="s">
        <v>235</v>
      </c>
      <c r="U302">
        <v>6.5301957225033413E-5</v>
      </c>
      <c r="V302" t="s">
        <v>153</v>
      </c>
    </row>
    <row r="303" spans="9:22" x14ac:dyDescent="0.45">
      <c r="I303" t="s">
        <v>171</v>
      </c>
      <c r="J303" t="s">
        <v>236</v>
      </c>
      <c r="K303">
        <v>1.8090551816059508E-2</v>
      </c>
      <c r="L303" t="s">
        <v>153</v>
      </c>
      <c r="N303" t="s">
        <v>200</v>
      </c>
      <c r="O303" t="s">
        <v>236</v>
      </c>
      <c r="P303">
        <v>8.2633278309396149E-3</v>
      </c>
      <c r="Q303" t="s">
        <v>153</v>
      </c>
      <c r="S303" t="s">
        <v>215</v>
      </c>
      <c r="T303" t="s">
        <v>236</v>
      </c>
      <c r="U303">
        <v>4.7742640214081683E-4</v>
      </c>
      <c r="V303" t="s">
        <v>153</v>
      </c>
    </row>
    <row r="304" spans="9:22" x14ac:dyDescent="0.45">
      <c r="I304" t="s">
        <v>171</v>
      </c>
      <c r="J304" t="s">
        <v>237</v>
      </c>
      <c r="K304">
        <v>1.2472787061332108E-3</v>
      </c>
      <c r="L304" t="s">
        <v>153</v>
      </c>
      <c r="N304" t="s">
        <v>200</v>
      </c>
      <c r="O304" t="s">
        <v>237</v>
      </c>
      <c r="P304">
        <v>4.8803481442364662E-4</v>
      </c>
      <c r="Q304" t="s">
        <v>153</v>
      </c>
      <c r="S304" t="s">
        <v>215</v>
      </c>
      <c r="T304" t="s">
        <v>237</v>
      </c>
      <c r="U304">
        <v>3.6968117702548116E-5</v>
      </c>
      <c r="V304" t="s">
        <v>153</v>
      </c>
    </row>
    <row r="305" spans="9:22" x14ac:dyDescent="0.45">
      <c r="I305" t="s">
        <v>171</v>
      </c>
      <c r="J305" t="s">
        <v>261</v>
      </c>
      <c r="K305">
        <v>1.587379624988746E-4</v>
      </c>
      <c r="L305" t="s">
        <v>153</v>
      </c>
      <c r="N305" t="s">
        <v>200</v>
      </c>
      <c r="O305" t="s">
        <v>261</v>
      </c>
      <c r="P305">
        <v>5.4476229272964853E-4</v>
      </c>
      <c r="Q305" t="s">
        <v>153</v>
      </c>
      <c r="S305" t="s">
        <v>215</v>
      </c>
      <c r="T305" t="s">
        <v>261</v>
      </c>
      <c r="U305">
        <v>4.7363706195938804E-5</v>
      </c>
      <c r="V305" t="s">
        <v>153</v>
      </c>
    </row>
    <row r="306" spans="9:22" x14ac:dyDescent="0.45">
      <c r="I306" t="s">
        <v>171</v>
      </c>
      <c r="J306" t="s">
        <v>262</v>
      </c>
      <c r="K306">
        <v>0</v>
      </c>
      <c r="L306" t="s">
        <v>153</v>
      </c>
      <c r="N306" t="s">
        <v>200</v>
      </c>
      <c r="O306" t="s">
        <v>262</v>
      </c>
      <c r="P306">
        <v>3.6759805627894038E-3</v>
      </c>
      <c r="Q306" t="s">
        <v>153</v>
      </c>
      <c r="S306" t="s">
        <v>215</v>
      </c>
      <c r="T306" t="s">
        <v>262</v>
      </c>
      <c r="U306">
        <v>3.2418699894215357E-4</v>
      </c>
      <c r="V306" t="s">
        <v>153</v>
      </c>
    </row>
    <row r="307" spans="9:22" x14ac:dyDescent="0.45">
      <c r="I307" t="s">
        <v>171</v>
      </c>
      <c r="J307" t="s">
        <v>159</v>
      </c>
      <c r="K307">
        <v>0</v>
      </c>
      <c r="L307" t="s">
        <v>153</v>
      </c>
      <c r="N307" t="s">
        <v>200</v>
      </c>
      <c r="O307" t="s">
        <v>159</v>
      </c>
      <c r="P307">
        <v>1.631723549394986E-2</v>
      </c>
      <c r="Q307" t="s">
        <v>153</v>
      </c>
      <c r="S307" t="s">
        <v>215</v>
      </c>
      <c r="T307" t="s">
        <v>159</v>
      </c>
      <c r="U307">
        <v>3.9032501227593123E-3</v>
      </c>
      <c r="V307" t="s">
        <v>153</v>
      </c>
    </row>
    <row r="308" spans="9:22" x14ac:dyDescent="0.45">
      <c r="I308" t="s">
        <v>171</v>
      </c>
      <c r="J308" t="s">
        <v>160</v>
      </c>
      <c r="K308">
        <v>2.7481372845676181E-3</v>
      </c>
      <c r="L308" t="s">
        <v>153</v>
      </c>
      <c r="N308" t="s">
        <v>200</v>
      </c>
      <c r="O308" t="s">
        <v>160</v>
      </c>
      <c r="P308">
        <v>3.1986568541628531E-3</v>
      </c>
      <c r="Q308" t="s">
        <v>153</v>
      </c>
      <c r="S308" t="s">
        <v>215</v>
      </c>
      <c r="T308" t="s">
        <v>160</v>
      </c>
      <c r="U308">
        <v>6.977660655173982E-4</v>
      </c>
      <c r="V308" t="s">
        <v>153</v>
      </c>
    </row>
    <row r="309" spans="9:22" x14ac:dyDescent="0.45">
      <c r="I309" t="s">
        <v>171</v>
      </c>
      <c r="J309" t="s">
        <v>161</v>
      </c>
      <c r="K309">
        <v>4.9936045564092021E-3</v>
      </c>
      <c r="L309" t="s">
        <v>153</v>
      </c>
      <c r="N309" t="s">
        <v>200</v>
      </c>
      <c r="O309" t="s">
        <v>161</v>
      </c>
      <c r="P309">
        <v>2.7754422423685418E-3</v>
      </c>
      <c r="Q309" t="s">
        <v>153</v>
      </c>
      <c r="S309" t="s">
        <v>215</v>
      </c>
      <c r="T309" t="s">
        <v>161</v>
      </c>
      <c r="U309">
        <v>7.8783231223930876E-4</v>
      </c>
      <c r="V309" t="s">
        <v>153</v>
      </c>
    </row>
    <row r="310" spans="9:22" x14ac:dyDescent="0.45">
      <c r="I310" t="s">
        <v>171</v>
      </c>
      <c r="J310" t="s">
        <v>238</v>
      </c>
      <c r="K310">
        <v>6.3429777091111288E-3</v>
      </c>
      <c r="L310" t="s">
        <v>153</v>
      </c>
      <c r="N310" t="s">
        <v>200</v>
      </c>
      <c r="O310" t="s">
        <v>238</v>
      </c>
      <c r="P310">
        <v>3.7853467376463626E-3</v>
      </c>
      <c r="Q310" t="s">
        <v>153</v>
      </c>
      <c r="S310" t="s">
        <v>215</v>
      </c>
      <c r="T310" t="s">
        <v>238</v>
      </c>
      <c r="U310">
        <v>8.551360001420147E-4</v>
      </c>
      <c r="V310" t="s">
        <v>153</v>
      </c>
    </row>
    <row r="311" spans="9:22" x14ac:dyDescent="0.45">
      <c r="I311" t="s">
        <v>171</v>
      </c>
      <c r="J311" t="s">
        <v>239</v>
      </c>
      <c r="K311">
        <v>4.3278209537179056E-2</v>
      </c>
      <c r="L311" t="s">
        <v>153</v>
      </c>
      <c r="N311" t="s">
        <v>200</v>
      </c>
      <c r="O311" t="s">
        <v>239</v>
      </c>
      <c r="P311">
        <v>2.9602757906794331E-2</v>
      </c>
      <c r="Q311" t="s">
        <v>153</v>
      </c>
      <c r="S311" t="s">
        <v>215</v>
      </c>
      <c r="T311" t="s">
        <v>239</v>
      </c>
      <c r="U311">
        <v>4.2078824521065775E-3</v>
      </c>
      <c r="V311" t="s">
        <v>153</v>
      </c>
    </row>
    <row r="312" spans="9:22" x14ac:dyDescent="0.45">
      <c r="I312" t="s">
        <v>171</v>
      </c>
      <c r="J312" t="s">
        <v>240</v>
      </c>
      <c r="K312">
        <v>3.1356259157642274E-3</v>
      </c>
      <c r="L312" t="s">
        <v>153</v>
      </c>
      <c r="N312" t="s">
        <v>200</v>
      </c>
      <c r="O312" t="s">
        <v>240</v>
      </c>
      <c r="P312">
        <v>2.2009259812123851E-3</v>
      </c>
      <c r="Q312" t="s">
        <v>153</v>
      </c>
      <c r="S312" t="s">
        <v>215</v>
      </c>
      <c r="T312" t="s">
        <v>240</v>
      </c>
      <c r="U312">
        <v>2.2090484670118433E-4</v>
      </c>
      <c r="V312" t="s">
        <v>153</v>
      </c>
    </row>
    <row r="313" spans="9:22" x14ac:dyDescent="0.45">
      <c r="I313" t="s">
        <v>171</v>
      </c>
      <c r="J313" t="s">
        <v>263</v>
      </c>
      <c r="K313">
        <v>0</v>
      </c>
      <c r="L313" t="s">
        <v>153</v>
      </c>
      <c r="N313" t="s">
        <v>200</v>
      </c>
      <c r="O313" t="s">
        <v>263</v>
      </c>
      <c r="P313">
        <v>2.1644364660771314E-3</v>
      </c>
      <c r="Q313" t="s">
        <v>153</v>
      </c>
      <c r="S313" t="s">
        <v>215</v>
      </c>
      <c r="T313" t="s">
        <v>263</v>
      </c>
      <c r="U313">
        <v>2.4486714404846929E-4</v>
      </c>
      <c r="V313" t="s">
        <v>153</v>
      </c>
    </row>
    <row r="314" spans="9:22" x14ac:dyDescent="0.45">
      <c r="I314" t="s">
        <v>171</v>
      </c>
      <c r="J314" t="s">
        <v>264</v>
      </c>
      <c r="K314">
        <v>0</v>
      </c>
      <c r="L314" t="s">
        <v>153</v>
      </c>
      <c r="N314" t="s">
        <v>200</v>
      </c>
      <c r="O314" t="s">
        <v>264</v>
      </c>
      <c r="P314">
        <v>1.2102510756156414E-2</v>
      </c>
      <c r="Q314" t="s">
        <v>153</v>
      </c>
      <c r="S314" t="s">
        <v>215</v>
      </c>
      <c r="T314" t="s">
        <v>264</v>
      </c>
      <c r="U314">
        <v>2.2819471262667656E-3</v>
      </c>
      <c r="V314" t="s">
        <v>153</v>
      </c>
    </row>
    <row r="315" spans="9:22" x14ac:dyDescent="0.45">
      <c r="I315" t="s">
        <v>171</v>
      </c>
      <c r="J315" t="s">
        <v>162</v>
      </c>
      <c r="K315">
        <v>0</v>
      </c>
      <c r="L315" t="s">
        <v>153</v>
      </c>
      <c r="N315" t="s">
        <v>200</v>
      </c>
      <c r="O315" t="s">
        <v>162</v>
      </c>
      <c r="P315">
        <v>4.1804788762242154E-2</v>
      </c>
      <c r="Q315" t="s">
        <v>153</v>
      </c>
      <c r="S315" t="s">
        <v>215</v>
      </c>
      <c r="T315" t="s">
        <v>162</v>
      </c>
      <c r="U315">
        <v>3.0560958843046198E-2</v>
      </c>
      <c r="V315" t="s">
        <v>153</v>
      </c>
    </row>
    <row r="316" spans="9:22" x14ac:dyDescent="0.45">
      <c r="I316" t="s">
        <v>171</v>
      </c>
      <c r="J316" t="s">
        <v>163</v>
      </c>
      <c r="K316">
        <v>3.7089443729724819E-3</v>
      </c>
      <c r="L316" t="s">
        <v>153</v>
      </c>
      <c r="N316" t="s">
        <v>200</v>
      </c>
      <c r="O316" t="s">
        <v>163</v>
      </c>
      <c r="P316">
        <v>7.095825900893281E-3</v>
      </c>
      <c r="Q316" t="s">
        <v>153</v>
      </c>
      <c r="S316" t="s">
        <v>215</v>
      </c>
      <c r="T316" t="s">
        <v>163</v>
      </c>
      <c r="U316">
        <v>4.6091222463837843E-3</v>
      </c>
      <c r="V316" t="s">
        <v>153</v>
      </c>
    </row>
    <row r="317" spans="9:22" x14ac:dyDescent="0.45">
      <c r="I317" t="s">
        <v>171</v>
      </c>
      <c r="J317" t="s">
        <v>164</v>
      </c>
      <c r="K317">
        <v>6.9868331127865722E-3</v>
      </c>
      <c r="L317" t="s">
        <v>153</v>
      </c>
      <c r="N317" t="s">
        <v>200</v>
      </c>
      <c r="O317" t="s">
        <v>164</v>
      </c>
      <c r="P317">
        <v>7.1419442948087103E-3</v>
      </c>
      <c r="Q317" t="s">
        <v>153</v>
      </c>
      <c r="S317" t="s">
        <v>215</v>
      </c>
      <c r="T317" t="s">
        <v>164</v>
      </c>
      <c r="U317">
        <v>4.7109430486050007E-3</v>
      </c>
      <c r="V317" t="s">
        <v>153</v>
      </c>
    </row>
    <row r="318" spans="9:22" x14ac:dyDescent="0.45">
      <c r="I318" t="s">
        <v>171</v>
      </c>
      <c r="J318" t="s">
        <v>241</v>
      </c>
      <c r="K318">
        <v>9.2023134812153264E-3</v>
      </c>
      <c r="L318" t="s">
        <v>153</v>
      </c>
      <c r="N318" t="s">
        <v>200</v>
      </c>
      <c r="O318" t="s">
        <v>241</v>
      </c>
      <c r="P318">
        <v>8.7905877688410419E-3</v>
      </c>
      <c r="Q318" t="s">
        <v>153</v>
      </c>
      <c r="S318" t="s">
        <v>215</v>
      </c>
      <c r="T318" t="s">
        <v>241</v>
      </c>
      <c r="U318">
        <v>4.7095657488411095E-3</v>
      </c>
      <c r="V318" t="s">
        <v>153</v>
      </c>
    </row>
    <row r="319" spans="9:22" x14ac:dyDescent="0.45">
      <c r="I319" t="s">
        <v>171</v>
      </c>
      <c r="J319" t="s">
        <v>242</v>
      </c>
      <c r="K319">
        <v>6.4969283163419433E-2</v>
      </c>
      <c r="L319" t="s">
        <v>153</v>
      </c>
      <c r="N319" t="s">
        <v>200</v>
      </c>
      <c r="O319" t="s">
        <v>242</v>
      </c>
      <c r="P319">
        <v>4.6766403163051147E-2</v>
      </c>
      <c r="Q319" t="s">
        <v>153</v>
      </c>
      <c r="S319" t="s">
        <v>215</v>
      </c>
      <c r="T319" t="s">
        <v>242</v>
      </c>
      <c r="U319">
        <v>2.7151075967426254E-2</v>
      </c>
      <c r="V319" t="s">
        <v>153</v>
      </c>
    </row>
    <row r="320" spans="9:22" x14ac:dyDescent="0.45">
      <c r="I320" t="s">
        <v>171</v>
      </c>
      <c r="J320" t="s">
        <v>243</v>
      </c>
      <c r="K320">
        <v>4.7702357253759957E-3</v>
      </c>
      <c r="L320" t="s">
        <v>153</v>
      </c>
      <c r="N320" t="s">
        <v>200</v>
      </c>
      <c r="O320" t="s">
        <v>243</v>
      </c>
      <c r="P320">
        <v>2.4694660951450342E-3</v>
      </c>
      <c r="Q320" t="s">
        <v>153</v>
      </c>
      <c r="S320" t="s">
        <v>215</v>
      </c>
      <c r="T320" t="s">
        <v>243</v>
      </c>
      <c r="U320">
        <v>2.8183522997949858E-3</v>
      </c>
      <c r="V320" t="s">
        <v>153</v>
      </c>
    </row>
    <row r="321" spans="9:22" x14ac:dyDescent="0.45">
      <c r="I321" t="s">
        <v>171</v>
      </c>
      <c r="J321" t="s">
        <v>265</v>
      </c>
      <c r="K321">
        <v>0</v>
      </c>
      <c r="L321" t="s">
        <v>153</v>
      </c>
      <c r="N321" t="s">
        <v>200</v>
      </c>
      <c r="O321" t="s">
        <v>265</v>
      </c>
      <c r="P321">
        <v>2.8811505799007649E-3</v>
      </c>
      <c r="Q321" t="s">
        <v>153</v>
      </c>
      <c r="S321" t="s">
        <v>215</v>
      </c>
      <c r="T321" t="s">
        <v>265</v>
      </c>
      <c r="U321">
        <v>3.0017900535449162E-3</v>
      </c>
      <c r="V321" t="s">
        <v>153</v>
      </c>
    </row>
    <row r="322" spans="9:22" x14ac:dyDescent="0.45">
      <c r="I322" t="s">
        <v>171</v>
      </c>
      <c r="J322" t="s">
        <v>266</v>
      </c>
      <c r="K322">
        <v>0</v>
      </c>
      <c r="L322" t="s">
        <v>153</v>
      </c>
      <c r="N322" t="s">
        <v>200</v>
      </c>
      <c r="O322" t="s">
        <v>266</v>
      </c>
      <c r="P322">
        <v>2.1035923206656114E-2</v>
      </c>
      <c r="Q322" t="s">
        <v>153</v>
      </c>
      <c r="S322" t="s">
        <v>215</v>
      </c>
      <c r="T322" t="s">
        <v>266</v>
      </c>
      <c r="U322">
        <v>1.9155578753791664E-2</v>
      </c>
      <c r="V322" t="s">
        <v>153</v>
      </c>
    </row>
    <row r="323" spans="9:22" x14ac:dyDescent="0.45">
      <c r="I323" t="s">
        <v>171</v>
      </c>
      <c r="J323" t="s">
        <v>249</v>
      </c>
      <c r="K323">
        <v>0</v>
      </c>
      <c r="L323" t="s">
        <v>153</v>
      </c>
      <c r="N323" t="s">
        <v>200</v>
      </c>
      <c r="O323" t="s">
        <v>249</v>
      </c>
      <c r="P323">
        <v>3.1249386935921823E-2</v>
      </c>
      <c r="Q323" t="s">
        <v>153</v>
      </c>
      <c r="S323" t="s">
        <v>215</v>
      </c>
      <c r="T323" t="s">
        <v>249</v>
      </c>
      <c r="U323">
        <v>1.6142692242922561E-2</v>
      </c>
      <c r="V323" t="s">
        <v>153</v>
      </c>
    </row>
    <row r="324" spans="9:22" x14ac:dyDescent="0.45">
      <c r="I324" t="s">
        <v>171</v>
      </c>
      <c r="J324" t="s">
        <v>250</v>
      </c>
      <c r="K324">
        <v>8.1914613068408268E-4</v>
      </c>
      <c r="L324" t="s">
        <v>153</v>
      </c>
      <c r="N324" t="s">
        <v>200</v>
      </c>
      <c r="O324" t="s">
        <v>250</v>
      </c>
      <c r="P324">
        <v>4.6974859116499044E-3</v>
      </c>
      <c r="Q324" t="s">
        <v>153</v>
      </c>
      <c r="S324" t="s">
        <v>215</v>
      </c>
      <c r="T324" t="s">
        <v>250</v>
      </c>
      <c r="U324">
        <v>2.6323965658592071E-3</v>
      </c>
      <c r="V324" t="s">
        <v>153</v>
      </c>
    </row>
    <row r="325" spans="9:22" x14ac:dyDescent="0.45">
      <c r="I325" t="s">
        <v>171</v>
      </c>
      <c r="J325" t="s">
        <v>251</v>
      </c>
      <c r="K325">
        <v>3.2297595596090731E-3</v>
      </c>
      <c r="L325" t="s">
        <v>153</v>
      </c>
      <c r="N325" t="s">
        <v>200</v>
      </c>
      <c r="O325" t="s">
        <v>251</v>
      </c>
      <c r="P325">
        <v>4.0980279113595188E-3</v>
      </c>
      <c r="Q325" t="s">
        <v>153</v>
      </c>
      <c r="S325" t="s">
        <v>215</v>
      </c>
      <c r="T325" t="s">
        <v>251</v>
      </c>
      <c r="U325">
        <v>2.926033216772993E-3</v>
      </c>
      <c r="V325" t="s">
        <v>153</v>
      </c>
    </row>
    <row r="326" spans="9:22" x14ac:dyDescent="0.45">
      <c r="I326" t="s">
        <v>171</v>
      </c>
      <c r="J326" t="s">
        <v>252</v>
      </c>
      <c r="K326">
        <v>4.4381413506371283E-3</v>
      </c>
      <c r="L326" t="s">
        <v>153</v>
      </c>
      <c r="N326" t="s">
        <v>200</v>
      </c>
      <c r="O326" t="s">
        <v>252</v>
      </c>
      <c r="P326">
        <v>4.8014506564221368E-3</v>
      </c>
      <c r="Q326" t="s">
        <v>153</v>
      </c>
      <c r="S326" t="s">
        <v>215</v>
      </c>
      <c r="T326" t="s">
        <v>252</v>
      </c>
      <c r="U326">
        <v>3.0735306758623896E-3</v>
      </c>
      <c r="V326" t="s">
        <v>153</v>
      </c>
    </row>
    <row r="327" spans="9:22" x14ac:dyDescent="0.45">
      <c r="I327" t="s">
        <v>171</v>
      </c>
      <c r="J327" t="s">
        <v>253</v>
      </c>
      <c r="K327">
        <v>3.6134840801794799E-2</v>
      </c>
      <c r="L327" t="s">
        <v>153</v>
      </c>
      <c r="N327" t="s">
        <v>200</v>
      </c>
      <c r="O327" t="s">
        <v>253</v>
      </c>
      <c r="P327">
        <v>2.5521083346902985E-2</v>
      </c>
      <c r="Q327" t="s">
        <v>153</v>
      </c>
      <c r="S327" t="s">
        <v>215</v>
      </c>
      <c r="T327" t="s">
        <v>253</v>
      </c>
      <c r="U327">
        <v>1.8092657982063838E-2</v>
      </c>
      <c r="V327" t="s">
        <v>153</v>
      </c>
    </row>
    <row r="328" spans="9:22" x14ac:dyDescent="0.45">
      <c r="I328" t="s">
        <v>171</v>
      </c>
      <c r="J328" t="s">
        <v>254</v>
      </c>
      <c r="K328">
        <v>3.2831436827808792E-3</v>
      </c>
      <c r="L328" t="s">
        <v>153</v>
      </c>
      <c r="N328" t="s">
        <v>200</v>
      </c>
      <c r="O328" t="s">
        <v>254</v>
      </c>
      <c r="P328">
        <v>1.3524473988756327E-3</v>
      </c>
      <c r="Q328" t="s">
        <v>153</v>
      </c>
      <c r="S328" t="s">
        <v>215</v>
      </c>
      <c r="T328" t="s">
        <v>254</v>
      </c>
      <c r="U328">
        <v>1.7171765441043462E-3</v>
      </c>
      <c r="V328" t="s">
        <v>153</v>
      </c>
    </row>
    <row r="329" spans="9:22" x14ac:dyDescent="0.45">
      <c r="I329" t="s">
        <v>171</v>
      </c>
      <c r="J329" t="s">
        <v>267</v>
      </c>
      <c r="K329">
        <v>6.8575628893399461E-4</v>
      </c>
      <c r="L329" t="s">
        <v>153</v>
      </c>
      <c r="N329" t="s">
        <v>200</v>
      </c>
      <c r="O329" t="s">
        <v>267</v>
      </c>
      <c r="P329">
        <v>1.7055630851424356E-3</v>
      </c>
      <c r="Q329" t="s">
        <v>153</v>
      </c>
      <c r="S329" t="s">
        <v>215</v>
      </c>
      <c r="T329" t="s">
        <v>267</v>
      </c>
      <c r="U329">
        <v>1.9716081723195901E-3</v>
      </c>
      <c r="V329" t="s">
        <v>153</v>
      </c>
    </row>
    <row r="330" spans="9:22" x14ac:dyDescent="0.45">
      <c r="I330" t="s">
        <v>171</v>
      </c>
      <c r="J330" t="s">
        <v>268</v>
      </c>
      <c r="K330">
        <v>0</v>
      </c>
      <c r="L330" t="s">
        <v>153</v>
      </c>
      <c r="N330" t="s">
        <v>200</v>
      </c>
      <c r="O330" t="s">
        <v>268</v>
      </c>
      <c r="P330">
        <v>1.4737950171473866E-2</v>
      </c>
      <c r="Q330" t="s">
        <v>153</v>
      </c>
      <c r="S330" t="s">
        <v>215</v>
      </c>
      <c r="T330" t="s">
        <v>268</v>
      </c>
      <c r="U330">
        <v>1.3378635038325161E-2</v>
      </c>
      <c r="V330" t="s">
        <v>153</v>
      </c>
    </row>
    <row r="331" spans="9:22" x14ac:dyDescent="0.45">
      <c r="I331" t="s">
        <v>172</v>
      </c>
      <c r="J331" t="s">
        <v>152</v>
      </c>
      <c r="K331">
        <v>0</v>
      </c>
      <c r="L331" t="s">
        <v>153</v>
      </c>
      <c r="N331" t="s">
        <v>201</v>
      </c>
      <c r="O331" t="s">
        <v>152</v>
      </c>
      <c r="P331">
        <v>0.2404896765764945</v>
      </c>
      <c r="Q331" t="s">
        <v>153</v>
      </c>
      <c r="S331" t="s">
        <v>216</v>
      </c>
      <c r="T331" t="s">
        <v>152</v>
      </c>
      <c r="U331">
        <v>0.25500770976251741</v>
      </c>
      <c r="V331" t="s">
        <v>153</v>
      </c>
    </row>
    <row r="332" spans="9:22" x14ac:dyDescent="0.45">
      <c r="I332" t="s">
        <v>172</v>
      </c>
      <c r="J332" t="s">
        <v>154</v>
      </c>
      <c r="K332">
        <v>1.5644901167861668E-2</v>
      </c>
      <c r="L332" t="s">
        <v>153</v>
      </c>
      <c r="N332" t="s">
        <v>201</v>
      </c>
      <c r="O332" t="s">
        <v>154</v>
      </c>
      <c r="P332">
        <v>2.3870505279004854E-2</v>
      </c>
      <c r="Q332" t="s">
        <v>153</v>
      </c>
      <c r="S332" t="s">
        <v>216</v>
      </c>
      <c r="T332" t="s">
        <v>154</v>
      </c>
      <c r="U332">
        <v>3.5084717396947691E-2</v>
      </c>
      <c r="V332" t="s">
        <v>153</v>
      </c>
    </row>
    <row r="333" spans="9:22" x14ac:dyDescent="0.45">
      <c r="I333" t="s">
        <v>172</v>
      </c>
      <c r="J333" t="s">
        <v>155</v>
      </c>
      <c r="K333">
        <v>4.2351973295662509E-2</v>
      </c>
      <c r="L333" t="s">
        <v>153</v>
      </c>
      <c r="N333" t="s">
        <v>201</v>
      </c>
      <c r="O333" t="s">
        <v>155</v>
      </c>
      <c r="P333">
        <v>2.1157914350160689E-2</v>
      </c>
      <c r="Q333" t="s">
        <v>153</v>
      </c>
      <c r="S333" t="s">
        <v>216</v>
      </c>
      <c r="T333" t="s">
        <v>155</v>
      </c>
      <c r="U333">
        <v>3.5118117379140008E-2</v>
      </c>
      <c r="V333" t="s">
        <v>153</v>
      </c>
    </row>
    <row r="334" spans="9:22" x14ac:dyDescent="0.45">
      <c r="I334" t="s">
        <v>172</v>
      </c>
      <c r="J334" t="s">
        <v>232</v>
      </c>
      <c r="K334">
        <v>6.2176170858505644E-2</v>
      </c>
      <c r="L334" t="s">
        <v>153</v>
      </c>
      <c r="N334" t="s">
        <v>201</v>
      </c>
      <c r="O334" t="s">
        <v>232</v>
      </c>
      <c r="P334">
        <v>2.0863480560973129E-2</v>
      </c>
      <c r="Q334" t="s">
        <v>153</v>
      </c>
      <c r="S334" t="s">
        <v>216</v>
      </c>
      <c r="T334" t="s">
        <v>232</v>
      </c>
      <c r="U334">
        <v>3.5146260209100603E-2</v>
      </c>
      <c r="V334" t="s">
        <v>153</v>
      </c>
    </row>
    <row r="335" spans="9:22" x14ac:dyDescent="0.45">
      <c r="I335" t="s">
        <v>172</v>
      </c>
      <c r="J335" t="s">
        <v>233</v>
      </c>
      <c r="K335">
        <v>0.56086236809147683</v>
      </c>
      <c r="L335" t="s">
        <v>153</v>
      </c>
      <c r="N335" t="s">
        <v>201</v>
      </c>
      <c r="O335" t="s">
        <v>233</v>
      </c>
      <c r="P335">
        <v>0.13682173080460514</v>
      </c>
      <c r="Q335" t="s">
        <v>153</v>
      </c>
      <c r="S335" t="s">
        <v>216</v>
      </c>
      <c r="T335" t="s">
        <v>233</v>
      </c>
      <c r="U335">
        <v>0.24786467326447495</v>
      </c>
      <c r="V335" t="s">
        <v>153</v>
      </c>
    </row>
    <row r="336" spans="9:22" x14ac:dyDescent="0.45">
      <c r="I336" t="s">
        <v>172</v>
      </c>
      <c r="J336" t="s">
        <v>234</v>
      </c>
      <c r="K336">
        <v>4.8331507301729464E-2</v>
      </c>
      <c r="L336" t="s">
        <v>153</v>
      </c>
      <c r="N336" t="s">
        <v>201</v>
      </c>
      <c r="O336" t="s">
        <v>234</v>
      </c>
      <c r="P336">
        <v>2.2185938596630823E-2</v>
      </c>
      <c r="Q336" t="s">
        <v>153</v>
      </c>
      <c r="S336" t="s">
        <v>216</v>
      </c>
      <c r="T336" t="s">
        <v>234</v>
      </c>
      <c r="U336">
        <v>3.3869017026384549E-2</v>
      </c>
      <c r="V336" t="s">
        <v>153</v>
      </c>
    </row>
    <row r="337" spans="9:22" x14ac:dyDescent="0.45">
      <c r="I337" t="s">
        <v>172</v>
      </c>
      <c r="J337" t="s">
        <v>259</v>
      </c>
      <c r="K337">
        <v>2.942912803504413E-2</v>
      </c>
      <c r="L337" t="s">
        <v>153</v>
      </c>
      <c r="N337" t="s">
        <v>201</v>
      </c>
      <c r="O337" t="s">
        <v>259</v>
      </c>
      <c r="P337">
        <v>3.1423610415891069E-2</v>
      </c>
      <c r="Q337" t="s">
        <v>153</v>
      </c>
      <c r="S337" t="s">
        <v>216</v>
      </c>
      <c r="T337" t="s">
        <v>259</v>
      </c>
      <c r="U337">
        <v>3.4380447484869119E-2</v>
      </c>
      <c r="V337" t="s">
        <v>153</v>
      </c>
    </row>
    <row r="338" spans="9:22" x14ac:dyDescent="0.45">
      <c r="I338" t="s">
        <v>172</v>
      </c>
      <c r="J338" t="s">
        <v>260</v>
      </c>
      <c r="K338">
        <v>3.0432280474416351E-3</v>
      </c>
      <c r="L338" t="s">
        <v>153</v>
      </c>
      <c r="N338" t="s">
        <v>201</v>
      </c>
      <c r="O338" t="s">
        <v>260</v>
      </c>
      <c r="P338">
        <v>0.22198948464748577</v>
      </c>
      <c r="Q338" t="s">
        <v>153</v>
      </c>
      <c r="S338" t="s">
        <v>216</v>
      </c>
      <c r="T338" t="s">
        <v>260</v>
      </c>
      <c r="U338">
        <v>0.17169029145491571</v>
      </c>
      <c r="V338" t="s">
        <v>153</v>
      </c>
    </row>
    <row r="339" spans="9:22" x14ac:dyDescent="0.45">
      <c r="I339" t="s">
        <v>172</v>
      </c>
      <c r="J339" t="s">
        <v>156</v>
      </c>
      <c r="K339">
        <v>0</v>
      </c>
      <c r="L339" t="s">
        <v>153</v>
      </c>
      <c r="N339" t="s">
        <v>201</v>
      </c>
      <c r="O339" t="s">
        <v>156</v>
      </c>
      <c r="P339">
        <v>4.7748715088301299E-3</v>
      </c>
      <c r="Q339" t="s">
        <v>153</v>
      </c>
      <c r="S339" t="s">
        <v>216</v>
      </c>
      <c r="T339" t="s">
        <v>156</v>
      </c>
      <c r="U339">
        <v>7.0233318412717604E-4</v>
      </c>
      <c r="V339" t="s">
        <v>153</v>
      </c>
    </row>
    <row r="340" spans="9:22" x14ac:dyDescent="0.45">
      <c r="I340" t="s">
        <v>172</v>
      </c>
      <c r="J340" t="s">
        <v>157</v>
      </c>
      <c r="K340">
        <v>8.565556258052756E-4</v>
      </c>
      <c r="L340" t="s">
        <v>153</v>
      </c>
      <c r="N340" t="s">
        <v>201</v>
      </c>
      <c r="O340" t="s">
        <v>157</v>
      </c>
      <c r="P340">
        <v>6.7664508169997624E-4</v>
      </c>
      <c r="Q340" t="s">
        <v>153</v>
      </c>
      <c r="S340" t="s">
        <v>216</v>
      </c>
      <c r="T340" t="s">
        <v>157</v>
      </c>
      <c r="U340">
        <v>7.5562878579982982E-5</v>
      </c>
      <c r="V340" t="s">
        <v>153</v>
      </c>
    </row>
    <row r="341" spans="9:22" x14ac:dyDescent="0.45">
      <c r="I341" t="s">
        <v>172</v>
      </c>
      <c r="J341" t="s">
        <v>158</v>
      </c>
      <c r="K341">
        <v>1.6514677461981222E-3</v>
      </c>
      <c r="L341" t="s">
        <v>153</v>
      </c>
      <c r="N341" t="s">
        <v>201</v>
      </c>
      <c r="O341" t="s">
        <v>158</v>
      </c>
      <c r="P341">
        <v>8.2493622173582574E-4</v>
      </c>
      <c r="Q341" t="s">
        <v>153</v>
      </c>
      <c r="S341" t="s">
        <v>216</v>
      </c>
      <c r="T341" t="s">
        <v>158</v>
      </c>
      <c r="U341">
        <v>5.2189841928595334E-5</v>
      </c>
      <c r="V341" t="s">
        <v>153</v>
      </c>
    </row>
    <row r="342" spans="9:22" x14ac:dyDescent="0.45">
      <c r="I342" t="s">
        <v>172</v>
      </c>
      <c r="J342" t="s">
        <v>235</v>
      </c>
      <c r="K342">
        <v>2.286941461615274E-3</v>
      </c>
      <c r="L342" t="s">
        <v>153</v>
      </c>
      <c r="N342" t="s">
        <v>201</v>
      </c>
      <c r="O342" t="s">
        <v>235</v>
      </c>
      <c r="P342">
        <v>8.4164263775305455E-4</v>
      </c>
      <c r="Q342" t="s">
        <v>153</v>
      </c>
      <c r="S342" t="s">
        <v>216</v>
      </c>
      <c r="T342" t="s">
        <v>235</v>
      </c>
      <c r="U342">
        <v>5.1050933267637258E-5</v>
      </c>
      <c r="V342" t="s">
        <v>153</v>
      </c>
    </row>
    <row r="343" spans="9:22" x14ac:dyDescent="0.45">
      <c r="I343" t="s">
        <v>172</v>
      </c>
      <c r="J343" t="s">
        <v>236</v>
      </c>
      <c r="K343">
        <v>1.6963524920747763E-2</v>
      </c>
      <c r="L343" t="s">
        <v>153</v>
      </c>
      <c r="N343" t="s">
        <v>201</v>
      </c>
      <c r="O343" t="s">
        <v>236</v>
      </c>
      <c r="P343">
        <v>3.1861828392027633E-3</v>
      </c>
      <c r="Q343" t="s">
        <v>153</v>
      </c>
      <c r="S343" t="s">
        <v>216</v>
      </c>
      <c r="T343" t="s">
        <v>236</v>
      </c>
      <c r="U343">
        <v>4.5826459631108753E-4</v>
      </c>
      <c r="V343" t="s">
        <v>153</v>
      </c>
    </row>
    <row r="344" spans="9:22" x14ac:dyDescent="0.45">
      <c r="I344" t="s">
        <v>172</v>
      </c>
      <c r="J344" t="s">
        <v>237</v>
      </c>
      <c r="K344">
        <v>1.1005228366539133E-3</v>
      </c>
      <c r="L344" t="s">
        <v>153</v>
      </c>
      <c r="N344" t="s">
        <v>201</v>
      </c>
      <c r="O344" t="s">
        <v>237</v>
      </c>
      <c r="P344">
        <v>2.7689392515689468E-4</v>
      </c>
      <c r="Q344" t="s">
        <v>153</v>
      </c>
      <c r="S344" t="s">
        <v>216</v>
      </c>
      <c r="T344" t="s">
        <v>237</v>
      </c>
      <c r="U344">
        <v>5.7420029702509985E-5</v>
      </c>
      <c r="V344" t="s">
        <v>153</v>
      </c>
    </row>
    <row r="345" spans="9:22" x14ac:dyDescent="0.45">
      <c r="I345" t="s">
        <v>172</v>
      </c>
      <c r="J345" t="s">
        <v>261</v>
      </c>
      <c r="K345">
        <v>6.7573771710733644E-4</v>
      </c>
      <c r="L345" t="s">
        <v>153</v>
      </c>
      <c r="N345" t="s">
        <v>201</v>
      </c>
      <c r="O345" t="s">
        <v>261</v>
      </c>
      <c r="P345">
        <v>3.7745892207700308E-4</v>
      </c>
      <c r="Q345" t="s">
        <v>153</v>
      </c>
      <c r="S345" t="s">
        <v>216</v>
      </c>
      <c r="T345" t="s">
        <v>261</v>
      </c>
      <c r="U345">
        <v>7.6233821935534161E-5</v>
      </c>
      <c r="V345" t="s">
        <v>153</v>
      </c>
    </row>
    <row r="346" spans="9:22" x14ac:dyDescent="0.45">
      <c r="I346" t="s">
        <v>172</v>
      </c>
      <c r="J346" t="s">
        <v>262</v>
      </c>
      <c r="K346">
        <v>0</v>
      </c>
      <c r="L346" t="s">
        <v>153</v>
      </c>
      <c r="N346" t="s">
        <v>201</v>
      </c>
      <c r="O346" t="s">
        <v>262</v>
      </c>
      <c r="P346">
        <v>2.7014443862553839E-3</v>
      </c>
      <c r="Q346" t="s">
        <v>153</v>
      </c>
      <c r="S346" t="s">
        <v>216</v>
      </c>
      <c r="T346" t="s">
        <v>262</v>
      </c>
      <c r="U346">
        <v>3.7551900550516408E-4</v>
      </c>
      <c r="V346" t="s">
        <v>153</v>
      </c>
    </row>
    <row r="347" spans="9:22" x14ac:dyDescent="0.45">
      <c r="I347" t="s">
        <v>172</v>
      </c>
      <c r="J347" t="s">
        <v>159</v>
      </c>
      <c r="K347">
        <v>0</v>
      </c>
      <c r="L347" t="s">
        <v>153</v>
      </c>
      <c r="N347" t="s">
        <v>201</v>
      </c>
      <c r="O347" t="s">
        <v>159</v>
      </c>
      <c r="P347">
        <v>1.6007953720173537E-2</v>
      </c>
      <c r="Q347" t="s">
        <v>153</v>
      </c>
      <c r="S347" t="s">
        <v>216</v>
      </c>
      <c r="T347" t="s">
        <v>159</v>
      </c>
      <c r="U347">
        <v>3.2067821436785947E-3</v>
      </c>
      <c r="V347" t="s">
        <v>153</v>
      </c>
    </row>
    <row r="348" spans="9:22" x14ac:dyDescent="0.45">
      <c r="I348" t="s">
        <v>172</v>
      </c>
      <c r="J348" t="s">
        <v>160</v>
      </c>
      <c r="K348">
        <v>2.701492314992511E-3</v>
      </c>
      <c r="L348" t="s">
        <v>153</v>
      </c>
      <c r="N348" t="s">
        <v>201</v>
      </c>
      <c r="O348" t="s">
        <v>160</v>
      </c>
      <c r="P348">
        <v>2.2362172380623506E-3</v>
      </c>
      <c r="Q348" t="s">
        <v>153</v>
      </c>
      <c r="S348" t="s">
        <v>216</v>
      </c>
      <c r="T348" t="s">
        <v>160</v>
      </c>
      <c r="U348">
        <v>6.6361069689133243E-4</v>
      </c>
      <c r="V348" t="s">
        <v>153</v>
      </c>
    </row>
    <row r="349" spans="9:22" x14ac:dyDescent="0.45">
      <c r="I349" t="s">
        <v>172</v>
      </c>
      <c r="J349" t="s">
        <v>161</v>
      </c>
      <c r="K349">
        <v>5.1275265509252606E-3</v>
      </c>
      <c r="L349" t="s">
        <v>153</v>
      </c>
      <c r="N349" t="s">
        <v>201</v>
      </c>
      <c r="O349" t="s">
        <v>161</v>
      </c>
      <c r="P349">
        <v>2.6046909678177584E-3</v>
      </c>
      <c r="Q349" t="s">
        <v>153</v>
      </c>
      <c r="S349" t="s">
        <v>216</v>
      </c>
      <c r="T349" t="s">
        <v>161</v>
      </c>
      <c r="U349">
        <v>7.3643464172209929E-4</v>
      </c>
      <c r="V349" t="s">
        <v>153</v>
      </c>
    </row>
    <row r="350" spans="9:22" x14ac:dyDescent="0.45">
      <c r="I350" t="s">
        <v>172</v>
      </c>
      <c r="J350" t="s">
        <v>238</v>
      </c>
      <c r="K350">
        <v>6.9148606200860269E-3</v>
      </c>
      <c r="L350" t="s">
        <v>153</v>
      </c>
      <c r="N350" t="s">
        <v>201</v>
      </c>
      <c r="O350" t="s">
        <v>238</v>
      </c>
      <c r="P350">
        <v>3.153878726607438E-3</v>
      </c>
      <c r="Q350" t="s">
        <v>153</v>
      </c>
      <c r="S350" t="s">
        <v>216</v>
      </c>
      <c r="T350" t="s">
        <v>238</v>
      </c>
      <c r="U350">
        <v>7.9190284732518455E-4</v>
      </c>
      <c r="V350" t="s">
        <v>153</v>
      </c>
    </row>
    <row r="351" spans="9:22" x14ac:dyDescent="0.45">
      <c r="I351" t="s">
        <v>172</v>
      </c>
      <c r="J351" t="s">
        <v>239</v>
      </c>
      <c r="K351">
        <v>4.8425787820812687E-2</v>
      </c>
      <c r="L351" t="s">
        <v>153</v>
      </c>
      <c r="N351" t="s">
        <v>201</v>
      </c>
      <c r="O351" t="s">
        <v>239</v>
      </c>
      <c r="P351">
        <v>2.0195918612752536E-2</v>
      </c>
      <c r="Q351" t="s">
        <v>153</v>
      </c>
      <c r="S351" t="s">
        <v>216</v>
      </c>
      <c r="T351" t="s">
        <v>239</v>
      </c>
      <c r="U351">
        <v>4.1835253055302222E-3</v>
      </c>
      <c r="V351" t="s">
        <v>153</v>
      </c>
    </row>
    <row r="352" spans="9:22" x14ac:dyDescent="0.45">
      <c r="I352" t="s">
        <v>172</v>
      </c>
      <c r="J352" t="s">
        <v>240</v>
      </c>
      <c r="K352">
        <v>3.6194704448291697E-3</v>
      </c>
      <c r="L352" t="s">
        <v>153</v>
      </c>
      <c r="N352" t="s">
        <v>201</v>
      </c>
      <c r="O352" t="s">
        <v>240</v>
      </c>
      <c r="P352">
        <v>1.5967142729527532E-3</v>
      </c>
      <c r="Q352" t="s">
        <v>153</v>
      </c>
      <c r="S352" t="s">
        <v>216</v>
      </c>
      <c r="T352" t="s">
        <v>240</v>
      </c>
      <c r="U352">
        <v>1.7685099530190588E-4</v>
      </c>
      <c r="V352" t="s">
        <v>153</v>
      </c>
    </row>
    <row r="353" spans="9:22" x14ac:dyDescent="0.45">
      <c r="I353" t="s">
        <v>172</v>
      </c>
      <c r="J353" t="s">
        <v>263</v>
      </c>
      <c r="K353">
        <v>2.2373625119751564E-3</v>
      </c>
      <c r="L353" t="s">
        <v>153</v>
      </c>
      <c r="N353" t="s">
        <v>201</v>
      </c>
      <c r="O353" t="s">
        <v>263</v>
      </c>
      <c r="P353">
        <v>1.9198630042961292E-3</v>
      </c>
      <c r="Q353" t="s">
        <v>153</v>
      </c>
      <c r="S353" t="s">
        <v>216</v>
      </c>
      <c r="T353" t="s">
        <v>263</v>
      </c>
      <c r="U353">
        <v>1.5870602740474223E-4</v>
      </c>
      <c r="V353" t="s">
        <v>153</v>
      </c>
    </row>
    <row r="354" spans="9:22" x14ac:dyDescent="0.45">
      <c r="I354" t="s">
        <v>172</v>
      </c>
      <c r="J354" t="s">
        <v>264</v>
      </c>
      <c r="K354">
        <v>0</v>
      </c>
      <c r="L354" t="s">
        <v>153</v>
      </c>
      <c r="N354" t="s">
        <v>201</v>
      </c>
      <c r="O354" t="s">
        <v>264</v>
      </c>
      <c r="P354">
        <v>1.0507746761949436E-2</v>
      </c>
      <c r="Q354" t="s">
        <v>153</v>
      </c>
      <c r="S354" t="s">
        <v>216</v>
      </c>
      <c r="T354" t="s">
        <v>264</v>
      </c>
      <c r="U354">
        <v>1.4919655698435595E-3</v>
      </c>
      <c r="V354" t="s">
        <v>153</v>
      </c>
    </row>
    <row r="355" spans="9:22" x14ac:dyDescent="0.45">
      <c r="I355" t="s">
        <v>172</v>
      </c>
      <c r="J355" t="s">
        <v>162</v>
      </c>
      <c r="K355">
        <v>0</v>
      </c>
      <c r="L355" t="s">
        <v>153</v>
      </c>
      <c r="N355" t="s">
        <v>201</v>
      </c>
      <c r="O355" t="s">
        <v>162</v>
      </c>
      <c r="P355">
        <v>4.1033254700234709E-2</v>
      </c>
      <c r="Q355" t="s">
        <v>153</v>
      </c>
      <c r="S355" t="s">
        <v>216</v>
      </c>
      <c r="T355" t="s">
        <v>162</v>
      </c>
      <c r="U355">
        <v>2.5681717802819509E-2</v>
      </c>
      <c r="V355" t="s">
        <v>153</v>
      </c>
    </row>
    <row r="356" spans="9:22" x14ac:dyDescent="0.45">
      <c r="I356" t="s">
        <v>172</v>
      </c>
      <c r="J356" t="s">
        <v>163</v>
      </c>
      <c r="K356">
        <v>1.9014501687913479E-3</v>
      </c>
      <c r="L356" t="s">
        <v>153</v>
      </c>
      <c r="N356" t="s">
        <v>201</v>
      </c>
      <c r="O356" t="s">
        <v>163</v>
      </c>
      <c r="P356">
        <v>6.4307299064116068E-3</v>
      </c>
      <c r="Q356" t="s">
        <v>153</v>
      </c>
      <c r="S356" t="s">
        <v>216</v>
      </c>
      <c r="T356" t="s">
        <v>163</v>
      </c>
      <c r="U356">
        <v>3.9658089196872599E-3</v>
      </c>
      <c r="V356" t="s">
        <v>153</v>
      </c>
    </row>
    <row r="357" spans="9:22" x14ac:dyDescent="0.45">
      <c r="I357" t="s">
        <v>172</v>
      </c>
      <c r="J357" t="s">
        <v>164</v>
      </c>
      <c r="K357">
        <v>6.3717215699429794E-3</v>
      </c>
      <c r="L357" t="s">
        <v>153</v>
      </c>
      <c r="N357" t="s">
        <v>201</v>
      </c>
      <c r="O357" t="s">
        <v>164</v>
      </c>
      <c r="P357">
        <v>6.917710327713906E-3</v>
      </c>
      <c r="Q357" t="s">
        <v>153</v>
      </c>
      <c r="S357" t="s">
        <v>216</v>
      </c>
      <c r="T357" t="s">
        <v>164</v>
      </c>
      <c r="U357">
        <v>4.1371021185855226E-3</v>
      </c>
      <c r="V357" t="s">
        <v>153</v>
      </c>
    </row>
    <row r="358" spans="9:22" x14ac:dyDescent="0.45">
      <c r="I358" t="s">
        <v>172</v>
      </c>
      <c r="J358" t="s">
        <v>241</v>
      </c>
      <c r="K358">
        <v>9.1628078042571715E-3</v>
      </c>
      <c r="L358" t="s">
        <v>153</v>
      </c>
      <c r="N358" t="s">
        <v>201</v>
      </c>
      <c r="O358" t="s">
        <v>241</v>
      </c>
      <c r="P358">
        <v>6.8772534890959736E-3</v>
      </c>
      <c r="Q358" t="s">
        <v>153</v>
      </c>
      <c r="S358" t="s">
        <v>216</v>
      </c>
      <c r="T358" t="s">
        <v>241</v>
      </c>
      <c r="U358">
        <v>4.1452781560059925E-3</v>
      </c>
      <c r="V358" t="s">
        <v>153</v>
      </c>
    </row>
    <row r="359" spans="9:22" x14ac:dyDescent="0.45">
      <c r="I359" t="s">
        <v>172</v>
      </c>
      <c r="J359" t="s">
        <v>242</v>
      </c>
      <c r="K359">
        <v>6.7782539286790885E-2</v>
      </c>
      <c r="L359" t="s">
        <v>153</v>
      </c>
      <c r="N359" t="s">
        <v>201</v>
      </c>
      <c r="O359" t="s">
        <v>242</v>
      </c>
      <c r="P359">
        <v>3.0106382162146509E-2</v>
      </c>
      <c r="Q359" t="s">
        <v>153</v>
      </c>
      <c r="S359" t="s">
        <v>216</v>
      </c>
      <c r="T359" t="s">
        <v>242</v>
      </c>
      <c r="U359">
        <v>2.4650080299040523E-2</v>
      </c>
      <c r="V359" t="s">
        <v>153</v>
      </c>
    </row>
    <row r="360" spans="9:22" x14ac:dyDescent="0.45">
      <c r="I360" t="s">
        <v>172</v>
      </c>
      <c r="J360" t="s">
        <v>243</v>
      </c>
      <c r="K360">
        <v>5.3963432196941401E-3</v>
      </c>
      <c r="L360" t="s">
        <v>153</v>
      </c>
      <c r="N360" t="s">
        <v>201</v>
      </c>
      <c r="O360" t="s">
        <v>243</v>
      </c>
      <c r="P360">
        <v>2.1917905312247242E-3</v>
      </c>
      <c r="Q360" t="s">
        <v>153</v>
      </c>
      <c r="S360" t="s">
        <v>216</v>
      </c>
      <c r="T360" t="s">
        <v>243</v>
      </c>
      <c r="U360">
        <v>2.6839861104438548E-3</v>
      </c>
      <c r="V360" t="s">
        <v>153</v>
      </c>
    </row>
    <row r="361" spans="9:22" x14ac:dyDescent="0.45">
      <c r="I361" t="s">
        <v>172</v>
      </c>
      <c r="J361" t="s">
        <v>265</v>
      </c>
      <c r="K361">
        <v>3.131809052957216E-3</v>
      </c>
      <c r="L361" t="s">
        <v>153</v>
      </c>
      <c r="N361" t="s">
        <v>201</v>
      </c>
      <c r="O361" t="s">
        <v>265</v>
      </c>
      <c r="P361">
        <v>2.9459139933219083E-3</v>
      </c>
      <c r="Q361" t="s">
        <v>153</v>
      </c>
      <c r="S361" t="s">
        <v>216</v>
      </c>
      <c r="T361" t="s">
        <v>265</v>
      </c>
      <c r="U361">
        <v>2.819990239707817E-3</v>
      </c>
      <c r="V361" t="s">
        <v>153</v>
      </c>
    </row>
    <row r="362" spans="9:22" x14ac:dyDescent="0.45">
      <c r="I362" t="s">
        <v>172</v>
      </c>
      <c r="J362" t="s">
        <v>266</v>
      </c>
      <c r="K362">
        <v>0</v>
      </c>
      <c r="L362" t="s">
        <v>153</v>
      </c>
      <c r="N362" t="s">
        <v>201</v>
      </c>
      <c r="O362" t="s">
        <v>266</v>
      </c>
      <c r="P362">
        <v>1.9637592503670181E-2</v>
      </c>
      <c r="Q362" t="s">
        <v>153</v>
      </c>
      <c r="S362" t="s">
        <v>216</v>
      </c>
      <c r="T362" t="s">
        <v>266</v>
      </c>
      <c r="U362">
        <v>1.5772167724920523E-2</v>
      </c>
      <c r="V362" t="s">
        <v>153</v>
      </c>
    </row>
    <row r="363" spans="9:22" x14ac:dyDescent="0.45">
      <c r="I363" t="s">
        <v>172</v>
      </c>
      <c r="J363" t="s">
        <v>249</v>
      </c>
      <c r="K363">
        <v>0</v>
      </c>
      <c r="L363" t="s">
        <v>153</v>
      </c>
      <c r="N363" t="s">
        <v>201</v>
      </c>
      <c r="O363" t="s">
        <v>249</v>
      </c>
      <c r="P363">
        <v>3.5161345806663483E-2</v>
      </c>
      <c r="Q363" t="s">
        <v>153</v>
      </c>
      <c r="S363" t="s">
        <v>216</v>
      </c>
      <c r="T363" t="s">
        <v>249</v>
      </c>
      <c r="U363">
        <v>1.4999885513027982E-2</v>
      </c>
      <c r="V363" t="s">
        <v>153</v>
      </c>
    </row>
    <row r="364" spans="9:22" x14ac:dyDescent="0.45">
      <c r="I364" t="s">
        <v>172</v>
      </c>
      <c r="J364" t="s">
        <v>250</v>
      </c>
      <c r="K364">
        <v>1.4733673024582121E-6</v>
      </c>
      <c r="L364" t="s">
        <v>153</v>
      </c>
      <c r="N364" t="s">
        <v>201</v>
      </c>
      <c r="O364" t="s">
        <v>250</v>
      </c>
      <c r="P364">
        <v>4.8089378887986051E-3</v>
      </c>
      <c r="Q364" t="s">
        <v>153</v>
      </c>
      <c r="S364" t="s">
        <v>216</v>
      </c>
      <c r="T364" t="s">
        <v>250</v>
      </c>
      <c r="U364">
        <v>2.5011265231355351E-3</v>
      </c>
      <c r="V364" t="s">
        <v>153</v>
      </c>
    </row>
    <row r="365" spans="9:22" x14ac:dyDescent="0.45">
      <c r="I365" t="s">
        <v>172</v>
      </c>
      <c r="J365" t="s">
        <v>251</v>
      </c>
      <c r="K365">
        <v>2.8096954491444548E-3</v>
      </c>
      <c r="L365" t="s">
        <v>153</v>
      </c>
      <c r="N365" t="s">
        <v>201</v>
      </c>
      <c r="O365" t="s">
        <v>251</v>
      </c>
      <c r="P365">
        <v>4.8866367899809311E-3</v>
      </c>
      <c r="Q365" t="s">
        <v>153</v>
      </c>
      <c r="S365" t="s">
        <v>216</v>
      </c>
      <c r="T365" t="s">
        <v>251</v>
      </c>
      <c r="U365">
        <v>2.8088171028223864E-3</v>
      </c>
      <c r="V365" t="s">
        <v>153</v>
      </c>
    </row>
    <row r="366" spans="9:22" x14ac:dyDescent="0.45">
      <c r="I366" t="s">
        <v>172</v>
      </c>
      <c r="J366" t="s">
        <v>252</v>
      </c>
      <c r="K366">
        <v>4.2440201741682313E-3</v>
      </c>
      <c r="L366" t="s">
        <v>153</v>
      </c>
      <c r="N366" t="s">
        <v>201</v>
      </c>
      <c r="O366" t="s">
        <v>252</v>
      </c>
      <c r="P366">
        <v>4.7863136704402575E-3</v>
      </c>
      <c r="Q366" t="s">
        <v>153</v>
      </c>
      <c r="S366" t="s">
        <v>216</v>
      </c>
      <c r="T366" t="s">
        <v>252</v>
      </c>
      <c r="U366">
        <v>2.9203022280699055E-3</v>
      </c>
      <c r="V366" t="s">
        <v>153</v>
      </c>
    </row>
    <row r="367" spans="9:22" x14ac:dyDescent="0.45">
      <c r="I367" t="s">
        <v>172</v>
      </c>
      <c r="J367" t="s">
        <v>253</v>
      </c>
      <c r="K367">
        <v>3.8617934578612623E-2</v>
      </c>
      <c r="L367" t="s">
        <v>153</v>
      </c>
      <c r="N367" t="s">
        <v>201</v>
      </c>
      <c r="O367" t="s">
        <v>253</v>
      </c>
      <c r="P367">
        <v>2.1414787988237392E-2</v>
      </c>
      <c r="Q367" t="s">
        <v>153</v>
      </c>
      <c r="S367" t="s">
        <v>216</v>
      </c>
      <c r="T367" t="s">
        <v>253</v>
      </c>
      <c r="U367">
        <v>1.7360570949065523E-2</v>
      </c>
      <c r="V367" t="s">
        <v>153</v>
      </c>
    </row>
    <row r="368" spans="9:22" x14ac:dyDescent="0.45">
      <c r="I368" t="s">
        <v>172</v>
      </c>
      <c r="J368" t="s">
        <v>254</v>
      </c>
      <c r="K368">
        <v>4.0415794973565726E-3</v>
      </c>
      <c r="L368" t="s">
        <v>153</v>
      </c>
      <c r="N368" t="s">
        <v>201</v>
      </c>
      <c r="O368" t="s">
        <v>254</v>
      </c>
      <c r="P368">
        <v>1.710274747940927E-3</v>
      </c>
      <c r="Q368" t="s">
        <v>153</v>
      </c>
      <c r="S368" t="s">
        <v>216</v>
      </c>
      <c r="T368" t="s">
        <v>254</v>
      </c>
      <c r="U368">
        <v>1.5469999055490109E-3</v>
      </c>
      <c r="V368" t="s">
        <v>153</v>
      </c>
    </row>
    <row r="369" spans="9:22" x14ac:dyDescent="0.45">
      <c r="I369" t="s">
        <v>172</v>
      </c>
      <c r="J369" t="s">
        <v>267</v>
      </c>
      <c r="K369">
        <v>2.1380984615123342E-3</v>
      </c>
      <c r="L369" t="s">
        <v>153</v>
      </c>
      <c r="N369" t="s">
        <v>201</v>
      </c>
      <c r="O369" t="s">
        <v>267</v>
      </c>
      <c r="P369">
        <v>2.5787657655120515E-3</v>
      </c>
      <c r="Q369" t="s">
        <v>153</v>
      </c>
      <c r="S369" t="s">
        <v>216</v>
      </c>
      <c r="T369" t="s">
        <v>267</v>
      </c>
      <c r="U369">
        <v>1.6991286351429433E-3</v>
      </c>
      <c r="V369" t="s">
        <v>153</v>
      </c>
    </row>
    <row r="370" spans="9:22" x14ac:dyDescent="0.45">
      <c r="I370" t="s">
        <v>172</v>
      </c>
      <c r="J370" t="s">
        <v>268</v>
      </c>
      <c r="K370">
        <v>0</v>
      </c>
      <c r="L370" t="s">
        <v>153</v>
      </c>
      <c r="N370" t="s">
        <v>201</v>
      </c>
      <c r="O370" t="s">
        <v>268</v>
      </c>
      <c r="P370">
        <v>1.7826909670034998E-2</v>
      </c>
      <c r="Q370" t="s">
        <v>153</v>
      </c>
      <c r="S370" t="s">
        <v>216</v>
      </c>
      <c r="T370" t="s">
        <v>268</v>
      </c>
      <c r="U370">
        <v>1.0887451274572834E-2</v>
      </c>
      <c r="V370" t="s">
        <v>153</v>
      </c>
    </row>
    <row r="371" spans="9:22" x14ac:dyDescent="0.45">
      <c r="I371" t="s">
        <v>173</v>
      </c>
      <c r="J371" t="s">
        <v>152</v>
      </c>
      <c r="K371">
        <v>0</v>
      </c>
      <c r="L371" t="s">
        <v>153</v>
      </c>
      <c r="N371" t="s">
        <v>202</v>
      </c>
      <c r="O371" t="s">
        <v>152</v>
      </c>
      <c r="P371">
        <v>0.14579578291235037</v>
      </c>
      <c r="Q371" t="s">
        <v>153</v>
      </c>
      <c r="S371" t="s">
        <v>217</v>
      </c>
      <c r="T371" t="s">
        <v>152</v>
      </c>
      <c r="U371">
        <v>0.25686604212758057</v>
      </c>
      <c r="V371" t="s">
        <v>153</v>
      </c>
    </row>
    <row r="372" spans="9:22" x14ac:dyDescent="0.45">
      <c r="I372" t="s">
        <v>173</v>
      </c>
      <c r="J372" t="s">
        <v>154</v>
      </c>
      <c r="K372">
        <v>1.6154465824501866E-2</v>
      </c>
      <c r="L372" t="s">
        <v>153</v>
      </c>
      <c r="N372" t="s">
        <v>202</v>
      </c>
      <c r="O372" t="s">
        <v>154</v>
      </c>
      <c r="P372">
        <v>1.4278225980974991E-2</v>
      </c>
      <c r="Q372" t="s">
        <v>153</v>
      </c>
      <c r="S372" t="s">
        <v>217</v>
      </c>
      <c r="T372" t="s">
        <v>154</v>
      </c>
      <c r="U372">
        <v>3.6273197631655291E-2</v>
      </c>
      <c r="V372" t="s">
        <v>153</v>
      </c>
    </row>
    <row r="373" spans="9:22" x14ac:dyDescent="0.45">
      <c r="I373" t="s">
        <v>173</v>
      </c>
      <c r="J373" t="s">
        <v>155</v>
      </c>
      <c r="K373">
        <v>4.3734228971762087E-2</v>
      </c>
      <c r="L373" t="s">
        <v>153</v>
      </c>
      <c r="N373" t="s">
        <v>202</v>
      </c>
      <c r="O373" t="s">
        <v>155</v>
      </c>
      <c r="P373">
        <v>1.5102254623815132E-2</v>
      </c>
      <c r="Q373" t="s">
        <v>153</v>
      </c>
      <c r="S373" t="s">
        <v>217</v>
      </c>
      <c r="T373" t="s">
        <v>155</v>
      </c>
      <c r="U373">
        <v>3.636337695403094E-2</v>
      </c>
      <c r="V373" t="s">
        <v>153</v>
      </c>
    </row>
    <row r="374" spans="9:22" x14ac:dyDescent="0.45">
      <c r="I374" t="s">
        <v>173</v>
      </c>
      <c r="J374" t="s">
        <v>232</v>
      </c>
      <c r="K374">
        <v>6.3521020636199216E-2</v>
      </c>
      <c r="L374" t="s">
        <v>153</v>
      </c>
      <c r="N374" t="s">
        <v>202</v>
      </c>
      <c r="O374" t="s">
        <v>232</v>
      </c>
      <c r="P374">
        <v>1.9190573780007783E-2</v>
      </c>
      <c r="Q374" t="s">
        <v>153</v>
      </c>
      <c r="S374" t="s">
        <v>217</v>
      </c>
      <c r="T374" t="s">
        <v>232</v>
      </c>
      <c r="U374">
        <v>3.5943841079603002E-2</v>
      </c>
      <c r="V374" t="s">
        <v>153</v>
      </c>
    </row>
    <row r="375" spans="9:22" x14ac:dyDescent="0.45">
      <c r="I375" t="s">
        <v>173</v>
      </c>
      <c r="J375" t="s">
        <v>233</v>
      </c>
      <c r="K375">
        <v>0.56531632671302878</v>
      </c>
      <c r="L375" t="s">
        <v>153</v>
      </c>
      <c r="N375" t="s">
        <v>202</v>
      </c>
      <c r="O375" t="s">
        <v>233</v>
      </c>
      <c r="P375">
        <v>0.23864317901345505</v>
      </c>
      <c r="Q375" t="s">
        <v>153</v>
      </c>
      <c r="S375" t="s">
        <v>217</v>
      </c>
      <c r="T375" t="s">
        <v>233</v>
      </c>
      <c r="U375">
        <v>0.25313286515184513</v>
      </c>
      <c r="V375" t="s">
        <v>153</v>
      </c>
    </row>
    <row r="376" spans="9:22" x14ac:dyDescent="0.45">
      <c r="I376" t="s">
        <v>173</v>
      </c>
      <c r="J376" t="s">
        <v>234</v>
      </c>
      <c r="K376">
        <v>4.9316471900608318E-2</v>
      </c>
      <c r="L376" t="s">
        <v>153</v>
      </c>
      <c r="N376" t="s">
        <v>202</v>
      </c>
      <c r="O376" t="s">
        <v>234</v>
      </c>
      <c r="P376">
        <v>3.7835131276073165E-2</v>
      </c>
      <c r="Q376" t="s">
        <v>153</v>
      </c>
      <c r="S376" t="s">
        <v>217</v>
      </c>
      <c r="T376" t="s">
        <v>234</v>
      </c>
      <c r="U376">
        <v>3.4632688334529434E-2</v>
      </c>
      <c r="V376" t="s">
        <v>153</v>
      </c>
    </row>
    <row r="377" spans="9:22" x14ac:dyDescent="0.45">
      <c r="I377" t="s">
        <v>173</v>
      </c>
      <c r="J377" t="s">
        <v>259</v>
      </c>
      <c r="K377">
        <v>2.8933343279700891E-2</v>
      </c>
      <c r="L377" t="s">
        <v>153</v>
      </c>
      <c r="N377" t="s">
        <v>202</v>
      </c>
      <c r="O377" t="s">
        <v>259</v>
      </c>
      <c r="P377">
        <v>3.7925966537838467E-2</v>
      </c>
      <c r="Q377" t="s">
        <v>153</v>
      </c>
      <c r="S377" t="s">
        <v>217</v>
      </c>
      <c r="T377" t="s">
        <v>259</v>
      </c>
      <c r="U377">
        <v>3.5144223964452263E-2</v>
      </c>
      <c r="V377" t="s">
        <v>153</v>
      </c>
    </row>
    <row r="378" spans="9:22" x14ac:dyDescent="0.45">
      <c r="I378" t="s">
        <v>173</v>
      </c>
      <c r="J378" t="s">
        <v>260</v>
      </c>
      <c r="K378">
        <v>3.046270461335402E-3</v>
      </c>
      <c r="L378" t="s">
        <v>153</v>
      </c>
      <c r="N378" t="s">
        <v>202</v>
      </c>
      <c r="O378" t="s">
        <v>260</v>
      </c>
      <c r="P378">
        <v>0.15733668277401097</v>
      </c>
      <c r="Q378" t="s">
        <v>153</v>
      </c>
      <c r="S378" t="s">
        <v>217</v>
      </c>
      <c r="T378" t="s">
        <v>260</v>
      </c>
      <c r="U378">
        <v>0.17281129577151225</v>
      </c>
      <c r="V378" t="s">
        <v>153</v>
      </c>
    </row>
    <row r="379" spans="9:22" x14ac:dyDescent="0.45">
      <c r="I379" t="s">
        <v>173</v>
      </c>
      <c r="J379" t="s">
        <v>156</v>
      </c>
      <c r="K379">
        <v>0</v>
      </c>
      <c r="L379" t="s">
        <v>153</v>
      </c>
      <c r="N379" t="s">
        <v>202</v>
      </c>
      <c r="O379" t="s">
        <v>156</v>
      </c>
      <c r="P379">
        <v>1.7420267511347605E-3</v>
      </c>
      <c r="Q379" t="s">
        <v>153</v>
      </c>
      <c r="S379" t="s">
        <v>217</v>
      </c>
      <c r="T379" t="s">
        <v>156</v>
      </c>
      <c r="U379">
        <v>1.1640786551651095E-3</v>
      </c>
      <c r="V379" t="s">
        <v>153</v>
      </c>
    </row>
    <row r="380" spans="9:22" x14ac:dyDescent="0.45">
      <c r="I380" t="s">
        <v>173</v>
      </c>
      <c r="J380" t="s">
        <v>157</v>
      </c>
      <c r="K380">
        <v>7.3090686903094966E-4</v>
      </c>
      <c r="L380" t="s">
        <v>153</v>
      </c>
      <c r="N380" t="s">
        <v>202</v>
      </c>
      <c r="O380" t="s">
        <v>157</v>
      </c>
      <c r="P380">
        <v>2.6679996996264131E-4</v>
      </c>
      <c r="Q380" t="s">
        <v>153</v>
      </c>
      <c r="S380" t="s">
        <v>217</v>
      </c>
      <c r="T380" t="s">
        <v>157</v>
      </c>
      <c r="U380">
        <v>8.0999698067356078E-5</v>
      </c>
      <c r="V380" t="s">
        <v>153</v>
      </c>
    </row>
    <row r="381" spans="9:22" x14ac:dyDescent="0.45">
      <c r="I381" t="s">
        <v>173</v>
      </c>
      <c r="J381" t="s">
        <v>158</v>
      </c>
      <c r="K381">
        <v>1.5295704292715762E-3</v>
      </c>
      <c r="L381" t="s">
        <v>153</v>
      </c>
      <c r="N381" t="s">
        <v>202</v>
      </c>
      <c r="O381" t="s">
        <v>158</v>
      </c>
      <c r="P381">
        <v>2.4307929567530433E-4</v>
      </c>
      <c r="Q381" t="s">
        <v>153</v>
      </c>
      <c r="S381" t="s">
        <v>217</v>
      </c>
      <c r="T381" t="s">
        <v>158</v>
      </c>
      <c r="U381">
        <v>6.4238434772315579E-5</v>
      </c>
      <c r="V381" t="s">
        <v>153</v>
      </c>
    </row>
    <row r="382" spans="9:22" x14ac:dyDescent="0.45">
      <c r="I382" t="s">
        <v>173</v>
      </c>
      <c r="J382" t="s">
        <v>235</v>
      </c>
      <c r="K382">
        <v>2.1319230522096545E-3</v>
      </c>
      <c r="L382" t="s">
        <v>153</v>
      </c>
      <c r="N382" t="s">
        <v>202</v>
      </c>
      <c r="O382" t="s">
        <v>235</v>
      </c>
      <c r="P382">
        <v>2.5452354815965259E-4</v>
      </c>
      <c r="Q382" t="s">
        <v>153</v>
      </c>
      <c r="S382" t="s">
        <v>217</v>
      </c>
      <c r="T382" t="s">
        <v>235</v>
      </c>
      <c r="U382">
        <v>6.5825421345383484E-5</v>
      </c>
      <c r="V382" t="s">
        <v>153</v>
      </c>
    </row>
    <row r="383" spans="9:22" x14ac:dyDescent="0.45">
      <c r="I383" t="s">
        <v>173</v>
      </c>
      <c r="J383" t="s">
        <v>236</v>
      </c>
      <c r="K383">
        <v>1.5017254066062498E-2</v>
      </c>
      <c r="L383" t="s">
        <v>153</v>
      </c>
      <c r="N383" t="s">
        <v>202</v>
      </c>
      <c r="O383" t="s">
        <v>236</v>
      </c>
      <c r="P383">
        <v>2.0215713533154735E-3</v>
      </c>
      <c r="Q383" t="s">
        <v>153</v>
      </c>
      <c r="S383" t="s">
        <v>217</v>
      </c>
      <c r="T383" t="s">
        <v>236</v>
      </c>
      <c r="U383">
        <v>5.0831227624675596E-4</v>
      </c>
      <c r="V383" t="s">
        <v>153</v>
      </c>
    </row>
    <row r="384" spans="9:22" x14ac:dyDescent="0.45">
      <c r="I384" t="s">
        <v>173</v>
      </c>
      <c r="J384" t="s">
        <v>237</v>
      </c>
      <c r="K384">
        <v>1.1374417537653176E-3</v>
      </c>
      <c r="L384" t="s">
        <v>153</v>
      </c>
      <c r="N384" t="s">
        <v>202</v>
      </c>
      <c r="O384" t="s">
        <v>237</v>
      </c>
      <c r="P384">
        <v>7.848996342829267E-5</v>
      </c>
      <c r="Q384" t="s">
        <v>153</v>
      </c>
      <c r="S384" t="s">
        <v>217</v>
      </c>
      <c r="T384" t="s">
        <v>237</v>
      </c>
      <c r="U384">
        <v>9.8127866634973871E-5</v>
      </c>
      <c r="V384" t="s">
        <v>153</v>
      </c>
    </row>
    <row r="385" spans="9:22" x14ac:dyDescent="0.45">
      <c r="I385" t="s">
        <v>173</v>
      </c>
      <c r="J385" t="s">
        <v>261</v>
      </c>
      <c r="K385">
        <v>6.4359726532273057E-4</v>
      </c>
      <c r="L385" t="s">
        <v>153</v>
      </c>
      <c r="N385" t="s">
        <v>202</v>
      </c>
      <c r="O385" t="s">
        <v>261</v>
      </c>
      <c r="P385">
        <v>9.4925291313002966E-5</v>
      </c>
      <c r="Q385" t="s">
        <v>153</v>
      </c>
      <c r="S385" t="s">
        <v>217</v>
      </c>
      <c r="T385" t="s">
        <v>261</v>
      </c>
      <c r="U385">
        <v>1.1156820439790538E-4</v>
      </c>
      <c r="V385" t="s">
        <v>153</v>
      </c>
    </row>
    <row r="386" spans="9:22" x14ac:dyDescent="0.45">
      <c r="I386" t="s">
        <v>173</v>
      </c>
      <c r="J386" t="s">
        <v>262</v>
      </c>
      <c r="K386">
        <v>0</v>
      </c>
      <c r="L386" t="s">
        <v>153</v>
      </c>
      <c r="N386" t="s">
        <v>202</v>
      </c>
      <c r="O386" t="s">
        <v>262</v>
      </c>
      <c r="P386">
        <v>4.9135463751125976E-4</v>
      </c>
      <c r="Q386" t="s">
        <v>153</v>
      </c>
      <c r="S386" t="s">
        <v>217</v>
      </c>
      <c r="T386" t="s">
        <v>262</v>
      </c>
      <c r="U386">
        <v>5.3408116798136704E-4</v>
      </c>
      <c r="V386" t="s">
        <v>153</v>
      </c>
    </row>
    <row r="387" spans="9:22" x14ac:dyDescent="0.45">
      <c r="I387" t="s">
        <v>173</v>
      </c>
      <c r="J387" t="s">
        <v>159</v>
      </c>
      <c r="K387">
        <v>0</v>
      </c>
      <c r="L387" t="s">
        <v>153</v>
      </c>
      <c r="N387" t="s">
        <v>202</v>
      </c>
      <c r="O387" t="s">
        <v>159</v>
      </c>
      <c r="P387">
        <v>2.1677924871564239E-2</v>
      </c>
      <c r="Q387" t="s">
        <v>153</v>
      </c>
      <c r="S387" t="s">
        <v>217</v>
      </c>
      <c r="T387" t="s">
        <v>159</v>
      </c>
      <c r="U387">
        <v>2.3152574822096388E-3</v>
      </c>
      <c r="V387" t="s">
        <v>153</v>
      </c>
    </row>
    <row r="388" spans="9:22" x14ac:dyDescent="0.45">
      <c r="I388" t="s">
        <v>173</v>
      </c>
      <c r="J388" t="s">
        <v>160</v>
      </c>
      <c r="K388">
        <v>2.518744499411705E-3</v>
      </c>
      <c r="L388" t="s">
        <v>153</v>
      </c>
      <c r="N388" t="s">
        <v>202</v>
      </c>
      <c r="O388" t="s">
        <v>160</v>
      </c>
      <c r="P388">
        <v>3.3268252725970745E-3</v>
      </c>
      <c r="Q388" t="s">
        <v>153</v>
      </c>
      <c r="S388" t="s">
        <v>217</v>
      </c>
      <c r="T388" t="s">
        <v>160</v>
      </c>
      <c r="U388">
        <v>4.7463112577523104E-4</v>
      </c>
      <c r="V388" t="s">
        <v>153</v>
      </c>
    </row>
    <row r="389" spans="9:22" x14ac:dyDescent="0.45">
      <c r="I389" t="s">
        <v>173</v>
      </c>
      <c r="J389" t="s">
        <v>161</v>
      </c>
      <c r="K389">
        <v>4.8203363469849127E-3</v>
      </c>
      <c r="L389" t="s">
        <v>153</v>
      </c>
      <c r="N389" t="s">
        <v>202</v>
      </c>
      <c r="O389" t="s">
        <v>161</v>
      </c>
      <c r="P389">
        <v>3.5732260812963231E-3</v>
      </c>
      <c r="Q389" t="s">
        <v>153</v>
      </c>
      <c r="S389" t="s">
        <v>217</v>
      </c>
      <c r="T389" t="s">
        <v>161</v>
      </c>
      <c r="U389">
        <v>5.4316854703032947E-4</v>
      </c>
      <c r="V389" t="s">
        <v>153</v>
      </c>
    </row>
    <row r="390" spans="9:22" x14ac:dyDescent="0.45">
      <c r="I390" t="s">
        <v>173</v>
      </c>
      <c r="J390" t="s">
        <v>238</v>
      </c>
      <c r="K390">
        <v>6.5264326768777236E-3</v>
      </c>
      <c r="L390" t="s">
        <v>153</v>
      </c>
      <c r="N390" t="s">
        <v>202</v>
      </c>
      <c r="O390" t="s">
        <v>238</v>
      </c>
      <c r="P390">
        <v>4.6525017220735015E-3</v>
      </c>
      <c r="Q390" t="s">
        <v>153</v>
      </c>
      <c r="S390" t="s">
        <v>217</v>
      </c>
      <c r="T390" t="s">
        <v>238</v>
      </c>
      <c r="U390">
        <v>5.8635371889686615E-4</v>
      </c>
      <c r="V390" t="s">
        <v>153</v>
      </c>
    </row>
    <row r="391" spans="9:22" x14ac:dyDescent="0.45">
      <c r="I391" t="s">
        <v>173</v>
      </c>
      <c r="J391" t="s">
        <v>239</v>
      </c>
      <c r="K391">
        <v>4.7005418236030605E-2</v>
      </c>
      <c r="L391" t="s">
        <v>153</v>
      </c>
      <c r="N391" t="s">
        <v>202</v>
      </c>
      <c r="O391" t="s">
        <v>239</v>
      </c>
      <c r="P391">
        <v>2.3964715124158154E-2</v>
      </c>
      <c r="Q391" t="s">
        <v>153</v>
      </c>
      <c r="S391" t="s">
        <v>217</v>
      </c>
      <c r="T391" t="s">
        <v>239</v>
      </c>
      <c r="U391">
        <v>3.2463941845307727E-3</v>
      </c>
      <c r="V391" t="s">
        <v>153</v>
      </c>
    </row>
    <row r="392" spans="9:22" x14ac:dyDescent="0.45">
      <c r="I392" t="s">
        <v>173</v>
      </c>
      <c r="J392" t="s">
        <v>240</v>
      </c>
      <c r="K392">
        <v>3.5699572937167986E-3</v>
      </c>
      <c r="L392" t="s">
        <v>153</v>
      </c>
      <c r="N392" t="s">
        <v>202</v>
      </c>
      <c r="O392" t="s">
        <v>240</v>
      </c>
      <c r="P392">
        <v>1.3107329490770281E-3</v>
      </c>
      <c r="Q392" t="s">
        <v>153</v>
      </c>
      <c r="S392" t="s">
        <v>217</v>
      </c>
      <c r="T392" t="s">
        <v>240</v>
      </c>
      <c r="U392">
        <v>1.3971071693877576E-4</v>
      </c>
      <c r="V392" t="s">
        <v>153</v>
      </c>
    </row>
    <row r="393" spans="9:22" x14ac:dyDescent="0.45">
      <c r="I393" t="s">
        <v>173</v>
      </c>
      <c r="J393" t="s">
        <v>263</v>
      </c>
      <c r="K393">
        <v>2.2077624815135689E-3</v>
      </c>
      <c r="L393" t="s">
        <v>153</v>
      </c>
      <c r="N393" t="s">
        <v>202</v>
      </c>
      <c r="O393" t="s">
        <v>263</v>
      </c>
      <c r="P393">
        <v>1.5083518549115398E-3</v>
      </c>
      <c r="Q393" t="s">
        <v>153</v>
      </c>
      <c r="S393" t="s">
        <v>217</v>
      </c>
      <c r="T393" t="s">
        <v>263</v>
      </c>
      <c r="U393">
        <v>1.3109578605972593E-4</v>
      </c>
      <c r="V393" t="s">
        <v>153</v>
      </c>
    </row>
    <row r="394" spans="9:22" x14ac:dyDescent="0.45">
      <c r="I394" t="s">
        <v>173</v>
      </c>
      <c r="J394" t="s">
        <v>264</v>
      </c>
      <c r="K394">
        <v>0</v>
      </c>
      <c r="L394" t="s">
        <v>153</v>
      </c>
      <c r="N394" t="s">
        <v>202</v>
      </c>
      <c r="O394" t="s">
        <v>264</v>
      </c>
      <c r="P394">
        <v>1.3428300302761813E-2</v>
      </c>
      <c r="Q394" t="s">
        <v>153</v>
      </c>
      <c r="S394" t="s">
        <v>217</v>
      </c>
      <c r="T394" t="s">
        <v>264</v>
      </c>
      <c r="U394">
        <v>1.1540645306139135E-3</v>
      </c>
      <c r="V394" t="s">
        <v>153</v>
      </c>
    </row>
    <row r="395" spans="9:22" x14ac:dyDescent="0.45">
      <c r="I395" t="s">
        <v>173</v>
      </c>
      <c r="J395" t="s">
        <v>162</v>
      </c>
      <c r="K395">
        <v>0</v>
      </c>
      <c r="L395" t="s">
        <v>153</v>
      </c>
      <c r="N395" t="s">
        <v>202</v>
      </c>
      <c r="O395" t="s">
        <v>162</v>
      </c>
      <c r="P395">
        <v>4.437954275285759E-2</v>
      </c>
      <c r="Q395" t="s">
        <v>153</v>
      </c>
      <c r="S395" t="s">
        <v>217</v>
      </c>
      <c r="T395" t="s">
        <v>162</v>
      </c>
      <c r="U395">
        <v>2.3509206409155357E-2</v>
      </c>
      <c r="V395" t="s">
        <v>153</v>
      </c>
    </row>
    <row r="396" spans="9:22" x14ac:dyDescent="0.45">
      <c r="I396" t="s">
        <v>173</v>
      </c>
      <c r="J396" t="s">
        <v>163</v>
      </c>
      <c r="K396">
        <v>1.6201566615508018E-3</v>
      </c>
      <c r="L396" t="s">
        <v>153</v>
      </c>
      <c r="N396" t="s">
        <v>202</v>
      </c>
      <c r="O396" t="s">
        <v>163</v>
      </c>
      <c r="P396">
        <v>8.1001069830162111E-3</v>
      </c>
      <c r="Q396" t="s">
        <v>153</v>
      </c>
      <c r="S396" t="s">
        <v>217</v>
      </c>
      <c r="T396" t="s">
        <v>163</v>
      </c>
      <c r="U396">
        <v>3.8873991590987751E-3</v>
      </c>
      <c r="V396" t="s">
        <v>153</v>
      </c>
    </row>
    <row r="397" spans="9:22" x14ac:dyDescent="0.45">
      <c r="I397" t="s">
        <v>173</v>
      </c>
      <c r="J397" t="s">
        <v>164</v>
      </c>
      <c r="K397">
        <v>6.3641284465608978E-3</v>
      </c>
      <c r="L397" t="s">
        <v>153</v>
      </c>
      <c r="N397" t="s">
        <v>202</v>
      </c>
      <c r="O397" t="s">
        <v>164</v>
      </c>
      <c r="P397">
        <v>7.9740682652420306E-3</v>
      </c>
      <c r="Q397" t="s">
        <v>153</v>
      </c>
      <c r="S397" t="s">
        <v>217</v>
      </c>
      <c r="T397" t="s">
        <v>164</v>
      </c>
      <c r="U397">
        <v>4.0264209645397824E-3</v>
      </c>
      <c r="V397" t="s">
        <v>153</v>
      </c>
    </row>
    <row r="398" spans="9:22" x14ac:dyDescent="0.45">
      <c r="I398" t="s">
        <v>173</v>
      </c>
      <c r="J398" t="s">
        <v>241</v>
      </c>
      <c r="K398">
        <v>8.9137670872165096E-3</v>
      </c>
      <c r="L398" t="s">
        <v>153</v>
      </c>
      <c r="N398" t="s">
        <v>202</v>
      </c>
      <c r="O398" t="s">
        <v>241</v>
      </c>
      <c r="P398">
        <v>8.3164925474966712E-3</v>
      </c>
      <c r="Q398" t="s">
        <v>153</v>
      </c>
      <c r="S398" t="s">
        <v>217</v>
      </c>
      <c r="T398" t="s">
        <v>241</v>
      </c>
      <c r="U398">
        <v>3.9683189801788636E-3</v>
      </c>
      <c r="V398" t="s">
        <v>153</v>
      </c>
    </row>
    <row r="399" spans="9:22" x14ac:dyDescent="0.45">
      <c r="I399" t="s">
        <v>173</v>
      </c>
      <c r="J399" t="s">
        <v>242</v>
      </c>
      <c r="K399">
        <v>6.4339668059687521E-2</v>
      </c>
      <c r="L399" t="s">
        <v>153</v>
      </c>
      <c r="N399" t="s">
        <v>202</v>
      </c>
      <c r="O399" t="s">
        <v>242</v>
      </c>
      <c r="P399">
        <v>3.7690391481447927E-2</v>
      </c>
      <c r="Q399" t="s">
        <v>153</v>
      </c>
      <c r="S399" t="s">
        <v>217</v>
      </c>
      <c r="T399" t="s">
        <v>242</v>
      </c>
      <c r="U399">
        <v>2.2533088968189438E-2</v>
      </c>
      <c r="V399" t="s">
        <v>153</v>
      </c>
    </row>
    <row r="400" spans="9:22" x14ac:dyDescent="0.45">
      <c r="I400" t="s">
        <v>173</v>
      </c>
      <c r="J400" t="s">
        <v>243</v>
      </c>
      <c r="K400">
        <v>5.1938931566457196E-3</v>
      </c>
      <c r="L400" t="s">
        <v>153</v>
      </c>
      <c r="N400" t="s">
        <v>202</v>
      </c>
      <c r="O400" t="s">
        <v>243</v>
      </c>
      <c r="P400">
        <v>2.6066167847326712E-3</v>
      </c>
      <c r="Q400" t="s">
        <v>153</v>
      </c>
      <c r="S400" t="s">
        <v>217</v>
      </c>
      <c r="T400" t="s">
        <v>243</v>
      </c>
      <c r="U400">
        <v>2.2122797569035764E-3</v>
      </c>
      <c r="V400" t="s">
        <v>153</v>
      </c>
    </row>
    <row r="401" spans="9:22" x14ac:dyDescent="0.45">
      <c r="I401" t="s">
        <v>173</v>
      </c>
      <c r="J401" t="s">
        <v>265</v>
      </c>
      <c r="K401">
        <v>3.4393981000087198E-3</v>
      </c>
      <c r="L401" t="s">
        <v>153</v>
      </c>
      <c r="N401" t="s">
        <v>202</v>
      </c>
      <c r="O401" t="s">
        <v>265</v>
      </c>
      <c r="P401">
        <v>2.8474298785832216E-3</v>
      </c>
      <c r="Q401" t="s">
        <v>153</v>
      </c>
      <c r="S401" t="s">
        <v>217</v>
      </c>
      <c r="T401" t="s">
        <v>265</v>
      </c>
      <c r="U401">
        <v>2.1721728268688416E-3</v>
      </c>
      <c r="V401" t="s">
        <v>153</v>
      </c>
    </row>
    <row r="402" spans="9:22" x14ac:dyDescent="0.45">
      <c r="I402" t="s">
        <v>173</v>
      </c>
      <c r="J402" t="s">
        <v>266</v>
      </c>
      <c r="K402">
        <v>0</v>
      </c>
      <c r="L402" t="s">
        <v>153</v>
      </c>
      <c r="N402" t="s">
        <v>202</v>
      </c>
      <c r="O402" t="s">
        <v>266</v>
      </c>
      <c r="P402">
        <v>1.7873046785889555E-2</v>
      </c>
      <c r="Q402" t="s">
        <v>153</v>
      </c>
      <c r="S402" t="s">
        <v>217</v>
      </c>
      <c r="T402" t="s">
        <v>266</v>
      </c>
      <c r="U402">
        <v>1.3697971869739657E-2</v>
      </c>
      <c r="V402" t="s">
        <v>153</v>
      </c>
    </row>
    <row r="403" spans="9:22" x14ac:dyDescent="0.45">
      <c r="I403" t="s">
        <v>173</v>
      </c>
      <c r="J403" t="s">
        <v>249</v>
      </c>
      <c r="K403">
        <v>0</v>
      </c>
      <c r="L403" t="s">
        <v>153</v>
      </c>
      <c r="N403" t="s">
        <v>202</v>
      </c>
      <c r="O403" t="s">
        <v>249</v>
      </c>
      <c r="P403">
        <v>4.2632257842156115E-2</v>
      </c>
      <c r="Q403" t="s">
        <v>153</v>
      </c>
      <c r="S403" t="s">
        <v>217</v>
      </c>
      <c r="T403" t="s">
        <v>249</v>
      </c>
      <c r="U403">
        <v>1.4529764175797821E-2</v>
      </c>
      <c r="V403" t="s">
        <v>153</v>
      </c>
    </row>
    <row r="404" spans="9:22" x14ac:dyDescent="0.45">
      <c r="I404" t="s">
        <v>173</v>
      </c>
      <c r="J404" t="s">
        <v>250</v>
      </c>
      <c r="K404">
        <v>0</v>
      </c>
      <c r="L404" t="s">
        <v>153</v>
      </c>
      <c r="N404" t="s">
        <v>202</v>
      </c>
      <c r="O404" t="s">
        <v>250</v>
      </c>
      <c r="P404">
        <v>7.8759195733363457E-3</v>
      </c>
      <c r="Q404" t="s">
        <v>153</v>
      </c>
      <c r="S404" t="s">
        <v>217</v>
      </c>
      <c r="T404" t="s">
        <v>250</v>
      </c>
      <c r="U404">
        <v>2.3274092923481204E-3</v>
      </c>
      <c r="V404" t="s">
        <v>153</v>
      </c>
    </row>
    <row r="405" spans="9:22" x14ac:dyDescent="0.45">
      <c r="I405" t="s">
        <v>173</v>
      </c>
      <c r="J405" t="s">
        <v>251</v>
      </c>
      <c r="K405">
        <v>2.9669980172443134E-3</v>
      </c>
      <c r="L405" t="s">
        <v>153</v>
      </c>
      <c r="N405" t="s">
        <v>202</v>
      </c>
      <c r="O405" t="s">
        <v>251</v>
      </c>
      <c r="P405">
        <v>7.485430917801749E-3</v>
      </c>
      <c r="Q405" t="s">
        <v>153</v>
      </c>
      <c r="S405" t="s">
        <v>217</v>
      </c>
      <c r="T405" t="s">
        <v>251</v>
      </c>
      <c r="U405">
        <v>2.6210854401644513E-3</v>
      </c>
      <c r="V405" t="s">
        <v>153</v>
      </c>
    </row>
    <row r="406" spans="9:22" x14ac:dyDescent="0.45">
      <c r="I406" t="s">
        <v>173</v>
      </c>
      <c r="J406" t="s">
        <v>252</v>
      </c>
      <c r="K406">
        <v>4.3932050711513668E-3</v>
      </c>
      <c r="L406" t="s">
        <v>153</v>
      </c>
      <c r="N406" t="s">
        <v>202</v>
      </c>
      <c r="O406" t="s">
        <v>252</v>
      </c>
      <c r="P406">
        <v>7.3577357939683726E-3</v>
      </c>
      <c r="Q406" t="s">
        <v>153</v>
      </c>
      <c r="S406" t="s">
        <v>217</v>
      </c>
      <c r="T406" t="s">
        <v>252</v>
      </c>
      <c r="U406">
        <v>2.7506049761934822E-3</v>
      </c>
      <c r="V406" t="s">
        <v>153</v>
      </c>
    </row>
    <row r="407" spans="9:22" x14ac:dyDescent="0.45">
      <c r="I407" t="s">
        <v>173</v>
      </c>
      <c r="J407" t="s">
        <v>253</v>
      </c>
      <c r="K407">
        <v>3.8549068800396623E-2</v>
      </c>
      <c r="L407" t="s">
        <v>153</v>
      </c>
      <c r="N407" t="s">
        <v>202</v>
      </c>
      <c r="O407" t="s">
        <v>253</v>
      </c>
      <c r="P407">
        <v>3.7224514578271854E-2</v>
      </c>
      <c r="Q407" t="s">
        <v>153</v>
      </c>
      <c r="S407" t="s">
        <v>217</v>
      </c>
      <c r="T407" t="s">
        <v>253</v>
      </c>
      <c r="U407">
        <v>1.5909338949542169E-2</v>
      </c>
      <c r="V407" t="s">
        <v>153</v>
      </c>
    </row>
    <row r="408" spans="9:22" x14ac:dyDescent="0.45">
      <c r="I408" t="s">
        <v>173</v>
      </c>
      <c r="J408" t="s">
        <v>254</v>
      </c>
      <c r="K408">
        <v>4.0711325637385167E-3</v>
      </c>
      <c r="L408" t="s">
        <v>153</v>
      </c>
      <c r="N408" t="s">
        <v>202</v>
      </c>
      <c r="O408" t="s">
        <v>254</v>
      </c>
      <c r="P408">
        <v>2.5364935613591336E-3</v>
      </c>
      <c r="Q408" t="s">
        <v>153</v>
      </c>
      <c r="S408" t="s">
        <v>217</v>
      </c>
      <c r="T408" t="s">
        <v>254</v>
      </c>
      <c r="U408">
        <v>1.3295124816383559E-3</v>
      </c>
      <c r="V408" t="s">
        <v>153</v>
      </c>
    </row>
    <row r="409" spans="9:22" x14ac:dyDescent="0.45">
      <c r="I409" t="s">
        <v>173</v>
      </c>
      <c r="J409" t="s">
        <v>267</v>
      </c>
      <c r="K409">
        <v>2.2871112784651291E-3</v>
      </c>
      <c r="L409" t="s">
        <v>153</v>
      </c>
      <c r="N409" t="s">
        <v>202</v>
      </c>
      <c r="O409" t="s">
        <v>267</v>
      </c>
      <c r="P409">
        <v>2.6321564923527806E-3</v>
      </c>
      <c r="Q409" t="s">
        <v>153</v>
      </c>
      <c r="S409" t="s">
        <v>217</v>
      </c>
      <c r="T409" t="s">
        <v>267</v>
      </c>
      <c r="U409">
        <v>1.5161196288553253E-3</v>
      </c>
      <c r="V409" t="s">
        <v>153</v>
      </c>
    </row>
    <row r="410" spans="9:22" x14ac:dyDescent="0.45">
      <c r="I410" t="s">
        <v>173</v>
      </c>
      <c r="J410" t="s">
        <v>268</v>
      </c>
      <c r="K410">
        <v>0</v>
      </c>
      <c r="L410" t="s">
        <v>153</v>
      </c>
      <c r="N410" t="s">
        <v>202</v>
      </c>
      <c r="O410" t="s">
        <v>268</v>
      </c>
      <c r="P410">
        <v>1.7724649874022495E-2</v>
      </c>
      <c r="Q410" t="s">
        <v>153</v>
      </c>
      <c r="S410" t="s">
        <v>217</v>
      </c>
      <c r="T410" t="s">
        <v>268</v>
      </c>
      <c r="U410">
        <v>1.0623867288913581E-2</v>
      </c>
      <c r="V410" t="s">
        <v>153</v>
      </c>
    </row>
    <row r="411" spans="9:22" x14ac:dyDescent="0.45">
      <c r="I411" t="s">
        <v>174</v>
      </c>
      <c r="J411" t="s">
        <v>152</v>
      </c>
      <c r="K411">
        <v>0</v>
      </c>
      <c r="L411" t="s">
        <v>153</v>
      </c>
      <c r="N411" t="s">
        <v>203</v>
      </c>
      <c r="O411" t="s">
        <v>152</v>
      </c>
      <c r="P411">
        <v>0.21332203149939577</v>
      </c>
      <c r="Q411" t="s">
        <v>153</v>
      </c>
    </row>
    <row r="412" spans="9:22" x14ac:dyDescent="0.45">
      <c r="I412" t="s">
        <v>174</v>
      </c>
      <c r="J412" t="s">
        <v>154</v>
      </c>
      <c r="K412">
        <v>1.870639646060682E-2</v>
      </c>
      <c r="L412" t="s">
        <v>153</v>
      </c>
      <c r="N412" t="s">
        <v>203</v>
      </c>
      <c r="O412" t="s">
        <v>154</v>
      </c>
      <c r="P412">
        <v>2.1978107904456021E-2</v>
      </c>
      <c r="Q412" t="s">
        <v>153</v>
      </c>
    </row>
    <row r="413" spans="9:22" x14ac:dyDescent="0.45">
      <c r="I413" t="s">
        <v>174</v>
      </c>
      <c r="J413" t="s">
        <v>155</v>
      </c>
      <c r="K413">
        <v>4.6439085704734491E-2</v>
      </c>
      <c r="L413" t="s">
        <v>153</v>
      </c>
      <c r="N413" t="s">
        <v>203</v>
      </c>
      <c r="O413" t="s">
        <v>155</v>
      </c>
      <c r="P413">
        <v>2.0507556033040154E-2</v>
      </c>
      <c r="Q413" t="s">
        <v>153</v>
      </c>
    </row>
    <row r="414" spans="9:22" x14ac:dyDescent="0.45">
      <c r="I414" t="s">
        <v>174</v>
      </c>
      <c r="J414" t="s">
        <v>232</v>
      </c>
      <c r="K414">
        <v>6.5020827797319561E-2</v>
      </c>
      <c r="L414" t="s">
        <v>153</v>
      </c>
      <c r="N414" t="s">
        <v>203</v>
      </c>
      <c r="O414" t="s">
        <v>232</v>
      </c>
      <c r="P414">
        <v>2.3138626011982442E-2</v>
      </c>
      <c r="Q414" t="s">
        <v>153</v>
      </c>
    </row>
    <row r="415" spans="9:22" x14ac:dyDescent="0.45">
      <c r="I415" t="s">
        <v>174</v>
      </c>
      <c r="J415" t="s">
        <v>233</v>
      </c>
      <c r="K415">
        <v>0.56550108406777766</v>
      </c>
      <c r="L415" t="s">
        <v>153</v>
      </c>
      <c r="N415" t="s">
        <v>203</v>
      </c>
      <c r="O415" t="s">
        <v>233</v>
      </c>
      <c r="P415">
        <v>0.19355434543087005</v>
      </c>
      <c r="Q415" t="s">
        <v>153</v>
      </c>
    </row>
    <row r="416" spans="9:22" x14ac:dyDescent="0.45">
      <c r="I416" t="s">
        <v>174</v>
      </c>
      <c r="J416" t="s">
        <v>234</v>
      </c>
      <c r="K416">
        <v>4.6614415689786984E-2</v>
      </c>
      <c r="L416" t="s">
        <v>153</v>
      </c>
      <c r="N416" t="s">
        <v>203</v>
      </c>
      <c r="O416" t="s">
        <v>234</v>
      </c>
      <c r="P416">
        <v>2.2616099022544921E-2</v>
      </c>
      <c r="Q416" t="s">
        <v>153</v>
      </c>
    </row>
    <row r="417" spans="9:17" x14ac:dyDescent="0.45">
      <c r="I417" t="s">
        <v>174</v>
      </c>
      <c r="J417" t="s">
        <v>259</v>
      </c>
      <c r="K417">
        <v>2.746403377157728E-2</v>
      </c>
      <c r="L417" t="s">
        <v>153</v>
      </c>
      <c r="N417" t="s">
        <v>203</v>
      </c>
      <c r="O417" t="s">
        <v>259</v>
      </c>
      <c r="P417">
        <v>2.5896399167085925E-2</v>
      </c>
      <c r="Q417" t="s">
        <v>153</v>
      </c>
    </row>
    <row r="418" spans="9:17" x14ac:dyDescent="0.45">
      <c r="I418" t="s">
        <v>174</v>
      </c>
      <c r="J418" t="s">
        <v>260</v>
      </c>
      <c r="K418">
        <v>1.993281980957386E-3</v>
      </c>
      <c r="L418" t="s">
        <v>153</v>
      </c>
      <c r="N418" t="s">
        <v>203</v>
      </c>
      <c r="O418" t="s">
        <v>260</v>
      </c>
      <c r="P418">
        <v>0.18862657714294068</v>
      </c>
      <c r="Q418" t="s">
        <v>153</v>
      </c>
    </row>
    <row r="419" spans="9:17" x14ac:dyDescent="0.45">
      <c r="I419" t="s">
        <v>174</v>
      </c>
      <c r="J419" t="s">
        <v>156</v>
      </c>
      <c r="K419">
        <v>0</v>
      </c>
      <c r="L419" t="s">
        <v>153</v>
      </c>
      <c r="N419" t="s">
        <v>203</v>
      </c>
      <c r="O419" t="s">
        <v>156</v>
      </c>
      <c r="P419">
        <v>4.1647660460559319E-3</v>
      </c>
      <c r="Q419" t="s">
        <v>153</v>
      </c>
    </row>
    <row r="420" spans="9:17" x14ac:dyDescent="0.45">
      <c r="I420" t="s">
        <v>174</v>
      </c>
      <c r="J420" t="s">
        <v>157</v>
      </c>
      <c r="K420">
        <v>8.7632416848978402E-4</v>
      </c>
      <c r="L420" t="s">
        <v>153</v>
      </c>
      <c r="N420" t="s">
        <v>203</v>
      </c>
      <c r="O420" t="s">
        <v>157</v>
      </c>
      <c r="P420">
        <v>1.0844131714060133E-3</v>
      </c>
      <c r="Q420" t="s">
        <v>153</v>
      </c>
    </row>
    <row r="421" spans="9:17" x14ac:dyDescent="0.45">
      <c r="I421" t="s">
        <v>174</v>
      </c>
      <c r="J421" t="s">
        <v>158</v>
      </c>
      <c r="K421">
        <v>1.7210027361072833E-3</v>
      </c>
      <c r="L421" t="s">
        <v>153</v>
      </c>
      <c r="N421" t="s">
        <v>203</v>
      </c>
      <c r="O421" t="s">
        <v>158</v>
      </c>
      <c r="P421">
        <v>8.2818902865485118E-4</v>
      </c>
      <c r="Q421" t="s">
        <v>153</v>
      </c>
    </row>
    <row r="422" spans="9:17" x14ac:dyDescent="0.45">
      <c r="I422" t="s">
        <v>174</v>
      </c>
      <c r="J422" t="s">
        <v>235</v>
      </c>
      <c r="K422">
        <v>2.2215189057388203E-3</v>
      </c>
      <c r="L422" t="s">
        <v>153</v>
      </c>
      <c r="N422" t="s">
        <v>203</v>
      </c>
      <c r="O422" t="s">
        <v>235</v>
      </c>
      <c r="P422">
        <v>1.030600812580667E-3</v>
      </c>
      <c r="Q422" t="s">
        <v>153</v>
      </c>
    </row>
    <row r="423" spans="9:17" x14ac:dyDescent="0.45">
      <c r="I423" t="s">
        <v>174</v>
      </c>
      <c r="J423" t="s">
        <v>236</v>
      </c>
      <c r="K423">
        <v>1.69417525866839E-2</v>
      </c>
      <c r="L423" t="s">
        <v>153</v>
      </c>
      <c r="N423" t="s">
        <v>203</v>
      </c>
      <c r="O423" t="s">
        <v>236</v>
      </c>
      <c r="P423">
        <v>4.6797250009880482E-3</v>
      </c>
      <c r="Q423" t="s">
        <v>153</v>
      </c>
    </row>
    <row r="424" spans="9:17" x14ac:dyDescent="0.45">
      <c r="I424" t="s">
        <v>174</v>
      </c>
      <c r="J424" t="s">
        <v>237</v>
      </c>
      <c r="K424">
        <v>1.3181308496497573E-3</v>
      </c>
      <c r="L424" t="s">
        <v>153</v>
      </c>
      <c r="N424" t="s">
        <v>203</v>
      </c>
      <c r="O424" t="s">
        <v>237</v>
      </c>
      <c r="P424">
        <v>1.2619922892743993E-4</v>
      </c>
      <c r="Q424" t="s">
        <v>153</v>
      </c>
    </row>
    <row r="425" spans="9:17" x14ac:dyDescent="0.45">
      <c r="I425" t="s">
        <v>174</v>
      </c>
      <c r="J425" t="s">
        <v>261</v>
      </c>
      <c r="K425">
        <v>7.300609124486772E-4</v>
      </c>
      <c r="L425" t="s">
        <v>153</v>
      </c>
      <c r="N425" t="s">
        <v>203</v>
      </c>
      <c r="O425" t="s">
        <v>261</v>
      </c>
      <c r="P425">
        <v>1.3782874778951E-4</v>
      </c>
      <c r="Q425" t="s">
        <v>153</v>
      </c>
    </row>
    <row r="426" spans="9:17" x14ac:dyDescent="0.45">
      <c r="I426" t="s">
        <v>174</v>
      </c>
      <c r="J426" t="s">
        <v>262</v>
      </c>
      <c r="K426">
        <v>0</v>
      </c>
      <c r="L426" t="s">
        <v>153</v>
      </c>
      <c r="N426" t="s">
        <v>203</v>
      </c>
      <c r="O426" t="s">
        <v>262</v>
      </c>
      <c r="P426">
        <v>1.995693718048776E-3</v>
      </c>
      <c r="Q426" t="s">
        <v>153</v>
      </c>
    </row>
    <row r="427" spans="9:17" x14ac:dyDescent="0.45">
      <c r="I427" t="s">
        <v>174</v>
      </c>
      <c r="J427" t="s">
        <v>159</v>
      </c>
      <c r="K427">
        <v>0</v>
      </c>
      <c r="L427" t="s">
        <v>153</v>
      </c>
      <c r="N427" t="s">
        <v>203</v>
      </c>
      <c r="O427" t="s">
        <v>159</v>
      </c>
      <c r="P427">
        <v>1.5227306497768989E-2</v>
      </c>
      <c r="Q427" t="s">
        <v>153</v>
      </c>
    </row>
    <row r="428" spans="9:17" x14ac:dyDescent="0.45">
      <c r="I428" t="s">
        <v>174</v>
      </c>
      <c r="J428" t="s">
        <v>160</v>
      </c>
      <c r="K428">
        <v>2.7236597154246759E-3</v>
      </c>
      <c r="L428" t="s">
        <v>153</v>
      </c>
      <c r="N428" t="s">
        <v>203</v>
      </c>
      <c r="O428" t="s">
        <v>160</v>
      </c>
      <c r="P428">
        <v>2.7655211327190063E-3</v>
      </c>
      <c r="Q428" t="s">
        <v>153</v>
      </c>
    </row>
    <row r="429" spans="9:17" x14ac:dyDescent="0.45">
      <c r="I429" t="s">
        <v>174</v>
      </c>
      <c r="J429" t="s">
        <v>161</v>
      </c>
      <c r="K429">
        <v>5.1527961474376908E-3</v>
      </c>
      <c r="L429" t="s">
        <v>153</v>
      </c>
      <c r="N429" t="s">
        <v>203</v>
      </c>
      <c r="O429" t="s">
        <v>161</v>
      </c>
      <c r="P429">
        <v>2.2172952625065406E-3</v>
      </c>
      <c r="Q429" t="s">
        <v>153</v>
      </c>
    </row>
    <row r="430" spans="9:17" x14ac:dyDescent="0.45">
      <c r="I430" t="s">
        <v>174</v>
      </c>
      <c r="J430" t="s">
        <v>238</v>
      </c>
      <c r="K430">
        <v>6.6972816953905822E-3</v>
      </c>
      <c r="L430" t="s">
        <v>153</v>
      </c>
      <c r="N430" t="s">
        <v>203</v>
      </c>
      <c r="O430" t="s">
        <v>238</v>
      </c>
      <c r="P430">
        <v>3.1897901611249758E-3</v>
      </c>
      <c r="Q430" t="s">
        <v>153</v>
      </c>
    </row>
    <row r="431" spans="9:17" x14ac:dyDescent="0.45">
      <c r="I431" t="s">
        <v>174</v>
      </c>
      <c r="J431" t="s">
        <v>239</v>
      </c>
      <c r="K431">
        <v>4.646819355945938E-2</v>
      </c>
      <c r="L431" t="s">
        <v>153</v>
      </c>
      <c r="N431" t="s">
        <v>203</v>
      </c>
      <c r="O431" t="s">
        <v>239</v>
      </c>
      <c r="P431">
        <v>2.2896826024205265E-2</v>
      </c>
      <c r="Q431" t="s">
        <v>153</v>
      </c>
    </row>
    <row r="432" spans="9:17" x14ac:dyDescent="0.45">
      <c r="I432" t="s">
        <v>174</v>
      </c>
      <c r="J432" t="s">
        <v>240</v>
      </c>
      <c r="K432">
        <v>3.650562141004089E-3</v>
      </c>
      <c r="L432" t="s">
        <v>153</v>
      </c>
      <c r="N432" t="s">
        <v>203</v>
      </c>
      <c r="O432" t="s">
        <v>240</v>
      </c>
      <c r="P432">
        <v>1.3238367321944341E-3</v>
      </c>
      <c r="Q432" t="s">
        <v>153</v>
      </c>
    </row>
    <row r="433" spans="9:17" x14ac:dyDescent="0.45">
      <c r="I433" t="s">
        <v>174</v>
      </c>
      <c r="J433" t="s">
        <v>263</v>
      </c>
      <c r="K433">
        <v>2.3022022378563468E-3</v>
      </c>
      <c r="L433" t="s">
        <v>153</v>
      </c>
      <c r="N433" t="s">
        <v>203</v>
      </c>
      <c r="O433" t="s">
        <v>263</v>
      </c>
      <c r="P433">
        <v>1.6542009954649216E-3</v>
      </c>
      <c r="Q433" t="s">
        <v>153</v>
      </c>
    </row>
    <row r="434" spans="9:17" x14ac:dyDescent="0.45">
      <c r="I434" t="s">
        <v>174</v>
      </c>
      <c r="J434" t="s">
        <v>264</v>
      </c>
      <c r="K434">
        <v>0</v>
      </c>
      <c r="L434" t="s">
        <v>153</v>
      </c>
      <c r="N434" t="s">
        <v>203</v>
      </c>
      <c r="O434" t="s">
        <v>264</v>
      </c>
      <c r="P434">
        <v>1.1411029779385186E-2</v>
      </c>
      <c r="Q434" t="s">
        <v>153</v>
      </c>
    </row>
    <row r="435" spans="9:17" x14ac:dyDescent="0.45">
      <c r="I435" t="s">
        <v>174</v>
      </c>
      <c r="J435" t="s">
        <v>162</v>
      </c>
      <c r="K435">
        <v>0</v>
      </c>
      <c r="L435" t="s">
        <v>153</v>
      </c>
      <c r="N435" t="s">
        <v>203</v>
      </c>
      <c r="O435" t="s">
        <v>162</v>
      </c>
      <c r="P435">
        <v>3.4912265517823352E-2</v>
      </c>
      <c r="Q435" t="s">
        <v>153</v>
      </c>
    </row>
    <row r="436" spans="9:17" x14ac:dyDescent="0.45">
      <c r="I436" t="s">
        <v>174</v>
      </c>
      <c r="J436" t="s">
        <v>163</v>
      </c>
      <c r="K436">
        <v>2.8885421422528848E-3</v>
      </c>
      <c r="L436" t="s">
        <v>153</v>
      </c>
      <c r="N436" t="s">
        <v>203</v>
      </c>
      <c r="O436" t="s">
        <v>163</v>
      </c>
      <c r="P436">
        <v>6.3581452143283007E-3</v>
      </c>
      <c r="Q436" t="s">
        <v>153</v>
      </c>
    </row>
    <row r="437" spans="9:17" x14ac:dyDescent="0.45">
      <c r="I437" t="s">
        <v>174</v>
      </c>
      <c r="J437" t="s">
        <v>164</v>
      </c>
      <c r="K437">
        <v>6.338090314044453E-3</v>
      </c>
      <c r="L437" t="s">
        <v>153</v>
      </c>
      <c r="N437" t="s">
        <v>203</v>
      </c>
      <c r="O437" t="s">
        <v>164</v>
      </c>
      <c r="P437">
        <v>5.9137565567936408E-3</v>
      </c>
      <c r="Q437" t="s">
        <v>153</v>
      </c>
    </row>
    <row r="438" spans="9:17" x14ac:dyDescent="0.45">
      <c r="I438" t="s">
        <v>174</v>
      </c>
      <c r="J438" t="s">
        <v>241</v>
      </c>
      <c r="K438">
        <v>8.8330923480319304E-3</v>
      </c>
      <c r="L438" t="s">
        <v>153</v>
      </c>
      <c r="N438" t="s">
        <v>203</v>
      </c>
      <c r="O438" t="s">
        <v>241</v>
      </c>
      <c r="P438">
        <v>7.4945059356503127E-3</v>
      </c>
      <c r="Q438" t="s">
        <v>153</v>
      </c>
    </row>
    <row r="439" spans="9:17" x14ac:dyDescent="0.45">
      <c r="I439" t="s">
        <v>174</v>
      </c>
      <c r="J439" t="s">
        <v>242</v>
      </c>
      <c r="K439">
        <v>6.3483528041841125E-2</v>
      </c>
      <c r="L439" t="s">
        <v>153</v>
      </c>
      <c r="N439" t="s">
        <v>203</v>
      </c>
      <c r="O439" t="s">
        <v>242</v>
      </c>
      <c r="P439">
        <v>4.5883557945072199E-2</v>
      </c>
      <c r="Q439" t="s">
        <v>153</v>
      </c>
    </row>
    <row r="440" spans="9:17" x14ac:dyDescent="0.45">
      <c r="I440" t="s">
        <v>174</v>
      </c>
      <c r="J440" t="s">
        <v>243</v>
      </c>
      <c r="K440">
        <v>4.8780551374875214E-3</v>
      </c>
      <c r="L440" t="s">
        <v>153</v>
      </c>
      <c r="N440" t="s">
        <v>203</v>
      </c>
      <c r="O440" t="s">
        <v>243</v>
      </c>
      <c r="P440">
        <v>2.4701747537475456E-3</v>
      </c>
      <c r="Q440" t="s">
        <v>153</v>
      </c>
    </row>
    <row r="441" spans="9:17" x14ac:dyDescent="0.45">
      <c r="I441" t="s">
        <v>174</v>
      </c>
      <c r="J441" t="s">
        <v>265</v>
      </c>
      <c r="K441">
        <v>2.7496339406397107E-3</v>
      </c>
      <c r="L441" t="s">
        <v>153</v>
      </c>
      <c r="N441" t="s">
        <v>203</v>
      </c>
      <c r="O441" t="s">
        <v>265</v>
      </c>
      <c r="P441">
        <v>2.8861233028633377E-3</v>
      </c>
      <c r="Q441" t="s">
        <v>153</v>
      </c>
    </row>
    <row r="442" spans="9:17" x14ac:dyDescent="0.45">
      <c r="I442" t="s">
        <v>174</v>
      </c>
      <c r="J442" t="s">
        <v>266</v>
      </c>
      <c r="K442">
        <v>0</v>
      </c>
      <c r="L442" t="s">
        <v>153</v>
      </c>
      <c r="N442" t="s">
        <v>203</v>
      </c>
      <c r="O442" t="s">
        <v>266</v>
      </c>
      <c r="P442">
        <v>1.7761934361914495E-2</v>
      </c>
      <c r="Q442" t="s">
        <v>153</v>
      </c>
    </row>
    <row r="443" spans="9:17" x14ac:dyDescent="0.45">
      <c r="I443" t="s">
        <v>174</v>
      </c>
      <c r="J443" t="s">
        <v>249</v>
      </c>
      <c r="K443">
        <v>0</v>
      </c>
      <c r="L443" t="s">
        <v>153</v>
      </c>
      <c r="N443" t="s">
        <v>203</v>
      </c>
      <c r="O443" t="s">
        <v>249</v>
      </c>
      <c r="P443">
        <v>3.0307690847330634E-2</v>
      </c>
      <c r="Q443" t="s">
        <v>153</v>
      </c>
    </row>
    <row r="444" spans="9:17" x14ac:dyDescent="0.45">
      <c r="I444" t="s">
        <v>174</v>
      </c>
      <c r="J444" t="s">
        <v>250</v>
      </c>
      <c r="K444">
        <v>0</v>
      </c>
      <c r="L444" t="s">
        <v>153</v>
      </c>
      <c r="N444" t="s">
        <v>203</v>
      </c>
      <c r="O444" t="s">
        <v>250</v>
      </c>
      <c r="P444">
        <v>5.0673376334136348E-3</v>
      </c>
      <c r="Q444" t="s">
        <v>153</v>
      </c>
    </row>
    <row r="445" spans="9:17" x14ac:dyDescent="0.45">
      <c r="I445" t="s">
        <v>174</v>
      </c>
      <c r="J445" t="s">
        <v>251</v>
      </c>
      <c r="K445">
        <v>2.8327977814505173E-3</v>
      </c>
      <c r="L445" t="s">
        <v>153</v>
      </c>
      <c r="N445" t="s">
        <v>203</v>
      </c>
      <c r="O445" t="s">
        <v>251</v>
      </c>
      <c r="P445">
        <v>4.0128583364041357E-3</v>
      </c>
      <c r="Q445" t="s">
        <v>153</v>
      </c>
    </row>
    <row r="446" spans="9:17" x14ac:dyDescent="0.45">
      <c r="I446" t="s">
        <v>174</v>
      </c>
      <c r="J446" t="s">
        <v>252</v>
      </c>
      <c r="K446">
        <v>4.169058356708351E-3</v>
      </c>
      <c r="L446" t="s">
        <v>153</v>
      </c>
      <c r="N446" t="s">
        <v>203</v>
      </c>
      <c r="O446" t="s">
        <v>252</v>
      </c>
      <c r="P446">
        <v>4.5139118168543279E-3</v>
      </c>
      <c r="Q446" t="s">
        <v>153</v>
      </c>
    </row>
    <row r="447" spans="9:17" x14ac:dyDescent="0.45">
      <c r="I447" t="s">
        <v>174</v>
      </c>
      <c r="J447" t="s">
        <v>253</v>
      </c>
      <c r="K447">
        <v>3.6152208237064658E-2</v>
      </c>
      <c r="L447" t="s">
        <v>153</v>
      </c>
      <c r="N447" t="s">
        <v>203</v>
      </c>
      <c r="O447" t="s">
        <v>253</v>
      </c>
      <c r="P447">
        <v>2.6332853025052307E-2</v>
      </c>
      <c r="Q447" t="s">
        <v>153</v>
      </c>
    </row>
    <row r="448" spans="9:17" x14ac:dyDescent="0.45">
      <c r="I448" t="s">
        <v>174</v>
      </c>
      <c r="J448" t="s">
        <v>254</v>
      </c>
      <c r="K448">
        <v>3.2155138218262916E-3</v>
      </c>
      <c r="L448" t="s">
        <v>153</v>
      </c>
      <c r="N448" t="s">
        <v>203</v>
      </c>
      <c r="O448" t="s">
        <v>254</v>
      </c>
      <c r="P448">
        <v>1.7046212233469494E-3</v>
      </c>
      <c r="Q448" t="s">
        <v>153</v>
      </c>
    </row>
    <row r="449" spans="9:17" x14ac:dyDescent="0.45">
      <c r="I449" t="s">
        <v>174</v>
      </c>
      <c r="J449" t="s">
        <v>267</v>
      </c>
      <c r="K449">
        <v>1.9168687502030949E-3</v>
      </c>
      <c r="L449" t="s">
        <v>153</v>
      </c>
      <c r="N449" t="s">
        <v>203</v>
      </c>
      <c r="O449" t="s">
        <v>267</v>
      </c>
      <c r="P449">
        <v>2.2353512172641988E-3</v>
      </c>
      <c r="Q449" t="s">
        <v>153</v>
      </c>
    </row>
    <row r="450" spans="9:17" x14ac:dyDescent="0.45">
      <c r="I450" t="s">
        <v>174</v>
      </c>
      <c r="J450" t="s">
        <v>268</v>
      </c>
      <c r="K450">
        <v>0</v>
      </c>
      <c r="L450" t="s">
        <v>153</v>
      </c>
      <c r="N450" t="s">
        <v>203</v>
      </c>
      <c r="O450" t="s">
        <v>268</v>
      </c>
      <c r="P450">
        <v>1.7771947759999636E-2</v>
      </c>
      <c r="Q450" t="s">
        <v>153</v>
      </c>
    </row>
    <row r="451" spans="9:17" x14ac:dyDescent="0.45">
      <c r="I451" t="s">
        <v>175</v>
      </c>
      <c r="J451" t="s">
        <v>152</v>
      </c>
      <c r="K451">
        <v>0</v>
      </c>
      <c r="L451" t="s">
        <v>153</v>
      </c>
      <c r="N451" t="s">
        <v>204</v>
      </c>
      <c r="O451" t="s">
        <v>152</v>
      </c>
      <c r="P451">
        <v>0.26412953674263784</v>
      </c>
      <c r="Q451" t="s">
        <v>153</v>
      </c>
    </row>
    <row r="452" spans="9:17" x14ac:dyDescent="0.45">
      <c r="I452" t="s">
        <v>175</v>
      </c>
      <c r="J452" t="s">
        <v>154</v>
      </c>
      <c r="K452">
        <v>2.0371195259975959E-2</v>
      </c>
      <c r="L452" t="s">
        <v>153</v>
      </c>
      <c r="N452" t="s">
        <v>204</v>
      </c>
      <c r="O452" t="s">
        <v>154</v>
      </c>
      <c r="P452">
        <v>2.9938407240008704E-2</v>
      </c>
      <c r="Q452" t="s">
        <v>153</v>
      </c>
    </row>
    <row r="453" spans="9:17" x14ac:dyDescent="0.45">
      <c r="I453" t="s">
        <v>175</v>
      </c>
      <c r="J453" t="s">
        <v>155</v>
      </c>
      <c r="K453">
        <v>4.5637928986784586E-2</v>
      </c>
      <c r="L453" t="s">
        <v>153</v>
      </c>
      <c r="N453" t="s">
        <v>204</v>
      </c>
      <c r="O453" t="s">
        <v>155</v>
      </c>
      <c r="P453">
        <v>2.9473499733443292E-2</v>
      </c>
      <c r="Q453" t="s">
        <v>153</v>
      </c>
    </row>
    <row r="454" spans="9:17" x14ac:dyDescent="0.45">
      <c r="I454" t="s">
        <v>175</v>
      </c>
      <c r="J454" t="s">
        <v>232</v>
      </c>
      <c r="K454">
        <v>6.8502998569473617E-2</v>
      </c>
      <c r="L454" t="s">
        <v>153</v>
      </c>
      <c r="N454" t="s">
        <v>204</v>
      </c>
      <c r="O454" t="s">
        <v>232</v>
      </c>
      <c r="P454">
        <v>2.9666407472402831E-2</v>
      </c>
      <c r="Q454" t="s">
        <v>153</v>
      </c>
    </row>
    <row r="455" spans="9:17" x14ac:dyDescent="0.45">
      <c r="I455" t="s">
        <v>175</v>
      </c>
      <c r="J455" t="s">
        <v>233</v>
      </c>
      <c r="K455">
        <v>0.6132162312330145</v>
      </c>
      <c r="L455" t="s">
        <v>153</v>
      </c>
      <c r="N455" t="s">
        <v>204</v>
      </c>
      <c r="O455" t="s">
        <v>233</v>
      </c>
      <c r="P455">
        <v>0.21075564183544104</v>
      </c>
      <c r="Q455" t="s">
        <v>153</v>
      </c>
    </row>
    <row r="456" spans="9:17" x14ac:dyDescent="0.45">
      <c r="I456" t="s">
        <v>175</v>
      </c>
      <c r="J456" t="s">
        <v>234</v>
      </c>
      <c r="K456">
        <v>4.9509094042300139E-2</v>
      </c>
      <c r="L456" t="s">
        <v>153</v>
      </c>
      <c r="N456" t="s">
        <v>204</v>
      </c>
      <c r="O456" t="s">
        <v>234</v>
      </c>
      <c r="P456">
        <v>2.6985423767001103E-2</v>
      </c>
      <c r="Q456" t="s">
        <v>153</v>
      </c>
    </row>
    <row r="457" spans="9:17" x14ac:dyDescent="0.45">
      <c r="I457" t="s">
        <v>175</v>
      </c>
      <c r="J457" t="s">
        <v>259</v>
      </c>
      <c r="K457">
        <v>3.0190046966923359E-2</v>
      </c>
      <c r="L457" t="s">
        <v>153</v>
      </c>
      <c r="N457" t="s">
        <v>204</v>
      </c>
      <c r="O457" t="s">
        <v>259</v>
      </c>
      <c r="P457">
        <v>2.7595424713239645E-2</v>
      </c>
      <c r="Q457" t="s">
        <v>153</v>
      </c>
    </row>
    <row r="458" spans="9:17" x14ac:dyDescent="0.45">
      <c r="I458" t="s">
        <v>175</v>
      </c>
      <c r="J458" t="s">
        <v>260</v>
      </c>
      <c r="K458">
        <v>0</v>
      </c>
      <c r="L458" t="s">
        <v>153</v>
      </c>
      <c r="N458" t="s">
        <v>204</v>
      </c>
      <c r="O458" t="s">
        <v>260</v>
      </c>
      <c r="P458">
        <v>0.16587549690571621</v>
      </c>
      <c r="Q458" t="s">
        <v>153</v>
      </c>
    </row>
    <row r="459" spans="9:17" x14ac:dyDescent="0.45">
      <c r="I459" t="s">
        <v>175</v>
      </c>
      <c r="J459" t="s">
        <v>156</v>
      </c>
      <c r="K459">
        <v>0</v>
      </c>
      <c r="L459" t="s">
        <v>153</v>
      </c>
      <c r="N459" t="s">
        <v>204</v>
      </c>
      <c r="O459" t="s">
        <v>156</v>
      </c>
      <c r="P459">
        <v>1.8893840353032968E-3</v>
      </c>
      <c r="Q459" t="s">
        <v>153</v>
      </c>
    </row>
    <row r="460" spans="9:17" x14ac:dyDescent="0.45">
      <c r="I460" t="s">
        <v>175</v>
      </c>
      <c r="J460" t="s">
        <v>157</v>
      </c>
      <c r="K460">
        <v>4.3338391281784184E-4</v>
      </c>
      <c r="L460" t="s">
        <v>153</v>
      </c>
      <c r="N460" t="s">
        <v>204</v>
      </c>
      <c r="O460" t="s">
        <v>157</v>
      </c>
      <c r="P460">
        <v>5.5773384849487411E-4</v>
      </c>
      <c r="Q460" t="s">
        <v>153</v>
      </c>
    </row>
    <row r="461" spans="9:17" x14ac:dyDescent="0.45">
      <c r="I461" t="s">
        <v>175</v>
      </c>
      <c r="J461" t="s">
        <v>158</v>
      </c>
      <c r="K461">
        <v>1.0379402994223745E-3</v>
      </c>
      <c r="L461" t="s">
        <v>153</v>
      </c>
      <c r="N461" t="s">
        <v>204</v>
      </c>
      <c r="O461" t="s">
        <v>158</v>
      </c>
      <c r="P461">
        <v>4.7651741420873413E-4</v>
      </c>
      <c r="Q461" t="s">
        <v>153</v>
      </c>
    </row>
    <row r="462" spans="9:17" x14ac:dyDescent="0.45">
      <c r="I462" t="s">
        <v>175</v>
      </c>
      <c r="J462" t="s">
        <v>235</v>
      </c>
      <c r="K462">
        <v>1.7460891154601097E-3</v>
      </c>
      <c r="L462" t="s">
        <v>153</v>
      </c>
      <c r="N462" t="s">
        <v>204</v>
      </c>
      <c r="O462" t="s">
        <v>235</v>
      </c>
      <c r="P462">
        <v>3.9090866337755751E-4</v>
      </c>
      <c r="Q462" t="s">
        <v>153</v>
      </c>
    </row>
    <row r="463" spans="9:17" x14ac:dyDescent="0.45">
      <c r="I463" t="s">
        <v>175</v>
      </c>
      <c r="J463" t="s">
        <v>236</v>
      </c>
      <c r="K463">
        <v>1.4248090883213081E-2</v>
      </c>
      <c r="L463" t="s">
        <v>153</v>
      </c>
      <c r="N463" t="s">
        <v>204</v>
      </c>
      <c r="O463" t="s">
        <v>236</v>
      </c>
      <c r="P463">
        <v>1.8617042337800678E-3</v>
      </c>
      <c r="Q463" t="s">
        <v>153</v>
      </c>
    </row>
    <row r="464" spans="9:17" x14ac:dyDescent="0.45">
      <c r="I464" t="s">
        <v>175</v>
      </c>
      <c r="J464" t="s">
        <v>237</v>
      </c>
      <c r="K464">
        <v>8.0327566838935059E-4</v>
      </c>
      <c r="L464" t="s">
        <v>153</v>
      </c>
      <c r="N464" t="s">
        <v>204</v>
      </c>
      <c r="O464" t="s">
        <v>237</v>
      </c>
      <c r="P464">
        <v>7.4284292255042672E-5</v>
      </c>
      <c r="Q464" t="s">
        <v>153</v>
      </c>
    </row>
    <row r="465" spans="9:17" x14ac:dyDescent="0.45">
      <c r="I465" t="s">
        <v>175</v>
      </c>
      <c r="J465" t="s">
        <v>261</v>
      </c>
      <c r="K465">
        <v>3.8660236699640017E-4</v>
      </c>
      <c r="L465" t="s">
        <v>153</v>
      </c>
      <c r="N465" t="s">
        <v>204</v>
      </c>
      <c r="O465" t="s">
        <v>261</v>
      </c>
      <c r="P465">
        <v>8.7947452535453585E-5</v>
      </c>
      <c r="Q465" t="s">
        <v>153</v>
      </c>
    </row>
    <row r="466" spans="9:17" x14ac:dyDescent="0.45">
      <c r="I466" t="s">
        <v>175</v>
      </c>
      <c r="J466" t="s">
        <v>262</v>
      </c>
      <c r="K466">
        <v>0</v>
      </c>
      <c r="L466" t="s">
        <v>153</v>
      </c>
      <c r="N466" t="s">
        <v>204</v>
      </c>
      <c r="O466" t="s">
        <v>262</v>
      </c>
      <c r="P466">
        <v>8.2487061716731694E-4</v>
      </c>
      <c r="Q466" t="s">
        <v>153</v>
      </c>
    </row>
    <row r="467" spans="9:17" x14ac:dyDescent="0.45">
      <c r="I467" t="s">
        <v>175</v>
      </c>
      <c r="J467" t="s">
        <v>159</v>
      </c>
      <c r="K467">
        <v>0</v>
      </c>
      <c r="L467" t="s">
        <v>153</v>
      </c>
      <c r="N467" t="s">
        <v>204</v>
      </c>
      <c r="O467" t="s">
        <v>159</v>
      </c>
      <c r="P467">
        <v>1.0620648202424405E-2</v>
      </c>
      <c r="Q467" t="s">
        <v>153</v>
      </c>
    </row>
    <row r="468" spans="9:17" x14ac:dyDescent="0.45">
      <c r="I468" t="s">
        <v>175</v>
      </c>
      <c r="J468" t="s">
        <v>160</v>
      </c>
      <c r="K468">
        <v>1.7778125524601878E-3</v>
      </c>
      <c r="L468" t="s">
        <v>153</v>
      </c>
      <c r="N468" t="s">
        <v>204</v>
      </c>
      <c r="O468" t="s">
        <v>160</v>
      </c>
      <c r="P468">
        <v>2.331710079779439E-3</v>
      </c>
      <c r="Q468" t="s">
        <v>153</v>
      </c>
    </row>
    <row r="469" spans="9:17" x14ac:dyDescent="0.45">
      <c r="I469" t="s">
        <v>175</v>
      </c>
      <c r="J469" t="s">
        <v>161</v>
      </c>
      <c r="K469">
        <v>3.7259501393219962E-3</v>
      </c>
      <c r="L469" t="s">
        <v>153</v>
      </c>
      <c r="N469" t="s">
        <v>204</v>
      </c>
      <c r="O469" t="s">
        <v>161</v>
      </c>
      <c r="P469">
        <v>2.4055849048957231E-3</v>
      </c>
      <c r="Q469" t="s">
        <v>153</v>
      </c>
    </row>
    <row r="470" spans="9:17" x14ac:dyDescent="0.45">
      <c r="I470" t="s">
        <v>175</v>
      </c>
      <c r="J470" t="s">
        <v>238</v>
      </c>
      <c r="K470">
        <v>5.7858032339038936E-3</v>
      </c>
      <c r="L470" t="s">
        <v>153</v>
      </c>
      <c r="N470" t="s">
        <v>204</v>
      </c>
      <c r="O470" t="s">
        <v>238</v>
      </c>
      <c r="P470">
        <v>2.3365535170377545E-3</v>
      </c>
      <c r="Q470" t="s">
        <v>153</v>
      </c>
    </row>
    <row r="471" spans="9:17" x14ac:dyDescent="0.45">
      <c r="I471" t="s">
        <v>175</v>
      </c>
      <c r="J471" t="s">
        <v>239</v>
      </c>
      <c r="K471">
        <v>4.6109423966407374E-2</v>
      </c>
      <c r="L471" t="s">
        <v>153</v>
      </c>
      <c r="N471" t="s">
        <v>204</v>
      </c>
      <c r="O471" t="s">
        <v>239</v>
      </c>
      <c r="P471">
        <v>1.0778603534604138E-2</v>
      </c>
      <c r="Q471" t="s">
        <v>153</v>
      </c>
    </row>
    <row r="472" spans="9:17" x14ac:dyDescent="0.45">
      <c r="I472" t="s">
        <v>175</v>
      </c>
      <c r="J472" t="s">
        <v>240</v>
      </c>
      <c r="K472">
        <v>3.2012114425478645E-3</v>
      </c>
      <c r="L472" t="s">
        <v>153</v>
      </c>
      <c r="N472" t="s">
        <v>204</v>
      </c>
      <c r="O472" t="s">
        <v>240</v>
      </c>
      <c r="P472">
        <v>7.27302690065565E-4</v>
      </c>
      <c r="Q472" t="s">
        <v>153</v>
      </c>
    </row>
    <row r="473" spans="9:17" x14ac:dyDescent="0.45">
      <c r="I473" t="s">
        <v>175</v>
      </c>
      <c r="J473" t="s">
        <v>263</v>
      </c>
      <c r="K473">
        <v>1.8771983896875963E-3</v>
      </c>
      <c r="L473" t="s">
        <v>153</v>
      </c>
      <c r="N473" t="s">
        <v>204</v>
      </c>
      <c r="O473" t="s">
        <v>263</v>
      </c>
      <c r="P473">
        <v>1.0123131053494435E-3</v>
      </c>
      <c r="Q473" t="s">
        <v>153</v>
      </c>
    </row>
    <row r="474" spans="9:17" x14ac:dyDescent="0.45">
      <c r="I474" t="s">
        <v>175</v>
      </c>
      <c r="J474" t="s">
        <v>264</v>
      </c>
      <c r="K474">
        <v>0</v>
      </c>
      <c r="L474" t="s">
        <v>153</v>
      </c>
      <c r="N474" t="s">
        <v>204</v>
      </c>
      <c r="O474" t="s">
        <v>264</v>
      </c>
      <c r="P474">
        <v>7.9458523854091592E-3</v>
      </c>
      <c r="Q474" t="s">
        <v>153</v>
      </c>
    </row>
    <row r="475" spans="9:17" x14ac:dyDescent="0.45">
      <c r="I475" t="s">
        <v>175</v>
      </c>
      <c r="J475" t="s">
        <v>162</v>
      </c>
      <c r="K475">
        <v>0</v>
      </c>
      <c r="L475" t="s">
        <v>153</v>
      </c>
      <c r="N475" t="s">
        <v>204</v>
      </c>
      <c r="O475" t="s">
        <v>162</v>
      </c>
      <c r="P475">
        <v>3.0483270484556992E-2</v>
      </c>
      <c r="Q475" t="s">
        <v>153</v>
      </c>
    </row>
    <row r="476" spans="9:17" x14ac:dyDescent="0.45">
      <c r="I476" t="s">
        <v>175</v>
      </c>
      <c r="J476" t="s">
        <v>163</v>
      </c>
      <c r="K476">
        <v>1.459599243167688E-3</v>
      </c>
      <c r="L476" t="s">
        <v>153</v>
      </c>
      <c r="N476" t="s">
        <v>204</v>
      </c>
      <c r="O476" t="s">
        <v>163</v>
      </c>
      <c r="P476">
        <v>6.1430424009452081E-3</v>
      </c>
      <c r="Q476" t="s">
        <v>153</v>
      </c>
    </row>
    <row r="477" spans="9:17" x14ac:dyDescent="0.45">
      <c r="I477" t="s">
        <v>175</v>
      </c>
      <c r="J477" t="s">
        <v>164</v>
      </c>
      <c r="K477">
        <v>3.1443486903144813E-3</v>
      </c>
      <c r="L477" t="s">
        <v>153</v>
      </c>
      <c r="N477" t="s">
        <v>204</v>
      </c>
      <c r="O477" t="s">
        <v>164</v>
      </c>
      <c r="P477">
        <v>6.2661216290991984E-3</v>
      </c>
      <c r="Q477" t="s">
        <v>153</v>
      </c>
    </row>
    <row r="478" spans="9:17" x14ac:dyDescent="0.45">
      <c r="I478" t="s">
        <v>175</v>
      </c>
      <c r="J478" t="s">
        <v>241</v>
      </c>
      <c r="K478">
        <v>5.160062408346806E-3</v>
      </c>
      <c r="L478" t="s">
        <v>153</v>
      </c>
      <c r="N478" t="s">
        <v>204</v>
      </c>
      <c r="O478" t="s">
        <v>241</v>
      </c>
      <c r="P478">
        <v>5.9903346925467178E-3</v>
      </c>
      <c r="Q478" t="s">
        <v>153</v>
      </c>
    </row>
    <row r="479" spans="9:17" x14ac:dyDescent="0.45">
      <c r="I479" t="s">
        <v>175</v>
      </c>
      <c r="J479" t="s">
        <v>242</v>
      </c>
      <c r="K479">
        <v>4.5909484328074943E-2</v>
      </c>
      <c r="L479" t="s">
        <v>153</v>
      </c>
      <c r="N479" t="s">
        <v>204</v>
      </c>
      <c r="O479" t="s">
        <v>242</v>
      </c>
      <c r="P479">
        <v>2.2767410840587664E-2</v>
      </c>
      <c r="Q479" t="s">
        <v>153</v>
      </c>
    </row>
    <row r="480" spans="9:17" x14ac:dyDescent="0.45">
      <c r="I480" t="s">
        <v>175</v>
      </c>
      <c r="J480" t="s">
        <v>243</v>
      </c>
      <c r="K480">
        <v>3.2410556113151158E-3</v>
      </c>
      <c r="L480" t="s">
        <v>153</v>
      </c>
      <c r="N480" t="s">
        <v>204</v>
      </c>
      <c r="O480" t="s">
        <v>243</v>
      </c>
      <c r="P480">
        <v>1.5724359780725037E-3</v>
      </c>
      <c r="Q480" t="s">
        <v>153</v>
      </c>
    </row>
    <row r="481" spans="9:17" x14ac:dyDescent="0.45">
      <c r="I481" t="s">
        <v>175</v>
      </c>
      <c r="J481" t="s">
        <v>265</v>
      </c>
      <c r="K481">
        <v>1.7484609591270693E-3</v>
      </c>
      <c r="L481" t="s">
        <v>153</v>
      </c>
      <c r="N481" t="s">
        <v>204</v>
      </c>
      <c r="O481" t="s">
        <v>265</v>
      </c>
      <c r="P481">
        <v>2.0233289235105185E-3</v>
      </c>
      <c r="Q481" t="s">
        <v>153</v>
      </c>
    </row>
    <row r="482" spans="9:17" x14ac:dyDescent="0.45">
      <c r="I482" t="s">
        <v>175</v>
      </c>
      <c r="J482" t="s">
        <v>266</v>
      </c>
      <c r="K482">
        <v>0</v>
      </c>
      <c r="L482" t="s">
        <v>153</v>
      </c>
      <c r="N482" t="s">
        <v>204</v>
      </c>
      <c r="O482" t="s">
        <v>266</v>
      </c>
      <c r="P482">
        <v>1.3455778211227641E-2</v>
      </c>
      <c r="Q482" t="s">
        <v>153</v>
      </c>
    </row>
    <row r="483" spans="9:17" x14ac:dyDescent="0.45">
      <c r="I483" t="s">
        <v>175</v>
      </c>
      <c r="J483" t="s">
        <v>249</v>
      </c>
      <c r="K483">
        <v>0</v>
      </c>
      <c r="L483" t="s">
        <v>153</v>
      </c>
      <c r="N483" t="s">
        <v>204</v>
      </c>
      <c r="O483" t="s">
        <v>249</v>
      </c>
      <c r="P483">
        <v>2.8310219005493534E-2</v>
      </c>
      <c r="Q483" t="s">
        <v>153</v>
      </c>
    </row>
    <row r="484" spans="9:17" x14ac:dyDescent="0.45">
      <c r="I484" t="s">
        <v>175</v>
      </c>
      <c r="J484" t="s">
        <v>250</v>
      </c>
      <c r="K484">
        <v>6.4823614064654048E-4</v>
      </c>
      <c r="L484" t="s">
        <v>153</v>
      </c>
      <c r="N484" t="s">
        <v>204</v>
      </c>
      <c r="O484" t="s">
        <v>250</v>
      </c>
      <c r="P484">
        <v>5.8662612188758057E-3</v>
      </c>
      <c r="Q484" t="s">
        <v>153</v>
      </c>
    </row>
    <row r="485" spans="9:17" x14ac:dyDescent="0.45">
      <c r="I485" t="s">
        <v>175</v>
      </c>
      <c r="J485" t="s">
        <v>251</v>
      </c>
      <c r="K485">
        <v>1.5497045090830978E-3</v>
      </c>
      <c r="L485" t="s">
        <v>153</v>
      </c>
      <c r="N485" t="s">
        <v>204</v>
      </c>
      <c r="O485" t="s">
        <v>251</v>
      </c>
      <c r="P485">
        <v>5.9161021703170551E-3</v>
      </c>
      <c r="Q485" t="s">
        <v>153</v>
      </c>
    </row>
    <row r="486" spans="9:17" x14ac:dyDescent="0.45">
      <c r="I486" t="s">
        <v>175</v>
      </c>
      <c r="J486" t="s">
        <v>252</v>
      </c>
      <c r="K486">
        <v>2.5452727160122542E-3</v>
      </c>
      <c r="L486" t="s">
        <v>153</v>
      </c>
      <c r="N486" t="s">
        <v>204</v>
      </c>
      <c r="O486" t="s">
        <v>252</v>
      </c>
      <c r="P486">
        <v>5.3166936904955808E-3</v>
      </c>
      <c r="Q486" t="s">
        <v>153</v>
      </c>
    </row>
    <row r="487" spans="9:17" x14ac:dyDescent="0.45">
      <c r="I487" t="s">
        <v>175</v>
      </c>
      <c r="J487" t="s">
        <v>253</v>
      </c>
      <c r="K487">
        <v>2.3447072980859098E-2</v>
      </c>
      <c r="L487" t="s">
        <v>153</v>
      </c>
      <c r="N487" t="s">
        <v>204</v>
      </c>
      <c r="O487" t="s">
        <v>253</v>
      </c>
      <c r="P487">
        <v>1.7637616735922301E-2</v>
      </c>
      <c r="Q487" t="s">
        <v>153</v>
      </c>
    </row>
    <row r="488" spans="9:17" x14ac:dyDescent="0.45">
      <c r="I488" t="s">
        <v>175</v>
      </c>
      <c r="J488" t="s">
        <v>254</v>
      </c>
      <c r="K488">
        <v>1.6673022323397215E-3</v>
      </c>
      <c r="L488" t="s">
        <v>153</v>
      </c>
      <c r="N488" t="s">
        <v>204</v>
      </c>
      <c r="O488" t="s">
        <v>254</v>
      </c>
      <c r="P488">
        <v>9.6666147249203623E-4</v>
      </c>
      <c r="Q488" t="s">
        <v>153</v>
      </c>
    </row>
    <row r="489" spans="9:17" x14ac:dyDescent="0.45">
      <c r="I489" t="s">
        <v>175</v>
      </c>
      <c r="J489" t="s">
        <v>267</v>
      </c>
      <c r="K489">
        <v>9.1912315161262902E-4</v>
      </c>
      <c r="L489" t="s">
        <v>153</v>
      </c>
      <c r="N489" t="s">
        <v>204</v>
      </c>
      <c r="O489" t="s">
        <v>267</v>
      </c>
      <c r="P489">
        <v>1.5752355305566179E-3</v>
      </c>
      <c r="Q489" t="s">
        <v>153</v>
      </c>
    </row>
    <row r="490" spans="9:17" x14ac:dyDescent="0.45">
      <c r="I490" t="s">
        <v>175</v>
      </c>
      <c r="J490" t="s">
        <v>268</v>
      </c>
      <c r="K490">
        <v>0</v>
      </c>
      <c r="L490" t="s">
        <v>153</v>
      </c>
      <c r="N490" t="s">
        <v>204</v>
      </c>
      <c r="O490" t="s">
        <v>268</v>
      </c>
      <c r="P490">
        <v>1.6967729628722481E-2</v>
      </c>
      <c r="Q490" t="s">
        <v>153</v>
      </c>
    </row>
    <row r="491" spans="9:17" x14ac:dyDescent="0.45">
      <c r="I491" t="s">
        <v>176</v>
      </c>
      <c r="J491" t="s">
        <v>152</v>
      </c>
      <c r="K491">
        <v>1.4254105475636616E-2</v>
      </c>
      <c r="L491" t="s">
        <v>153</v>
      </c>
      <c r="N491" t="s">
        <v>205</v>
      </c>
      <c r="O491" t="s">
        <v>152</v>
      </c>
      <c r="P491">
        <v>0.17465679657183042</v>
      </c>
      <c r="Q491" t="s">
        <v>153</v>
      </c>
    </row>
    <row r="492" spans="9:17" x14ac:dyDescent="0.45">
      <c r="I492" t="s">
        <v>176</v>
      </c>
      <c r="J492" t="s">
        <v>154</v>
      </c>
      <c r="K492">
        <v>4.2959551407051759E-2</v>
      </c>
      <c r="L492" t="s">
        <v>153</v>
      </c>
      <c r="N492" t="s">
        <v>205</v>
      </c>
      <c r="O492" t="s">
        <v>154</v>
      </c>
      <c r="P492">
        <v>2.3158744713762541E-2</v>
      </c>
      <c r="Q492" t="s">
        <v>153</v>
      </c>
    </row>
    <row r="493" spans="9:17" x14ac:dyDescent="0.45">
      <c r="I493" t="s">
        <v>176</v>
      </c>
      <c r="J493" t="s">
        <v>155</v>
      </c>
      <c r="K493">
        <v>6.5226761204577946E-2</v>
      </c>
      <c r="L493" t="s">
        <v>153</v>
      </c>
      <c r="N493" t="s">
        <v>205</v>
      </c>
      <c r="O493" t="s">
        <v>155</v>
      </c>
      <c r="P493">
        <v>2.6911456719500217E-2</v>
      </c>
      <c r="Q493" t="s">
        <v>153</v>
      </c>
    </row>
    <row r="494" spans="9:17" x14ac:dyDescent="0.45">
      <c r="I494" t="s">
        <v>176</v>
      </c>
      <c r="J494" t="s">
        <v>232</v>
      </c>
      <c r="K494">
        <v>8.0061439971389953E-2</v>
      </c>
      <c r="L494" t="s">
        <v>153</v>
      </c>
      <c r="N494" t="s">
        <v>205</v>
      </c>
      <c r="O494" t="s">
        <v>232</v>
      </c>
      <c r="P494">
        <v>2.9286107294838871E-2</v>
      </c>
      <c r="Q494" t="s">
        <v>153</v>
      </c>
    </row>
    <row r="495" spans="9:17" x14ac:dyDescent="0.45">
      <c r="I495" t="s">
        <v>176</v>
      </c>
      <c r="J495" t="s">
        <v>233</v>
      </c>
      <c r="K495">
        <v>0.56140120808842042</v>
      </c>
      <c r="L495" t="s">
        <v>153</v>
      </c>
      <c r="N495" t="s">
        <v>205</v>
      </c>
      <c r="O495" t="s">
        <v>233</v>
      </c>
      <c r="P495">
        <v>0.24595577307896896</v>
      </c>
      <c r="Q495" t="s">
        <v>153</v>
      </c>
    </row>
    <row r="496" spans="9:17" x14ac:dyDescent="0.45">
      <c r="I496" t="s">
        <v>176</v>
      </c>
      <c r="J496" t="s">
        <v>234</v>
      </c>
      <c r="K496">
        <v>3.2692927632176245E-2</v>
      </c>
      <c r="L496" t="s">
        <v>153</v>
      </c>
      <c r="N496" t="s">
        <v>205</v>
      </c>
      <c r="O496" t="s">
        <v>234</v>
      </c>
      <c r="P496">
        <v>3.3179042340436227E-2</v>
      </c>
      <c r="Q496" t="s">
        <v>153</v>
      </c>
    </row>
    <row r="497" spans="9:17" x14ac:dyDescent="0.45">
      <c r="I497" t="s">
        <v>176</v>
      </c>
      <c r="J497" t="s">
        <v>259</v>
      </c>
      <c r="K497">
        <v>5.0287687991934123E-3</v>
      </c>
      <c r="L497" t="s">
        <v>153</v>
      </c>
      <c r="N497" t="s">
        <v>205</v>
      </c>
      <c r="O497" t="s">
        <v>259</v>
      </c>
      <c r="P497">
        <v>3.1473692050087584E-2</v>
      </c>
      <c r="Q497" t="s">
        <v>153</v>
      </c>
    </row>
    <row r="498" spans="9:17" x14ac:dyDescent="0.45">
      <c r="I498" t="s">
        <v>176</v>
      </c>
      <c r="J498" t="s">
        <v>260</v>
      </c>
      <c r="K498">
        <v>0</v>
      </c>
      <c r="L498" t="s">
        <v>153</v>
      </c>
      <c r="N498" t="s">
        <v>205</v>
      </c>
      <c r="O498" t="s">
        <v>260</v>
      </c>
      <c r="P498">
        <v>0.13710681742642009</v>
      </c>
      <c r="Q498" t="s">
        <v>153</v>
      </c>
    </row>
    <row r="499" spans="9:17" x14ac:dyDescent="0.45">
      <c r="I499" t="s">
        <v>176</v>
      </c>
      <c r="J499" t="s">
        <v>156</v>
      </c>
      <c r="K499">
        <v>5.7984588568596451E-4</v>
      </c>
      <c r="L499" t="s">
        <v>153</v>
      </c>
      <c r="N499" t="s">
        <v>205</v>
      </c>
      <c r="O499" t="s">
        <v>156</v>
      </c>
      <c r="P499">
        <v>1.6454665869535777E-3</v>
      </c>
      <c r="Q499" t="s">
        <v>153</v>
      </c>
    </row>
    <row r="500" spans="9:17" x14ac:dyDescent="0.45">
      <c r="I500" t="s">
        <v>176</v>
      </c>
      <c r="J500" t="s">
        <v>157</v>
      </c>
      <c r="K500">
        <v>1.3584152665803671E-3</v>
      </c>
      <c r="L500" t="s">
        <v>153</v>
      </c>
      <c r="N500" t="s">
        <v>205</v>
      </c>
      <c r="O500" t="s">
        <v>157</v>
      </c>
      <c r="P500">
        <v>2.1027306457542663E-4</v>
      </c>
      <c r="Q500" t="s">
        <v>153</v>
      </c>
    </row>
    <row r="501" spans="9:17" x14ac:dyDescent="0.45">
      <c r="I501" t="s">
        <v>176</v>
      </c>
      <c r="J501" t="s">
        <v>158</v>
      </c>
      <c r="K501">
        <v>2.0851607382159076E-3</v>
      </c>
      <c r="L501" t="s">
        <v>153</v>
      </c>
      <c r="N501" t="s">
        <v>205</v>
      </c>
      <c r="O501" t="s">
        <v>158</v>
      </c>
      <c r="P501">
        <v>2.4151271029656767E-4</v>
      </c>
      <c r="Q501" t="s">
        <v>153</v>
      </c>
    </row>
    <row r="502" spans="9:17" x14ac:dyDescent="0.45">
      <c r="I502" t="s">
        <v>176</v>
      </c>
      <c r="J502" t="s">
        <v>235</v>
      </c>
      <c r="K502">
        <v>2.584147988244558E-3</v>
      </c>
      <c r="L502" t="s">
        <v>153</v>
      </c>
      <c r="N502" t="s">
        <v>205</v>
      </c>
      <c r="O502" t="s">
        <v>235</v>
      </c>
      <c r="P502">
        <v>2.5768240515866976E-4</v>
      </c>
      <c r="Q502" t="s">
        <v>153</v>
      </c>
    </row>
    <row r="503" spans="9:17" x14ac:dyDescent="0.45">
      <c r="I503" t="s">
        <v>176</v>
      </c>
      <c r="J503" t="s">
        <v>236</v>
      </c>
      <c r="K503">
        <v>1.5326134974567819E-2</v>
      </c>
      <c r="L503" t="s">
        <v>153</v>
      </c>
      <c r="N503" t="s">
        <v>205</v>
      </c>
      <c r="O503" t="s">
        <v>236</v>
      </c>
      <c r="P503">
        <v>1.6315654591708205E-3</v>
      </c>
      <c r="Q503" t="s">
        <v>153</v>
      </c>
    </row>
    <row r="504" spans="9:17" x14ac:dyDescent="0.45">
      <c r="I504" t="s">
        <v>176</v>
      </c>
      <c r="J504" t="s">
        <v>237</v>
      </c>
      <c r="K504">
        <v>5.2108303686143804E-4</v>
      </c>
      <c r="L504" t="s">
        <v>153</v>
      </c>
      <c r="N504" t="s">
        <v>205</v>
      </c>
      <c r="O504" t="s">
        <v>237</v>
      </c>
      <c r="P504">
        <v>6.0698672829444646E-5</v>
      </c>
      <c r="Q504" t="s">
        <v>153</v>
      </c>
    </row>
    <row r="505" spans="9:17" x14ac:dyDescent="0.45">
      <c r="I505" t="s">
        <v>176</v>
      </c>
      <c r="J505" t="s">
        <v>261</v>
      </c>
      <c r="K505">
        <v>0</v>
      </c>
      <c r="L505" t="s">
        <v>153</v>
      </c>
      <c r="N505" t="s">
        <v>205</v>
      </c>
      <c r="O505" t="s">
        <v>261</v>
      </c>
      <c r="P505">
        <v>7.0127609362481293E-5</v>
      </c>
      <c r="Q505" t="s">
        <v>153</v>
      </c>
    </row>
    <row r="506" spans="9:17" x14ac:dyDescent="0.45">
      <c r="I506" t="s">
        <v>176</v>
      </c>
      <c r="J506" t="s">
        <v>262</v>
      </c>
      <c r="K506">
        <v>0</v>
      </c>
      <c r="L506" t="s">
        <v>153</v>
      </c>
      <c r="N506" t="s">
        <v>205</v>
      </c>
      <c r="O506" t="s">
        <v>262</v>
      </c>
      <c r="P506">
        <v>3.5903244553520396E-4</v>
      </c>
      <c r="Q506" t="s">
        <v>153</v>
      </c>
    </row>
    <row r="507" spans="9:17" x14ac:dyDescent="0.45">
      <c r="I507" t="s">
        <v>176</v>
      </c>
      <c r="J507" t="s">
        <v>159</v>
      </c>
      <c r="K507">
        <v>2.0333964397858352E-3</v>
      </c>
      <c r="L507" t="s">
        <v>153</v>
      </c>
      <c r="N507" t="s">
        <v>205</v>
      </c>
      <c r="O507" t="s">
        <v>159</v>
      </c>
      <c r="P507">
        <v>7.9771290791777159E-3</v>
      </c>
      <c r="Q507" t="s">
        <v>153</v>
      </c>
    </row>
    <row r="508" spans="9:17" x14ac:dyDescent="0.45">
      <c r="I508" t="s">
        <v>176</v>
      </c>
      <c r="J508" t="s">
        <v>160</v>
      </c>
      <c r="K508">
        <v>3.9899422192992114E-3</v>
      </c>
      <c r="L508" t="s">
        <v>153</v>
      </c>
      <c r="N508" t="s">
        <v>205</v>
      </c>
      <c r="O508" t="s">
        <v>160</v>
      </c>
      <c r="P508">
        <v>1.2782771848725873E-3</v>
      </c>
      <c r="Q508" t="s">
        <v>153</v>
      </c>
    </row>
    <row r="509" spans="9:17" x14ac:dyDescent="0.45">
      <c r="I509" t="s">
        <v>176</v>
      </c>
      <c r="J509" t="s">
        <v>161</v>
      </c>
      <c r="K509">
        <v>5.8630797932762158E-3</v>
      </c>
      <c r="L509" t="s">
        <v>153</v>
      </c>
      <c r="N509" t="s">
        <v>205</v>
      </c>
      <c r="O509" t="s">
        <v>161</v>
      </c>
      <c r="P509">
        <v>1.5237296962883234E-3</v>
      </c>
      <c r="Q509" t="s">
        <v>153</v>
      </c>
    </row>
    <row r="510" spans="9:17" x14ac:dyDescent="0.45">
      <c r="I510" t="s">
        <v>176</v>
      </c>
      <c r="J510" t="s">
        <v>238</v>
      </c>
      <c r="K510">
        <v>7.0006379987818538E-3</v>
      </c>
      <c r="L510" t="s">
        <v>153</v>
      </c>
      <c r="N510" t="s">
        <v>205</v>
      </c>
      <c r="O510" t="s">
        <v>238</v>
      </c>
      <c r="P510">
        <v>2.2492515769778894E-3</v>
      </c>
      <c r="Q510" t="s">
        <v>153</v>
      </c>
    </row>
    <row r="511" spans="9:17" x14ac:dyDescent="0.45">
      <c r="I511" t="s">
        <v>176</v>
      </c>
      <c r="J511" t="s">
        <v>239</v>
      </c>
      <c r="K511">
        <v>4.3092199090434359E-2</v>
      </c>
      <c r="L511" t="s">
        <v>153</v>
      </c>
      <c r="N511" t="s">
        <v>205</v>
      </c>
      <c r="O511" t="s">
        <v>239</v>
      </c>
      <c r="P511">
        <v>1.6835262623511198E-2</v>
      </c>
      <c r="Q511" t="s">
        <v>153</v>
      </c>
    </row>
    <row r="512" spans="9:17" x14ac:dyDescent="0.45">
      <c r="I512" t="s">
        <v>176</v>
      </c>
      <c r="J512" t="s">
        <v>240</v>
      </c>
      <c r="K512">
        <v>2.1266654101429099E-3</v>
      </c>
      <c r="L512" t="s">
        <v>153</v>
      </c>
      <c r="N512" t="s">
        <v>205</v>
      </c>
      <c r="O512" t="s">
        <v>240</v>
      </c>
      <c r="P512">
        <v>1.3588579661234085E-3</v>
      </c>
      <c r="Q512" t="s">
        <v>153</v>
      </c>
    </row>
    <row r="513" spans="9:17" x14ac:dyDescent="0.45">
      <c r="I513" t="s">
        <v>176</v>
      </c>
      <c r="J513" t="s">
        <v>263</v>
      </c>
      <c r="K513">
        <v>0</v>
      </c>
      <c r="L513" t="s">
        <v>153</v>
      </c>
      <c r="N513" t="s">
        <v>205</v>
      </c>
      <c r="O513" t="s">
        <v>263</v>
      </c>
      <c r="P513">
        <v>1.3738247536328879E-3</v>
      </c>
      <c r="Q513" t="s">
        <v>153</v>
      </c>
    </row>
    <row r="514" spans="9:17" x14ac:dyDescent="0.45">
      <c r="I514" t="s">
        <v>176</v>
      </c>
      <c r="J514" t="s">
        <v>264</v>
      </c>
      <c r="K514">
        <v>0</v>
      </c>
      <c r="L514" t="s">
        <v>153</v>
      </c>
      <c r="N514" t="s">
        <v>205</v>
      </c>
      <c r="O514" t="s">
        <v>264</v>
      </c>
      <c r="P514">
        <v>6.8828137494962591E-3</v>
      </c>
      <c r="Q514" t="s">
        <v>153</v>
      </c>
    </row>
    <row r="515" spans="9:17" x14ac:dyDescent="0.45">
      <c r="I515" t="s">
        <v>176</v>
      </c>
      <c r="J515" t="s">
        <v>162</v>
      </c>
      <c r="K515">
        <v>6.4079828709979764E-4</v>
      </c>
      <c r="L515" t="s">
        <v>153</v>
      </c>
      <c r="N515" t="s">
        <v>205</v>
      </c>
      <c r="O515" t="s">
        <v>162</v>
      </c>
      <c r="P515">
        <v>3.8064245439253699E-2</v>
      </c>
      <c r="Q515" t="s">
        <v>153</v>
      </c>
    </row>
    <row r="516" spans="9:17" x14ac:dyDescent="0.45">
      <c r="I516" t="s">
        <v>176</v>
      </c>
      <c r="J516" t="s">
        <v>163</v>
      </c>
      <c r="K516">
        <v>3.7981306423821026E-3</v>
      </c>
      <c r="L516" t="s">
        <v>153</v>
      </c>
      <c r="N516" t="s">
        <v>205</v>
      </c>
      <c r="O516" t="s">
        <v>163</v>
      </c>
      <c r="P516">
        <v>7.0489669008256105E-3</v>
      </c>
      <c r="Q516" t="s">
        <v>153</v>
      </c>
    </row>
    <row r="517" spans="9:17" x14ac:dyDescent="0.45">
      <c r="I517" t="s">
        <v>176</v>
      </c>
      <c r="J517" t="s">
        <v>164</v>
      </c>
      <c r="K517">
        <v>6.134976642271881E-3</v>
      </c>
      <c r="L517" t="s">
        <v>153</v>
      </c>
      <c r="N517" t="s">
        <v>205</v>
      </c>
      <c r="O517" t="s">
        <v>164</v>
      </c>
      <c r="P517">
        <v>7.68005016103599E-3</v>
      </c>
      <c r="Q517" t="s">
        <v>153</v>
      </c>
    </row>
    <row r="518" spans="9:17" x14ac:dyDescent="0.45">
      <c r="I518" t="s">
        <v>176</v>
      </c>
      <c r="J518" t="s">
        <v>241</v>
      </c>
      <c r="K518">
        <v>7.5724534994892649E-3</v>
      </c>
      <c r="L518" t="s">
        <v>153</v>
      </c>
      <c r="N518" t="s">
        <v>205</v>
      </c>
      <c r="O518" t="s">
        <v>241</v>
      </c>
      <c r="P518">
        <v>8.3391687590412839E-3</v>
      </c>
      <c r="Q518" t="s">
        <v>153</v>
      </c>
    </row>
    <row r="519" spans="9:17" x14ac:dyDescent="0.45">
      <c r="I519" t="s">
        <v>176</v>
      </c>
      <c r="J519" t="s">
        <v>242</v>
      </c>
      <c r="K519">
        <v>4.9263031241043649E-2</v>
      </c>
      <c r="L519" t="s">
        <v>153</v>
      </c>
      <c r="N519" t="s">
        <v>205</v>
      </c>
      <c r="O519" t="s">
        <v>242</v>
      </c>
      <c r="P519">
        <v>4.8297397403367304E-2</v>
      </c>
      <c r="Q519" t="s">
        <v>153</v>
      </c>
    </row>
    <row r="520" spans="9:17" x14ac:dyDescent="0.45">
      <c r="I520" t="s">
        <v>176</v>
      </c>
      <c r="J520" t="s">
        <v>243</v>
      </c>
      <c r="K520">
        <v>2.1151422329805892E-3</v>
      </c>
      <c r="L520" t="s">
        <v>153</v>
      </c>
      <c r="N520" t="s">
        <v>205</v>
      </c>
      <c r="O520" t="s">
        <v>243</v>
      </c>
      <c r="P520">
        <v>4.2131330772493666E-3</v>
      </c>
      <c r="Q520" t="s">
        <v>153</v>
      </c>
    </row>
    <row r="521" spans="9:17" x14ac:dyDescent="0.45">
      <c r="I521" t="s">
        <v>176</v>
      </c>
      <c r="J521" t="s">
        <v>265</v>
      </c>
      <c r="K521">
        <v>0</v>
      </c>
      <c r="L521" t="s">
        <v>153</v>
      </c>
      <c r="N521" t="s">
        <v>205</v>
      </c>
      <c r="O521" t="s">
        <v>265</v>
      </c>
      <c r="P521">
        <v>4.1258488499420704E-3</v>
      </c>
      <c r="Q521" t="s">
        <v>153</v>
      </c>
    </row>
    <row r="522" spans="9:17" x14ac:dyDescent="0.45">
      <c r="I522" t="s">
        <v>176</v>
      </c>
      <c r="J522" t="s">
        <v>266</v>
      </c>
      <c r="K522">
        <v>0</v>
      </c>
      <c r="L522" t="s">
        <v>153</v>
      </c>
      <c r="N522" t="s">
        <v>205</v>
      </c>
      <c r="O522" t="s">
        <v>266</v>
      </c>
      <c r="P522">
        <v>2.0294188868990103E-2</v>
      </c>
      <c r="Q522" t="s">
        <v>153</v>
      </c>
    </row>
    <row r="523" spans="9:17" x14ac:dyDescent="0.45">
      <c r="I523" t="s">
        <v>176</v>
      </c>
      <c r="J523" t="s">
        <v>249</v>
      </c>
      <c r="K523">
        <v>0</v>
      </c>
      <c r="L523" t="s">
        <v>153</v>
      </c>
      <c r="N523" t="s">
        <v>205</v>
      </c>
      <c r="O523" t="s">
        <v>249</v>
      </c>
      <c r="P523">
        <v>3.1072206505401372E-2</v>
      </c>
      <c r="Q523" t="s">
        <v>153</v>
      </c>
    </row>
    <row r="524" spans="9:17" x14ac:dyDescent="0.45">
      <c r="I524" t="s">
        <v>176</v>
      </c>
      <c r="J524" t="s">
        <v>250</v>
      </c>
      <c r="K524">
        <v>2.5892779382901297E-3</v>
      </c>
      <c r="L524" t="s">
        <v>153</v>
      </c>
      <c r="N524" t="s">
        <v>205</v>
      </c>
      <c r="O524" t="s">
        <v>250</v>
      </c>
      <c r="P524">
        <v>5.4229249324229869E-3</v>
      </c>
      <c r="Q524" t="s">
        <v>153</v>
      </c>
    </row>
    <row r="525" spans="9:17" x14ac:dyDescent="0.45">
      <c r="I525" t="s">
        <v>176</v>
      </c>
      <c r="J525" t="s">
        <v>251</v>
      </c>
      <c r="K525">
        <v>4.2986700716604893E-3</v>
      </c>
      <c r="L525" t="s">
        <v>153</v>
      </c>
      <c r="N525" t="s">
        <v>205</v>
      </c>
      <c r="O525" t="s">
        <v>251</v>
      </c>
      <c r="P525">
        <v>5.8736463637410934E-3</v>
      </c>
      <c r="Q525" t="s">
        <v>153</v>
      </c>
    </row>
    <row r="526" spans="9:17" x14ac:dyDescent="0.45">
      <c r="I526" t="s">
        <v>176</v>
      </c>
      <c r="J526" t="s">
        <v>252</v>
      </c>
      <c r="K526">
        <v>5.1815078446484503E-3</v>
      </c>
      <c r="L526" t="s">
        <v>153</v>
      </c>
      <c r="N526" t="s">
        <v>205</v>
      </c>
      <c r="O526" t="s">
        <v>252</v>
      </c>
      <c r="P526">
        <v>6.4202057120904274E-3</v>
      </c>
      <c r="Q526" t="s">
        <v>153</v>
      </c>
    </row>
    <row r="527" spans="9:17" x14ac:dyDescent="0.45">
      <c r="I527" t="s">
        <v>176</v>
      </c>
      <c r="J527" t="s">
        <v>253</v>
      </c>
      <c r="K527">
        <v>2.844925824924267E-2</v>
      </c>
      <c r="L527" t="s">
        <v>153</v>
      </c>
      <c r="N527" t="s">
        <v>205</v>
      </c>
      <c r="O527" t="s">
        <v>253</v>
      </c>
      <c r="P527">
        <v>4.0274214508007833E-2</v>
      </c>
      <c r="Q527" t="s">
        <v>153</v>
      </c>
    </row>
    <row r="528" spans="9:17" x14ac:dyDescent="0.45">
      <c r="I528" t="s">
        <v>176</v>
      </c>
      <c r="J528" t="s">
        <v>254</v>
      </c>
      <c r="K528">
        <v>1.7712819305692874E-3</v>
      </c>
      <c r="L528" t="s">
        <v>153</v>
      </c>
      <c r="N528" t="s">
        <v>205</v>
      </c>
      <c r="O528" t="s">
        <v>254</v>
      </c>
      <c r="P528">
        <v>4.2423745665147667E-3</v>
      </c>
      <c r="Q528" t="s">
        <v>153</v>
      </c>
    </row>
    <row r="529" spans="9:17" x14ac:dyDescent="0.45">
      <c r="I529" t="s">
        <v>176</v>
      </c>
      <c r="J529" t="s">
        <v>267</v>
      </c>
      <c r="K529">
        <v>0</v>
      </c>
      <c r="L529" t="s">
        <v>153</v>
      </c>
      <c r="N529" t="s">
        <v>205</v>
      </c>
      <c r="O529" t="s">
        <v>267</v>
      </c>
      <c r="P529">
        <v>4.271430566935016E-3</v>
      </c>
      <c r="Q529" t="s">
        <v>153</v>
      </c>
    </row>
    <row r="530" spans="9:17" x14ac:dyDescent="0.45">
      <c r="I530" t="s">
        <v>176</v>
      </c>
      <c r="J530" t="s">
        <v>268</v>
      </c>
      <c r="K530">
        <v>0</v>
      </c>
      <c r="L530" t="s">
        <v>153</v>
      </c>
      <c r="N530" t="s">
        <v>205</v>
      </c>
      <c r="O530" t="s">
        <v>268</v>
      </c>
      <c r="P530">
        <v>1.8676061605374751E-2</v>
      </c>
      <c r="Q530" t="s">
        <v>153</v>
      </c>
    </row>
    <row r="531" spans="9:17" x14ac:dyDescent="0.45">
      <c r="I531" t="s">
        <v>177</v>
      </c>
      <c r="J531" t="s">
        <v>152</v>
      </c>
      <c r="K531">
        <v>1.7373154134707487E-2</v>
      </c>
      <c r="L531" t="s">
        <v>153</v>
      </c>
      <c r="N531" t="s">
        <v>206</v>
      </c>
      <c r="O531" t="s">
        <v>152</v>
      </c>
      <c r="P531">
        <v>0.16161909798467469</v>
      </c>
      <c r="Q531" t="s">
        <v>153</v>
      </c>
    </row>
    <row r="532" spans="9:17" x14ac:dyDescent="0.45">
      <c r="I532" t="s">
        <v>177</v>
      </c>
      <c r="J532" t="s">
        <v>154</v>
      </c>
      <c r="K532">
        <v>4.4929568034338674E-2</v>
      </c>
      <c r="L532" t="s">
        <v>153</v>
      </c>
      <c r="N532" t="s">
        <v>206</v>
      </c>
      <c r="O532" t="s">
        <v>154</v>
      </c>
      <c r="P532">
        <v>1.7217182039518275E-2</v>
      </c>
      <c r="Q532" t="s">
        <v>153</v>
      </c>
    </row>
    <row r="533" spans="9:17" x14ac:dyDescent="0.45">
      <c r="I533" t="s">
        <v>177</v>
      </c>
      <c r="J533" t="s">
        <v>155</v>
      </c>
      <c r="K533">
        <v>6.7360959377724738E-2</v>
      </c>
      <c r="L533" t="s">
        <v>153</v>
      </c>
      <c r="N533" t="s">
        <v>206</v>
      </c>
      <c r="O533" t="s">
        <v>155</v>
      </c>
      <c r="P533">
        <v>2.3312846672694315E-2</v>
      </c>
      <c r="Q533" t="s">
        <v>153</v>
      </c>
    </row>
    <row r="534" spans="9:17" x14ac:dyDescent="0.45">
      <c r="I534" t="s">
        <v>177</v>
      </c>
      <c r="J534" t="s">
        <v>232</v>
      </c>
      <c r="K534">
        <v>8.2924992000171865E-2</v>
      </c>
      <c r="L534" t="s">
        <v>153</v>
      </c>
      <c r="N534" t="s">
        <v>206</v>
      </c>
      <c r="O534" t="s">
        <v>232</v>
      </c>
      <c r="P534">
        <v>2.8680237724976042E-2</v>
      </c>
      <c r="Q534" t="s">
        <v>153</v>
      </c>
    </row>
    <row r="535" spans="9:17" x14ac:dyDescent="0.45">
      <c r="I535" t="s">
        <v>177</v>
      </c>
      <c r="J535" t="s">
        <v>233</v>
      </c>
      <c r="K535">
        <v>0.57304698887186711</v>
      </c>
      <c r="L535" t="s">
        <v>153</v>
      </c>
      <c r="N535" t="s">
        <v>206</v>
      </c>
      <c r="O535" t="s">
        <v>233</v>
      </c>
      <c r="P535">
        <v>0.29304764783600745</v>
      </c>
      <c r="Q535" t="s">
        <v>153</v>
      </c>
    </row>
    <row r="536" spans="9:17" x14ac:dyDescent="0.45">
      <c r="I536" t="s">
        <v>177</v>
      </c>
      <c r="J536" t="s">
        <v>234</v>
      </c>
      <c r="K536">
        <v>2.9262206246777736E-2</v>
      </c>
      <c r="L536" t="s">
        <v>153</v>
      </c>
      <c r="N536" t="s">
        <v>206</v>
      </c>
      <c r="O536" t="s">
        <v>234</v>
      </c>
      <c r="P536">
        <v>3.7856506947542327E-2</v>
      </c>
      <c r="Q536" t="s">
        <v>153</v>
      </c>
    </row>
    <row r="537" spans="9:17" x14ac:dyDescent="0.45">
      <c r="I537" t="s">
        <v>177</v>
      </c>
      <c r="J537" t="s">
        <v>259</v>
      </c>
      <c r="K537">
        <v>8.4433158669847662E-4</v>
      </c>
      <c r="L537" t="s">
        <v>153</v>
      </c>
      <c r="N537" t="s">
        <v>206</v>
      </c>
      <c r="O537" t="s">
        <v>259</v>
      </c>
      <c r="P537">
        <v>3.7445702053491625E-2</v>
      </c>
      <c r="Q537" t="s">
        <v>153</v>
      </c>
    </row>
    <row r="538" spans="9:17" x14ac:dyDescent="0.45">
      <c r="I538" t="s">
        <v>177</v>
      </c>
      <c r="J538" t="s">
        <v>260</v>
      </c>
      <c r="K538">
        <v>0</v>
      </c>
      <c r="L538" t="s">
        <v>153</v>
      </c>
      <c r="N538" t="s">
        <v>206</v>
      </c>
      <c r="O538" t="s">
        <v>260</v>
      </c>
      <c r="P538">
        <v>0.14947828815558203</v>
      </c>
      <c r="Q538" t="s">
        <v>153</v>
      </c>
    </row>
    <row r="539" spans="9:17" x14ac:dyDescent="0.45">
      <c r="I539" t="s">
        <v>177</v>
      </c>
      <c r="J539" t="s">
        <v>156</v>
      </c>
      <c r="K539">
        <v>4.1972394722205166E-4</v>
      </c>
      <c r="L539" t="s">
        <v>153</v>
      </c>
      <c r="N539" t="s">
        <v>206</v>
      </c>
      <c r="O539" t="s">
        <v>156</v>
      </c>
      <c r="P539">
        <v>2.0227386717060094E-3</v>
      </c>
      <c r="Q539" t="s">
        <v>153</v>
      </c>
    </row>
    <row r="540" spans="9:17" x14ac:dyDescent="0.45">
      <c r="I540" t="s">
        <v>177</v>
      </c>
      <c r="J540" t="s">
        <v>157</v>
      </c>
      <c r="K540">
        <v>1.0333750038929754E-3</v>
      </c>
      <c r="L540" t="s">
        <v>153</v>
      </c>
      <c r="N540" t="s">
        <v>206</v>
      </c>
      <c r="O540" t="s">
        <v>157</v>
      </c>
      <c r="P540">
        <v>2.0109749652240963E-4</v>
      </c>
      <c r="Q540" t="s">
        <v>153</v>
      </c>
    </row>
    <row r="541" spans="9:17" x14ac:dyDescent="0.45">
      <c r="I541" t="s">
        <v>177</v>
      </c>
      <c r="J541" t="s">
        <v>158</v>
      </c>
      <c r="K541">
        <v>1.7583118747933211E-3</v>
      </c>
      <c r="L541" t="s">
        <v>153</v>
      </c>
      <c r="N541" t="s">
        <v>206</v>
      </c>
      <c r="O541" t="s">
        <v>158</v>
      </c>
      <c r="P541">
        <v>2.6893236027043701E-4</v>
      </c>
      <c r="Q541" t="s">
        <v>153</v>
      </c>
    </row>
    <row r="542" spans="9:17" x14ac:dyDescent="0.45">
      <c r="I542" t="s">
        <v>177</v>
      </c>
      <c r="J542" t="s">
        <v>235</v>
      </c>
      <c r="K542">
        <v>2.2651011925536291E-3</v>
      </c>
      <c r="L542" t="s">
        <v>153</v>
      </c>
      <c r="N542" t="s">
        <v>206</v>
      </c>
      <c r="O542" t="s">
        <v>235</v>
      </c>
      <c r="P542">
        <v>2.6887318339709258E-4</v>
      </c>
      <c r="Q542" t="s">
        <v>153</v>
      </c>
    </row>
    <row r="543" spans="9:17" x14ac:dyDescent="0.45">
      <c r="I543" t="s">
        <v>177</v>
      </c>
      <c r="J543" t="s">
        <v>236</v>
      </c>
      <c r="K543">
        <v>1.3882923568827886E-2</v>
      </c>
      <c r="L543" t="s">
        <v>153</v>
      </c>
      <c r="N543" t="s">
        <v>206</v>
      </c>
      <c r="O543" t="s">
        <v>236</v>
      </c>
      <c r="P543">
        <v>2.8416977114335026E-3</v>
      </c>
      <c r="Q543" t="s">
        <v>153</v>
      </c>
    </row>
    <row r="544" spans="9:17" x14ac:dyDescent="0.45">
      <c r="I544" t="s">
        <v>177</v>
      </c>
      <c r="J544" t="s">
        <v>237</v>
      </c>
      <c r="K544">
        <v>2.7248089571192452E-4</v>
      </c>
      <c r="L544" t="s">
        <v>153</v>
      </c>
      <c r="N544" t="s">
        <v>206</v>
      </c>
      <c r="O544" t="s">
        <v>237</v>
      </c>
      <c r="P544">
        <v>2.2758764627062153E-4</v>
      </c>
      <c r="Q544" t="s">
        <v>153</v>
      </c>
    </row>
    <row r="545" spans="9:17" x14ac:dyDescent="0.45">
      <c r="I545" t="s">
        <v>177</v>
      </c>
      <c r="J545" t="s">
        <v>261</v>
      </c>
      <c r="K545">
        <v>0</v>
      </c>
      <c r="L545" t="s">
        <v>153</v>
      </c>
      <c r="N545" t="s">
        <v>206</v>
      </c>
      <c r="O545" t="s">
        <v>261</v>
      </c>
      <c r="P545">
        <v>2.1150600929093028E-4</v>
      </c>
      <c r="Q545" t="s">
        <v>153</v>
      </c>
    </row>
    <row r="546" spans="9:17" x14ac:dyDescent="0.45">
      <c r="I546" t="s">
        <v>177</v>
      </c>
      <c r="J546" t="s">
        <v>262</v>
      </c>
      <c r="K546">
        <v>0</v>
      </c>
      <c r="L546" t="s">
        <v>153</v>
      </c>
      <c r="N546" t="s">
        <v>206</v>
      </c>
      <c r="O546" t="s">
        <v>262</v>
      </c>
      <c r="P546">
        <v>8.5609896052337711E-4</v>
      </c>
      <c r="Q546" t="s">
        <v>153</v>
      </c>
    </row>
    <row r="547" spans="9:17" x14ac:dyDescent="0.45">
      <c r="I547" t="s">
        <v>177</v>
      </c>
      <c r="J547" t="s">
        <v>159</v>
      </c>
      <c r="K547">
        <v>1.7291019595047669E-3</v>
      </c>
      <c r="L547" t="s">
        <v>153</v>
      </c>
      <c r="N547" t="s">
        <v>206</v>
      </c>
      <c r="O547" t="s">
        <v>159</v>
      </c>
      <c r="P547">
        <v>2.868333309360122E-3</v>
      </c>
      <c r="Q547" t="s">
        <v>153</v>
      </c>
    </row>
    <row r="548" spans="9:17" x14ac:dyDescent="0.45">
      <c r="I548" t="s">
        <v>177</v>
      </c>
      <c r="J548" t="s">
        <v>160</v>
      </c>
      <c r="K548">
        <v>3.634829892194648E-3</v>
      </c>
      <c r="L548" t="s">
        <v>153</v>
      </c>
      <c r="N548" t="s">
        <v>206</v>
      </c>
      <c r="O548" t="s">
        <v>160</v>
      </c>
      <c r="P548">
        <v>3.5056798764554248E-4</v>
      </c>
      <c r="Q548" t="s">
        <v>153</v>
      </c>
    </row>
    <row r="549" spans="9:17" x14ac:dyDescent="0.45">
      <c r="I549" t="s">
        <v>177</v>
      </c>
      <c r="J549" t="s">
        <v>161</v>
      </c>
      <c r="K549">
        <v>5.7128619192947858E-3</v>
      </c>
      <c r="L549" t="s">
        <v>153</v>
      </c>
      <c r="N549" t="s">
        <v>206</v>
      </c>
      <c r="O549" t="s">
        <v>161</v>
      </c>
      <c r="P549">
        <v>5.2827672363754566E-4</v>
      </c>
      <c r="Q549" t="s">
        <v>153</v>
      </c>
    </row>
    <row r="550" spans="9:17" x14ac:dyDescent="0.45">
      <c r="I550" t="s">
        <v>177</v>
      </c>
      <c r="J550" t="s">
        <v>238</v>
      </c>
      <c r="K550">
        <v>6.7182543773625682E-3</v>
      </c>
      <c r="L550" t="s">
        <v>153</v>
      </c>
      <c r="N550" t="s">
        <v>206</v>
      </c>
      <c r="O550" t="s">
        <v>238</v>
      </c>
      <c r="P550">
        <v>5.8153093620544815E-4</v>
      </c>
      <c r="Q550" t="s">
        <v>153</v>
      </c>
    </row>
    <row r="551" spans="9:17" x14ac:dyDescent="0.45">
      <c r="I551" t="s">
        <v>177</v>
      </c>
      <c r="J551" t="s">
        <v>239</v>
      </c>
      <c r="K551">
        <v>4.1187100500246106E-2</v>
      </c>
      <c r="L551" t="s">
        <v>153</v>
      </c>
      <c r="N551" t="s">
        <v>206</v>
      </c>
      <c r="O551" t="s">
        <v>239</v>
      </c>
      <c r="P551">
        <v>7.8061256308794005E-3</v>
      </c>
      <c r="Q551" t="s">
        <v>153</v>
      </c>
    </row>
    <row r="552" spans="9:17" x14ac:dyDescent="0.45">
      <c r="I552" t="s">
        <v>177</v>
      </c>
      <c r="J552" t="s">
        <v>240</v>
      </c>
      <c r="K552">
        <v>1.4481683302261547E-3</v>
      </c>
      <c r="L552" t="s">
        <v>153</v>
      </c>
      <c r="N552" t="s">
        <v>206</v>
      </c>
      <c r="O552" t="s">
        <v>240</v>
      </c>
      <c r="P552">
        <v>1.1439842690196282E-3</v>
      </c>
      <c r="Q552" t="s">
        <v>153</v>
      </c>
    </row>
    <row r="553" spans="9:17" x14ac:dyDescent="0.45">
      <c r="I553" t="s">
        <v>177</v>
      </c>
      <c r="J553" t="s">
        <v>263</v>
      </c>
      <c r="K553">
        <v>0</v>
      </c>
      <c r="L553" t="s">
        <v>153</v>
      </c>
      <c r="N553" t="s">
        <v>206</v>
      </c>
      <c r="O553" t="s">
        <v>263</v>
      </c>
      <c r="P553">
        <v>1.1222246720238697E-3</v>
      </c>
      <c r="Q553" t="s">
        <v>153</v>
      </c>
    </row>
    <row r="554" spans="9:17" x14ac:dyDescent="0.45">
      <c r="I554" t="s">
        <v>177</v>
      </c>
      <c r="J554" t="s">
        <v>264</v>
      </c>
      <c r="K554">
        <v>0</v>
      </c>
      <c r="L554" t="s">
        <v>153</v>
      </c>
      <c r="N554" t="s">
        <v>206</v>
      </c>
      <c r="O554" t="s">
        <v>264</v>
      </c>
      <c r="P554">
        <v>4.225471231802543E-3</v>
      </c>
      <c r="Q554" t="s">
        <v>153</v>
      </c>
    </row>
    <row r="555" spans="9:17" x14ac:dyDescent="0.45">
      <c r="I555" t="s">
        <v>177</v>
      </c>
      <c r="J555" t="s">
        <v>162</v>
      </c>
      <c r="K555">
        <v>1.7001294387392271E-3</v>
      </c>
      <c r="L555" t="s">
        <v>153</v>
      </c>
      <c r="N555" t="s">
        <v>206</v>
      </c>
      <c r="O555" t="s">
        <v>162</v>
      </c>
      <c r="P555">
        <v>3.1198977058395524E-2</v>
      </c>
      <c r="Q555" t="s">
        <v>153</v>
      </c>
    </row>
    <row r="556" spans="9:17" x14ac:dyDescent="0.45">
      <c r="I556" t="s">
        <v>177</v>
      </c>
      <c r="J556" t="s">
        <v>163</v>
      </c>
      <c r="K556">
        <v>3.8372549885994111E-3</v>
      </c>
      <c r="L556" t="s">
        <v>153</v>
      </c>
      <c r="N556" t="s">
        <v>206</v>
      </c>
      <c r="O556" t="s">
        <v>163</v>
      </c>
      <c r="P556">
        <v>3.8611180902467595E-3</v>
      </c>
      <c r="Q556" t="s">
        <v>153</v>
      </c>
    </row>
    <row r="557" spans="9:17" x14ac:dyDescent="0.45">
      <c r="I557" t="s">
        <v>177</v>
      </c>
      <c r="J557" t="s">
        <v>164</v>
      </c>
      <c r="K557">
        <v>6.1501306549362564E-3</v>
      </c>
      <c r="L557" t="s">
        <v>153</v>
      </c>
      <c r="N557" t="s">
        <v>206</v>
      </c>
      <c r="O557" t="s">
        <v>164</v>
      </c>
      <c r="P557">
        <v>4.9711732532969023E-3</v>
      </c>
      <c r="Q557" t="s">
        <v>153</v>
      </c>
    </row>
    <row r="558" spans="9:17" x14ac:dyDescent="0.45">
      <c r="I558" t="s">
        <v>177</v>
      </c>
      <c r="J558" t="s">
        <v>241</v>
      </c>
      <c r="K558">
        <v>7.5035521005979581E-3</v>
      </c>
      <c r="L558" t="s">
        <v>153</v>
      </c>
      <c r="N558" t="s">
        <v>206</v>
      </c>
      <c r="O558" t="s">
        <v>241</v>
      </c>
      <c r="P558">
        <v>5.9698066898887557E-3</v>
      </c>
      <c r="Q558" t="s">
        <v>153</v>
      </c>
    </row>
    <row r="559" spans="9:17" x14ac:dyDescent="0.45">
      <c r="I559" t="s">
        <v>177</v>
      </c>
      <c r="J559" t="s">
        <v>242</v>
      </c>
      <c r="K559">
        <v>4.6416840524950279E-2</v>
      </c>
      <c r="L559" t="s">
        <v>153</v>
      </c>
      <c r="N559" t="s">
        <v>206</v>
      </c>
      <c r="O559" t="s">
        <v>242</v>
      </c>
      <c r="P559">
        <v>5.2781689200461585E-2</v>
      </c>
      <c r="Q559" t="s">
        <v>153</v>
      </c>
    </row>
    <row r="560" spans="9:17" x14ac:dyDescent="0.45">
      <c r="I560" t="s">
        <v>177</v>
      </c>
      <c r="J560" t="s">
        <v>243</v>
      </c>
      <c r="K560">
        <v>1.7140803791962796E-3</v>
      </c>
      <c r="L560" t="s">
        <v>153</v>
      </c>
      <c r="N560" t="s">
        <v>206</v>
      </c>
      <c r="O560" t="s">
        <v>243</v>
      </c>
      <c r="P560">
        <v>7.3049484900962174E-3</v>
      </c>
      <c r="Q560" t="s">
        <v>153</v>
      </c>
    </row>
    <row r="561" spans="9:17" x14ac:dyDescent="0.45">
      <c r="I561" t="s">
        <v>177</v>
      </c>
      <c r="J561" t="s">
        <v>265</v>
      </c>
      <c r="K561">
        <v>0</v>
      </c>
      <c r="L561" t="s">
        <v>153</v>
      </c>
      <c r="N561" t="s">
        <v>206</v>
      </c>
      <c r="O561" t="s">
        <v>265</v>
      </c>
      <c r="P561">
        <v>7.4816052450478211E-3</v>
      </c>
      <c r="Q561" t="s">
        <v>153</v>
      </c>
    </row>
    <row r="562" spans="9:17" x14ac:dyDescent="0.45">
      <c r="I562" t="s">
        <v>177</v>
      </c>
      <c r="J562" t="s">
        <v>266</v>
      </c>
      <c r="K562">
        <v>0</v>
      </c>
      <c r="L562" t="s">
        <v>153</v>
      </c>
      <c r="N562" t="s">
        <v>206</v>
      </c>
      <c r="O562" t="s">
        <v>266</v>
      </c>
      <c r="P562">
        <v>3.1680285096635161E-2</v>
      </c>
      <c r="Q562" t="s">
        <v>153</v>
      </c>
    </row>
    <row r="563" spans="9:17" x14ac:dyDescent="0.45">
      <c r="I563" t="s">
        <v>177</v>
      </c>
      <c r="J563" t="s">
        <v>249</v>
      </c>
      <c r="K563">
        <v>1.6108043380879425E-4</v>
      </c>
      <c r="L563" t="s">
        <v>153</v>
      </c>
      <c r="N563" t="s">
        <v>206</v>
      </c>
      <c r="O563" t="s">
        <v>249</v>
      </c>
      <c r="P563">
        <v>1.4321686483994728E-2</v>
      </c>
      <c r="Q563" t="s">
        <v>153</v>
      </c>
    </row>
    <row r="564" spans="9:17" x14ac:dyDescent="0.45">
      <c r="I564" t="s">
        <v>177</v>
      </c>
      <c r="J564" t="s">
        <v>250</v>
      </c>
      <c r="K564">
        <v>2.0192364248253713E-3</v>
      </c>
      <c r="L564" t="s">
        <v>153</v>
      </c>
      <c r="N564" t="s">
        <v>206</v>
      </c>
      <c r="O564" t="s">
        <v>250</v>
      </c>
      <c r="P564">
        <v>2.1919182935264598E-3</v>
      </c>
      <c r="Q564" t="s">
        <v>153</v>
      </c>
    </row>
    <row r="565" spans="9:17" x14ac:dyDescent="0.45">
      <c r="I565" t="s">
        <v>177</v>
      </c>
      <c r="J565" t="s">
        <v>251</v>
      </c>
      <c r="K565">
        <v>3.2051766832319633E-3</v>
      </c>
      <c r="L565" t="s">
        <v>153</v>
      </c>
      <c r="N565" t="s">
        <v>206</v>
      </c>
      <c r="O565" t="s">
        <v>251</v>
      </c>
      <c r="P565">
        <v>3.049094746373349E-3</v>
      </c>
      <c r="Q565" t="s">
        <v>153</v>
      </c>
    </row>
    <row r="566" spans="9:17" x14ac:dyDescent="0.45">
      <c r="I566" t="s">
        <v>177</v>
      </c>
      <c r="J566" t="s">
        <v>252</v>
      </c>
      <c r="K566">
        <v>4.1795491285111725E-3</v>
      </c>
      <c r="L566" t="s">
        <v>153</v>
      </c>
      <c r="N566" t="s">
        <v>206</v>
      </c>
      <c r="O566" t="s">
        <v>252</v>
      </c>
      <c r="P566">
        <v>3.7354941208433056E-3</v>
      </c>
      <c r="Q566" t="s">
        <v>153</v>
      </c>
    </row>
    <row r="567" spans="9:17" x14ac:dyDescent="0.45">
      <c r="I567" t="s">
        <v>177</v>
      </c>
      <c r="J567" t="s">
        <v>253</v>
      </c>
      <c r="K567">
        <v>2.6139495950546033E-2</v>
      </c>
      <c r="L567" t="s">
        <v>153</v>
      </c>
      <c r="N567" t="s">
        <v>206</v>
      </c>
      <c r="O567" t="s">
        <v>253</v>
      </c>
      <c r="P567">
        <v>3.1803457132929758E-2</v>
      </c>
      <c r="Q567" t="s">
        <v>153</v>
      </c>
    </row>
    <row r="568" spans="9:17" x14ac:dyDescent="0.45">
      <c r="I568" t="s">
        <v>177</v>
      </c>
      <c r="J568" t="s">
        <v>254</v>
      </c>
      <c r="K568">
        <v>1.169039577939383E-3</v>
      </c>
      <c r="L568" t="s">
        <v>153</v>
      </c>
      <c r="N568" t="s">
        <v>206</v>
      </c>
      <c r="O568" t="s">
        <v>254</v>
      </c>
      <c r="P568">
        <v>3.8049347538443774E-3</v>
      </c>
      <c r="Q568" t="s">
        <v>153</v>
      </c>
    </row>
    <row r="569" spans="9:17" x14ac:dyDescent="0.45">
      <c r="I569" t="s">
        <v>177</v>
      </c>
      <c r="J569" t="s">
        <v>267</v>
      </c>
      <c r="K569">
        <v>0</v>
      </c>
      <c r="L569" t="s">
        <v>153</v>
      </c>
      <c r="N569" t="s">
        <v>206</v>
      </c>
      <c r="O569" t="s">
        <v>267</v>
      </c>
      <c r="P569">
        <v>3.9268865280976664E-3</v>
      </c>
      <c r="Q569" t="s">
        <v>153</v>
      </c>
    </row>
    <row r="570" spans="9:17" x14ac:dyDescent="0.45">
      <c r="I570" t="s">
        <v>177</v>
      </c>
      <c r="J570" t="s">
        <v>268</v>
      </c>
      <c r="K570">
        <v>0</v>
      </c>
      <c r="L570" t="s">
        <v>153</v>
      </c>
      <c r="N570" t="s">
        <v>206</v>
      </c>
      <c r="O570" t="s">
        <v>268</v>
      </c>
      <c r="P570">
        <v>1.7734368601847059E-2</v>
      </c>
      <c r="Q570" t="s">
        <v>153</v>
      </c>
    </row>
    <row r="571" spans="9:17" x14ac:dyDescent="0.45">
      <c r="I571" t="s">
        <v>178</v>
      </c>
      <c r="J571" t="s">
        <v>152</v>
      </c>
      <c r="K571">
        <v>1.5776834016029199E-2</v>
      </c>
      <c r="L571" t="s">
        <v>153</v>
      </c>
      <c r="N571" t="s">
        <v>207</v>
      </c>
      <c r="O571" t="s">
        <v>152</v>
      </c>
      <c r="P571">
        <v>0.15550667215158662</v>
      </c>
      <c r="Q571" t="s">
        <v>153</v>
      </c>
    </row>
    <row r="572" spans="9:17" x14ac:dyDescent="0.45">
      <c r="I572" t="s">
        <v>178</v>
      </c>
      <c r="J572" t="s">
        <v>154</v>
      </c>
      <c r="K572">
        <v>4.4185634322498384E-2</v>
      </c>
      <c r="L572" t="s">
        <v>153</v>
      </c>
      <c r="N572" t="s">
        <v>207</v>
      </c>
      <c r="O572" t="s">
        <v>154</v>
      </c>
      <c r="P572">
        <v>1.9669395027163597E-2</v>
      </c>
      <c r="Q572" t="s">
        <v>153</v>
      </c>
    </row>
    <row r="573" spans="9:17" x14ac:dyDescent="0.45">
      <c r="I573" t="s">
        <v>178</v>
      </c>
      <c r="J573" t="s">
        <v>155</v>
      </c>
      <c r="K573">
        <v>6.4588492156511718E-2</v>
      </c>
      <c r="L573" t="s">
        <v>153</v>
      </c>
      <c r="N573" t="s">
        <v>207</v>
      </c>
      <c r="O573" t="s">
        <v>155</v>
      </c>
      <c r="P573">
        <v>2.8171057259669053E-2</v>
      </c>
      <c r="Q573" t="s">
        <v>153</v>
      </c>
    </row>
    <row r="574" spans="9:17" x14ac:dyDescent="0.45">
      <c r="I574" t="s">
        <v>178</v>
      </c>
      <c r="J574" t="s">
        <v>232</v>
      </c>
      <c r="K574">
        <v>7.9110304725134029E-2</v>
      </c>
      <c r="L574" t="s">
        <v>153</v>
      </c>
      <c r="N574" t="s">
        <v>207</v>
      </c>
      <c r="O574" t="s">
        <v>232</v>
      </c>
      <c r="P574">
        <v>3.5273857307290789E-2</v>
      </c>
      <c r="Q574" t="s">
        <v>153</v>
      </c>
    </row>
    <row r="575" spans="9:17" x14ac:dyDescent="0.45">
      <c r="I575" t="s">
        <v>178</v>
      </c>
      <c r="J575" t="s">
        <v>233</v>
      </c>
      <c r="K575">
        <v>0.56677551940748272</v>
      </c>
      <c r="L575" t="s">
        <v>153</v>
      </c>
      <c r="N575" t="s">
        <v>207</v>
      </c>
      <c r="O575" t="s">
        <v>233</v>
      </c>
      <c r="P575">
        <v>0.34028641216648597</v>
      </c>
      <c r="Q575" t="s">
        <v>153</v>
      </c>
    </row>
    <row r="576" spans="9:17" x14ac:dyDescent="0.45">
      <c r="I576" t="s">
        <v>178</v>
      </c>
      <c r="J576" t="s">
        <v>234</v>
      </c>
      <c r="K576">
        <v>3.4345302959129596E-2</v>
      </c>
      <c r="L576" t="s">
        <v>153</v>
      </c>
      <c r="N576" t="s">
        <v>207</v>
      </c>
      <c r="O576" t="s">
        <v>234</v>
      </c>
      <c r="P576">
        <v>3.8567476039759012E-2</v>
      </c>
      <c r="Q576" t="s">
        <v>153</v>
      </c>
    </row>
    <row r="577" spans="9:17" x14ac:dyDescent="0.45">
      <c r="I577" t="s">
        <v>178</v>
      </c>
      <c r="J577" t="s">
        <v>259</v>
      </c>
      <c r="K577">
        <v>4.3329634490854342E-3</v>
      </c>
      <c r="L577" t="s">
        <v>153</v>
      </c>
      <c r="N577" t="s">
        <v>207</v>
      </c>
      <c r="O577" t="s">
        <v>259</v>
      </c>
      <c r="P577">
        <v>3.4250989699808471E-2</v>
      </c>
      <c r="Q577" t="s">
        <v>153</v>
      </c>
    </row>
    <row r="578" spans="9:17" x14ac:dyDescent="0.45">
      <c r="I578" t="s">
        <v>178</v>
      </c>
      <c r="J578" t="s">
        <v>260</v>
      </c>
      <c r="K578">
        <v>0</v>
      </c>
      <c r="L578" t="s">
        <v>153</v>
      </c>
      <c r="N578" t="s">
        <v>207</v>
      </c>
      <c r="O578" t="s">
        <v>260</v>
      </c>
      <c r="P578">
        <v>0.1323782959703167</v>
      </c>
      <c r="Q578" t="s">
        <v>153</v>
      </c>
    </row>
    <row r="579" spans="9:17" x14ac:dyDescent="0.45">
      <c r="I579" t="s">
        <v>178</v>
      </c>
      <c r="J579" t="s">
        <v>156</v>
      </c>
      <c r="K579">
        <v>6.3547307307266229E-4</v>
      </c>
      <c r="L579" t="s">
        <v>153</v>
      </c>
      <c r="N579" t="s">
        <v>207</v>
      </c>
      <c r="O579" t="s">
        <v>156</v>
      </c>
      <c r="P579">
        <v>9.5906745120281271E-4</v>
      </c>
      <c r="Q579" t="s">
        <v>153</v>
      </c>
    </row>
    <row r="580" spans="9:17" x14ac:dyDescent="0.45">
      <c r="I580" t="s">
        <v>178</v>
      </c>
      <c r="J580" t="s">
        <v>157</v>
      </c>
      <c r="K580">
        <v>1.4243828826579416E-3</v>
      </c>
      <c r="L580" t="s">
        <v>153</v>
      </c>
      <c r="N580" t="s">
        <v>207</v>
      </c>
      <c r="O580" t="s">
        <v>157</v>
      </c>
      <c r="P580">
        <v>1.5378465972233014E-4</v>
      </c>
      <c r="Q580" t="s">
        <v>153</v>
      </c>
    </row>
    <row r="581" spans="9:17" x14ac:dyDescent="0.45">
      <c r="I581" t="s">
        <v>178</v>
      </c>
      <c r="J581" t="s">
        <v>158</v>
      </c>
      <c r="K581">
        <v>2.1896415161776787E-3</v>
      </c>
      <c r="L581" t="s">
        <v>153</v>
      </c>
      <c r="N581" t="s">
        <v>207</v>
      </c>
      <c r="O581" t="s">
        <v>158</v>
      </c>
      <c r="P581">
        <v>2.187095522399881E-4</v>
      </c>
      <c r="Q581" t="s">
        <v>153</v>
      </c>
    </row>
    <row r="582" spans="9:17" x14ac:dyDescent="0.45">
      <c r="I582" t="s">
        <v>178</v>
      </c>
      <c r="J582" t="s">
        <v>235</v>
      </c>
      <c r="K582">
        <v>2.6156995852177917E-3</v>
      </c>
      <c r="L582" t="s">
        <v>153</v>
      </c>
      <c r="N582" t="s">
        <v>207</v>
      </c>
      <c r="O582" t="s">
        <v>235</v>
      </c>
      <c r="P582">
        <v>2.9402564580304684E-4</v>
      </c>
      <c r="Q582" t="s">
        <v>153</v>
      </c>
    </row>
    <row r="583" spans="9:17" x14ac:dyDescent="0.45">
      <c r="I583" t="s">
        <v>178</v>
      </c>
      <c r="J583" t="s">
        <v>236</v>
      </c>
      <c r="K583">
        <v>1.6408294972221103E-2</v>
      </c>
      <c r="L583" t="s">
        <v>153</v>
      </c>
      <c r="N583" t="s">
        <v>207</v>
      </c>
      <c r="O583" t="s">
        <v>236</v>
      </c>
      <c r="P583">
        <v>2.4276582386317104E-3</v>
      </c>
      <c r="Q583" t="s">
        <v>153</v>
      </c>
    </row>
    <row r="584" spans="9:17" x14ac:dyDescent="0.45">
      <c r="I584" t="s">
        <v>178</v>
      </c>
      <c r="J584" t="s">
        <v>237</v>
      </c>
      <c r="K584">
        <v>6.1537577966692578E-4</v>
      </c>
      <c r="L584" t="s">
        <v>153</v>
      </c>
      <c r="N584" t="s">
        <v>207</v>
      </c>
      <c r="O584" t="s">
        <v>237</v>
      </c>
      <c r="P584">
        <v>1.6397944402584688E-4</v>
      </c>
      <c r="Q584" t="s">
        <v>153</v>
      </c>
    </row>
    <row r="585" spans="9:17" x14ac:dyDescent="0.45">
      <c r="I585" t="s">
        <v>178</v>
      </c>
      <c r="J585" t="s">
        <v>261</v>
      </c>
      <c r="K585">
        <v>0</v>
      </c>
      <c r="L585" t="s">
        <v>153</v>
      </c>
      <c r="N585" t="s">
        <v>207</v>
      </c>
      <c r="O585" t="s">
        <v>261</v>
      </c>
      <c r="P585">
        <v>1.5568218825426526E-4</v>
      </c>
      <c r="Q585" t="s">
        <v>153</v>
      </c>
    </row>
    <row r="586" spans="9:17" x14ac:dyDescent="0.45">
      <c r="I586" t="s">
        <v>178</v>
      </c>
      <c r="J586" t="s">
        <v>262</v>
      </c>
      <c r="K586">
        <v>0</v>
      </c>
      <c r="L586" t="s">
        <v>153</v>
      </c>
      <c r="N586" t="s">
        <v>207</v>
      </c>
      <c r="O586" t="s">
        <v>262</v>
      </c>
      <c r="P586">
        <v>5.6071100856116423E-4</v>
      </c>
      <c r="Q586" t="s">
        <v>153</v>
      </c>
    </row>
    <row r="587" spans="9:17" x14ac:dyDescent="0.45">
      <c r="I587" t="s">
        <v>178</v>
      </c>
      <c r="J587" t="s">
        <v>159</v>
      </c>
      <c r="K587">
        <v>2.0530466193356711E-3</v>
      </c>
      <c r="L587" t="s">
        <v>153</v>
      </c>
      <c r="N587" t="s">
        <v>207</v>
      </c>
      <c r="O587" t="s">
        <v>159</v>
      </c>
      <c r="P587">
        <v>2.6615837434634596E-3</v>
      </c>
      <c r="Q587" t="s">
        <v>153</v>
      </c>
    </row>
    <row r="588" spans="9:17" x14ac:dyDescent="0.45">
      <c r="I588" t="s">
        <v>178</v>
      </c>
      <c r="J588" t="s">
        <v>160</v>
      </c>
      <c r="K588">
        <v>3.743078931672254E-3</v>
      </c>
      <c r="L588" t="s">
        <v>153</v>
      </c>
      <c r="N588" t="s">
        <v>207</v>
      </c>
      <c r="O588" t="s">
        <v>160</v>
      </c>
      <c r="P588">
        <v>4.0836196323243044E-4</v>
      </c>
      <c r="Q588" t="s">
        <v>153</v>
      </c>
    </row>
    <row r="589" spans="9:17" x14ac:dyDescent="0.45">
      <c r="I589" t="s">
        <v>178</v>
      </c>
      <c r="J589" t="s">
        <v>161</v>
      </c>
      <c r="K589">
        <v>5.4257765196992777E-3</v>
      </c>
      <c r="L589" t="s">
        <v>153</v>
      </c>
      <c r="N589" t="s">
        <v>207</v>
      </c>
      <c r="O589" t="s">
        <v>161</v>
      </c>
      <c r="P589">
        <v>8.1529944936098984E-4</v>
      </c>
      <c r="Q589" t="s">
        <v>153</v>
      </c>
    </row>
    <row r="590" spans="9:17" x14ac:dyDescent="0.45">
      <c r="I590" t="s">
        <v>178</v>
      </c>
      <c r="J590" t="s">
        <v>238</v>
      </c>
      <c r="K590">
        <v>6.2621708832352949E-3</v>
      </c>
      <c r="L590" t="s">
        <v>153</v>
      </c>
      <c r="N590" t="s">
        <v>207</v>
      </c>
      <c r="O590" t="s">
        <v>238</v>
      </c>
      <c r="P590">
        <v>1.2537877839761996E-3</v>
      </c>
      <c r="Q590" t="s">
        <v>153</v>
      </c>
    </row>
    <row r="591" spans="9:17" x14ac:dyDescent="0.45">
      <c r="I591" t="s">
        <v>178</v>
      </c>
      <c r="J591" t="s">
        <v>239</v>
      </c>
      <c r="K591">
        <v>4.4030869591130443E-2</v>
      </c>
      <c r="L591" t="s">
        <v>153</v>
      </c>
      <c r="N591" t="s">
        <v>207</v>
      </c>
      <c r="O591" t="s">
        <v>239</v>
      </c>
      <c r="P591">
        <v>1.248705388174224E-2</v>
      </c>
      <c r="Q591" t="s">
        <v>153</v>
      </c>
    </row>
    <row r="592" spans="9:17" x14ac:dyDescent="0.45">
      <c r="I592" t="s">
        <v>178</v>
      </c>
      <c r="J592" t="s">
        <v>240</v>
      </c>
      <c r="K592">
        <v>2.5079564103166426E-3</v>
      </c>
      <c r="L592" t="s">
        <v>153</v>
      </c>
      <c r="N592" t="s">
        <v>207</v>
      </c>
      <c r="O592" t="s">
        <v>240</v>
      </c>
      <c r="P592">
        <v>1.0912500110762515E-3</v>
      </c>
      <c r="Q592" t="s">
        <v>153</v>
      </c>
    </row>
    <row r="593" spans="9:17" x14ac:dyDescent="0.45">
      <c r="I593" t="s">
        <v>178</v>
      </c>
      <c r="J593" t="s">
        <v>263</v>
      </c>
      <c r="K593">
        <v>0</v>
      </c>
      <c r="L593" t="s">
        <v>153</v>
      </c>
      <c r="N593" t="s">
        <v>207</v>
      </c>
      <c r="O593" t="s">
        <v>263</v>
      </c>
      <c r="P593">
        <v>9.8381033065861496E-4</v>
      </c>
      <c r="Q593" t="s">
        <v>153</v>
      </c>
    </row>
    <row r="594" spans="9:17" x14ac:dyDescent="0.45">
      <c r="I594" t="s">
        <v>178</v>
      </c>
      <c r="J594" t="s">
        <v>264</v>
      </c>
      <c r="K594">
        <v>0</v>
      </c>
      <c r="L594" t="s">
        <v>153</v>
      </c>
      <c r="N594" t="s">
        <v>207</v>
      </c>
      <c r="O594" t="s">
        <v>264</v>
      </c>
      <c r="P594">
        <v>3.7322658229963649E-3</v>
      </c>
      <c r="Q594" t="s">
        <v>153</v>
      </c>
    </row>
    <row r="595" spans="9:17" x14ac:dyDescent="0.45">
      <c r="I595" t="s">
        <v>178</v>
      </c>
      <c r="J595" t="s">
        <v>162</v>
      </c>
      <c r="K595">
        <v>6.953194520016862E-4</v>
      </c>
      <c r="L595" t="s">
        <v>153</v>
      </c>
      <c r="N595" t="s">
        <v>207</v>
      </c>
      <c r="O595" t="s">
        <v>162</v>
      </c>
      <c r="P595">
        <v>2.3104183481241436E-2</v>
      </c>
      <c r="Q595" t="s">
        <v>153</v>
      </c>
    </row>
    <row r="596" spans="9:17" x14ac:dyDescent="0.45">
      <c r="I596" t="s">
        <v>178</v>
      </c>
      <c r="J596" t="s">
        <v>163</v>
      </c>
      <c r="K596">
        <v>3.2954527770595876E-3</v>
      </c>
      <c r="L596" t="s">
        <v>153</v>
      </c>
      <c r="N596" t="s">
        <v>207</v>
      </c>
      <c r="O596" t="s">
        <v>163</v>
      </c>
      <c r="P596">
        <v>4.1048961491068365E-3</v>
      </c>
      <c r="Q596" t="s">
        <v>153</v>
      </c>
    </row>
    <row r="597" spans="9:17" x14ac:dyDescent="0.45">
      <c r="I597" t="s">
        <v>178</v>
      </c>
      <c r="J597" t="s">
        <v>164</v>
      </c>
      <c r="K597">
        <v>5.3397984393582362E-3</v>
      </c>
      <c r="L597" t="s">
        <v>153</v>
      </c>
      <c r="N597" t="s">
        <v>207</v>
      </c>
      <c r="O597" t="s">
        <v>164</v>
      </c>
      <c r="P597">
        <v>5.5748563484166727E-3</v>
      </c>
      <c r="Q597" t="s">
        <v>153</v>
      </c>
    </row>
    <row r="598" spans="9:17" x14ac:dyDescent="0.45">
      <c r="I598" t="s">
        <v>178</v>
      </c>
      <c r="J598" t="s">
        <v>241</v>
      </c>
      <c r="K598">
        <v>7.0068925587698149E-3</v>
      </c>
      <c r="L598" t="s">
        <v>153</v>
      </c>
      <c r="N598" t="s">
        <v>207</v>
      </c>
      <c r="O598" t="s">
        <v>241</v>
      </c>
      <c r="P598">
        <v>6.966814646361414E-3</v>
      </c>
      <c r="Q598" t="s">
        <v>153</v>
      </c>
    </row>
    <row r="599" spans="9:17" x14ac:dyDescent="0.45">
      <c r="I599" t="s">
        <v>178</v>
      </c>
      <c r="J599" t="s">
        <v>242</v>
      </c>
      <c r="K599">
        <v>4.8087101342896385E-2</v>
      </c>
      <c r="L599" t="s">
        <v>153</v>
      </c>
      <c r="N599" t="s">
        <v>207</v>
      </c>
      <c r="O599" t="s">
        <v>242</v>
      </c>
      <c r="P599">
        <v>4.780988022883411E-2</v>
      </c>
      <c r="Q599" t="s">
        <v>153</v>
      </c>
    </row>
    <row r="600" spans="9:17" x14ac:dyDescent="0.45">
      <c r="I600" t="s">
        <v>178</v>
      </c>
      <c r="J600" t="s">
        <v>243</v>
      </c>
      <c r="K600">
        <v>1.9987247139518515E-3</v>
      </c>
      <c r="L600" t="s">
        <v>153</v>
      </c>
      <c r="N600" t="s">
        <v>207</v>
      </c>
      <c r="O600" t="s">
        <v>243</v>
      </c>
      <c r="P600">
        <v>3.9825163224876201E-3</v>
      </c>
      <c r="Q600" t="s">
        <v>153</v>
      </c>
    </row>
    <row r="601" spans="9:17" x14ac:dyDescent="0.45">
      <c r="I601" t="s">
        <v>178</v>
      </c>
      <c r="J601" t="s">
        <v>265</v>
      </c>
      <c r="K601">
        <v>0</v>
      </c>
      <c r="L601" t="s">
        <v>153</v>
      </c>
      <c r="N601" t="s">
        <v>207</v>
      </c>
      <c r="O601" t="s">
        <v>265</v>
      </c>
      <c r="P601">
        <v>3.9755632636412127E-3</v>
      </c>
      <c r="Q601" t="s">
        <v>153</v>
      </c>
    </row>
    <row r="602" spans="9:17" x14ac:dyDescent="0.45">
      <c r="I602" t="s">
        <v>178</v>
      </c>
      <c r="J602" t="s">
        <v>266</v>
      </c>
      <c r="K602">
        <v>0</v>
      </c>
      <c r="L602" t="s">
        <v>153</v>
      </c>
      <c r="N602" t="s">
        <v>207</v>
      </c>
      <c r="O602" t="s">
        <v>266</v>
      </c>
      <c r="P602">
        <v>1.8699534187915954E-2</v>
      </c>
      <c r="Q602" t="s">
        <v>153</v>
      </c>
    </row>
    <row r="603" spans="9:17" x14ac:dyDescent="0.45">
      <c r="I603" t="s">
        <v>178</v>
      </c>
      <c r="J603" t="s">
        <v>249</v>
      </c>
      <c r="K603">
        <v>0</v>
      </c>
      <c r="L603" t="s">
        <v>153</v>
      </c>
      <c r="N603" t="s">
        <v>207</v>
      </c>
      <c r="O603" t="s">
        <v>249</v>
      </c>
      <c r="P603">
        <v>1.5250970930230968E-2</v>
      </c>
      <c r="Q603" t="s">
        <v>153</v>
      </c>
    </row>
    <row r="604" spans="9:17" x14ac:dyDescent="0.45">
      <c r="I604" t="s">
        <v>178</v>
      </c>
      <c r="J604" t="s">
        <v>250</v>
      </c>
      <c r="K604">
        <v>2.1205549316764098E-3</v>
      </c>
      <c r="L604" t="s">
        <v>153</v>
      </c>
      <c r="N604" t="s">
        <v>207</v>
      </c>
      <c r="O604" t="s">
        <v>250</v>
      </c>
      <c r="P604">
        <v>2.5578669530504426E-3</v>
      </c>
      <c r="Q604" t="s">
        <v>153</v>
      </c>
    </row>
    <row r="605" spans="9:17" x14ac:dyDescent="0.45">
      <c r="I605" t="s">
        <v>178</v>
      </c>
      <c r="J605" t="s">
        <v>251</v>
      </c>
      <c r="K605">
        <v>3.47757661901548E-3</v>
      </c>
      <c r="L605" t="s">
        <v>153</v>
      </c>
      <c r="N605" t="s">
        <v>207</v>
      </c>
      <c r="O605" t="s">
        <v>251</v>
      </c>
      <c r="P605">
        <v>3.1089751847313231E-3</v>
      </c>
      <c r="Q605" t="s">
        <v>153</v>
      </c>
    </row>
    <row r="606" spans="9:17" x14ac:dyDescent="0.45">
      <c r="I606" t="s">
        <v>178</v>
      </c>
      <c r="J606" t="s">
        <v>252</v>
      </c>
      <c r="K606">
        <v>4.277005756456947E-3</v>
      </c>
      <c r="L606" t="s">
        <v>153</v>
      </c>
      <c r="N606" t="s">
        <v>207</v>
      </c>
      <c r="O606" t="s">
        <v>252</v>
      </c>
      <c r="P606">
        <v>4.3143225362569527E-3</v>
      </c>
      <c r="Q606" t="s">
        <v>153</v>
      </c>
    </row>
    <row r="607" spans="9:17" x14ac:dyDescent="0.45">
      <c r="I607" t="s">
        <v>178</v>
      </c>
      <c r="J607" t="s">
        <v>253</v>
      </c>
      <c r="K607">
        <v>2.5293344563198931E-2</v>
      </c>
      <c r="L607" t="s">
        <v>153</v>
      </c>
      <c r="N607" t="s">
        <v>207</v>
      </c>
      <c r="O607" t="s">
        <v>253</v>
      </c>
      <c r="P607">
        <v>2.8736267611531217E-2</v>
      </c>
      <c r="Q607" t="s">
        <v>153</v>
      </c>
    </row>
    <row r="608" spans="9:17" x14ac:dyDescent="0.45">
      <c r="I608" t="s">
        <v>178</v>
      </c>
      <c r="J608" t="s">
        <v>254</v>
      </c>
      <c r="K608">
        <v>1.3814110453378953E-3</v>
      </c>
      <c r="L608" t="s">
        <v>153</v>
      </c>
      <c r="N608" t="s">
        <v>207</v>
      </c>
      <c r="O608" t="s">
        <v>254</v>
      </c>
      <c r="P608">
        <v>3.2790167686179766E-3</v>
      </c>
      <c r="Q608" t="s">
        <v>153</v>
      </c>
    </row>
    <row r="609" spans="9:17" x14ac:dyDescent="0.45">
      <c r="I609" t="s">
        <v>178</v>
      </c>
      <c r="J609" t="s">
        <v>267</v>
      </c>
      <c r="K609">
        <v>0</v>
      </c>
      <c r="L609" t="s">
        <v>153</v>
      </c>
      <c r="N609" t="s">
        <v>207</v>
      </c>
      <c r="O609" t="s">
        <v>267</v>
      </c>
      <c r="P609">
        <v>3.168394969588539E-3</v>
      </c>
      <c r="Q609" t="s">
        <v>153</v>
      </c>
    </row>
    <row r="610" spans="9:17" x14ac:dyDescent="0.45">
      <c r="I610" t="s">
        <v>178</v>
      </c>
      <c r="J610" t="s">
        <v>268</v>
      </c>
      <c r="K610">
        <v>0</v>
      </c>
      <c r="L610" t="s">
        <v>153</v>
      </c>
      <c r="N610" t="s">
        <v>207</v>
      </c>
      <c r="O610" t="s">
        <v>268</v>
      </c>
      <c r="P610">
        <v>1.2894753620957588E-2</v>
      </c>
      <c r="Q610" t="s">
        <v>153</v>
      </c>
    </row>
    <row r="611" spans="9:17" x14ac:dyDescent="0.45">
      <c r="I611" t="s">
        <v>179</v>
      </c>
      <c r="J611" t="s">
        <v>152</v>
      </c>
      <c r="K611">
        <v>1.5019356775356586E-2</v>
      </c>
      <c r="L611" t="s">
        <v>153</v>
      </c>
    </row>
    <row r="612" spans="9:17" x14ac:dyDescent="0.45">
      <c r="I612" t="s">
        <v>179</v>
      </c>
      <c r="J612" t="s">
        <v>154</v>
      </c>
      <c r="K612">
        <v>4.0810784400762044E-2</v>
      </c>
      <c r="L612" t="s">
        <v>153</v>
      </c>
    </row>
    <row r="613" spans="9:17" x14ac:dyDescent="0.45">
      <c r="I613" t="s">
        <v>179</v>
      </c>
      <c r="J613" t="s">
        <v>155</v>
      </c>
      <c r="K613">
        <v>6.3260799788303027E-2</v>
      </c>
      <c r="L613" t="s">
        <v>153</v>
      </c>
    </row>
    <row r="614" spans="9:17" x14ac:dyDescent="0.45">
      <c r="I614" t="s">
        <v>179</v>
      </c>
      <c r="J614" t="s">
        <v>232</v>
      </c>
      <c r="K614">
        <v>7.8748291500070802E-2</v>
      </c>
      <c r="L614" t="s">
        <v>153</v>
      </c>
    </row>
    <row r="615" spans="9:17" x14ac:dyDescent="0.45">
      <c r="I615" t="s">
        <v>179</v>
      </c>
      <c r="J615" t="s">
        <v>233</v>
      </c>
      <c r="K615">
        <v>0.57580326105250446</v>
      </c>
      <c r="L615" t="s">
        <v>153</v>
      </c>
    </row>
    <row r="616" spans="9:17" x14ac:dyDescent="0.45">
      <c r="I616" t="s">
        <v>179</v>
      </c>
      <c r="J616" t="s">
        <v>234</v>
      </c>
      <c r="K616">
        <v>3.5359159260025766E-2</v>
      </c>
      <c r="L616" t="s">
        <v>153</v>
      </c>
    </row>
    <row r="617" spans="9:17" x14ac:dyDescent="0.45">
      <c r="I617" t="s">
        <v>179</v>
      </c>
      <c r="J617" t="s">
        <v>259</v>
      </c>
      <c r="K617">
        <v>3.8044730371744498E-3</v>
      </c>
      <c r="L617" t="s">
        <v>153</v>
      </c>
    </row>
    <row r="618" spans="9:17" x14ac:dyDescent="0.45">
      <c r="I618" t="s">
        <v>179</v>
      </c>
      <c r="J618" t="s">
        <v>260</v>
      </c>
      <c r="K618">
        <v>0</v>
      </c>
      <c r="L618" t="s">
        <v>153</v>
      </c>
    </row>
    <row r="619" spans="9:17" x14ac:dyDescent="0.45">
      <c r="I619" t="s">
        <v>179</v>
      </c>
      <c r="J619" t="s">
        <v>156</v>
      </c>
      <c r="K619">
        <v>4.2609704809947586E-4</v>
      </c>
      <c r="L619" t="s">
        <v>153</v>
      </c>
    </row>
    <row r="620" spans="9:17" x14ac:dyDescent="0.45">
      <c r="I620" t="s">
        <v>179</v>
      </c>
      <c r="J620" t="s">
        <v>157</v>
      </c>
      <c r="K620">
        <v>1.0886774247963048E-3</v>
      </c>
      <c r="L620" t="s">
        <v>153</v>
      </c>
    </row>
    <row r="621" spans="9:17" x14ac:dyDescent="0.45">
      <c r="I621" t="s">
        <v>179</v>
      </c>
      <c r="J621" t="s">
        <v>158</v>
      </c>
      <c r="K621">
        <v>1.8309986360311235E-3</v>
      </c>
      <c r="L621" t="s">
        <v>153</v>
      </c>
    </row>
    <row r="622" spans="9:17" x14ac:dyDescent="0.45">
      <c r="I622" t="s">
        <v>179</v>
      </c>
      <c r="J622" t="s">
        <v>235</v>
      </c>
      <c r="K622">
        <v>2.3243779799264311E-3</v>
      </c>
      <c r="L622" t="s">
        <v>153</v>
      </c>
    </row>
    <row r="623" spans="9:17" x14ac:dyDescent="0.45">
      <c r="I623" t="s">
        <v>179</v>
      </c>
      <c r="J623" t="s">
        <v>236</v>
      </c>
      <c r="K623">
        <v>1.4827132573128281E-2</v>
      </c>
      <c r="L623" t="s">
        <v>153</v>
      </c>
    </row>
    <row r="624" spans="9:17" x14ac:dyDescent="0.45">
      <c r="I624" t="s">
        <v>179</v>
      </c>
      <c r="J624" t="s">
        <v>237</v>
      </c>
      <c r="K624">
        <v>5.7222362778660239E-4</v>
      </c>
      <c r="L624" t="s">
        <v>153</v>
      </c>
    </row>
    <row r="625" spans="9:12" x14ac:dyDescent="0.45">
      <c r="I625" t="s">
        <v>179</v>
      </c>
      <c r="J625" t="s">
        <v>261</v>
      </c>
      <c r="K625">
        <v>0</v>
      </c>
      <c r="L625" t="s">
        <v>153</v>
      </c>
    </row>
    <row r="626" spans="9:12" x14ac:dyDescent="0.45">
      <c r="I626" t="s">
        <v>179</v>
      </c>
      <c r="J626" t="s">
        <v>262</v>
      </c>
      <c r="K626">
        <v>0</v>
      </c>
      <c r="L626" t="s">
        <v>153</v>
      </c>
    </row>
    <row r="627" spans="9:12" x14ac:dyDescent="0.45">
      <c r="I627" t="s">
        <v>179</v>
      </c>
      <c r="J627" t="s">
        <v>159</v>
      </c>
      <c r="K627">
        <v>1.9054811394418913E-3</v>
      </c>
      <c r="L627" t="s">
        <v>153</v>
      </c>
    </row>
    <row r="628" spans="9:12" x14ac:dyDescent="0.45">
      <c r="I628" t="s">
        <v>179</v>
      </c>
      <c r="J628" t="s">
        <v>160</v>
      </c>
      <c r="K628">
        <v>3.8310372172152924E-3</v>
      </c>
      <c r="L628" t="s">
        <v>153</v>
      </c>
    </row>
    <row r="629" spans="9:12" x14ac:dyDescent="0.45">
      <c r="I629" t="s">
        <v>179</v>
      </c>
      <c r="J629" t="s">
        <v>161</v>
      </c>
      <c r="K629">
        <v>5.5956162085907838E-3</v>
      </c>
      <c r="L629" t="s">
        <v>153</v>
      </c>
    </row>
    <row r="630" spans="9:12" x14ac:dyDescent="0.45">
      <c r="I630" t="s">
        <v>179</v>
      </c>
      <c r="J630" t="s">
        <v>238</v>
      </c>
      <c r="K630">
        <v>6.6244602634113157E-3</v>
      </c>
      <c r="L630" t="s">
        <v>153</v>
      </c>
    </row>
    <row r="631" spans="9:12" x14ac:dyDescent="0.45">
      <c r="I631" t="s">
        <v>179</v>
      </c>
      <c r="J631" t="s">
        <v>239</v>
      </c>
      <c r="K631">
        <v>4.3059690243673676E-2</v>
      </c>
      <c r="L631" t="s">
        <v>153</v>
      </c>
    </row>
    <row r="632" spans="9:12" x14ac:dyDescent="0.45">
      <c r="I632" t="s">
        <v>179</v>
      </c>
      <c r="J632" t="s">
        <v>240</v>
      </c>
      <c r="K632">
        <v>2.2163162930909945E-3</v>
      </c>
      <c r="L632" t="s">
        <v>153</v>
      </c>
    </row>
    <row r="633" spans="9:12" x14ac:dyDescent="0.45">
      <c r="I633" t="s">
        <v>179</v>
      </c>
      <c r="J633" t="s">
        <v>263</v>
      </c>
      <c r="K633">
        <v>0</v>
      </c>
      <c r="L633" t="s">
        <v>153</v>
      </c>
    </row>
    <row r="634" spans="9:12" x14ac:dyDescent="0.45">
      <c r="I634" t="s">
        <v>179</v>
      </c>
      <c r="J634" t="s">
        <v>264</v>
      </c>
      <c r="K634">
        <v>0</v>
      </c>
      <c r="L634" t="s">
        <v>153</v>
      </c>
    </row>
    <row r="635" spans="9:12" x14ac:dyDescent="0.45">
      <c r="I635" t="s">
        <v>179</v>
      </c>
      <c r="J635" t="s">
        <v>162</v>
      </c>
      <c r="K635">
        <v>1.0744428937282189E-3</v>
      </c>
      <c r="L635" t="s">
        <v>153</v>
      </c>
    </row>
    <row r="636" spans="9:12" x14ac:dyDescent="0.45">
      <c r="I636" t="s">
        <v>179</v>
      </c>
      <c r="J636" t="s">
        <v>163</v>
      </c>
      <c r="K636">
        <v>3.3463049528444245E-3</v>
      </c>
      <c r="L636" t="s">
        <v>153</v>
      </c>
    </row>
    <row r="637" spans="9:12" x14ac:dyDescent="0.45">
      <c r="I637" t="s">
        <v>179</v>
      </c>
      <c r="J637" t="s">
        <v>164</v>
      </c>
      <c r="K637">
        <v>5.6438838651464741E-3</v>
      </c>
      <c r="L637" t="s">
        <v>153</v>
      </c>
    </row>
    <row r="638" spans="9:12" x14ac:dyDescent="0.45">
      <c r="I638" t="s">
        <v>179</v>
      </c>
      <c r="J638" t="s">
        <v>241</v>
      </c>
      <c r="K638">
        <v>6.9651766165753316E-3</v>
      </c>
      <c r="L638" t="s">
        <v>153</v>
      </c>
    </row>
    <row r="639" spans="9:12" x14ac:dyDescent="0.45">
      <c r="I639" t="s">
        <v>179</v>
      </c>
      <c r="J639" t="s">
        <v>242</v>
      </c>
      <c r="K639">
        <v>4.63325249498499E-2</v>
      </c>
      <c r="L639" t="s">
        <v>153</v>
      </c>
    </row>
    <row r="640" spans="9:12" x14ac:dyDescent="0.45">
      <c r="I640" t="s">
        <v>179</v>
      </c>
      <c r="J640" t="s">
        <v>243</v>
      </c>
      <c r="K640">
        <v>1.9339155372779106E-3</v>
      </c>
      <c r="L640" t="s">
        <v>153</v>
      </c>
    </row>
    <row r="641" spans="9:12" x14ac:dyDescent="0.45">
      <c r="I641" t="s">
        <v>179</v>
      </c>
      <c r="J641" t="s">
        <v>265</v>
      </c>
      <c r="K641">
        <v>0</v>
      </c>
      <c r="L641" t="s">
        <v>153</v>
      </c>
    </row>
    <row r="642" spans="9:12" x14ac:dyDescent="0.45">
      <c r="I642" t="s">
        <v>179</v>
      </c>
      <c r="J642" t="s">
        <v>266</v>
      </c>
      <c r="K642">
        <v>0</v>
      </c>
      <c r="L642" t="s">
        <v>153</v>
      </c>
    </row>
    <row r="643" spans="9:12" x14ac:dyDescent="0.45">
      <c r="I643" t="s">
        <v>179</v>
      </c>
      <c r="J643" t="s">
        <v>249</v>
      </c>
      <c r="K643">
        <v>6.0477331841605284E-7</v>
      </c>
      <c r="L643" t="s">
        <v>153</v>
      </c>
    </row>
    <row r="644" spans="9:12" x14ac:dyDescent="0.45">
      <c r="I644" t="s">
        <v>179</v>
      </c>
      <c r="J644" t="s">
        <v>250</v>
      </c>
      <c r="K644">
        <v>2.0907831893711547E-3</v>
      </c>
      <c r="L644" t="s">
        <v>153</v>
      </c>
    </row>
    <row r="645" spans="9:12" x14ac:dyDescent="0.45">
      <c r="I645" t="s">
        <v>179</v>
      </c>
      <c r="J645" t="s">
        <v>251</v>
      </c>
      <c r="K645">
        <v>3.5754620748866856E-3</v>
      </c>
      <c r="L645" t="s">
        <v>153</v>
      </c>
    </row>
    <row r="646" spans="9:12" x14ac:dyDescent="0.45">
      <c r="I646" t="s">
        <v>179</v>
      </c>
      <c r="J646" t="s">
        <v>252</v>
      </c>
      <c r="K646">
        <v>4.3858937375697319E-3</v>
      </c>
      <c r="L646" t="s">
        <v>153</v>
      </c>
    </row>
    <row r="647" spans="9:12" x14ac:dyDescent="0.45">
      <c r="I647" t="s">
        <v>179</v>
      </c>
      <c r="J647" t="s">
        <v>253</v>
      </c>
      <c r="K647">
        <v>2.613721764734175E-2</v>
      </c>
      <c r="L647" t="s">
        <v>153</v>
      </c>
    </row>
    <row r="648" spans="9:12" x14ac:dyDescent="0.45">
      <c r="I648" t="s">
        <v>179</v>
      </c>
      <c r="J648" t="s">
        <v>254</v>
      </c>
      <c r="K648">
        <v>1.4055552927015021E-3</v>
      </c>
      <c r="L648" t="s">
        <v>153</v>
      </c>
    </row>
    <row r="649" spans="9:12" x14ac:dyDescent="0.45">
      <c r="I649" t="s">
        <v>179</v>
      </c>
      <c r="J649" t="s">
        <v>267</v>
      </c>
      <c r="K649">
        <v>0</v>
      </c>
      <c r="L649" t="s">
        <v>153</v>
      </c>
    </row>
    <row r="650" spans="9:12" x14ac:dyDescent="0.45">
      <c r="I650" t="s">
        <v>179</v>
      </c>
      <c r="J650" t="s">
        <v>268</v>
      </c>
      <c r="K650">
        <v>0</v>
      </c>
      <c r="L650" t="s">
        <v>153</v>
      </c>
    </row>
    <row r="651" spans="9:12" x14ac:dyDescent="0.45">
      <c r="I651" t="s">
        <v>180</v>
      </c>
      <c r="J651" t="s">
        <v>152</v>
      </c>
      <c r="K651">
        <v>1.1831497568463262E-2</v>
      </c>
      <c r="L651" t="s">
        <v>153</v>
      </c>
    </row>
    <row r="652" spans="9:12" x14ac:dyDescent="0.45">
      <c r="I652" t="s">
        <v>180</v>
      </c>
      <c r="J652" t="s">
        <v>154</v>
      </c>
      <c r="K652">
        <v>3.9105599983190659E-2</v>
      </c>
      <c r="L652" t="s">
        <v>153</v>
      </c>
    </row>
    <row r="653" spans="9:12" x14ac:dyDescent="0.45">
      <c r="I653" t="s">
        <v>180</v>
      </c>
      <c r="J653" t="s">
        <v>155</v>
      </c>
      <c r="K653">
        <v>6.108931074163293E-2</v>
      </c>
      <c r="L653" t="s">
        <v>153</v>
      </c>
    </row>
    <row r="654" spans="9:12" x14ac:dyDescent="0.45">
      <c r="I654" t="s">
        <v>180</v>
      </c>
      <c r="J654" t="s">
        <v>232</v>
      </c>
      <c r="K654">
        <v>7.5970388060038682E-2</v>
      </c>
      <c r="L654" t="s">
        <v>153</v>
      </c>
    </row>
    <row r="655" spans="9:12" x14ac:dyDescent="0.45">
      <c r="I655" t="s">
        <v>180</v>
      </c>
      <c r="J655" t="s">
        <v>233</v>
      </c>
      <c r="K655">
        <v>0.56099380838719903</v>
      </c>
      <c r="L655" t="s">
        <v>153</v>
      </c>
    </row>
    <row r="656" spans="9:12" x14ac:dyDescent="0.45">
      <c r="I656" t="s">
        <v>180</v>
      </c>
      <c r="J656" t="s">
        <v>234</v>
      </c>
      <c r="K656">
        <v>3.9253641284942416E-2</v>
      </c>
      <c r="L656" t="s">
        <v>153</v>
      </c>
    </row>
    <row r="657" spans="9:12" x14ac:dyDescent="0.45">
      <c r="I657" t="s">
        <v>180</v>
      </c>
      <c r="J657" t="s">
        <v>259</v>
      </c>
      <c r="K657">
        <v>1.2142810770361267E-2</v>
      </c>
      <c r="L657" t="s">
        <v>153</v>
      </c>
    </row>
    <row r="658" spans="9:12" x14ac:dyDescent="0.45">
      <c r="I658" t="s">
        <v>180</v>
      </c>
      <c r="J658" t="s">
        <v>260</v>
      </c>
      <c r="K658">
        <v>0</v>
      </c>
      <c r="L658" t="s">
        <v>153</v>
      </c>
    </row>
    <row r="659" spans="9:12" x14ac:dyDescent="0.45">
      <c r="I659" t="s">
        <v>180</v>
      </c>
      <c r="J659" t="s">
        <v>156</v>
      </c>
      <c r="K659">
        <v>2.5832861480263697E-4</v>
      </c>
      <c r="L659" t="s">
        <v>153</v>
      </c>
    </row>
    <row r="660" spans="9:12" x14ac:dyDescent="0.45">
      <c r="I660" t="s">
        <v>180</v>
      </c>
      <c r="J660" t="s">
        <v>157</v>
      </c>
      <c r="K660">
        <v>8.713330161270196E-4</v>
      </c>
      <c r="L660" t="s">
        <v>153</v>
      </c>
    </row>
    <row r="661" spans="9:12" x14ac:dyDescent="0.45">
      <c r="I661" t="s">
        <v>180</v>
      </c>
      <c r="J661" t="s">
        <v>158</v>
      </c>
      <c r="K661">
        <v>1.3636843398986478E-3</v>
      </c>
      <c r="L661" t="s">
        <v>153</v>
      </c>
    </row>
    <row r="662" spans="9:12" x14ac:dyDescent="0.45">
      <c r="I662" t="s">
        <v>180</v>
      </c>
      <c r="J662" t="s">
        <v>235</v>
      </c>
      <c r="K662">
        <v>1.7818048832517271E-3</v>
      </c>
      <c r="L662" t="s">
        <v>153</v>
      </c>
    </row>
    <row r="663" spans="9:12" x14ac:dyDescent="0.45">
      <c r="I663" t="s">
        <v>180</v>
      </c>
      <c r="J663" t="s">
        <v>236</v>
      </c>
      <c r="K663">
        <v>1.2328076605196369E-2</v>
      </c>
      <c r="L663" t="s">
        <v>153</v>
      </c>
    </row>
    <row r="664" spans="9:12" x14ac:dyDescent="0.45">
      <c r="I664" t="s">
        <v>180</v>
      </c>
      <c r="J664" t="s">
        <v>237</v>
      </c>
      <c r="K664">
        <v>4.9023173578417246E-4</v>
      </c>
      <c r="L664" t="s">
        <v>153</v>
      </c>
    </row>
    <row r="665" spans="9:12" x14ac:dyDescent="0.45">
      <c r="I665" t="s">
        <v>180</v>
      </c>
      <c r="J665" t="s">
        <v>261</v>
      </c>
      <c r="K665">
        <v>0</v>
      </c>
      <c r="L665" t="s">
        <v>153</v>
      </c>
    </row>
    <row r="666" spans="9:12" x14ac:dyDescent="0.45">
      <c r="I666" t="s">
        <v>180</v>
      </c>
      <c r="J666" t="s">
        <v>262</v>
      </c>
      <c r="K666">
        <v>0</v>
      </c>
      <c r="L666" t="s">
        <v>153</v>
      </c>
    </row>
    <row r="667" spans="9:12" x14ac:dyDescent="0.45">
      <c r="I667" t="s">
        <v>180</v>
      </c>
      <c r="J667" t="s">
        <v>159</v>
      </c>
      <c r="K667">
        <v>2.8354801542892592E-6</v>
      </c>
      <c r="L667" t="s">
        <v>153</v>
      </c>
    </row>
    <row r="668" spans="9:12" x14ac:dyDescent="0.45">
      <c r="I668" t="s">
        <v>180</v>
      </c>
      <c r="J668" t="s">
        <v>160</v>
      </c>
      <c r="K668">
        <v>2.7618467358169652E-3</v>
      </c>
      <c r="L668" t="s">
        <v>153</v>
      </c>
    </row>
    <row r="669" spans="9:12" x14ac:dyDescent="0.45">
      <c r="I669" t="s">
        <v>180</v>
      </c>
      <c r="J669" t="s">
        <v>161</v>
      </c>
      <c r="K669">
        <v>4.9281310680483383E-3</v>
      </c>
      <c r="L669" t="s">
        <v>153</v>
      </c>
    </row>
    <row r="670" spans="9:12" x14ac:dyDescent="0.45">
      <c r="I670" t="s">
        <v>180</v>
      </c>
      <c r="J670" t="s">
        <v>238</v>
      </c>
      <c r="K670">
        <v>6.4174697391466071E-3</v>
      </c>
      <c r="L670" t="s">
        <v>153</v>
      </c>
    </row>
    <row r="671" spans="9:12" x14ac:dyDescent="0.45">
      <c r="I671" t="s">
        <v>180</v>
      </c>
      <c r="J671" t="s">
        <v>239</v>
      </c>
      <c r="K671">
        <v>4.1936004143906552E-2</v>
      </c>
      <c r="L671" t="s">
        <v>153</v>
      </c>
    </row>
    <row r="672" spans="9:12" x14ac:dyDescent="0.45">
      <c r="I672" t="s">
        <v>180</v>
      </c>
      <c r="J672" t="s">
        <v>240</v>
      </c>
      <c r="K672">
        <v>2.0409658931125627E-3</v>
      </c>
      <c r="L672" t="s">
        <v>153</v>
      </c>
    </row>
    <row r="673" spans="9:12" x14ac:dyDescent="0.45">
      <c r="I673" t="s">
        <v>180</v>
      </c>
      <c r="J673" t="s">
        <v>263</v>
      </c>
      <c r="K673">
        <v>0</v>
      </c>
      <c r="L673" t="s">
        <v>153</v>
      </c>
    </row>
    <row r="674" spans="9:12" x14ac:dyDescent="0.45">
      <c r="I674" t="s">
        <v>180</v>
      </c>
      <c r="J674" t="s">
        <v>264</v>
      </c>
      <c r="K674">
        <v>0</v>
      </c>
      <c r="L674" t="s">
        <v>153</v>
      </c>
    </row>
    <row r="675" spans="9:12" x14ac:dyDescent="0.45">
      <c r="I675" t="s">
        <v>180</v>
      </c>
      <c r="J675" t="s">
        <v>162</v>
      </c>
      <c r="K675">
        <v>0</v>
      </c>
      <c r="L675" t="s">
        <v>153</v>
      </c>
    </row>
    <row r="676" spans="9:12" x14ac:dyDescent="0.45">
      <c r="I676" t="s">
        <v>180</v>
      </c>
      <c r="J676" t="s">
        <v>163</v>
      </c>
      <c r="K676">
        <v>2.9589792690253606E-3</v>
      </c>
      <c r="L676" t="s">
        <v>153</v>
      </c>
    </row>
    <row r="677" spans="9:12" x14ac:dyDescent="0.45">
      <c r="I677" t="s">
        <v>180</v>
      </c>
      <c r="J677" t="s">
        <v>164</v>
      </c>
      <c r="K677">
        <v>5.8610882629381569E-3</v>
      </c>
      <c r="L677" t="s">
        <v>153</v>
      </c>
    </row>
    <row r="678" spans="9:12" x14ac:dyDescent="0.45">
      <c r="I678" t="s">
        <v>180</v>
      </c>
      <c r="J678" t="s">
        <v>241</v>
      </c>
      <c r="K678">
        <v>8.2862799754969529E-3</v>
      </c>
      <c r="L678" t="s">
        <v>153</v>
      </c>
    </row>
    <row r="679" spans="9:12" x14ac:dyDescent="0.45">
      <c r="I679" t="s">
        <v>180</v>
      </c>
      <c r="J679" t="s">
        <v>242</v>
      </c>
      <c r="K679">
        <v>5.2327998791790245E-2</v>
      </c>
      <c r="L679" t="s">
        <v>153</v>
      </c>
    </row>
    <row r="680" spans="9:12" x14ac:dyDescent="0.45">
      <c r="I680" t="s">
        <v>180</v>
      </c>
      <c r="J680" t="s">
        <v>243</v>
      </c>
      <c r="K680">
        <v>2.3524141864277618E-3</v>
      </c>
      <c r="L680" t="s">
        <v>153</v>
      </c>
    </row>
    <row r="681" spans="9:12" x14ac:dyDescent="0.45">
      <c r="I681" t="s">
        <v>180</v>
      </c>
      <c r="J681" t="s">
        <v>265</v>
      </c>
      <c r="K681">
        <v>0</v>
      </c>
      <c r="L681" t="s">
        <v>153</v>
      </c>
    </row>
    <row r="682" spans="9:12" x14ac:dyDescent="0.45">
      <c r="I682" t="s">
        <v>180</v>
      </c>
      <c r="J682" t="s">
        <v>266</v>
      </c>
      <c r="K682">
        <v>0</v>
      </c>
      <c r="L682" t="s">
        <v>153</v>
      </c>
    </row>
    <row r="683" spans="9:12" x14ac:dyDescent="0.45">
      <c r="I683" t="s">
        <v>180</v>
      </c>
      <c r="J683" t="s">
        <v>249</v>
      </c>
      <c r="K683">
        <v>0</v>
      </c>
      <c r="L683" t="s">
        <v>153</v>
      </c>
    </row>
    <row r="684" spans="9:12" x14ac:dyDescent="0.45">
      <c r="I684" t="s">
        <v>180</v>
      </c>
      <c r="J684" t="s">
        <v>250</v>
      </c>
      <c r="K684">
        <v>2.4607931083506542E-3</v>
      </c>
      <c r="L684" t="s">
        <v>153</v>
      </c>
    </row>
    <row r="685" spans="9:12" x14ac:dyDescent="0.45">
      <c r="I685" t="s">
        <v>180</v>
      </c>
      <c r="J685" t="s">
        <v>251</v>
      </c>
      <c r="K685">
        <v>4.294431590663398E-3</v>
      </c>
      <c r="L685" t="s">
        <v>153</v>
      </c>
    </row>
    <row r="686" spans="9:12" x14ac:dyDescent="0.45">
      <c r="I686" t="s">
        <v>180</v>
      </c>
      <c r="J686" t="s">
        <v>252</v>
      </c>
      <c r="K686">
        <v>5.5968698448708781E-3</v>
      </c>
      <c r="L686" t="s">
        <v>153</v>
      </c>
    </row>
    <row r="687" spans="9:12" x14ac:dyDescent="0.45">
      <c r="I687" t="s">
        <v>180</v>
      </c>
      <c r="J687" t="s">
        <v>253</v>
      </c>
      <c r="K687">
        <v>3.7951291693850343E-2</v>
      </c>
      <c r="L687" t="s">
        <v>153</v>
      </c>
    </row>
    <row r="688" spans="9:12" x14ac:dyDescent="0.45">
      <c r="I688" t="s">
        <v>180</v>
      </c>
      <c r="J688" t="s">
        <v>254</v>
      </c>
      <c r="K688">
        <v>2.342084225512569E-3</v>
      </c>
      <c r="L688" t="s">
        <v>153</v>
      </c>
    </row>
    <row r="689" spans="9:12" x14ac:dyDescent="0.45">
      <c r="I689" t="s">
        <v>180</v>
      </c>
      <c r="J689" t="s">
        <v>267</v>
      </c>
      <c r="K689">
        <v>0</v>
      </c>
      <c r="L689" t="s">
        <v>153</v>
      </c>
    </row>
    <row r="690" spans="9:12" x14ac:dyDescent="0.45">
      <c r="I690" t="s">
        <v>180</v>
      </c>
      <c r="J690" t="s">
        <v>268</v>
      </c>
      <c r="K690">
        <v>0</v>
      </c>
      <c r="L690" t="s">
        <v>153</v>
      </c>
    </row>
    <row r="691" spans="9:12" x14ac:dyDescent="0.45">
      <c r="I691" t="s">
        <v>181</v>
      </c>
      <c r="J691" t="s">
        <v>152</v>
      </c>
      <c r="K691">
        <v>1.3959193581589476E-2</v>
      </c>
      <c r="L691" t="s">
        <v>153</v>
      </c>
    </row>
    <row r="692" spans="9:12" x14ac:dyDescent="0.45">
      <c r="I692" t="s">
        <v>181</v>
      </c>
      <c r="J692" t="s">
        <v>154</v>
      </c>
      <c r="K692">
        <v>4.2100725856343391E-2</v>
      </c>
      <c r="L692" t="s">
        <v>153</v>
      </c>
    </row>
    <row r="693" spans="9:12" x14ac:dyDescent="0.45">
      <c r="I693" t="s">
        <v>181</v>
      </c>
      <c r="J693" t="s">
        <v>155</v>
      </c>
      <c r="K693">
        <v>6.3509151477230658E-2</v>
      </c>
      <c r="L693" t="s">
        <v>153</v>
      </c>
    </row>
    <row r="694" spans="9:12" x14ac:dyDescent="0.45">
      <c r="I694" t="s">
        <v>181</v>
      </c>
      <c r="J694" t="s">
        <v>232</v>
      </c>
      <c r="K694">
        <v>7.79505857396703E-2</v>
      </c>
      <c r="L694" t="s">
        <v>153</v>
      </c>
    </row>
    <row r="695" spans="9:12" x14ac:dyDescent="0.45">
      <c r="I695" t="s">
        <v>181</v>
      </c>
      <c r="J695" t="s">
        <v>233</v>
      </c>
      <c r="K695">
        <v>0.55715573160597853</v>
      </c>
      <c r="L695" t="s">
        <v>153</v>
      </c>
    </row>
    <row r="696" spans="9:12" x14ac:dyDescent="0.45">
      <c r="I696" t="s">
        <v>181</v>
      </c>
      <c r="J696" t="s">
        <v>234</v>
      </c>
      <c r="K696">
        <v>3.6899408471606526E-2</v>
      </c>
      <c r="L696" t="s">
        <v>153</v>
      </c>
    </row>
    <row r="697" spans="9:12" x14ac:dyDescent="0.45">
      <c r="I697" t="s">
        <v>181</v>
      </c>
      <c r="J697" t="s">
        <v>259</v>
      </c>
      <c r="K697">
        <v>9.3692417362844747E-3</v>
      </c>
      <c r="L697" t="s">
        <v>153</v>
      </c>
    </row>
    <row r="698" spans="9:12" x14ac:dyDescent="0.45">
      <c r="I698" t="s">
        <v>181</v>
      </c>
      <c r="J698" t="s">
        <v>260</v>
      </c>
      <c r="K698">
        <v>0</v>
      </c>
      <c r="L698" t="s">
        <v>153</v>
      </c>
    </row>
    <row r="699" spans="9:12" x14ac:dyDescent="0.45">
      <c r="I699" t="s">
        <v>181</v>
      </c>
      <c r="J699" t="s">
        <v>156</v>
      </c>
      <c r="K699">
        <v>4.400048034868977E-4</v>
      </c>
      <c r="L699" t="s">
        <v>153</v>
      </c>
    </row>
    <row r="700" spans="9:12" x14ac:dyDescent="0.45">
      <c r="I700" t="s">
        <v>181</v>
      </c>
      <c r="J700" t="s">
        <v>157</v>
      </c>
      <c r="K700">
        <v>8.1480819664738564E-4</v>
      </c>
      <c r="L700" t="s">
        <v>153</v>
      </c>
    </row>
    <row r="701" spans="9:12" x14ac:dyDescent="0.45">
      <c r="I701" t="s">
        <v>181</v>
      </c>
      <c r="J701" t="s">
        <v>158</v>
      </c>
      <c r="K701">
        <v>1.2130904874711925E-3</v>
      </c>
      <c r="L701" t="s">
        <v>153</v>
      </c>
    </row>
    <row r="702" spans="9:12" x14ac:dyDescent="0.45">
      <c r="I702" t="s">
        <v>181</v>
      </c>
      <c r="J702" t="s">
        <v>235</v>
      </c>
      <c r="K702">
        <v>1.584065486462587E-3</v>
      </c>
      <c r="L702" t="s">
        <v>153</v>
      </c>
    </row>
    <row r="703" spans="9:12" x14ac:dyDescent="0.45">
      <c r="I703" t="s">
        <v>181</v>
      </c>
      <c r="J703" t="s">
        <v>236</v>
      </c>
      <c r="K703">
        <v>1.1383157560328061E-2</v>
      </c>
      <c r="L703" t="s">
        <v>153</v>
      </c>
    </row>
    <row r="704" spans="9:12" x14ac:dyDescent="0.45">
      <c r="I704" t="s">
        <v>181</v>
      </c>
      <c r="J704" t="s">
        <v>237</v>
      </c>
      <c r="K704">
        <v>4.9321907198253835E-4</v>
      </c>
      <c r="L704" t="s">
        <v>153</v>
      </c>
    </row>
    <row r="705" spans="9:12" x14ac:dyDescent="0.45">
      <c r="I705" t="s">
        <v>181</v>
      </c>
      <c r="J705" t="s">
        <v>261</v>
      </c>
      <c r="K705">
        <v>0</v>
      </c>
      <c r="L705" t="s">
        <v>153</v>
      </c>
    </row>
    <row r="706" spans="9:12" x14ac:dyDescent="0.45">
      <c r="I706" t="s">
        <v>181</v>
      </c>
      <c r="J706" t="s">
        <v>262</v>
      </c>
      <c r="K706">
        <v>0</v>
      </c>
      <c r="L706" t="s">
        <v>153</v>
      </c>
    </row>
    <row r="707" spans="9:12" x14ac:dyDescent="0.45">
      <c r="I707" t="s">
        <v>181</v>
      </c>
      <c r="J707" t="s">
        <v>159</v>
      </c>
      <c r="K707">
        <v>1.7274541907588635E-4</v>
      </c>
      <c r="L707" t="s">
        <v>153</v>
      </c>
    </row>
    <row r="708" spans="9:12" x14ac:dyDescent="0.45">
      <c r="I708" t="s">
        <v>181</v>
      </c>
      <c r="J708" t="s">
        <v>160</v>
      </c>
      <c r="K708">
        <v>3.2499374867889582E-3</v>
      </c>
      <c r="L708" t="s">
        <v>153</v>
      </c>
    </row>
    <row r="709" spans="9:12" x14ac:dyDescent="0.45">
      <c r="I709" t="s">
        <v>181</v>
      </c>
      <c r="J709" t="s">
        <v>161</v>
      </c>
      <c r="K709">
        <v>5.239442449588726E-3</v>
      </c>
      <c r="L709" t="s">
        <v>153</v>
      </c>
    </row>
    <row r="710" spans="9:12" x14ac:dyDescent="0.45">
      <c r="I710" t="s">
        <v>181</v>
      </c>
      <c r="J710" t="s">
        <v>238</v>
      </c>
      <c r="K710">
        <v>6.4990030792853419E-3</v>
      </c>
      <c r="L710" t="s">
        <v>153</v>
      </c>
    </row>
    <row r="711" spans="9:12" x14ac:dyDescent="0.45">
      <c r="I711" t="s">
        <v>181</v>
      </c>
      <c r="J711" t="s">
        <v>239</v>
      </c>
      <c r="K711">
        <v>4.0619492796027439E-2</v>
      </c>
      <c r="L711" t="s">
        <v>153</v>
      </c>
    </row>
    <row r="712" spans="9:12" x14ac:dyDescent="0.45">
      <c r="I712" t="s">
        <v>181</v>
      </c>
      <c r="J712" t="s">
        <v>240</v>
      </c>
      <c r="K712">
        <v>1.9497382024015952E-3</v>
      </c>
      <c r="L712" t="s">
        <v>153</v>
      </c>
    </row>
    <row r="713" spans="9:12" x14ac:dyDescent="0.45">
      <c r="I713" t="s">
        <v>181</v>
      </c>
      <c r="J713" t="s">
        <v>263</v>
      </c>
      <c r="K713">
        <v>0</v>
      </c>
      <c r="L713" t="s">
        <v>153</v>
      </c>
    </row>
    <row r="714" spans="9:12" x14ac:dyDescent="0.45">
      <c r="I714" t="s">
        <v>181</v>
      </c>
      <c r="J714" t="s">
        <v>264</v>
      </c>
      <c r="K714">
        <v>0</v>
      </c>
      <c r="L714" t="s">
        <v>153</v>
      </c>
    </row>
    <row r="715" spans="9:12" x14ac:dyDescent="0.45">
      <c r="I715" t="s">
        <v>181</v>
      </c>
      <c r="J715" t="s">
        <v>162</v>
      </c>
      <c r="K715">
        <v>0</v>
      </c>
      <c r="L715" t="s">
        <v>153</v>
      </c>
    </row>
    <row r="716" spans="9:12" x14ac:dyDescent="0.45">
      <c r="I716" t="s">
        <v>181</v>
      </c>
      <c r="J716" t="s">
        <v>163</v>
      </c>
      <c r="K716">
        <v>3.7901483619382824E-3</v>
      </c>
      <c r="L716" t="s">
        <v>153</v>
      </c>
    </row>
    <row r="717" spans="9:12" x14ac:dyDescent="0.45">
      <c r="I717" t="s">
        <v>181</v>
      </c>
      <c r="J717" t="s">
        <v>164</v>
      </c>
      <c r="K717">
        <v>6.6317949962069796E-3</v>
      </c>
      <c r="L717" t="s">
        <v>153</v>
      </c>
    </row>
    <row r="718" spans="9:12" x14ac:dyDescent="0.45">
      <c r="I718" t="s">
        <v>181</v>
      </c>
      <c r="J718" t="s">
        <v>241</v>
      </c>
      <c r="K718">
        <v>8.592021601040117E-3</v>
      </c>
      <c r="L718" t="s">
        <v>153</v>
      </c>
    </row>
    <row r="719" spans="9:12" x14ac:dyDescent="0.45">
      <c r="I719" t="s">
        <v>181</v>
      </c>
      <c r="J719" t="s">
        <v>242</v>
      </c>
      <c r="K719">
        <v>5.0360746391465296E-2</v>
      </c>
      <c r="L719" t="s">
        <v>153</v>
      </c>
    </row>
    <row r="720" spans="9:12" x14ac:dyDescent="0.45">
      <c r="I720" t="s">
        <v>181</v>
      </c>
      <c r="J720" t="s">
        <v>243</v>
      </c>
      <c r="K720">
        <v>2.159118538909668E-3</v>
      </c>
      <c r="L720" t="s">
        <v>153</v>
      </c>
    </row>
    <row r="721" spans="9:12" x14ac:dyDescent="0.45">
      <c r="I721" t="s">
        <v>181</v>
      </c>
      <c r="J721" t="s">
        <v>265</v>
      </c>
      <c r="K721">
        <v>0</v>
      </c>
      <c r="L721" t="s">
        <v>153</v>
      </c>
    </row>
    <row r="722" spans="9:12" x14ac:dyDescent="0.45">
      <c r="I722" t="s">
        <v>181</v>
      </c>
      <c r="J722" t="s">
        <v>266</v>
      </c>
      <c r="K722">
        <v>0</v>
      </c>
      <c r="L722" t="s">
        <v>153</v>
      </c>
    </row>
    <row r="723" spans="9:12" x14ac:dyDescent="0.45">
      <c r="I723" t="s">
        <v>181</v>
      </c>
      <c r="J723" t="s">
        <v>249</v>
      </c>
      <c r="K723">
        <v>0</v>
      </c>
      <c r="L723" t="s">
        <v>153</v>
      </c>
    </row>
    <row r="724" spans="9:12" x14ac:dyDescent="0.45">
      <c r="I724" t="s">
        <v>181</v>
      </c>
      <c r="J724" t="s">
        <v>250</v>
      </c>
      <c r="K724">
        <v>2.8019770343526138E-3</v>
      </c>
      <c r="L724" t="s">
        <v>153</v>
      </c>
    </row>
    <row r="725" spans="9:12" x14ac:dyDescent="0.45">
      <c r="I725" t="s">
        <v>181</v>
      </c>
      <c r="J725" t="s">
        <v>251</v>
      </c>
      <c r="K725">
        <v>4.6755633588705086E-3</v>
      </c>
      <c r="L725" t="s">
        <v>153</v>
      </c>
    </row>
    <row r="726" spans="9:12" x14ac:dyDescent="0.45">
      <c r="I726" t="s">
        <v>181</v>
      </c>
      <c r="J726" t="s">
        <v>252</v>
      </c>
      <c r="K726">
        <v>5.7477387921621836E-3</v>
      </c>
      <c r="L726" t="s">
        <v>153</v>
      </c>
    </row>
    <row r="727" spans="9:12" x14ac:dyDescent="0.45">
      <c r="I727" t="s">
        <v>181</v>
      </c>
      <c r="J727" t="s">
        <v>253</v>
      </c>
      <c r="K727">
        <v>3.8276028012728648E-2</v>
      </c>
      <c r="L727" t="s">
        <v>153</v>
      </c>
    </row>
    <row r="728" spans="9:12" x14ac:dyDescent="0.45">
      <c r="I728" t="s">
        <v>181</v>
      </c>
      <c r="J728" t="s">
        <v>254</v>
      </c>
      <c r="K728">
        <v>2.3621194040753094E-3</v>
      </c>
      <c r="L728" t="s">
        <v>153</v>
      </c>
    </row>
    <row r="729" spans="9:12" x14ac:dyDescent="0.45">
      <c r="I729" t="s">
        <v>181</v>
      </c>
      <c r="J729" t="s">
        <v>267</v>
      </c>
      <c r="K729">
        <v>0</v>
      </c>
      <c r="L729" t="s">
        <v>153</v>
      </c>
    </row>
    <row r="730" spans="9:12" x14ac:dyDescent="0.45">
      <c r="I730" t="s">
        <v>181</v>
      </c>
      <c r="J730" t="s">
        <v>268</v>
      </c>
      <c r="K730">
        <v>0</v>
      </c>
      <c r="L730" t="s">
        <v>153</v>
      </c>
    </row>
    <row r="731" spans="9:12" x14ac:dyDescent="0.45">
      <c r="I731" t="s">
        <v>182</v>
      </c>
      <c r="J731" t="s">
        <v>152</v>
      </c>
      <c r="K731">
        <v>1.5319263120701218E-2</v>
      </c>
      <c r="L731" t="s">
        <v>153</v>
      </c>
    </row>
    <row r="732" spans="9:12" x14ac:dyDescent="0.45">
      <c r="I732" t="s">
        <v>182</v>
      </c>
      <c r="J732" t="s">
        <v>154</v>
      </c>
      <c r="K732">
        <v>4.2499026444610323E-2</v>
      </c>
      <c r="L732" t="s">
        <v>153</v>
      </c>
    </row>
    <row r="733" spans="9:12" x14ac:dyDescent="0.45">
      <c r="I733" t="s">
        <v>182</v>
      </c>
      <c r="J733" t="s">
        <v>155</v>
      </c>
      <c r="K733">
        <v>6.3240277550773896E-2</v>
      </c>
      <c r="L733" t="s">
        <v>153</v>
      </c>
    </row>
    <row r="734" spans="9:12" x14ac:dyDescent="0.45">
      <c r="I734" t="s">
        <v>182</v>
      </c>
      <c r="J734" t="s">
        <v>232</v>
      </c>
      <c r="K734">
        <v>7.8224810773047035E-2</v>
      </c>
      <c r="L734" t="s">
        <v>153</v>
      </c>
    </row>
    <row r="735" spans="9:12" x14ac:dyDescent="0.45">
      <c r="I735" t="s">
        <v>182</v>
      </c>
      <c r="J735" t="s">
        <v>233</v>
      </c>
      <c r="K735">
        <v>0.56086725693814798</v>
      </c>
      <c r="L735" t="s">
        <v>153</v>
      </c>
    </row>
    <row r="736" spans="9:12" x14ac:dyDescent="0.45">
      <c r="I736" t="s">
        <v>182</v>
      </c>
      <c r="J736" t="s">
        <v>234</v>
      </c>
      <c r="K736">
        <v>3.5304001221177599E-2</v>
      </c>
      <c r="L736" t="s">
        <v>153</v>
      </c>
    </row>
    <row r="737" spans="9:12" x14ac:dyDescent="0.45">
      <c r="I737" t="s">
        <v>182</v>
      </c>
      <c r="J737" t="s">
        <v>259</v>
      </c>
      <c r="K737">
        <v>6.3154890577220993E-3</v>
      </c>
      <c r="L737" t="s">
        <v>153</v>
      </c>
    </row>
    <row r="738" spans="9:12" x14ac:dyDescent="0.45">
      <c r="I738" t="s">
        <v>182</v>
      </c>
      <c r="J738" t="s">
        <v>260</v>
      </c>
      <c r="K738">
        <v>0</v>
      </c>
      <c r="L738" t="s">
        <v>153</v>
      </c>
    </row>
    <row r="739" spans="9:12" x14ac:dyDescent="0.45">
      <c r="I739" t="s">
        <v>182</v>
      </c>
      <c r="J739" t="s">
        <v>156</v>
      </c>
      <c r="K739">
        <v>3.7504653664404916E-4</v>
      </c>
      <c r="L739" t="s">
        <v>153</v>
      </c>
    </row>
    <row r="740" spans="9:12" x14ac:dyDescent="0.45">
      <c r="I740" t="s">
        <v>182</v>
      </c>
      <c r="J740" t="s">
        <v>157</v>
      </c>
      <c r="K740">
        <v>7.7663439515077419E-4</v>
      </c>
      <c r="L740" t="s">
        <v>153</v>
      </c>
    </row>
    <row r="741" spans="9:12" x14ac:dyDescent="0.45">
      <c r="I741" t="s">
        <v>182</v>
      </c>
      <c r="J741" t="s">
        <v>158</v>
      </c>
      <c r="K741">
        <v>1.2546295237369667E-3</v>
      </c>
      <c r="L741" t="s">
        <v>153</v>
      </c>
    </row>
    <row r="742" spans="9:12" x14ac:dyDescent="0.45">
      <c r="I742" t="s">
        <v>182</v>
      </c>
      <c r="J742" t="s">
        <v>235</v>
      </c>
      <c r="K742">
        <v>1.6251678506492965E-3</v>
      </c>
      <c r="L742" t="s">
        <v>153</v>
      </c>
    </row>
    <row r="743" spans="9:12" x14ac:dyDescent="0.45">
      <c r="I743" t="s">
        <v>182</v>
      </c>
      <c r="J743" t="s">
        <v>236</v>
      </c>
      <c r="K743">
        <v>1.1505851098771218E-2</v>
      </c>
      <c r="L743" t="s">
        <v>153</v>
      </c>
    </row>
    <row r="744" spans="9:12" x14ac:dyDescent="0.45">
      <c r="I744" t="s">
        <v>182</v>
      </c>
      <c r="J744" t="s">
        <v>237</v>
      </c>
      <c r="K744">
        <v>4.5344754250713405E-4</v>
      </c>
      <c r="L744" t="s">
        <v>153</v>
      </c>
    </row>
    <row r="745" spans="9:12" x14ac:dyDescent="0.45">
      <c r="I745" t="s">
        <v>182</v>
      </c>
      <c r="J745" t="s">
        <v>261</v>
      </c>
      <c r="K745">
        <v>0</v>
      </c>
      <c r="L745" t="s">
        <v>153</v>
      </c>
    </row>
    <row r="746" spans="9:12" x14ac:dyDescent="0.45">
      <c r="I746" t="s">
        <v>182</v>
      </c>
      <c r="J746" t="s">
        <v>262</v>
      </c>
      <c r="K746">
        <v>0</v>
      </c>
      <c r="L746" t="s">
        <v>153</v>
      </c>
    </row>
    <row r="747" spans="9:12" x14ac:dyDescent="0.45">
      <c r="I747" t="s">
        <v>182</v>
      </c>
      <c r="J747" t="s">
        <v>159</v>
      </c>
      <c r="K747">
        <v>1.0068673089269743E-3</v>
      </c>
      <c r="L747" t="s">
        <v>153</v>
      </c>
    </row>
    <row r="748" spans="9:12" x14ac:dyDescent="0.45">
      <c r="I748" t="s">
        <v>182</v>
      </c>
      <c r="J748" t="s">
        <v>160</v>
      </c>
      <c r="K748">
        <v>3.229728536118181E-3</v>
      </c>
      <c r="L748" t="s">
        <v>153</v>
      </c>
    </row>
    <row r="749" spans="9:12" x14ac:dyDescent="0.45">
      <c r="I749" t="s">
        <v>182</v>
      </c>
      <c r="J749" t="s">
        <v>161</v>
      </c>
      <c r="K749">
        <v>5.2213077544949601E-3</v>
      </c>
      <c r="L749" t="s">
        <v>153</v>
      </c>
    </row>
    <row r="750" spans="9:12" x14ac:dyDescent="0.45">
      <c r="I750" t="s">
        <v>182</v>
      </c>
      <c r="J750" t="s">
        <v>238</v>
      </c>
      <c r="K750">
        <v>6.5378372341316606E-3</v>
      </c>
      <c r="L750" t="s">
        <v>153</v>
      </c>
    </row>
    <row r="751" spans="9:12" x14ac:dyDescent="0.45">
      <c r="I751" t="s">
        <v>182</v>
      </c>
      <c r="J751" t="s">
        <v>239</v>
      </c>
      <c r="K751">
        <v>4.1541598119744408E-2</v>
      </c>
      <c r="L751" t="s">
        <v>153</v>
      </c>
    </row>
    <row r="752" spans="9:12" x14ac:dyDescent="0.45">
      <c r="I752" t="s">
        <v>182</v>
      </c>
      <c r="J752" t="s">
        <v>240</v>
      </c>
      <c r="K752">
        <v>2.0595598880104485E-3</v>
      </c>
      <c r="L752" t="s">
        <v>153</v>
      </c>
    </row>
    <row r="753" spans="9:12" x14ac:dyDescent="0.45">
      <c r="I753" t="s">
        <v>182</v>
      </c>
      <c r="J753" t="s">
        <v>263</v>
      </c>
      <c r="K753">
        <v>0</v>
      </c>
      <c r="L753" t="s">
        <v>153</v>
      </c>
    </row>
    <row r="754" spans="9:12" x14ac:dyDescent="0.45">
      <c r="I754" t="s">
        <v>182</v>
      </c>
      <c r="J754" t="s">
        <v>264</v>
      </c>
      <c r="K754">
        <v>0</v>
      </c>
      <c r="L754" t="s">
        <v>153</v>
      </c>
    </row>
    <row r="755" spans="9:12" x14ac:dyDescent="0.45">
      <c r="I755" t="s">
        <v>182</v>
      </c>
      <c r="J755" t="s">
        <v>162</v>
      </c>
      <c r="K755">
        <v>0</v>
      </c>
      <c r="L755" t="s">
        <v>153</v>
      </c>
    </row>
    <row r="756" spans="9:12" x14ac:dyDescent="0.45">
      <c r="I756" t="s">
        <v>182</v>
      </c>
      <c r="J756" t="s">
        <v>163</v>
      </c>
      <c r="K756">
        <v>3.7221098873008816E-3</v>
      </c>
      <c r="L756" t="s">
        <v>153</v>
      </c>
    </row>
    <row r="757" spans="9:12" x14ac:dyDescent="0.45">
      <c r="I757" t="s">
        <v>182</v>
      </c>
      <c r="J757" t="s">
        <v>164</v>
      </c>
      <c r="K757">
        <v>6.3944369394858475E-3</v>
      </c>
      <c r="L757" t="s">
        <v>153</v>
      </c>
    </row>
    <row r="758" spans="9:12" x14ac:dyDescent="0.45">
      <c r="I758" t="s">
        <v>182</v>
      </c>
      <c r="J758" t="s">
        <v>241</v>
      </c>
      <c r="K758">
        <v>8.1563773240909115E-3</v>
      </c>
      <c r="L758" t="s">
        <v>153</v>
      </c>
    </row>
    <row r="759" spans="9:12" x14ac:dyDescent="0.45">
      <c r="I759" t="s">
        <v>182</v>
      </c>
      <c r="J759" t="s">
        <v>242</v>
      </c>
      <c r="K759">
        <v>5.025912290928454E-2</v>
      </c>
      <c r="L759" t="s">
        <v>153</v>
      </c>
    </row>
    <row r="760" spans="9:12" x14ac:dyDescent="0.45">
      <c r="I760" t="s">
        <v>182</v>
      </c>
      <c r="J760" t="s">
        <v>243</v>
      </c>
      <c r="K760">
        <v>2.2244667673578383E-3</v>
      </c>
      <c r="L760" t="s">
        <v>153</v>
      </c>
    </row>
    <row r="761" spans="9:12" x14ac:dyDescent="0.45">
      <c r="I761" t="s">
        <v>182</v>
      </c>
      <c r="J761" t="s">
        <v>265</v>
      </c>
      <c r="K761">
        <v>0</v>
      </c>
      <c r="L761" t="s">
        <v>153</v>
      </c>
    </row>
    <row r="762" spans="9:12" x14ac:dyDescent="0.45">
      <c r="I762" t="s">
        <v>182</v>
      </c>
      <c r="J762" t="s">
        <v>266</v>
      </c>
      <c r="K762">
        <v>0</v>
      </c>
      <c r="L762" t="s">
        <v>153</v>
      </c>
    </row>
    <row r="763" spans="9:12" x14ac:dyDescent="0.45">
      <c r="I763" t="s">
        <v>182</v>
      </c>
      <c r="J763" t="s">
        <v>249</v>
      </c>
      <c r="K763">
        <v>0</v>
      </c>
      <c r="L763" t="s">
        <v>153</v>
      </c>
    </row>
    <row r="764" spans="9:12" x14ac:dyDescent="0.45">
      <c r="I764" t="s">
        <v>182</v>
      </c>
      <c r="J764" t="s">
        <v>250</v>
      </c>
      <c r="K764">
        <v>2.7834431403652377E-3</v>
      </c>
      <c r="L764" t="s">
        <v>153</v>
      </c>
    </row>
    <row r="765" spans="9:12" x14ac:dyDescent="0.45">
      <c r="I765" t="s">
        <v>182</v>
      </c>
      <c r="J765" t="s">
        <v>251</v>
      </c>
      <c r="K765">
        <v>4.5749922777373652E-3</v>
      </c>
      <c r="L765" t="s">
        <v>153</v>
      </c>
    </row>
    <row r="766" spans="9:12" x14ac:dyDescent="0.45">
      <c r="I766" t="s">
        <v>182</v>
      </c>
      <c r="J766" t="s">
        <v>252</v>
      </c>
      <c r="K766">
        <v>5.6104758795485809E-3</v>
      </c>
      <c r="L766" t="s">
        <v>153</v>
      </c>
    </row>
    <row r="767" spans="9:12" x14ac:dyDescent="0.45">
      <c r="I767" t="s">
        <v>182</v>
      </c>
      <c r="J767" t="s">
        <v>253</v>
      </c>
      <c r="K767">
        <v>3.6779683146704385E-2</v>
      </c>
      <c r="L767" t="s">
        <v>153</v>
      </c>
    </row>
    <row r="768" spans="9:12" x14ac:dyDescent="0.45">
      <c r="I768" t="s">
        <v>182</v>
      </c>
      <c r="J768" t="s">
        <v>254</v>
      </c>
      <c r="K768">
        <v>2.1370908330599105E-3</v>
      </c>
      <c r="L768" t="s">
        <v>153</v>
      </c>
    </row>
    <row r="769" spans="9:12" x14ac:dyDescent="0.45">
      <c r="I769" t="s">
        <v>182</v>
      </c>
      <c r="J769" t="s">
        <v>267</v>
      </c>
      <c r="K769">
        <v>0</v>
      </c>
      <c r="L769" t="s">
        <v>153</v>
      </c>
    </row>
    <row r="770" spans="9:12" x14ac:dyDescent="0.45">
      <c r="I770" t="s">
        <v>182</v>
      </c>
      <c r="J770" t="s">
        <v>268</v>
      </c>
      <c r="K770">
        <v>0</v>
      </c>
      <c r="L770" t="s">
        <v>153</v>
      </c>
    </row>
    <row r="771" spans="9:12" x14ac:dyDescent="0.45">
      <c r="I771" t="s">
        <v>183</v>
      </c>
      <c r="J771" t="s">
        <v>152</v>
      </c>
      <c r="K771">
        <v>1.5788647263850403E-2</v>
      </c>
      <c r="L771" t="s">
        <v>153</v>
      </c>
    </row>
    <row r="772" spans="9:12" x14ac:dyDescent="0.45">
      <c r="I772" t="s">
        <v>183</v>
      </c>
      <c r="J772" t="s">
        <v>154</v>
      </c>
      <c r="K772">
        <v>4.2871558559847985E-2</v>
      </c>
      <c r="L772" t="s">
        <v>153</v>
      </c>
    </row>
    <row r="773" spans="9:12" x14ac:dyDescent="0.45">
      <c r="I773" t="s">
        <v>183</v>
      </c>
      <c r="J773" t="s">
        <v>155</v>
      </c>
      <c r="K773">
        <v>6.3099213973597759E-2</v>
      </c>
      <c r="L773" t="s">
        <v>153</v>
      </c>
    </row>
    <row r="774" spans="9:12" x14ac:dyDescent="0.45">
      <c r="I774" t="s">
        <v>183</v>
      </c>
      <c r="J774" t="s">
        <v>232</v>
      </c>
      <c r="K774">
        <v>7.849591636050518E-2</v>
      </c>
      <c r="L774" t="s">
        <v>153</v>
      </c>
    </row>
    <row r="775" spans="9:12" x14ac:dyDescent="0.45">
      <c r="I775" t="s">
        <v>183</v>
      </c>
      <c r="J775" t="s">
        <v>233</v>
      </c>
      <c r="K775">
        <v>0.56909163437077237</v>
      </c>
      <c r="L775" t="s">
        <v>153</v>
      </c>
    </row>
    <row r="776" spans="9:12" x14ac:dyDescent="0.45">
      <c r="I776" t="s">
        <v>183</v>
      </c>
      <c r="J776" t="s">
        <v>234</v>
      </c>
      <c r="K776">
        <v>3.7661766334535808E-2</v>
      </c>
      <c r="L776" t="s">
        <v>153</v>
      </c>
    </row>
    <row r="777" spans="9:12" x14ac:dyDescent="0.45">
      <c r="I777" t="s">
        <v>183</v>
      </c>
      <c r="J777" t="s">
        <v>259</v>
      </c>
      <c r="K777">
        <v>8.1090578491815855E-3</v>
      </c>
      <c r="L777" t="s">
        <v>153</v>
      </c>
    </row>
    <row r="778" spans="9:12" x14ac:dyDescent="0.45">
      <c r="I778" t="s">
        <v>183</v>
      </c>
      <c r="J778" t="s">
        <v>260</v>
      </c>
      <c r="K778">
        <v>0</v>
      </c>
      <c r="L778" t="s">
        <v>153</v>
      </c>
    </row>
    <row r="779" spans="9:12" x14ac:dyDescent="0.45">
      <c r="I779" t="s">
        <v>183</v>
      </c>
      <c r="J779" t="s">
        <v>156</v>
      </c>
      <c r="K779">
        <v>2.5196781656994368E-4</v>
      </c>
      <c r="L779" t="s">
        <v>153</v>
      </c>
    </row>
    <row r="780" spans="9:12" x14ac:dyDescent="0.45">
      <c r="I780" t="s">
        <v>183</v>
      </c>
      <c r="J780" t="s">
        <v>157</v>
      </c>
      <c r="K780">
        <v>4.8331063494525667E-4</v>
      </c>
      <c r="L780" t="s">
        <v>153</v>
      </c>
    </row>
    <row r="781" spans="9:12" x14ac:dyDescent="0.45">
      <c r="I781" t="s">
        <v>183</v>
      </c>
      <c r="J781" t="s">
        <v>158</v>
      </c>
      <c r="K781">
        <v>8.3885221493285142E-4</v>
      </c>
      <c r="L781" t="s">
        <v>153</v>
      </c>
    </row>
    <row r="782" spans="9:12" x14ac:dyDescent="0.45">
      <c r="I782" t="s">
        <v>183</v>
      </c>
      <c r="J782" t="s">
        <v>235</v>
      </c>
      <c r="K782">
        <v>1.207439565060993E-3</v>
      </c>
      <c r="L782" t="s">
        <v>153</v>
      </c>
    </row>
    <row r="783" spans="9:12" x14ac:dyDescent="0.45">
      <c r="I783" t="s">
        <v>183</v>
      </c>
      <c r="J783" t="s">
        <v>236</v>
      </c>
      <c r="K783">
        <v>1.0652064126244363E-2</v>
      </c>
      <c r="L783" t="s">
        <v>153</v>
      </c>
    </row>
    <row r="784" spans="9:12" x14ac:dyDescent="0.45">
      <c r="I784" t="s">
        <v>183</v>
      </c>
      <c r="J784" t="s">
        <v>237</v>
      </c>
      <c r="K784">
        <v>4.203947098187051E-4</v>
      </c>
      <c r="L784" t="s">
        <v>153</v>
      </c>
    </row>
    <row r="785" spans="9:12" x14ac:dyDescent="0.45">
      <c r="I785" t="s">
        <v>183</v>
      </c>
      <c r="J785" t="s">
        <v>261</v>
      </c>
      <c r="K785">
        <v>0</v>
      </c>
      <c r="L785" t="s">
        <v>153</v>
      </c>
    </row>
    <row r="786" spans="9:12" x14ac:dyDescent="0.45">
      <c r="I786" t="s">
        <v>183</v>
      </c>
      <c r="J786" t="s">
        <v>262</v>
      </c>
      <c r="K786">
        <v>0</v>
      </c>
      <c r="L786" t="s">
        <v>153</v>
      </c>
    </row>
    <row r="787" spans="9:12" x14ac:dyDescent="0.45">
      <c r="I787" t="s">
        <v>183</v>
      </c>
      <c r="J787" t="s">
        <v>159</v>
      </c>
      <c r="K787">
        <v>4.3462732027793513E-4</v>
      </c>
      <c r="L787" t="s">
        <v>153</v>
      </c>
    </row>
    <row r="788" spans="9:12" x14ac:dyDescent="0.45">
      <c r="I788" t="s">
        <v>183</v>
      </c>
      <c r="J788" t="s">
        <v>160</v>
      </c>
      <c r="K788">
        <v>2.8583840952751917E-3</v>
      </c>
      <c r="L788" t="s">
        <v>153</v>
      </c>
    </row>
    <row r="789" spans="9:12" x14ac:dyDescent="0.45">
      <c r="I789" t="s">
        <v>183</v>
      </c>
      <c r="J789" t="s">
        <v>161</v>
      </c>
      <c r="K789">
        <v>4.7483466243593495E-3</v>
      </c>
      <c r="L789" t="s">
        <v>153</v>
      </c>
    </row>
    <row r="790" spans="9:12" x14ac:dyDescent="0.45">
      <c r="I790" t="s">
        <v>183</v>
      </c>
      <c r="J790" t="s">
        <v>238</v>
      </c>
      <c r="K790">
        <v>6.2196111528783427E-3</v>
      </c>
      <c r="L790" t="s">
        <v>153</v>
      </c>
    </row>
    <row r="791" spans="9:12" x14ac:dyDescent="0.45">
      <c r="I791" t="s">
        <v>183</v>
      </c>
      <c r="J791" t="s">
        <v>239</v>
      </c>
      <c r="K791">
        <v>4.1937667319198707E-2</v>
      </c>
      <c r="L791" t="s">
        <v>153</v>
      </c>
    </row>
    <row r="792" spans="9:12" x14ac:dyDescent="0.45">
      <c r="I792" t="s">
        <v>183</v>
      </c>
      <c r="J792" t="s">
        <v>240</v>
      </c>
      <c r="K792">
        <v>2.3708758769446859E-3</v>
      </c>
      <c r="L792" t="s">
        <v>153</v>
      </c>
    </row>
    <row r="793" spans="9:12" x14ac:dyDescent="0.45">
      <c r="I793" t="s">
        <v>183</v>
      </c>
      <c r="J793" t="s">
        <v>263</v>
      </c>
      <c r="K793">
        <v>0</v>
      </c>
      <c r="L793" t="s">
        <v>153</v>
      </c>
    </row>
    <row r="794" spans="9:12" x14ac:dyDescent="0.45">
      <c r="I794" t="s">
        <v>183</v>
      </c>
      <c r="J794" t="s">
        <v>264</v>
      </c>
      <c r="K794">
        <v>0</v>
      </c>
      <c r="L794" t="s">
        <v>153</v>
      </c>
    </row>
    <row r="795" spans="9:12" x14ac:dyDescent="0.45">
      <c r="I795" t="s">
        <v>183</v>
      </c>
      <c r="J795" t="s">
        <v>162</v>
      </c>
      <c r="K795">
        <v>0</v>
      </c>
      <c r="L795" t="s">
        <v>153</v>
      </c>
    </row>
    <row r="796" spans="9:12" x14ac:dyDescent="0.45">
      <c r="I796" t="s">
        <v>183</v>
      </c>
      <c r="J796" t="s">
        <v>163</v>
      </c>
      <c r="K796">
        <v>2.7762877720414543E-3</v>
      </c>
      <c r="L796" t="s">
        <v>153</v>
      </c>
    </row>
    <row r="797" spans="9:12" x14ac:dyDescent="0.45">
      <c r="I797" t="s">
        <v>183</v>
      </c>
      <c r="J797" t="s">
        <v>164</v>
      </c>
      <c r="K797">
        <v>5.1529686598929866E-3</v>
      </c>
      <c r="L797" t="s">
        <v>153</v>
      </c>
    </row>
    <row r="798" spans="9:12" x14ac:dyDescent="0.45">
      <c r="I798" t="s">
        <v>183</v>
      </c>
      <c r="J798" t="s">
        <v>241</v>
      </c>
      <c r="K798">
        <v>7.3018026263363608E-3</v>
      </c>
      <c r="L798" t="s">
        <v>153</v>
      </c>
    </row>
    <row r="799" spans="9:12" x14ac:dyDescent="0.45">
      <c r="I799" t="s">
        <v>183</v>
      </c>
      <c r="J799" t="s">
        <v>242</v>
      </c>
      <c r="K799">
        <v>4.7125404866290584E-2</v>
      </c>
      <c r="L799" t="s">
        <v>153</v>
      </c>
    </row>
    <row r="800" spans="9:12" x14ac:dyDescent="0.45">
      <c r="I800" t="s">
        <v>183</v>
      </c>
      <c r="J800" t="s">
        <v>243</v>
      </c>
      <c r="K800">
        <v>2.2134598696808712E-3</v>
      </c>
      <c r="L800" t="s">
        <v>153</v>
      </c>
    </row>
    <row r="801" spans="9:12" x14ac:dyDescent="0.45">
      <c r="I801" t="s">
        <v>183</v>
      </c>
      <c r="J801" t="s">
        <v>265</v>
      </c>
      <c r="K801">
        <v>0</v>
      </c>
      <c r="L801" t="s">
        <v>153</v>
      </c>
    </row>
    <row r="802" spans="9:12" x14ac:dyDescent="0.45">
      <c r="I802" t="s">
        <v>183</v>
      </c>
      <c r="J802" t="s">
        <v>266</v>
      </c>
      <c r="K802">
        <v>0</v>
      </c>
      <c r="L802" t="s">
        <v>153</v>
      </c>
    </row>
    <row r="803" spans="9:12" x14ac:dyDescent="0.45">
      <c r="I803" t="s">
        <v>183</v>
      </c>
      <c r="J803" t="s">
        <v>249</v>
      </c>
      <c r="K803">
        <v>0</v>
      </c>
      <c r="L803" t="s">
        <v>153</v>
      </c>
    </row>
    <row r="804" spans="9:12" x14ac:dyDescent="0.45">
      <c r="I804" t="s">
        <v>183</v>
      </c>
      <c r="J804" t="s">
        <v>250</v>
      </c>
      <c r="K804">
        <v>2.2324173041115189E-3</v>
      </c>
      <c r="L804" t="s">
        <v>153</v>
      </c>
    </row>
    <row r="805" spans="9:12" x14ac:dyDescent="0.45">
      <c r="I805" t="s">
        <v>183</v>
      </c>
      <c r="J805" t="s">
        <v>251</v>
      </c>
      <c r="K805">
        <v>3.861823481906839E-3</v>
      </c>
      <c r="L805" t="s">
        <v>153</v>
      </c>
    </row>
    <row r="806" spans="9:12" x14ac:dyDescent="0.45">
      <c r="I806" t="s">
        <v>183</v>
      </c>
      <c r="J806" t="s">
        <v>252</v>
      </c>
      <c r="K806">
        <v>5.128156430265686E-3</v>
      </c>
      <c r="L806" t="s">
        <v>153</v>
      </c>
    </row>
    <row r="807" spans="9:12" x14ac:dyDescent="0.45">
      <c r="I807" t="s">
        <v>183</v>
      </c>
      <c r="J807" t="s">
        <v>253</v>
      </c>
      <c r="K807">
        <v>3.4750237047913274E-2</v>
      </c>
      <c r="L807" t="s">
        <v>153</v>
      </c>
    </row>
    <row r="808" spans="9:12" x14ac:dyDescent="0.45">
      <c r="I808" t="s">
        <v>183</v>
      </c>
      <c r="J808" t="s">
        <v>254</v>
      </c>
      <c r="K808">
        <v>1.9161057727636872E-3</v>
      </c>
      <c r="L808" t="s">
        <v>153</v>
      </c>
    </row>
    <row r="809" spans="9:12" x14ac:dyDescent="0.45">
      <c r="I809" t="s">
        <v>183</v>
      </c>
      <c r="J809" t="s">
        <v>267</v>
      </c>
      <c r="K809">
        <v>0</v>
      </c>
      <c r="L809" t="s">
        <v>153</v>
      </c>
    </row>
    <row r="810" spans="9:12" x14ac:dyDescent="0.45">
      <c r="I810" t="s">
        <v>183</v>
      </c>
      <c r="J810" t="s">
        <v>268</v>
      </c>
      <c r="K810">
        <v>0</v>
      </c>
      <c r="L810" t="s">
        <v>153</v>
      </c>
    </row>
    <row r="811" spans="9:12" x14ac:dyDescent="0.45">
      <c r="I811" t="s">
        <v>184</v>
      </c>
      <c r="J811" t="s">
        <v>152</v>
      </c>
      <c r="K811">
        <v>1.29221342457245E-2</v>
      </c>
      <c r="L811" t="s">
        <v>153</v>
      </c>
    </row>
    <row r="812" spans="9:12" x14ac:dyDescent="0.45">
      <c r="I812" t="s">
        <v>184</v>
      </c>
      <c r="J812" t="s">
        <v>154</v>
      </c>
      <c r="K812">
        <v>3.9432158483941875E-2</v>
      </c>
      <c r="L812" t="s">
        <v>153</v>
      </c>
    </row>
    <row r="813" spans="9:12" x14ac:dyDescent="0.45">
      <c r="I813" t="s">
        <v>184</v>
      </c>
      <c r="J813" t="s">
        <v>155</v>
      </c>
      <c r="K813">
        <v>6.0971288078694827E-2</v>
      </c>
      <c r="L813" t="s">
        <v>153</v>
      </c>
    </row>
    <row r="814" spans="9:12" x14ac:dyDescent="0.45">
      <c r="I814" t="s">
        <v>184</v>
      </c>
      <c r="J814" t="s">
        <v>232</v>
      </c>
      <c r="K814">
        <v>7.6656877009676785E-2</v>
      </c>
      <c r="L814" t="s">
        <v>153</v>
      </c>
    </row>
    <row r="815" spans="9:12" x14ac:dyDescent="0.45">
      <c r="I815" t="s">
        <v>184</v>
      </c>
      <c r="J815" t="s">
        <v>233</v>
      </c>
      <c r="K815">
        <v>0.55843850058976885</v>
      </c>
      <c r="L815" t="s">
        <v>153</v>
      </c>
    </row>
    <row r="816" spans="9:12" x14ac:dyDescent="0.45">
      <c r="I816" t="s">
        <v>184</v>
      </c>
      <c r="J816" t="s">
        <v>234</v>
      </c>
      <c r="K816">
        <v>3.5384610915149946E-2</v>
      </c>
      <c r="L816" t="s">
        <v>153</v>
      </c>
    </row>
    <row r="817" spans="9:12" x14ac:dyDescent="0.45">
      <c r="I817" t="s">
        <v>184</v>
      </c>
      <c r="J817" t="s">
        <v>259</v>
      </c>
      <c r="K817">
        <v>6.1833102796691169E-3</v>
      </c>
      <c r="L817" t="s">
        <v>153</v>
      </c>
    </row>
    <row r="818" spans="9:12" x14ac:dyDescent="0.45">
      <c r="I818" t="s">
        <v>184</v>
      </c>
      <c r="J818" t="s">
        <v>260</v>
      </c>
      <c r="K818">
        <v>0</v>
      </c>
      <c r="L818" t="s">
        <v>153</v>
      </c>
    </row>
    <row r="819" spans="9:12" x14ac:dyDescent="0.45">
      <c r="I819" t="s">
        <v>184</v>
      </c>
      <c r="J819" t="s">
        <v>156</v>
      </c>
      <c r="K819">
        <v>6.2599772479281517E-4</v>
      </c>
      <c r="L819" t="s">
        <v>153</v>
      </c>
    </row>
    <row r="820" spans="9:12" x14ac:dyDescent="0.45">
      <c r="I820" t="s">
        <v>184</v>
      </c>
      <c r="J820" t="s">
        <v>157</v>
      </c>
      <c r="K820">
        <v>1.2844731051801885E-3</v>
      </c>
      <c r="L820" t="s">
        <v>153</v>
      </c>
    </row>
    <row r="821" spans="9:12" x14ac:dyDescent="0.45">
      <c r="I821" t="s">
        <v>184</v>
      </c>
      <c r="J821" t="s">
        <v>158</v>
      </c>
      <c r="K821">
        <v>2.1071430484129149E-3</v>
      </c>
      <c r="L821" t="s">
        <v>153</v>
      </c>
    </row>
    <row r="822" spans="9:12" x14ac:dyDescent="0.45">
      <c r="I822" t="s">
        <v>184</v>
      </c>
      <c r="J822" t="s">
        <v>235</v>
      </c>
      <c r="K822">
        <v>2.598693263914939E-3</v>
      </c>
      <c r="L822" t="s">
        <v>153</v>
      </c>
    </row>
    <row r="823" spans="9:12" x14ac:dyDescent="0.45">
      <c r="I823" t="s">
        <v>184</v>
      </c>
      <c r="J823" t="s">
        <v>236</v>
      </c>
      <c r="K823">
        <v>1.6703548159002927E-2</v>
      </c>
      <c r="L823" t="s">
        <v>153</v>
      </c>
    </row>
    <row r="824" spans="9:12" x14ac:dyDescent="0.45">
      <c r="I824" t="s">
        <v>184</v>
      </c>
      <c r="J824" t="s">
        <v>237</v>
      </c>
      <c r="K824">
        <v>6.9760780384366399E-4</v>
      </c>
      <c r="L824" t="s">
        <v>153</v>
      </c>
    </row>
    <row r="825" spans="9:12" x14ac:dyDescent="0.45">
      <c r="I825" t="s">
        <v>184</v>
      </c>
      <c r="J825" t="s">
        <v>261</v>
      </c>
      <c r="K825">
        <v>0</v>
      </c>
      <c r="L825" t="s">
        <v>153</v>
      </c>
    </row>
    <row r="826" spans="9:12" x14ac:dyDescent="0.45">
      <c r="I826" t="s">
        <v>184</v>
      </c>
      <c r="J826" t="s">
        <v>262</v>
      </c>
      <c r="K826">
        <v>0</v>
      </c>
      <c r="L826" t="s">
        <v>153</v>
      </c>
    </row>
    <row r="827" spans="9:12" x14ac:dyDescent="0.45">
      <c r="I827" t="s">
        <v>184</v>
      </c>
      <c r="J827" t="s">
        <v>159</v>
      </c>
      <c r="K827">
        <v>2.097628153455734E-3</v>
      </c>
      <c r="L827" t="s">
        <v>153</v>
      </c>
    </row>
    <row r="828" spans="9:12" x14ac:dyDescent="0.45">
      <c r="I828" t="s">
        <v>184</v>
      </c>
      <c r="J828" t="s">
        <v>160</v>
      </c>
      <c r="K828">
        <v>3.6886906045228828E-3</v>
      </c>
      <c r="L828" t="s">
        <v>153</v>
      </c>
    </row>
    <row r="829" spans="9:12" x14ac:dyDescent="0.45">
      <c r="I829" t="s">
        <v>184</v>
      </c>
      <c r="J829" t="s">
        <v>161</v>
      </c>
      <c r="K829">
        <v>5.5787278743687158E-3</v>
      </c>
      <c r="L829" t="s">
        <v>153</v>
      </c>
    </row>
    <row r="830" spans="9:12" x14ac:dyDescent="0.45">
      <c r="I830" t="s">
        <v>184</v>
      </c>
      <c r="J830" t="s">
        <v>238</v>
      </c>
      <c r="K830">
        <v>6.6274631654773559E-3</v>
      </c>
      <c r="L830" t="s">
        <v>153</v>
      </c>
    </row>
    <row r="831" spans="9:12" x14ac:dyDescent="0.45">
      <c r="I831" t="s">
        <v>184</v>
      </c>
      <c r="J831" t="s">
        <v>239</v>
      </c>
      <c r="K831">
        <v>4.4381100106838774E-2</v>
      </c>
      <c r="L831" t="s">
        <v>153</v>
      </c>
    </row>
    <row r="832" spans="9:12" x14ac:dyDescent="0.45">
      <c r="I832" t="s">
        <v>184</v>
      </c>
      <c r="J832" t="s">
        <v>240</v>
      </c>
      <c r="K832">
        <v>2.6144332072080253E-3</v>
      </c>
      <c r="L832" t="s">
        <v>153</v>
      </c>
    </row>
    <row r="833" spans="9:12" x14ac:dyDescent="0.45">
      <c r="I833" t="s">
        <v>184</v>
      </c>
      <c r="J833" t="s">
        <v>263</v>
      </c>
      <c r="K833">
        <v>0</v>
      </c>
      <c r="L833" t="s">
        <v>153</v>
      </c>
    </row>
    <row r="834" spans="9:12" x14ac:dyDescent="0.45">
      <c r="I834" t="s">
        <v>184</v>
      </c>
      <c r="J834" t="s">
        <v>264</v>
      </c>
      <c r="K834">
        <v>0</v>
      </c>
      <c r="L834" t="s">
        <v>153</v>
      </c>
    </row>
    <row r="835" spans="9:12" x14ac:dyDescent="0.45">
      <c r="I835" t="s">
        <v>184</v>
      </c>
      <c r="J835" t="s">
        <v>162</v>
      </c>
      <c r="K835">
        <v>3.3328960203565263E-4</v>
      </c>
      <c r="L835" t="s">
        <v>153</v>
      </c>
    </row>
    <row r="836" spans="9:12" x14ac:dyDescent="0.45">
      <c r="I836" t="s">
        <v>184</v>
      </c>
      <c r="J836" t="s">
        <v>163</v>
      </c>
      <c r="K836">
        <v>3.9277460729491096E-3</v>
      </c>
      <c r="L836" t="s">
        <v>153</v>
      </c>
    </row>
    <row r="837" spans="9:12" x14ac:dyDescent="0.45">
      <c r="I837" t="s">
        <v>184</v>
      </c>
      <c r="J837" t="s">
        <v>164</v>
      </c>
      <c r="K837">
        <v>6.3278971469343855E-3</v>
      </c>
      <c r="L837" t="s">
        <v>153</v>
      </c>
    </row>
    <row r="838" spans="9:12" x14ac:dyDescent="0.45">
      <c r="I838" t="s">
        <v>184</v>
      </c>
      <c r="J838" t="s">
        <v>241</v>
      </c>
      <c r="K838">
        <v>8.1073634113397897E-3</v>
      </c>
      <c r="L838" t="s">
        <v>153</v>
      </c>
    </row>
    <row r="839" spans="9:12" x14ac:dyDescent="0.45">
      <c r="I839" t="s">
        <v>184</v>
      </c>
      <c r="J839" t="s">
        <v>242</v>
      </c>
      <c r="K839">
        <v>5.4655591327026867E-2</v>
      </c>
      <c r="L839" t="s">
        <v>153</v>
      </c>
    </row>
    <row r="840" spans="9:12" x14ac:dyDescent="0.45">
      <c r="I840" t="s">
        <v>184</v>
      </c>
      <c r="J840" t="s">
        <v>243</v>
      </c>
      <c r="K840">
        <v>2.6355044934558464E-3</v>
      </c>
      <c r="L840" t="s">
        <v>153</v>
      </c>
    </row>
    <row r="841" spans="9:12" x14ac:dyDescent="0.45">
      <c r="I841" t="s">
        <v>184</v>
      </c>
      <c r="J841" t="s">
        <v>265</v>
      </c>
      <c r="K841">
        <v>0</v>
      </c>
      <c r="L841" t="s">
        <v>153</v>
      </c>
    </row>
    <row r="842" spans="9:12" x14ac:dyDescent="0.45">
      <c r="I842" t="s">
        <v>184</v>
      </c>
      <c r="J842" t="s">
        <v>266</v>
      </c>
      <c r="K842">
        <v>0</v>
      </c>
      <c r="L842" t="s">
        <v>153</v>
      </c>
    </row>
    <row r="843" spans="9:12" x14ac:dyDescent="0.45">
      <c r="I843" t="s">
        <v>184</v>
      </c>
      <c r="J843" t="s">
        <v>249</v>
      </c>
      <c r="K843">
        <v>0</v>
      </c>
      <c r="L843" t="s">
        <v>153</v>
      </c>
    </row>
    <row r="844" spans="9:12" x14ac:dyDescent="0.45">
      <c r="I844" t="s">
        <v>184</v>
      </c>
      <c r="J844" t="s">
        <v>250</v>
      </c>
      <c r="K844">
        <v>2.258912606175644E-3</v>
      </c>
      <c r="L844" t="s">
        <v>153</v>
      </c>
    </row>
    <row r="845" spans="9:12" x14ac:dyDescent="0.45">
      <c r="I845" t="s">
        <v>184</v>
      </c>
      <c r="J845" t="s">
        <v>251</v>
      </c>
      <c r="K845">
        <v>3.7969744407751367E-3</v>
      </c>
      <c r="L845" t="s">
        <v>153</v>
      </c>
    </row>
    <row r="846" spans="9:12" x14ac:dyDescent="0.45">
      <c r="I846" t="s">
        <v>184</v>
      </c>
      <c r="J846" t="s">
        <v>252</v>
      </c>
      <c r="K846">
        <v>4.7439461232770385E-3</v>
      </c>
      <c r="L846" t="s">
        <v>153</v>
      </c>
    </row>
    <row r="847" spans="9:12" x14ac:dyDescent="0.45">
      <c r="I847" t="s">
        <v>184</v>
      </c>
      <c r="J847" t="s">
        <v>253</v>
      </c>
      <c r="K847">
        <v>3.2101277726964507E-2</v>
      </c>
      <c r="L847" t="s">
        <v>153</v>
      </c>
    </row>
    <row r="848" spans="9:12" x14ac:dyDescent="0.45">
      <c r="I848" t="s">
        <v>184</v>
      </c>
      <c r="J848" t="s">
        <v>254</v>
      </c>
      <c r="K848">
        <v>2.1171112294184604E-3</v>
      </c>
      <c r="L848" t="s">
        <v>153</v>
      </c>
    </row>
    <row r="849" spans="9:12" x14ac:dyDescent="0.45">
      <c r="I849" t="s">
        <v>184</v>
      </c>
      <c r="J849" t="s">
        <v>267</v>
      </c>
      <c r="K849">
        <v>0</v>
      </c>
      <c r="L849" t="s">
        <v>153</v>
      </c>
    </row>
    <row r="850" spans="9:12" x14ac:dyDescent="0.45">
      <c r="I850" t="s">
        <v>184</v>
      </c>
      <c r="J850" t="s">
        <v>268</v>
      </c>
      <c r="K850">
        <v>0</v>
      </c>
      <c r="L850" t="s">
        <v>153</v>
      </c>
    </row>
    <row r="851" spans="9:12" x14ac:dyDescent="0.45">
      <c r="I851" t="s">
        <v>185</v>
      </c>
      <c r="J851" t="s">
        <v>152</v>
      </c>
      <c r="K851">
        <v>1.3272843024806632E-2</v>
      </c>
      <c r="L851" t="s">
        <v>153</v>
      </c>
    </row>
    <row r="852" spans="9:12" x14ac:dyDescent="0.45">
      <c r="I852" t="s">
        <v>185</v>
      </c>
      <c r="J852" t="s">
        <v>154</v>
      </c>
      <c r="K852">
        <v>3.994120997095936E-2</v>
      </c>
      <c r="L852" t="s">
        <v>153</v>
      </c>
    </row>
    <row r="853" spans="9:12" x14ac:dyDescent="0.45">
      <c r="I853" t="s">
        <v>185</v>
      </c>
      <c r="J853" t="s">
        <v>155</v>
      </c>
      <c r="K853">
        <v>6.1373871887552063E-2</v>
      </c>
      <c r="L853" t="s">
        <v>153</v>
      </c>
    </row>
    <row r="854" spans="9:12" x14ac:dyDescent="0.45">
      <c r="I854" t="s">
        <v>185</v>
      </c>
      <c r="J854" t="s">
        <v>232</v>
      </c>
      <c r="K854">
        <v>7.7192890221219987E-2</v>
      </c>
      <c r="L854" t="s">
        <v>153</v>
      </c>
    </row>
    <row r="855" spans="9:12" x14ac:dyDescent="0.45">
      <c r="I855" t="s">
        <v>185</v>
      </c>
      <c r="J855" t="s">
        <v>233</v>
      </c>
      <c r="K855">
        <v>0.54433456654058898</v>
      </c>
      <c r="L855" t="s">
        <v>153</v>
      </c>
    </row>
    <row r="856" spans="9:12" x14ac:dyDescent="0.45">
      <c r="I856" t="s">
        <v>185</v>
      </c>
      <c r="J856" t="s">
        <v>234</v>
      </c>
      <c r="K856">
        <v>3.1073425045678338E-2</v>
      </c>
      <c r="L856" t="s">
        <v>153</v>
      </c>
    </row>
    <row r="857" spans="9:12" x14ac:dyDescent="0.45">
      <c r="I857" t="s">
        <v>185</v>
      </c>
      <c r="J857" t="s">
        <v>259</v>
      </c>
      <c r="K857">
        <v>4.4512192668226458E-3</v>
      </c>
      <c r="L857" t="s">
        <v>153</v>
      </c>
    </row>
    <row r="858" spans="9:12" x14ac:dyDescent="0.45">
      <c r="I858" t="s">
        <v>185</v>
      </c>
      <c r="J858" t="s">
        <v>260</v>
      </c>
      <c r="K858">
        <v>0</v>
      </c>
      <c r="L858" t="s">
        <v>153</v>
      </c>
    </row>
    <row r="859" spans="9:12" x14ac:dyDescent="0.45">
      <c r="I859" t="s">
        <v>185</v>
      </c>
      <c r="J859" t="s">
        <v>156</v>
      </c>
      <c r="K859">
        <v>3.9364790846566034E-4</v>
      </c>
      <c r="L859" t="s">
        <v>153</v>
      </c>
    </row>
    <row r="860" spans="9:12" x14ac:dyDescent="0.45">
      <c r="I860" t="s">
        <v>185</v>
      </c>
      <c r="J860" t="s">
        <v>157</v>
      </c>
      <c r="K860">
        <v>1.0198120686272321E-3</v>
      </c>
      <c r="L860" t="s">
        <v>153</v>
      </c>
    </row>
    <row r="861" spans="9:12" x14ac:dyDescent="0.45">
      <c r="I861" t="s">
        <v>185</v>
      </c>
      <c r="J861" t="s">
        <v>158</v>
      </c>
      <c r="K861">
        <v>1.7390029304163543E-3</v>
      </c>
      <c r="L861" t="s">
        <v>153</v>
      </c>
    </row>
    <row r="862" spans="9:12" x14ac:dyDescent="0.45">
      <c r="I862" t="s">
        <v>185</v>
      </c>
      <c r="J862" t="s">
        <v>235</v>
      </c>
      <c r="K862">
        <v>2.1558872973092879E-3</v>
      </c>
      <c r="L862" t="s">
        <v>153</v>
      </c>
    </row>
    <row r="863" spans="9:12" x14ac:dyDescent="0.45">
      <c r="I863" t="s">
        <v>185</v>
      </c>
      <c r="J863" t="s">
        <v>236</v>
      </c>
      <c r="K863">
        <v>1.5539915540289207E-2</v>
      </c>
      <c r="L863" t="s">
        <v>153</v>
      </c>
    </row>
    <row r="864" spans="9:12" x14ac:dyDescent="0.45">
      <c r="I864" t="s">
        <v>185</v>
      </c>
      <c r="J864" t="s">
        <v>237</v>
      </c>
      <c r="K864">
        <v>7.7651304272457599E-4</v>
      </c>
      <c r="L864" t="s">
        <v>153</v>
      </c>
    </row>
    <row r="865" spans="9:12" x14ac:dyDescent="0.45">
      <c r="I865" t="s">
        <v>185</v>
      </c>
      <c r="J865" t="s">
        <v>261</v>
      </c>
      <c r="K865">
        <v>0</v>
      </c>
      <c r="L865" t="s">
        <v>153</v>
      </c>
    </row>
    <row r="866" spans="9:12" x14ac:dyDescent="0.45">
      <c r="I866" t="s">
        <v>185</v>
      </c>
      <c r="J866" t="s">
        <v>262</v>
      </c>
      <c r="K866">
        <v>0</v>
      </c>
      <c r="L866" t="s">
        <v>153</v>
      </c>
    </row>
    <row r="867" spans="9:12" x14ac:dyDescent="0.45">
      <c r="I867" t="s">
        <v>185</v>
      </c>
      <c r="J867" t="s">
        <v>159</v>
      </c>
      <c r="K867">
        <v>2.1639263496665549E-3</v>
      </c>
      <c r="L867" t="s">
        <v>153</v>
      </c>
    </row>
    <row r="868" spans="9:12" x14ac:dyDescent="0.45">
      <c r="I868" t="s">
        <v>185</v>
      </c>
      <c r="J868" t="s">
        <v>160</v>
      </c>
      <c r="K868">
        <v>4.0330914869363445E-3</v>
      </c>
      <c r="L868" t="s">
        <v>153</v>
      </c>
    </row>
    <row r="869" spans="9:12" x14ac:dyDescent="0.45">
      <c r="I869" t="s">
        <v>185</v>
      </c>
      <c r="J869" t="s">
        <v>161</v>
      </c>
      <c r="K869">
        <v>5.694037578945748E-3</v>
      </c>
      <c r="L869" t="s">
        <v>153</v>
      </c>
    </row>
    <row r="870" spans="9:12" x14ac:dyDescent="0.45">
      <c r="I870" t="s">
        <v>185</v>
      </c>
      <c r="J870" t="s">
        <v>238</v>
      </c>
      <c r="K870">
        <v>6.8848404591214385E-3</v>
      </c>
      <c r="L870" t="s">
        <v>153</v>
      </c>
    </row>
    <row r="871" spans="9:12" x14ac:dyDescent="0.45">
      <c r="I871" t="s">
        <v>185</v>
      </c>
      <c r="J871" t="s">
        <v>239</v>
      </c>
      <c r="K871">
        <v>4.5217582398870276E-2</v>
      </c>
      <c r="L871" t="s">
        <v>153</v>
      </c>
    </row>
    <row r="872" spans="9:12" x14ac:dyDescent="0.45">
      <c r="I872" t="s">
        <v>185</v>
      </c>
      <c r="J872" t="s">
        <v>240</v>
      </c>
      <c r="K872">
        <v>2.5244990885829564E-3</v>
      </c>
      <c r="L872" t="s">
        <v>153</v>
      </c>
    </row>
    <row r="873" spans="9:12" x14ac:dyDescent="0.45">
      <c r="I873" t="s">
        <v>185</v>
      </c>
      <c r="J873" t="s">
        <v>263</v>
      </c>
      <c r="K873">
        <v>0</v>
      </c>
      <c r="L873" t="s">
        <v>153</v>
      </c>
    </row>
    <row r="874" spans="9:12" x14ac:dyDescent="0.45">
      <c r="I874" t="s">
        <v>185</v>
      </c>
      <c r="J874" t="s">
        <v>264</v>
      </c>
      <c r="K874">
        <v>0</v>
      </c>
      <c r="L874" t="s">
        <v>153</v>
      </c>
    </row>
    <row r="875" spans="9:12" x14ac:dyDescent="0.45">
      <c r="I875" t="s">
        <v>185</v>
      </c>
      <c r="J875" t="s">
        <v>162</v>
      </c>
      <c r="K875">
        <v>5.1558499046612614E-4</v>
      </c>
      <c r="L875" t="s">
        <v>153</v>
      </c>
    </row>
    <row r="876" spans="9:12" x14ac:dyDescent="0.45">
      <c r="I876" t="s">
        <v>185</v>
      </c>
      <c r="J876" t="s">
        <v>163</v>
      </c>
      <c r="K876">
        <v>5.212234026154252E-3</v>
      </c>
      <c r="L876" t="s">
        <v>153</v>
      </c>
    </row>
    <row r="877" spans="9:12" x14ac:dyDescent="0.45">
      <c r="I877" t="s">
        <v>185</v>
      </c>
      <c r="J877" t="s">
        <v>164</v>
      </c>
      <c r="K877">
        <v>7.8858706356201829E-3</v>
      </c>
      <c r="L877" t="s">
        <v>153</v>
      </c>
    </row>
    <row r="878" spans="9:12" x14ac:dyDescent="0.45">
      <c r="I878" t="s">
        <v>185</v>
      </c>
      <c r="J878" t="s">
        <v>241</v>
      </c>
      <c r="K878">
        <v>9.5404154793728539E-3</v>
      </c>
      <c r="L878" t="s">
        <v>153</v>
      </c>
    </row>
    <row r="879" spans="9:12" x14ac:dyDescent="0.45">
      <c r="I879" t="s">
        <v>185</v>
      </c>
      <c r="J879" t="s">
        <v>242</v>
      </c>
      <c r="K879">
        <v>6.2010720659497885E-2</v>
      </c>
      <c r="L879" t="s">
        <v>153</v>
      </c>
    </row>
    <row r="880" spans="9:12" x14ac:dyDescent="0.45">
      <c r="I880" t="s">
        <v>185</v>
      </c>
      <c r="J880" t="s">
        <v>243</v>
      </c>
      <c r="K880">
        <v>3.0634936501931585E-3</v>
      </c>
      <c r="L880" t="s">
        <v>153</v>
      </c>
    </row>
    <row r="881" spans="9:12" x14ac:dyDescent="0.45">
      <c r="I881" t="s">
        <v>185</v>
      </c>
      <c r="J881" t="s">
        <v>265</v>
      </c>
      <c r="K881">
        <v>0</v>
      </c>
      <c r="L881" t="s">
        <v>153</v>
      </c>
    </row>
    <row r="882" spans="9:12" x14ac:dyDescent="0.45">
      <c r="I882" t="s">
        <v>185</v>
      </c>
      <c r="J882" t="s">
        <v>266</v>
      </c>
      <c r="K882">
        <v>0</v>
      </c>
      <c r="L882" t="s">
        <v>153</v>
      </c>
    </row>
    <row r="883" spans="9:12" x14ac:dyDescent="0.45">
      <c r="I883" t="s">
        <v>185</v>
      </c>
      <c r="J883" t="s">
        <v>249</v>
      </c>
      <c r="K883">
        <v>0</v>
      </c>
      <c r="L883" t="s">
        <v>153</v>
      </c>
    </row>
    <row r="884" spans="9:12" x14ac:dyDescent="0.45">
      <c r="I884" t="s">
        <v>185</v>
      </c>
      <c r="J884" t="s">
        <v>250</v>
      </c>
      <c r="K884">
        <v>2.7346293616979933E-3</v>
      </c>
      <c r="L884" t="s">
        <v>153</v>
      </c>
    </row>
    <row r="885" spans="9:12" x14ac:dyDescent="0.45">
      <c r="I885" t="s">
        <v>185</v>
      </c>
      <c r="J885" t="s">
        <v>251</v>
      </c>
      <c r="K885">
        <v>4.2988910489866229E-3</v>
      </c>
      <c r="L885" t="s">
        <v>153</v>
      </c>
    </row>
    <row r="886" spans="9:12" x14ac:dyDescent="0.45">
      <c r="I886" t="s">
        <v>185</v>
      </c>
      <c r="J886" t="s">
        <v>252</v>
      </c>
      <c r="K886">
        <v>5.2328615940102491E-3</v>
      </c>
      <c r="L886" t="s">
        <v>153</v>
      </c>
    </row>
    <row r="887" spans="9:12" x14ac:dyDescent="0.45">
      <c r="I887" t="s">
        <v>185</v>
      </c>
      <c r="J887" t="s">
        <v>253</v>
      </c>
      <c r="K887">
        <v>3.736097588688711E-2</v>
      </c>
      <c r="L887" t="s">
        <v>153</v>
      </c>
    </row>
    <row r="888" spans="9:12" x14ac:dyDescent="0.45">
      <c r="I888" t="s">
        <v>185</v>
      </c>
      <c r="J888" t="s">
        <v>254</v>
      </c>
      <c r="K888">
        <v>2.3615405595303856E-3</v>
      </c>
      <c r="L888" t="s">
        <v>153</v>
      </c>
    </row>
    <row r="889" spans="9:12" x14ac:dyDescent="0.45">
      <c r="I889" t="s">
        <v>185</v>
      </c>
      <c r="J889" t="s">
        <v>267</v>
      </c>
      <c r="K889">
        <v>0</v>
      </c>
      <c r="L889" t="s">
        <v>153</v>
      </c>
    </row>
    <row r="890" spans="9:12" x14ac:dyDescent="0.45">
      <c r="I890" t="s">
        <v>185</v>
      </c>
      <c r="J890" t="s">
        <v>268</v>
      </c>
      <c r="K890">
        <v>0</v>
      </c>
      <c r="L890" t="s">
        <v>153</v>
      </c>
    </row>
    <row r="891" spans="9:12" x14ac:dyDescent="0.45">
      <c r="I891" t="s">
        <v>186</v>
      </c>
      <c r="J891" t="s">
        <v>152</v>
      </c>
      <c r="K891">
        <v>7.3174607432419303E-3</v>
      </c>
      <c r="L891" t="s">
        <v>153</v>
      </c>
    </row>
    <row r="892" spans="9:12" x14ac:dyDescent="0.45">
      <c r="I892" t="s">
        <v>186</v>
      </c>
      <c r="J892" t="s">
        <v>154</v>
      </c>
      <c r="K892">
        <v>3.2137758597905991E-2</v>
      </c>
      <c r="L892" t="s">
        <v>153</v>
      </c>
    </row>
    <row r="893" spans="9:12" x14ac:dyDescent="0.45">
      <c r="I893" t="s">
        <v>186</v>
      </c>
      <c r="J893" t="s">
        <v>155</v>
      </c>
      <c r="K893">
        <v>5.4405939735436726E-2</v>
      </c>
      <c r="L893" t="s">
        <v>153</v>
      </c>
    </row>
    <row r="894" spans="9:12" x14ac:dyDescent="0.45">
      <c r="I894" t="s">
        <v>186</v>
      </c>
      <c r="J894" t="s">
        <v>232</v>
      </c>
      <c r="K894">
        <v>7.1161680800755397E-2</v>
      </c>
      <c r="L894" t="s">
        <v>153</v>
      </c>
    </row>
    <row r="895" spans="9:12" x14ac:dyDescent="0.45">
      <c r="I895" t="s">
        <v>186</v>
      </c>
      <c r="J895" t="s">
        <v>233</v>
      </c>
      <c r="K895">
        <v>0.55456962124696163</v>
      </c>
      <c r="L895" t="s">
        <v>153</v>
      </c>
    </row>
    <row r="896" spans="9:12" x14ac:dyDescent="0.45">
      <c r="I896" t="s">
        <v>186</v>
      </c>
      <c r="J896" t="s">
        <v>234</v>
      </c>
      <c r="K896">
        <v>3.6719253867537639E-2</v>
      </c>
      <c r="L896" t="s">
        <v>153</v>
      </c>
    </row>
    <row r="897" spans="9:12" x14ac:dyDescent="0.45">
      <c r="I897" t="s">
        <v>186</v>
      </c>
      <c r="J897" t="s">
        <v>259</v>
      </c>
      <c r="K897">
        <v>1.1124625492954673E-2</v>
      </c>
      <c r="L897" t="s">
        <v>153</v>
      </c>
    </row>
    <row r="898" spans="9:12" x14ac:dyDescent="0.45">
      <c r="I898" t="s">
        <v>186</v>
      </c>
      <c r="J898" t="s">
        <v>260</v>
      </c>
      <c r="K898">
        <v>0</v>
      </c>
      <c r="L898" t="s">
        <v>153</v>
      </c>
    </row>
    <row r="899" spans="9:12" x14ac:dyDescent="0.45">
      <c r="I899" t="s">
        <v>186</v>
      </c>
      <c r="J899" t="s">
        <v>156</v>
      </c>
      <c r="K899">
        <v>4.9558685767191646E-4</v>
      </c>
      <c r="L899" t="s">
        <v>153</v>
      </c>
    </row>
    <row r="900" spans="9:12" x14ac:dyDescent="0.45">
      <c r="I900" t="s">
        <v>186</v>
      </c>
      <c r="J900" t="s">
        <v>157</v>
      </c>
      <c r="K900">
        <v>1.1827325077160718E-3</v>
      </c>
      <c r="L900" t="s">
        <v>153</v>
      </c>
    </row>
    <row r="901" spans="9:12" x14ac:dyDescent="0.45">
      <c r="I901" t="s">
        <v>186</v>
      </c>
      <c r="J901" t="s">
        <v>158</v>
      </c>
      <c r="K901">
        <v>2.0636198964713521E-3</v>
      </c>
      <c r="L901" t="s">
        <v>153</v>
      </c>
    </row>
    <row r="902" spans="9:12" x14ac:dyDescent="0.45">
      <c r="I902" t="s">
        <v>186</v>
      </c>
      <c r="J902" t="s">
        <v>235</v>
      </c>
      <c r="K902">
        <v>2.4620727143365444E-3</v>
      </c>
      <c r="L902" t="s">
        <v>153</v>
      </c>
    </row>
    <row r="903" spans="9:12" x14ac:dyDescent="0.45">
      <c r="I903" t="s">
        <v>186</v>
      </c>
      <c r="J903" t="s">
        <v>236</v>
      </c>
      <c r="K903">
        <v>1.5747442832602702E-2</v>
      </c>
      <c r="L903" t="s">
        <v>153</v>
      </c>
    </row>
    <row r="904" spans="9:12" x14ac:dyDescent="0.45">
      <c r="I904" t="s">
        <v>186</v>
      </c>
      <c r="J904" t="s">
        <v>237</v>
      </c>
      <c r="K904">
        <v>5.321601211296837E-4</v>
      </c>
      <c r="L904" t="s">
        <v>153</v>
      </c>
    </row>
    <row r="905" spans="9:12" x14ac:dyDescent="0.45">
      <c r="I905" t="s">
        <v>186</v>
      </c>
      <c r="J905" t="s">
        <v>261</v>
      </c>
      <c r="K905">
        <v>0</v>
      </c>
      <c r="L905" t="s">
        <v>153</v>
      </c>
    </row>
    <row r="906" spans="9:12" x14ac:dyDescent="0.45">
      <c r="I906" t="s">
        <v>186</v>
      </c>
      <c r="J906" t="s">
        <v>262</v>
      </c>
      <c r="K906">
        <v>0</v>
      </c>
      <c r="L906" t="s">
        <v>153</v>
      </c>
    </row>
    <row r="907" spans="9:12" x14ac:dyDescent="0.45">
      <c r="I907" t="s">
        <v>186</v>
      </c>
      <c r="J907" t="s">
        <v>159</v>
      </c>
      <c r="K907">
        <v>1.1066397257555451E-4</v>
      </c>
      <c r="L907" t="s">
        <v>153</v>
      </c>
    </row>
    <row r="908" spans="9:12" x14ac:dyDescent="0.45">
      <c r="I908" t="s">
        <v>186</v>
      </c>
      <c r="J908" t="s">
        <v>160</v>
      </c>
      <c r="K908">
        <v>3.5452265543411479E-3</v>
      </c>
      <c r="L908" t="s">
        <v>153</v>
      </c>
    </row>
    <row r="909" spans="9:12" x14ac:dyDescent="0.45">
      <c r="I909" t="s">
        <v>186</v>
      </c>
      <c r="J909" t="s">
        <v>161</v>
      </c>
      <c r="K909">
        <v>5.7809034978714485E-3</v>
      </c>
      <c r="L909" t="s">
        <v>153</v>
      </c>
    </row>
    <row r="910" spans="9:12" x14ac:dyDescent="0.45">
      <c r="I910" t="s">
        <v>186</v>
      </c>
      <c r="J910" t="s">
        <v>238</v>
      </c>
      <c r="K910">
        <v>7.3095540919799534E-3</v>
      </c>
      <c r="L910" t="s">
        <v>153</v>
      </c>
    </row>
    <row r="911" spans="9:12" x14ac:dyDescent="0.45">
      <c r="I911" t="s">
        <v>186</v>
      </c>
      <c r="J911" t="s">
        <v>239</v>
      </c>
      <c r="K911">
        <v>4.5233124933260246E-2</v>
      </c>
      <c r="L911" t="s">
        <v>153</v>
      </c>
    </row>
    <row r="912" spans="9:12" x14ac:dyDescent="0.45">
      <c r="I912" t="s">
        <v>186</v>
      </c>
      <c r="J912" t="s">
        <v>240</v>
      </c>
      <c r="K912">
        <v>2.0715236357102865E-3</v>
      </c>
      <c r="L912" t="s">
        <v>153</v>
      </c>
    </row>
    <row r="913" spans="9:12" x14ac:dyDescent="0.45">
      <c r="I913" t="s">
        <v>186</v>
      </c>
      <c r="J913" t="s">
        <v>263</v>
      </c>
      <c r="K913">
        <v>0</v>
      </c>
      <c r="L913" t="s">
        <v>153</v>
      </c>
    </row>
    <row r="914" spans="9:12" x14ac:dyDescent="0.45">
      <c r="I914" t="s">
        <v>186</v>
      </c>
      <c r="J914" t="s">
        <v>264</v>
      </c>
      <c r="K914">
        <v>0</v>
      </c>
      <c r="L914" t="s">
        <v>153</v>
      </c>
    </row>
    <row r="915" spans="9:12" x14ac:dyDescent="0.45">
      <c r="I915" t="s">
        <v>186</v>
      </c>
      <c r="J915" t="s">
        <v>162</v>
      </c>
      <c r="K915">
        <v>0</v>
      </c>
      <c r="L915" t="s">
        <v>153</v>
      </c>
    </row>
    <row r="916" spans="9:12" x14ac:dyDescent="0.45">
      <c r="I916" t="s">
        <v>186</v>
      </c>
      <c r="J916" t="s">
        <v>163</v>
      </c>
      <c r="K916">
        <v>4.8541593388496561E-3</v>
      </c>
      <c r="L916" t="s">
        <v>153</v>
      </c>
    </row>
    <row r="917" spans="9:12" x14ac:dyDescent="0.45">
      <c r="I917" t="s">
        <v>186</v>
      </c>
      <c r="J917" t="s">
        <v>164</v>
      </c>
      <c r="K917">
        <v>8.1447740497930139E-3</v>
      </c>
      <c r="L917" t="s">
        <v>153</v>
      </c>
    </row>
    <row r="918" spans="9:12" x14ac:dyDescent="0.45">
      <c r="I918" t="s">
        <v>186</v>
      </c>
      <c r="J918" t="s">
        <v>241</v>
      </c>
      <c r="K918">
        <v>1.0137950393950363E-2</v>
      </c>
      <c r="L918" t="s">
        <v>153</v>
      </c>
    </row>
    <row r="919" spans="9:12" x14ac:dyDescent="0.45">
      <c r="I919" t="s">
        <v>186</v>
      </c>
      <c r="J919" t="s">
        <v>242</v>
      </c>
      <c r="K919">
        <v>6.2235520113263339E-2</v>
      </c>
      <c r="L919" t="s">
        <v>153</v>
      </c>
    </row>
    <row r="920" spans="9:12" x14ac:dyDescent="0.45">
      <c r="I920" t="s">
        <v>186</v>
      </c>
      <c r="J920" t="s">
        <v>243</v>
      </c>
      <c r="K920">
        <v>2.6966571184038448E-3</v>
      </c>
      <c r="L920" t="s">
        <v>153</v>
      </c>
    </row>
    <row r="921" spans="9:12" x14ac:dyDescent="0.45">
      <c r="I921" t="s">
        <v>186</v>
      </c>
      <c r="J921" t="s">
        <v>265</v>
      </c>
      <c r="K921">
        <v>0</v>
      </c>
      <c r="L921" t="s">
        <v>153</v>
      </c>
    </row>
    <row r="922" spans="9:12" x14ac:dyDescent="0.45">
      <c r="I922" t="s">
        <v>186</v>
      </c>
      <c r="J922" t="s">
        <v>266</v>
      </c>
      <c r="K922">
        <v>0</v>
      </c>
      <c r="L922" t="s">
        <v>153</v>
      </c>
    </row>
    <row r="923" spans="9:12" x14ac:dyDescent="0.45">
      <c r="I923" t="s">
        <v>186</v>
      </c>
      <c r="J923" t="s">
        <v>249</v>
      </c>
      <c r="K923">
        <v>0</v>
      </c>
      <c r="L923" t="s">
        <v>153</v>
      </c>
    </row>
    <row r="924" spans="9:12" x14ac:dyDescent="0.45">
      <c r="I924" t="s">
        <v>186</v>
      </c>
      <c r="J924" t="s">
        <v>250</v>
      </c>
      <c r="K924">
        <v>2.9603585190356952E-3</v>
      </c>
      <c r="L924" t="s">
        <v>153</v>
      </c>
    </row>
    <row r="925" spans="9:12" x14ac:dyDescent="0.45">
      <c r="I925" t="s">
        <v>186</v>
      </c>
      <c r="J925" t="s">
        <v>251</v>
      </c>
      <c r="K925">
        <v>4.9527669224378413E-3</v>
      </c>
      <c r="L925" t="s">
        <v>153</v>
      </c>
    </row>
    <row r="926" spans="9:12" x14ac:dyDescent="0.45">
      <c r="I926" t="s">
        <v>186</v>
      </c>
      <c r="J926" t="s">
        <v>252</v>
      </c>
      <c r="K926">
        <v>6.0943440326919861E-3</v>
      </c>
      <c r="L926" t="s">
        <v>153</v>
      </c>
    </row>
    <row r="927" spans="9:12" x14ac:dyDescent="0.45">
      <c r="I927" t="s">
        <v>186</v>
      </c>
      <c r="J927" t="s">
        <v>253</v>
      </c>
      <c r="K927">
        <v>4.1309122470231878E-2</v>
      </c>
      <c r="L927" t="s">
        <v>153</v>
      </c>
    </row>
    <row r="928" spans="9:12" x14ac:dyDescent="0.45">
      <c r="I928" t="s">
        <v>186</v>
      </c>
      <c r="J928" t="s">
        <v>254</v>
      </c>
      <c r="K928">
        <v>2.6433949408783703E-3</v>
      </c>
      <c r="L928" t="s">
        <v>153</v>
      </c>
    </row>
    <row r="929" spans="9:12" x14ac:dyDescent="0.45">
      <c r="I929" t="s">
        <v>186</v>
      </c>
      <c r="J929" t="s">
        <v>267</v>
      </c>
      <c r="K929">
        <v>0</v>
      </c>
      <c r="L929" t="s">
        <v>153</v>
      </c>
    </row>
    <row r="930" spans="9:12" x14ac:dyDescent="0.45">
      <c r="I930" t="s">
        <v>186</v>
      </c>
      <c r="J930" t="s">
        <v>268</v>
      </c>
      <c r="K930">
        <v>0</v>
      </c>
      <c r="L930" t="s">
        <v>153</v>
      </c>
    </row>
    <row r="931" spans="9:12" x14ac:dyDescent="0.45">
      <c r="I931" t="s">
        <v>187</v>
      </c>
      <c r="J931" t="s">
        <v>152</v>
      </c>
      <c r="K931">
        <v>6.9258794295849867E-3</v>
      </c>
      <c r="L931" t="s">
        <v>153</v>
      </c>
    </row>
    <row r="932" spans="9:12" x14ac:dyDescent="0.45">
      <c r="I932" t="s">
        <v>187</v>
      </c>
      <c r="J932" t="s">
        <v>154</v>
      </c>
      <c r="K932">
        <v>2.9291327687263499E-2</v>
      </c>
      <c r="L932" t="s">
        <v>153</v>
      </c>
    </row>
    <row r="933" spans="9:12" x14ac:dyDescent="0.45">
      <c r="I933" t="s">
        <v>187</v>
      </c>
      <c r="J933" t="s">
        <v>155</v>
      </c>
      <c r="K933">
        <v>5.2375257429927602E-2</v>
      </c>
      <c r="L933" t="s">
        <v>153</v>
      </c>
    </row>
    <row r="934" spans="9:12" x14ac:dyDescent="0.45">
      <c r="I934" t="s">
        <v>187</v>
      </c>
      <c r="J934" t="s">
        <v>232</v>
      </c>
      <c r="K934">
        <v>7.2432738913591949E-2</v>
      </c>
      <c r="L934" t="s">
        <v>153</v>
      </c>
    </row>
    <row r="935" spans="9:12" x14ac:dyDescent="0.45">
      <c r="I935" t="s">
        <v>187</v>
      </c>
      <c r="J935" t="s">
        <v>233</v>
      </c>
      <c r="K935">
        <v>0.5471028158659772</v>
      </c>
      <c r="L935" t="s">
        <v>153</v>
      </c>
    </row>
    <row r="936" spans="9:12" x14ac:dyDescent="0.45">
      <c r="I936" t="s">
        <v>187</v>
      </c>
      <c r="J936" t="s">
        <v>234</v>
      </c>
      <c r="K936">
        <v>3.2485314584119289E-2</v>
      </c>
      <c r="L936" t="s">
        <v>153</v>
      </c>
    </row>
    <row r="937" spans="9:12" x14ac:dyDescent="0.45">
      <c r="I937" t="s">
        <v>187</v>
      </c>
      <c r="J937" t="s">
        <v>259</v>
      </c>
      <c r="K937">
        <v>1.015608636439031E-2</v>
      </c>
      <c r="L937" t="s">
        <v>153</v>
      </c>
    </row>
    <row r="938" spans="9:12" x14ac:dyDescent="0.45">
      <c r="I938" t="s">
        <v>187</v>
      </c>
      <c r="J938" t="s">
        <v>260</v>
      </c>
      <c r="K938">
        <v>0</v>
      </c>
      <c r="L938" t="s">
        <v>153</v>
      </c>
    </row>
    <row r="939" spans="9:12" x14ac:dyDescent="0.45">
      <c r="I939" t="s">
        <v>187</v>
      </c>
      <c r="J939" t="s">
        <v>156</v>
      </c>
      <c r="K939">
        <v>6.9448275036973278E-4</v>
      </c>
      <c r="L939" t="s">
        <v>153</v>
      </c>
    </row>
    <row r="940" spans="9:12" x14ac:dyDescent="0.45">
      <c r="I940" t="s">
        <v>187</v>
      </c>
      <c r="J940" t="s">
        <v>157</v>
      </c>
      <c r="K940">
        <v>1.2206848119070339E-3</v>
      </c>
      <c r="L940" t="s">
        <v>153</v>
      </c>
    </row>
    <row r="941" spans="9:12" x14ac:dyDescent="0.45">
      <c r="I941" t="s">
        <v>187</v>
      </c>
      <c r="J941" t="s">
        <v>158</v>
      </c>
      <c r="K941">
        <v>2.0539062091177898E-3</v>
      </c>
      <c r="L941" t="s">
        <v>153</v>
      </c>
    </row>
    <row r="942" spans="9:12" x14ac:dyDescent="0.45">
      <c r="I942" t="s">
        <v>187</v>
      </c>
      <c r="J942" t="s">
        <v>235</v>
      </c>
      <c r="K942">
        <v>2.4574117417654044E-3</v>
      </c>
      <c r="L942" t="s">
        <v>153</v>
      </c>
    </row>
    <row r="943" spans="9:12" x14ac:dyDescent="0.45">
      <c r="I943" t="s">
        <v>187</v>
      </c>
      <c r="J943" t="s">
        <v>236</v>
      </c>
      <c r="K943">
        <v>1.6229816761899388E-2</v>
      </c>
      <c r="L943" t="s">
        <v>153</v>
      </c>
    </row>
    <row r="944" spans="9:12" x14ac:dyDescent="0.45">
      <c r="I944" t="s">
        <v>187</v>
      </c>
      <c r="J944" t="s">
        <v>237</v>
      </c>
      <c r="K944">
        <v>5.8166314043959057E-4</v>
      </c>
      <c r="L944" t="s">
        <v>153</v>
      </c>
    </row>
    <row r="945" spans="9:12" x14ac:dyDescent="0.45">
      <c r="I945" t="s">
        <v>187</v>
      </c>
      <c r="J945" t="s">
        <v>261</v>
      </c>
      <c r="K945">
        <v>0</v>
      </c>
      <c r="L945" t="s">
        <v>153</v>
      </c>
    </row>
    <row r="946" spans="9:12" x14ac:dyDescent="0.45">
      <c r="I946" t="s">
        <v>187</v>
      </c>
      <c r="J946" t="s">
        <v>262</v>
      </c>
      <c r="K946">
        <v>0</v>
      </c>
      <c r="L946" t="s">
        <v>153</v>
      </c>
    </row>
    <row r="947" spans="9:12" x14ac:dyDescent="0.45">
      <c r="I947" t="s">
        <v>187</v>
      </c>
      <c r="J947" t="s">
        <v>159</v>
      </c>
      <c r="K947">
        <v>6.8023663078218438E-4</v>
      </c>
      <c r="L947" t="s">
        <v>153</v>
      </c>
    </row>
    <row r="948" spans="9:12" x14ac:dyDescent="0.45">
      <c r="I948" t="s">
        <v>187</v>
      </c>
      <c r="J948" t="s">
        <v>160</v>
      </c>
      <c r="K948">
        <v>3.8222075459749152E-3</v>
      </c>
      <c r="L948" t="s">
        <v>153</v>
      </c>
    </row>
    <row r="949" spans="9:12" x14ac:dyDescent="0.45">
      <c r="I949" t="s">
        <v>187</v>
      </c>
      <c r="J949" t="s">
        <v>161</v>
      </c>
      <c r="K949">
        <v>6.3042025635049312E-3</v>
      </c>
      <c r="L949" t="s">
        <v>153</v>
      </c>
    </row>
    <row r="950" spans="9:12" x14ac:dyDescent="0.45">
      <c r="I950" t="s">
        <v>187</v>
      </c>
      <c r="J950" t="s">
        <v>238</v>
      </c>
      <c r="K950">
        <v>7.9164580050929551E-3</v>
      </c>
      <c r="L950" t="s">
        <v>153</v>
      </c>
    </row>
    <row r="951" spans="9:12" x14ac:dyDescent="0.45">
      <c r="I951" t="s">
        <v>187</v>
      </c>
      <c r="J951" t="s">
        <v>239</v>
      </c>
      <c r="K951">
        <v>4.7872086478408828E-2</v>
      </c>
      <c r="L951" t="s">
        <v>153</v>
      </c>
    </row>
    <row r="952" spans="9:12" x14ac:dyDescent="0.45">
      <c r="I952" t="s">
        <v>187</v>
      </c>
      <c r="J952" t="s">
        <v>240</v>
      </c>
      <c r="K952">
        <v>2.3422235689363607E-3</v>
      </c>
      <c r="L952" t="s">
        <v>153</v>
      </c>
    </row>
    <row r="953" spans="9:12" x14ac:dyDescent="0.45">
      <c r="I953" t="s">
        <v>187</v>
      </c>
      <c r="J953" t="s">
        <v>263</v>
      </c>
      <c r="K953">
        <v>0</v>
      </c>
      <c r="L953" t="s">
        <v>153</v>
      </c>
    </row>
    <row r="954" spans="9:12" x14ac:dyDescent="0.45">
      <c r="I954" t="s">
        <v>187</v>
      </c>
      <c r="J954" t="s">
        <v>264</v>
      </c>
      <c r="K954">
        <v>0</v>
      </c>
      <c r="L954" t="s">
        <v>153</v>
      </c>
    </row>
    <row r="955" spans="9:12" x14ac:dyDescent="0.45">
      <c r="I955" t="s">
        <v>187</v>
      </c>
      <c r="J955" t="s">
        <v>162</v>
      </c>
      <c r="K955">
        <v>0</v>
      </c>
      <c r="L955" t="s">
        <v>153</v>
      </c>
    </row>
    <row r="956" spans="9:12" x14ac:dyDescent="0.45">
      <c r="I956" t="s">
        <v>187</v>
      </c>
      <c r="J956" t="s">
        <v>163</v>
      </c>
      <c r="K956">
        <v>5.1901296837256012E-3</v>
      </c>
      <c r="L956" t="s">
        <v>153</v>
      </c>
    </row>
    <row r="957" spans="9:12" x14ac:dyDescent="0.45">
      <c r="I957" t="s">
        <v>187</v>
      </c>
      <c r="J957" t="s">
        <v>164</v>
      </c>
      <c r="K957">
        <v>8.861671637899738E-3</v>
      </c>
      <c r="L957" t="s">
        <v>153</v>
      </c>
    </row>
    <row r="958" spans="9:12" x14ac:dyDescent="0.45">
      <c r="I958" t="s">
        <v>187</v>
      </c>
      <c r="J958" t="s">
        <v>241</v>
      </c>
      <c r="K958">
        <v>1.1072597286750266E-2</v>
      </c>
      <c r="L958" t="s">
        <v>153</v>
      </c>
    </row>
    <row r="959" spans="9:12" x14ac:dyDescent="0.45">
      <c r="I959" t="s">
        <v>187</v>
      </c>
      <c r="J959" t="s">
        <v>242</v>
      </c>
      <c r="K959">
        <v>7.0452614546943418E-2</v>
      </c>
      <c r="L959" t="s">
        <v>153</v>
      </c>
    </row>
    <row r="960" spans="9:12" x14ac:dyDescent="0.45">
      <c r="I960" t="s">
        <v>187</v>
      </c>
      <c r="J960" t="s">
        <v>243</v>
      </c>
      <c r="K960">
        <v>3.4091862185665852E-3</v>
      </c>
      <c r="L960" t="s">
        <v>153</v>
      </c>
    </row>
    <row r="961" spans="9:12" x14ac:dyDescent="0.45">
      <c r="I961" t="s">
        <v>187</v>
      </c>
      <c r="J961" t="s">
        <v>265</v>
      </c>
      <c r="K961">
        <v>0</v>
      </c>
      <c r="L961" t="s">
        <v>153</v>
      </c>
    </row>
    <row r="962" spans="9:12" x14ac:dyDescent="0.45">
      <c r="I962" t="s">
        <v>187</v>
      </c>
      <c r="J962" t="s">
        <v>266</v>
      </c>
      <c r="K962">
        <v>0</v>
      </c>
      <c r="L962" t="s">
        <v>153</v>
      </c>
    </row>
    <row r="963" spans="9:12" x14ac:dyDescent="0.45">
      <c r="I963" t="s">
        <v>187</v>
      </c>
      <c r="J963" t="s">
        <v>249</v>
      </c>
      <c r="K963">
        <v>0</v>
      </c>
      <c r="L963" t="s">
        <v>153</v>
      </c>
    </row>
    <row r="964" spans="9:12" x14ac:dyDescent="0.45">
      <c r="I964" t="s">
        <v>187</v>
      </c>
      <c r="J964" t="s">
        <v>250</v>
      </c>
      <c r="K964">
        <v>2.6377896993781632E-3</v>
      </c>
      <c r="L964" t="s">
        <v>153</v>
      </c>
    </row>
    <row r="965" spans="9:12" x14ac:dyDescent="0.45">
      <c r="I965" t="s">
        <v>187</v>
      </c>
      <c r="J965" t="s">
        <v>251</v>
      </c>
      <c r="K965">
        <v>4.551833550452117E-3</v>
      </c>
      <c r="L965" t="s">
        <v>153</v>
      </c>
    </row>
    <row r="966" spans="9:12" x14ac:dyDescent="0.45">
      <c r="I966" t="s">
        <v>187</v>
      </c>
      <c r="J966" t="s">
        <v>252</v>
      </c>
      <c r="K966">
        <v>6.0854122164502936E-3</v>
      </c>
      <c r="L966" t="s">
        <v>153</v>
      </c>
    </row>
    <row r="967" spans="9:12" x14ac:dyDescent="0.45">
      <c r="I967" t="s">
        <v>187</v>
      </c>
      <c r="J967" t="s">
        <v>253</v>
      </c>
      <c r="K967">
        <v>4.2061854800293681E-2</v>
      </c>
      <c r="L967" t="s">
        <v>153</v>
      </c>
    </row>
    <row r="968" spans="9:12" x14ac:dyDescent="0.45">
      <c r="I968" t="s">
        <v>187</v>
      </c>
      <c r="J968" t="s">
        <v>254</v>
      </c>
      <c r="K968">
        <v>2.7321098764862815E-3</v>
      </c>
      <c r="L968" t="s">
        <v>153</v>
      </c>
    </row>
    <row r="969" spans="9:12" x14ac:dyDescent="0.45">
      <c r="I969" t="s">
        <v>187</v>
      </c>
      <c r="J969" t="s">
        <v>267</v>
      </c>
      <c r="K969">
        <v>0</v>
      </c>
      <c r="L969" t="s">
        <v>153</v>
      </c>
    </row>
    <row r="970" spans="9:12" x14ac:dyDescent="0.45">
      <c r="I970" t="s">
        <v>187</v>
      </c>
      <c r="J970" t="s">
        <v>268</v>
      </c>
      <c r="K970">
        <v>0</v>
      </c>
      <c r="L970" t="s">
        <v>153</v>
      </c>
    </row>
    <row r="971" spans="9:12" x14ac:dyDescent="0.45">
      <c r="I971" t="s">
        <v>188</v>
      </c>
      <c r="J971" t="s">
        <v>152</v>
      </c>
      <c r="K971">
        <v>1.1076805257768602E-2</v>
      </c>
      <c r="L971" t="s">
        <v>153</v>
      </c>
    </row>
    <row r="972" spans="9:12" x14ac:dyDescent="0.45">
      <c r="I972" t="s">
        <v>188</v>
      </c>
      <c r="J972" t="s">
        <v>154</v>
      </c>
      <c r="K972">
        <v>3.8761506527565055E-2</v>
      </c>
      <c r="L972" t="s">
        <v>153</v>
      </c>
    </row>
    <row r="973" spans="9:12" x14ac:dyDescent="0.45">
      <c r="I973" t="s">
        <v>188</v>
      </c>
      <c r="J973" t="s">
        <v>155</v>
      </c>
      <c r="K973">
        <v>6.1381416058969671E-2</v>
      </c>
      <c r="L973" t="s">
        <v>153</v>
      </c>
    </row>
    <row r="974" spans="9:12" x14ac:dyDescent="0.45">
      <c r="I974" t="s">
        <v>188</v>
      </c>
      <c r="J974" t="s">
        <v>232</v>
      </c>
      <c r="K974">
        <v>7.7610224977588751E-2</v>
      </c>
      <c r="L974" t="s">
        <v>153</v>
      </c>
    </row>
    <row r="975" spans="9:12" x14ac:dyDescent="0.45">
      <c r="I975" t="s">
        <v>188</v>
      </c>
      <c r="J975" t="s">
        <v>233</v>
      </c>
      <c r="K975">
        <v>0.54642937862138863</v>
      </c>
      <c r="L975" t="s">
        <v>153</v>
      </c>
    </row>
    <row r="976" spans="9:12" x14ac:dyDescent="0.45">
      <c r="I976" t="s">
        <v>188</v>
      </c>
      <c r="J976" t="s">
        <v>234</v>
      </c>
      <c r="K976">
        <v>3.3754980544741429E-2</v>
      </c>
      <c r="L976" t="s">
        <v>153</v>
      </c>
    </row>
    <row r="977" spans="9:12" x14ac:dyDescent="0.45">
      <c r="I977" t="s">
        <v>188</v>
      </c>
      <c r="J977" t="s">
        <v>259</v>
      </c>
      <c r="K977">
        <v>6.9594939218854575E-3</v>
      </c>
      <c r="L977" t="s">
        <v>153</v>
      </c>
    </row>
    <row r="978" spans="9:12" x14ac:dyDescent="0.45">
      <c r="I978" t="s">
        <v>188</v>
      </c>
      <c r="J978" t="s">
        <v>260</v>
      </c>
      <c r="K978">
        <v>0</v>
      </c>
      <c r="L978" t="s">
        <v>153</v>
      </c>
    </row>
    <row r="979" spans="9:12" x14ac:dyDescent="0.45">
      <c r="I979" t="s">
        <v>188</v>
      </c>
      <c r="J979" t="s">
        <v>156</v>
      </c>
      <c r="K979">
        <v>4.7874637123984534E-4</v>
      </c>
      <c r="L979" t="s">
        <v>153</v>
      </c>
    </row>
    <row r="980" spans="9:12" x14ac:dyDescent="0.45">
      <c r="I980" t="s">
        <v>188</v>
      </c>
      <c r="J980" t="s">
        <v>157</v>
      </c>
      <c r="K980">
        <v>8.8502199547398639E-4</v>
      </c>
      <c r="L980" t="s">
        <v>153</v>
      </c>
    </row>
    <row r="981" spans="9:12" x14ac:dyDescent="0.45">
      <c r="I981" t="s">
        <v>188</v>
      </c>
      <c r="J981" t="s">
        <v>158</v>
      </c>
      <c r="K981">
        <v>1.4828116170507958E-3</v>
      </c>
      <c r="L981" t="s">
        <v>153</v>
      </c>
    </row>
    <row r="982" spans="9:12" x14ac:dyDescent="0.45">
      <c r="I982" t="s">
        <v>188</v>
      </c>
      <c r="J982" t="s">
        <v>235</v>
      </c>
      <c r="K982">
        <v>1.8359925076247901E-3</v>
      </c>
      <c r="L982" t="s">
        <v>153</v>
      </c>
    </row>
    <row r="983" spans="9:12" x14ac:dyDescent="0.45">
      <c r="I983" t="s">
        <v>188</v>
      </c>
      <c r="J983" t="s">
        <v>236</v>
      </c>
      <c r="K983">
        <v>1.4110183192494448E-2</v>
      </c>
      <c r="L983" t="s">
        <v>153</v>
      </c>
    </row>
    <row r="984" spans="9:12" x14ac:dyDescent="0.45">
      <c r="I984" t="s">
        <v>188</v>
      </c>
      <c r="J984" t="s">
        <v>237</v>
      </c>
      <c r="K984">
        <v>5.6542469632801351E-4</v>
      </c>
      <c r="L984" t="s">
        <v>153</v>
      </c>
    </row>
    <row r="985" spans="9:12" x14ac:dyDescent="0.45">
      <c r="I985" t="s">
        <v>188</v>
      </c>
      <c r="J985" t="s">
        <v>261</v>
      </c>
      <c r="K985">
        <v>0</v>
      </c>
      <c r="L985" t="s">
        <v>153</v>
      </c>
    </row>
    <row r="986" spans="9:12" x14ac:dyDescent="0.45">
      <c r="I986" t="s">
        <v>188</v>
      </c>
      <c r="J986" t="s">
        <v>262</v>
      </c>
      <c r="K986">
        <v>0</v>
      </c>
      <c r="L986" t="s">
        <v>153</v>
      </c>
    </row>
    <row r="987" spans="9:12" x14ac:dyDescent="0.45">
      <c r="I987" t="s">
        <v>188</v>
      </c>
      <c r="J987" t="s">
        <v>159</v>
      </c>
      <c r="K987">
        <v>1.0941525884410679E-3</v>
      </c>
      <c r="L987" t="s">
        <v>153</v>
      </c>
    </row>
    <row r="988" spans="9:12" x14ac:dyDescent="0.45">
      <c r="I988" t="s">
        <v>188</v>
      </c>
      <c r="J988" t="s">
        <v>160</v>
      </c>
      <c r="K988">
        <v>3.7558820271765855E-3</v>
      </c>
      <c r="L988" t="s">
        <v>153</v>
      </c>
    </row>
    <row r="989" spans="9:12" x14ac:dyDescent="0.45">
      <c r="I989" t="s">
        <v>188</v>
      </c>
      <c r="J989" t="s">
        <v>161</v>
      </c>
      <c r="K989">
        <v>5.7553156663313352E-3</v>
      </c>
      <c r="L989" t="s">
        <v>153</v>
      </c>
    </row>
    <row r="990" spans="9:12" x14ac:dyDescent="0.45">
      <c r="I990" t="s">
        <v>188</v>
      </c>
      <c r="J990" t="s">
        <v>238</v>
      </c>
      <c r="K990">
        <v>6.8811575829629823E-3</v>
      </c>
      <c r="L990" t="s">
        <v>153</v>
      </c>
    </row>
    <row r="991" spans="9:12" x14ac:dyDescent="0.45">
      <c r="I991" t="s">
        <v>188</v>
      </c>
      <c r="J991" t="s">
        <v>239</v>
      </c>
      <c r="K991">
        <v>4.2612836383799091E-2</v>
      </c>
      <c r="L991" t="s">
        <v>153</v>
      </c>
    </row>
    <row r="992" spans="9:12" x14ac:dyDescent="0.45">
      <c r="I992" t="s">
        <v>188</v>
      </c>
      <c r="J992" t="s">
        <v>240</v>
      </c>
      <c r="K992">
        <v>2.0475485936400041E-3</v>
      </c>
      <c r="L992" t="s">
        <v>153</v>
      </c>
    </row>
    <row r="993" spans="9:12" x14ac:dyDescent="0.45">
      <c r="I993" t="s">
        <v>188</v>
      </c>
      <c r="J993" t="s">
        <v>263</v>
      </c>
      <c r="K993">
        <v>0</v>
      </c>
      <c r="L993" t="s">
        <v>153</v>
      </c>
    </row>
    <row r="994" spans="9:12" x14ac:dyDescent="0.45">
      <c r="I994" t="s">
        <v>188</v>
      </c>
      <c r="J994" t="s">
        <v>264</v>
      </c>
      <c r="K994">
        <v>0</v>
      </c>
      <c r="L994" t="s">
        <v>153</v>
      </c>
    </row>
    <row r="995" spans="9:12" x14ac:dyDescent="0.45">
      <c r="I995" t="s">
        <v>188</v>
      </c>
      <c r="J995" t="s">
        <v>162</v>
      </c>
      <c r="K995">
        <v>0</v>
      </c>
      <c r="L995" t="s">
        <v>153</v>
      </c>
    </row>
    <row r="996" spans="9:12" x14ac:dyDescent="0.45">
      <c r="I996" t="s">
        <v>188</v>
      </c>
      <c r="J996" t="s">
        <v>163</v>
      </c>
      <c r="K996">
        <v>5.1854786400174612E-3</v>
      </c>
      <c r="L996" t="s">
        <v>153</v>
      </c>
    </row>
    <row r="997" spans="9:12" x14ac:dyDescent="0.45">
      <c r="I997" t="s">
        <v>188</v>
      </c>
      <c r="J997" t="s">
        <v>164</v>
      </c>
      <c r="K997">
        <v>8.4014610012218115E-3</v>
      </c>
      <c r="L997" t="s">
        <v>153</v>
      </c>
    </row>
    <row r="998" spans="9:12" x14ac:dyDescent="0.45">
      <c r="I998" t="s">
        <v>188</v>
      </c>
      <c r="J998" t="s">
        <v>241</v>
      </c>
      <c r="K998">
        <v>1.0192586881166789E-2</v>
      </c>
      <c r="L998" t="s">
        <v>153</v>
      </c>
    </row>
    <row r="999" spans="9:12" x14ac:dyDescent="0.45">
      <c r="I999" t="s">
        <v>188</v>
      </c>
      <c r="J999" t="s">
        <v>242</v>
      </c>
      <c r="K999">
        <v>5.9576032068593063E-2</v>
      </c>
      <c r="L999" t="s">
        <v>153</v>
      </c>
    </row>
    <row r="1000" spans="9:12" x14ac:dyDescent="0.45">
      <c r="I1000" t="s">
        <v>188</v>
      </c>
      <c r="J1000" t="s">
        <v>243</v>
      </c>
      <c r="K1000">
        <v>2.928008333405121E-3</v>
      </c>
      <c r="L1000" t="s">
        <v>153</v>
      </c>
    </row>
    <row r="1001" spans="9:12" x14ac:dyDescent="0.45">
      <c r="I1001" t="s">
        <v>188</v>
      </c>
      <c r="J1001" t="s">
        <v>265</v>
      </c>
      <c r="K1001">
        <v>0</v>
      </c>
      <c r="L1001" t="s">
        <v>153</v>
      </c>
    </row>
    <row r="1002" spans="9:12" x14ac:dyDescent="0.45">
      <c r="I1002" t="s">
        <v>188</v>
      </c>
      <c r="J1002" t="s">
        <v>266</v>
      </c>
      <c r="K1002">
        <v>0</v>
      </c>
      <c r="L1002" t="s">
        <v>153</v>
      </c>
    </row>
    <row r="1003" spans="9:12" x14ac:dyDescent="0.45">
      <c r="I1003" t="s">
        <v>188</v>
      </c>
      <c r="J1003" t="s">
        <v>249</v>
      </c>
      <c r="K1003">
        <v>0</v>
      </c>
      <c r="L1003" t="s">
        <v>153</v>
      </c>
    </row>
    <row r="1004" spans="9:12" x14ac:dyDescent="0.45">
      <c r="I1004" t="s">
        <v>188</v>
      </c>
      <c r="J1004" t="s">
        <v>250</v>
      </c>
      <c r="K1004">
        <v>3.0035512066987663E-3</v>
      </c>
      <c r="L1004" t="s">
        <v>153</v>
      </c>
    </row>
    <row r="1005" spans="9:12" x14ac:dyDescent="0.45">
      <c r="I1005" t="s">
        <v>188</v>
      </c>
      <c r="J1005" t="s">
        <v>251</v>
      </c>
      <c r="K1005">
        <v>4.8066445437394334E-3</v>
      </c>
      <c r="L1005" t="s">
        <v>153</v>
      </c>
    </row>
    <row r="1006" spans="9:12" x14ac:dyDescent="0.45">
      <c r="I1006" t="s">
        <v>188</v>
      </c>
      <c r="J1006" t="s">
        <v>252</v>
      </c>
      <c r="K1006">
        <v>5.8326355344794989E-3</v>
      </c>
      <c r="L1006" t="s">
        <v>153</v>
      </c>
    </row>
    <row r="1007" spans="9:12" x14ac:dyDescent="0.45">
      <c r="I1007" t="s">
        <v>188</v>
      </c>
      <c r="J1007" t="s">
        <v>253</v>
      </c>
      <c r="K1007">
        <v>3.9991040918471353E-2</v>
      </c>
      <c r="L1007" t="s">
        <v>153</v>
      </c>
    </row>
    <row r="1008" spans="9:12" x14ac:dyDescent="0.45">
      <c r="I1008" t="s">
        <v>188</v>
      </c>
      <c r="J1008" t="s">
        <v>254</v>
      </c>
      <c r="K1008">
        <v>2.603681739733286E-3</v>
      </c>
      <c r="L1008" t="s">
        <v>153</v>
      </c>
    </row>
    <row r="1009" spans="9:12" x14ac:dyDescent="0.45">
      <c r="I1009" t="s">
        <v>188</v>
      </c>
      <c r="J1009" t="s">
        <v>267</v>
      </c>
      <c r="K1009">
        <v>0</v>
      </c>
      <c r="L1009" t="s">
        <v>153</v>
      </c>
    </row>
    <row r="1010" spans="9:12" x14ac:dyDescent="0.45">
      <c r="I1010" t="s">
        <v>188</v>
      </c>
      <c r="J1010" t="s">
        <v>268</v>
      </c>
      <c r="K1010">
        <v>0</v>
      </c>
      <c r="L1010" t="s">
        <v>153</v>
      </c>
    </row>
    <row r="1011" spans="9:12" x14ac:dyDescent="0.45">
      <c r="I1011" t="s">
        <v>189</v>
      </c>
      <c r="J1011" t="s">
        <v>152</v>
      </c>
      <c r="K1011">
        <v>1.4600585441115138E-2</v>
      </c>
      <c r="L1011" t="s">
        <v>153</v>
      </c>
    </row>
    <row r="1012" spans="9:12" x14ac:dyDescent="0.45">
      <c r="I1012" t="s">
        <v>189</v>
      </c>
      <c r="J1012" t="s">
        <v>154</v>
      </c>
      <c r="K1012">
        <v>4.1936635141943242E-2</v>
      </c>
      <c r="L1012" t="s">
        <v>153</v>
      </c>
    </row>
    <row r="1013" spans="9:12" x14ac:dyDescent="0.45">
      <c r="I1013" t="s">
        <v>189</v>
      </c>
      <c r="J1013" t="s">
        <v>155</v>
      </c>
      <c r="K1013">
        <v>6.2649422540177302E-2</v>
      </c>
      <c r="L1013" t="s">
        <v>153</v>
      </c>
    </row>
    <row r="1014" spans="9:12" x14ac:dyDescent="0.45">
      <c r="I1014" t="s">
        <v>189</v>
      </c>
      <c r="J1014" t="s">
        <v>232</v>
      </c>
      <c r="K1014">
        <v>7.7582655891041172E-2</v>
      </c>
      <c r="L1014" t="s">
        <v>153</v>
      </c>
    </row>
    <row r="1015" spans="9:12" x14ac:dyDescent="0.45">
      <c r="I1015" t="s">
        <v>189</v>
      </c>
      <c r="J1015" t="s">
        <v>233</v>
      </c>
      <c r="K1015">
        <v>0.5547216890725416</v>
      </c>
      <c r="L1015" t="s">
        <v>153</v>
      </c>
    </row>
    <row r="1016" spans="9:12" x14ac:dyDescent="0.45">
      <c r="I1016" t="s">
        <v>189</v>
      </c>
      <c r="J1016" t="s">
        <v>234</v>
      </c>
      <c r="K1016">
        <v>3.4356179615939661E-2</v>
      </c>
      <c r="L1016" t="s">
        <v>153</v>
      </c>
    </row>
    <row r="1017" spans="9:12" x14ac:dyDescent="0.45">
      <c r="I1017" t="s">
        <v>189</v>
      </c>
      <c r="J1017" t="s">
        <v>259</v>
      </c>
      <c r="K1017">
        <v>5.7058866952458855E-3</v>
      </c>
      <c r="L1017" t="s">
        <v>153</v>
      </c>
    </row>
    <row r="1018" spans="9:12" x14ac:dyDescent="0.45">
      <c r="I1018" t="s">
        <v>189</v>
      </c>
      <c r="J1018" t="s">
        <v>260</v>
      </c>
      <c r="K1018">
        <v>0</v>
      </c>
      <c r="L1018" t="s">
        <v>153</v>
      </c>
    </row>
    <row r="1019" spans="9:12" x14ac:dyDescent="0.45">
      <c r="I1019" t="s">
        <v>189</v>
      </c>
      <c r="J1019" t="s">
        <v>156</v>
      </c>
      <c r="K1019">
        <v>4.5802271801223543E-4</v>
      </c>
      <c r="L1019" t="s">
        <v>153</v>
      </c>
    </row>
    <row r="1020" spans="9:12" x14ac:dyDescent="0.45">
      <c r="I1020" t="s">
        <v>189</v>
      </c>
      <c r="J1020" t="s">
        <v>157</v>
      </c>
      <c r="K1020">
        <v>9.9930698582868099E-4</v>
      </c>
      <c r="L1020" t="s">
        <v>153</v>
      </c>
    </row>
    <row r="1021" spans="9:12" x14ac:dyDescent="0.45">
      <c r="I1021" t="s">
        <v>189</v>
      </c>
      <c r="J1021" t="s">
        <v>158</v>
      </c>
      <c r="K1021">
        <v>1.5114272157470429E-3</v>
      </c>
      <c r="L1021" t="s">
        <v>153</v>
      </c>
    </row>
    <row r="1022" spans="9:12" x14ac:dyDescent="0.45">
      <c r="I1022" t="s">
        <v>189</v>
      </c>
      <c r="J1022" t="s">
        <v>235</v>
      </c>
      <c r="K1022">
        <v>1.9158049041994821E-3</v>
      </c>
      <c r="L1022" t="s">
        <v>153</v>
      </c>
    </row>
    <row r="1023" spans="9:12" x14ac:dyDescent="0.45">
      <c r="I1023" t="s">
        <v>189</v>
      </c>
      <c r="J1023" t="s">
        <v>236</v>
      </c>
      <c r="K1023">
        <v>1.2961284757721982E-2</v>
      </c>
      <c r="L1023" t="s">
        <v>153</v>
      </c>
    </row>
    <row r="1024" spans="9:12" x14ac:dyDescent="0.45">
      <c r="I1024" t="s">
        <v>189</v>
      </c>
      <c r="J1024" t="s">
        <v>237</v>
      </c>
      <c r="K1024">
        <v>4.9450699667287642E-4</v>
      </c>
      <c r="L1024" t="s">
        <v>153</v>
      </c>
    </row>
    <row r="1025" spans="9:12" x14ac:dyDescent="0.45">
      <c r="I1025" t="s">
        <v>189</v>
      </c>
      <c r="J1025" t="s">
        <v>261</v>
      </c>
      <c r="K1025">
        <v>0</v>
      </c>
      <c r="L1025" t="s">
        <v>153</v>
      </c>
    </row>
    <row r="1026" spans="9:12" x14ac:dyDescent="0.45">
      <c r="I1026" t="s">
        <v>189</v>
      </c>
      <c r="J1026" t="s">
        <v>262</v>
      </c>
      <c r="K1026">
        <v>0</v>
      </c>
      <c r="L1026" t="s">
        <v>153</v>
      </c>
    </row>
    <row r="1027" spans="9:12" x14ac:dyDescent="0.45">
      <c r="I1027" t="s">
        <v>189</v>
      </c>
      <c r="J1027" t="s">
        <v>159</v>
      </c>
      <c r="K1027">
        <v>1.7901580134324978E-3</v>
      </c>
      <c r="L1027" t="s">
        <v>153</v>
      </c>
    </row>
    <row r="1028" spans="9:12" x14ac:dyDescent="0.45">
      <c r="I1028" t="s">
        <v>189</v>
      </c>
      <c r="J1028" t="s">
        <v>160</v>
      </c>
      <c r="K1028">
        <v>3.6220057385212816E-3</v>
      </c>
      <c r="L1028" t="s">
        <v>153</v>
      </c>
    </row>
    <row r="1029" spans="9:12" x14ac:dyDescent="0.45">
      <c r="I1029" t="s">
        <v>189</v>
      </c>
      <c r="J1029" t="s">
        <v>161</v>
      </c>
      <c r="K1029">
        <v>5.3341579244621821E-3</v>
      </c>
      <c r="L1029" t="s">
        <v>153</v>
      </c>
    </row>
    <row r="1030" spans="9:12" x14ac:dyDescent="0.45">
      <c r="I1030" t="s">
        <v>189</v>
      </c>
      <c r="J1030" t="s">
        <v>238</v>
      </c>
      <c r="K1030">
        <v>6.3714522118803272E-3</v>
      </c>
      <c r="L1030" t="s">
        <v>153</v>
      </c>
    </row>
    <row r="1031" spans="9:12" x14ac:dyDescent="0.45">
      <c r="I1031" t="s">
        <v>189</v>
      </c>
      <c r="J1031" t="s">
        <v>239</v>
      </c>
      <c r="K1031">
        <v>3.9803975478058681E-2</v>
      </c>
      <c r="L1031" t="s">
        <v>153</v>
      </c>
    </row>
    <row r="1032" spans="9:12" x14ac:dyDescent="0.45">
      <c r="I1032" t="s">
        <v>189</v>
      </c>
      <c r="J1032" t="s">
        <v>240</v>
      </c>
      <c r="K1032">
        <v>1.7584363965044028E-3</v>
      </c>
      <c r="L1032" t="s">
        <v>153</v>
      </c>
    </row>
    <row r="1033" spans="9:12" x14ac:dyDescent="0.45">
      <c r="I1033" t="s">
        <v>189</v>
      </c>
      <c r="J1033" t="s">
        <v>263</v>
      </c>
      <c r="K1033">
        <v>0</v>
      </c>
      <c r="L1033" t="s">
        <v>153</v>
      </c>
    </row>
    <row r="1034" spans="9:12" x14ac:dyDescent="0.45">
      <c r="I1034" t="s">
        <v>189</v>
      </c>
      <c r="J1034" t="s">
        <v>264</v>
      </c>
      <c r="K1034">
        <v>0</v>
      </c>
      <c r="L1034" t="s">
        <v>153</v>
      </c>
    </row>
    <row r="1035" spans="9:12" x14ac:dyDescent="0.45">
      <c r="I1035" t="s">
        <v>189</v>
      </c>
      <c r="J1035" t="s">
        <v>162</v>
      </c>
      <c r="K1035">
        <v>4.2639938054189531E-5</v>
      </c>
      <c r="L1035" t="s">
        <v>153</v>
      </c>
    </row>
    <row r="1036" spans="9:12" x14ac:dyDescent="0.45">
      <c r="I1036" t="s">
        <v>189</v>
      </c>
      <c r="J1036" t="s">
        <v>163</v>
      </c>
      <c r="K1036">
        <v>4.9867950076552883E-3</v>
      </c>
      <c r="L1036" t="s">
        <v>153</v>
      </c>
    </row>
    <row r="1037" spans="9:12" x14ac:dyDescent="0.45">
      <c r="I1037" t="s">
        <v>189</v>
      </c>
      <c r="J1037" t="s">
        <v>164</v>
      </c>
      <c r="K1037">
        <v>7.7887119133135466E-3</v>
      </c>
      <c r="L1037" t="s">
        <v>153</v>
      </c>
    </row>
    <row r="1038" spans="9:12" x14ac:dyDescent="0.45">
      <c r="I1038" t="s">
        <v>189</v>
      </c>
      <c r="J1038" t="s">
        <v>241</v>
      </c>
      <c r="K1038">
        <v>9.5523055290717262E-3</v>
      </c>
      <c r="L1038" t="s">
        <v>153</v>
      </c>
    </row>
    <row r="1039" spans="9:12" x14ac:dyDescent="0.45">
      <c r="I1039" t="s">
        <v>189</v>
      </c>
      <c r="J1039" t="s">
        <v>242</v>
      </c>
      <c r="K1039">
        <v>5.5527800537172108E-2</v>
      </c>
      <c r="L1039" t="s">
        <v>153</v>
      </c>
    </row>
    <row r="1040" spans="9:12" x14ac:dyDescent="0.45">
      <c r="I1040" t="s">
        <v>189</v>
      </c>
      <c r="J1040" t="s">
        <v>243</v>
      </c>
      <c r="K1040">
        <v>2.6753600020763832E-3</v>
      </c>
      <c r="L1040" t="s">
        <v>153</v>
      </c>
    </row>
    <row r="1041" spans="9:12" x14ac:dyDescent="0.45">
      <c r="I1041" t="s">
        <v>189</v>
      </c>
      <c r="J1041" t="s">
        <v>265</v>
      </c>
      <c r="K1041">
        <v>0</v>
      </c>
      <c r="L1041" t="s">
        <v>153</v>
      </c>
    </row>
    <row r="1042" spans="9:12" x14ac:dyDescent="0.45">
      <c r="I1042" t="s">
        <v>189</v>
      </c>
      <c r="J1042" t="s">
        <v>266</v>
      </c>
      <c r="K1042">
        <v>0</v>
      </c>
      <c r="L1042" t="s">
        <v>153</v>
      </c>
    </row>
    <row r="1043" spans="9:12" x14ac:dyDescent="0.45">
      <c r="I1043" t="s">
        <v>189</v>
      </c>
      <c r="J1043" t="s">
        <v>249</v>
      </c>
      <c r="K1043">
        <v>0</v>
      </c>
      <c r="L1043" t="s">
        <v>153</v>
      </c>
    </row>
    <row r="1044" spans="9:12" x14ac:dyDescent="0.45">
      <c r="I1044" t="s">
        <v>189</v>
      </c>
      <c r="J1044" t="s">
        <v>250</v>
      </c>
      <c r="K1044">
        <v>2.8268275257851173E-3</v>
      </c>
      <c r="L1044" t="s">
        <v>153</v>
      </c>
    </row>
    <row r="1045" spans="9:12" x14ac:dyDescent="0.45">
      <c r="I1045" t="s">
        <v>189</v>
      </c>
      <c r="J1045" t="s">
        <v>251</v>
      </c>
      <c r="K1045">
        <v>4.535706347284142E-3</v>
      </c>
      <c r="L1045" t="s">
        <v>153</v>
      </c>
    </row>
    <row r="1046" spans="9:12" x14ac:dyDescent="0.45">
      <c r="I1046" t="s">
        <v>189</v>
      </c>
      <c r="J1046" t="s">
        <v>252</v>
      </c>
      <c r="K1046">
        <v>5.4063381171747249E-3</v>
      </c>
      <c r="L1046" t="s">
        <v>153</v>
      </c>
    </row>
    <row r="1047" spans="9:12" x14ac:dyDescent="0.45">
      <c r="I1047" t="s">
        <v>189</v>
      </c>
      <c r="J1047" t="s">
        <v>253</v>
      </c>
      <c r="K1047">
        <v>3.5923323362027429E-2</v>
      </c>
      <c r="L1047" t="s">
        <v>153</v>
      </c>
    </row>
    <row r="1048" spans="9:12" x14ac:dyDescent="0.45">
      <c r="I1048" t="s">
        <v>189</v>
      </c>
      <c r="J1048" t="s">
        <v>254</v>
      </c>
      <c r="K1048">
        <v>2.1605979813415425E-3</v>
      </c>
      <c r="L1048" t="s">
        <v>153</v>
      </c>
    </row>
    <row r="1049" spans="9:12" x14ac:dyDescent="0.45">
      <c r="I1049" t="s">
        <v>189</v>
      </c>
      <c r="J1049" t="s">
        <v>267</v>
      </c>
      <c r="K1049">
        <v>0</v>
      </c>
      <c r="L1049" t="s">
        <v>153</v>
      </c>
    </row>
    <row r="1050" spans="9:12" x14ac:dyDescent="0.45">
      <c r="I1050" t="s">
        <v>189</v>
      </c>
      <c r="J1050" t="s">
        <v>268</v>
      </c>
      <c r="K1050">
        <v>0</v>
      </c>
      <c r="L1050" t="s">
        <v>153</v>
      </c>
    </row>
    <row r="1051" spans="9:12" x14ac:dyDescent="0.45">
      <c r="I1051" t="s">
        <v>190</v>
      </c>
      <c r="J1051" t="s">
        <v>152</v>
      </c>
      <c r="K1051">
        <v>1.240030202783733E-2</v>
      </c>
      <c r="L1051" t="s">
        <v>153</v>
      </c>
    </row>
    <row r="1052" spans="9:12" x14ac:dyDescent="0.45">
      <c r="I1052" t="s">
        <v>190</v>
      </c>
      <c r="J1052" t="s">
        <v>154</v>
      </c>
      <c r="K1052">
        <v>3.8624287520221172E-2</v>
      </c>
      <c r="L1052" t="s">
        <v>153</v>
      </c>
    </row>
    <row r="1053" spans="9:12" x14ac:dyDescent="0.45">
      <c r="I1053" t="s">
        <v>190</v>
      </c>
      <c r="J1053" t="s">
        <v>155</v>
      </c>
      <c r="K1053">
        <v>6.0508141502959294E-2</v>
      </c>
      <c r="L1053" t="s">
        <v>153</v>
      </c>
    </row>
    <row r="1054" spans="9:12" x14ac:dyDescent="0.45">
      <c r="I1054" t="s">
        <v>190</v>
      </c>
      <c r="J1054" t="s">
        <v>232</v>
      </c>
      <c r="K1054">
        <v>7.7382190835469281E-2</v>
      </c>
      <c r="L1054" t="s">
        <v>153</v>
      </c>
    </row>
    <row r="1055" spans="9:12" x14ac:dyDescent="0.45">
      <c r="I1055" t="s">
        <v>190</v>
      </c>
      <c r="J1055" t="s">
        <v>233</v>
      </c>
      <c r="K1055">
        <v>0.55049731409968095</v>
      </c>
      <c r="L1055" t="s">
        <v>153</v>
      </c>
    </row>
    <row r="1056" spans="9:12" x14ac:dyDescent="0.45">
      <c r="I1056" t="s">
        <v>190</v>
      </c>
      <c r="J1056" t="s">
        <v>234</v>
      </c>
      <c r="K1056">
        <v>3.088241764246669E-2</v>
      </c>
      <c r="L1056" t="s">
        <v>153</v>
      </c>
    </row>
    <row r="1057" spans="9:12" x14ac:dyDescent="0.45">
      <c r="I1057" t="s">
        <v>190</v>
      </c>
      <c r="J1057" t="s">
        <v>259</v>
      </c>
      <c r="K1057">
        <v>4.9253655537066926E-3</v>
      </c>
      <c r="L1057" t="s">
        <v>153</v>
      </c>
    </row>
    <row r="1058" spans="9:12" x14ac:dyDescent="0.45">
      <c r="I1058" t="s">
        <v>190</v>
      </c>
      <c r="J1058" t="s">
        <v>260</v>
      </c>
      <c r="K1058">
        <v>0</v>
      </c>
      <c r="L1058" t="s">
        <v>153</v>
      </c>
    </row>
    <row r="1059" spans="9:12" x14ac:dyDescent="0.45">
      <c r="I1059" t="s">
        <v>190</v>
      </c>
      <c r="J1059" t="s">
        <v>156</v>
      </c>
      <c r="K1059">
        <v>3.5429539713684801E-4</v>
      </c>
      <c r="L1059" t="s">
        <v>153</v>
      </c>
    </row>
    <row r="1060" spans="9:12" x14ac:dyDescent="0.45">
      <c r="I1060" t="s">
        <v>190</v>
      </c>
      <c r="J1060" t="s">
        <v>157</v>
      </c>
      <c r="K1060">
        <v>7.4788376669863478E-4</v>
      </c>
      <c r="L1060" t="s">
        <v>153</v>
      </c>
    </row>
    <row r="1061" spans="9:12" x14ac:dyDescent="0.45">
      <c r="I1061" t="s">
        <v>190</v>
      </c>
      <c r="J1061" t="s">
        <v>158</v>
      </c>
      <c r="K1061">
        <v>1.5017473333640418E-3</v>
      </c>
      <c r="L1061" t="s">
        <v>153</v>
      </c>
    </row>
    <row r="1062" spans="9:12" x14ac:dyDescent="0.45">
      <c r="I1062" t="s">
        <v>190</v>
      </c>
      <c r="J1062" t="s">
        <v>235</v>
      </c>
      <c r="K1062">
        <v>1.9186535151226199E-3</v>
      </c>
      <c r="L1062" t="s">
        <v>153</v>
      </c>
    </row>
    <row r="1063" spans="9:12" x14ac:dyDescent="0.45">
      <c r="I1063" t="s">
        <v>190</v>
      </c>
      <c r="J1063" t="s">
        <v>236</v>
      </c>
      <c r="K1063">
        <v>1.4777450826952136E-2</v>
      </c>
      <c r="L1063" t="s">
        <v>153</v>
      </c>
    </row>
    <row r="1064" spans="9:12" x14ac:dyDescent="0.45">
      <c r="I1064" t="s">
        <v>190</v>
      </c>
      <c r="J1064" t="s">
        <v>237</v>
      </c>
      <c r="K1064">
        <v>6.4197703826460368E-4</v>
      </c>
      <c r="L1064" t="s">
        <v>153</v>
      </c>
    </row>
    <row r="1065" spans="9:12" x14ac:dyDescent="0.45">
      <c r="I1065" t="s">
        <v>190</v>
      </c>
      <c r="J1065" t="s">
        <v>261</v>
      </c>
      <c r="K1065">
        <v>0</v>
      </c>
      <c r="L1065" t="s">
        <v>153</v>
      </c>
    </row>
    <row r="1066" spans="9:12" x14ac:dyDescent="0.45">
      <c r="I1066" t="s">
        <v>190</v>
      </c>
      <c r="J1066" t="s">
        <v>262</v>
      </c>
      <c r="K1066">
        <v>0</v>
      </c>
      <c r="L1066" t="s">
        <v>153</v>
      </c>
    </row>
    <row r="1067" spans="9:12" x14ac:dyDescent="0.45">
      <c r="I1067" t="s">
        <v>190</v>
      </c>
      <c r="J1067" t="s">
        <v>159</v>
      </c>
      <c r="K1067">
        <v>2.2345469858206317E-3</v>
      </c>
      <c r="L1067" t="s">
        <v>153</v>
      </c>
    </row>
    <row r="1068" spans="9:12" x14ac:dyDescent="0.45">
      <c r="I1068" t="s">
        <v>190</v>
      </c>
      <c r="J1068" t="s">
        <v>160</v>
      </c>
      <c r="K1068">
        <v>4.0801547014569194E-3</v>
      </c>
      <c r="L1068" t="s">
        <v>153</v>
      </c>
    </row>
    <row r="1069" spans="9:12" x14ac:dyDescent="0.45">
      <c r="I1069" t="s">
        <v>190</v>
      </c>
      <c r="J1069" t="s">
        <v>161</v>
      </c>
      <c r="K1069">
        <v>5.9682391313595285E-3</v>
      </c>
      <c r="L1069" t="s">
        <v>153</v>
      </c>
    </row>
    <row r="1070" spans="9:12" x14ac:dyDescent="0.45">
      <c r="I1070" t="s">
        <v>190</v>
      </c>
      <c r="J1070" t="s">
        <v>238</v>
      </c>
      <c r="K1070">
        <v>7.1980754277542009E-3</v>
      </c>
      <c r="L1070" t="s">
        <v>153</v>
      </c>
    </row>
    <row r="1071" spans="9:12" x14ac:dyDescent="0.45">
      <c r="I1071" t="s">
        <v>190</v>
      </c>
      <c r="J1071" t="s">
        <v>239</v>
      </c>
      <c r="K1071">
        <v>4.2239687456193248E-2</v>
      </c>
      <c r="L1071" t="s">
        <v>153</v>
      </c>
    </row>
    <row r="1072" spans="9:12" x14ac:dyDescent="0.45">
      <c r="I1072" t="s">
        <v>190</v>
      </c>
      <c r="J1072" t="s">
        <v>240</v>
      </c>
      <c r="K1072">
        <v>2.0111664066024874E-3</v>
      </c>
      <c r="L1072" t="s">
        <v>153</v>
      </c>
    </row>
    <row r="1073" spans="9:12" x14ac:dyDescent="0.45">
      <c r="I1073" t="s">
        <v>190</v>
      </c>
      <c r="J1073" t="s">
        <v>263</v>
      </c>
      <c r="K1073">
        <v>0</v>
      </c>
      <c r="L1073" t="s">
        <v>153</v>
      </c>
    </row>
    <row r="1074" spans="9:12" x14ac:dyDescent="0.45">
      <c r="I1074" t="s">
        <v>190</v>
      </c>
      <c r="J1074" t="s">
        <v>264</v>
      </c>
      <c r="K1074">
        <v>0</v>
      </c>
      <c r="L1074" t="s">
        <v>153</v>
      </c>
    </row>
    <row r="1075" spans="9:12" x14ac:dyDescent="0.45">
      <c r="I1075" t="s">
        <v>190</v>
      </c>
      <c r="J1075" t="s">
        <v>162</v>
      </c>
      <c r="K1075">
        <v>1.6510940083500365E-4</v>
      </c>
      <c r="L1075" t="s">
        <v>153</v>
      </c>
    </row>
    <row r="1076" spans="9:12" x14ac:dyDescent="0.45">
      <c r="I1076" t="s">
        <v>190</v>
      </c>
      <c r="J1076" t="s">
        <v>163</v>
      </c>
      <c r="K1076">
        <v>5.5451720527687929E-3</v>
      </c>
      <c r="L1076" t="s">
        <v>153</v>
      </c>
    </row>
    <row r="1077" spans="9:12" x14ac:dyDescent="0.45">
      <c r="I1077" t="s">
        <v>190</v>
      </c>
      <c r="J1077" t="s">
        <v>164</v>
      </c>
      <c r="K1077">
        <v>8.5027836432433786E-3</v>
      </c>
      <c r="L1077" t="s">
        <v>153</v>
      </c>
    </row>
    <row r="1078" spans="9:12" x14ac:dyDescent="0.45">
      <c r="I1078" t="s">
        <v>190</v>
      </c>
      <c r="J1078" t="s">
        <v>241</v>
      </c>
      <c r="K1078">
        <v>1.0123855640856067E-2</v>
      </c>
      <c r="L1078" t="s">
        <v>153</v>
      </c>
    </row>
    <row r="1079" spans="9:12" x14ac:dyDescent="0.45">
      <c r="I1079" t="s">
        <v>190</v>
      </c>
      <c r="J1079" t="s">
        <v>242</v>
      </c>
      <c r="K1079">
        <v>5.9868421145098695E-2</v>
      </c>
      <c r="L1079" t="s">
        <v>153</v>
      </c>
    </row>
    <row r="1080" spans="9:12" x14ac:dyDescent="0.45">
      <c r="I1080" t="s">
        <v>190</v>
      </c>
      <c r="J1080" t="s">
        <v>243</v>
      </c>
      <c r="K1080">
        <v>2.7617268222471002E-3</v>
      </c>
      <c r="L1080" t="s">
        <v>153</v>
      </c>
    </row>
    <row r="1081" spans="9:12" x14ac:dyDescent="0.45">
      <c r="I1081" t="s">
        <v>190</v>
      </c>
      <c r="J1081" t="s">
        <v>265</v>
      </c>
      <c r="K1081">
        <v>0</v>
      </c>
      <c r="L1081" t="s">
        <v>153</v>
      </c>
    </row>
    <row r="1082" spans="9:12" x14ac:dyDescent="0.45">
      <c r="I1082" t="s">
        <v>190</v>
      </c>
      <c r="J1082" t="s">
        <v>266</v>
      </c>
      <c r="K1082">
        <v>0</v>
      </c>
      <c r="L1082" t="s">
        <v>153</v>
      </c>
    </row>
    <row r="1083" spans="9:12" x14ac:dyDescent="0.45">
      <c r="I1083" t="s">
        <v>190</v>
      </c>
      <c r="J1083" t="s">
        <v>249</v>
      </c>
      <c r="K1083">
        <v>0</v>
      </c>
      <c r="L1083" t="s">
        <v>153</v>
      </c>
    </row>
    <row r="1084" spans="9:12" x14ac:dyDescent="0.45">
      <c r="I1084" t="s">
        <v>190</v>
      </c>
      <c r="J1084" t="s">
        <v>250</v>
      </c>
      <c r="K1084">
        <v>2.8669263352715424E-3</v>
      </c>
      <c r="L1084" t="s">
        <v>153</v>
      </c>
    </row>
    <row r="1085" spans="9:12" x14ac:dyDescent="0.45">
      <c r="I1085" t="s">
        <v>190</v>
      </c>
      <c r="J1085" t="s">
        <v>251</v>
      </c>
      <c r="K1085">
        <v>4.4962577500050659E-3</v>
      </c>
      <c r="L1085" t="s">
        <v>153</v>
      </c>
    </row>
    <row r="1086" spans="9:12" x14ac:dyDescent="0.45">
      <c r="I1086" t="s">
        <v>190</v>
      </c>
      <c r="J1086" t="s">
        <v>252</v>
      </c>
      <c r="K1086">
        <v>5.5223653533006149E-3</v>
      </c>
      <c r="L1086" t="s">
        <v>153</v>
      </c>
    </row>
    <row r="1087" spans="9:12" x14ac:dyDescent="0.45">
      <c r="I1087" t="s">
        <v>190</v>
      </c>
      <c r="J1087" t="s">
        <v>253</v>
      </c>
      <c r="K1087">
        <v>3.8664329284438977E-2</v>
      </c>
      <c r="L1087" t="s">
        <v>153</v>
      </c>
    </row>
    <row r="1088" spans="9:12" x14ac:dyDescent="0.45">
      <c r="I1088" t="s">
        <v>190</v>
      </c>
      <c r="J1088" t="s">
        <v>254</v>
      </c>
      <c r="K1088">
        <v>2.5891554028654286E-3</v>
      </c>
      <c r="L1088" t="s">
        <v>153</v>
      </c>
    </row>
    <row r="1089" spans="9:12" x14ac:dyDescent="0.45">
      <c r="I1089" t="s">
        <v>190</v>
      </c>
      <c r="J1089" t="s">
        <v>267</v>
      </c>
      <c r="K1089">
        <v>0</v>
      </c>
      <c r="L1089" t="s">
        <v>153</v>
      </c>
    </row>
    <row r="1090" spans="9:12" x14ac:dyDescent="0.45">
      <c r="I1090" t="s">
        <v>190</v>
      </c>
      <c r="J1090" t="s">
        <v>268</v>
      </c>
      <c r="K1090">
        <v>0</v>
      </c>
      <c r="L1090" t="s">
        <v>153</v>
      </c>
    </row>
    <row r="1091" spans="9:12" x14ac:dyDescent="0.45">
      <c r="I1091" t="s">
        <v>191</v>
      </c>
      <c r="J1091" t="s">
        <v>152</v>
      </c>
      <c r="K1091">
        <v>1.4520011531713759E-2</v>
      </c>
      <c r="L1091" t="s">
        <v>153</v>
      </c>
    </row>
    <row r="1092" spans="9:12" x14ac:dyDescent="0.45">
      <c r="I1092" t="s">
        <v>191</v>
      </c>
      <c r="J1092" t="s">
        <v>154</v>
      </c>
      <c r="K1092">
        <v>4.1503239220367354E-2</v>
      </c>
      <c r="L1092" t="s">
        <v>153</v>
      </c>
    </row>
    <row r="1093" spans="9:12" x14ac:dyDescent="0.45">
      <c r="I1093" t="s">
        <v>191</v>
      </c>
      <c r="J1093" t="s">
        <v>155</v>
      </c>
      <c r="K1093">
        <v>6.175944266753268E-2</v>
      </c>
      <c r="L1093" t="s">
        <v>153</v>
      </c>
    </row>
    <row r="1094" spans="9:12" x14ac:dyDescent="0.45">
      <c r="I1094" t="s">
        <v>191</v>
      </c>
      <c r="J1094" t="s">
        <v>232</v>
      </c>
      <c r="K1094">
        <v>7.6768336324156125E-2</v>
      </c>
      <c r="L1094" t="s">
        <v>153</v>
      </c>
    </row>
    <row r="1095" spans="9:12" x14ac:dyDescent="0.45">
      <c r="I1095" t="s">
        <v>191</v>
      </c>
      <c r="J1095" t="s">
        <v>233</v>
      </c>
      <c r="K1095">
        <v>0.54376524187746855</v>
      </c>
      <c r="L1095" t="s">
        <v>153</v>
      </c>
    </row>
    <row r="1096" spans="9:12" x14ac:dyDescent="0.45">
      <c r="I1096" t="s">
        <v>191</v>
      </c>
      <c r="J1096" t="s">
        <v>234</v>
      </c>
      <c r="K1096">
        <v>3.0675731154021207E-2</v>
      </c>
      <c r="L1096" t="s">
        <v>153</v>
      </c>
    </row>
    <row r="1097" spans="9:12" x14ac:dyDescent="0.45">
      <c r="I1097" t="s">
        <v>191</v>
      </c>
      <c r="J1097" t="s">
        <v>259</v>
      </c>
      <c r="K1097">
        <v>3.4880427060771197E-3</v>
      </c>
      <c r="L1097" t="s">
        <v>153</v>
      </c>
    </row>
    <row r="1098" spans="9:12" x14ac:dyDescent="0.45">
      <c r="I1098" t="s">
        <v>191</v>
      </c>
      <c r="J1098" t="s">
        <v>260</v>
      </c>
      <c r="K1098">
        <v>0</v>
      </c>
      <c r="L1098" t="s">
        <v>153</v>
      </c>
    </row>
    <row r="1099" spans="9:12" x14ac:dyDescent="0.45">
      <c r="I1099" t="s">
        <v>191</v>
      </c>
      <c r="J1099" t="s">
        <v>156</v>
      </c>
      <c r="K1099">
        <v>6.2825255464446451E-4</v>
      </c>
      <c r="L1099" t="s">
        <v>153</v>
      </c>
    </row>
    <row r="1100" spans="9:12" x14ac:dyDescent="0.45">
      <c r="I1100" t="s">
        <v>191</v>
      </c>
      <c r="J1100" t="s">
        <v>157</v>
      </c>
      <c r="K1100">
        <v>1.2600868373779648E-3</v>
      </c>
      <c r="L1100" t="s">
        <v>153</v>
      </c>
    </row>
    <row r="1101" spans="9:12" x14ac:dyDescent="0.45">
      <c r="I1101" t="s">
        <v>191</v>
      </c>
      <c r="J1101" t="s">
        <v>158</v>
      </c>
      <c r="K1101">
        <v>1.882480158122527E-3</v>
      </c>
      <c r="L1101" t="s">
        <v>153</v>
      </c>
    </row>
    <row r="1102" spans="9:12" x14ac:dyDescent="0.45">
      <c r="I1102" t="s">
        <v>191</v>
      </c>
      <c r="J1102" t="s">
        <v>235</v>
      </c>
      <c r="K1102">
        <v>2.2921141632240467E-3</v>
      </c>
      <c r="L1102" t="s">
        <v>153</v>
      </c>
    </row>
    <row r="1103" spans="9:12" x14ac:dyDescent="0.45">
      <c r="I1103" t="s">
        <v>191</v>
      </c>
      <c r="J1103" t="s">
        <v>236</v>
      </c>
      <c r="K1103">
        <v>1.4659261689903344E-2</v>
      </c>
      <c r="L1103" t="s">
        <v>153</v>
      </c>
    </row>
    <row r="1104" spans="9:12" x14ac:dyDescent="0.45">
      <c r="I1104" t="s">
        <v>191</v>
      </c>
      <c r="J1104" t="s">
        <v>237</v>
      </c>
      <c r="K1104">
        <v>6.4491494752199425E-4</v>
      </c>
      <c r="L1104" t="s">
        <v>153</v>
      </c>
    </row>
    <row r="1105" spans="9:12" x14ac:dyDescent="0.45">
      <c r="I1105" t="s">
        <v>191</v>
      </c>
      <c r="J1105" t="s">
        <v>261</v>
      </c>
      <c r="K1105">
        <v>0</v>
      </c>
      <c r="L1105" t="s">
        <v>153</v>
      </c>
    </row>
    <row r="1106" spans="9:12" x14ac:dyDescent="0.45">
      <c r="I1106" t="s">
        <v>191</v>
      </c>
      <c r="J1106" t="s">
        <v>262</v>
      </c>
      <c r="K1106">
        <v>0</v>
      </c>
      <c r="L1106" t="s">
        <v>153</v>
      </c>
    </row>
    <row r="1107" spans="9:12" x14ac:dyDescent="0.45">
      <c r="I1107" t="s">
        <v>191</v>
      </c>
      <c r="J1107" t="s">
        <v>159</v>
      </c>
      <c r="K1107">
        <v>2.5205248427926778E-3</v>
      </c>
      <c r="L1107" t="s">
        <v>153</v>
      </c>
    </row>
    <row r="1108" spans="9:12" x14ac:dyDescent="0.45">
      <c r="I1108" t="s">
        <v>191</v>
      </c>
      <c r="J1108" t="s">
        <v>160</v>
      </c>
      <c r="K1108">
        <v>4.5864214671159148E-3</v>
      </c>
      <c r="L1108" t="s">
        <v>153</v>
      </c>
    </row>
    <row r="1109" spans="9:12" x14ac:dyDescent="0.45">
      <c r="I1109" t="s">
        <v>191</v>
      </c>
      <c r="J1109" t="s">
        <v>161</v>
      </c>
      <c r="K1109">
        <v>6.312170323448411E-3</v>
      </c>
      <c r="L1109" t="s">
        <v>153</v>
      </c>
    </row>
    <row r="1110" spans="9:12" x14ac:dyDescent="0.45">
      <c r="I1110" t="s">
        <v>191</v>
      </c>
      <c r="J1110" t="s">
        <v>238</v>
      </c>
      <c r="K1110">
        <v>7.3864406738558116E-3</v>
      </c>
      <c r="L1110" t="s">
        <v>153</v>
      </c>
    </row>
    <row r="1111" spans="9:12" x14ac:dyDescent="0.45">
      <c r="I1111" t="s">
        <v>191</v>
      </c>
      <c r="J1111" t="s">
        <v>239</v>
      </c>
      <c r="K1111">
        <v>4.1993644965230885E-2</v>
      </c>
      <c r="L1111" t="s">
        <v>153</v>
      </c>
    </row>
    <row r="1112" spans="9:12" x14ac:dyDescent="0.45">
      <c r="I1112" t="s">
        <v>191</v>
      </c>
      <c r="J1112" t="s">
        <v>240</v>
      </c>
      <c r="K1112">
        <v>1.969793585209976E-3</v>
      </c>
      <c r="L1112" t="s">
        <v>153</v>
      </c>
    </row>
    <row r="1113" spans="9:12" x14ac:dyDescent="0.45">
      <c r="I1113" t="s">
        <v>191</v>
      </c>
      <c r="J1113" t="s">
        <v>263</v>
      </c>
      <c r="K1113">
        <v>0</v>
      </c>
      <c r="L1113" t="s">
        <v>153</v>
      </c>
    </row>
    <row r="1114" spans="9:12" x14ac:dyDescent="0.45">
      <c r="I1114" t="s">
        <v>191</v>
      </c>
      <c r="J1114" t="s">
        <v>264</v>
      </c>
      <c r="K1114">
        <v>0</v>
      </c>
      <c r="L1114" t="s">
        <v>153</v>
      </c>
    </row>
    <row r="1115" spans="9:12" x14ac:dyDescent="0.45">
      <c r="I1115" t="s">
        <v>191</v>
      </c>
      <c r="J1115" t="s">
        <v>162</v>
      </c>
      <c r="K1115">
        <v>8.1925665874850635E-4</v>
      </c>
      <c r="L1115" t="s">
        <v>153</v>
      </c>
    </row>
    <row r="1116" spans="9:12" x14ac:dyDescent="0.45">
      <c r="I1116" t="s">
        <v>191</v>
      </c>
      <c r="J1116" t="s">
        <v>163</v>
      </c>
      <c r="K1116">
        <v>5.9786454867783653E-3</v>
      </c>
      <c r="L1116" t="s">
        <v>153</v>
      </c>
    </row>
    <row r="1117" spans="9:12" x14ac:dyDescent="0.45">
      <c r="I1117" t="s">
        <v>191</v>
      </c>
      <c r="J1117" t="s">
        <v>164</v>
      </c>
      <c r="K1117">
        <v>8.7037550126950209E-3</v>
      </c>
      <c r="L1117" t="s">
        <v>153</v>
      </c>
    </row>
    <row r="1118" spans="9:12" x14ac:dyDescent="0.45">
      <c r="I1118" t="s">
        <v>191</v>
      </c>
      <c r="J1118" t="s">
        <v>241</v>
      </c>
      <c r="K1118">
        <v>1.0321069507889059E-2</v>
      </c>
      <c r="L1118" t="s">
        <v>153</v>
      </c>
    </row>
    <row r="1119" spans="9:12" x14ac:dyDescent="0.45">
      <c r="I1119" t="s">
        <v>191</v>
      </c>
      <c r="J1119" t="s">
        <v>242</v>
      </c>
      <c r="K1119">
        <v>6.0738534005573892E-2</v>
      </c>
      <c r="L1119" t="s">
        <v>153</v>
      </c>
    </row>
    <row r="1120" spans="9:12" x14ac:dyDescent="0.45">
      <c r="I1120" t="s">
        <v>191</v>
      </c>
      <c r="J1120" t="s">
        <v>243</v>
      </c>
      <c r="K1120">
        <v>2.8364452541167007E-3</v>
      </c>
      <c r="L1120" t="s">
        <v>153</v>
      </c>
    </row>
    <row r="1121" spans="9:12" x14ac:dyDescent="0.45">
      <c r="I1121" t="s">
        <v>191</v>
      </c>
      <c r="J1121" t="s">
        <v>265</v>
      </c>
      <c r="K1121">
        <v>0</v>
      </c>
      <c r="L1121" t="s">
        <v>153</v>
      </c>
    </row>
    <row r="1122" spans="9:12" x14ac:dyDescent="0.45">
      <c r="I1122" t="s">
        <v>191</v>
      </c>
      <c r="J1122" t="s">
        <v>266</v>
      </c>
      <c r="K1122">
        <v>0</v>
      </c>
      <c r="L1122" t="s">
        <v>153</v>
      </c>
    </row>
    <row r="1123" spans="9:12" x14ac:dyDescent="0.45">
      <c r="I1123" t="s">
        <v>191</v>
      </c>
      <c r="J1123" t="s">
        <v>249</v>
      </c>
      <c r="K1123">
        <v>0</v>
      </c>
      <c r="L1123" t="s">
        <v>153</v>
      </c>
    </row>
    <row r="1124" spans="9:12" x14ac:dyDescent="0.45">
      <c r="I1124" t="s">
        <v>191</v>
      </c>
      <c r="J1124" t="s">
        <v>250</v>
      </c>
      <c r="K1124">
        <v>2.8661434111479003E-3</v>
      </c>
      <c r="L1124" t="s">
        <v>153</v>
      </c>
    </row>
    <row r="1125" spans="9:12" x14ac:dyDescent="0.45">
      <c r="I1125" t="s">
        <v>191</v>
      </c>
      <c r="J1125" t="s">
        <v>251</v>
      </c>
      <c r="K1125">
        <v>4.3256262813586056E-3</v>
      </c>
      <c r="L1125" t="s">
        <v>153</v>
      </c>
    </row>
    <row r="1126" spans="9:12" x14ac:dyDescent="0.45">
      <c r="I1126" t="s">
        <v>191</v>
      </c>
      <c r="J1126" t="s">
        <v>252</v>
      </c>
      <c r="K1126">
        <v>5.2081275775182432E-3</v>
      </c>
      <c r="L1126" t="s">
        <v>153</v>
      </c>
    </row>
    <row r="1127" spans="9:12" x14ac:dyDescent="0.45">
      <c r="I1127" t="s">
        <v>191</v>
      </c>
      <c r="J1127" t="s">
        <v>253</v>
      </c>
      <c r="K1127">
        <v>3.7258148625586185E-2</v>
      </c>
      <c r="L1127" t="s">
        <v>153</v>
      </c>
    </row>
    <row r="1128" spans="9:12" x14ac:dyDescent="0.45">
      <c r="I1128" t="s">
        <v>191</v>
      </c>
      <c r="J1128" t="s">
        <v>254</v>
      </c>
      <c r="K1128">
        <v>2.3280964888040901E-3</v>
      </c>
      <c r="L1128" t="s">
        <v>153</v>
      </c>
    </row>
    <row r="1129" spans="9:12" x14ac:dyDescent="0.45">
      <c r="I1129" t="s">
        <v>191</v>
      </c>
      <c r="J1129" t="s">
        <v>267</v>
      </c>
      <c r="K1129">
        <v>0</v>
      </c>
      <c r="L1129" t="s">
        <v>153</v>
      </c>
    </row>
    <row r="1130" spans="9:12" x14ac:dyDescent="0.45">
      <c r="I1130" t="s">
        <v>191</v>
      </c>
      <c r="J1130" t="s">
        <v>268</v>
      </c>
      <c r="K1130">
        <v>0</v>
      </c>
      <c r="L1130" t="s">
        <v>153</v>
      </c>
    </row>
    <row r="1131" spans="9:12" x14ac:dyDescent="0.45">
      <c r="I1131" t="s">
        <v>192</v>
      </c>
      <c r="J1131" t="s">
        <v>152</v>
      </c>
      <c r="K1131">
        <v>1.4427913622230377E-2</v>
      </c>
      <c r="L1131" t="s">
        <v>153</v>
      </c>
    </row>
    <row r="1132" spans="9:12" x14ac:dyDescent="0.45">
      <c r="I1132" t="s">
        <v>192</v>
      </c>
      <c r="J1132" t="s">
        <v>154</v>
      </c>
      <c r="K1132">
        <v>4.2079158268515431E-2</v>
      </c>
      <c r="L1132" t="s">
        <v>153</v>
      </c>
    </row>
    <row r="1133" spans="9:12" x14ac:dyDescent="0.45">
      <c r="I1133" t="s">
        <v>192</v>
      </c>
      <c r="J1133" t="s">
        <v>155</v>
      </c>
      <c r="K1133">
        <v>6.2562072103966873E-2</v>
      </c>
      <c r="L1133" t="s">
        <v>153</v>
      </c>
    </row>
    <row r="1134" spans="9:12" x14ac:dyDescent="0.45">
      <c r="I1134" t="s">
        <v>192</v>
      </c>
      <c r="J1134" t="s">
        <v>232</v>
      </c>
      <c r="K1134">
        <v>7.7452201698124931E-2</v>
      </c>
      <c r="L1134" t="s">
        <v>153</v>
      </c>
    </row>
    <row r="1135" spans="9:12" x14ac:dyDescent="0.45">
      <c r="I1135" t="s">
        <v>192</v>
      </c>
      <c r="J1135" t="s">
        <v>233</v>
      </c>
      <c r="K1135">
        <v>0.55080938875091301</v>
      </c>
      <c r="L1135" t="s">
        <v>153</v>
      </c>
    </row>
    <row r="1136" spans="9:12" x14ac:dyDescent="0.45">
      <c r="I1136" t="s">
        <v>192</v>
      </c>
      <c r="J1136" t="s">
        <v>234</v>
      </c>
      <c r="K1136">
        <v>3.1867741003982077E-2</v>
      </c>
      <c r="L1136" t="s">
        <v>153</v>
      </c>
    </row>
    <row r="1137" spans="9:12" x14ac:dyDescent="0.45">
      <c r="I1137" t="s">
        <v>192</v>
      </c>
      <c r="J1137" t="s">
        <v>259</v>
      </c>
      <c r="K1137">
        <v>4.3159430236775652E-3</v>
      </c>
      <c r="L1137" t="s">
        <v>153</v>
      </c>
    </row>
    <row r="1138" spans="9:12" x14ac:dyDescent="0.45">
      <c r="I1138" t="s">
        <v>192</v>
      </c>
      <c r="J1138" t="s">
        <v>260</v>
      </c>
      <c r="K1138">
        <v>0</v>
      </c>
      <c r="L1138" t="s">
        <v>153</v>
      </c>
    </row>
    <row r="1139" spans="9:12" x14ac:dyDescent="0.45">
      <c r="I1139" t="s">
        <v>192</v>
      </c>
      <c r="J1139" t="s">
        <v>156</v>
      </c>
      <c r="K1139">
        <v>4.671303723488055E-4</v>
      </c>
      <c r="L1139" t="s">
        <v>153</v>
      </c>
    </row>
    <row r="1140" spans="9:12" x14ac:dyDescent="0.45">
      <c r="I1140" t="s">
        <v>192</v>
      </c>
      <c r="J1140" t="s">
        <v>157</v>
      </c>
      <c r="K1140">
        <v>9.6905283908889697E-4</v>
      </c>
      <c r="L1140" t="s">
        <v>153</v>
      </c>
    </row>
    <row r="1141" spans="9:12" x14ac:dyDescent="0.45">
      <c r="I1141" t="s">
        <v>192</v>
      </c>
      <c r="J1141" t="s">
        <v>158</v>
      </c>
      <c r="K1141">
        <v>1.5613799998787012E-3</v>
      </c>
      <c r="L1141" t="s">
        <v>153</v>
      </c>
    </row>
    <row r="1142" spans="9:12" x14ac:dyDescent="0.45">
      <c r="I1142" t="s">
        <v>192</v>
      </c>
      <c r="J1142" t="s">
        <v>235</v>
      </c>
      <c r="K1142">
        <v>1.8893363906947126E-3</v>
      </c>
      <c r="L1142" t="s">
        <v>153</v>
      </c>
    </row>
    <row r="1143" spans="9:12" x14ac:dyDescent="0.45">
      <c r="I1143" t="s">
        <v>192</v>
      </c>
      <c r="J1143" t="s">
        <v>236</v>
      </c>
      <c r="K1143">
        <v>1.3762529076110088E-2</v>
      </c>
      <c r="L1143" t="s">
        <v>153</v>
      </c>
    </row>
    <row r="1144" spans="9:12" x14ac:dyDescent="0.45">
      <c r="I1144" t="s">
        <v>192</v>
      </c>
      <c r="J1144" t="s">
        <v>237</v>
      </c>
      <c r="K1144">
        <v>6.4449135351037784E-4</v>
      </c>
      <c r="L1144" t="s">
        <v>153</v>
      </c>
    </row>
    <row r="1145" spans="9:12" x14ac:dyDescent="0.45">
      <c r="I1145" t="s">
        <v>192</v>
      </c>
      <c r="J1145" t="s">
        <v>261</v>
      </c>
      <c r="K1145">
        <v>0</v>
      </c>
      <c r="L1145" t="s">
        <v>153</v>
      </c>
    </row>
    <row r="1146" spans="9:12" x14ac:dyDescent="0.45">
      <c r="I1146" t="s">
        <v>192</v>
      </c>
      <c r="J1146" t="s">
        <v>262</v>
      </c>
      <c r="K1146">
        <v>0</v>
      </c>
      <c r="L1146" t="s">
        <v>153</v>
      </c>
    </row>
    <row r="1147" spans="9:12" x14ac:dyDescent="0.45">
      <c r="I1147" t="s">
        <v>192</v>
      </c>
      <c r="J1147" t="s">
        <v>159</v>
      </c>
      <c r="K1147">
        <v>2.2436727381870006E-3</v>
      </c>
      <c r="L1147" t="s">
        <v>153</v>
      </c>
    </row>
    <row r="1148" spans="9:12" x14ac:dyDescent="0.45">
      <c r="I1148" t="s">
        <v>192</v>
      </c>
      <c r="J1148" t="s">
        <v>160</v>
      </c>
      <c r="K1148">
        <v>4.0421386432394494E-3</v>
      </c>
      <c r="L1148" t="s">
        <v>153</v>
      </c>
    </row>
    <row r="1149" spans="9:12" x14ac:dyDescent="0.45">
      <c r="I1149" t="s">
        <v>192</v>
      </c>
      <c r="J1149" t="s">
        <v>161</v>
      </c>
      <c r="K1149">
        <v>5.7615533141030109E-3</v>
      </c>
      <c r="L1149" t="s">
        <v>153</v>
      </c>
    </row>
    <row r="1150" spans="9:12" x14ac:dyDescent="0.45">
      <c r="I1150" t="s">
        <v>192</v>
      </c>
      <c r="J1150" t="s">
        <v>238</v>
      </c>
      <c r="K1150">
        <v>6.8042050924596274E-3</v>
      </c>
      <c r="L1150" t="s">
        <v>153</v>
      </c>
    </row>
    <row r="1151" spans="9:12" x14ac:dyDescent="0.45">
      <c r="I1151" t="s">
        <v>192</v>
      </c>
      <c r="J1151" t="s">
        <v>239</v>
      </c>
      <c r="K1151">
        <v>4.0181605833672564E-2</v>
      </c>
      <c r="L1151" t="s">
        <v>153</v>
      </c>
    </row>
    <row r="1152" spans="9:12" x14ac:dyDescent="0.45">
      <c r="I1152" t="s">
        <v>192</v>
      </c>
      <c r="J1152" t="s">
        <v>240</v>
      </c>
      <c r="K1152">
        <v>1.7990556273097496E-3</v>
      </c>
      <c r="L1152" t="s">
        <v>153</v>
      </c>
    </row>
    <row r="1153" spans="9:12" x14ac:dyDescent="0.45">
      <c r="I1153" t="s">
        <v>192</v>
      </c>
      <c r="J1153" t="s">
        <v>263</v>
      </c>
      <c r="K1153">
        <v>0</v>
      </c>
      <c r="L1153" t="s">
        <v>153</v>
      </c>
    </row>
    <row r="1154" spans="9:12" x14ac:dyDescent="0.45">
      <c r="I1154" t="s">
        <v>192</v>
      </c>
      <c r="J1154" t="s">
        <v>264</v>
      </c>
      <c r="K1154">
        <v>0</v>
      </c>
      <c r="L1154" t="s">
        <v>153</v>
      </c>
    </row>
    <row r="1155" spans="9:12" x14ac:dyDescent="0.45">
      <c r="I1155" t="s">
        <v>192</v>
      </c>
      <c r="J1155" t="s">
        <v>162</v>
      </c>
      <c r="K1155">
        <v>2.2523187108474036E-4</v>
      </c>
      <c r="L1155" t="s">
        <v>153</v>
      </c>
    </row>
    <row r="1156" spans="9:12" x14ac:dyDescent="0.45">
      <c r="I1156" t="s">
        <v>192</v>
      </c>
      <c r="J1156" t="s">
        <v>163</v>
      </c>
      <c r="K1156">
        <v>5.4182086331317813E-3</v>
      </c>
      <c r="L1156" t="s">
        <v>153</v>
      </c>
    </row>
    <row r="1157" spans="9:12" x14ac:dyDescent="0.45">
      <c r="I1157" t="s">
        <v>192</v>
      </c>
      <c r="J1157" t="s">
        <v>164</v>
      </c>
      <c r="K1157">
        <v>8.1675051778049707E-3</v>
      </c>
      <c r="L1157" t="s">
        <v>153</v>
      </c>
    </row>
    <row r="1158" spans="9:12" x14ac:dyDescent="0.45">
      <c r="I1158" t="s">
        <v>192</v>
      </c>
      <c r="J1158" t="s">
        <v>241</v>
      </c>
      <c r="K1158">
        <v>9.8391790778125585E-3</v>
      </c>
      <c r="L1158" t="s">
        <v>153</v>
      </c>
    </row>
    <row r="1159" spans="9:12" x14ac:dyDescent="0.45">
      <c r="I1159" t="s">
        <v>192</v>
      </c>
      <c r="J1159" t="s">
        <v>242</v>
      </c>
      <c r="K1159">
        <v>5.8672199956399884E-2</v>
      </c>
      <c r="L1159" t="s">
        <v>153</v>
      </c>
    </row>
    <row r="1160" spans="9:12" x14ac:dyDescent="0.45">
      <c r="I1160" t="s">
        <v>192</v>
      </c>
      <c r="J1160" t="s">
        <v>243</v>
      </c>
      <c r="K1160">
        <v>2.8017033075908213E-3</v>
      </c>
      <c r="L1160" t="s">
        <v>153</v>
      </c>
    </row>
    <row r="1161" spans="9:12" x14ac:dyDescent="0.45">
      <c r="I1161" t="s">
        <v>192</v>
      </c>
      <c r="J1161" t="s">
        <v>265</v>
      </c>
      <c r="K1161">
        <v>0</v>
      </c>
      <c r="L1161" t="s">
        <v>153</v>
      </c>
    </row>
    <row r="1162" spans="9:12" x14ac:dyDescent="0.45">
      <c r="I1162" t="s">
        <v>192</v>
      </c>
      <c r="J1162" t="s">
        <v>266</v>
      </c>
      <c r="K1162">
        <v>0</v>
      </c>
      <c r="L1162" t="s">
        <v>153</v>
      </c>
    </row>
    <row r="1163" spans="9:12" x14ac:dyDescent="0.45">
      <c r="I1163" t="s">
        <v>192</v>
      </c>
      <c r="J1163" t="s">
        <v>249</v>
      </c>
      <c r="K1163">
        <v>0</v>
      </c>
      <c r="L1163" t="s">
        <v>153</v>
      </c>
    </row>
    <row r="1164" spans="9:12" x14ac:dyDescent="0.45">
      <c r="I1164" t="s">
        <v>192</v>
      </c>
      <c r="J1164" t="s">
        <v>250</v>
      </c>
      <c r="K1164">
        <v>2.8310402181081396E-3</v>
      </c>
      <c r="L1164" t="s">
        <v>153</v>
      </c>
    </row>
    <row r="1165" spans="9:12" x14ac:dyDescent="0.45">
      <c r="I1165" t="s">
        <v>192</v>
      </c>
      <c r="J1165" t="s">
        <v>251</v>
      </c>
      <c r="K1165">
        <v>4.4825043373683615E-3</v>
      </c>
      <c r="L1165" t="s">
        <v>153</v>
      </c>
    </row>
    <row r="1166" spans="9:12" x14ac:dyDescent="0.45">
      <c r="I1166" t="s">
        <v>192</v>
      </c>
      <c r="J1166" t="s">
        <v>252</v>
      </c>
      <c r="K1166">
        <v>5.3446004710154781E-3</v>
      </c>
      <c r="L1166" t="s">
        <v>153</v>
      </c>
    </row>
    <row r="1167" spans="9:12" x14ac:dyDescent="0.45">
      <c r="I1167" t="s">
        <v>192</v>
      </c>
      <c r="J1167" t="s">
        <v>253</v>
      </c>
      <c r="K1167">
        <v>3.6316824418967927E-2</v>
      </c>
      <c r="L1167" t="s">
        <v>153</v>
      </c>
    </row>
    <row r="1168" spans="9:12" x14ac:dyDescent="0.45">
      <c r="I1168" t="s">
        <v>192</v>
      </c>
      <c r="J1168" t="s">
        <v>254</v>
      </c>
      <c r="K1168">
        <v>2.2604327787040341E-3</v>
      </c>
      <c r="L1168" t="s">
        <v>153</v>
      </c>
    </row>
    <row r="1169" spans="9:12" x14ac:dyDescent="0.45">
      <c r="I1169" t="s">
        <v>192</v>
      </c>
      <c r="J1169" t="s">
        <v>267</v>
      </c>
      <c r="K1169">
        <v>0</v>
      </c>
      <c r="L1169" t="s">
        <v>153</v>
      </c>
    </row>
    <row r="1170" spans="9:12" x14ac:dyDescent="0.45">
      <c r="I1170" t="s">
        <v>192</v>
      </c>
      <c r="J1170" t="s">
        <v>268</v>
      </c>
      <c r="K1170">
        <v>0</v>
      </c>
      <c r="L1170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67D0-52B7-4A5B-A342-E23A2A165362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ok</v>
      </c>
      <c r="C11" t="s">
        <v>271</v>
      </c>
      <c r="D11" t="s">
        <v>142</v>
      </c>
      <c r="E11" t="s">
        <v>272</v>
      </c>
      <c r="F11" t="s">
        <v>271</v>
      </c>
      <c r="G11" t="s">
        <v>142</v>
      </c>
      <c r="I11" t="s">
        <v>151</v>
      </c>
      <c r="J11" t="s">
        <v>273</v>
      </c>
      <c r="K11">
        <v>0.99999999999999689</v>
      </c>
      <c r="L11" t="s">
        <v>153</v>
      </c>
      <c r="N11" t="s">
        <v>193</v>
      </c>
      <c r="O11" t="s">
        <v>273</v>
      </c>
      <c r="P11">
        <v>0.99999999999999922</v>
      </c>
      <c r="Q11" t="s">
        <v>153</v>
      </c>
      <c r="S11" t="s">
        <v>208</v>
      </c>
      <c r="T11" t="s">
        <v>273</v>
      </c>
      <c r="U11">
        <v>1.000000000000004</v>
      </c>
      <c r="V11" t="s">
        <v>153</v>
      </c>
      <c r="X11">
        <v>1</v>
      </c>
      <c r="Y11">
        <v>1.0000000000000002</v>
      </c>
      <c r="Z11" t="s">
        <v>273</v>
      </c>
      <c r="AA11" t="s">
        <v>25</v>
      </c>
      <c r="AC11" t="s">
        <v>22</v>
      </c>
      <c r="AD11" t="s">
        <v>273</v>
      </c>
      <c r="AE11">
        <v>1</v>
      </c>
      <c r="AG11" t="s">
        <v>96</v>
      </c>
      <c r="AH11" t="s">
        <v>273</v>
      </c>
      <c r="AI11">
        <v>0.43664249661382937</v>
      </c>
      <c r="AK11">
        <v>2020</v>
      </c>
      <c r="AL11" t="s">
        <v>271</v>
      </c>
      <c r="AM11">
        <v>0.16701666666666667</v>
      </c>
      <c r="AN11" t="s">
        <v>227</v>
      </c>
    </row>
    <row r="12" spans="1:40" x14ac:dyDescent="0.45">
      <c r="I12" t="s">
        <v>165</v>
      </c>
      <c r="J12" t="s">
        <v>273</v>
      </c>
      <c r="K12">
        <v>0.99999999999999634</v>
      </c>
      <c r="L12" t="s">
        <v>153</v>
      </c>
      <c r="N12" t="s">
        <v>194</v>
      </c>
      <c r="O12" t="s">
        <v>273</v>
      </c>
      <c r="P12">
        <v>0.99999999999999711</v>
      </c>
      <c r="Q12" t="s">
        <v>153</v>
      </c>
      <c r="S12" t="s">
        <v>209</v>
      </c>
      <c r="T12" t="s">
        <v>273</v>
      </c>
      <c r="U12">
        <v>0.99999999999999734</v>
      </c>
      <c r="V12" t="s">
        <v>153</v>
      </c>
      <c r="AC12" t="s">
        <v>19</v>
      </c>
      <c r="AD12" t="s">
        <v>273</v>
      </c>
      <c r="AE12">
        <v>1</v>
      </c>
      <c r="AK12">
        <v>2021</v>
      </c>
      <c r="AL12" t="s">
        <v>271</v>
      </c>
      <c r="AM12">
        <v>0.16716666666666669</v>
      </c>
      <c r="AN12" t="s">
        <v>227</v>
      </c>
    </row>
    <row r="13" spans="1:40" x14ac:dyDescent="0.45">
      <c r="I13" t="s">
        <v>166</v>
      </c>
      <c r="J13" t="s">
        <v>273</v>
      </c>
      <c r="K13">
        <v>0.99999999999999833</v>
      </c>
      <c r="L13" t="s">
        <v>153</v>
      </c>
      <c r="N13" t="s">
        <v>195</v>
      </c>
      <c r="O13" t="s">
        <v>273</v>
      </c>
      <c r="P13">
        <v>1.0000000000000049</v>
      </c>
      <c r="Q13" t="s">
        <v>153</v>
      </c>
      <c r="S13" t="s">
        <v>210</v>
      </c>
      <c r="T13" t="s">
        <v>273</v>
      </c>
      <c r="U13">
        <v>1.0000000000000004</v>
      </c>
      <c r="V13" t="s">
        <v>153</v>
      </c>
      <c r="AK13">
        <v>2022</v>
      </c>
      <c r="AL13" t="s">
        <v>271</v>
      </c>
      <c r="AM13">
        <v>0.24231666666666662</v>
      </c>
      <c r="AN13" t="s">
        <v>227</v>
      </c>
    </row>
    <row r="14" spans="1:40" x14ac:dyDescent="0.45">
      <c r="I14" t="s">
        <v>167</v>
      </c>
      <c r="J14" t="s">
        <v>273</v>
      </c>
      <c r="K14">
        <v>1.0000000000000011</v>
      </c>
      <c r="L14" t="s">
        <v>153</v>
      </c>
      <c r="N14" t="s">
        <v>196</v>
      </c>
      <c r="O14" t="s">
        <v>273</v>
      </c>
      <c r="P14">
        <v>1.0000000000000033</v>
      </c>
      <c r="Q14" t="s">
        <v>153</v>
      </c>
      <c r="S14" t="s">
        <v>211</v>
      </c>
      <c r="T14" t="s">
        <v>273</v>
      </c>
      <c r="U14">
        <v>1.0000000000000038</v>
      </c>
      <c r="V14" t="s">
        <v>153</v>
      </c>
      <c r="AK14">
        <v>2025</v>
      </c>
      <c r="AL14" t="s">
        <v>271</v>
      </c>
      <c r="AM14">
        <v>0.26351666666666668</v>
      </c>
      <c r="AN14" t="s">
        <v>227</v>
      </c>
    </row>
    <row r="15" spans="1:40" x14ac:dyDescent="0.45">
      <c r="I15" t="s">
        <v>168</v>
      </c>
      <c r="J15" t="s">
        <v>273</v>
      </c>
      <c r="K15">
        <v>1</v>
      </c>
      <c r="L15" t="s">
        <v>153</v>
      </c>
      <c r="N15" t="s">
        <v>197</v>
      </c>
      <c r="O15" t="s">
        <v>273</v>
      </c>
      <c r="P15">
        <v>1.0000000000000016</v>
      </c>
      <c r="Q15" t="s">
        <v>153</v>
      </c>
      <c r="S15" t="s">
        <v>212</v>
      </c>
      <c r="T15" t="s">
        <v>273</v>
      </c>
      <c r="U15">
        <v>0.99999999999999878</v>
      </c>
      <c r="V15" t="s">
        <v>153</v>
      </c>
      <c r="AK15">
        <v>2026</v>
      </c>
      <c r="AL15" t="s">
        <v>271</v>
      </c>
      <c r="AM15">
        <v>0.2419</v>
      </c>
      <c r="AN15" t="s">
        <v>227</v>
      </c>
    </row>
    <row r="16" spans="1:40" x14ac:dyDescent="0.45">
      <c r="I16" t="s">
        <v>169</v>
      </c>
      <c r="J16" t="s">
        <v>273</v>
      </c>
      <c r="K16">
        <v>1.0000000000000022</v>
      </c>
      <c r="L16" t="s">
        <v>153</v>
      </c>
      <c r="N16" t="s">
        <v>198</v>
      </c>
      <c r="O16" t="s">
        <v>273</v>
      </c>
      <c r="P16">
        <v>0.99999999999999978</v>
      </c>
      <c r="Q16" t="s">
        <v>153</v>
      </c>
      <c r="S16" t="s">
        <v>213</v>
      </c>
      <c r="T16" t="s">
        <v>273</v>
      </c>
      <c r="U16">
        <v>0.999999999999998</v>
      </c>
      <c r="V16" t="s">
        <v>153</v>
      </c>
      <c r="AK16">
        <v>2027</v>
      </c>
      <c r="AL16" t="s">
        <v>271</v>
      </c>
      <c r="AM16">
        <v>0.26191666666666663</v>
      </c>
      <c r="AN16" t="s">
        <v>227</v>
      </c>
    </row>
    <row r="17" spans="9:40" x14ac:dyDescent="0.45">
      <c r="I17" t="s">
        <v>170</v>
      </c>
      <c r="J17" t="s">
        <v>273</v>
      </c>
      <c r="K17">
        <v>1.0000000000000013</v>
      </c>
      <c r="L17" t="s">
        <v>153</v>
      </c>
      <c r="N17" t="s">
        <v>199</v>
      </c>
      <c r="O17" t="s">
        <v>273</v>
      </c>
      <c r="P17">
        <v>1.0000000000000022</v>
      </c>
      <c r="Q17" t="s">
        <v>153</v>
      </c>
      <c r="S17" t="s">
        <v>214</v>
      </c>
      <c r="T17" t="s">
        <v>273</v>
      </c>
      <c r="U17">
        <v>1.0000000000000007</v>
      </c>
      <c r="V17" t="s">
        <v>153</v>
      </c>
      <c r="AK17">
        <v>2028</v>
      </c>
      <c r="AL17" t="s">
        <v>271</v>
      </c>
      <c r="AM17">
        <v>0.2651</v>
      </c>
      <c r="AN17" t="s">
        <v>227</v>
      </c>
    </row>
    <row r="18" spans="9:40" x14ac:dyDescent="0.45">
      <c r="I18" t="s">
        <v>171</v>
      </c>
      <c r="J18" t="s">
        <v>273</v>
      </c>
      <c r="K18">
        <v>1.0000000000000031</v>
      </c>
      <c r="L18" t="s">
        <v>153</v>
      </c>
      <c r="N18" t="s">
        <v>200</v>
      </c>
      <c r="O18" t="s">
        <v>273</v>
      </c>
      <c r="P18">
        <v>0.99999999999999778</v>
      </c>
      <c r="Q18" t="s">
        <v>153</v>
      </c>
      <c r="S18" t="s">
        <v>215</v>
      </c>
      <c r="T18" t="s">
        <v>273</v>
      </c>
      <c r="U18">
        <v>0.99999999999999722</v>
      </c>
      <c r="V18" t="s">
        <v>153</v>
      </c>
      <c r="AK18">
        <v>2029</v>
      </c>
      <c r="AL18" t="s">
        <v>271</v>
      </c>
      <c r="AM18">
        <v>0.26095000000000002</v>
      </c>
      <c r="AN18" t="s">
        <v>227</v>
      </c>
    </row>
    <row r="19" spans="9:40" x14ac:dyDescent="0.45">
      <c r="I19" t="s">
        <v>172</v>
      </c>
      <c r="J19" t="s">
        <v>273</v>
      </c>
      <c r="K19">
        <v>1.0000000000000009</v>
      </c>
      <c r="L19" t="s">
        <v>153</v>
      </c>
      <c r="N19" t="s">
        <v>201</v>
      </c>
      <c r="O19" t="s">
        <v>273</v>
      </c>
      <c r="P19">
        <v>0.99999999999999711</v>
      </c>
      <c r="Q19" t="s">
        <v>153</v>
      </c>
      <c r="S19" t="s">
        <v>216</v>
      </c>
      <c r="T19" t="s">
        <v>273</v>
      </c>
      <c r="U19">
        <v>1.0000000000000024</v>
      </c>
      <c r="V19" t="s">
        <v>153</v>
      </c>
      <c r="AK19">
        <v>2030</v>
      </c>
      <c r="AL19" t="s">
        <v>271</v>
      </c>
      <c r="AM19">
        <v>0.25367499999999998</v>
      </c>
      <c r="AN19" t="s">
        <v>227</v>
      </c>
    </row>
    <row r="20" spans="9:40" x14ac:dyDescent="0.45">
      <c r="I20" t="s">
        <v>173</v>
      </c>
      <c r="J20" t="s">
        <v>273</v>
      </c>
      <c r="K20">
        <v>1.0000000000000007</v>
      </c>
      <c r="L20" t="s">
        <v>153</v>
      </c>
      <c r="N20" t="s">
        <v>202</v>
      </c>
      <c r="O20" t="s">
        <v>273</v>
      </c>
      <c r="P20">
        <v>1.0000000000000007</v>
      </c>
      <c r="Q20" t="s">
        <v>153</v>
      </c>
      <c r="S20" t="s">
        <v>217</v>
      </c>
      <c r="T20" t="s">
        <v>273</v>
      </c>
      <c r="U20">
        <v>1.0000000000000029</v>
      </c>
      <c r="V20" t="s">
        <v>153</v>
      </c>
      <c r="AK20">
        <v>2031</v>
      </c>
      <c r="AL20" t="s">
        <v>271</v>
      </c>
      <c r="AM20">
        <v>0.21965000000000001</v>
      </c>
      <c r="AN20" t="s">
        <v>227</v>
      </c>
    </row>
    <row r="21" spans="9:40" x14ac:dyDescent="0.45">
      <c r="I21" t="s">
        <v>174</v>
      </c>
      <c r="J21" t="s">
        <v>273</v>
      </c>
      <c r="K21">
        <v>1.0000000000000018</v>
      </c>
      <c r="L21" t="s">
        <v>153</v>
      </c>
      <c r="N21" t="s">
        <v>203</v>
      </c>
      <c r="O21" t="s">
        <v>273</v>
      </c>
      <c r="P21">
        <v>0.99999999999999556</v>
      </c>
      <c r="Q21" t="s">
        <v>153</v>
      </c>
      <c r="AK21">
        <v>2032</v>
      </c>
      <c r="AL21" t="s">
        <v>271</v>
      </c>
      <c r="AM21">
        <v>0.25315000000000004</v>
      </c>
      <c r="AN21" t="s">
        <v>227</v>
      </c>
    </row>
    <row r="22" spans="9:40" x14ac:dyDescent="0.45">
      <c r="I22" t="s">
        <v>175</v>
      </c>
      <c r="J22" t="s">
        <v>273</v>
      </c>
      <c r="K22">
        <v>0.99999999999999967</v>
      </c>
      <c r="L22" t="s">
        <v>153</v>
      </c>
      <c r="N22" t="s">
        <v>204</v>
      </c>
      <c r="O22" t="s">
        <v>273</v>
      </c>
      <c r="P22">
        <v>1.0000000000000004</v>
      </c>
      <c r="Q22" t="s">
        <v>153</v>
      </c>
      <c r="AK22">
        <v>2033</v>
      </c>
      <c r="AL22" t="s">
        <v>271</v>
      </c>
      <c r="AM22">
        <v>0.2277916666666667</v>
      </c>
      <c r="AN22" t="s">
        <v>227</v>
      </c>
    </row>
    <row r="23" spans="9:40" x14ac:dyDescent="0.45">
      <c r="I23" t="s">
        <v>176</v>
      </c>
      <c r="J23" t="s">
        <v>273</v>
      </c>
      <c r="K23">
        <v>1.0000000000000011</v>
      </c>
      <c r="L23" t="s">
        <v>153</v>
      </c>
      <c r="N23" t="s">
        <v>205</v>
      </c>
      <c r="O23" t="s">
        <v>273</v>
      </c>
      <c r="P23">
        <v>1.0000000000000011</v>
      </c>
      <c r="Q23" t="s">
        <v>153</v>
      </c>
      <c r="AK23">
        <v>2034</v>
      </c>
      <c r="AL23" t="s">
        <v>271</v>
      </c>
      <c r="AM23">
        <v>0.22693333333333332</v>
      </c>
      <c r="AN23" t="s">
        <v>227</v>
      </c>
    </row>
    <row r="24" spans="9:40" x14ac:dyDescent="0.45">
      <c r="I24" t="s">
        <v>177</v>
      </c>
      <c r="J24" t="s">
        <v>273</v>
      </c>
      <c r="K24">
        <v>0.99999999999999911</v>
      </c>
      <c r="L24" t="s">
        <v>153</v>
      </c>
      <c r="N24" t="s">
        <v>206</v>
      </c>
      <c r="O24" t="s">
        <v>273</v>
      </c>
      <c r="P24">
        <v>1.0000000000000007</v>
      </c>
      <c r="Q24" t="s">
        <v>153</v>
      </c>
      <c r="AK24">
        <v>2035</v>
      </c>
      <c r="AL24" t="s">
        <v>271</v>
      </c>
      <c r="AM24">
        <v>0.27226666666666666</v>
      </c>
      <c r="AN24" t="s">
        <v>227</v>
      </c>
    </row>
    <row r="25" spans="9:40" x14ac:dyDescent="0.45">
      <c r="I25" t="s">
        <v>178</v>
      </c>
      <c r="J25" t="s">
        <v>273</v>
      </c>
      <c r="K25">
        <v>0.999999999999998</v>
      </c>
      <c r="L25" t="s">
        <v>153</v>
      </c>
      <c r="N25" t="s">
        <v>207</v>
      </c>
      <c r="O25" t="s">
        <v>273</v>
      </c>
      <c r="P25">
        <v>0.99999999999999822</v>
      </c>
      <c r="Q25" t="s">
        <v>153</v>
      </c>
      <c r="AK25">
        <v>2036</v>
      </c>
      <c r="AL25" t="s">
        <v>271</v>
      </c>
      <c r="AM25">
        <v>0.267625</v>
      </c>
      <c r="AN25" t="s">
        <v>227</v>
      </c>
    </row>
    <row r="26" spans="9:40" x14ac:dyDescent="0.45">
      <c r="I26" t="s">
        <v>179</v>
      </c>
      <c r="J26" t="s">
        <v>273</v>
      </c>
      <c r="K26">
        <v>1.0000000000000009</v>
      </c>
      <c r="L26" t="s">
        <v>153</v>
      </c>
      <c r="AK26">
        <v>2037</v>
      </c>
      <c r="AL26" t="s">
        <v>271</v>
      </c>
      <c r="AM26">
        <v>0.20963333333333334</v>
      </c>
      <c r="AN26" t="s">
        <v>227</v>
      </c>
    </row>
    <row r="27" spans="9:40" x14ac:dyDescent="0.45">
      <c r="I27" t="s">
        <v>180</v>
      </c>
      <c r="J27" t="s">
        <v>273</v>
      </c>
      <c r="K27">
        <v>1.0000000000000004</v>
      </c>
      <c r="L27" t="s">
        <v>153</v>
      </c>
      <c r="AK27">
        <v>2038</v>
      </c>
      <c r="AL27" t="s">
        <v>271</v>
      </c>
      <c r="AM27">
        <v>0.21879166666666669</v>
      </c>
      <c r="AN27" t="s">
        <v>227</v>
      </c>
    </row>
    <row r="28" spans="9:40" x14ac:dyDescent="0.45">
      <c r="I28" t="s">
        <v>181</v>
      </c>
      <c r="J28" t="s">
        <v>273</v>
      </c>
      <c r="K28">
        <v>0.99999999999999967</v>
      </c>
      <c r="L28" t="s">
        <v>153</v>
      </c>
      <c r="AK28">
        <v>2039</v>
      </c>
      <c r="AL28" t="s">
        <v>271</v>
      </c>
      <c r="AM28">
        <v>0.25298333333333334</v>
      </c>
      <c r="AN28" t="s">
        <v>227</v>
      </c>
    </row>
    <row r="29" spans="9:40" x14ac:dyDescent="0.45">
      <c r="I29" t="s">
        <v>182</v>
      </c>
      <c r="J29" t="s">
        <v>273</v>
      </c>
      <c r="K29">
        <v>1.0000000000000018</v>
      </c>
      <c r="L29" t="s">
        <v>153</v>
      </c>
      <c r="AK29">
        <v>2040</v>
      </c>
      <c r="AL29" t="s">
        <v>271</v>
      </c>
      <c r="AM29">
        <v>0.260125</v>
      </c>
      <c r="AN29" t="s">
        <v>227</v>
      </c>
    </row>
    <row r="30" spans="9:40" x14ac:dyDescent="0.45">
      <c r="I30" t="s">
        <v>183</v>
      </c>
      <c r="J30" t="s">
        <v>273</v>
      </c>
      <c r="K30">
        <v>1.0000000000000007</v>
      </c>
      <c r="L30" t="s">
        <v>153</v>
      </c>
      <c r="AK30">
        <v>2041</v>
      </c>
      <c r="AL30" t="s">
        <v>271</v>
      </c>
      <c r="AM30">
        <v>0.19894166666666668</v>
      </c>
      <c r="AN30" t="s">
        <v>227</v>
      </c>
    </row>
    <row r="31" spans="9:40" x14ac:dyDescent="0.45">
      <c r="I31" t="s">
        <v>184</v>
      </c>
      <c r="J31" t="s">
        <v>273</v>
      </c>
      <c r="K31">
        <v>0.99999999999999734</v>
      </c>
      <c r="L31" t="s">
        <v>153</v>
      </c>
      <c r="AK31">
        <v>2042</v>
      </c>
      <c r="AL31" t="s">
        <v>271</v>
      </c>
      <c r="AM31">
        <v>0.23533333333333337</v>
      </c>
      <c r="AN31" t="s">
        <v>227</v>
      </c>
    </row>
    <row r="32" spans="9:40" x14ac:dyDescent="0.45">
      <c r="I32" t="s">
        <v>185</v>
      </c>
      <c r="J32" t="s">
        <v>273</v>
      </c>
      <c r="K32">
        <v>1.0000000000000004</v>
      </c>
      <c r="L32" t="s">
        <v>153</v>
      </c>
      <c r="AK32">
        <v>2043</v>
      </c>
      <c r="AL32" t="s">
        <v>271</v>
      </c>
      <c r="AM32">
        <v>0.23718333333333333</v>
      </c>
      <c r="AN32" t="s">
        <v>227</v>
      </c>
    </row>
    <row r="33" spans="9:40" x14ac:dyDescent="0.45">
      <c r="I33" t="s">
        <v>186</v>
      </c>
      <c r="J33" t="s">
        <v>273</v>
      </c>
      <c r="K33">
        <v>0.99999999999999689</v>
      </c>
      <c r="L33" t="s">
        <v>153</v>
      </c>
      <c r="AK33">
        <v>2044</v>
      </c>
      <c r="AL33" t="s">
        <v>271</v>
      </c>
      <c r="AM33">
        <v>0.22645833333333334</v>
      </c>
      <c r="AN33" t="s">
        <v>227</v>
      </c>
    </row>
    <row r="34" spans="9:40" x14ac:dyDescent="0.45">
      <c r="I34" t="s">
        <v>187</v>
      </c>
      <c r="J34" t="s">
        <v>273</v>
      </c>
      <c r="K34">
        <v>1</v>
      </c>
      <c r="L34" t="s">
        <v>153</v>
      </c>
      <c r="AK34">
        <v>2045</v>
      </c>
      <c r="AL34" t="s">
        <v>271</v>
      </c>
      <c r="AM34">
        <v>0.20735833333333334</v>
      </c>
      <c r="AN34" t="s">
        <v>227</v>
      </c>
    </row>
    <row r="35" spans="9:40" x14ac:dyDescent="0.45">
      <c r="I35" t="s">
        <v>188</v>
      </c>
      <c r="J35" t="s">
        <v>273</v>
      </c>
      <c r="K35">
        <v>0.99999999999999722</v>
      </c>
      <c r="L35" t="s">
        <v>153</v>
      </c>
      <c r="AK35">
        <v>2046</v>
      </c>
      <c r="AL35" t="s">
        <v>271</v>
      </c>
      <c r="AM35">
        <v>0.25418333333333332</v>
      </c>
      <c r="AN35" t="s">
        <v>227</v>
      </c>
    </row>
    <row r="36" spans="9:40" x14ac:dyDescent="0.45">
      <c r="I36" t="s">
        <v>189</v>
      </c>
      <c r="J36" t="s">
        <v>273</v>
      </c>
      <c r="K36">
        <v>1.0000000000000018</v>
      </c>
      <c r="L36" t="s">
        <v>153</v>
      </c>
      <c r="AK36">
        <v>2047</v>
      </c>
      <c r="AL36" t="s">
        <v>271</v>
      </c>
      <c r="AM36">
        <v>0.229325</v>
      </c>
      <c r="AN36" t="s">
        <v>227</v>
      </c>
    </row>
    <row r="37" spans="9:40" x14ac:dyDescent="0.45">
      <c r="I37" t="s">
        <v>190</v>
      </c>
      <c r="J37" t="s">
        <v>273</v>
      </c>
      <c r="K37">
        <v>0.999999999999998</v>
      </c>
      <c r="L37" t="s">
        <v>153</v>
      </c>
      <c r="AK37">
        <v>2048</v>
      </c>
      <c r="AL37" t="s">
        <v>271</v>
      </c>
      <c r="AM37">
        <v>0.19531666666666667</v>
      </c>
      <c r="AN37" t="s">
        <v>227</v>
      </c>
    </row>
    <row r="38" spans="9:40" x14ac:dyDescent="0.45">
      <c r="I38" t="s">
        <v>191</v>
      </c>
      <c r="J38" t="s">
        <v>273</v>
      </c>
      <c r="K38">
        <v>1.0000000000000013</v>
      </c>
      <c r="L38" t="s">
        <v>153</v>
      </c>
      <c r="AK38">
        <v>2049</v>
      </c>
      <c r="AL38" t="s">
        <v>271</v>
      </c>
      <c r="AM38">
        <v>0.19795833333333335</v>
      </c>
      <c r="AN38" t="s">
        <v>227</v>
      </c>
    </row>
    <row r="39" spans="9:40" x14ac:dyDescent="0.45">
      <c r="I39" t="s">
        <v>192</v>
      </c>
      <c r="J39" t="s">
        <v>273</v>
      </c>
      <c r="K39">
        <v>1.000000000000002</v>
      </c>
      <c r="L39" t="s">
        <v>153</v>
      </c>
      <c r="AK39">
        <v>2050</v>
      </c>
      <c r="AL39" t="s">
        <v>271</v>
      </c>
      <c r="AM39">
        <v>0.22856666666666667</v>
      </c>
      <c r="AN39" t="s">
        <v>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3A62-5929-43C8-B5AB-5097321CD427}">
  <dimension ref="A9:AN358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I10" t="s">
        <v>13</v>
      </c>
      <c r="J10" t="s">
        <v>115</v>
      </c>
      <c r="K10" t="s">
        <v>150</v>
      </c>
      <c r="L10" t="s">
        <v>30</v>
      </c>
      <c r="N10" t="s">
        <v>13</v>
      </c>
      <c r="O10" t="s">
        <v>115</v>
      </c>
      <c r="P10" t="s">
        <v>150</v>
      </c>
      <c r="Q10" t="s">
        <v>30</v>
      </c>
      <c r="S10" t="s">
        <v>13</v>
      </c>
      <c r="T10" t="s">
        <v>115</v>
      </c>
      <c r="U10" t="s">
        <v>150</v>
      </c>
      <c r="V10" t="s">
        <v>30</v>
      </c>
      <c r="X10" t="s">
        <v>218</v>
      </c>
      <c r="Y10" t="s">
        <v>150</v>
      </c>
      <c r="Z10" t="s">
        <v>115</v>
      </c>
      <c r="AA10" t="s">
        <v>13</v>
      </c>
      <c r="AC10" t="s">
        <v>13</v>
      </c>
      <c r="AD10" t="s">
        <v>115</v>
      </c>
      <c r="AE10" t="s">
        <v>150</v>
      </c>
      <c r="AG10" t="s">
        <v>13</v>
      </c>
      <c r="AH10" t="s">
        <v>115</v>
      </c>
      <c r="AI10" t="s">
        <v>224</v>
      </c>
      <c r="AK10" t="s">
        <v>47</v>
      </c>
      <c r="AL10" t="s">
        <v>115</v>
      </c>
      <c r="AM10" t="s">
        <v>225</v>
      </c>
      <c r="AN10" t="s">
        <v>226</v>
      </c>
    </row>
    <row r="11" spans="1:40" x14ac:dyDescent="0.45">
      <c r="A11" t="str">
        <f>IFERROR(IF(Veda!D5=A10,"ok","x"),"")</f>
        <v>x</v>
      </c>
      <c r="C11" t="s">
        <v>274</v>
      </c>
      <c r="D11" t="s">
        <v>142</v>
      </c>
      <c r="E11" t="s">
        <v>220</v>
      </c>
      <c r="F11" t="s">
        <v>275</v>
      </c>
      <c r="G11" t="s">
        <v>142</v>
      </c>
      <c r="I11" t="s">
        <v>151</v>
      </c>
      <c r="J11" t="s">
        <v>280</v>
      </c>
      <c r="K11">
        <v>0.21919862040065755</v>
      </c>
      <c r="L11" t="s">
        <v>153</v>
      </c>
      <c r="N11" t="s">
        <v>193</v>
      </c>
      <c r="O11" t="s">
        <v>280</v>
      </c>
      <c r="P11">
        <v>8.8277830168499105E-2</v>
      </c>
      <c r="Q11" t="s">
        <v>153</v>
      </c>
      <c r="S11" t="s">
        <v>208</v>
      </c>
      <c r="T11" t="s">
        <v>280</v>
      </c>
      <c r="U11">
        <v>0.11589765202365045</v>
      </c>
      <c r="V11" t="s">
        <v>153</v>
      </c>
      <c r="X11">
        <v>0.11426940639269406</v>
      </c>
      <c r="Y11">
        <v>0.16087081189037786</v>
      </c>
      <c r="Z11" t="s">
        <v>280</v>
      </c>
      <c r="AA11" t="s">
        <v>25</v>
      </c>
      <c r="AC11" t="s">
        <v>22</v>
      </c>
      <c r="AD11" t="s">
        <v>280</v>
      </c>
      <c r="AE11">
        <v>0.10511040708929505</v>
      </c>
      <c r="AG11" t="s">
        <v>96</v>
      </c>
      <c r="AH11" t="s">
        <v>280</v>
      </c>
      <c r="AI11">
        <v>0.16963309430860596</v>
      </c>
      <c r="AK11">
        <v>2020</v>
      </c>
      <c r="AL11" t="s">
        <v>274</v>
      </c>
      <c r="AM11">
        <v>0.12540000000000001</v>
      </c>
      <c r="AN11" t="s">
        <v>227</v>
      </c>
    </row>
    <row r="12" spans="1:40" x14ac:dyDescent="0.45">
      <c r="C12" t="s">
        <v>276</v>
      </c>
      <c r="E12" t="s">
        <v>222</v>
      </c>
      <c r="G12" t="s">
        <v>142</v>
      </c>
      <c r="I12" t="s">
        <v>151</v>
      </c>
      <c r="J12" t="s">
        <v>281</v>
      </c>
      <c r="K12">
        <v>0</v>
      </c>
      <c r="L12" t="s">
        <v>153</v>
      </c>
      <c r="N12" t="s">
        <v>193</v>
      </c>
      <c r="O12" t="s">
        <v>281</v>
      </c>
      <c r="P12">
        <v>0.13028243591802019</v>
      </c>
      <c r="Q12" t="s">
        <v>153</v>
      </c>
      <c r="S12" t="s">
        <v>208</v>
      </c>
      <c r="T12" t="s">
        <v>281</v>
      </c>
      <c r="U12">
        <v>0.11480961374083745</v>
      </c>
      <c r="V12" t="s">
        <v>153</v>
      </c>
      <c r="X12">
        <v>0.11426940639269406</v>
      </c>
      <c r="Y12">
        <v>5.2547713165767528E-2</v>
      </c>
      <c r="Z12" t="s">
        <v>281</v>
      </c>
      <c r="AA12" t="s">
        <v>25</v>
      </c>
      <c r="AC12" t="s">
        <v>22</v>
      </c>
      <c r="AD12" t="s">
        <v>281</v>
      </c>
      <c r="AE12">
        <v>9.1300887029109462E-2</v>
      </c>
      <c r="AG12" t="s">
        <v>96</v>
      </c>
      <c r="AH12" t="s">
        <v>281</v>
      </c>
      <c r="AI12">
        <v>0.37840055188636645</v>
      </c>
      <c r="AK12">
        <v>2020</v>
      </c>
      <c r="AL12" t="s">
        <v>276</v>
      </c>
      <c r="AM12">
        <v>0.21256666666666668</v>
      </c>
      <c r="AN12" t="s">
        <v>227</v>
      </c>
    </row>
    <row r="13" spans="1:40" x14ac:dyDescent="0.45">
      <c r="C13" t="s">
        <v>277</v>
      </c>
      <c r="E13" t="s">
        <v>278</v>
      </c>
      <c r="G13" t="s">
        <v>142</v>
      </c>
      <c r="I13" t="s">
        <v>151</v>
      </c>
      <c r="J13" t="s">
        <v>282</v>
      </c>
      <c r="K13">
        <v>1.7698605299797377E-2</v>
      </c>
      <c r="L13" t="s">
        <v>153</v>
      </c>
      <c r="N13" t="s">
        <v>193</v>
      </c>
      <c r="O13" t="s">
        <v>282</v>
      </c>
      <c r="P13">
        <v>1.3365621153329411E-2</v>
      </c>
      <c r="Q13" t="s">
        <v>153</v>
      </c>
      <c r="S13" t="s">
        <v>208</v>
      </c>
      <c r="T13" t="s">
        <v>282</v>
      </c>
      <c r="U13">
        <v>1.9926700736413581E-2</v>
      </c>
      <c r="V13" t="s">
        <v>153</v>
      </c>
      <c r="X13">
        <v>2.0776255707762557E-2</v>
      </c>
      <c r="Y13">
        <v>3.5896543437005365E-2</v>
      </c>
      <c r="Z13" t="s">
        <v>282</v>
      </c>
      <c r="AA13" t="s">
        <v>25</v>
      </c>
      <c r="AC13" t="s">
        <v>22</v>
      </c>
      <c r="AD13" t="s">
        <v>282</v>
      </c>
      <c r="AE13">
        <v>2.2104084301723632E-2</v>
      </c>
      <c r="AG13" t="s">
        <v>96</v>
      </c>
      <c r="AH13" t="s">
        <v>282</v>
      </c>
      <c r="AI13">
        <v>9.9630431835011857E-2</v>
      </c>
      <c r="AK13">
        <v>2020</v>
      </c>
      <c r="AL13" t="s">
        <v>277</v>
      </c>
      <c r="AM13">
        <v>0.15439999999999998</v>
      </c>
      <c r="AN13" t="s">
        <v>227</v>
      </c>
    </row>
    <row r="14" spans="1:40" x14ac:dyDescent="0.45">
      <c r="C14" t="s">
        <v>279</v>
      </c>
      <c r="I14" t="s">
        <v>151</v>
      </c>
      <c r="J14" t="s">
        <v>283</v>
      </c>
      <c r="K14">
        <v>0.25433419099227156</v>
      </c>
      <c r="L14" t="s">
        <v>153</v>
      </c>
      <c r="N14" t="s">
        <v>193</v>
      </c>
      <c r="O14" t="s">
        <v>283</v>
      </c>
      <c r="P14">
        <v>4.4775903591010857E-2</v>
      </c>
      <c r="Q14" t="s">
        <v>153</v>
      </c>
      <c r="S14" t="s">
        <v>208</v>
      </c>
      <c r="T14" t="s">
        <v>283</v>
      </c>
      <c r="U14">
        <v>4.1919046166625736E-2</v>
      </c>
      <c r="V14" t="s">
        <v>153</v>
      </c>
      <c r="X14">
        <v>0.11552511415525114</v>
      </c>
      <c r="Y14">
        <v>0.16263862301005233</v>
      </c>
      <c r="Z14" t="s">
        <v>283</v>
      </c>
      <c r="AA14" t="s">
        <v>25</v>
      </c>
      <c r="AC14" t="s">
        <v>22</v>
      </c>
      <c r="AD14" t="s">
        <v>283</v>
      </c>
      <c r="AE14">
        <v>0.14552147710373911</v>
      </c>
      <c r="AG14" t="s">
        <v>96</v>
      </c>
      <c r="AH14" t="s">
        <v>283</v>
      </c>
      <c r="AI14">
        <v>0.15772890621078517</v>
      </c>
      <c r="AK14">
        <v>2020</v>
      </c>
      <c r="AL14" t="s">
        <v>279</v>
      </c>
      <c r="AM14">
        <v>0.1757</v>
      </c>
      <c r="AN14" t="s">
        <v>227</v>
      </c>
    </row>
    <row r="15" spans="1:40" x14ac:dyDescent="0.45">
      <c r="I15" t="s">
        <v>151</v>
      </c>
      <c r="J15" t="s">
        <v>284</v>
      </c>
      <c r="K15">
        <v>1.1058226228753478E-4</v>
      </c>
      <c r="L15" t="s">
        <v>153</v>
      </c>
      <c r="N15" t="s">
        <v>193</v>
      </c>
      <c r="O15" t="s">
        <v>284</v>
      </c>
      <c r="P15">
        <v>0.12965612280829822</v>
      </c>
      <c r="Q15" t="s">
        <v>153</v>
      </c>
      <c r="S15" t="s">
        <v>208</v>
      </c>
      <c r="T15" t="s">
        <v>284</v>
      </c>
      <c r="U15">
        <v>6.1425145316581879E-2</v>
      </c>
      <c r="V15" t="s">
        <v>153</v>
      </c>
      <c r="X15">
        <v>0.11552511415525114</v>
      </c>
      <c r="Y15">
        <v>5.3125160563193538E-2</v>
      </c>
      <c r="Z15" t="s">
        <v>284</v>
      </c>
      <c r="AA15" t="s">
        <v>25</v>
      </c>
      <c r="AC15" t="s">
        <v>22</v>
      </c>
      <c r="AD15" t="s">
        <v>284</v>
      </c>
      <c r="AE15">
        <v>0.13146003581142882</v>
      </c>
      <c r="AG15" t="s">
        <v>96</v>
      </c>
      <c r="AH15" t="s">
        <v>284</v>
      </c>
      <c r="AI15">
        <v>0.29411980590630571</v>
      </c>
      <c r="AK15">
        <v>2021</v>
      </c>
      <c r="AL15" t="s">
        <v>274</v>
      </c>
      <c r="AM15">
        <v>0.12653333333333333</v>
      </c>
      <c r="AN15" t="s">
        <v>227</v>
      </c>
    </row>
    <row r="16" spans="1:40" x14ac:dyDescent="0.45">
      <c r="I16" t="s">
        <v>151</v>
      </c>
      <c r="J16" t="s">
        <v>285</v>
      </c>
      <c r="K16">
        <v>3.3178849416924186E-2</v>
      </c>
      <c r="L16" t="s">
        <v>153</v>
      </c>
      <c r="N16" t="s">
        <v>193</v>
      </c>
      <c r="O16" t="s">
        <v>285</v>
      </c>
      <c r="P16">
        <v>5.3332783623265233E-3</v>
      </c>
      <c r="Q16" t="s">
        <v>153</v>
      </c>
      <c r="S16" t="s">
        <v>208</v>
      </c>
      <c r="T16" t="s">
        <v>285</v>
      </c>
      <c r="U16">
        <v>9.5995999347416421E-3</v>
      </c>
      <c r="V16" t="s">
        <v>153</v>
      </c>
      <c r="X16">
        <v>2.1004566210045664E-2</v>
      </c>
      <c r="Y16">
        <v>3.6291010947302131E-2</v>
      </c>
      <c r="Z16" t="s">
        <v>285</v>
      </c>
      <c r="AA16" t="s">
        <v>25</v>
      </c>
      <c r="AC16" t="s">
        <v>22</v>
      </c>
      <c r="AD16" t="s">
        <v>285</v>
      </c>
      <c r="AE16">
        <v>2.8533335773982194E-2</v>
      </c>
      <c r="AG16" t="s">
        <v>96</v>
      </c>
      <c r="AH16" t="s">
        <v>285</v>
      </c>
      <c r="AI16">
        <v>0.11273888884803185</v>
      </c>
      <c r="AK16">
        <v>2021</v>
      </c>
      <c r="AL16" t="s">
        <v>276</v>
      </c>
      <c r="AM16">
        <v>0.17759999999999998</v>
      </c>
      <c r="AN16" t="s">
        <v>227</v>
      </c>
    </row>
    <row r="17" spans="9:40" x14ac:dyDescent="0.45">
      <c r="I17" t="s">
        <v>151</v>
      </c>
      <c r="J17" t="s">
        <v>286</v>
      </c>
      <c r="K17">
        <v>0.17365693074182331</v>
      </c>
      <c r="L17" t="s">
        <v>153</v>
      </c>
      <c r="N17" t="s">
        <v>193</v>
      </c>
      <c r="O17" t="s">
        <v>286</v>
      </c>
      <c r="P17">
        <v>0.10102089181023496</v>
      </c>
      <c r="Q17" t="s">
        <v>153</v>
      </c>
      <c r="S17" t="s">
        <v>208</v>
      </c>
      <c r="T17" t="s">
        <v>286</v>
      </c>
      <c r="U17">
        <v>0.17371723063701749</v>
      </c>
      <c r="V17" t="s">
        <v>153</v>
      </c>
      <c r="X17">
        <v>0.11552511415525114</v>
      </c>
      <c r="Y17">
        <v>0.16263862301005233</v>
      </c>
      <c r="Z17" t="s">
        <v>286</v>
      </c>
      <c r="AA17" t="s">
        <v>25</v>
      </c>
      <c r="AC17" t="s">
        <v>22</v>
      </c>
      <c r="AD17" t="s">
        <v>286</v>
      </c>
      <c r="AE17">
        <v>0.12667156229510951</v>
      </c>
      <c r="AG17" t="s">
        <v>96</v>
      </c>
      <c r="AH17" t="s">
        <v>286</v>
      </c>
      <c r="AI17">
        <v>0.27480417515194921</v>
      </c>
      <c r="AK17">
        <v>2021</v>
      </c>
      <c r="AL17" t="s">
        <v>277</v>
      </c>
      <c r="AM17">
        <v>0.18083333333333332</v>
      </c>
      <c r="AN17" t="s">
        <v>227</v>
      </c>
    </row>
    <row r="18" spans="9:40" x14ac:dyDescent="0.45">
      <c r="I18" t="s">
        <v>151</v>
      </c>
      <c r="J18" t="s">
        <v>287</v>
      </c>
      <c r="K18">
        <v>2.3490943105555794E-3</v>
      </c>
      <c r="L18" t="s">
        <v>153</v>
      </c>
      <c r="N18" t="s">
        <v>193</v>
      </c>
      <c r="O18" t="s">
        <v>287</v>
      </c>
      <c r="P18">
        <v>0.16071542591999913</v>
      </c>
      <c r="Q18" t="s">
        <v>153</v>
      </c>
      <c r="S18" t="s">
        <v>208</v>
      </c>
      <c r="T18" t="s">
        <v>287</v>
      </c>
      <c r="U18">
        <v>0.1848640919350707</v>
      </c>
      <c r="V18" t="s">
        <v>153</v>
      </c>
      <c r="X18">
        <v>0.11552511415525114</v>
      </c>
      <c r="Y18">
        <v>5.3125160563193538E-2</v>
      </c>
      <c r="Z18" t="s">
        <v>287</v>
      </c>
      <c r="AA18" t="s">
        <v>25</v>
      </c>
      <c r="AC18" t="s">
        <v>22</v>
      </c>
      <c r="AD18" t="s">
        <v>287</v>
      </c>
      <c r="AE18">
        <v>0.11277059960857214</v>
      </c>
      <c r="AG18" t="s">
        <v>96</v>
      </c>
      <c r="AH18" t="s">
        <v>287</v>
      </c>
      <c r="AI18">
        <v>0.36704753023701508</v>
      </c>
      <c r="AK18">
        <v>2021</v>
      </c>
      <c r="AL18" t="s">
        <v>279</v>
      </c>
      <c r="AM18">
        <v>0.18369999999999997</v>
      </c>
      <c r="AN18" t="s">
        <v>227</v>
      </c>
    </row>
    <row r="19" spans="9:40" x14ac:dyDescent="0.45">
      <c r="I19" t="s">
        <v>151</v>
      </c>
      <c r="J19" t="s">
        <v>288</v>
      </c>
      <c r="K19">
        <v>1.745856203246245E-2</v>
      </c>
      <c r="L19" t="s">
        <v>153</v>
      </c>
      <c r="N19" t="s">
        <v>193</v>
      </c>
      <c r="O19" t="s">
        <v>288</v>
      </c>
      <c r="P19">
        <v>1.4033804078355347E-2</v>
      </c>
      <c r="Q19" t="s">
        <v>153</v>
      </c>
      <c r="S19" t="s">
        <v>208</v>
      </c>
      <c r="T19" t="s">
        <v>288</v>
      </c>
      <c r="U19">
        <v>3.7565927545033892E-2</v>
      </c>
      <c r="V19" t="s">
        <v>153</v>
      </c>
      <c r="X19">
        <v>2.1004566210045664E-2</v>
      </c>
      <c r="Y19">
        <v>3.6291010947302131E-2</v>
      </c>
      <c r="Z19" t="s">
        <v>288</v>
      </c>
      <c r="AA19" t="s">
        <v>25</v>
      </c>
      <c r="AC19" t="s">
        <v>22</v>
      </c>
      <c r="AD19" t="s">
        <v>288</v>
      </c>
      <c r="AE19">
        <v>2.5160302613587933E-2</v>
      </c>
      <c r="AG19" t="s">
        <v>96</v>
      </c>
      <c r="AH19" t="s">
        <v>288</v>
      </c>
      <c r="AI19">
        <v>0.1634443007019768</v>
      </c>
      <c r="AK19">
        <v>2022</v>
      </c>
      <c r="AL19" t="s">
        <v>274</v>
      </c>
      <c r="AM19">
        <v>0.17263333333333333</v>
      </c>
      <c r="AN19" t="s">
        <v>227</v>
      </c>
    </row>
    <row r="20" spans="9:40" x14ac:dyDescent="0.45">
      <c r="I20" t="s">
        <v>151</v>
      </c>
      <c r="J20" t="s">
        <v>289</v>
      </c>
      <c r="K20">
        <v>0.25388482778084254</v>
      </c>
      <c r="L20" t="s">
        <v>153</v>
      </c>
      <c r="N20" t="s">
        <v>193</v>
      </c>
      <c r="O20" t="s">
        <v>289</v>
      </c>
      <c r="P20">
        <v>9.1755955673824191E-2</v>
      </c>
      <c r="Q20" t="s">
        <v>153</v>
      </c>
      <c r="S20" t="s">
        <v>208</v>
      </c>
      <c r="T20" t="s">
        <v>289</v>
      </c>
      <c r="U20">
        <v>0.13200759857296715</v>
      </c>
      <c r="V20" t="s">
        <v>153</v>
      </c>
      <c r="X20">
        <v>0.11301369863013698</v>
      </c>
      <c r="Y20">
        <v>0.15910300077070333</v>
      </c>
      <c r="Z20" t="s">
        <v>289</v>
      </c>
      <c r="AA20" t="s">
        <v>25</v>
      </c>
      <c r="AC20" t="s">
        <v>22</v>
      </c>
      <c r="AD20" t="s">
        <v>289</v>
      </c>
      <c r="AE20">
        <v>0.10300011947822915</v>
      </c>
      <c r="AG20" t="s">
        <v>96</v>
      </c>
      <c r="AH20" t="s">
        <v>289</v>
      </c>
      <c r="AI20">
        <v>0.29682228807563327</v>
      </c>
      <c r="AK20">
        <v>2022</v>
      </c>
      <c r="AL20" t="s">
        <v>276</v>
      </c>
      <c r="AM20">
        <v>0.30016666666666664</v>
      </c>
      <c r="AN20" t="s">
        <v>227</v>
      </c>
    </row>
    <row r="21" spans="9:40" x14ac:dyDescent="0.45">
      <c r="I21" t="s">
        <v>151</v>
      </c>
      <c r="J21" t="s">
        <v>290</v>
      </c>
      <c r="K21">
        <v>0</v>
      </c>
      <c r="L21" t="s">
        <v>153</v>
      </c>
      <c r="N21" t="s">
        <v>193</v>
      </c>
      <c r="O21" t="s">
        <v>290</v>
      </c>
      <c r="P21">
        <v>0.2110139915784921</v>
      </c>
      <c r="Q21" t="s">
        <v>153</v>
      </c>
      <c r="S21" t="s">
        <v>208</v>
      </c>
      <c r="T21" t="s">
        <v>290</v>
      </c>
      <c r="U21">
        <v>8.9430188842534827E-2</v>
      </c>
      <c r="V21" t="s">
        <v>153</v>
      </c>
      <c r="X21">
        <v>0.11301369863013698</v>
      </c>
      <c r="Y21">
        <v>5.197026576834151E-2</v>
      </c>
      <c r="Z21" t="s">
        <v>290</v>
      </c>
      <c r="AA21" t="s">
        <v>25</v>
      </c>
      <c r="AC21" t="s">
        <v>22</v>
      </c>
      <c r="AD21" t="s">
        <v>290</v>
      </c>
      <c r="AE21">
        <v>8.6708048100461066E-2</v>
      </c>
      <c r="AG21" t="s">
        <v>96</v>
      </c>
      <c r="AH21" t="s">
        <v>290</v>
      </c>
      <c r="AI21">
        <v>0.5255074917033804</v>
      </c>
      <c r="AK21">
        <v>2022</v>
      </c>
      <c r="AL21" t="s">
        <v>277</v>
      </c>
      <c r="AM21">
        <v>0.26243333333333335</v>
      </c>
      <c r="AN21" t="s">
        <v>227</v>
      </c>
    </row>
    <row r="22" spans="9:40" x14ac:dyDescent="0.45">
      <c r="I22" t="s">
        <v>151</v>
      </c>
      <c r="J22" t="s">
        <v>291</v>
      </c>
      <c r="K22">
        <v>2.8129736762374805E-2</v>
      </c>
      <c r="L22" t="s">
        <v>153</v>
      </c>
      <c r="N22" t="s">
        <v>193</v>
      </c>
      <c r="O22" t="s">
        <v>291</v>
      </c>
      <c r="P22">
        <v>9.7687389376091682E-3</v>
      </c>
      <c r="Q22" t="s">
        <v>153</v>
      </c>
      <c r="S22" t="s">
        <v>208</v>
      </c>
      <c r="T22" t="s">
        <v>291</v>
      </c>
      <c r="U22">
        <v>1.8837204548529121E-2</v>
      </c>
      <c r="V22" t="s">
        <v>153</v>
      </c>
      <c r="X22">
        <v>2.0547945205479451E-2</v>
      </c>
      <c r="Y22">
        <v>3.5502075926708607E-2</v>
      </c>
      <c r="Z22" t="s">
        <v>291</v>
      </c>
      <c r="AA22" t="s">
        <v>25</v>
      </c>
      <c r="AC22" t="s">
        <v>22</v>
      </c>
      <c r="AD22" t="s">
        <v>291</v>
      </c>
      <c r="AE22">
        <v>2.1659140794761996E-2</v>
      </c>
      <c r="AG22" t="s">
        <v>96</v>
      </c>
      <c r="AH22" t="s">
        <v>291</v>
      </c>
      <c r="AI22">
        <v>0.16136415455039743</v>
      </c>
      <c r="AK22">
        <v>2022</v>
      </c>
      <c r="AL22" t="s">
        <v>279</v>
      </c>
      <c r="AM22">
        <v>0.23403333333333332</v>
      </c>
      <c r="AN22" t="s">
        <v>227</v>
      </c>
    </row>
    <row r="23" spans="9:40" x14ac:dyDescent="0.45">
      <c r="I23" t="s">
        <v>165</v>
      </c>
      <c r="J23" t="s">
        <v>280</v>
      </c>
      <c r="K23">
        <v>0.21398095827892727</v>
      </c>
      <c r="L23" t="s">
        <v>153</v>
      </c>
      <c r="N23" t="s">
        <v>194</v>
      </c>
      <c r="O23" t="s">
        <v>280</v>
      </c>
      <c r="P23">
        <v>0.10424597963426931</v>
      </c>
      <c r="Q23" t="s">
        <v>153</v>
      </c>
      <c r="S23" t="s">
        <v>209</v>
      </c>
      <c r="T23" t="s">
        <v>280</v>
      </c>
      <c r="U23">
        <v>0.11505141586654613</v>
      </c>
      <c r="V23" t="s">
        <v>153</v>
      </c>
      <c r="AC23" t="s">
        <v>19</v>
      </c>
      <c r="AD23" t="s">
        <v>280</v>
      </c>
      <c r="AE23">
        <v>0.11456244321358602</v>
      </c>
      <c r="AK23">
        <v>2025</v>
      </c>
      <c r="AL23" t="s">
        <v>274</v>
      </c>
      <c r="AM23">
        <v>0.22403333333333333</v>
      </c>
      <c r="AN23" t="s">
        <v>227</v>
      </c>
    </row>
    <row r="24" spans="9:40" x14ac:dyDescent="0.45">
      <c r="I24" t="s">
        <v>165</v>
      </c>
      <c r="J24" t="s">
        <v>281</v>
      </c>
      <c r="K24">
        <v>0</v>
      </c>
      <c r="L24" t="s">
        <v>153</v>
      </c>
      <c r="N24" t="s">
        <v>194</v>
      </c>
      <c r="O24" t="s">
        <v>281</v>
      </c>
      <c r="P24">
        <v>0.13618385690470916</v>
      </c>
      <c r="Q24" t="s">
        <v>153</v>
      </c>
      <c r="S24" t="s">
        <v>209</v>
      </c>
      <c r="T24" t="s">
        <v>281</v>
      </c>
      <c r="U24">
        <v>0.11843402007877607</v>
      </c>
      <c r="V24" t="s">
        <v>153</v>
      </c>
      <c r="AC24" t="s">
        <v>19</v>
      </c>
      <c r="AD24" t="s">
        <v>281</v>
      </c>
      <c r="AE24">
        <v>0.11342915036921687</v>
      </c>
      <c r="AK24">
        <v>2025</v>
      </c>
      <c r="AL24" t="s">
        <v>276</v>
      </c>
      <c r="AM24">
        <v>0.30266666666666664</v>
      </c>
      <c r="AN24" t="s">
        <v>227</v>
      </c>
    </row>
    <row r="25" spans="9:40" x14ac:dyDescent="0.45">
      <c r="I25" t="s">
        <v>165</v>
      </c>
      <c r="J25" t="s">
        <v>282</v>
      </c>
      <c r="K25">
        <v>1.6263070582381078E-2</v>
      </c>
      <c r="L25" t="s">
        <v>153</v>
      </c>
      <c r="N25" t="s">
        <v>194</v>
      </c>
      <c r="O25" t="s">
        <v>282</v>
      </c>
      <c r="P25">
        <v>2.0366238273140564E-2</v>
      </c>
      <c r="Q25" t="s">
        <v>153</v>
      </c>
      <c r="S25" t="s">
        <v>209</v>
      </c>
      <c r="T25" t="s">
        <v>282</v>
      </c>
      <c r="U25">
        <v>1.7367679873482991E-2</v>
      </c>
      <c r="V25" t="s">
        <v>153</v>
      </c>
      <c r="AC25" t="s">
        <v>19</v>
      </c>
      <c r="AD25" t="s">
        <v>282</v>
      </c>
      <c r="AE25">
        <v>2.1075167139509059E-2</v>
      </c>
      <c r="AK25">
        <v>2025</v>
      </c>
      <c r="AL25" t="s">
        <v>277</v>
      </c>
      <c r="AM25">
        <v>0.23040000000000002</v>
      </c>
      <c r="AN25" t="s">
        <v>227</v>
      </c>
    </row>
    <row r="26" spans="9:40" x14ac:dyDescent="0.45">
      <c r="I26" t="s">
        <v>165</v>
      </c>
      <c r="J26" t="s">
        <v>283</v>
      </c>
      <c r="K26">
        <v>0.25656829073087267</v>
      </c>
      <c r="L26" t="s">
        <v>153</v>
      </c>
      <c r="N26" t="s">
        <v>194</v>
      </c>
      <c r="O26" t="s">
        <v>283</v>
      </c>
      <c r="P26">
        <v>4.7967079824752561E-2</v>
      </c>
      <c r="Q26" t="s">
        <v>153</v>
      </c>
      <c r="S26" t="s">
        <v>209</v>
      </c>
      <c r="T26" t="s">
        <v>283</v>
      </c>
      <c r="U26">
        <v>4.2910277033990918E-2</v>
      </c>
      <c r="V26" t="s">
        <v>153</v>
      </c>
      <c r="AC26" t="s">
        <v>19</v>
      </c>
      <c r="AD26" t="s">
        <v>283</v>
      </c>
      <c r="AE26">
        <v>0.11617351166902774</v>
      </c>
      <c r="AK26">
        <v>2025</v>
      </c>
      <c r="AL26" t="s">
        <v>279</v>
      </c>
      <c r="AM26">
        <v>0.29696666666666666</v>
      </c>
      <c r="AN26" t="s">
        <v>227</v>
      </c>
    </row>
    <row r="27" spans="9:40" x14ac:dyDescent="0.45">
      <c r="I27" t="s">
        <v>165</v>
      </c>
      <c r="J27" t="s">
        <v>284</v>
      </c>
      <c r="K27">
        <v>2.0147664191005156E-5</v>
      </c>
      <c r="L27" t="s">
        <v>153</v>
      </c>
      <c r="N27" t="s">
        <v>194</v>
      </c>
      <c r="O27" t="s">
        <v>284</v>
      </c>
      <c r="P27">
        <v>9.7343527117720902E-2</v>
      </c>
      <c r="Q27" t="s">
        <v>153</v>
      </c>
      <c r="S27" t="s">
        <v>209</v>
      </c>
      <c r="T27" t="s">
        <v>284</v>
      </c>
      <c r="U27">
        <v>6.1219425601118406E-2</v>
      </c>
      <c r="V27" t="s">
        <v>153</v>
      </c>
      <c r="AC27" t="s">
        <v>19</v>
      </c>
      <c r="AD27" t="s">
        <v>284</v>
      </c>
      <c r="AE27">
        <v>0.11501954464275599</v>
      </c>
      <c r="AK27">
        <v>2026</v>
      </c>
      <c r="AL27" t="s">
        <v>274</v>
      </c>
      <c r="AM27">
        <v>0.14953333333333332</v>
      </c>
      <c r="AN27" t="s">
        <v>227</v>
      </c>
    </row>
    <row r="28" spans="9:40" x14ac:dyDescent="0.45">
      <c r="I28" t="s">
        <v>165</v>
      </c>
      <c r="J28" t="s">
        <v>285</v>
      </c>
      <c r="K28">
        <v>3.1705801713733328E-2</v>
      </c>
      <c r="L28" t="s">
        <v>153</v>
      </c>
      <c r="N28" t="s">
        <v>194</v>
      </c>
      <c r="O28" t="s">
        <v>285</v>
      </c>
      <c r="P28">
        <v>8.7071760150326822E-3</v>
      </c>
      <c r="Q28" t="s">
        <v>153</v>
      </c>
      <c r="S28" t="s">
        <v>209</v>
      </c>
      <c r="T28" t="s">
        <v>285</v>
      </c>
      <c r="U28">
        <v>7.108624893161844E-3</v>
      </c>
      <c r="V28" t="s">
        <v>153</v>
      </c>
      <c r="AC28" t="s">
        <v>19</v>
      </c>
      <c r="AD28" t="s">
        <v>285</v>
      </c>
      <c r="AE28">
        <v>2.1292734327493047E-2</v>
      </c>
      <c r="AK28">
        <v>2026</v>
      </c>
      <c r="AL28" t="s">
        <v>276</v>
      </c>
      <c r="AM28">
        <v>0.30423333333333336</v>
      </c>
      <c r="AN28" t="s">
        <v>227</v>
      </c>
    </row>
    <row r="29" spans="9:40" x14ac:dyDescent="0.45">
      <c r="I29" t="s">
        <v>165</v>
      </c>
      <c r="J29" t="s">
        <v>286</v>
      </c>
      <c r="K29">
        <v>0.18080907518115844</v>
      </c>
      <c r="L29" t="s">
        <v>153</v>
      </c>
      <c r="N29" t="s">
        <v>194</v>
      </c>
      <c r="O29" t="s">
        <v>286</v>
      </c>
      <c r="P29">
        <v>7.8739912033464504E-2</v>
      </c>
      <c r="Q29" t="s">
        <v>153</v>
      </c>
      <c r="S29" t="s">
        <v>209</v>
      </c>
      <c r="T29" t="s">
        <v>286</v>
      </c>
      <c r="U29">
        <v>0.19826016832282614</v>
      </c>
      <c r="V29" t="s">
        <v>153</v>
      </c>
      <c r="AC29" t="s">
        <v>19</v>
      </c>
      <c r="AD29" t="s">
        <v>286</v>
      </c>
      <c r="AE29">
        <v>0.11601426084979416</v>
      </c>
      <c r="AK29">
        <v>2026</v>
      </c>
      <c r="AL29" t="s">
        <v>277</v>
      </c>
      <c r="AM29">
        <v>0.21836666666666668</v>
      </c>
      <c r="AN29" t="s">
        <v>227</v>
      </c>
    </row>
    <row r="30" spans="9:40" x14ac:dyDescent="0.45">
      <c r="I30" t="s">
        <v>165</v>
      </c>
      <c r="J30" t="s">
        <v>287</v>
      </c>
      <c r="K30">
        <v>2.0475579952706478E-3</v>
      </c>
      <c r="L30" t="s">
        <v>153</v>
      </c>
      <c r="N30" t="s">
        <v>194</v>
      </c>
      <c r="O30" t="s">
        <v>287</v>
      </c>
      <c r="P30">
        <v>9.5344219141864806E-2</v>
      </c>
      <c r="Q30" t="s">
        <v>153</v>
      </c>
      <c r="S30" t="s">
        <v>209</v>
      </c>
      <c r="T30" t="s">
        <v>287</v>
      </c>
      <c r="U30">
        <v>0.22036083420466571</v>
      </c>
      <c r="V30" t="s">
        <v>153</v>
      </c>
      <c r="AC30" t="s">
        <v>19</v>
      </c>
      <c r="AD30" t="s">
        <v>287</v>
      </c>
      <c r="AE30">
        <v>0.11487346366974474</v>
      </c>
      <c r="AK30">
        <v>2026</v>
      </c>
      <c r="AL30" t="s">
        <v>279</v>
      </c>
      <c r="AM30">
        <v>0.29546666666666666</v>
      </c>
      <c r="AN30" t="s">
        <v>227</v>
      </c>
    </row>
    <row r="31" spans="9:40" x14ac:dyDescent="0.45">
      <c r="I31" t="s">
        <v>165</v>
      </c>
      <c r="J31" t="s">
        <v>288</v>
      </c>
      <c r="K31">
        <v>1.8348755131033678E-2</v>
      </c>
      <c r="L31" t="s">
        <v>153</v>
      </c>
      <c r="N31" t="s">
        <v>194</v>
      </c>
      <c r="O31" t="s">
        <v>288</v>
      </c>
      <c r="P31">
        <v>7.6991071120948431E-3</v>
      </c>
      <c r="Q31" t="s">
        <v>153</v>
      </c>
      <c r="S31" t="s">
        <v>209</v>
      </c>
      <c r="T31" t="s">
        <v>288</v>
      </c>
      <c r="U31">
        <v>3.9327732750981108E-2</v>
      </c>
      <c r="V31" t="s">
        <v>153</v>
      </c>
      <c r="AC31" t="s">
        <v>19</v>
      </c>
      <c r="AD31" t="s">
        <v>288</v>
      </c>
      <c r="AE31">
        <v>2.1268229589262028E-2</v>
      </c>
      <c r="AK31">
        <v>2027</v>
      </c>
      <c r="AL31" t="s">
        <v>274</v>
      </c>
      <c r="AM31">
        <v>0.20633333333333334</v>
      </c>
      <c r="AN31" t="s">
        <v>227</v>
      </c>
    </row>
    <row r="32" spans="9:40" x14ac:dyDescent="0.45">
      <c r="I32" t="s">
        <v>165</v>
      </c>
      <c r="J32" t="s">
        <v>289</v>
      </c>
      <c r="K32">
        <v>0.25214327613059373</v>
      </c>
      <c r="L32" t="s">
        <v>153</v>
      </c>
      <c r="N32" t="s">
        <v>194</v>
      </c>
      <c r="O32" t="s">
        <v>289</v>
      </c>
      <c r="P32">
        <v>0.14446045951485123</v>
      </c>
      <c r="Q32" t="s">
        <v>153</v>
      </c>
      <c r="S32" t="s">
        <v>209</v>
      </c>
      <c r="T32" t="s">
        <v>289</v>
      </c>
      <c r="U32">
        <v>9.7810511858159824E-2</v>
      </c>
      <c r="V32" t="s">
        <v>153</v>
      </c>
      <c r="AC32" t="s">
        <v>19</v>
      </c>
      <c r="AD32" t="s">
        <v>289</v>
      </c>
      <c r="AE32">
        <v>0.11338612793898455</v>
      </c>
      <c r="AK32">
        <v>2027</v>
      </c>
      <c r="AL32" t="s">
        <v>276</v>
      </c>
      <c r="AM32">
        <v>0.36310000000000003</v>
      </c>
      <c r="AN32" t="s">
        <v>227</v>
      </c>
    </row>
    <row r="33" spans="9:40" x14ac:dyDescent="0.45">
      <c r="I33" t="s">
        <v>165</v>
      </c>
      <c r="J33" t="s">
        <v>290</v>
      </c>
      <c r="K33">
        <v>0</v>
      </c>
      <c r="L33" t="s">
        <v>153</v>
      </c>
      <c r="N33" t="s">
        <v>194</v>
      </c>
      <c r="O33" t="s">
        <v>290</v>
      </c>
      <c r="P33">
        <v>0.22875996175702573</v>
      </c>
      <c r="Q33" t="s">
        <v>153</v>
      </c>
      <c r="S33" t="s">
        <v>209</v>
      </c>
      <c r="T33" t="s">
        <v>290</v>
      </c>
      <c r="U33">
        <v>6.936198836193154E-2</v>
      </c>
      <c r="V33" t="s">
        <v>153</v>
      </c>
      <c r="AC33" t="s">
        <v>19</v>
      </c>
      <c r="AD33" t="s">
        <v>290</v>
      </c>
      <c r="AE33">
        <v>0.11204910189956344</v>
      </c>
      <c r="AK33">
        <v>2027</v>
      </c>
      <c r="AL33" t="s">
        <v>277</v>
      </c>
      <c r="AM33">
        <v>0.22763333333333335</v>
      </c>
      <c r="AN33" t="s">
        <v>227</v>
      </c>
    </row>
    <row r="34" spans="9:40" x14ac:dyDescent="0.45">
      <c r="I34" t="s">
        <v>165</v>
      </c>
      <c r="J34" t="s">
        <v>291</v>
      </c>
      <c r="K34">
        <v>2.8113066591834459E-2</v>
      </c>
      <c r="L34" t="s">
        <v>153</v>
      </c>
      <c r="N34" t="s">
        <v>194</v>
      </c>
      <c r="O34" t="s">
        <v>291</v>
      </c>
      <c r="P34">
        <v>3.0182482671070803E-2</v>
      </c>
      <c r="Q34" t="s">
        <v>153</v>
      </c>
      <c r="S34" t="s">
        <v>209</v>
      </c>
      <c r="T34" t="s">
        <v>291</v>
      </c>
      <c r="U34">
        <v>1.2787321154356688E-2</v>
      </c>
      <c r="V34" t="s">
        <v>153</v>
      </c>
      <c r="AC34" t="s">
        <v>19</v>
      </c>
      <c r="AD34" t="s">
        <v>291</v>
      </c>
      <c r="AE34">
        <v>2.0856264691062384E-2</v>
      </c>
      <c r="AK34">
        <v>2027</v>
      </c>
      <c r="AL34" t="s">
        <v>279</v>
      </c>
      <c r="AM34">
        <v>0.25059999999999999</v>
      </c>
      <c r="AN34" t="s">
        <v>227</v>
      </c>
    </row>
    <row r="35" spans="9:40" x14ac:dyDescent="0.45">
      <c r="I35" t="s">
        <v>166</v>
      </c>
      <c r="J35" t="s">
        <v>280</v>
      </c>
      <c r="K35">
        <v>0.20577888473090503</v>
      </c>
      <c r="L35" t="s">
        <v>153</v>
      </c>
      <c r="N35" t="s">
        <v>195</v>
      </c>
      <c r="O35" t="s">
        <v>280</v>
      </c>
      <c r="P35">
        <v>0.11134556378350711</v>
      </c>
      <c r="Q35" t="s">
        <v>153</v>
      </c>
      <c r="S35" t="s">
        <v>210</v>
      </c>
      <c r="T35" t="s">
        <v>280</v>
      </c>
      <c r="U35">
        <v>0.11202516291224794</v>
      </c>
      <c r="V35" t="s">
        <v>153</v>
      </c>
      <c r="AK35">
        <v>2028</v>
      </c>
      <c r="AL35" t="s">
        <v>274</v>
      </c>
      <c r="AM35">
        <v>0.12286666666666667</v>
      </c>
      <c r="AN35" t="s">
        <v>227</v>
      </c>
    </row>
    <row r="36" spans="9:40" x14ac:dyDescent="0.45">
      <c r="I36" t="s">
        <v>166</v>
      </c>
      <c r="J36" t="s">
        <v>281</v>
      </c>
      <c r="K36">
        <v>0</v>
      </c>
      <c r="L36" t="s">
        <v>153</v>
      </c>
      <c r="N36" t="s">
        <v>195</v>
      </c>
      <c r="O36" t="s">
        <v>281</v>
      </c>
      <c r="P36">
        <v>0.14977401495555304</v>
      </c>
      <c r="Q36" t="s">
        <v>153</v>
      </c>
      <c r="S36" t="s">
        <v>210</v>
      </c>
      <c r="T36" t="s">
        <v>281</v>
      </c>
      <c r="U36">
        <v>0.11605591501450134</v>
      </c>
      <c r="V36" t="s">
        <v>153</v>
      </c>
      <c r="AK36">
        <v>2028</v>
      </c>
      <c r="AL36" t="s">
        <v>276</v>
      </c>
      <c r="AM36">
        <v>0.34520000000000001</v>
      </c>
      <c r="AN36" t="s">
        <v>227</v>
      </c>
    </row>
    <row r="37" spans="9:40" x14ac:dyDescent="0.45">
      <c r="I37" t="s">
        <v>166</v>
      </c>
      <c r="J37" t="s">
        <v>282</v>
      </c>
      <c r="K37">
        <v>2.0522896653957547E-2</v>
      </c>
      <c r="L37" t="s">
        <v>153</v>
      </c>
      <c r="N37" t="s">
        <v>195</v>
      </c>
      <c r="O37" t="s">
        <v>282</v>
      </c>
      <c r="P37">
        <v>1.9032464096272204E-2</v>
      </c>
      <c r="Q37" t="s">
        <v>153</v>
      </c>
      <c r="S37" t="s">
        <v>210</v>
      </c>
      <c r="T37" t="s">
        <v>282</v>
      </c>
      <c r="U37">
        <v>1.566791543622156E-2</v>
      </c>
      <c r="V37" t="s">
        <v>153</v>
      </c>
      <c r="AK37">
        <v>2028</v>
      </c>
      <c r="AL37" t="s">
        <v>277</v>
      </c>
      <c r="AM37">
        <v>0.29566666666666669</v>
      </c>
      <c r="AN37" t="s">
        <v>227</v>
      </c>
    </row>
    <row r="38" spans="9:40" x14ac:dyDescent="0.45">
      <c r="I38" t="s">
        <v>166</v>
      </c>
      <c r="J38" t="s">
        <v>283</v>
      </c>
      <c r="K38">
        <v>0.26955306494461462</v>
      </c>
      <c r="L38" t="s">
        <v>153</v>
      </c>
      <c r="N38" t="s">
        <v>195</v>
      </c>
      <c r="O38" t="s">
        <v>283</v>
      </c>
      <c r="P38">
        <v>4.2658252459577328E-2</v>
      </c>
      <c r="Q38" t="s">
        <v>153</v>
      </c>
      <c r="S38" t="s">
        <v>210</v>
      </c>
      <c r="T38" t="s">
        <v>283</v>
      </c>
      <c r="U38">
        <v>4.05585591543033E-2</v>
      </c>
      <c r="V38" t="s">
        <v>153</v>
      </c>
      <c r="AK38">
        <v>2028</v>
      </c>
      <c r="AL38" t="s">
        <v>279</v>
      </c>
      <c r="AM38">
        <v>0.29666666666666663</v>
      </c>
      <c r="AN38" t="s">
        <v>227</v>
      </c>
    </row>
    <row r="39" spans="9:40" x14ac:dyDescent="0.45">
      <c r="I39" t="s">
        <v>166</v>
      </c>
      <c r="J39" t="s">
        <v>284</v>
      </c>
      <c r="K39">
        <v>1.7432624892203461E-3</v>
      </c>
      <c r="L39" t="s">
        <v>153</v>
      </c>
      <c r="N39" t="s">
        <v>195</v>
      </c>
      <c r="O39" t="s">
        <v>284</v>
      </c>
      <c r="P39">
        <v>9.5693115968830275E-2</v>
      </c>
      <c r="Q39" t="s">
        <v>153</v>
      </c>
      <c r="S39" t="s">
        <v>210</v>
      </c>
      <c r="T39" t="s">
        <v>284</v>
      </c>
      <c r="U39">
        <v>6.4515847418267297E-2</v>
      </c>
      <c r="V39" t="s">
        <v>153</v>
      </c>
      <c r="AK39">
        <v>2029</v>
      </c>
      <c r="AL39" t="s">
        <v>274</v>
      </c>
      <c r="AM39">
        <v>0.23293333333333333</v>
      </c>
      <c r="AN39" t="s">
        <v>227</v>
      </c>
    </row>
    <row r="40" spans="9:40" x14ac:dyDescent="0.45">
      <c r="I40" t="s">
        <v>166</v>
      </c>
      <c r="J40" t="s">
        <v>285</v>
      </c>
      <c r="K40">
        <v>3.4899713008593222E-2</v>
      </c>
      <c r="L40" t="s">
        <v>153</v>
      </c>
      <c r="N40" t="s">
        <v>195</v>
      </c>
      <c r="O40" t="s">
        <v>285</v>
      </c>
      <c r="P40">
        <v>6.3009244860592643E-3</v>
      </c>
      <c r="Q40" t="s">
        <v>153</v>
      </c>
      <c r="S40" t="s">
        <v>210</v>
      </c>
      <c r="T40" t="s">
        <v>285</v>
      </c>
      <c r="U40">
        <v>8.0286926847530794E-3</v>
      </c>
      <c r="V40" t="s">
        <v>153</v>
      </c>
      <c r="AK40">
        <v>2029</v>
      </c>
      <c r="AL40" t="s">
        <v>276</v>
      </c>
      <c r="AM40">
        <v>0.29423333333333335</v>
      </c>
      <c r="AN40" t="s">
        <v>227</v>
      </c>
    </row>
    <row r="41" spans="9:40" x14ac:dyDescent="0.45">
      <c r="I41" t="s">
        <v>166</v>
      </c>
      <c r="J41" t="s">
        <v>286</v>
      </c>
      <c r="K41">
        <v>0.17540514016118711</v>
      </c>
      <c r="L41" t="s">
        <v>153</v>
      </c>
      <c r="N41" t="s">
        <v>195</v>
      </c>
      <c r="O41" t="s">
        <v>286</v>
      </c>
      <c r="P41">
        <v>7.0909085679873612E-2</v>
      </c>
      <c r="Q41" t="s">
        <v>153</v>
      </c>
      <c r="S41" t="s">
        <v>210</v>
      </c>
      <c r="T41" t="s">
        <v>286</v>
      </c>
      <c r="U41">
        <v>0.19400410348867336</v>
      </c>
      <c r="V41" t="s">
        <v>153</v>
      </c>
      <c r="AK41">
        <v>2029</v>
      </c>
      <c r="AL41" t="s">
        <v>277</v>
      </c>
      <c r="AM41">
        <v>0.25573333333333331</v>
      </c>
      <c r="AN41" t="s">
        <v>227</v>
      </c>
    </row>
    <row r="42" spans="9:40" x14ac:dyDescent="0.45">
      <c r="I42" t="s">
        <v>166</v>
      </c>
      <c r="J42" t="s">
        <v>287</v>
      </c>
      <c r="K42">
        <v>2.912791288211839E-3</v>
      </c>
      <c r="L42" t="s">
        <v>153</v>
      </c>
      <c r="N42" t="s">
        <v>195</v>
      </c>
      <c r="O42" t="s">
        <v>287</v>
      </c>
      <c r="P42">
        <v>9.9480606321783294E-2</v>
      </c>
      <c r="Q42" t="s">
        <v>153</v>
      </c>
      <c r="S42" t="s">
        <v>210</v>
      </c>
      <c r="T42" t="s">
        <v>287</v>
      </c>
      <c r="U42">
        <v>0.22049424384838789</v>
      </c>
      <c r="V42" t="s">
        <v>153</v>
      </c>
      <c r="AK42">
        <v>2029</v>
      </c>
      <c r="AL42" t="s">
        <v>279</v>
      </c>
      <c r="AM42">
        <v>0.26090000000000002</v>
      </c>
      <c r="AN42" t="s">
        <v>227</v>
      </c>
    </row>
    <row r="43" spans="9:40" x14ac:dyDescent="0.45">
      <c r="I43" t="s">
        <v>166</v>
      </c>
      <c r="J43" t="s">
        <v>288</v>
      </c>
      <c r="K43">
        <v>1.9630675091295E-2</v>
      </c>
      <c r="L43" t="s">
        <v>153</v>
      </c>
      <c r="N43" t="s">
        <v>195</v>
      </c>
      <c r="O43" t="s">
        <v>288</v>
      </c>
      <c r="P43">
        <v>8.2334890092943258E-3</v>
      </c>
      <c r="Q43" t="s">
        <v>153</v>
      </c>
      <c r="S43" t="s">
        <v>210</v>
      </c>
      <c r="T43" t="s">
        <v>288</v>
      </c>
      <c r="U43">
        <v>3.8451569310721252E-2</v>
      </c>
      <c r="V43" t="s">
        <v>153</v>
      </c>
      <c r="AK43">
        <v>2030</v>
      </c>
      <c r="AL43" t="s">
        <v>274</v>
      </c>
      <c r="AM43">
        <v>0.19576666666666664</v>
      </c>
      <c r="AN43" t="s">
        <v>227</v>
      </c>
    </row>
    <row r="44" spans="9:40" x14ac:dyDescent="0.45">
      <c r="I44" t="s">
        <v>166</v>
      </c>
      <c r="J44" t="s">
        <v>289</v>
      </c>
      <c r="K44">
        <v>0.23890624024940307</v>
      </c>
      <c r="L44" t="s">
        <v>153</v>
      </c>
      <c r="N44" t="s">
        <v>195</v>
      </c>
      <c r="O44" t="s">
        <v>289</v>
      </c>
      <c r="P44">
        <v>0.13572538175532137</v>
      </c>
      <c r="Q44" t="s">
        <v>153</v>
      </c>
      <c r="S44" t="s">
        <v>210</v>
      </c>
      <c r="T44" t="s">
        <v>289</v>
      </c>
      <c r="U44">
        <v>0.10285539395114791</v>
      </c>
      <c r="V44" t="s">
        <v>153</v>
      </c>
      <c r="AK44">
        <v>2030</v>
      </c>
      <c r="AL44" t="s">
        <v>276</v>
      </c>
      <c r="AM44">
        <v>0.31783333333333336</v>
      </c>
      <c r="AN44" t="s">
        <v>227</v>
      </c>
    </row>
    <row r="45" spans="9:40" x14ac:dyDescent="0.45">
      <c r="I45" t="s">
        <v>166</v>
      </c>
      <c r="J45" t="s">
        <v>290</v>
      </c>
      <c r="K45">
        <v>0</v>
      </c>
      <c r="L45" t="s">
        <v>153</v>
      </c>
      <c r="N45" t="s">
        <v>195</v>
      </c>
      <c r="O45" t="s">
        <v>290</v>
      </c>
      <c r="P45">
        <v>0.23917196099458063</v>
      </c>
      <c r="Q45" t="s">
        <v>153</v>
      </c>
      <c r="S45" t="s">
        <v>210</v>
      </c>
      <c r="T45" t="s">
        <v>290</v>
      </c>
      <c r="U45">
        <v>7.6361137694322137E-2</v>
      </c>
      <c r="V45" t="s">
        <v>153</v>
      </c>
      <c r="AK45">
        <v>2030</v>
      </c>
      <c r="AL45" t="s">
        <v>277</v>
      </c>
      <c r="AM45">
        <v>0.23490000000000003</v>
      </c>
      <c r="AN45" t="s">
        <v>227</v>
      </c>
    </row>
    <row r="46" spans="9:40" x14ac:dyDescent="0.45">
      <c r="I46" t="s">
        <v>166</v>
      </c>
      <c r="J46" t="s">
        <v>291</v>
      </c>
      <c r="K46">
        <v>3.0647331382610537E-2</v>
      </c>
      <c r="L46" t="s">
        <v>153</v>
      </c>
      <c r="N46" t="s">
        <v>195</v>
      </c>
      <c r="O46" t="s">
        <v>291</v>
      </c>
      <c r="P46">
        <v>2.1675140489352415E-2</v>
      </c>
      <c r="Q46" t="s">
        <v>153</v>
      </c>
      <c r="S46" t="s">
        <v>210</v>
      </c>
      <c r="T46" t="s">
        <v>291</v>
      </c>
      <c r="U46">
        <v>1.0981459086453337E-2</v>
      </c>
      <c r="V46" t="s">
        <v>153</v>
      </c>
      <c r="AK46">
        <v>2030</v>
      </c>
      <c r="AL46" t="s">
        <v>279</v>
      </c>
      <c r="AM46">
        <v>0.26620000000000005</v>
      </c>
      <c r="AN46" t="s">
        <v>227</v>
      </c>
    </row>
    <row r="47" spans="9:40" x14ac:dyDescent="0.45">
      <c r="I47" t="s">
        <v>167</v>
      </c>
      <c r="J47" t="s">
        <v>280</v>
      </c>
      <c r="K47">
        <v>0.20629207294644175</v>
      </c>
      <c r="L47" t="s">
        <v>153</v>
      </c>
      <c r="N47" t="s">
        <v>196</v>
      </c>
      <c r="O47" t="s">
        <v>280</v>
      </c>
      <c r="P47">
        <v>0.11624562703414219</v>
      </c>
      <c r="Q47" t="s">
        <v>153</v>
      </c>
      <c r="S47" t="s">
        <v>211</v>
      </c>
      <c r="T47" t="s">
        <v>280</v>
      </c>
      <c r="U47">
        <v>0.11877944809613651</v>
      </c>
      <c r="V47" t="s">
        <v>153</v>
      </c>
      <c r="AK47">
        <v>2031</v>
      </c>
      <c r="AL47" t="s">
        <v>274</v>
      </c>
      <c r="AM47">
        <v>0.14713333333333334</v>
      </c>
      <c r="AN47" t="s">
        <v>227</v>
      </c>
    </row>
    <row r="48" spans="9:40" x14ac:dyDescent="0.45">
      <c r="I48" t="s">
        <v>167</v>
      </c>
      <c r="J48" t="s">
        <v>281</v>
      </c>
      <c r="K48">
        <v>0</v>
      </c>
      <c r="L48" t="s">
        <v>153</v>
      </c>
      <c r="N48" t="s">
        <v>196</v>
      </c>
      <c r="O48" t="s">
        <v>281</v>
      </c>
      <c r="P48">
        <v>0.16594157466204595</v>
      </c>
      <c r="Q48" t="s">
        <v>153</v>
      </c>
      <c r="S48" t="s">
        <v>211</v>
      </c>
      <c r="T48" t="s">
        <v>281</v>
      </c>
      <c r="U48">
        <v>0.11529359712240619</v>
      </c>
      <c r="V48" t="s">
        <v>153</v>
      </c>
      <c r="AK48">
        <v>2031</v>
      </c>
      <c r="AL48" t="s">
        <v>276</v>
      </c>
      <c r="AM48">
        <v>0.24383333333333335</v>
      </c>
      <c r="AN48" t="s">
        <v>227</v>
      </c>
    </row>
    <row r="49" spans="9:40" x14ac:dyDescent="0.45">
      <c r="I49" t="s">
        <v>167</v>
      </c>
      <c r="J49" t="s">
        <v>282</v>
      </c>
      <c r="K49">
        <v>1.9742110307561747E-2</v>
      </c>
      <c r="L49" t="s">
        <v>153</v>
      </c>
      <c r="N49" t="s">
        <v>196</v>
      </c>
      <c r="O49" t="s">
        <v>282</v>
      </c>
      <c r="P49">
        <v>2.1268612748036816E-2</v>
      </c>
      <c r="Q49" t="s">
        <v>153</v>
      </c>
      <c r="S49" t="s">
        <v>211</v>
      </c>
      <c r="T49" t="s">
        <v>282</v>
      </c>
      <c r="U49">
        <v>1.4681182359366008E-2</v>
      </c>
      <c r="V49" t="s">
        <v>153</v>
      </c>
      <c r="AK49">
        <v>2031</v>
      </c>
      <c r="AL49" t="s">
        <v>277</v>
      </c>
      <c r="AM49">
        <v>0.24346666666666664</v>
      </c>
      <c r="AN49" t="s">
        <v>227</v>
      </c>
    </row>
    <row r="50" spans="9:40" x14ac:dyDescent="0.45">
      <c r="I50" t="s">
        <v>167</v>
      </c>
      <c r="J50" t="s">
        <v>283</v>
      </c>
      <c r="K50">
        <v>0.26562584709323045</v>
      </c>
      <c r="L50" t="s">
        <v>153</v>
      </c>
      <c r="N50" t="s">
        <v>196</v>
      </c>
      <c r="O50" t="s">
        <v>283</v>
      </c>
      <c r="P50">
        <v>3.5921247435451838E-2</v>
      </c>
      <c r="Q50" t="s">
        <v>153</v>
      </c>
      <c r="S50" t="s">
        <v>211</v>
      </c>
      <c r="T50" t="s">
        <v>283</v>
      </c>
      <c r="U50">
        <v>4.2619696466757971E-2</v>
      </c>
      <c r="V50" t="s">
        <v>153</v>
      </c>
      <c r="AK50">
        <v>2031</v>
      </c>
      <c r="AL50" t="s">
        <v>279</v>
      </c>
      <c r="AM50">
        <v>0.24416666666666667</v>
      </c>
      <c r="AN50" t="s">
        <v>227</v>
      </c>
    </row>
    <row r="51" spans="9:40" x14ac:dyDescent="0.45">
      <c r="I51" t="s">
        <v>167</v>
      </c>
      <c r="J51" t="s">
        <v>284</v>
      </c>
      <c r="K51">
        <v>9.1106771018902141E-4</v>
      </c>
      <c r="L51" t="s">
        <v>153</v>
      </c>
      <c r="N51" t="s">
        <v>196</v>
      </c>
      <c r="O51" t="s">
        <v>284</v>
      </c>
      <c r="P51">
        <v>9.5872865497208179E-2</v>
      </c>
      <c r="Q51" t="s">
        <v>153</v>
      </c>
      <c r="S51" t="s">
        <v>211</v>
      </c>
      <c r="T51" t="s">
        <v>284</v>
      </c>
      <c r="U51">
        <v>5.8776328769324912E-2</v>
      </c>
      <c r="V51" t="s">
        <v>153</v>
      </c>
      <c r="AK51">
        <v>2032</v>
      </c>
      <c r="AL51" t="s">
        <v>274</v>
      </c>
      <c r="AM51">
        <v>0.19986666666666664</v>
      </c>
      <c r="AN51" t="s">
        <v>227</v>
      </c>
    </row>
    <row r="52" spans="9:40" x14ac:dyDescent="0.45">
      <c r="I52" t="s">
        <v>167</v>
      </c>
      <c r="J52" t="s">
        <v>285</v>
      </c>
      <c r="K52">
        <v>3.2783338923371451E-2</v>
      </c>
      <c r="L52" t="s">
        <v>153</v>
      </c>
      <c r="N52" t="s">
        <v>196</v>
      </c>
      <c r="O52" t="s">
        <v>285</v>
      </c>
      <c r="P52">
        <v>6.0078637034335748E-3</v>
      </c>
      <c r="Q52" t="s">
        <v>153</v>
      </c>
      <c r="S52" t="s">
        <v>211</v>
      </c>
      <c r="T52" t="s">
        <v>285</v>
      </c>
      <c r="U52">
        <v>6.1567687306137995E-3</v>
      </c>
      <c r="V52" t="s">
        <v>153</v>
      </c>
      <c r="AK52">
        <v>2032</v>
      </c>
      <c r="AL52" t="s">
        <v>276</v>
      </c>
      <c r="AM52">
        <v>0.33029999999999998</v>
      </c>
      <c r="AN52" t="s">
        <v>227</v>
      </c>
    </row>
    <row r="53" spans="9:40" x14ac:dyDescent="0.45">
      <c r="I53" t="s">
        <v>167</v>
      </c>
      <c r="J53" t="s">
        <v>286</v>
      </c>
      <c r="K53">
        <v>0.17489002565644465</v>
      </c>
      <c r="L53" t="s">
        <v>153</v>
      </c>
      <c r="N53" t="s">
        <v>196</v>
      </c>
      <c r="O53" t="s">
        <v>286</v>
      </c>
      <c r="P53">
        <v>6.8471485311984381E-2</v>
      </c>
      <c r="Q53" t="s">
        <v>153</v>
      </c>
      <c r="S53" t="s">
        <v>211</v>
      </c>
      <c r="T53" t="s">
        <v>286</v>
      </c>
      <c r="U53">
        <v>0.21281302610031849</v>
      </c>
      <c r="V53" t="s">
        <v>153</v>
      </c>
      <c r="AK53">
        <v>2032</v>
      </c>
      <c r="AL53" t="s">
        <v>277</v>
      </c>
      <c r="AM53">
        <v>0.23960000000000001</v>
      </c>
      <c r="AN53" t="s">
        <v>227</v>
      </c>
    </row>
    <row r="54" spans="9:40" x14ac:dyDescent="0.45">
      <c r="I54" t="s">
        <v>167</v>
      </c>
      <c r="J54" t="s">
        <v>287</v>
      </c>
      <c r="K54">
        <v>2.8720938461093454E-3</v>
      </c>
      <c r="L54" t="s">
        <v>153</v>
      </c>
      <c r="N54" t="s">
        <v>196</v>
      </c>
      <c r="O54" t="s">
        <v>287</v>
      </c>
      <c r="P54">
        <v>0.10065875709354118</v>
      </c>
      <c r="Q54" t="s">
        <v>153</v>
      </c>
      <c r="S54" t="s">
        <v>211</v>
      </c>
      <c r="T54" t="s">
        <v>287</v>
      </c>
      <c r="U54">
        <v>0.23614222591112199</v>
      </c>
      <c r="V54" t="s">
        <v>153</v>
      </c>
      <c r="AK54">
        <v>2032</v>
      </c>
      <c r="AL54" t="s">
        <v>279</v>
      </c>
      <c r="AM54">
        <v>0.24283333333333332</v>
      </c>
      <c r="AN54" t="s">
        <v>227</v>
      </c>
    </row>
    <row r="55" spans="9:40" x14ac:dyDescent="0.45">
      <c r="I55" t="s">
        <v>167</v>
      </c>
      <c r="J55" t="s">
        <v>288</v>
      </c>
      <c r="K55">
        <v>1.9412464853135927E-2</v>
      </c>
      <c r="L55" t="s">
        <v>153</v>
      </c>
      <c r="N55" t="s">
        <v>196</v>
      </c>
      <c r="O55" t="s">
        <v>288</v>
      </c>
      <c r="P55">
        <v>8.728409471884184E-3</v>
      </c>
      <c r="Q55" t="s">
        <v>153</v>
      </c>
      <c r="S55" t="s">
        <v>211</v>
      </c>
      <c r="T55" t="s">
        <v>288</v>
      </c>
      <c r="U55">
        <v>3.6778612191712093E-2</v>
      </c>
      <c r="V55" t="s">
        <v>153</v>
      </c>
      <c r="AK55">
        <v>2033</v>
      </c>
      <c r="AL55" t="s">
        <v>274</v>
      </c>
      <c r="AM55">
        <v>0.12036666666666666</v>
      </c>
      <c r="AN55" t="s">
        <v>227</v>
      </c>
    </row>
    <row r="56" spans="9:40" x14ac:dyDescent="0.45">
      <c r="I56" t="s">
        <v>167</v>
      </c>
      <c r="J56" t="s">
        <v>289</v>
      </c>
      <c r="K56">
        <v>0.24714126067971584</v>
      </c>
      <c r="L56" t="s">
        <v>153</v>
      </c>
      <c r="N56" t="s">
        <v>196</v>
      </c>
      <c r="O56" t="s">
        <v>289</v>
      </c>
      <c r="P56">
        <v>0.11106929265004209</v>
      </c>
      <c r="Q56" t="s">
        <v>153</v>
      </c>
      <c r="S56" t="s">
        <v>211</v>
      </c>
      <c r="T56" t="s">
        <v>289</v>
      </c>
      <c r="U56">
        <v>8.3815268822272623E-2</v>
      </c>
      <c r="V56" t="s">
        <v>153</v>
      </c>
      <c r="AK56">
        <v>2033</v>
      </c>
      <c r="AL56" t="s">
        <v>276</v>
      </c>
      <c r="AM56">
        <v>0.29783333333333334</v>
      </c>
      <c r="AN56" t="s">
        <v>227</v>
      </c>
    </row>
    <row r="57" spans="9:40" x14ac:dyDescent="0.45">
      <c r="I57" t="s">
        <v>167</v>
      </c>
      <c r="J57" t="s">
        <v>290</v>
      </c>
      <c r="K57">
        <v>0</v>
      </c>
      <c r="L57" t="s">
        <v>153</v>
      </c>
      <c r="N57" t="s">
        <v>196</v>
      </c>
      <c r="O57" t="s">
        <v>290</v>
      </c>
      <c r="P57">
        <v>0.24957377017145493</v>
      </c>
      <c r="Q57" t="s">
        <v>153</v>
      </c>
      <c r="S57" t="s">
        <v>211</v>
      </c>
      <c r="T57" t="s">
        <v>290</v>
      </c>
      <c r="U57">
        <v>6.6699380900075322E-2</v>
      </c>
      <c r="V57" t="s">
        <v>153</v>
      </c>
      <c r="AK57">
        <v>2033</v>
      </c>
      <c r="AL57" t="s">
        <v>277</v>
      </c>
      <c r="AM57">
        <v>0.27426666666666666</v>
      </c>
      <c r="AN57" t="s">
        <v>227</v>
      </c>
    </row>
    <row r="58" spans="9:40" x14ac:dyDescent="0.45">
      <c r="I58" t="s">
        <v>167</v>
      </c>
      <c r="J58" t="s">
        <v>291</v>
      </c>
      <c r="K58">
        <v>3.0329717983800977E-2</v>
      </c>
      <c r="L58" t="s">
        <v>153</v>
      </c>
      <c r="N58" t="s">
        <v>196</v>
      </c>
      <c r="O58" t="s">
        <v>291</v>
      </c>
      <c r="P58">
        <v>2.0240494220777904E-2</v>
      </c>
      <c r="Q58" t="s">
        <v>153</v>
      </c>
      <c r="S58" t="s">
        <v>211</v>
      </c>
      <c r="T58" t="s">
        <v>291</v>
      </c>
      <c r="U58">
        <v>7.4444645298979376E-3</v>
      </c>
      <c r="V58" t="s">
        <v>153</v>
      </c>
      <c r="AK58">
        <v>2033</v>
      </c>
      <c r="AL58" t="s">
        <v>279</v>
      </c>
      <c r="AM58">
        <v>0.21870000000000001</v>
      </c>
      <c r="AN58" t="s">
        <v>227</v>
      </c>
    </row>
    <row r="59" spans="9:40" x14ac:dyDescent="0.45">
      <c r="I59" t="s">
        <v>168</v>
      </c>
      <c r="J59" t="s">
        <v>280</v>
      </c>
      <c r="K59">
        <v>0.20312603149322514</v>
      </c>
      <c r="L59" t="s">
        <v>153</v>
      </c>
      <c r="N59" t="s">
        <v>197</v>
      </c>
      <c r="O59" t="s">
        <v>280</v>
      </c>
      <c r="P59">
        <v>0.11073798633950553</v>
      </c>
      <c r="Q59" t="s">
        <v>153</v>
      </c>
      <c r="S59" t="s">
        <v>212</v>
      </c>
      <c r="T59" t="s">
        <v>280</v>
      </c>
      <c r="U59">
        <v>9.9145180741616948E-2</v>
      </c>
      <c r="V59" t="s">
        <v>153</v>
      </c>
      <c r="AK59">
        <v>2034</v>
      </c>
      <c r="AL59" t="s">
        <v>274</v>
      </c>
      <c r="AM59">
        <v>0.17193333333333335</v>
      </c>
      <c r="AN59" t="s">
        <v>227</v>
      </c>
    </row>
    <row r="60" spans="9:40" x14ac:dyDescent="0.45">
      <c r="I60" t="s">
        <v>168</v>
      </c>
      <c r="J60" t="s">
        <v>281</v>
      </c>
      <c r="K60">
        <v>0</v>
      </c>
      <c r="L60" t="s">
        <v>153</v>
      </c>
      <c r="N60" t="s">
        <v>197</v>
      </c>
      <c r="O60" t="s">
        <v>281</v>
      </c>
      <c r="P60">
        <v>0.15225168029040687</v>
      </c>
      <c r="Q60" t="s">
        <v>153</v>
      </c>
      <c r="S60" t="s">
        <v>212</v>
      </c>
      <c r="T60" t="s">
        <v>281</v>
      </c>
      <c r="U60">
        <v>0.11549769668408642</v>
      </c>
      <c r="V60" t="s">
        <v>153</v>
      </c>
      <c r="AK60">
        <v>2034</v>
      </c>
      <c r="AL60" t="s">
        <v>276</v>
      </c>
      <c r="AM60">
        <v>0.23030000000000003</v>
      </c>
      <c r="AN60" t="s">
        <v>227</v>
      </c>
    </row>
    <row r="61" spans="9:40" x14ac:dyDescent="0.45">
      <c r="I61" t="s">
        <v>168</v>
      </c>
      <c r="J61" t="s">
        <v>282</v>
      </c>
      <c r="K61">
        <v>1.7885803459227776E-2</v>
      </c>
      <c r="L61" t="s">
        <v>153</v>
      </c>
      <c r="N61" t="s">
        <v>197</v>
      </c>
      <c r="O61" t="s">
        <v>282</v>
      </c>
      <c r="P61">
        <v>1.6319791237291801E-2</v>
      </c>
      <c r="Q61" t="s">
        <v>153</v>
      </c>
      <c r="S61" t="s">
        <v>212</v>
      </c>
      <c r="T61" t="s">
        <v>282</v>
      </c>
      <c r="U61">
        <v>1.9042589511001882E-2</v>
      </c>
      <c r="V61" t="s">
        <v>153</v>
      </c>
      <c r="AK61">
        <v>2034</v>
      </c>
      <c r="AL61" t="s">
        <v>277</v>
      </c>
      <c r="AM61">
        <v>0.23906666666666668</v>
      </c>
      <c r="AN61" t="s">
        <v>227</v>
      </c>
    </row>
    <row r="62" spans="9:40" x14ac:dyDescent="0.45">
      <c r="I62" t="s">
        <v>168</v>
      </c>
      <c r="J62" t="s">
        <v>283</v>
      </c>
      <c r="K62">
        <v>0.25794606243561713</v>
      </c>
      <c r="L62" t="s">
        <v>153</v>
      </c>
      <c r="N62" t="s">
        <v>197</v>
      </c>
      <c r="O62" t="s">
        <v>283</v>
      </c>
      <c r="P62">
        <v>3.2844996276296286E-2</v>
      </c>
      <c r="Q62" t="s">
        <v>153</v>
      </c>
      <c r="S62" t="s">
        <v>212</v>
      </c>
      <c r="T62" t="s">
        <v>283</v>
      </c>
      <c r="U62">
        <v>5.4341863304776188E-2</v>
      </c>
      <c r="V62" t="s">
        <v>153</v>
      </c>
      <c r="AK62">
        <v>2034</v>
      </c>
      <c r="AL62" t="s">
        <v>279</v>
      </c>
      <c r="AM62">
        <v>0.26643333333333336</v>
      </c>
      <c r="AN62" t="s">
        <v>227</v>
      </c>
    </row>
    <row r="63" spans="9:40" x14ac:dyDescent="0.45">
      <c r="I63" t="s">
        <v>168</v>
      </c>
      <c r="J63" t="s">
        <v>284</v>
      </c>
      <c r="K63">
        <v>4.1805321076136039E-5</v>
      </c>
      <c r="L63" t="s">
        <v>153</v>
      </c>
      <c r="N63" t="s">
        <v>197</v>
      </c>
      <c r="O63" t="s">
        <v>284</v>
      </c>
      <c r="P63">
        <v>0.10194499930662042</v>
      </c>
      <c r="Q63" t="s">
        <v>153</v>
      </c>
      <c r="S63" t="s">
        <v>212</v>
      </c>
      <c r="T63" t="s">
        <v>284</v>
      </c>
      <c r="U63">
        <v>5.0799152410088554E-2</v>
      </c>
      <c r="V63" t="s">
        <v>153</v>
      </c>
      <c r="AK63">
        <v>2035</v>
      </c>
      <c r="AL63" t="s">
        <v>274</v>
      </c>
      <c r="AM63">
        <v>0.18506666666666668</v>
      </c>
      <c r="AN63" t="s">
        <v>227</v>
      </c>
    </row>
    <row r="64" spans="9:40" x14ac:dyDescent="0.45">
      <c r="I64" t="s">
        <v>168</v>
      </c>
      <c r="J64" t="s">
        <v>285</v>
      </c>
      <c r="K64">
        <v>2.9899626010048856E-2</v>
      </c>
      <c r="L64" t="s">
        <v>153</v>
      </c>
      <c r="N64" t="s">
        <v>197</v>
      </c>
      <c r="O64" t="s">
        <v>285</v>
      </c>
      <c r="P64">
        <v>7.0108659556012351E-3</v>
      </c>
      <c r="Q64" t="s">
        <v>153</v>
      </c>
      <c r="S64" t="s">
        <v>212</v>
      </c>
      <c r="T64" t="s">
        <v>285</v>
      </c>
      <c r="U64">
        <v>9.3358244599300259E-3</v>
      </c>
      <c r="V64" t="s">
        <v>153</v>
      </c>
      <c r="AK64">
        <v>2035</v>
      </c>
      <c r="AL64" t="s">
        <v>276</v>
      </c>
      <c r="AM64">
        <v>0.34639999999999999</v>
      </c>
      <c r="AN64" t="s">
        <v>227</v>
      </c>
    </row>
    <row r="65" spans="9:40" x14ac:dyDescent="0.45">
      <c r="I65" t="s">
        <v>168</v>
      </c>
      <c r="J65" t="s">
        <v>286</v>
      </c>
      <c r="K65">
        <v>0.18741000158218285</v>
      </c>
      <c r="L65" t="s">
        <v>153</v>
      </c>
      <c r="N65" t="s">
        <v>197</v>
      </c>
      <c r="O65" t="s">
        <v>286</v>
      </c>
      <c r="P65">
        <v>9.3388775494177415E-2</v>
      </c>
      <c r="Q65" t="s">
        <v>153</v>
      </c>
      <c r="S65" t="s">
        <v>212</v>
      </c>
      <c r="T65" t="s">
        <v>286</v>
      </c>
      <c r="U65">
        <v>0.19087763708187955</v>
      </c>
      <c r="V65" t="s">
        <v>153</v>
      </c>
      <c r="AK65">
        <v>2035</v>
      </c>
      <c r="AL65" t="s">
        <v>277</v>
      </c>
      <c r="AM65">
        <v>0.31716666666666665</v>
      </c>
      <c r="AN65" t="s">
        <v>227</v>
      </c>
    </row>
    <row r="66" spans="9:40" x14ac:dyDescent="0.45">
      <c r="I66" t="s">
        <v>168</v>
      </c>
      <c r="J66" t="s">
        <v>287</v>
      </c>
      <c r="K66">
        <v>2.5627732467060895E-3</v>
      </c>
      <c r="L66" t="s">
        <v>153</v>
      </c>
      <c r="N66" t="s">
        <v>197</v>
      </c>
      <c r="O66" t="s">
        <v>287</v>
      </c>
      <c r="P66">
        <v>0.1442753853189585</v>
      </c>
      <c r="Q66" t="s">
        <v>153</v>
      </c>
      <c r="S66" t="s">
        <v>212</v>
      </c>
      <c r="T66" t="s">
        <v>287</v>
      </c>
      <c r="U66">
        <v>0.2158026508775942</v>
      </c>
      <c r="V66" t="s">
        <v>153</v>
      </c>
      <c r="AK66">
        <v>2035</v>
      </c>
      <c r="AL66" t="s">
        <v>279</v>
      </c>
      <c r="AM66">
        <v>0.24043333333333336</v>
      </c>
      <c r="AN66" t="s">
        <v>227</v>
      </c>
    </row>
    <row r="67" spans="9:40" x14ac:dyDescent="0.45">
      <c r="I67" t="s">
        <v>168</v>
      </c>
      <c r="J67" t="s">
        <v>288</v>
      </c>
      <c r="K67">
        <v>2.0130898474548468E-2</v>
      </c>
      <c r="L67" t="s">
        <v>153</v>
      </c>
      <c r="N67" t="s">
        <v>197</v>
      </c>
      <c r="O67" t="s">
        <v>288</v>
      </c>
      <c r="P67">
        <v>1.5312691563503296E-2</v>
      </c>
      <c r="Q67" t="s">
        <v>153</v>
      </c>
      <c r="S67" t="s">
        <v>212</v>
      </c>
      <c r="T67" t="s">
        <v>288</v>
      </c>
      <c r="U67">
        <v>3.9071793579071763E-2</v>
      </c>
      <c r="V67" t="s">
        <v>153</v>
      </c>
      <c r="AK67">
        <v>2036</v>
      </c>
      <c r="AL67" t="s">
        <v>274</v>
      </c>
      <c r="AM67">
        <v>0.18466666666666667</v>
      </c>
      <c r="AN67" t="s">
        <v>227</v>
      </c>
    </row>
    <row r="68" spans="9:40" x14ac:dyDescent="0.45">
      <c r="I68" t="s">
        <v>168</v>
      </c>
      <c r="J68" t="s">
        <v>289</v>
      </c>
      <c r="K68">
        <v>0.24970456471777761</v>
      </c>
      <c r="L68" t="s">
        <v>153</v>
      </c>
      <c r="N68" t="s">
        <v>197</v>
      </c>
      <c r="O68" t="s">
        <v>289</v>
      </c>
      <c r="P68">
        <v>0.10546771454799113</v>
      </c>
      <c r="Q68" t="s">
        <v>153</v>
      </c>
      <c r="S68" t="s">
        <v>212</v>
      </c>
      <c r="T68" t="s">
        <v>289</v>
      </c>
      <c r="U68">
        <v>0.11249198291013286</v>
      </c>
      <c r="V68" t="s">
        <v>153</v>
      </c>
      <c r="AK68">
        <v>2036</v>
      </c>
      <c r="AL68" t="s">
        <v>276</v>
      </c>
      <c r="AM68">
        <v>0.3092333333333333</v>
      </c>
      <c r="AN68" t="s">
        <v>227</v>
      </c>
    </row>
    <row r="69" spans="9:40" x14ac:dyDescent="0.45">
      <c r="I69" t="s">
        <v>168</v>
      </c>
      <c r="J69" t="s">
        <v>290</v>
      </c>
      <c r="K69">
        <v>0</v>
      </c>
      <c r="L69" t="s">
        <v>153</v>
      </c>
      <c r="N69" t="s">
        <v>197</v>
      </c>
      <c r="O69" t="s">
        <v>290</v>
      </c>
      <c r="P69">
        <v>0.2107038145249869</v>
      </c>
      <c r="Q69" t="s">
        <v>153</v>
      </c>
      <c r="S69" t="s">
        <v>212</v>
      </c>
      <c r="T69" t="s">
        <v>290</v>
      </c>
      <c r="U69">
        <v>8.2122980656726283E-2</v>
      </c>
      <c r="V69" t="s">
        <v>153</v>
      </c>
      <c r="AK69">
        <v>2036</v>
      </c>
      <c r="AL69" t="s">
        <v>277</v>
      </c>
      <c r="AM69">
        <v>0.29596666666666666</v>
      </c>
      <c r="AN69" t="s">
        <v>227</v>
      </c>
    </row>
    <row r="70" spans="9:40" x14ac:dyDescent="0.45">
      <c r="I70" t="s">
        <v>168</v>
      </c>
      <c r="J70" t="s">
        <v>291</v>
      </c>
      <c r="K70">
        <v>3.1292433259590045E-2</v>
      </c>
      <c r="L70" t="s">
        <v>153</v>
      </c>
      <c r="N70" t="s">
        <v>197</v>
      </c>
      <c r="O70" t="s">
        <v>291</v>
      </c>
      <c r="P70">
        <v>9.7412991446622615E-3</v>
      </c>
      <c r="Q70" t="s">
        <v>153</v>
      </c>
      <c r="S70" t="s">
        <v>212</v>
      </c>
      <c r="T70" t="s">
        <v>291</v>
      </c>
      <c r="U70">
        <v>1.147064778309405E-2</v>
      </c>
      <c r="V70" t="s">
        <v>153</v>
      </c>
      <c r="AK70">
        <v>2036</v>
      </c>
      <c r="AL70" t="s">
        <v>279</v>
      </c>
      <c r="AM70">
        <v>0.28063333333333335</v>
      </c>
      <c r="AN70" t="s">
        <v>227</v>
      </c>
    </row>
    <row r="71" spans="9:40" x14ac:dyDescent="0.45">
      <c r="I71" t="s">
        <v>169</v>
      </c>
      <c r="J71" t="s">
        <v>280</v>
      </c>
      <c r="K71">
        <v>0.20638253338383777</v>
      </c>
      <c r="L71" t="s">
        <v>153</v>
      </c>
      <c r="N71" t="s">
        <v>198</v>
      </c>
      <c r="O71" t="s">
        <v>280</v>
      </c>
      <c r="P71">
        <v>0.11165733028598261</v>
      </c>
      <c r="Q71" t="s">
        <v>153</v>
      </c>
      <c r="S71" t="s">
        <v>213</v>
      </c>
      <c r="T71" t="s">
        <v>280</v>
      </c>
      <c r="U71">
        <v>0.10562678219882937</v>
      </c>
      <c r="V71" t="s">
        <v>153</v>
      </c>
      <c r="AK71">
        <v>2037</v>
      </c>
      <c r="AL71" t="s">
        <v>274</v>
      </c>
      <c r="AM71">
        <v>0.14859999999999998</v>
      </c>
      <c r="AN71" t="s">
        <v>227</v>
      </c>
    </row>
    <row r="72" spans="9:40" x14ac:dyDescent="0.45">
      <c r="I72" t="s">
        <v>169</v>
      </c>
      <c r="J72" t="s">
        <v>281</v>
      </c>
      <c r="K72">
        <v>0</v>
      </c>
      <c r="L72" t="s">
        <v>153</v>
      </c>
      <c r="N72" t="s">
        <v>198</v>
      </c>
      <c r="O72" t="s">
        <v>281</v>
      </c>
      <c r="P72">
        <v>0.12248906921962822</v>
      </c>
      <c r="Q72" t="s">
        <v>153</v>
      </c>
      <c r="S72" t="s">
        <v>213</v>
      </c>
      <c r="T72" t="s">
        <v>281</v>
      </c>
      <c r="U72">
        <v>0.113723198231412</v>
      </c>
      <c r="V72" t="s">
        <v>153</v>
      </c>
      <c r="AK72">
        <v>2037</v>
      </c>
      <c r="AL72" t="s">
        <v>276</v>
      </c>
      <c r="AM72">
        <v>0.20469999999999999</v>
      </c>
      <c r="AN72" t="s">
        <v>227</v>
      </c>
    </row>
    <row r="73" spans="9:40" x14ac:dyDescent="0.45">
      <c r="I73" t="s">
        <v>169</v>
      </c>
      <c r="J73" t="s">
        <v>282</v>
      </c>
      <c r="K73">
        <v>1.8243630780014439E-2</v>
      </c>
      <c r="L73" t="s">
        <v>153</v>
      </c>
      <c r="N73" t="s">
        <v>198</v>
      </c>
      <c r="O73" t="s">
        <v>282</v>
      </c>
      <c r="P73">
        <v>1.3321358430503322E-2</v>
      </c>
      <c r="Q73" t="s">
        <v>153</v>
      </c>
      <c r="S73" t="s">
        <v>213</v>
      </c>
      <c r="T73" t="s">
        <v>282</v>
      </c>
      <c r="U73">
        <v>1.9075827613910041E-2</v>
      </c>
      <c r="V73" t="s">
        <v>153</v>
      </c>
      <c r="AK73">
        <v>2037</v>
      </c>
      <c r="AL73" t="s">
        <v>277</v>
      </c>
      <c r="AM73">
        <v>0.22870000000000001</v>
      </c>
      <c r="AN73" t="s">
        <v>227</v>
      </c>
    </row>
    <row r="74" spans="9:40" x14ac:dyDescent="0.45">
      <c r="I74" t="s">
        <v>169</v>
      </c>
      <c r="J74" t="s">
        <v>283</v>
      </c>
      <c r="K74">
        <v>0.26195847792084159</v>
      </c>
      <c r="L74" t="s">
        <v>153</v>
      </c>
      <c r="N74" t="s">
        <v>198</v>
      </c>
      <c r="O74" t="s">
        <v>283</v>
      </c>
      <c r="P74">
        <v>4.4169969826748798E-2</v>
      </c>
      <c r="Q74" t="s">
        <v>153</v>
      </c>
      <c r="S74" t="s">
        <v>213</v>
      </c>
      <c r="T74" t="s">
        <v>283</v>
      </c>
      <c r="U74">
        <v>5.5676193271965012E-2</v>
      </c>
      <c r="V74" t="s">
        <v>153</v>
      </c>
      <c r="AK74">
        <v>2037</v>
      </c>
      <c r="AL74" t="s">
        <v>279</v>
      </c>
      <c r="AM74">
        <v>0.25653333333333334</v>
      </c>
      <c r="AN74" t="s">
        <v>227</v>
      </c>
    </row>
    <row r="75" spans="9:40" x14ac:dyDescent="0.45">
      <c r="I75" t="s">
        <v>169</v>
      </c>
      <c r="J75" t="s">
        <v>284</v>
      </c>
      <c r="K75">
        <v>2.999932250986947E-4</v>
      </c>
      <c r="L75" t="s">
        <v>153</v>
      </c>
      <c r="N75" t="s">
        <v>198</v>
      </c>
      <c r="O75" t="s">
        <v>284</v>
      </c>
      <c r="P75">
        <v>0.10053773485599794</v>
      </c>
      <c r="Q75" t="s">
        <v>153</v>
      </c>
      <c r="S75" t="s">
        <v>213</v>
      </c>
      <c r="T75" t="s">
        <v>284</v>
      </c>
      <c r="U75">
        <v>4.9804904374121828E-2</v>
      </c>
      <c r="V75" t="s">
        <v>153</v>
      </c>
      <c r="AK75">
        <v>2038</v>
      </c>
      <c r="AL75" t="s">
        <v>274</v>
      </c>
      <c r="AM75">
        <v>0.14163333333333336</v>
      </c>
      <c r="AN75" t="s">
        <v>227</v>
      </c>
    </row>
    <row r="76" spans="9:40" x14ac:dyDescent="0.45">
      <c r="I76" t="s">
        <v>169</v>
      </c>
      <c r="J76" t="s">
        <v>285</v>
      </c>
      <c r="K76">
        <v>3.1669310808121909E-2</v>
      </c>
      <c r="L76" t="s">
        <v>153</v>
      </c>
      <c r="N76" t="s">
        <v>198</v>
      </c>
      <c r="O76" t="s">
        <v>285</v>
      </c>
      <c r="P76">
        <v>1.3303181294990992E-2</v>
      </c>
      <c r="Q76" t="s">
        <v>153</v>
      </c>
      <c r="S76" t="s">
        <v>213</v>
      </c>
      <c r="T76" t="s">
        <v>285</v>
      </c>
      <c r="U76">
        <v>9.0493760697263042E-3</v>
      </c>
      <c r="V76" t="s">
        <v>153</v>
      </c>
      <c r="AK76">
        <v>2038</v>
      </c>
      <c r="AL76" t="s">
        <v>276</v>
      </c>
      <c r="AM76">
        <v>0.29026666666666667</v>
      </c>
      <c r="AN76" t="s">
        <v>227</v>
      </c>
    </row>
    <row r="77" spans="9:40" x14ac:dyDescent="0.45">
      <c r="I77" t="s">
        <v>169</v>
      </c>
      <c r="J77" t="s">
        <v>286</v>
      </c>
      <c r="K77">
        <v>0.18058095646769404</v>
      </c>
      <c r="L77" t="s">
        <v>153</v>
      </c>
      <c r="N77" t="s">
        <v>198</v>
      </c>
      <c r="O77" t="s">
        <v>286</v>
      </c>
      <c r="P77">
        <v>0.14397992981794064</v>
      </c>
      <c r="Q77" t="s">
        <v>153</v>
      </c>
      <c r="S77" t="s">
        <v>213</v>
      </c>
      <c r="T77" t="s">
        <v>286</v>
      </c>
      <c r="U77">
        <v>0.20763358961365019</v>
      </c>
      <c r="V77" t="s">
        <v>153</v>
      </c>
      <c r="AK77">
        <v>2038</v>
      </c>
      <c r="AL77" t="s">
        <v>277</v>
      </c>
      <c r="AM77">
        <v>0.20823333333333335</v>
      </c>
      <c r="AN77" t="s">
        <v>227</v>
      </c>
    </row>
    <row r="78" spans="9:40" x14ac:dyDescent="0.45">
      <c r="I78" t="s">
        <v>169</v>
      </c>
      <c r="J78" t="s">
        <v>287</v>
      </c>
      <c r="K78">
        <v>2.7771850966073416E-3</v>
      </c>
      <c r="L78" t="s">
        <v>153</v>
      </c>
      <c r="N78" t="s">
        <v>198</v>
      </c>
      <c r="O78" t="s">
        <v>287</v>
      </c>
      <c r="P78">
        <v>0.1539757629958666</v>
      </c>
      <c r="Q78" t="s">
        <v>153</v>
      </c>
      <c r="S78" t="s">
        <v>213</v>
      </c>
      <c r="T78" t="s">
        <v>287</v>
      </c>
      <c r="U78">
        <v>0.22164297164624852</v>
      </c>
      <c r="V78" t="s">
        <v>153</v>
      </c>
      <c r="AK78">
        <v>2038</v>
      </c>
      <c r="AL78" t="s">
        <v>279</v>
      </c>
      <c r="AM78">
        <v>0.23503333333333334</v>
      </c>
      <c r="AN78" t="s">
        <v>227</v>
      </c>
    </row>
    <row r="79" spans="9:40" x14ac:dyDescent="0.45">
      <c r="I79" t="s">
        <v>169</v>
      </c>
      <c r="J79" t="s">
        <v>288</v>
      </c>
      <c r="K79">
        <v>1.9705259906085709E-2</v>
      </c>
      <c r="L79" t="s">
        <v>153</v>
      </c>
      <c r="N79" t="s">
        <v>198</v>
      </c>
      <c r="O79" t="s">
        <v>288</v>
      </c>
      <c r="P79">
        <v>2.2550234487925438E-2</v>
      </c>
      <c r="Q79" t="s">
        <v>153</v>
      </c>
      <c r="S79" t="s">
        <v>213</v>
      </c>
      <c r="T79" t="s">
        <v>288</v>
      </c>
      <c r="U79">
        <v>4.0519174665918228E-2</v>
      </c>
      <c r="V79" t="s">
        <v>153</v>
      </c>
      <c r="AK79">
        <v>2039</v>
      </c>
      <c r="AL79" t="s">
        <v>274</v>
      </c>
      <c r="AM79">
        <v>0.17696666666666669</v>
      </c>
      <c r="AN79" t="s">
        <v>227</v>
      </c>
    </row>
    <row r="80" spans="9:40" x14ac:dyDescent="0.45">
      <c r="I80" t="s">
        <v>169</v>
      </c>
      <c r="J80" t="s">
        <v>289</v>
      </c>
      <c r="K80">
        <v>0.24751134186969423</v>
      </c>
      <c r="L80" t="s">
        <v>153</v>
      </c>
      <c r="N80" t="s">
        <v>198</v>
      </c>
      <c r="O80" t="s">
        <v>289</v>
      </c>
      <c r="P80">
        <v>0.10628742213354204</v>
      </c>
      <c r="Q80" t="s">
        <v>153</v>
      </c>
      <c r="S80" t="s">
        <v>213</v>
      </c>
      <c r="T80" t="s">
        <v>289</v>
      </c>
      <c r="U80">
        <v>0.10021940032285928</v>
      </c>
      <c r="V80" t="s">
        <v>153</v>
      </c>
      <c r="AK80">
        <v>2039</v>
      </c>
      <c r="AL80" t="s">
        <v>276</v>
      </c>
      <c r="AM80">
        <v>0.34096666666666664</v>
      </c>
      <c r="AN80" t="s">
        <v>227</v>
      </c>
    </row>
    <row r="81" spans="9:40" x14ac:dyDescent="0.45">
      <c r="I81" t="s">
        <v>169</v>
      </c>
      <c r="J81" t="s">
        <v>290</v>
      </c>
      <c r="K81">
        <v>0</v>
      </c>
      <c r="L81" t="s">
        <v>153</v>
      </c>
      <c r="N81" t="s">
        <v>198</v>
      </c>
      <c r="O81" t="s">
        <v>290</v>
      </c>
      <c r="P81">
        <v>0.16050380073315829</v>
      </c>
      <c r="Q81" t="s">
        <v>153</v>
      </c>
      <c r="S81" t="s">
        <v>213</v>
      </c>
      <c r="T81" t="s">
        <v>290</v>
      </c>
      <c r="U81">
        <v>6.6885786295101834E-2</v>
      </c>
      <c r="V81" t="s">
        <v>153</v>
      </c>
      <c r="AK81">
        <v>2039</v>
      </c>
      <c r="AL81" t="s">
        <v>277</v>
      </c>
      <c r="AM81">
        <v>0.2349</v>
      </c>
      <c r="AN81" t="s">
        <v>227</v>
      </c>
    </row>
    <row r="82" spans="9:40" x14ac:dyDescent="0.45">
      <c r="I82" t="s">
        <v>169</v>
      </c>
      <c r="J82" t="s">
        <v>291</v>
      </c>
      <c r="K82">
        <v>3.087131054200646E-2</v>
      </c>
      <c r="L82" t="s">
        <v>153</v>
      </c>
      <c r="N82" t="s">
        <v>198</v>
      </c>
      <c r="O82" t="s">
        <v>291</v>
      </c>
      <c r="P82">
        <v>7.2242059177148668E-3</v>
      </c>
      <c r="Q82" t="s">
        <v>153</v>
      </c>
      <c r="S82" t="s">
        <v>213</v>
      </c>
      <c r="T82" t="s">
        <v>291</v>
      </c>
      <c r="U82">
        <v>1.0142795696255405E-2</v>
      </c>
      <c r="V82" t="s">
        <v>153</v>
      </c>
      <c r="AK82">
        <v>2039</v>
      </c>
      <c r="AL82" t="s">
        <v>279</v>
      </c>
      <c r="AM82">
        <v>0.2591</v>
      </c>
      <c r="AN82" t="s">
        <v>227</v>
      </c>
    </row>
    <row r="83" spans="9:40" x14ac:dyDescent="0.45">
      <c r="I83" t="s">
        <v>170</v>
      </c>
      <c r="J83" t="s">
        <v>280</v>
      </c>
      <c r="K83">
        <v>0.20831671156082829</v>
      </c>
      <c r="L83" t="s">
        <v>153</v>
      </c>
      <c r="N83" t="s">
        <v>199</v>
      </c>
      <c r="O83" t="s">
        <v>280</v>
      </c>
      <c r="P83">
        <v>0.10968764907687754</v>
      </c>
      <c r="Q83" t="s">
        <v>153</v>
      </c>
      <c r="S83" t="s">
        <v>214</v>
      </c>
      <c r="T83" t="s">
        <v>280</v>
      </c>
      <c r="U83">
        <v>0.10966784202846154</v>
      </c>
      <c r="V83" t="s">
        <v>153</v>
      </c>
      <c r="AK83">
        <v>2040</v>
      </c>
      <c r="AL83" t="s">
        <v>274</v>
      </c>
      <c r="AM83">
        <v>0.17673333333333333</v>
      </c>
      <c r="AN83" t="s">
        <v>227</v>
      </c>
    </row>
    <row r="84" spans="9:40" x14ac:dyDescent="0.45">
      <c r="I84" t="s">
        <v>170</v>
      </c>
      <c r="J84" t="s">
        <v>281</v>
      </c>
      <c r="K84">
        <v>0</v>
      </c>
      <c r="L84" t="s">
        <v>153</v>
      </c>
      <c r="N84" t="s">
        <v>199</v>
      </c>
      <c r="O84" t="s">
        <v>281</v>
      </c>
      <c r="P84">
        <v>0.12496129770293686</v>
      </c>
      <c r="Q84" t="s">
        <v>153</v>
      </c>
      <c r="S84" t="s">
        <v>214</v>
      </c>
      <c r="T84" t="s">
        <v>281</v>
      </c>
      <c r="U84">
        <v>0.11131393082439214</v>
      </c>
      <c r="V84" t="s">
        <v>153</v>
      </c>
      <c r="AK84">
        <v>2040</v>
      </c>
      <c r="AL84" t="s">
        <v>276</v>
      </c>
      <c r="AM84">
        <v>0.36726666666666663</v>
      </c>
      <c r="AN84" t="s">
        <v>227</v>
      </c>
    </row>
    <row r="85" spans="9:40" x14ac:dyDescent="0.45">
      <c r="I85" t="s">
        <v>170</v>
      </c>
      <c r="J85" t="s">
        <v>282</v>
      </c>
      <c r="K85">
        <v>1.5583352341480875E-2</v>
      </c>
      <c r="L85" t="s">
        <v>153</v>
      </c>
      <c r="N85" t="s">
        <v>199</v>
      </c>
      <c r="O85" t="s">
        <v>282</v>
      </c>
      <c r="P85">
        <v>1.3953206405397212E-2</v>
      </c>
      <c r="Q85" t="s">
        <v>153</v>
      </c>
      <c r="S85" t="s">
        <v>214</v>
      </c>
      <c r="T85" t="s">
        <v>282</v>
      </c>
      <c r="U85">
        <v>1.8659522263587358E-2</v>
      </c>
      <c r="V85" t="s">
        <v>153</v>
      </c>
      <c r="AK85">
        <v>2040</v>
      </c>
      <c r="AL85" t="s">
        <v>277</v>
      </c>
      <c r="AM85">
        <v>0.25186666666666663</v>
      </c>
      <c r="AN85" t="s">
        <v>227</v>
      </c>
    </row>
    <row r="86" spans="9:40" x14ac:dyDescent="0.45">
      <c r="I86" t="s">
        <v>170</v>
      </c>
      <c r="J86" t="s">
        <v>283</v>
      </c>
      <c r="K86">
        <v>0.25799174711040235</v>
      </c>
      <c r="L86" t="s">
        <v>153</v>
      </c>
      <c r="N86" t="s">
        <v>199</v>
      </c>
      <c r="O86" t="s">
        <v>283</v>
      </c>
      <c r="P86">
        <v>4.1822745124234194E-2</v>
      </c>
      <c r="Q86" t="s">
        <v>153</v>
      </c>
      <c r="S86" t="s">
        <v>214</v>
      </c>
      <c r="T86" t="s">
        <v>283</v>
      </c>
      <c r="U86">
        <v>4.9906998400123151E-2</v>
      </c>
      <c r="V86" t="s">
        <v>153</v>
      </c>
      <c r="AK86">
        <v>2040</v>
      </c>
      <c r="AL86" t="s">
        <v>279</v>
      </c>
      <c r="AM86">
        <v>0.24463333333333334</v>
      </c>
      <c r="AN86" t="s">
        <v>227</v>
      </c>
    </row>
    <row r="87" spans="9:40" x14ac:dyDescent="0.45">
      <c r="I87" t="s">
        <v>170</v>
      </c>
      <c r="J87" t="s">
        <v>284</v>
      </c>
      <c r="K87">
        <v>0</v>
      </c>
      <c r="L87" t="s">
        <v>153</v>
      </c>
      <c r="N87" t="s">
        <v>199</v>
      </c>
      <c r="O87" t="s">
        <v>284</v>
      </c>
      <c r="P87">
        <v>0.10531794754275214</v>
      </c>
      <c r="Q87" t="s">
        <v>153</v>
      </c>
      <c r="S87" t="s">
        <v>214</v>
      </c>
      <c r="T87" t="s">
        <v>284</v>
      </c>
      <c r="U87">
        <v>5.2618870426154395E-2</v>
      </c>
      <c r="V87" t="s">
        <v>153</v>
      </c>
      <c r="AK87">
        <v>2041</v>
      </c>
      <c r="AL87" t="s">
        <v>274</v>
      </c>
      <c r="AM87">
        <v>0.111</v>
      </c>
      <c r="AN87" t="s">
        <v>227</v>
      </c>
    </row>
    <row r="88" spans="9:40" x14ac:dyDescent="0.45">
      <c r="I88" t="s">
        <v>170</v>
      </c>
      <c r="J88" t="s">
        <v>285</v>
      </c>
      <c r="K88">
        <v>3.0416355268658098E-2</v>
      </c>
      <c r="L88" t="s">
        <v>153</v>
      </c>
      <c r="N88" t="s">
        <v>199</v>
      </c>
      <c r="O88" t="s">
        <v>285</v>
      </c>
      <c r="P88">
        <v>7.5189110446246994E-3</v>
      </c>
      <c r="Q88" t="s">
        <v>153</v>
      </c>
      <c r="S88" t="s">
        <v>214</v>
      </c>
      <c r="T88" t="s">
        <v>285</v>
      </c>
      <c r="U88">
        <v>9.5849674180536106E-3</v>
      </c>
      <c r="V88" t="s">
        <v>153</v>
      </c>
      <c r="AK88">
        <v>2041</v>
      </c>
      <c r="AL88" t="s">
        <v>276</v>
      </c>
      <c r="AM88">
        <v>0.27516666666666667</v>
      </c>
      <c r="AN88" t="s">
        <v>227</v>
      </c>
    </row>
    <row r="89" spans="9:40" x14ac:dyDescent="0.45">
      <c r="I89" t="s">
        <v>170</v>
      </c>
      <c r="J89" t="s">
        <v>286</v>
      </c>
      <c r="K89">
        <v>0.18877830179477822</v>
      </c>
      <c r="L89" t="s">
        <v>153</v>
      </c>
      <c r="N89" t="s">
        <v>199</v>
      </c>
      <c r="O89" t="s">
        <v>286</v>
      </c>
      <c r="P89">
        <v>0.12136270130846097</v>
      </c>
      <c r="Q89" t="s">
        <v>153</v>
      </c>
      <c r="S89" t="s">
        <v>214</v>
      </c>
      <c r="T89" t="s">
        <v>286</v>
      </c>
      <c r="U89">
        <v>0.19597559928063912</v>
      </c>
      <c r="V89" t="s">
        <v>153</v>
      </c>
      <c r="AK89">
        <v>2041</v>
      </c>
      <c r="AL89" t="s">
        <v>277</v>
      </c>
      <c r="AM89">
        <v>0.22753333333333334</v>
      </c>
      <c r="AN89" t="s">
        <v>227</v>
      </c>
    </row>
    <row r="90" spans="9:40" x14ac:dyDescent="0.45">
      <c r="I90" t="s">
        <v>170</v>
      </c>
      <c r="J90" t="s">
        <v>287</v>
      </c>
      <c r="K90">
        <v>5.9085726854175467E-4</v>
      </c>
      <c r="L90" t="s">
        <v>153</v>
      </c>
      <c r="N90" t="s">
        <v>199</v>
      </c>
      <c r="O90" t="s">
        <v>287</v>
      </c>
      <c r="P90">
        <v>0.17306167858340629</v>
      </c>
      <c r="Q90" t="s">
        <v>153</v>
      </c>
      <c r="S90" t="s">
        <v>214</v>
      </c>
      <c r="T90" t="s">
        <v>287</v>
      </c>
      <c r="U90">
        <v>0.1987622518530541</v>
      </c>
      <c r="V90" t="s">
        <v>153</v>
      </c>
      <c r="AK90">
        <v>2041</v>
      </c>
      <c r="AL90" t="s">
        <v>279</v>
      </c>
      <c r="AM90">
        <v>0.18206666666666668</v>
      </c>
      <c r="AN90" t="s">
        <v>227</v>
      </c>
    </row>
    <row r="91" spans="9:40" x14ac:dyDescent="0.45">
      <c r="I91" t="s">
        <v>170</v>
      </c>
      <c r="J91" t="s">
        <v>288</v>
      </c>
      <c r="K91">
        <v>1.7994570492980685E-2</v>
      </c>
      <c r="L91" t="s">
        <v>153</v>
      </c>
      <c r="N91" t="s">
        <v>199</v>
      </c>
      <c r="O91" t="s">
        <v>288</v>
      </c>
      <c r="P91">
        <v>1.8686056285690797E-2</v>
      </c>
      <c r="Q91" t="s">
        <v>153</v>
      </c>
      <c r="S91" t="s">
        <v>214</v>
      </c>
      <c r="T91" t="s">
        <v>288</v>
      </c>
      <c r="U91">
        <v>3.520121607993143E-2</v>
      </c>
      <c r="V91" t="s">
        <v>153</v>
      </c>
      <c r="AK91">
        <v>2042</v>
      </c>
      <c r="AL91" t="s">
        <v>274</v>
      </c>
      <c r="AM91">
        <v>0.14333333333333334</v>
      </c>
      <c r="AN91" t="s">
        <v>227</v>
      </c>
    </row>
    <row r="92" spans="9:40" x14ac:dyDescent="0.45">
      <c r="I92" t="s">
        <v>170</v>
      </c>
      <c r="J92" t="s">
        <v>289</v>
      </c>
      <c r="K92">
        <v>0.25238840727836259</v>
      </c>
      <c r="L92" t="s">
        <v>153</v>
      </c>
      <c r="N92" t="s">
        <v>199</v>
      </c>
      <c r="O92" t="s">
        <v>289</v>
      </c>
      <c r="P92">
        <v>0.10372667672547067</v>
      </c>
      <c r="Q92" t="s">
        <v>153</v>
      </c>
      <c r="S92" t="s">
        <v>214</v>
      </c>
      <c r="T92" t="s">
        <v>289</v>
      </c>
      <c r="U92">
        <v>9.1233412420098026E-2</v>
      </c>
      <c r="V92" t="s">
        <v>153</v>
      </c>
      <c r="AK92">
        <v>2042</v>
      </c>
      <c r="AL92" t="s">
        <v>276</v>
      </c>
      <c r="AM92">
        <v>0.27356666666666668</v>
      </c>
      <c r="AN92" t="s">
        <v>227</v>
      </c>
    </row>
    <row r="93" spans="9:40" x14ac:dyDescent="0.45">
      <c r="I93" t="s">
        <v>170</v>
      </c>
      <c r="J93" t="s">
        <v>290</v>
      </c>
      <c r="K93">
        <v>0</v>
      </c>
      <c r="L93" t="s">
        <v>153</v>
      </c>
      <c r="N93" t="s">
        <v>199</v>
      </c>
      <c r="O93" t="s">
        <v>290</v>
      </c>
      <c r="P93">
        <v>0.17055123248056098</v>
      </c>
      <c r="Q93" t="s">
        <v>153</v>
      </c>
      <c r="S93" t="s">
        <v>214</v>
      </c>
      <c r="T93" t="s">
        <v>290</v>
      </c>
      <c r="U93">
        <v>0.11217755394539605</v>
      </c>
      <c r="V93" t="s">
        <v>153</v>
      </c>
      <c r="AK93">
        <v>2042</v>
      </c>
      <c r="AL93" t="s">
        <v>277</v>
      </c>
      <c r="AM93">
        <v>0.23673333333333332</v>
      </c>
      <c r="AN93" t="s">
        <v>227</v>
      </c>
    </row>
    <row r="94" spans="9:40" x14ac:dyDescent="0.45">
      <c r="I94" t="s">
        <v>170</v>
      </c>
      <c r="J94" t="s">
        <v>291</v>
      </c>
      <c r="K94">
        <v>2.793969688396836E-2</v>
      </c>
      <c r="L94" t="s">
        <v>153</v>
      </c>
      <c r="N94" t="s">
        <v>199</v>
      </c>
      <c r="O94" t="s">
        <v>291</v>
      </c>
      <c r="P94">
        <v>9.3498977195898697E-3</v>
      </c>
      <c r="Q94" t="s">
        <v>153</v>
      </c>
      <c r="S94" t="s">
        <v>214</v>
      </c>
      <c r="T94" t="s">
        <v>291</v>
      </c>
      <c r="U94">
        <v>1.4897835060109698E-2</v>
      </c>
      <c r="V94" t="s">
        <v>153</v>
      </c>
      <c r="AK94">
        <v>2042</v>
      </c>
      <c r="AL94" t="s">
        <v>279</v>
      </c>
      <c r="AM94">
        <v>0.28770000000000001</v>
      </c>
      <c r="AN94" t="s">
        <v>227</v>
      </c>
    </row>
    <row r="95" spans="9:40" x14ac:dyDescent="0.45">
      <c r="I95" t="s">
        <v>171</v>
      </c>
      <c r="J95" t="s">
        <v>280</v>
      </c>
      <c r="K95">
        <v>0.20926434015203543</v>
      </c>
      <c r="L95" t="s">
        <v>153</v>
      </c>
      <c r="N95" t="s">
        <v>200</v>
      </c>
      <c r="O95" t="s">
        <v>280</v>
      </c>
      <c r="P95">
        <v>0.13474773538867865</v>
      </c>
      <c r="Q95" t="s">
        <v>153</v>
      </c>
      <c r="S95" t="s">
        <v>215</v>
      </c>
      <c r="T95" t="s">
        <v>280</v>
      </c>
      <c r="U95">
        <v>0.11765688794066519</v>
      </c>
      <c r="V95" t="s">
        <v>153</v>
      </c>
      <c r="AK95">
        <v>2043</v>
      </c>
      <c r="AL95" t="s">
        <v>274</v>
      </c>
      <c r="AM95">
        <v>0.15673333333333334</v>
      </c>
      <c r="AN95" t="s">
        <v>227</v>
      </c>
    </row>
    <row r="96" spans="9:40" x14ac:dyDescent="0.45">
      <c r="I96" t="s">
        <v>171</v>
      </c>
      <c r="J96" t="s">
        <v>281</v>
      </c>
      <c r="K96">
        <v>0</v>
      </c>
      <c r="L96" t="s">
        <v>153</v>
      </c>
      <c r="N96" t="s">
        <v>200</v>
      </c>
      <c r="O96" t="s">
        <v>281</v>
      </c>
      <c r="P96">
        <v>0.10107390490645995</v>
      </c>
      <c r="Q96" t="s">
        <v>153</v>
      </c>
      <c r="S96" t="s">
        <v>215</v>
      </c>
      <c r="T96" t="s">
        <v>281</v>
      </c>
      <c r="U96">
        <v>0.11642265358863962</v>
      </c>
      <c r="V96" t="s">
        <v>153</v>
      </c>
      <c r="AK96">
        <v>2043</v>
      </c>
      <c r="AL96" t="s">
        <v>276</v>
      </c>
      <c r="AM96">
        <v>0.28093333333333331</v>
      </c>
      <c r="AN96" t="s">
        <v>227</v>
      </c>
    </row>
    <row r="97" spans="9:40" x14ac:dyDescent="0.45">
      <c r="I97" t="s">
        <v>171</v>
      </c>
      <c r="J97" t="s">
        <v>282</v>
      </c>
      <c r="K97">
        <v>1.389791295612801E-2</v>
      </c>
      <c r="L97" t="s">
        <v>153</v>
      </c>
      <c r="N97" t="s">
        <v>200</v>
      </c>
      <c r="O97" t="s">
        <v>282</v>
      </c>
      <c r="P97">
        <v>1.2869062603176936E-2</v>
      </c>
      <c r="Q97" t="s">
        <v>153</v>
      </c>
      <c r="S97" t="s">
        <v>215</v>
      </c>
      <c r="T97" t="s">
        <v>282</v>
      </c>
      <c r="U97">
        <v>1.9381494075493909E-2</v>
      </c>
      <c r="V97" t="s">
        <v>153</v>
      </c>
      <c r="AK97">
        <v>2043</v>
      </c>
      <c r="AL97" t="s">
        <v>277</v>
      </c>
      <c r="AM97">
        <v>0.25316666666666671</v>
      </c>
      <c r="AN97" t="s">
        <v>227</v>
      </c>
    </row>
    <row r="98" spans="9:40" x14ac:dyDescent="0.45">
      <c r="I98" t="s">
        <v>171</v>
      </c>
      <c r="J98" t="s">
        <v>283</v>
      </c>
      <c r="K98">
        <v>0.25702289977892739</v>
      </c>
      <c r="L98" t="s">
        <v>153</v>
      </c>
      <c r="N98" t="s">
        <v>200</v>
      </c>
      <c r="O98" t="s">
        <v>283</v>
      </c>
      <c r="P98">
        <v>5.0982062514642469E-2</v>
      </c>
      <c r="Q98" t="s">
        <v>153</v>
      </c>
      <c r="S98" t="s">
        <v>215</v>
      </c>
      <c r="T98" t="s">
        <v>283</v>
      </c>
      <c r="U98">
        <v>4.929482061714921E-2</v>
      </c>
      <c r="V98" t="s">
        <v>153</v>
      </c>
      <c r="AK98">
        <v>2043</v>
      </c>
      <c r="AL98" t="s">
        <v>279</v>
      </c>
      <c r="AM98">
        <v>0.25790000000000002</v>
      </c>
      <c r="AN98" t="s">
        <v>227</v>
      </c>
    </row>
    <row r="99" spans="9:40" x14ac:dyDescent="0.45">
      <c r="I99" t="s">
        <v>171</v>
      </c>
      <c r="J99" t="s">
        <v>284</v>
      </c>
      <c r="K99">
        <v>0</v>
      </c>
      <c r="L99" t="s">
        <v>153</v>
      </c>
      <c r="N99" t="s">
        <v>200</v>
      </c>
      <c r="O99" t="s">
        <v>284</v>
      </c>
      <c r="P99">
        <v>0.10702705296351556</v>
      </c>
      <c r="Q99" t="s">
        <v>153</v>
      </c>
      <c r="S99" t="s">
        <v>215</v>
      </c>
      <c r="T99" t="s">
        <v>284</v>
      </c>
      <c r="U99">
        <v>4.7917359375968076E-2</v>
      </c>
      <c r="V99" t="s">
        <v>153</v>
      </c>
      <c r="AK99">
        <v>2044</v>
      </c>
      <c r="AL99" t="s">
        <v>274</v>
      </c>
      <c r="AM99">
        <v>0.18303333333333335</v>
      </c>
      <c r="AN99" t="s">
        <v>227</v>
      </c>
    </row>
    <row r="100" spans="9:40" x14ac:dyDescent="0.45">
      <c r="I100" t="s">
        <v>171</v>
      </c>
      <c r="J100" t="s">
        <v>285</v>
      </c>
      <c r="K100">
        <v>2.8799012319109901E-2</v>
      </c>
      <c r="L100" t="s">
        <v>153</v>
      </c>
      <c r="N100" t="s">
        <v>200</v>
      </c>
      <c r="O100" t="s">
        <v>285</v>
      </c>
      <c r="P100">
        <v>9.7738858176425816E-3</v>
      </c>
      <c r="Q100" t="s">
        <v>153</v>
      </c>
      <c r="S100" t="s">
        <v>215</v>
      </c>
      <c r="T100" t="s">
        <v>285</v>
      </c>
      <c r="U100">
        <v>8.7457099005217951E-3</v>
      </c>
      <c r="V100" t="s">
        <v>153</v>
      </c>
      <c r="AK100">
        <v>2044</v>
      </c>
      <c r="AL100" t="s">
        <v>276</v>
      </c>
      <c r="AM100">
        <v>0.25169999999999998</v>
      </c>
      <c r="AN100" t="s">
        <v>227</v>
      </c>
    </row>
    <row r="101" spans="9:40" x14ac:dyDescent="0.45">
      <c r="I101" t="s">
        <v>171</v>
      </c>
      <c r="J101" t="s">
        <v>286</v>
      </c>
      <c r="K101">
        <v>0.18572901062879313</v>
      </c>
      <c r="L101" t="s">
        <v>153</v>
      </c>
      <c r="N101" t="s">
        <v>200</v>
      </c>
      <c r="O101" t="s">
        <v>286</v>
      </c>
      <c r="P101">
        <v>0.12454521747989152</v>
      </c>
      <c r="Q101" t="s">
        <v>153</v>
      </c>
      <c r="S101" t="s">
        <v>215</v>
      </c>
      <c r="T101" t="s">
        <v>286</v>
      </c>
      <c r="U101">
        <v>0.20596883850118081</v>
      </c>
      <c r="V101" t="s">
        <v>153</v>
      </c>
      <c r="AK101">
        <v>2044</v>
      </c>
      <c r="AL101" t="s">
        <v>277</v>
      </c>
      <c r="AM101">
        <v>0.25659999999999999</v>
      </c>
      <c r="AN101" t="s">
        <v>227</v>
      </c>
    </row>
    <row r="102" spans="9:40" x14ac:dyDescent="0.45">
      <c r="I102" t="s">
        <v>171</v>
      </c>
      <c r="J102" t="s">
        <v>287</v>
      </c>
      <c r="K102">
        <v>7.5400881560145409E-6</v>
      </c>
      <c r="L102" t="s">
        <v>153</v>
      </c>
      <c r="N102" t="s">
        <v>200</v>
      </c>
      <c r="O102" t="s">
        <v>287</v>
      </c>
      <c r="P102">
        <v>0.16108406273662351</v>
      </c>
      <c r="Q102" t="s">
        <v>153</v>
      </c>
      <c r="S102" t="s">
        <v>215</v>
      </c>
      <c r="T102" t="s">
        <v>287</v>
      </c>
      <c r="U102">
        <v>0.2123215714775058</v>
      </c>
      <c r="V102" t="s">
        <v>153</v>
      </c>
      <c r="AK102">
        <v>2044</v>
      </c>
      <c r="AL102" t="s">
        <v>279</v>
      </c>
      <c r="AM102">
        <v>0.2145</v>
      </c>
      <c r="AN102" t="s">
        <v>227</v>
      </c>
    </row>
    <row r="103" spans="9:40" x14ac:dyDescent="0.45">
      <c r="I103" t="s">
        <v>171</v>
      </c>
      <c r="J103" t="s">
        <v>288</v>
      </c>
      <c r="K103">
        <v>1.6144119376533303E-2</v>
      </c>
      <c r="L103" t="s">
        <v>153</v>
      </c>
      <c r="N103" t="s">
        <v>200</v>
      </c>
      <c r="O103" t="s">
        <v>288</v>
      </c>
      <c r="P103">
        <v>1.6900025603921006E-2</v>
      </c>
      <c r="Q103" t="s">
        <v>153</v>
      </c>
      <c r="S103" t="s">
        <v>215</v>
      </c>
      <c r="T103" t="s">
        <v>288</v>
      </c>
      <c r="U103">
        <v>3.8141726613973977E-2</v>
      </c>
      <c r="V103" t="s">
        <v>153</v>
      </c>
      <c r="AK103">
        <v>2045</v>
      </c>
      <c r="AL103" t="s">
        <v>274</v>
      </c>
      <c r="AM103">
        <v>0.12590000000000001</v>
      </c>
      <c r="AN103" t="s">
        <v>227</v>
      </c>
    </row>
    <row r="104" spans="9:40" x14ac:dyDescent="0.45">
      <c r="I104" t="s">
        <v>171</v>
      </c>
      <c r="J104" t="s">
        <v>289</v>
      </c>
      <c r="K104">
        <v>0.26152181483147219</v>
      </c>
      <c r="L104" t="s">
        <v>153</v>
      </c>
      <c r="N104" t="s">
        <v>200</v>
      </c>
      <c r="O104" t="s">
        <v>289</v>
      </c>
      <c r="P104">
        <v>0.14059917861032528</v>
      </c>
      <c r="Q104" t="s">
        <v>153</v>
      </c>
      <c r="S104" t="s">
        <v>215</v>
      </c>
      <c r="T104" t="s">
        <v>289</v>
      </c>
      <c r="U104">
        <v>8.5574397235884558E-2</v>
      </c>
      <c r="V104" t="s">
        <v>153</v>
      </c>
      <c r="AK104">
        <v>2045</v>
      </c>
      <c r="AL104" t="s">
        <v>276</v>
      </c>
      <c r="AM104">
        <v>0.2432</v>
      </c>
      <c r="AN104" t="s">
        <v>227</v>
      </c>
    </row>
    <row r="105" spans="9:40" x14ac:dyDescent="0.45">
      <c r="I105" t="s">
        <v>171</v>
      </c>
      <c r="J105" t="s">
        <v>290</v>
      </c>
      <c r="K105">
        <v>0</v>
      </c>
      <c r="L105" t="s">
        <v>153</v>
      </c>
      <c r="N105" t="s">
        <v>200</v>
      </c>
      <c r="O105" t="s">
        <v>290</v>
      </c>
      <c r="P105">
        <v>0.1302414721089403</v>
      </c>
      <c r="Q105" t="s">
        <v>153</v>
      </c>
      <c r="S105" t="s">
        <v>215</v>
      </c>
      <c r="T105" t="s">
        <v>290</v>
      </c>
      <c r="U105">
        <v>8.8233633635408523E-2</v>
      </c>
      <c r="V105" t="s">
        <v>153</v>
      </c>
      <c r="AK105">
        <v>2045</v>
      </c>
      <c r="AL105" t="s">
        <v>277</v>
      </c>
      <c r="AM105">
        <v>0.20509999999999998</v>
      </c>
      <c r="AN105" t="s">
        <v>227</v>
      </c>
    </row>
    <row r="106" spans="9:40" x14ac:dyDescent="0.45">
      <c r="I106" t="s">
        <v>171</v>
      </c>
      <c r="J106" t="s">
        <v>291</v>
      </c>
      <c r="K106">
        <v>2.7613349868847656E-2</v>
      </c>
      <c r="L106" t="s">
        <v>153</v>
      </c>
      <c r="N106" t="s">
        <v>200</v>
      </c>
      <c r="O106" t="s">
        <v>291</v>
      </c>
      <c r="P106">
        <v>1.0156339266180058E-2</v>
      </c>
      <c r="Q106" t="s">
        <v>153</v>
      </c>
      <c r="S106" t="s">
        <v>215</v>
      </c>
      <c r="T106" t="s">
        <v>291</v>
      </c>
      <c r="U106">
        <v>1.034090703760579E-2</v>
      </c>
      <c r="V106" t="s">
        <v>153</v>
      </c>
      <c r="AK106">
        <v>2045</v>
      </c>
      <c r="AL106" t="s">
        <v>279</v>
      </c>
      <c r="AM106">
        <v>0.25523333333333337</v>
      </c>
      <c r="AN106" t="s">
        <v>227</v>
      </c>
    </row>
    <row r="107" spans="9:40" x14ac:dyDescent="0.45">
      <c r="I107" t="s">
        <v>172</v>
      </c>
      <c r="J107" t="s">
        <v>280</v>
      </c>
      <c r="K107">
        <v>0.20830052979996438</v>
      </c>
      <c r="L107" t="s">
        <v>153</v>
      </c>
      <c r="N107" t="s">
        <v>201</v>
      </c>
      <c r="O107" t="s">
        <v>280</v>
      </c>
      <c r="P107">
        <v>9.4803544919402502E-2</v>
      </c>
      <c r="Q107" t="s">
        <v>153</v>
      </c>
      <c r="S107" t="s">
        <v>216</v>
      </c>
      <c r="T107" t="s">
        <v>280</v>
      </c>
      <c r="U107">
        <v>0.11943379161691137</v>
      </c>
      <c r="V107" t="s">
        <v>153</v>
      </c>
      <c r="AK107">
        <v>2046</v>
      </c>
      <c r="AL107" t="s">
        <v>274</v>
      </c>
      <c r="AM107">
        <v>0.13626666666666667</v>
      </c>
      <c r="AN107" t="s">
        <v>227</v>
      </c>
    </row>
    <row r="108" spans="9:40" x14ac:dyDescent="0.45">
      <c r="I108" t="s">
        <v>172</v>
      </c>
      <c r="J108" t="s">
        <v>281</v>
      </c>
      <c r="K108">
        <v>0</v>
      </c>
      <c r="L108" t="s">
        <v>153</v>
      </c>
      <c r="N108" t="s">
        <v>201</v>
      </c>
      <c r="O108" t="s">
        <v>281</v>
      </c>
      <c r="P108">
        <v>9.3619642501491199E-2</v>
      </c>
      <c r="Q108" t="s">
        <v>153</v>
      </c>
      <c r="S108" t="s">
        <v>216</v>
      </c>
      <c r="T108" t="s">
        <v>281</v>
      </c>
      <c r="U108">
        <v>0.11762539607202367</v>
      </c>
      <c r="V108" t="s">
        <v>153</v>
      </c>
      <c r="AK108">
        <v>2046</v>
      </c>
      <c r="AL108" t="s">
        <v>276</v>
      </c>
      <c r="AM108">
        <v>0.31853333333333333</v>
      </c>
      <c r="AN108" t="s">
        <v>227</v>
      </c>
    </row>
    <row r="109" spans="9:40" x14ac:dyDescent="0.45">
      <c r="I109" t="s">
        <v>172</v>
      </c>
      <c r="J109" t="s">
        <v>282</v>
      </c>
      <c r="K109">
        <v>1.7753959004778198E-2</v>
      </c>
      <c r="L109" t="s">
        <v>153</v>
      </c>
      <c r="N109" t="s">
        <v>201</v>
      </c>
      <c r="O109" t="s">
        <v>282</v>
      </c>
      <c r="P109">
        <v>1.1440550507491761E-2</v>
      </c>
      <c r="Q109" t="s">
        <v>153</v>
      </c>
      <c r="S109" t="s">
        <v>216</v>
      </c>
      <c r="T109" t="s">
        <v>282</v>
      </c>
      <c r="U109">
        <v>2.0028302658459916E-2</v>
      </c>
      <c r="V109" t="s">
        <v>153</v>
      </c>
      <c r="AK109">
        <v>2046</v>
      </c>
      <c r="AL109" t="s">
        <v>277</v>
      </c>
      <c r="AM109">
        <v>0.27383333333333337</v>
      </c>
      <c r="AN109" t="s">
        <v>227</v>
      </c>
    </row>
    <row r="110" spans="9:40" x14ac:dyDescent="0.45">
      <c r="I110" t="s">
        <v>172</v>
      </c>
      <c r="J110" t="s">
        <v>283</v>
      </c>
      <c r="K110">
        <v>0.24951055042098694</v>
      </c>
      <c r="L110" t="s">
        <v>153</v>
      </c>
      <c r="N110" t="s">
        <v>201</v>
      </c>
      <c r="O110" t="s">
        <v>283</v>
      </c>
      <c r="P110">
        <v>5.3022410208339421E-2</v>
      </c>
      <c r="Q110" t="s">
        <v>153</v>
      </c>
      <c r="S110" t="s">
        <v>216</v>
      </c>
      <c r="T110" t="s">
        <v>283</v>
      </c>
      <c r="U110">
        <v>5.0451409452711302E-2</v>
      </c>
      <c r="V110" t="s">
        <v>153</v>
      </c>
      <c r="AK110">
        <v>2046</v>
      </c>
      <c r="AL110" t="s">
        <v>279</v>
      </c>
      <c r="AM110">
        <v>0.28810000000000002</v>
      </c>
      <c r="AN110" t="s">
        <v>227</v>
      </c>
    </row>
    <row r="111" spans="9:40" x14ac:dyDescent="0.45">
      <c r="I111" t="s">
        <v>172</v>
      </c>
      <c r="J111" t="s">
        <v>284</v>
      </c>
      <c r="K111">
        <v>6.7366528227575672E-5</v>
      </c>
      <c r="L111" t="s">
        <v>153</v>
      </c>
      <c r="N111" t="s">
        <v>201</v>
      </c>
      <c r="O111" t="s">
        <v>284</v>
      </c>
      <c r="P111">
        <v>0.17617425622769428</v>
      </c>
      <c r="Q111" t="s">
        <v>153</v>
      </c>
      <c r="S111" t="s">
        <v>216</v>
      </c>
      <c r="T111" t="s">
        <v>284</v>
      </c>
      <c r="U111">
        <v>4.611778902654038E-2</v>
      </c>
      <c r="V111" t="s">
        <v>153</v>
      </c>
      <c r="AK111">
        <v>2047</v>
      </c>
      <c r="AL111" t="s">
        <v>274</v>
      </c>
      <c r="AM111">
        <v>0.14316666666666666</v>
      </c>
      <c r="AN111" t="s">
        <v>227</v>
      </c>
    </row>
    <row r="112" spans="9:40" x14ac:dyDescent="0.45">
      <c r="I112" t="s">
        <v>172</v>
      </c>
      <c r="J112" t="s">
        <v>285</v>
      </c>
      <c r="K112">
        <v>3.0742150480590702E-2</v>
      </c>
      <c r="L112" t="s">
        <v>153</v>
      </c>
      <c r="N112" t="s">
        <v>201</v>
      </c>
      <c r="O112" t="s">
        <v>285</v>
      </c>
      <c r="P112">
        <v>2.1486242888203527E-2</v>
      </c>
      <c r="Q112" t="s">
        <v>153</v>
      </c>
      <c r="S112" t="s">
        <v>216</v>
      </c>
      <c r="T112" t="s">
        <v>285</v>
      </c>
      <c r="U112">
        <v>8.5811429452532142E-3</v>
      </c>
      <c r="V112" t="s">
        <v>153</v>
      </c>
      <c r="AK112">
        <v>2047</v>
      </c>
      <c r="AL112" t="s">
        <v>276</v>
      </c>
      <c r="AM112">
        <v>0.29616666666666669</v>
      </c>
      <c r="AN112" t="s">
        <v>227</v>
      </c>
    </row>
    <row r="113" spans="9:40" x14ac:dyDescent="0.45">
      <c r="I113" t="s">
        <v>172</v>
      </c>
      <c r="J113" t="s">
        <v>286</v>
      </c>
      <c r="K113">
        <v>0.18774432017276643</v>
      </c>
      <c r="L113" t="s">
        <v>153</v>
      </c>
      <c r="N113" t="s">
        <v>201</v>
      </c>
      <c r="O113" t="s">
        <v>286</v>
      </c>
      <c r="P113">
        <v>0.10986275260731196</v>
      </c>
      <c r="Q113" t="s">
        <v>153</v>
      </c>
      <c r="S113" t="s">
        <v>216</v>
      </c>
      <c r="T113" t="s">
        <v>286</v>
      </c>
      <c r="U113">
        <v>0.21240686895536431</v>
      </c>
      <c r="V113" t="s">
        <v>153</v>
      </c>
      <c r="AK113">
        <v>2047</v>
      </c>
      <c r="AL113" t="s">
        <v>277</v>
      </c>
      <c r="AM113">
        <v>0.24489999999999998</v>
      </c>
      <c r="AN113" t="s">
        <v>227</v>
      </c>
    </row>
    <row r="114" spans="9:40" x14ac:dyDescent="0.45">
      <c r="I114" t="s">
        <v>172</v>
      </c>
      <c r="J114" t="s">
        <v>287</v>
      </c>
      <c r="K114">
        <v>2.9758615192140596E-3</v>
      </c>
      <c r="L114" t="s">
        <v>153</v>
      </c>
      <c r="N114" t="s">
        <v>201</v>
      </c>
      <c r="O114" t="s">
        <v>287</v>
      </c>
      <c r="P114">
        <v>0.15259260682167941</v>
      </c>
      <c r="Q114" t="s">
        <v>153</v>
      </c>
      <c r="S114" t="s">
        <v>216</v>
      </c>
      <c r="T114" t="s">
        <v>287</v>
      </c>
      <c r="U114">
        <v>0.22296814405426182</v>
      </c>
      <c r="V114" t="s">
        <v>153</v>
      </c>
      <c r="AK114">
        <v>2047</v>
      </c>
      <c r="AL114" t="s">
        <v>279</v>
      </c>
      <c r="AM114">
        <v>0.23306666666666667</v>
      </c>
      <c r="AN114" t="s">
        <v>227</v>
      </c>
    </row>
    <row r="115" spans="9:40" x14ac:dyDescent="0.45">
      <c r="I115" t="s">
        <v>172</v>
      </c>
      <c r="J115" t="s">
        <v>288</v>
      </c>
      <c r="K115">
        <v>1.9939011359603326E-2</v>
      </c>
      <c r="L115" t="s">
        <v>153</v>
      </c>
      <c r="N115" t="s">
        <v>201</v>
      </c>
      <c r="O115" t="s">
        <v>288</v>
      </c>
      <c r="P115">
        <v>2.1847553526818848E-2</v>
      </c>
      <c r="Q115" t="s">
        <v>153</v>
      </c>
      <c r="S115" t="s">
        <v>216</v>
      </c>
      <c r="T115" t="s">
        <v>288</v>
      </c>
      <c r="U115">
        <v>3.9999606867513839E-2</v>
      </c>
      <c r="V115" t="s">
        <v>153</v>
      </c>
      <c r="AK115">
        <v>2048</v>
      </c>
      <c r="AL115" t="s">
        <v>274</v>
      </c>
      <c r="AM115">
        <v>0.11423333333333334</v>
      </c>
      <c r="AN115" t="s">
        <v>227</v>
      </c>
    </row>
    <row r="116" spans="9:40" x14ac:dyDescent="0.45">
      <c r="I116" t="s">
        <v>172</v>
      </c>
      <c r="J116" t="s">
        <v>289</v>
      </c>
      <c r="K116">
        <v>0.25129981247998201</v>
      </c>
      <c r="L116" t="s">
        <v>153</v>
      </c>
      <c r="N116" t="s">
        <v>201</v>
      </c>
      <c r="O116" t="s">
        <v>289</v>
      </c>
      <c r="P116">
        <v>0.11096550983922276</v>
      </c>
      <c r="Q116" t="s">
        <v>153</v>
      </c>
      <c r="S116" t="s">
        <v>216</v>
      </c>
      <c r="T116" t="s">
        <v>289</v>
      </c>
      <c r="U116">
        <v>8.1766056517147426E-2</v>
      </c>
      <c r="V116" t="s">
        <v>153</v>
      </c>
      <c r="AK116">
        <v>2048</v>
      </c>
      <c r="AL116" t="s">
        <v>276</v>
      </c>
      <c r="AM116">
        <v>0.1721</v>
      </c>
      <c r="AN116" t="s">
        <v>227</v>
      </c>
    </row>
    <row r="117" spans="9:40" x14ac:dyDescent="0.45">
      <c r="I117" t="s">
        <v>172</v>
      </c>
      <c r="J117" t="s">
        <v>290</v>
      </c>
      <c r="K117">
        <v>0</v>
      </c>
      <c r="L117" t="s">
        <v>153</v>
      </c>
      <c r="N117" t="s">
        <v>201</v>
      </c>
      <c r="O117" t="s">
        <v>290</v>
      </c>
      <c r="P117">
        <v>0.14175205269985131</v>
      </c>
      <c r="Q117" t="s">
        <v>153</v>
      </c>
      <c r="S117" t="s">
        <v>216</v>
      </c>
      <c r="T117" t="s">
        <v>290</v>
      </c>
      <c r="U117">
        <v>7.1761764028600197E-2</v>
      </c>
      <c r="V117" t="s">
        <v>153</v>
      </c>
      <c r="AK117">
        <v>2048</v>
      </c>
      <c r="AL117" t="s">
        <v>277</v>
      </c>
      <c r="AM117">
        <v>0.22243333333333334</v>
      </c>
      <c r="AN117" t="s">
        <v>227</v>
      </c>
    </row>
    <row r="118" spans="9:40" x14ac:dyDescent="0.45">
      <c r="I118" t="s">
        <v>172</v>
      </c>
      <c r="J118" t="s">
        <v>291</v>
      </c>
      <c r="K118">
        <v>3.1666438233887206E-2</v>
      </c>
      <c r="L118" t="s">
        <v>153</v>
      </c>
      <c r="N118" t="s">
        <v>201</v>
      </c>
      <c r="O118" t="s">
        <v>291</v>
      </c>
      <c r="P118">
        <v>1.243287725249015E-2</v>
      </c>
      <c r="Q118" t="s">
        <v>153</v>
      </c>
      <c r="S118" t="s">
        <v>216</v>
      </c>
      <c r="T118" t="s">
        <v>291</v>
      </c>
      <c r="U118">
        <v>8.8597278052150192E-3</v>
      </c>
      <c r="V118" t="s">
        <v>153</v>
      </c>
      <c r="AK118">
        <v>2048</v>
      </c>
      <c r="AL118" t="s">
        <v>279</v>
      </c>
      <c r="AM118">
        <v>0.27249999999999996</v>
      </c>
      <c r="AN118" t="s">
        <v>227</v>
      </c>
    </row>
    <row r="119" spans="9:40" x14ac:dyDescent="0.45">
      <c r="I119" t="s">
        <v>173</v>
      </c>
      <c r="J119" t="s">
        <v>280</v>
      </c>
      <c r="K119">
        <v>0.20093499915006532</v>
      </c>
      <c r="L119" t="s">
        <v>153</v>
      </c>
      <c r="N119" t="s">
        <v>202</v>
      </c>
      <c r="O119" t="s">
        <v>280</v>
      </c>
      <c r="P119">
        <v>0.10920176527657975</v>
      </c>
      <c r="Q119" t="s">
        <v>153</v>
      </c>
      <c r="S119" t="s">
        <v>217</v>
      </c>
      <c r="T119" t="s">
        <v>280</v>
      </c>
      <c r="U119">
        <v>0.11815436605301234</v>
      </c>
      <c r="V119" t="s">
        <v>153</v>
      </c>
      <c r="AK119">
        <v>2049</v>
      </c>
      <c r="AL119" t="s">
        <v>274</v>
      </c>
      <c r="AM119">
        <v>0.13666666666666666</v>
      </c>
      <c r="AN119" t="s">
        <v>227</v>
      </c>
    </row>
    <row r="120" spans="9:40" x14ac:dyDescent="0.45">
      <c r="I120" t="s">
        <v>173</v>
      </c>
      <c r="J120" t="s">
        <v>281</v>
      </c>
      <c r="K120">
        <v>0</v>
      </c>
      <c r="L120" t="s">
        <v>153</v>
      </c>
      <c r="N120" t="s">
        <v>202</v>
      </c>
      <c r="O120" t="s">
        <v>281</v>
      </c>
      <c r="P120">
        <v>9.4869824799993646E-2</v>
      </c>
      <c r="Q120" t="s">
        <v>153</v>
      </c>
      <c r="S120" t="s">
        <v>217</v>
      </c>
      <c r="T120" t="s">
        <v>281</v>
      </c>
      <c r="U120">
        <v>0.1184854770584514</v>
      </c>
      <c r="V120" t="s">
        <v>153</v>
      </c>
      <c r="AK120">
        <v>2049</v>
      </c>
      <c r="AL120" t="s">
        <v>276</v>
      </c>
      <c r="AM120">
        <v>0.26699999999999996</v>
      </c>
      <c r="AN120" t="s">
        <v>227</v>
      </c>
    </row>
    <row r="121" spans="9:40" x14ac:dyDescent="0.45">
      <c r="I121" t="s">
        <v>173</v>
      </c>
      <c r="J121" t="s">
        <v>282</v>
      </c>
      <c r="K121">
        <v>1.879236668359285E-2</v>
      </c>
      <c r="L121" t="s">
        <v>153</v>
      </c>
      <c r="N121" t="s">
        <v>202</v>
      </c>
      <c r="O121" t="s">
        <v>282</v>
      </c>
      <c r="P121">
        <v>1.2899071846431444E-2</v>
      </c>
      <c r="Q121" t="s">
        <v>153</v>
      </c>
      <c r="S121" t="s">
        <v>217</v>
      </c>
      <c r="T121" t="s">
        <v>282</v>
      </c>
      <c r="U121">
        <v>2.0071358148673508E-2</v>
      </c>
      <c r="V121" t="s">
        <v>153</v>
      </c>
      <c r="AK121">
        <v>2049</v>
      </c>
      <c r="AL121" t="s">
        <v>277</v>
      </c>
      <c r="AM121">
        <v>0.2361</v>
      </c>
      <c r="AN121" t="s">
        <v>227</v>
      </c>
    </row>
    <row r="122" spans="9:40" x14ac:dyDescent="0.45">
      <c r="I122" t="s">
        <v>173</v>
      </c>
      <c r="J122" t="s">
        <v>283</v>
      </c>
      <c r="K122">
        <v>0.25844123899901222</v>
      </c>
      <c r="L122" t="s">
        <v>153</v>
      </c>
      <c r="N122" t="s">
        <v>202</v>
      </c>
      <c r="O122" t="s">
        <v>283</v>
      </c>
      <c r="P122">
        <v>9.4110172465121406E-2</v>
      </c>
      <c r="Q122" t="s">
        <v>153</v>
      </c>
      <c r="S122" t="s">
        <v>217</v>
      </c>
      <c r="T122" t="s">
        <v>283</v>
      </c>
      <c r="U122">
        <v>5.1078564342209906E-2</v>
      </c>
      <c r="V122" t="s">
        <v>153</v>
      </c>
      <c r="AK122">
        <v>2049</v>
      </c>
      <c r="AL122" t="s">
        <v>279</v>
      </c>
      <c r="AM122">
        <v>0.15206666666666666</v>
      </c>
      <c r="AN122" t="s">
        <v>227</v>
      </c>
    </row>
    <row r="123" spans="9:40" x14ac:dyDescent="0.45">
      <c r="I123" t="s">
        <v>173</v>
      </c>
      <c r="J123" t="s">
        <v>284</v>
      </c>
      <c r="K123">
        <v>2.3200438367201623E-4</v>
      </c>
      <c r="L123" t="s">
        <v>153</v>
      </c>
      <c r="N123" t="s">
        <v>202</v>
      </c>
      <c r="O123" t="s">
        <v>284</v>
      </c>
      <c r="P123">
        <v>0.10814603492854188</v>
      </c>
      <c r="Q123" t="s">
        <v>153</v>
      </c>
      <c r="S123" t="s">
        <v>217</v>
      </c>
      <c r="T123" t="s">
        <v>284</v>
      </c>
      <c r="U123">
        <v>4.5865638940916269E-2</v>
      </c>
      <c r="V123" t="s">
        <v>153</v>
      </c>
      <c r="AK123">
        <v>2050</v>
      </c>
      <c r="AL123" t="s">
        <v>274</v>
      </c>
      <c r="AM123">
        <v>0.19470000000000001</v>
      </c>
      <c r="AN123" t="s">
        <v>227</v>
      </c>
    </row>
    <row r="124" spans="9:40" x14ac:dyDescent="0.45">
      <c r="I124" t="s">
        <v>173</v>
      </c>
      <c r="J124" t="s">
        <v>285</v>
      </c>
      <c r="K124">
        <v>3.0331528818488558E-2</v>
      </c>
      <c r="L124" t="s">
        <v>153</v>
      </c>
      <c r="N124" t="s">
        <v>202</v>
      </c>
      <c r="O124" t="s">
        <v>285</v>
      </c>
      <c r="P124">
        <v>3.3049637896823317E-2</v>
      </c>
      <c r="Q124" t="s">
        <v>153</v>
      </c>
      <c r="S124" t="s">
        <v>217</v>
      </c>
      <c r="T124" t="s">
        <v>285</v>
      </c>
      <c r="U124">
        <v>8.2939188378320598E-3</v>
      </c>
      <c r="V124" t="s">
        <v>153</v>
      </c>
      <c r="AK124">
        <v>2050</v>
      </c>
      <c r="AL124" t="s">
        <v>276</v>
      </c>
      <c r="AM124">
        <v>0.26446666666666668</v>
      </c>
      <c r="AN124" t="s">
        <v>227</v>
      </c>
    </row>
    <row r="125" spans="9:40" x14ac:dyDescent="0.45">
      <c r="I125" t="s">
        <v>173</v>
      </c>
      <c r="J125" t="s">
        <v>286</v>
      </c>
      <c r="K125">
        <v>0.18437827046300093</v>
      </c>
      <c r="L125" t="s">
        <v>153</v>
      </c>
      <c r="N125" t="s">
        <v>202</v>
      </c>
      <c r="O125" t="s">
        <v>286</v>
      </c>
      <c r="P125">
        <v>9.8983059471310475E-2</v>
      </c>
      <c r="Q125" t="s">
        <v>153</v>
      </c>
      <c r="S125" t="s">
        <v>217</v>
      </c>
      <c r="T125" t="s">
        <v>286</v>
      </c>
      <c r="U125">
        <v>0.21690367163128196</v>
      </c>
      <c r="V125" t="s">
        <v>153</v>
      </c>
      <c r="AK125">
        <v>2050</v>
      </c>
      <c r="AL125" t="s">
        <v>277</v>
      </c>
      <c r="AM125">
        <v>0.20143333333333335</v>
      </c>
      <c r="AN125" t="s">
        <v>227</v>
      </c>
    </row>
    <row r="126" spans="9:40" x14ac:dyDescent="0.45">
      <c r="I126" t="s">
        <v>173</v>
      </c>
      <c r="J126" t="s">
        <v>287</v>
      </c>
      <c r="K126">
        <v>2.8142660776633859E-3</v>
      </c>
      <c r="L126" t="s">
        <v>153</v>
      </c>
      <c r="N126" t="s">
        <v>202</v>
      </c>
      <c r="O126" t="s">
        <v>287</v>
      </c>
      <c r="P126">
        <v>8.9332010063913447E-2</v>
      </c>
      <c r="Q126" t="s">
        <v>153</v>
      </c>
      <c r="S126" t="s">
        <v>217</v>
      </c>
      <c r="T126" t="s">
        <v>287</v>
      </c>
      <c r="U126">
        <v>0.22760598243883931</v>
      </c>
      <c r="V126" t="s">
        <v>153</v>
      </c>
      <c r="AK126">
        <v>2050</v>
      </c>
      <c r="AL126" t="s">
        <v>279</v>
      </c>
      <c r="AM126">
        <v>0.25366666666666665</v>
      </c>
      <c r="AN126" t="s">
        <v>227</v>
      </c>
    </row>
    <row r="127" spans="9:40" x14ac:dyDescent="0.45">
      <c r="I127" t="s">
        <v>173</v>
      </c>
      <c r="J127" t="s">
        <v>288</v>
      </c>
      <c r="K127">
        <v>1.9345841514957478E-2</v>
      </c>
      <c r="L127" t="s">
        <v>153</v>
      </c>
      <c r="N127" t="s">
        <v>202</v>
      </c>
      <c r="O127" t="s">
        <v>288</v>
      </c>
      <c r="P127">
        <v>2.1909429137936805E-2</v>
      </c>
      <c r="Q127" t="s">
        <v>153</v>
      </c>
      <c r="S127" t="s">
        <v>217</v>
      </c>
      <c r="T127" t="s">
        <v>288</v>
      </c>
      <c r="U127">
        <v>4.1035638241663064E-2</v>
      </c>
      <c r="V127" t="s">
        <v>153</v>
      </c>
    </row>
    <row r="128" spans="9:40" x14ac:dyDescent="0.45">
      <c r="I128" t="s">
        <v>173</v>
      </c>
      <c r="J128" t="s">
        <v>289</v>
      </c>
      <c r="K128">
        <v>0.2523991118531011</v>
      </c>
      <c r="L128" t="s">
        <v>153</v>
      </c>
      <c r="N128" t="s">
        <v>202</v>
      </c>
      <c r="O128" t="s">
        <v>289</v>
      </c>
      <c r="P128">
        <v>0.18155856543106239</v>
      </c>
      <c r="Q128" t="s">
        <v>153</v>
      </c>
      <c r="S128" t="s">
        <v>217</v>
      </c>
      <c r="T128" t="s">
        <v>289</v>
      </c>
      <c r="U128">
        <v>8.0835408758949748E-2</v>
      </c>
      <c r="V128" t="s">
        <v>153</v>
      </c>
    </row>
    <row r="129" spans="9:22" x14ac:dyDescent="0.45">
      <c r="I129" t="s">
        <v>173</v>
      </c>
      <c r="J129" t="s">
        <v>290</v>
      </c>
      <c r="K129">
        <v>0</v>
      </c>
      <c r="L129" t="s">
        <v>153</v>
      </c>
      <c r="N129" t="s">
        <v>202</v>
      </c>
      <c r="O129" t="s">
        <v>290</v>
      </c>
      <c r="P129">
        <v>0.13442227297380843</v>
      </c>
      <c r="Q129" t="s">
        <v>153</v>
      </c>
      <c r="S129" t="s">
        <v>217</v>
      </c>
      <c r="T129" t="s">
        <v>290</v>
      </c>
      <c r="U129">
        <v>6.3583391209062812E-2</v>
      </c>
      <c r="V129" t="s">
        <v>153</v>
      </c>
    </row>
    <row r="130" spans="9:22" x14ac:dyDescent="0.45">
      <c r="I130" t="s">
        <v>173</v>
      </c>
      <c r="J130" t="s">
        <v>291</v>
      </c>
      <c r="K130">
        <v>3.2330372056446822E-2</v>
      </c>
      <c r="L130" t="s">
        <v>153</v>
      </c>
      <c r="N130" t="s">
        <v>202</v>
      </c>
      <c r="O130" t="s">
        <v>291</v>
      </c>
      <c r="P130">
        <v>2.1518155708477742E-2</v>
      </c>
      <c r="Q130" t="s">
        <v>153</v>
      </c>
      <c r="S130" t="s">
        <v>217</v>
      </c>
      <c r="T130" t="s">
        <v>291</v>
      </c>
      <c r="U130">
        <v>8.0865843391105443E-3</v>
      </c>
      <c r="V130" t="s">
        <v>153</v>
      </c>
    </row>
    <row r="131" spans="9:22" x14ac:dyDescent="0.45">
      <c r="I131" t="s">
        <v>174</v>
      </c>
      <c r="J131" t="s">
        <v>280</v>
      </c>
      <c r="K131">
        <v>0.20570489469931189</v>
      </c>
      <c r="L131" t="s">
        <v>153</v>
      </c>
      <c r="N131" t="s">
        <v>203</v>
      </c>
      <c r="O131" t="s">
        <v>280</v>
      </c>
      <c r="P131">
        <v>0.13038371829881718</v>
      </c>
      <c r="Q131" t="s">
        <v>153</v>
      </c>
    </row>
    <row r="132" spans="9:22" x14ac:dyDescent="0.45">
      <c r="I132" t="s">
        <v>174</v>
      </c>
      <c r="J132" t="s">
        <v>281</v>
      </c>
      <c r="K132">
        <v>0</v>
      </c>
      <c r="L132" t="s">
        <v>153</v>
      </c>
      <c r="N132" t="s">
        <v>203</v>
      </c>
      <c r="O132" t="s">
        <v>281</v>
      </c>
      <c r="P132">
        <v>0.10497022826998931</v>
      </c>
      <c r="Q132" t="s">
        <v>153</v>
      </c>
    </row>
    <row r="133" spans="9:22" x14ac:dyDescent="0.45">
      <c r="I133" t="s">
        <v>174</v>
      </c>
      <c r="J133" t="s">
        <v>282</v>
      </c>
      <c r="K133">
        <v>1.7979082699895177E-2</v>
      </c>
      <c r="L133" t="s">
        <v>153</v>
      </c>
      <c r="N133" t="s">
        <v>203</v>
      </c>
      <c r="O133" t="s">
        <v>282</v>
      </c>
      <c r="P133">
        <v>1.3537866150063277E-2</v>
      </c>
      <c r="Q133" t="s">
        <v>153</v>
      </c>
    </row>
    <row r="134" spans="9:22" x14ac:dyDescent="0.45">
      <c r="I134" t="s">
        <v>174</v>
      </c>
      <c r="J134" t="s">
        <v>283</v>
      </c>
      <c r="K134">
        <v>0.25666764087418209</v>
      </c>
      <c r="L134" t="s">
        <v>153</v>
      </c>
      <c r="N134" t="s">
        <v>203</v>
      </c>
      <c r="O134" t="s">
        <v>283</v>
      </c>
      <c r="P134">
        <v>5.3709665431651239E-2</v>
      </c>
      <c r="Q134" t="s">
        <v>153</v>
      </c>
    </row>
    <row r="135" spans="9:22" x14ac:dyDescent="0.45">
      <c r="I135" t="s">
        <v>174</v>
      </c>
      <c r="J135" t="s">
        <v>284</v>
      </c>
      <c r="K135">
        <v>0</v>
      </c>
      <c r="L135" t="s">
        <v>153</v>
      </c>
      <c r="N135" t="s">
        <v>203</v>
      </c>
      <c r="O135" t="s">
        <v>284</v>
      </c>
      <c r="P135">
        <v>0.12931509080532924</v>
      </c>
      <c r="Q135" t="s">
        <v>153</v>
      </c>
    </row>
    <row r="136" spans="9:22" x14ac:dyDescent="0.45">
      <c r="I136" t="s">
        <v>174</v>
      </c>
      <c r="J136" t="s">
        <v>285</v>
      </c>
      <c r="K136">
        <v>2.7937267993662709E-2</v>
      </c>
      <c r="L136" t="s">
        <v>153</v>
      </c>
      <c r="N136" t="s">
        <v>203</v>
      </c>
      <c r="O136" t="s">
        <v>285</v>
      </c>
      <c r="P136">
        <v>1.7708498236436325E-2</v>
      </c>
      <c r="Q136" t="s">
        <v>153</v>
      </c>
    </row>
    <row r="137" spans="9:22" x14ac:dyDescent="0.45">
      <c r="I137" t="s">
        <v>174</v>
      </c>
      <c r="J137" t="s">
        <v>286</v>
      </c>
      <c r="K137">
        <v>0.19054577185671143</v>
      </c>
      <c r="L137" t="s">
        <v>153</v>
      </c>
      <c r="N137" t="s">
        <v>203</v>
      </c>
      <c r="O137" t="s">
        <v>286</v>
      </c>
      <c r="P137">
        <v>0.12613118436987555</v>
      </c>
      <c r="Q137" t="s">
        <v>153</v>
      </c>
    </row>
    <row r="138" spans="9:22" x14ac:dyDescent="0.45">
      <c r="I138" t="s">
        <v>174</v>
      </c>
      <c r="J138" t="s">
        <v>287</v>
      </c>
      <c r="K138">
        <v>1.993281980957386E-3</v>
      </c>
      <c r="L138" t="s">
        <v>153</v>
      </c>
      <c r="N138" t="s">
        <v>203</v>
      </c>
      <c r="O138" t="s">
        <v>287</v>
      </c>
      <c r="P138">
        <v>0.1380707108073061</v>
      </c>
      <c r="Q138" t="s">
        <v>153</v>
      </c>
    </row>
    <row r="139" spans="9:22" x14ac:dyDescent="0.45">
      <c r="I139" t="s">
        <v>174</v>
      </c>
      <c r="J139" t="s">
        <v>288</v>
      </c>
      <c r="K139">
        <v>1.8695606273287767E-2</v>
      </c>
      <c r="L139" t="s">
        <v>153</v>
      </c>
      <c r="N139" t="s">
        <v>203</v>
      </c>
      <c r="O139" t="s">
        <v>288</v>
      </c>
      <c r="P139">
        <v>1.8124362998312372E-2</v>
      </c>
      <c r="Q139" t="s">
        <v>153</v>
      </c>
    </row>
    <row r="140" spans="9:22" x14ac:dyDescent="0.45">
      <c r="I140" t="s">
        <v>174</v>
      </c>
      <c r="J140" t="s">
        <v>289</v>
      </c>
      <c r="K140">
        <v>0.25024893333635917</v>
      </c>
      <c r="L140" t="s">
        <v>153</v>
      </c>
      <c r="N140" t="s">
        <v>203</v>
      </c>
      <c r="O140" t="s">
        <v>289</v>
      </c>
      <c r="P140">
        <v>0.12972926122022546</v>
      </c>
      <c r="Q140" t="s">
        <v>153</v>
      </c>
    </row>
    <row r="141" spans="9:22" x14ac:dyDescent="0.45">
      <c r="I141" t="s">
        <v>174</v>
      </c>
      <c r="J141" t="s">
        <v>290</v>
      </c>
      <c r="K141">
        <v>0</v>
      </c>
      <c r="L141" t="s">
        <v>153</v>
      </c>
      <c r="N141" t="s">
        <v>203</v>
      </c>
      <c r="O141" t="s">
        <v>290</v>
      </c>
      <c r="P141">
        <v>0.12663930640557231</v>
      </c>
      <c r="Q141" t="s">
        <v>153</v>
      </c>
    </row>
    <row r="142" spans="9:22" x14ac:dyDescent="0.45">
      <c r="I142" t="s">
        <v>174</v>
      </c>
      <c r="J142" t="s">
        <v>291</v>
      </c>
      <c r="K142">
        <v>3.0227520285634104E-2</v>
      </c>
      <c r="L142" t="s">
        <v>153</v>
      </c>
      <c r="N142" t="s">
        <v>203</v>
      </c>
      <c r="O142" t="s">
        <v>291</v>
      </c>
      <c r="P142">
        <v>1.1680107006417213E-2</v>
      </c>
      <c r="Q142" t="s">
        <v>153</v>
      </c>
    </row>
    <row r="143" spans="9:22" x14ac:dyDescent="0.45">
      <c r="I143" t="s">
        <v>175</v>
      </c>
      <c r="J143" t="s">
        <v>280</v>
      </c>
      <c r="K143">
        <v>0.22146691005560637</v>
      </c>
      <c r="L143" t="s">
        <v>153</v>
      </c>
      <c r="N143" t="s">
        <v>204</v>
      </c>
      <c r="O143" t="s">
        <v>280</v>
      </c>
      <c r="P143">
        <v>0.10961789033880337</v>
      </c>
      <c r="Q143" t="s">
        <v>153</v>
      </c>
    </row>
    <row r="144" spans="9:22" x14ac:dyDescent="0.45">
      <c r="I144" t="s">
        <v>175</v>
      </c>
      <c r="J144" t="s">
        <v>281</v>
      </c>
      <c r="K144">
        <v>0</v>
      </c>
      <c r="L144" t="s">
        <v>153</v>
      </c>
      <c r="N144" t="s">
        <v>204</v>
      </c>
      <c r="O144" t="s">
        <v>281</v>
      </c>
      <c r="P144">
        <v>0.11212322844629651</v>
      </c>
      <c r="Q144" t="s">
        <v>153</v>
      </c>
    </row>
    <row r="145" spans="9:17" x14ac:dyDescent="0.45">
      <c r="I145" t="s">
        <v>175</v>
      </c>
      <c r="J145" t="s">
        <v>282</v>
      </c>
      <c r="K145">
        <v>1.8872244307740298E-2</v>
      </c>
      <c r="L145" t="s">
        <v>153</v>
      </c>
      <c r="N145" t="s">
        <v>204</v>
      </c>
      <c r="O145" t="s">
        <v>282</v>
      </c>
      <c r="P145">
        <v>1.2679866971531898E-2</v>
      </c>
      <c r="Q145" t="s">
        <v>153</v>
      </c>
    </row>
    <row r="146" spans="9:17" x14ac:dyDescent="0.45">
      <c r="I146" t="s">
        <v>175</v>
      </c>
      <c r="J146" t="s">
        <v>283</v>
      </c>
      <c r="K146">
        <v>0.25549641470121481</v>
      </c>
      <c r="L146" t="s">
        <v>153</v>
      </c>
      <c r="N146" t="s">
        <v>204</v>
      </c>
      <c r="O146" t="s">
        <v>283</v>
      </c>
      <c r="P146">
        <v>5.8859629374086821E-2</v>
      </c>
      <c r="Q146" t="s">
        <v>153</v>
      </c>
    </row>
    <row r="147" spans="9:17" x14ac:dyDescent="0.45">
      <c r="I147" t="s">
        <v>175</v>
      </c>
      <c r="J147" t="s">
        <v>284</v>
      </c>
      <c r="K147">
        <v>0</v>
      </c>
      <c r="L147" t="s">
        <v>153</v>
      </c>
      <c r="N147" t="s">
        <v>204</v>
      </c>
      <c r="O147" t="s">
        <v>284</v>
      </c>
      <c r="P147">
        <v>9.026695208541273E-2</v>
      </c>
      <c r="Q147" t="s">
        <v>153</v>
      </c>
    </row>
    <row r="148" spans="9:17" x14ac:dyDescent="0.45">
      <c r="I148" t="s">
        <v>175</v>
      </c>
      <c r="J148" t="s">
        <v>285</v>
      </c>
      <c r="K148">
        <v>2.7876109362700501E-2</v>
      </c>
      <c r="L148" t="s">
        <v>153</v>
      </c>
      <c r="N148" t="s">
        <v>204</v>
      </c>
      <c r="O148" t="s">
        <v>285</v>
      </c>
      <c r="P148">
        <v>1.2447230828007142E-2</v>
      </c>
      <c r="Q148" t="s">
        <v>153</v>
      </c>
    </row>
    <row r="149" spans="9:17" x14ac:dyDescent="0.45">
      <c r="I149" t="s">
        <v>175</v>
      </c>
      <c r="J149" t="s">
        <v>286</v>
      </c>
      <c r="K149">
        <v>0.23531533600436352</v>
      </c>
      <c r="L149" t="s">
        <v>153</v>
      </c>
      <c r="N149" t="s">
        <v>204</v>
      </c>
      <c r="O149" t="s">
        <v>286</v>
      </c>
      <c r="P149">
        <v>0.17834728878230194</v>
      </c>
      <c r="Q149" t="s">
        <v>153</v>
      </c>
    </row>
    <row r="150" spans="9:17" x14ac:dyDescent="0.45">
      <c r="I150" t="s">
        <v>175</v>
      </c>
      <c r="J150" t="s">
        <v>287</v>
      </c>
      <c r="K150">
        <v>0</v>
      </c>
      <c r="L150" t="s">
        <v>153</v>
      </c>
      <c r="N150" t="s">
        <v>204</v>
      </c>
      <c r="O150" t="s">
        <v>287</v>
      </c>
      <c r="P150">
        <v>0.20501910504768814</v>
      </c>
      <c r="Q150" t="s">
        <v>153</v>
      </c>
    </row>
    <row r="151" spans="9:17" x14ac:dyDescent="0.45">
      <c r="I151" t="s">
        <v>175</v>
      </c>
      <c r="J151" t="s">
        <v>288</v>
      </c>
      <c r="K151">
        <v>2.4075945826302705E-2</v>
      </c>
      <c r="L151" t="s">
        <v>153</v>
      </c>
      <c r="N151" t="s">
        <v>204</v>
      </c>
      <c r="O151" t="s">
        <v>288</v>
      </c>
      <c r="P151">
        <v>2.799502289289613E-2</v>
      </c>
      <c r="Q151" t="s">
        <v>153</v>
      </c>
    </row>
    <row r="152" spans="9:17" x14ac:dyDescent="0.45">
      <c r="I152" t="s">
        <v>175</v>
      </c>
      <c r="J152" t="s">
        <v>289</v>
      </c>
      <c r="K152">
        <v>0.19417796840757573</v>
      </c>
      <c r="L152" t="s">
        <v>153</v>
      </c>
      <c r="N152" t="s">
        <v>204</v>
      </c>
      <c r="O152" t="s">
        <v>289</v>
      </c>
      <c r="P152">
        <v>9.4277781805422997E-2</v>
      </c>
      <c r="Q152" t="s">
        <v>153</v>
      </c>
    </row>
    <row r="153" spans="9:17" x14ac:dyDescent="0.45">
      <c r="I153" t="s">
        <v>175</v>
      </c>
      <c r="J153" t="s">
        <v>290</v>
      </c>
      <c r="K153">
        <v>0</v>
      </c>
      <c r="L153" t="s">
        <v>153</v>
      </c>
      <c r="N153" t="s">
        <v>204</v>
      </c>
      <c r="O153" t="s">
        <v>290</v>
      </c>
      <c r="P153">
        <v>8.8867766194910075E-2</v>
      </c>
      <c r="Q153" t="s">
        <v>153</v>
      </c>
    </row>
    <row r="154" spans="9:17" x14ac:dyDescent="0.45">
      <c r="I154" t="s">
        <v>175</v>
      </c>
      <c r="J154" t="s">
        <v>291</v>
      </c>
      <c r="K154">
        <v>2.2719071334495737E-2</v>
      </c>
      <c r="L154" t="s">
        <v>153</v>
      </c>
      <c r="N154" t="s">
        <v>204</v>
      </c>
      <c r="O154" t="s">
        <v>291</v>
      </c>
      <c r="P154">
        <v>9.4982372326427554E-3</v>
      </c>
      <c r="Q154" t="s">
        <v>153</v>
      </c>
    </row>
    <row r="155" spans="9:17" x14ac:dyDescent="0.45">
      <c r="I155" t="s">
        <v>176</v>
      </c>
      <c r="J155" t="s">
        <v>280</v>
      </c>
      <c r="K155">
        <v>0.22016009544202322</v>
      </c>
      <c r="L155" t="s">
        <v>153</v>
      </c>
      <c r="N155" t="s">
        <v>205</v>
      </c>
      <c r="O155" t="s">
        <v>280</v>
      </c>
      <c r="P155">
        <v>0.12500595463502182</v>
      </c>
      <c r="Q155" t="s">
        <v>153</v>
      </c>
    </row>
    <row r="156" spans="9:17" x14ac:dyDescent="0.45">
      <c r="I156" t="s">
        <v>176</v>
      </c>
      <c r="J156" t="s">
        <v>281</v>
      </c>
      <c r="K156">
        <v>0</v>
      </c>
      <c r="L156" t="s">
        <v>153</v>
      </c>
      <c r="N156" t="s">
        <v>205</v>
      </c>
      <c r="O156" t="s">
        <v>281</v>
      </c>
      <c r="P156">
        <v>9.9923322642350126E-2</v>
      </c>
      <c r="Q156" t="s">
        <v>153</v>
      </c>
    </row>
    <row r="157" spans="9:17" x14ac:dyDescent="0.45">
      <c r="I157" t="s">
        <v>176</v>
      </c>
      <c r="J157" t="s">
        <v>282</v>
      </c>
      <c r="K157">
        <v>7.3245314348565679E-3</v>
      </c>
      <c r="L157" t="s">
        <v>153</v>
      </c>
      <c r="N157" t="s">
        <v>205</v>
      </c>
      <c r="O157" t="s">
        <v>282</v>
      </c>
      <c r="P157">
        <v>1.8148531654663316E-2</v>
      </c>
      <c r="Q157" t="s">
        <v>153</v>
      </c>
    </row>
    <row r="158" spans="9:17" x14ac:dyDescent="0.45">
      <c r="I158" t="s">
        <v>176</v>
      </c>
      <c r="J158" t="s">
        <v>283</v>
      </c>
      <c r="K158">
        <v>0.2664333323607741</v>
      </c>
      <c r="L158" t="s">
        <v>153</v>
      </c>
      <c r="N158" t="s">
        <v>205</v>
      </c>
      <c r="O158" t="s">
        <v>283</v>
      </c>
      <c r="P158">
        <v>5.4226215827541259E-2</v>
      </c>
      <c r="Q158" t="s">
        <v>153</v>
      </c>
    </row>
    <row r="159" spans="9:17" x14ac:dyDescent="0.45">
      <c r="I159" t="s">
        <v>176</v>
      </c>
      <c r="J159" t="s">
        <v>284</v>
      </c>
      <c r="K159">
        <v>0</v>
      </c>
      <c r="L159" t="s">
        <v>153</v>
      </c>
      <c r="N159" t="s">
        <v>205</v>
      </c>
      <c r="O159" t="s">
        <v>284</v>
      </c>
      <c r="P159">
        <v>6.0213649892115508E-2</v>
      </c>
      <c r="Q159" t="s">
        <v>153</v>
      </c>
    </row>
    <row r="160" spans="9:17" x14ac:dyDescent="0.45">
      <c r="I160" t="s">
        <v>176</v>
      </c>
      <c r="J160" t="s">
        <v>285</v>
      </c>
      <c r="K160">
        <v>1.1767238706066316E-2</v>
      </c>
      <c r="L160" t="s">
        <v>153</v>
      </c>
      <c r="N160" t="s">
        <v>205</v>
      </c>
      <c r="O160" t="s">
        <v>285</v>
      </c>
      <c r="P160">
        <v>1.2024881842966384E-2</v>
      </c>
      <c r="Q160" t="s">
        <v>153</v>
      </c>
    </row>
    <row r="161" spans="9:17" x14ac:dyDescent="0.45">
      <c r="I161" t="s">
        <v>176</v>
      </c>
      <c r="J161" t="s">
        <v>286</v>
      </c>
      <c r="K161">
        <v>0.21766247015911175</v>
      </c>
      <c r="L161" t="s">
        <v>153</v>
      </c>
      <c r="N161" t="s">
        <v>205</v>
      </c>
      <c r="O161" t="s">
        <v>286</v>
      </c>
      <c r="P161">
        <v>0.17737488494997034</v>
      </c>
      <c r="Q161" t="s">
        <v>153</v>
      </c>
    </row>
    <row r="162" spans="9:17" x14ac:dyDescent="0.45">
      <c r="I162" t="s">
        <v>176</v>
      </c>
      <c r="J162" t="s">
        <v>287</v>
      </c>
      <c r="K162">
        <v>0</v>
      </c>
      <c r="L162" t="s">
        <v>153</v>
      </c>
      <c r="N162" t="s">
        <v>205</v>
      </c>
      <c r="O162" t="s">
        <v>287</v>
      </c>
      <c r="P162">
        <v>0.1450972769465021</v>
      </c>
      <c r="Q162" t="s">
        <v>153</v>
      </c>
    </row>
    <row r="163" spans="9:17" x14ac:dyDescent="0.45">
      <c r="I163" t="s">
        <v>176</v>
      </c>
      <c r="J163" t="s">
        <v>288</v>
      </c>
      <c r="K163">
        <v>1.3266661437066323E-2</v>
      </c>
      <c r="L163" t="s">
        <v>153</v>
      </c>
      <c r="N163" t="s">
        <v>205</v>
      </c>
      <c r="O163" t="s">
        <v>288</v>
      </c>
      <c r="P163">
        <v>3.2806713876953553E-2</v>
      </c>
      <c r="Q163" t="s">
        <v>153</v>
      </c>
    </row>
    <row r="164" spans="9:17" x14ac:dyDescent="0.45">
      <c r="I164" t="s">
        <v>176</v>
      </c>
      <c r="J164" t="s">
        <v>289</v>
      </c>
      <c r="K164">
        <v>0.25148823299616813</v>
      </c>
      <c r="L164" t="s">
        <v>153</v>
      </c>
      <c r="N164" t="s">
        <v>205</v>
      </c>
      <c r="O164" t="s">
        <v>289</v>
      </c>
      <c r="P164">
        <v>0.15714527361319663</v>
      </c>
      <c r="Q164" t="s">
        <v>153</v>
      </c>
    </row>
    <row r="165" spans="9:17" x14ac:dyDescent="0.45">
      <c r="I165" t="s">
        <v>176</v>
      </c>
      <c r="J165" t="s">
        <v>290</v>
      </c>
      <c r="K165">
        <v>0</v>
      </c>
      <c r="L165" t="s">
        <v>153</v>
      </c>
      <c r="N165" t="s">
        <v>205</v>
      </c>
      <c r="O165" t="s">
        <v>290</v>
      </c>
      <c r="P165">
        <v>9.6644391040189959E-2</v>
      </c>
      <c r="Q165" t="s">
        <v>153</v>
      </c>
    </row>
    <row r="166" spans="9:17" x14ac:dyDescent="0.45">
      <c r="I166" t="s">
        <v>176</v>
      </c>
      <c r="J166" t="s">
        <v>291</v>
      </c>
      <c r="K166">
        <v>1.1897437463934676E-2</v>
      </c>
      <c r="L166" t="s">
        <v>153</v>
      </c>
      <c r="N166" t="s">
        <v>205</v>
      </c>
      <c r="O166" t="s">
        <v>291</v>
      </c>
      <c r="P166">
        <v>2.138890307853001E-2</v>
      </c>
      <c r="Q166" t="s">
        <v>153</v>
      </c>
    </row>
    <row r="167" spans="9:17" x14ac:dyDescent="0.45">
      <c r="I167" t="s">
        <v>177</v>
      </c>
      <c r="J167" t="s">
        <v>280</v>
      </c>
      <c r="K167">
        <v>0.22286014188315917</v>
      </c>
      <c r="L167" t="s">
        <v>153</v>
      </c>
      <c r="N167" t="s">
        <v>206</v>
      </c>
      <c r="O167" t="s">
        <v>280</v>
      </c>
      <c r="P167">
        <v>0.10723177267492401</v>
      </c>
      <c r="Q167" t="s">
        <v>153</v>
      </c>
    </row>
    <row r="168" spans="9:17" x14ac:dyDescent="0.45">
      <c r="I168" t="s">
        <v>177</v>
      </c>
      <c r="J168" t="s">
        <v>281</v>
      </c>
      <c r="K168">
        <v>0</v>
      </c>
      <c r="L168" t="s">
        <v>153</v>
      </c>
      <c r="N168" t="s">
        <v>206</v>
      </c>
      <c r="O168" t="s">
        <v>281</v>
      </c>
      <c r="P168">
        <v>8.4144028505998253E-2</v>
      </c>
      <c r="Q168" t="s">
        <v>153</v>
      </c>
    </row>
    <row r="169" spans="9:17" x14ac:dyDescent="0.45">
      <c r="I169" t="s">
        <v>177</v>
      </c>
      <c r="J169" t="s">
        <v>282</v>
      </c>
      <c r="K169">
        <v>6.0634569489476185E-3</v>
      </c>
      <c r="L169" t="s">
        <v>153</v>
      </c>
      <c r="N169" t="s">
        <v>206</v>
      </c>
      <c r="O169" t="s">
        <v>282</v>
      </c>
      <c r="P169">
        <v>1.9168928063305283E-2</v>
      </c>
      <c r="Q169" t="s">
        <v>153</v>
      </c>
    </row>
    <row r="170" spans="9:17" x14ac:dyDescent="0.45">
      <c r="I170" t="s">
        <v>177</v>
      </c>
      <c r="J170" t="s">
        <v>283</v>
      </c>
      <c r="K170">
        <v>0.26446438366949215</v>
      </c>
      <c r="L170" t="s">
        <v>153</v>
      </c>
      <c r="N170" t="s">
        <v>206</v>
      </c>
      <c r="O170" t="s">
        <v>283</v>
      </c>
      <c r="P170">
        <v>6.482902494690225E-2</v>
      </c>
      <c r="Q170" t="s">
        <v>153</v>
      </c>
    </row>
    <row r="171" spans="9:17" x14ac:dyDescent="0.45">
      <c r="I171" t="s">
        <v>177</v>
      </c>
      <c r="J171" t="s">
        <v>284</v>
      </c>
      <c r="K171">
        <v>0</v>
      </c>
      <c r="L171" t="s">
        <v>153</v>
      </c>
      <c r="N171" t="s">
        <v>206</v>
      </c>
      <c r="O171" t="s">
        <v>284</v>
      </c>
      <c r="P171">
        <v>5.475748588401224E-2</v>
      </c>
      <c r="Q171" t="s">
        <v>153</v>
      </c>
    </row>
    <row r="172" spans="9:17" x14ac:dyDescent="0.45">
      <c r="I172" t="s">
        <v>177</v>
      </c>
      <c r="J172" t="s">
        <v>285</v>
      </c>
      <c r="K172">
        <v>9.5178374294292867E-3</v>
      </c>
      <c r="L172" t="s">
        <v>153</v>
      </c>
      <c r="N172" t="s">
        <v>206</v>
      </c>
      <c r="O172" t="s">
        <v>285</v>
      </c>
      <c r="P172">
        <v>1.4532188949578478E-2</v>
      </c>
      <c r="Q172" t="s">
        <v>153</v>
      </c>
    </row>
    <row r="173" spans="9:17" x14ac:dyDescent="0.45">
      <c r="I173" t="s">
        <v>177</v>
      </c>
      <c r="J173" t="s">
        <v>286</v>
      </c>
      <c r="K173">
        <v>0.24315326206428267</v>
      </c>
      <c r="L173" t="s">
        <v>153</v>
      </c>
      <c r="N173" t="s">
        <v>206</v>
      </c>
      <c r="O173" t="s">
        <v>286</v>
      </c>
      <c r="P173">
        <v>9.2489030405227601E-2</v>
      </c>
      <c r="Q173" t="s">
        <v>153</v>
      </c>
    </row>
    <row r="174" spans="9:17" x14ac:dyDescent="0.45">
      <c r="I174" t="s">
        <v>177</v>
      </c>
      <c r="J174" t="s">
        <v>287</v>
      </c>
      <c r="K174">
        <v>0</v>
      </c>
      <c r="L174" t="s">
        <v>153</v>
      </c>
      <c r="N174" t="s">
        <v>206</v>
      </c>
      <c r="O174" t="s">
        <v>287</v>
      </c>
      <c r="P174">
        <v>7.7228396976001701E-2</v>
      </c>
      <c r="Q174" t="s">
        <v>153</v>
      </c>
    </row>
    <row r="175" spans="9:17" x14ac:dyDescent="0.45">
      <c r="I175" t="s">
        <v>177</v>
      </c>
      <c r="J175" t="s">
        <v>288</v>
      </c>
      <c r="K175">
        <v>1.0047359777519886E-2</v>
      </c>
      <c r="L175" t="s">
        <v>153</v>
      </c>
      <c r="N175" t="s">
        <v>206</v>
      </c>
      <c r="O175" t="s">
        <v>288</v>
      </c>
      <c r="P175">
        <v>1.7599942284785088E-2</v>
      </c>
      <c r="Q175" t="s">
        <v>153</v>
      </c>
    </row>
    <row r="176" spans="9:17" x14ac:dyDescent="0.45">
      <c r="I176" t="s">
        <v>177</v>
      </c>
      <c r="J176" t="s">
        <v>289</v>
      </c>
      <c r="K176">
        <v>0.23481190536651517</v>
      </c>
      <c r="L176" t="s">
        <v>153</v>
      </c>
      <c r="N176" t="s">
        <v>206</v>
      </c>
      <c r="O176" t="s">
        <v>289</v>
      </c>
      <c r="P176">
        <v>0.24601085434006215</v>
      </c>
      <c r="Q176" t="s">
        <v>153</v>
      </c>
    </row>
    <row r="177" spans="9:17" x14ac:dyDescent="0.45">
      <c r="I177" t="s">
        <v>177</v>
      </c>
      <c r="J177" t="s">
        <v>290</v>
      </c>
      <c r="K177">
        <v>0</v>
      </c>
      <c r="L177" t="s">
        <v>153</v>
      </c>
      <c r="N177" t="s">
        <v>206</v>
      </c>
      <c r="O177" t="s">
        <v>290</v>
      </c>
      <c r="P177">
        <v>0.17278351965214739</v>
      </c>
      <c r="Q177" t="s">
        <v>153</v>
      </c>
    </row>
    <row r="178" spans="9:17" x14ac:dyDescent="0.45">
      <c r="I178" t="s">
        <v>177</v>
      </c>
      <c r="J178" t="s">
        <v>291</v>
      </c>
      <c r="K178">
        <v>9.0816528606531624E-3</v>
      </c>
      <c r="L178" t="s">
        <v>153</v>
      </c>
      <c r="N178" t="s">
        <v>206</v>
      </c>
      <c r="O178" t="s">
        <v>291</v>
      </c>
      <c r="P178">
        <v>4.9224827317056241E-2</v>
      </c>
      <c r="Q178" t="s">
        <v>153</v>
      </c>
    </row>
    <row r="179" spans="9:17" x14ac:dyDescent="0.45">
      <c r="I179" t="s">
        <v>178</v>
      </c>
      <c r="J179" t="s">
        <v>280</v>
      </c>
      <c r="K179">
        <v>0.2231256905997602</v>
      </c>
      <c r="L179" t="s">
        <v>153</v>
      </c>
      <c r="N179" t="s">
        <v>207</v>
      </c>
      <c r="O179" t="s">
        <v>280</v>
      </c>
      <c r="P179">
        <v>0.12973635140988143</v>
      </c>
      <c r="Q179" t="s">
        <v>153</v>
      </c>
    </row>
    <row r="180" spans="9:17" x14ac:dyDescent="0.45">
      <c r="I180" t="s">
        <v>178</v>
      </c>
      <c r="J180" t="s">
        <v>281</v>
      </c>
      <c r="K180">
        <v>0</v>
      </c>
      <c r="L180" t="s">
        <v>153</v>
      </c>
      <c r="N180" t="s">
        <v>207</v>
      </c>
      <c r="O180" t="s">
        <v>281</v>
      </c>
      <c r="P180">
        <v>8.4833997616737114E-2</v>
      </c>
      <c r="Q180" t="s">
        <v>153</v>
      </c>
    </row>
    <row r="181" spans="9:17" x14ac:dyDescent="0.45">
      <c r="I181" t="s">
        <v>178</v>
      </c>
      <c r="J181" t="s">
        <v>282</v>
      </c>
      <c r="K181">
        <v>8.180109238147406E-3</v>
      </c>
      <c r="L181" t="s">
        <v>153</v>
      </c>
      <c r="N181" t="s">
        <v>207</v>
      </c>
      <c r="O181" t="s">
        <v>282</v>
      </c>
      <c r="P181">
        <v>1.9102077754633528E-2</v>
      </c>
      <c r="Q181" t="s">
        <v>153</v>
      </c>
    </row>
    <row r="182" spans="9:17" x14ac:dyDescent="0.45">
      <c r="I182" t="s">
        <v>178</v>
      </c>
      <c r="J182" t="s">
        <v>283</v>
      </c>
      <c r="K182">
        <v>0.2679413681694735</v>
      </c>
      <c r="L182" t="s">
        <v>153</v>
      </c>
      <c r="N182" t="s">
        <v>207</v>
      </c>
      <c r="O182" t="s">
        <v>283</v>
      </c>
      <c r="P182">
        <v>7.2379722171790783E-2</v>
      </c>
      <c r="Q182" t="s">
        <v>153</v>
      </c>
    </row>
    <row r="183" spans="9:17" x14ac:dyDescent="0.45">
      <c r="I183" t="s">
        <v>178</v>
      </c>
      <c r="J183" t="s">
        <v>284</v>
      </c>
      <c r="K183">
        <v>0</v>
      </c>
      <c r="L183" t="s">
        <v>153</v>
      </c>
      <c r="N183" t="s">
        <v>207</v>
      </c>
      <c r="O183" t="s">
        <v>284</v>
      </c>
      <c r="P183">
        <v>4.4142472628951678E-2</v>
      </c>
      <c r="Q183" t="s">
        <v>153</v>
      </c>
    </row>
    <row r="184" spans="9:17" x14ac:dyDescent="0.45">
      <c r="I184" t="s">
        <v>178</v>
      </c>
      <c r="J184" t="s">
        <v>285</v>
      </c>
      <c r="K184">
        <v>1.2397686443347015E-2</v>
      </c>
      <c r="L184" t="s">
        <v>153</v>
      </c>
      <c r="N184" t="s">
        <v>207</v>
      </c>
      <c r="O184" t="s">
        <v>285</v>
      </c>
      <c r="P184">
        <v>1.3173954339829199E-2</v>
      </c>
      <c r="Q184" t="s">
        <v>153</v>
      </c>
    </row>
    <row r="185" spans="9:17" x14ac:dyDescent="0.45">
      <c r="I185" t="s">
        <v>178</v>
      </c>
      <c r="J185" t="s">
        <v>286</v>
      </c>
      <c r="K185">
        <v>0.22452350448485175</v>
      </c>
      <c r="L185" t="s">
        <v>153</v>
      </c>
      <c r="N185" t="s">
        <v>207</v>
      </c>
      <c r="O185" t="s">
        <v>286</v>
      </c>
      <c r="P185">
        <v>0.20592128795341974</v>
      </c>
      <c r="Q185" t="s">
        <v>153</v>
      </c>
    </row>
    <row r="186" spans="9:17" x14ac:dyDescent="0.45">
      <c r="I186" t="s">
        <v>178</v>
      </c>
      <c r="J186" t="s">
        <v>287</v>
      </c>
      <c r="K186">
        <v>0</v>
      </c>
      <c r="L186" t="s">
        <v>153</v>
      </c>
      <c r="N186" t="s">
        <v>207</v>
      </c>
      <c r="O186" t="s">
        <v>287</v>
      </c>
      <c r="P186">
        <v>0.13329259210354444</v>
      </c>
      <c r="Q186" t="s">
        <v>153</v>
      </c>
    </row>
    <row r="187" spans="9:17" x14ac:dyDescent="0.45">
      <c r="I187" t="s">
        <v>178</v>
      </c>
      <c r="J187" t="s">
        <v>288</v>
      </c>
      <c r="K187">
        <v>1.3143874763016426E-2</v>
      </c>
      <c r="L187" t="s">
        <v>153</v>
      </c>
      <c r="N187" t="s">
        <v>207</v>
      </c>
      <c r="O187" t="s">
        <v>288</v>
      </c>
      <c r="P187">
        <v>3.3487175285692464E-2</v>
      </c>
      <c r="Q187" t="s">
        <v>153</v>
      </c>
    </row>
    <row r="188" spans="9:17" x14ac:dyDescent="0.45">
      <c r="I188" t="s">
        <v>178</v>
      </c>
      <c r="J188" t="s">
        <v>289</v>
      </c>
      <c r="K188">
        <v>0.2392277023884242</v>
      </c>
      <c r="L188" t="s">
        <v>153</v>
      </c>
      <c r="N188" t="s">
        <v>207</v>
      </c>
      <c r="O188" t="s">
        <v>289</v>
      </c>
      <c r="P188">
        <v>0.16284642380674641</v>
      </c>
      <c r="Q188" t="s">
        <v>153</v>
      </c>
    </row>
    <row r="189" spans="9:17" x14ac:dyDescent="0.45">
      <c r="I189" t="s">
        <v>178</v>
      </c>
      <c r="J189" t="s">
        <v>290</v>
      </c>
      <c r="K189">
        <v>0</v>
      </c>
      <c r="L189" t="s">
        <v>153</v>
      </c>
      <c r="N189" t="s">
        <v>207</v>
      </c>
      <c r="O189" t="s">
        <v>290</v>
      </c>
      <c r="P189">
        <v>7.7228473271008805E-2</v>
      </c>
      <c r="Q189" t="s">
        <v>153</v>
      </c>
    </row>
    <row r="190" spans="9:17" x14ac:dyDescent="0.45">
      <c r="I190" t="s">
        <v>178</v>
      </c>
      <c r="J190" t="s">
        <v>291</v>
      </c>
      <c r="K190">
        <v>1.1460063912977499E-2</v>
      </c>
      <c r="L190" t="s">
        <v>153</v>
      </c>
      <c r="N190" t="s">
        <v>207</v>
      </c>
      <c r="O190" t="s">
        <v>291</v>
      </c>
      <c r="P190">
        <v>2.3855471657762615E-2</v>
      </c>
      <c r="Q190" t="s">
        <v>153</v>
      </c>
    </row>
    <row r="191" spans="9:17" x14ac:dyDescent="0.45">
      <c r="I191" t="s">
        <v>179</v>
      </c>
      <c r="J191" t="s">
        <v>280</v>
      </c>
      <c r="K191">
        <v>0.22177296707365451</v>
      </c>
      <c r="L191" t="s">
        <v>153</v>
      </c>
    </row>
    <row r="192" spans="9:17" x14ac:dyDescent="0.45">
      <c r="I192" t="s">
        <v>179</v>
      </c>
      <c r="J192" t="s">
        <v>281</v>
      </c>
      <c r="K192">
        <v>0</v>
      </c>
      <c r="L192" t="s">
        <v>153</v>
      </c>
    </row>
    <row r="193" spans="9:12" x14ac:dyDescent="0.45">
      <c r="I193" t="s">
        <v>179</v>
      </c>
      <c r="J193" t="s">
        <v>282</v>
      </c>
      <c r="K193">
        <v>8.0009707787967073E-3</v>
      </c>
      <c r="L193" t="s">
        <v>153</v>
      </c>
    </row>
    <row r="194" spans="9:12" x14ac:dyDescent="0.45">
      <c r="I194" t="s">
        <v>179</v>
      </c>
      <c r="J194" t="s">
        <v>283</v>
      </c>
      <c r="K194">
        <v>0.26631971187524089</v>
      </c>
      <c r="L194" t="s">
        <v>153</v>
      </c>
    </row>
    <row r="195" spans="9:12" x14ac:dyDescent="0.45">
      <c r="I195" t="s">
        <v>179</v>
      </c>
      <c r="J195" t="s">
        <v>284</v>
      </c>
      <c r="K195">
        <v>0</v>
      </c>
      <c r="L195" t="s">
        <v>153</v>
      </c>
    </row>
    <row r="196" spans="9:12" x14ac:dyDescent="0.45">
      <c r="I196" t="s">
        <v>179</v>
      </c>
      <c r="J196" t="s">
        <v>285</v>
      </c>
      <c r="K196">
        <v>1.2316433715098276E-2</v>
      </c>
      <c r="L196" t="s">
        <v>153</v>
      </c>
    </row>
    <row r="197" spans="9:12" x14ac:dyDescent="0.45">
      <c r="I197" t="s">
        <v>179</v>
      </c>
      <c r="J197" t="s">
        <v>286</v>
      </c>
      <c r="K197">
        <v>0.2315782081857175</v>
      </c>
      <c r="L197" t="s">
        <v>153</v>
      </c>
    </row>
    <row r="198" spans="9:12" x14ac:dyDescent="0.45">
      <c r="I198" t="s">
        <v>179</v>
      </c>
      <c r="J198" t="s">
        <v>287</v>
      </c>
      <c r="K198">
        <v>0</v>
      </c>
      <c r="L198" t="s">
        <v>153</v>
      </c>
    </row>
    <row r="199" spans="9:12" x14ac:dyDescent="0.45">
      <c r="I199" t="s">
        <v>179</v>
      </c>
      <c r="J199" t="s">
        <v>288</v>
      </c>
      <c r="K199">
        <v>1.3711893735896392E-2</v>
      </c>
      <c r="L199" t="s">
        <v>153</v>
      </c>
    </row>
    <row r="200" spans="9:12" x14ac:dyDescent="0.45">
      <c r="I200" t="s">
        <v>179</v>
      </c>
      <c r="J200" t="s">
        <v>289</v>
      </c>
      <c r="K200">
        <v>0.2350374698173307</v>
      </c>
      <c r="L200" t="s">
        <v>153</v>
      </c>
    </row>
    <row r="201" spans="9:12" x14ac:dyDescent="0.45">
      <c r="I201" t="s">
        <v>179</v>
      </c>
      <c r="J201" t="s">
        <v>290</v>
      </c>
      <c r="K201">
        <v>0</v>
      </c>
      <c r="L201" t="s">
        <v>153</v>
      </c>
    </row>
    <row r="202" spans="9:12" x14ac:dyDescent="0.45">
      <c r="I202" t="s">
        <v>179</v>
      </c>
      <c r="J202" t="s">
        <v>291</v>
      </c>
      <c r="K202">
        <v>1.1262344818265853E-2</v>
      </c>
      <c r="L202" t="s">
        <v>153</v>
      </c>
    </row>
    <row r="203" spans="9:12" x14ac:dyDescent="0.45">
      <c r="I203" t="s">
        <v>180</v>
      </c>
      <c r="J203" t="s">
        <v>280</v>
      </c>
      <c r="K203">
        <v>0.20628458242706776</v>
      </c>
      <c r="L203" t="s">
        <v>153</v>
      </c>
    </row>
    <row r="204" spans="9:12" x14ac:dyDescent="0.45">
      <c r="I204" t="s">
        <v>180</v>
      </c>
      <c r="J204" t="s">
        <v>281</v>
      </c>
      <c r="K204">
        <v>0</v>
      </c>
      <c r="L204" t="s">
        <v>153</v>
      </c>
    </row>
    <row r="205" spans="9:12" x14ac:dyDescent="0.45">
      <c r="I205" t="s">
        <v>180</v>
      </c>
      <c r="J205" t="s">
        <v>282</v>
      </c>
      <c r="K205">
        <v>7.6947616651000788E-3</v>
      </c>
      <c r="L205" t="s">
        <v>153</v>
      </c>
    </row>
    <row r="206" spans="9:12" x14ac:dyDescent="0.45">
      <c r="I206" t="s">
        <v>180</v>
      </c>
      <c r="J206" t="s">
        <v>283</v>
      </c>
      <c r="K206">
        <v>0.29633568531922483</v>
      </c>
      <c r="L206" t="s">
        <v>153</v>
      </c>
    </row>
    <row r="207" spans="9:12" x14ac:dyDescent="0.45">
      <c r="I207" t="s">
        <v>180</v>
      </c>
      <c r="J207" t="s">
        <v>284</v>
      </c>
      <c r="K207">
        <v>0</v>
      </c>
      <c r="L207" t="s">
        <v>153</v>
      </c>
    </row>
    <row r="208" spans="9:12" x14ac:dyDescent="0.45">
      <c r="I208" t="s">
        <v>180</v>
      </c>
      <c r="J208" t="s">
        <v>285</v>
      </c>
      <c r="K208">
        <v>2.5643464297642408E-2</v>
      </c>
      <c r="L208" t="s">
        <v>153</v>
      </c>
    </row>
    <row r="209" spans="9:12" x14ac:dyDescent="0.45">
      <c r="I209" t="s">
        <v>180</v>
      </c>
      <c r="J209" t="s">
        <v>286</v>
      </c>
      <c r="K209">
        <v>0.16236916824192388</v>
      </c>
      <c r="L209" t="s">
        <v>153</v>
      </c>
    </row>
    <row r="210" spans="9:12" x14ac:dyDescent="0.45">
      <c r="I210" t="s">
        <v>180</v>
      </c>
      <c r="J210" t="s">
        <v>287</v>
      </c>
      <c r="K210">
        <v>0</v>
      </c>
      <c r="L210" t="s">
        <v>153</v>
      </c>
    </row>
    <row r="211" spans="9:12" x14ac:dyDescent="0.45">
      <c r="I211" t="s">
        <v>180</v>
      </c>
      <c r="J211" t="s">
        <v>288</v>
      </c>
      <c r="K211">
        <v>1.0598475957959813E-2</v>
      </c>
      <c r="L211" t="s">
        <v>153</v>
      </c>
    </row>
    <row r="212" spans="9:12" x14ac:dyDescent="0.45">
      <c r="I212" t="s">
        <v>180</v>
      </c>
      <c r="J212" t="s">
        <v>289</v>
      </c>
      <c r="K212">
        <v>0.27638841591564323</v>
      </c>
      <c r="L212" t="s">
        <v>153</v>
      </c>
    </row>
    <row r="213" spans="9:12" x14ac:dyDescent="0.45">
      <c r="I213" t="s">
        <v>180</v>
      </c>
      <c r="J213" t="s">
        <v>290</v>
      </c>
      <c r="K213">
        <v>0</v>
      </c>
      <c r="L213" t="s">
        <v>153</v>
      </c>
    </row>
    <row r="214" spans="9:12" x14ac:dyDescent="0.45">
      <c r="I214" t="s">
        <v>180</v>
      </c>
      <c r="J214" t="s">
        <v>291</v>
      </c>
      <c r="K214">
        <v>1.468544617543845E-2</v>
      </c>
      <c r="L214" t="s">
        <v>153</v>
      </c>
    </row>
    <row r="215" spans="9:12" x14ac:dyDescent="0.45">
      <c r="I215" t="s">
        <v>181</v>
      </c>
      <c r="J215" t="s">
        <v>280</v>
      </c>
      <c r="K215">
        <v>0.206803299764551</v>
      </c>
      <c r="L215" t="s">
        <v>153</v>
      </c>
    </row>
    <row r="216" spans="9:12" x14ac:dyDescent="0.45">
      <c r="I216" t="s">
        <v>181</v>
      </c>
      <c r="J216" t="s">
        <v>281</v>
      </c>
      <c r="K216">
        <v>0</v>
      </c>
      <c r="L216" t="s">
        <v>153</v>
      </c>
    </row>
    <row r="217" spans="9:12" x14ac:dyDescent="0.45">
      <c r="I217" t="s">
        <v>181</v>
      </c>
      <c r="J217" t="s">
        <v>282</v>
      </c>
      <c r="K217">
        <v>7.5911482967817709E-3</v>
      </c>
      <c r="L217" t="s">
        <v>153</v>
      </c>
    </row>
    <row r="218" spans="9:12" x14ac:dyDescent="0.45">
      <c r="I218" t="s">
        <v>181</v>
      </c>
      <c r="J218" t="s">
        <v>283</v>
      </c>
      <c r="K218">
        <v>0.29433674777661151</v>
      </c>
      <c r="L218" t="s">
        <v>153</v>
      </c>
    </row>
    <row r="219" spans="9:12" x14ac:dyDescent="0.45">
      <c r="I219" t="s">
        <v>181</v>
      </c>
      <c r="J219" t="s">
        <v>284</v>
      </c>
      <c r="K219">
        <v>0</v>
      </c>
      <c r="L219" t="s">
        <v>153</v>
      </c>
    </row>
    <row r="220" spans="9:12" x14ac:dyDescent="0.45">
      <c r="I220" t="s">
        <v>181</v>
      </c>
      <c r="J220" t="s">
        <v>285</v>
      </c>
      <c r="K220">
        <v>2.1288119071805885E-2</v>
      </c>
      <c r="L220" t="s">
        <v>153</v>
      </c>
    </row>
    <row r="221" spans="9:12" x14ac:dyDescent="0.45">
      <c r="I221" t="s">
        <v>181</v>
      </c>
      <c r="J221" t="s">
        <v>286</v>
      </c>
      <c r="K221">
        <v>0.17199691442206641</v>
      </c>
      <c r="L221" t="s">
        <v>153</v>
      </c>
    </row>
    <row r="222" spans="9:12" x14ac:dyDescent="0.45">
      <c r="I222" t="s">
        <v>181</v>
      </c>
      <c r="J222" t="s">
        <v>287</v>
      </c>
      <c r="K222">
        <v>0</v>
      </c>
      <c r="L222" t="s">
        <v>153</v>
      </c>
    </row>
    <row r="223" spans="9:12" x14ac:dyDescent="0.45">
      <c r="I223" t="s">
        <v>181</v>
      </c>
      <c r="J223" t="s">
        <v>288</v>
      </c>
      <c r="K223">
        <v>1.083054609094432E-2</v>
      </c>
      <c r="L223" t="s">
        <v>153</v>
      </c>
    </row>
    <row r="224" spans="9:12" x14ac:dyDescent="0.45">
      <c r="I224" t="s">
        <v>181</v>
      </c>
      <c r="J224" t="s">
        <v>289</v>
      </c>
      <c r="K224">
        <v>0.27363019261151056</v>
      </c>
      <c r="L224" t="s">
        <v>153</v>
      </c>
    </row>
    <row r="225" spans="9:12" x14ac:dyDescent="0.45">
      <c r="I225" t="s">
        <v>181</v>
      </c>
      <c r="J225" t="s">
        <v>290</v>
      </c>
      <c r="K225">
        <v>0</v>
      </c>
      <c r="L225" t="s">
        <v>153</v>
      </c>
    </row>
    <row r="226" spans="9:12" x14ac:dyDescent="0.45">
      <c r="I226" t="s">
        <v>181</v>
      </c>
      <c r="J226" t="s">
        <v>291</v>
      </c>
      <c r="K226">
        <v>1.3523031965728139E-2</v>
      </c>
      <c r="L226" t="s">
        <v>153</v>
      </c>
    </row>
    <row r="227" spans="9:12" x14ac:dyDescent="0.45">
      <c r="I227" t="s">
        <v>182</v>
      </c>
      <c r="J227" t="s">
        <v>280</v>
      </c>
      <c r="K227">
        <v>0.21009762364294202</v>
      </c>
      <c r="L227" t="s">
        <v>153</v>
      </c>
    </row>
    <row r="228" spans="9:12" x14ac:dyDescent="0.45">
      <c r="I228" t="s">
        <v>182</v>
      </c>
      <c r="J228" t="s">
        <v>281</v>
      </c>
      <c r="K228">
        <v>0</v>
      </c>
      <c r="L228" t="s">
        <v>153</v>
      </c>
    </row>
    <row r="229" spans="9:12" x14ac:dyDescent="0.45">
      <c r="I229" t="s">
        <v>182</v>
      </c>
      <c r="J229" t="s">
        <v>282</v>
      </c>
      <c r="K229">
        <v>7.5150161736531086E-3</v>
      </c>
      <c r="L229" t="s">
        <v>153</v>
      </c>
    </row>
    <row r="230" spans="9:12" x14ac:dyDescent="0.45">
      <c r="I230" t="s">
        <v>182</v>
      </c>
      <c r="J230" t="s">
        <v>283</v>
      </c>
      <c r="K230">
        <v>0.29755301959535629</v>
      </c>
      <c r="L230" t="s">
        <v>153</v>
      </c>
    </row>
    <row r="231" spans="9:12" x14ac:dyDescent="0.45">
      <c r="I231" t="s">
        <v>182</v>
      </c>
      <c r="J231" t="s">
        <v>284</v>
      </c>
      <c r="K231">
        <v>0</v>
      </c>
      <c r="L231" t="s">
        <v>153</v>
      </c>
    </row>
    <row r="232" spans="9:12" x14ac:dyDescent="0.45">
      <c r="I232" t="s">
        <v>182</v>
      </c>
      <c r="J232" t="s">
        <v>285</v>
      </c>
      <c r="K232">
        <v>1.7973286491644806E-2</v>
      </c>
      <c r="L232" t="s">
        <v>153</v>
      </c>
    </row>
    <row r="233" spans="9:12" x14ac:dyDescent="0.45">
      <c r="I233" t="s">
        <v>182</v>
      </c>
      <c r="J233" t="s">
        <v>286</v>
      </c>
      <c r="K233">
        <v>0.18387792359139662</v>
      </c>
      <c r="L233" t="s">
        <v>153</v>
      </c>
    </row>
    <row r="234" spans="9:12" x14ac:dyDescent="0.45">
      <c r="I234" t="s">
        <v>182</v>
      </c>
      <c r="J234" t="s">
        <v>287</v>
      </c>
      <c r="K234">
        <v>0</v>
      </c>
      <c r="L234" t="s">
        <v>153</v>
      </c>
    </row>
    <row r="235" spans="9:12" x14ac:dyDescent="0.45">
      <c r="I235" t="s">
        <v>182</v>
      </c>
      <c r="J235" t="s">
        <v>288</v>
      </c>
      <c r="K235">
        <v>1.0636849577073329E-2</v>
      </c>
      <c r="L235" t="s">
        <v>153</v>
      </c>
    </row>
    <row r="236" spans="9:12" x14ac:dyDescent="0.45">
      <c r="I236" t="s">
        <v>182</v>
      </c>
      <c r="J236" t="s">
        <v>289</v>
      </c>
      <c r="K236">
        <v>0.2599773778604717</v>
      </c>
      <c r="L236" t="s">
        <v>153</v>
      </c>
    </row>
    <row r="237" spans="9:12" x14ac:dyDescent="0.45">
      <c r="I237" t="s">
        <v>182</v>
      </c>
      <c r="J237" t="s">
        <v>290</v>
      </c>
      <c r="K237">
        <v>0</v>
      </c>
      <c r="L237" t="s">
        <v>153</v>
      </c>
    </row>
    <row r="238" spans="9:12" x14ac:dyDescent="0.45">
      <c r="I238" t="s">
        <v>182</v>
      </c>
      <c r="J238" t="s">
        <v>291</v>
      </c>
      <c r="K238">
        <v>1.2368903067463787E-2</v>
      </c>
      <c r="L238" t="s">
        <v>153</v>
      </c>
    </row>
    <row r="239" spans="9:12" x14ac:dyDescent="0.45">
      <c r="I239" t="s">
        <v>183</v>
      </c>
      <c r="J239" t="s">
        <v>280</v>
      </c>
      <c r="K239">
        <v>0.20571521776193832</v>
      </c>
      <c r="L239" t="s">
        <v>153</v>
      </c>
    </row>
    <row r="240" spans="9:12" x14ac:dyDescent="0.45">
      <c r="I240" t="s">
        <v>183</v>
      </c>
      <c r="J240" t="s">
        <v>281</v>
      </c>
      <c r="K240">
        <v>0</v>
      </c>
      <c r="L240" t="s">
        <v>153</v>
      </c>
    </row>
    <row r="241" spans="9:12" x14ac:dyDescent="0.45">
      <c r="I241" t="s">
        <v>183</v>
      </c>
      <c r="J241" t="s">
        <v>282</v>
      </c>
      <c r="K241">
        <v>8.2703322470409363E-3</v>
      </c>
      <c r="L241" t="s">
        <v>153</v>
      </c>
    </row>
    <row r="242" spans="9:12" x14ac:dyDescent="0.45">
      <c r="I242" t="s">
        <v>183</v>
      </c>
      <c r="J242" t="s">
        <v>283</v>
      </c>
      <c r="K242">
        <v>0.30270416597894156</v>
      </c>
      <c r="L242" t="s">
        <v>153</v>
      </c>
    </row>
    <row r="243" spans="9:12" x14ac:dyDescent="0.45">
      <c r="I243" t="s">
        <v>183</v>
      </c>
      <c r="J243" t="s">
        <v>284</v>
      </c>
      <c r="K243">
        <v>0</v>
      </c>
      <c r="L243" t="s">
        <v>153</v>
      </c>
    </row>
    <row r="244" spans="9:12" x14ac:dyDescent="0.45">
      <c r="I244" t="s">
        <v>183</v>
      </c>
      <c r="J244" t="s">
        <v>285</v>
      </c>
      <c r="K244">
        <v>1.9655036020784087E-2</v>
      </c>
      <c r="L244" t="s">
        <v>153</v>
      </c>
    </row>
    <row r="245" spans="9:12" x14ac:dyDescent="0.45">
      <c r="I245" t="s">
        <v>183</v>
      </c>
      <c r="J245" t="s">
        <v>286</v>
      </c>
      <c r="K245">
        <v>0.18556139467195831</v>
      </c>
      <c r="L245" t="s">
        <v>153</v>
      </c>
    </row>
    <row r="246" spans="9:12" x14ac:dyDescent="0.45">
      <c r="I246" t="s">
        <v>183</v>
      </c>
      <c r="J246" t="s">
        <v>287</v>
      </c>
      <c r="K246">
        <v>0</v>
      </c>
      <c r="L246" t="s">
        <v>153</v>
      </c>
    </row>
    <row r="247" spans="9:12" x14ac:dyDescent="0.45">
      <c r="I247" t="s">
        <v>183</v>
      </c>
      <c r="J247" t="s">
        <v>288</v>
      </c>
      <c r="K247">
        <v>1.2307093011861591E-2</v>
      </c>
      <c r="L247" t="s">
        <v>153</v>
      </c>
    </row>
    <row r="248" spans="9:12" x14ac:dyDescent="0.45">
      <c r="I248" t="s">
        <v>183</v>
      </c>
      <c r="J248" t="s">
        <v>289</v>
      </c>
      <c r="K248">
        <v>0.2533275611742371</v>
      </c>
      <c r="L248" t="s">
        <v>153</v>
      </c>
    </row>
    <row r="249" spans="9:12" x14ac:dyDescent="0.45">
      <c r="I249" t="s">
        <v>183</v>
      </c>
      <c r="J249" t="s">
        <v>290</v>
      </c>
      <c r="K249">
        <v>0</v>
      </c>
      <c r="L249" t="s">
        <v>153</v>
      </c>
    </row>
    <row r="250" spans="9:12" x14ac:dyDescent="0.45">
      <c r="I250" t="s">
        <v>183</v>
      </c>
      <c r="J250" t="s">
        <v>291</v>
      </c>
      <c r="K250">
        <v>1.2459199133238726E-2</v>
      </c>
      <c r="L250" t="s">
        <v>153</v>
      </c>
    </row>
    <row r="251" spans="9:12" x14ac:dyDescent="0.45">
      <c r="I251" t="s">
        <v>184</v>
      </c>
      <c r="J251" t="s">
        <v>280</v>
      </c>
      <c r="K251">
        <v>0.21747553457553664</v>
      </c>
      <c r="L251" t="s">
        <v>153</v>
      </c>
    </row>
    <row r="252" spans="9:12" x14ac:dyDescent="0.45">
      <c r="I252" t="s">
        <v>184</v>
      </c>
      <c r="J252" t="s">
        <v>281</v>
      </c>
      <c r="K252">
        <v>0</v>
      </c>
      <c r="L252" t="s">
        <v>153</v>
      </c>
    </row>
    <row r="253" spans="9:12" x14ac:dyDescent="0.45">
      <c r="I253" t="s">
        <v>184</v>
      </c>
      <c r="J253" t="s">
        <v>282</v>
      </c>
      <c r="K253">
        <v>8.3133608644910852E-3</v>
      </c>
      <c r="L253" t="s">
        <v>153</v>
      </c>
    </row>
    <row r="254" spans="9:12" x14ac:dyDescent="0.45">
      <c r="I254" t="s">
        <v>184</v>
      </c>
      <c r="J254" t="s">
        <v>283</v>
      </c>
      <c r="K254">
        <v>0.26748663320145033</v>
      </c>
      <c r="L254" t="s">
        <v>153</v>
      </c>
    </row>
    <row r="255" spans="9:12" x14ac:dyDescent="0.45">
      <c r="I255" t="s">
        <v>184</v>
      </c>
      <c r="J255" t="s">
        <v>284</v>
      </c>
      <c r="K255">
        <v>0</v>
      </c>
      <c r="L255" t="s">
        <v>153</v>
      </c>
    </row>
    <row r="256" spans="9:12" x14ac:dyDescent="0.45">
      <c r="I256" t="s">
        <v>184</v>
      </c>
      <c r="J256" t="s">
        <v>285</v>
      </c>
      <c r="K256">
        <v>1.4439103637019862E-2</v>
      </c>
      <c r="L256" t="s">
        <v>153</v>
      </c>
    </row>
    <row r="257" spans="9:12" x14ac:dyDescent="0.45">
      <c r="I257" t="s">
        <v>184</v>
      </c>
      <c r="J257" t="s">
        <v>286</v>
      </c>
      <c r="K257">
        <v>0.20303172485617177</v>
      </c>
      <c r="L257" t="s">
        <v>153</v>
      </c>
    </row>
    <row r="258" spans="9:12" x14ac:dyDescent="0.45">
      <c r="I258" t="s">
        <v>184</v>
      </c>
      <c r="J258" t="s">
        <v>287</v>
      </c>
      <c r="K258">
        <v>0</v>
      </c>
      <c r="L258" t="s">
        <v>153</v>
      </c>
    </row>
    <row r="259" spans="9:12" x14ac:dyDescent="0.45">
      <c r="I259" t="s">
        <v>184</v>
      </c>
      <c r="J259" t="s">
        <v>288</v>
      </c>
      <c r="K259">
        <v>1.394078857291439E-2</v>
      </c>
      <c r="L259" t="s">
        <v>153</v>
      </c>
    </row>
    <row r="260" spans="9:12" x14ac:dyDescent="0.45">
      <c r="I260" t="s">
        <v>184</v>
      </c>
      <c r="J260" t="s">
        <v>289</v>
      </c>
      <c r="K260">
        <v>0.26237352943809356</v>
      </c>
      <c r="L260" t="s">
        <v>153</v>
      </c>
    </row>
    <row r="261" spans="9:12" x14ac:dyDescent="0.45">
      <c r="I261" t="s">
        <v>184</v>
      </c>
      <c r="J261" t="s">
        <v>290</v>
      </c>
      <c r="K261">
        <v>0</v>
      </c>
      <c r="L261" t="s">
        <v>153</v>
      </c>
    </row>
    <row r="262" spans="9:12" x14ac:dyDescent="0.45">
      <c r="I262" t="s">
        <v>184</v>
      </c>
      <c r="J262" t="s">
        <v>291</v>
      </c>
      <c r="K262">
        <v>1.2939324854319718E-2</v>
      </c>
      <c r="L262" t="s">
        <v>153</v>
      </c>
    </row>
    <row r="263" spans="9:12" x14ac:dyDescent="0.45">
      <c r="I263" t="s">
        <v>185</v>
      </c>
      <c r="J263" t="s">
        <v>280</v>
      </c>
      <c r="K263">
        <v>0.21119980220659459</v>
      </c>
      <c r="L263" t="s">
        <v>153</v>
      </c>
    </row>
    <row r="264" spans="9:12" x14ac:dyDescent="0.45">
      <c r="I264" t="s">
        <v>185</v>
      </c>
      <c r="J264" t="s">
        <v>281</v>
      </c>
      <c r="K264">
        <v>0</v>
      </c>
      <c r="L264" t="s">
        <v>153</v>
      </c>
    </row>
    <row r="265" spans="9:12" x14ac:dyDescent="0.45">
      <c r="I265" t="s">
        <v>185</v>
      </c>
      <c r="J265" t="s">
        <v>282</v>
      </c>
      <c r="K265">
        <v>6.9578035761038888E-3</v>
      </c>
      <c r="L265" t="s">
        <v>153</v>
      </c>
    </row>
    <row r="266" spans="9:12" x14ac:dyDescent="0.45">
      <c r="I266" t="s">
        <v>185</v>
      </c>
      <c r="J266" t="s">
        <v>283</v>
      </c>
      <c r="K266">
        <v>0.27696997784128291</v>
      </c>
      <c r="L266" t="s">
        <v>153</v>
      </c>
    </row>
    <row r="267" spans="9:12" x14ac:dyDescent="0.45">
      <c r="I267" t="s">
        <v>185</v>
      </c>
      <c r="J267" t="s">
        <v>284</v>
      </c>
      <c r="K267">
        <v>0</v>
      </c>
      <c r="L267" t="s">
        <v>153</v>
      </c>
    </row>
    <row r="268" spans="9:12" x14ac:dyDescent="0.45">
      <c r="I268" t="s">
        <v>185</v>
      </c>
      <c r="J268" t="s">
        <v>285</v>
      </c>
      <c r="K268">
        <v>1.245748446120792E-2</v>
      </c>
      <c r="L268" t="s">
        <v>153</v>
      </c>
    </row>
    <row r="269" spans="9:12" x14ac:dyDescent="0.45">
      <c r="I269" t="s">
        <v>185</v>
      </c>
      <c r="J269" t="s">
        <v>286</v>
      </c>
      <c r="K269">
        <v>0.1919622523189046</v>
      </c>
      <c r="L269" t="s">
        <v>153</v>
      </c>
    </row>
    <row r="270" spans="9:12" x14ac:dyDescent="0.45">
      <c r="I270" t="s">
        <v>185</v>
      </c>
      <c r="J270" t="s">
        <v>287</v>
      </c>
      <c r="K270">
        <v>0</v>
      </c>
      <c r="L270" t="s">
        <v>153</v>
      </c>
    </row>
    <row r="271" spans="9:12" x14ac:dyDescent="0.45">
      <c r="I271" t="s">
        <v>185</v>
      </c>
      <c r="J271" t="s">
        <v>288</v>
      </c>
      <c r="K271">
        <v>1.1141518089102369E-2</v>
      </c>
      <c r="L271" t="s">
        <v>153</v>
      </c>
    </row>
    <row r="272" spans="9:12" x14ac:dyDescent="0.45">
      <c r="I272" t="s">
        <v>185</v>
      </c>
      <c r="J272" t="s">
        <v>289</v>
      </c>
      <c r="K272">
        <v>0.27561727697968624</v>
      </c>
      <c r="L272" t="s">
        <v>153</v>
      </c>
    </row>
    <row r="273" spans="9:12" x14ac:dyDescent="0.45">
      <c r="I273" t="s">
        <v>185</v>
      </c>
      <c r="J273" t="s">
        <v>290</v>
      </c>
      <c r="K273">
        <v>0</v>
      </c>
      <c r="L273" t="s">
        <v>153</v>
      </c>
    </row>
    <row r="274" spans="9:12" x14ac:dyDescent="0.45">
      <c r="I274" t="s">
        <v>185</v>
      </c>
      <c r="J274" t="s">
        <v>291</v>
      </c>
      <c r="K274">
        <v>1.3693884527117884E-2</v>
      </c>
      <c r="L274" t="s">
        <v>153</v>
      </c>
    </row>
    <row r="275" spans="9:12" x14ac:dyDescent="0.45">
      <c r="I275" t="s">
        <v>186</v>
      </c>
      <c r="J275" t="s">
        <v>280</v>
      </c>
      <c r="K275">
        <v>0.21890049666461914</v>
      </c>
      <c r="L275" t="s">
        <v>153</v>
      </c>
    </row>
    <row r="276" spans="9:12" x14ac:dyDescent="0.45">
      <c r="I276" t="s">
        <v>186</v>
      </c>
      <c r="J276" t="s">
        <v>281</v>
      </c>
      <c r="K276">
        <v>0</v>
      </c>
      <c r="L276" t="s">
        <v>153</v>
      </c>
    </row>
    <row r="277" spans="9:12" x14ac:dyDescent="0.45">
      <c r="I277" t="s">
        <v>186</v>
      </c>
      <c r="J277" t="s">
        <v>282</v>
      </c>
      <c r="K277">
        <v>7.1410826320339139E-3</v>
      </c>
      <c r="L277" t="s">
        <v>153</v>
      </c>
    </row>
    <row r="278" spans="9:12" x14ac:dyDescent="0.45">
      <c r="I278" t="s">
        <v>186</v>
      </c>
      <c r="J278" t="s">
        <v>283</v>
      </c>
      <c r="K278">
        <v>0.29054173346959894</v>
      </c>
      <c r="L278" t="s">
        <v>153</v>
      </c>
    </row>
    <row r="279" spans="9:12" x14ac:dyDescent="0.45">
      <c r="I279" t="s">
        <v>186</v>
      </c>
      <c r="J279" t="s">
        <v>284</v>
      </c>
      <c r="K279">
        <v>0</v>
      </c>
      <c r="L279" t="s">
        <v>153</v>
      </c>
    </row>
    <row r="280" spans="9:12" x14ac:dyDescent="0.45">
      <c r="I280" t="s">
        <v>186</v>
      </c>
      <c r="J280" t="s">
        <v>285</v>
      </c>
      <c r="K280">
        <v>2.5495347994306267E-2</v>
      </c>
      <c r="L280" t="s">
        <v>153</v>
      </c>
    </row>
    <row r="281" spans="9:12" x14ac:dyDescent="0.45">
      <c r="I281" t="s">
        <v>186</v>
      </c>
      <c r="J281" t="s">
        <v>286</v>
      </c>
      <c r="K281">
        <v>0.13239777092785401</v>
      </c>
      <c r="L281" t="s">
        <v>153</v>
      </c>
    </row>
    <row r="282" spans="9:12" x14ac:dyDescent="0.45">
      <c r="I282" t="s">
        <v>186</v>
      </c>
      <c r="J282" t="s">
        <v>287</v>
      </c>
      <c r="K282">
        <v>0</v>
      </c>
      <c r="L282" t="s">
        <v>153</v>
      </c>
    </row>
    <row r="283" spans="9:12" x14ac:dyDescent="0.45">
      <c r="I283" t="s">
        <v>186</v>
      </c>
      <c r="J283" t="s">
        <v>288</v>
      </c>
      <c r="K283">
        <v>7.6809690209546071E-3</v>
      </c>
      <c r="L283" t="s">
        <v>153</v>
      </c>
    </row>
    <row r="284" spans="9:12" x14ac:dyDescent="0.45">
      <c r="I284" t="s">
        <v>186</v>
      </c>
      <c r="J284" t="s">
        <v>289</v>
      </c>
      <c r="K284">
        <v>0.30237238376131031</v>
      </c>
      <c r="L284" t="s">
        <v>153</v>
      </c>
    </row>
    <row r="285" spans="9:12" x14ac:dyDescent="0.45">
      <c r="I285" t="s">
        <v>186</v>
      </c>
      <c r="J285" t="s">
        <v>290</v>
      </c>
      <c r="K285">
        <v>0</v>
      </c>
      <c r="L285" t="s">
        <v>153</v>
      </c>
    </row>
    <row r="286" spans="9:12" x14ac:dyDescent="0.45">
      <c r="I286" t="s">
        <v>186</v>
      </c>
      <c r="J286" t="s">
        <v>291</v>
      </c>
      <c r="K286">
        <v>1.5470215529319712E-2</v>
      </c>
      <c r="L286" t="s">
        <v>153</v>
      </c>
    </row>
    <row r="287" spans="9:12" x14ac:dyDescent="0.45">
      <c r="I287" t="s">
        <v>187</v>
      </c>
      <c r="J287" t="s">
        <v>280</v>
      </c>
      <c r="K287">
        <v>0.22090597101977674</v>
      </c>
      <c r="L287" t="s">
        <v>153</v>
      </c>
    </row>
    <row r="288" spans="9:12" x14ac:dyDescent="0.45">
      <c r="I288" t="s">
        <v>187</v>
      </c>
      <c r="J288" t="s">
        <v>281</v>
      </c>
      <c r="K288">
        <v>0</v>
      </c>
      <c r="L288" t="s">
        <v>153</v>
      </c>
    </row>
    <row r="289" spans="9:12" x14ac:dyDescent="0.45">
      <c r="I289" t="s">
        <v>187</v>
      </c>
      <c r="J289" t="s">
        <v>282</v>
      </c>
      <c r="K289">
        <v>6.9293486643513084E-3</v>
      </c>
      <c r="L289" t="s">
        <v>153</v>
      </c>
    </row>
    <row r="290" spans="9:12" x14ac:dyDescent="0.45">
      <c r="I290" t="s">
        <v>187</v>
      </c>
      <c r="J290" t="s">
        <v>283</v>
      </c>
      <c r="K290">
        <v>0.28545211287798672</v>
      </c>
      <c r="L290" t="s">
        <v>153</v>
      </c>
    </row>
    <row r="291" spans="9:12" x14ac:dyDescent="0.45">
      <c r="I291" t="s">
        <v>187</v>
      </c>
      <c r="J291" t="s">
        <v>284</v>
      </c>
      <c r="K291">
        <v>0</v>
      </c>
      <c r="L291" t="s">
        <v>153</v>
      </c>
    </row>
    <row r="292" spans="9:12" x14ac:dyDescent="0.45">
      <c r="I292" t="s">
        <v>187</v>
      </c>
      <c r="J292" t="s">
        <v>285</v>
      </c>
      <c r="K292">
        <v>2.2883869584835764E-2</v>
      </c>
      <c r="L292" t="s">
        <v>153</v>
      </c>
    </row>
    <row r="293" spans="9:12" x14ac:dyDescent="0.45">
      <c r="I293" t="s">
        <v>187</v>
      </c>
      <c r="J293" t="s">
        <v>286</v>
      </c>
      <c r="K293">
        <v>0.13590642902558636</v>
      </c>
      <c r="L293" t="s">
        <v>153</v>
      </c>
    </row>
    <row r="294" spans="9:12" x14ac:dyDescent="0.45">
      <c r="I294" t="s">
        <v>187</v>
      </c>
      <c r="J294" t="s">
        <v>287</v>
      </c>
      <c r="K294">
        <v>0</v>
      </c>
      <c r="L294" t="s">
        <v>153</v>
      </c>
    </row>
    <row r="295" spans="9:12" x14ac:dyDescent="0.45">
      <c r="I295" t="s">
        <v>187</v>
      </c>
      <c r="J295" t="s">
        <v>288</v>
      </c>
      <c r="K295">
        <v>6.8336207306723545E-3</v>
      </c>
      <c r="L295" t="s">
        <v>153</v>
      </c>
    </row>
    <row r="296" spans="9:12" x14ac:dyDescent="0.45">
      <c r="I296" t="s">
        <v>187</v>
      </c>
      <c r="J296" t="s">
        <v>289</v>
      </c>
      <c r="K296">
        <v>0.3060289033237118</v>
      </c>
      <c r="L296" t="s">
        <v>153</v>
      </c>
    </row>
    <row r="297" spans="9:12" x14ac:dyDescent="0.45">
      <c r="I297" t="s">
        <v>187</v>
      </c>
      <c r="J297" t="s">
        <v>290</v>
      </c>
      <c r="K297">
        <v>0</v>
      </c>
      <c r="L297" t="s">
        <v>153</v>
      </c>
    </row>
    <row r="298" spans="9:12" x14ac:dyDescent="0.45">
      <c r="I298" t="s">
        <v>187</v>
      </c>
      <c r="J298" t="s">
        <v>291</v>
      </c>
      <c r="K298">
        <v>1.5059744773078988E-2</v>
      </c>
      <c r="L298" t="s">
        <v>153</v>
      </c>
    </row>
    <row r="299" spans="9:12" x14ac:dyDescent="0.45">
      <c r="I299" t="s">
        <v>188</v>
      </c>
      <c r="J299" t="s">
        <v>280</v>
      </c>
      <c r="K299">
        <v>0.21319090753835007</v>
      </c>
      <c r="L299" t="s">
        <v>153</v>
      </c>
    </row>
    <row r="300" spans="9:12" x14ac:dyDescent="0.45">
      <c r="I300" t="s">
        <v>188</v>
      </c>
      <c r="J300" t="s">
        <v>281</v>
      </c>
      <c r="K300">
        <v>0</v>
      </c>
      <c r="L300" t="s">
        <v>153</v>
      </c>
    </row>
    <row r="301" spans="9:12" x14ac:dyDescent="0.45">
      <c r="I301" t="s">
        <v>188</v>
      </c>
      <c r="J301" t="s">
        <v>282</v>
      </c>
      <c r="K301">
        <v>7.3538145430571767E-3</v>
      </c>
      <c r="L301" t="s">
        <v>153</v>
      </c>
    </row>
    <row r="302" spans="9:12" x14ac:dyDescent="0.45">
      <c r="I302" t="s">
        <v>188</v>
      </c>
      <c r="J302" t="s">
        <v>283</v>
      </c>
      <c r="K302">
        <v>0.29100914822753571</v>
      </c>
      <c r="L302" t="s">
        <v>153</v>
      </c>
    </row>
    <row r="303" spans="9:12" x14ac:dyDescent="0.45">
      <c r="I303" t="s">
        <v>188</v>
      </c>
      <c r="J303" t="s">
        <v>284</v>
      </c>
      <c r="K303">
        <v>0</v>
      </c>
      <c r="L303" t="s">
        <v>153</v>
      </c>
    </row>
    <row r="304" spans="9:12" x14ac:dyDescent="0.45">
      <c r="I304" t="s">
        <v>188</v>
      </c>
      <c r="J304" t="s">
        <v>285</v>
      </c>
      <c r="K304">
        <v>1.8095860823514779E-2</v>
      </c>
      <c r="L304" t="s">
        <v>153</v>
      </c>
    </row>
    <row r="305" spans="9:12" x14ac:dyDescent="0.45">
      <c r="I305" t="s">
        <v>188</v>
      </c>
      <c r="J305" t="s">
        <v>286</v>
      </c>
      <c r="K305">
        <v>0.15591550446217617</v>
      </c>
      <c r="L305" t="s">
        <v>153</v>
      </c>
    </row>
    <row r="306" spans="9:12" x14ac:dyDescent="0.45">
      <c r="I306" t="s">
        <v>188</v>
      </c>
      <c r="J306" t="s">
        <v>287</v>
      </c>
      <c r="K306">
        <v>0</v>
      </c>
      <c r="L306" t="s">
        <v>153</v>
      </c>
    </row>
    <row r="307" spans="9:12" x14ac:dyDescent="0.45">
      <c r="I307" t="s">
        <v>188</v>
      </c>
      <c r="J307" t="s">
        <v>288</v>
      </c>
      <c r="K307">
        <v>9.3548014958478084E-3</v>
      </c>
      <c r="L307" t="s">
        <v>153</v>
      </c>
    </row>
    <row r="308" spans="9:12" x14ac:dyDescent="0.45">
      <c r="I308" t="s">
        <v>188</v>
      </c>
      <c r="J308" t="s">
        <v>289</v>
      </c>
      <c r="K308">
        <v>0.29102530194220189</v>
      </c>
      <c r="L308" t="s">
        <v>153</v>
      </c>
    </row>
    <row r="309" spans="9:12" x14ac:dyDescent="0.45">
      <c r="I309" t="s">
        <v>188</v>
      </c>
      <c r="J309" t="s">
        <v>290</v>
      </c>
      <c r="K309">
        <v>0</v>
      </c>
      <c r="L309" t="s">
        <v>153</v>
      </c>
    </row>
    <row r="310" spans="9:12" x14ac:dyDescent="0.45">
      <c r="I310" t="s">
        <v>188</v>
      </c>
      <c r="J310" t="s">
        <v>291</v>
      </c>
      <c r="K310">
        <v>1.4054660967313552E-2</v>
      </c>
      <c r="L310" t="s">
        <v>153</v>
      </c>
    </row>
    <row r="311" spans="9:12" x14ac:dyDescent="0.45">
      <c r="I311" t="s">
        <v>189</v>
      </c>
      <c r="J311" t="s">
        <v>280</v>
      </c>
      <c r="K311">
        <v>0.21433050251513824</v>
      </c>
      <c r="L311" t="s">
        <v>153</v>
      </c>
    </row>
    <row r="312" spans="9:12" x14ac:dyDescent="0.45">
      <c r="I312" t="s">
        <v>189</v>
      </c>
      <c r="J312" t="s">
        <v>281</v>
      </c>
      <c r="K312">
        <v>0</v>
      </c>
      <c r="L312" t="s">
        <v>153</v>
      </c>
    </row>
    <row r="313" spans="9:12" x14ac:dyDescent="0.45">
      <c r="I313" t="s">
        <v>189</v>
      </c>
      <c r="J313" t="s">
        <v>282</v>
      </c>
      <c r="K313">
        <v>6.9254916537495326E-3</v>
      </c>
      <c r="L313" t="s">
        <v>153</v>
      </c>
    </row>
    <row r="314" spans="9:12" x14ac:dyDescent="0.45">
      <c r="I314" t="s">
        <v>189</v>
      </c>
      <c r="J314" t="s">
        <v>283</v>
      </c>
      <c r="K314">
        <v>0.28965971614634617</v>
      </c>
      <c r="L314" t="s">
        <v>153</v>
      </c>
    </row>
    <row r="315" spans="9:12" x14ac:dyDescent="0.45">
      <c r="I315" t="s">
        <v>189</v>
      </c>
      <c r="J315" t="s">
        <v>284</v>
      </c>
      <c r="K315">
        <v>0</v>
      </c>
      <c r="L315" t="s">
        <v>153</v>
      </c>
    </row>
    <row r="316" spans="9:12" x14ac:dyDescent="0.45">
      <c r="I316" t="s">
        <v>189</v>
      </c>
      <c r="J316" t="s">
        <v>285</v>
      </c>
      <c r="K316">
        <v>1.6828083553803885E-2</v>
      </c>
      <c r="L316" t="s">
        <v>153</v>
      </c>
    </row>
    <row r="317" spans="9:12" x14ac:dyDescent="0.45">
      <c r="I317" t="s">
        <v>189</v>
      </c>
      <c r="J317" t="s">
        <v>286</v>
      </c>
      <c r="K317">
        <v>0.18067630259534062</v>
      </c>
      <c r="L317" t="s">
        <v>153</v>
      </c>
    </row>
    <row r="318" spans="9:12" x14ac:dyDescent="0.45">
      <c r="I318" t="s">
        <v>189</v>
      </c>
      <c r="J318" t="s">
        <v>287</v>
      </c>
      <c r="K318">
        <v>0</v>
      </c>
      <c r="L318" t="s">
        <v>153</v>
      </c>
    </row>
    <row r="319" spans="9:12" x14ac:dyDescent="0.45">
      <c r="I319" t="s">
        <v>189</v>
      </c>
      <c r="J319" t="s">
        <v>288</v>
      </c>
      <c r="K319">
        <v>1.0647346360999503E-2</v>
      </c>
      <c r="L319" t="s">
        <v>153</v>
      </c>
    </row>
    <row r="320" spans="9:12" x14ac:dyDescent="0.45">
      <c r="I320" t="s">
        <v>189</v>
      </c>
      <c r="J320" t="s">
        <v>289</v>
      </c>
      <c r="K320">
        <v>0.26818251105539609</v>
      </c>
      <c r="L320" t="s">
        <v>153</v>
      </c>
    </row>
    <row r="321" spans="9:12" x14ac:dyDescent="0.45">
      <c r="I321" t="s">
        <v>189</v>
      </c>
      <c r="J321" t="s">
        <v>290</v>
      </c>
      <c r="K321">
        <v>0</v>
      </c>
      <c r="L321" t="s">
        <v>153</v>
      </c>
    </row>
    <row r="322" spans="9:12" x14ac:dyDescent="0.45">
      <c r="I322" t="s">
        <v>189</v>
      </c>
      <c r="J322" t="s">
        <v>291</v>
      </c>
      <c r="K322">
        <v>1.275004611922783E-2</v>
      </c>
      <c r="L322" t="s">
        <v>153</v>
      </c>
    </row>
    <row r="323" spans="9:12" x14ac:dyDescent="0.45">
      <c r="I323" t="s">
        <v>190</v>
      </c>
      <c r="J323" t="s">
        <v>280</v>
      </c>
      <c r="K323">
        <v>0.20824072901845794</v>
      </c>
      <c r="L323" t="s">
        <v>153</v>
      </c>
    </row>
    <row r="324" spans="9:12" x14ac:dyDescent="0.45">
      <c r="I324" t="s">
        <v>190</v>
      </c>
      <c r="J324" t="s">
        <v>281</v>
      </c>
      <c r="K324">
        <v>0</v>
      </c>
      <c r="L324" t="s">
        <v>153</v>
      </c>
    </row>
    <row r="325" spans="9:12" x14ac:dyDescent="0.45">
      <c r="I325" t="s">
        <v>190</v>
      </c>
      <c r="J325" t="s">
        <v>282</v>
      </c>
      <c r="K325">
        <v>6.1431240300676418E-3</v>
      </c>
      <c r="L325" t="s">
        <v>153</v>
      </c>
    </row>
    <row r="326" spans="9:12" x14ac:dyDescent="0.45">
      <c r="I326" t="s">
        <v>190</v>
      </c>
      <c r="J326" t="s">
        <v>283</v>
      </c>
      <c r="K326">
        <v>0.28437371095153008</v>
      </c>
      <c r="L326" t="s">
        <v>153</v>
      </c>
    </row>
    <row r="327" spans="9:12" x14ac:dyDescent="0.45">
      <c r="I327" t="s">
        <v>190</v>
      </c>
      <c r="J327" t="s">
        <v>284</v>
      </c>
      <c r="K327">
        <v>0</v>
      </c>
      <c r="L327" t="s">
        <v>153</v>
      </c>
    </row>
    <row r="328" spans="9:12" x14ac:dyDescent="0.45">
      <c r="I328" t="s">
        <v>190</v>
      </c>
      <c r="J328" t="s">
        <v>285</v>
      </c>
      <c r="K328">
        <v>1.3697407050523499E-2</v>
      </c>
      <c r="L328" t="s">
        <v>153</v>
      </c>
    </row>
    <row r="329" spans="9:12" x14ac:dyDescent="0.45">
      <c r="I329" t="s">
        <v>190</v>
      </c>
      <c r="J329" t="s">
        <v>286</v>
      </c>
      <c r="K329">
        <v>0.18577037903806906</v>
      </c>
      <c r="L329" t="s">
        <v>153</v>
      </c>
    </row>
    <row r="330" spans="9:12" x14ac:dyDescent="0.45">
      <c r="I330" t="s">
        <v>190</v>
      </c>
      <c r="J330" t="s">
        <v>287</v>
      </c>
      <c r="K330">
        <v>0</v>
      </c>
      <c r="L330" t="s">
        <v>153</v>
      </c>
    </row>
    <row r="331" spans="9:12" x14ac:dyDescent="0.45">
      <c r="I331" t="s">
        <v>190</v>
      </c>
      <c r="J331" t="s">
        <v>288</v>
      </c>
      <c r="K331">
        <v>1.0686667994355756E-2</v>
      </c>
      <c r="L331" t="s">
        <v>153</v>
      </c>
    </row>
    <row r="332" spans="9:12" x14ac:dyDescent="0.45">
      <c r="I332" t="s">
        <v>190</v>
      </c>
      <c r="J332" t="s">
        <v>289</v>
      </c>
      <c r="K332">
        <v>0.27780337212578787</v>
      </c>
      <c r="L332" t="s">
        <v>153</v>
      </c>
    </row>
    <row r="333" spans="9:12" x14ac:dyDescent="0.45">
      <c r="I333" t="s">
        <v>190</v>
      </c>
      <c r="J333" t="s">
        <v>290</v>
      </c>
      <c r="K333">
        <v>0</v>
      </c>
      <c r="L333" t="s">
        <v>153</v>
      </c>
    </row>
    <row r="334" spans="9:12" x14ac:dyDescent="0.45">
      <c r="I334" t="s">
        <v>190</v>
      </c>
      <c r="J334" t="s">
        <v>291</v>
      </c>
      <c r="K334">
        <v>1.3284609791206105E-2</v>
      </c>
      <c r="L334" t="s">
        <v>153</v>
      </c>
    </row>
    <row r="335" spans="9:12" x14ac:dyDescent="0.45">
      <c r="I335" t="s">
        <v>191</v>
      </c>
      <c r="J335" t="s">
        <v>280</v>
      </c>
      <c r="K335">
        <v>0.21403790135964143</v>
      </c>
      <c r="L335" t="s">
        <v>153</v>
      </c>
    </row>
    <row r="336" spans="9:12" x14ac:dyDescent="0.45">
      <c r="I336" t="s">
        <v>191</v>
      </c>
      <c r="J336" t="s">
        <v>281</v>
      </c>
      <c r="K336">
        <v>0</v>
      </c>
      <c r="L336" t="s">
        <v>153</v>
      </c>
    </row>
    <row r="337" spans="9:12" x14ac:dyDescent="0.45">
      <c r="I337" t="s">
        <v>191</v>
      </c>
      <c r="J337" t="s">
        <v>282</v>
      </c>
      <c r="K337">
        <v>6.0763611110784405E-3</v>
      </c>
      <c r="L337" t="s">
        <v>153</v>
      </c>
    </row>
    <row r="338" spans="9:12" x14ac:dyDescent="0.45">
      <c r="I338" t="s">
        <v>191</v>
      </c>
      <c r="J338" t="s">
        <v>283</v>
      </c>
      <c r="K338">
        <v>0.27636257747237891</v>
      </c>
      <c r="L338" t="s">
        <v>153</v>
      </c>
    </row>
    <row r="339" spans="9:12" x14ac:dyDescent="0.45">
      <c r="I339" t="s">
        <v>191</v>
      </c>
      <c r="J339" t="s">
        <v>284</v>
      </c>
      <c r="K339">
        <v>0</v>
      </c>
      <c r="L339" t="s">
        <v>153</v>
      </c>
    </row>
    <row r="340" spans="9:12" x14ac:dyDescent="0.45">
      <c r="I340" t="s">
        <v>191</v>
      </c>
      <c r="J340" t="s">
        <v>285</v>
      </c>
      <c r="K340">
        <v>1.3479157449257123E-2</v>
      </c>
      <c r="L340" t="s">
        <v>153</v>
      </c>
    </row>
    <row r="341" spans="9:12" x14ac:dyDescent="0.45">
      <c r="I341" t="s">
        <v>191</v>
      </c>
      <c r="J341" t="s">
        <v>286</v>
      </c>
      <c r="K341">
        <v>0.19773177494117353</v>
      </c>
      <c r="L341" t="s">
        <v>153</v>
      </c>
    </row>
    <row r="342" spans="9:12" x14ac:dyDescent="0.45">
      <c r="I342" t="s">
        <v>191</v>
      </c>
      <c r="J342" t="s">
        <v>287</v>
      </c>
      <c r="K342">
        <v>0</v>
      </c>
      <c r="L342" t="s">
        <v>153</v>
      </c>
    </row>
    <row r="343" spans="9:12" x14ac:dyDescent="0.45">
      <c r="I343" t="s">
        <v>191</v>
      </c>
      <c r="J343" t="s">
        <v>288</v>
      </c>
      <c r="K343">
        <v>9.8568235664412852E-3</v>
      </c>
      <c r="L343" t="s">
        <v>153</v>
      </c>
    </row>
    <row r="344" spans="9:12" x14ac:dyDescent="0.45">
      <c r="I344" t="s">
        <v>191</v>
      </c>
      <c r="J344" t="s">
        <v>289</v>
      </c>
      <c r="K344">
        <v>0.26992472209105645</v>
      </c>
      <c r="L344" t="s">
        <v>153</v>
      </c>
    </row>
    <row r="345" spans="9:12" x14ac:dyDescent="0.45">
      <c r="I345" t="s">
        <v>191</v>
      </c>
      <c r="J345" t="s">
        <v>290</v>
      </c>
      <c r="K345">
        <v>0</v>
      </c>
      <c r="L345" t="s">
        <v>153</v>
      </c>
    </row>
    <row r="346" spans="9:12" x14ac:dyDescent="0.45">
      <c r="I346" t="s">
        <v>191</v>
      </c>
      <c r="J346" t="s">
        <v>291</v>
      </c>
      <c r="K346">
        <v>1.2530682008974238E-2</v>
      </c>
      <c r="L346" t="s">
        <v>153</v>
      </c>
    </row>
    <row r="347" spans="9:12" x14ac:dyDescent="0.45">
      <c r="I347" t="s">
        <v>192</v>
      </c>
      <c r="J347" t="s">
        <v>280</v>
      </c>
      <c r="K347">
        <v>0.21123581867361213</v>
      </c>
      <c r="L347" t="s">
        <v>153</v>
      </c>
    </row>
    <row r="348" spans="9:12" x14ac:dyDescent="0.45">
      <c r="I348" t="s">
        <v>192</v>
      </c>
      <c r="J348" t="s">
        <v>281</v>
      </c>
      <c r="K348">
        <v>0</v>
      </c>
      <c r="L348" t="s">
        <v>153</v>
      </c>
    </row>
    <row r="349" spans="9:12" x14ac:dyDescent="0.45">
      <c r="I349" t="s">
        <v>192</v>
      </c>
      <c r="J349" t="s">
        <v>282</v>
      </c>
      <c r="K349">
        <v>6.4837536177103994E-3</v>
      </c>
      <c r="L349" t="s">
        <v>153</v>
      </c>
    </row>
    <row r="350" spans="9:12" x14ac:dyDescent="0.45">
      <c r="I350" t="s">
        <v>192</v>
      </c>
      <c r="J350" t="s">
        <v>283</v>
      </c>
      <c r="K350">
        <v>0.28403627750184257</v>
      </c>
      <c r="L350" t="s">
        <v>153</v>
      </c>
    </row>
    <row r="351" spans="9:12" x14ac:dyDescent="0.45">
      <c r="I351" t="s">
        <v>192</v>
      </c>
      <c r="J351" t="s">
        <v>284</v>
      </c>
      <c r="K351">
        <v>0</v>
      </c>
      <c r="L351" t="s">
        <v>153</v>
      </c>
    </row>
    <row r="352" spans="9:12" x14ac:dyDescent="0.45">
      <c r="I352" t="s">
        <v>192</v>
      </c>
      <c r="J352" t="s">
        <v>285</v>
      </c>
      <c r="K352">
        <v>1.4417615213789006E-2</v>
      </c>
      <c r="L352" t="s">
        <v>153</v>
      </c>
    </row>
    <row r="353" spans="9:12" x14ac:dyDescent="0.45">
      <c r="I353" t="s">
        <v>192</v>
      </c>
      <c r="J353" t="s">
        <v>286</v>
      </c>
      <c r="K353">
        <v>0.19043083112774775</v>
      </c>
      <c r="L353" t="s">
        <v>153</v>
      </c>
    </row>
    <row r="354" spans="9:12" x14ac:dyDescent="0.45">
      <c r="I354" t="s">
        <v>192</v>
      </c>
      <c r="J354" t="s">
        <v>287</v>
      </c>
      <c r="K354">
        <v>0</v>
      </c>
      <c r="L354" t="s">
        <v>153</v>
      </c>
    </row>
    <row r="355" spans="9:12" x14ac:dyDescent="0.45">
      <c r="I355" t="s">
        <v>192</v>
      </c>
      <c r="J355" t="s">
        <v>288</v>
      </c>
      <c r="K355">
        <v>1.004077394777118E-2</v>
      </c>
      <c r="L355" t="s">
        <v>153</v>
      </c>
    </row>
    <row r="356" spans="9:12" x14ac:dyDescent="0.45">
      <c r="I356" t="s">
        <v>192</v>
      </c>
      <c r="J356" t="s">
        <v>289</v>
      </c>
      <c r="K356">
        <v>0.27060770560202491</v>
      </c>
      <c r="L356" t="s">
        <v>153</v>
      </c>
    </row>
    <row r="357" spans="9:12" x14ac:dyDescent="0.45">
      <c r="I357" t="s">
        <v>192</v>
      </c>
      <c r="J357" t="s">
        <v>290</v>
      </c>
      <c r="K357">
        <v>0</v>
      </c>
      <c r="L357" t="s">
        <v>153</v>
      </c>
    </row>
    <row r="358" spans="9:12" x14ac:dyDescent="0.45">
      <c r="I358" t="s">
        <v>192</v>
      </c>
      <c r="J358" t="s">
        <v>291</v>
      </c>
      <c r="K358">
        <v>1.2747224315504039E-2</v>
      </c>
      <c r="L358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2026-05-06T17:39:24Z</dcterms:modified>
</cp:coreProperties>
</file>