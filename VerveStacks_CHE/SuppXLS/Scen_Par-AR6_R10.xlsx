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D20A2907-C624-4337-8382-154A5A3EFC5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H21" i="6" s="1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<sst xmlns="http://schemas.openxmlformats.org/spreadsheetml/2006/main" count="2131" uniqueCount="206">
  <si>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</si>
  <si>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</si>
  <si>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</si>
  <si>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</si>
  <si>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</si>
  <si>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</si>
  <si>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</si>
  <si>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</si>
  <si>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</si>
  <si>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</si>
  <si>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</si>
  <si>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</si>
  <si>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</si>
  <si>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</si>
  <si>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</si>
  <si>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</si>
  <si>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</si>
  <si>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</si>
  <si>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</si>
  <si>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</si>
  <si>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</si>
  <si>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</si>
  <si>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</si>
  <si>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</si>
  <si>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</si>
  <si>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</si>
  <si>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</si>
  <si>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</si>
  <si>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</si>
  <si>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</si>
  <si>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</si>
  <si>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</si>
  <si>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</si>
  <si>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</si>
  <si>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</si>
  <si>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</si>
  <si>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</si>
  <si>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</si>
  <si>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</si>
  <si>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</si>
  <si>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</si>
  <si>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</si>
  <si>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</si>
  <si>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</si>
  <si>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</si>
  <si>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</si>
  <si>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</si>
  <si>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</si>
  <si>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</si>
  <si>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</si>
  <si>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</si>
  <si>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</si>
  <si>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</si>
  <si>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</si>
  <si>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</si>
  <si>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</si>
  <si>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</si>
  <si>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</si>
  <si>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</si>
  <si>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</si>
  <si>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</si>
  <si>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</si>
  <si>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</si>
  <si>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</si>
  <si>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</si>
  <si>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</si>
  <si>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</si>
  <si>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</si>
  <si>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</si>
  <si>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</si>
  <si>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</si>
  <si>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</si>
  <si>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</si>
  <si>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</si>
  <si>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</si>
  <si>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</si>
  <si>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</si>
  <si>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</si>
  <si>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</si>
  <si>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</si>
  <si>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</si>
  <si>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</si>
  <si>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</si>
  <si>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</si>
  <si>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</si>
  <si>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</si>
  <si>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</si>
  <si>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</si>
  <si>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</si>
  <si>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</si>
  <si>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</si>
  <si>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</si>
  <si>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</si>
  <si>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</si>
  <si>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</si>
  <si>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</si>
  <si>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</si>
  <si>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</si>
  <si>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</si>
  <si>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</si>
  <si>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</si>
  <si>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</si>
  <si>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</si>
  <si>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</si>
  <si>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</si>
  <si>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</si>
  <si>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</si>
  <si>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</si>
  <si>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</si>
  <si>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</si>
  <si>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</si>
  <si>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</si>
  <si>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</si>
  <si>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</si>
  <si>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</si>
  <si>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</si>
  <si>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</si>
  <si>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</si>
  <si>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</si>
  <si>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</si>
  <si>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</si>
  <si>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</si>
  <si>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</si>
  <si>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</si>
  <si>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</si>
  <si>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</si>
  <si>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</si>
  <si>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</si>
  <si>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</si>
  <si>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</si>
  <si>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</si>
  <si>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</si>
  <si>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</si>
  <si>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</si>
  <si>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</si>
  <si>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</si>
  <si>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</si>
  <si>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CHE</t>
  </si>
  <si>
    <t>R10EUROPE</t>
  </si>
  <si>
    <t>European pricing,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</si>
  <si>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</si>
  <si>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</si>
  <si>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</si>
  <si>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</si>
  <si>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</si>
  <si>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</si>
  <si>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</si>
  <si>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</si>
  <si>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</si>
  <si>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</si>
  <si>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</si>
  <si>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</si>
  <si>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</si>
  <si>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</si>
  <si>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</si>
  <si>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</si>
  <si>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elc_spv-CHE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</si>
  <si>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</si>
  <si>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</si>
  <si>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</si>
  <si>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</si>
  <si>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</si>
  <si>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</si>
  <si>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</si>
  <si>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</si>
  <si>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</si>
  <si>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</si>
  <si>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</si>
  <si>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</si>
  <si>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</si>
  <si>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</si>
  <si>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</si>
  <si>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</si>
  <si>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elc_won-CHE</t>
  </si>
  <si>
    <t>g_yrfr</t>
  </si>
  <si>
    <t>day_night</t>
  </si>
  <si>
    <t>D</t>
  </si>
  <si>
    <t>S3aH3,S3aH2,S1aH3,S1aH4,S2aH2,S3aH4,S1aH2,S2aH3,S2aH4</t>
  </si>
  <si>
    <t>N</t>
  </si>
  <si>
    <t>S1aH1,S1aH5,S2aH5,S2aH1,S3aH1,S3aH5</t>
  </si>
  <si>
    <t>com_pkflx</t>
  </si>
  <si>
    <t>ncap_afs</t>
  </si>
  <si>
    <t>pset_ci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</si>
  <si>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</si>
  <si>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</si>
  <si>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</si>
  <si>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</si>
  <si>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</si>
  <si>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</si>
  <si>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</si>
  <si>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</si>
  <si>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</si>
  <si>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</si>
  <si>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</si>
  <si>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</si>
  <si>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</si>
  <si>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</si>
  <si>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</si>
  <si>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</si>
  <si>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</si>
  <si>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</si>
  <si>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</si>
  <si>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</si>
  <si>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</si>
  <si>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SaD,WaP,RaD,WaD,FaD,FaP,SaP,RaP</t>
  </si>
  <si>
    <t>FaP,SaP,FaN,RaN,RaP,SaN,WaN,WaP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</si>
</sst>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67.073599999999985</c:v>
                </c:pt>
                <c:pt idx="2">
                  <c:v>77.492799999999988</c:v>
                </c:pt>
                <c:pt idx="3">
                  <c:v>93.121599999999987</c:v>
                </c:pt>
                <c:pt idx="4">
                  <c:v>107.44799999999998</c:v>
                </c:pt>
                <c:pt idx="5">
                  <c:v>117.86719999999998</c:v>
                </c:pt>
                <c:pt idx="6">
                  <c:v>125.68159999999997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65.11999999999999</v>
      </c>
      <c r="U14" s="8">
        <f t="shared" ref="U14:Z14" si="2">$S$12*J15</f>
        <v>67.073599999999985</v>
      </c>
      <c r="V14" s="8">
        <f t="shared" si="2"/>
        <v>77.492799999999988</v>
      </c>
      <c r="W14" s="8">
        <f t="shared" si="2"/>
        <v>93.121599999999987</v>
      </c>
      <c r="X14" s="8">
        <f t="shared" si="2"/>
        <v>107.44799999999998</v>
      </c>
      <c r="Y14" s="8">
        <f t="shared" si="2"/>
        <v>117.86719999999998</v>
      </c>
      <c r="Z14" s="8">
        <f t="shared" si="2"/>
        <v>125.68159999999997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0.65119999999999989</v>
      </c>
      <c r="U18" s="6">
        <f t="shared" si="4"/>
        <v>0.67073599999999989</v>
      </c>
      <c r="V18" s="6">
        <f t="shared" si="4"/>
        <v>0.77492799999999995</v>
      </c>
      <c r="W18" s="6">
        <f t="shared" si="4"/>
        <v>2.7936479999999997</v>
      </c>
      <c r="X18" s="6">
        <f t="shared" si="4"/>
        <v>3.2234399999999992</v>
      </c>
      <c r="Y18" s="6">
        <f t="shared" si="4"/>
        <v>4.7146879999999998</v>
      </c>
      <c r="Z18" s="6">
        <f t="shared" si="4"/>
        <v>6.2840799999999994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22.791999999999994</v>
      </c>
      <c r="U19" s="6">
        <f t="shared" si="4"/>
        <v>21.463551999999996</v>
      </c>
      <c r="V19" s="6">
        <f t="shared" si="4"/>
        <v>23.247839999999997</v>
      </c>
      <c r="W19" s="6">
        <f t="shared" si="4"/>
        <v>27.005263999999993</v>
      </c>
      <c r="X19" s="6">
        <f t="shared" si="4"/>
        <v>31.159919999999993</v>
      </c>
      <c r="Y19" s="6">
        <f t="shared" si="4"/>
        <v>35.360159999999993</v>
      </c>
      <c r="Z19" s="6">
        <f t="shared" si="4"/>
        <v>38.96129599999999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39.723199999999991</v>
      </c>
      <c r="U20" s="6">
        <f t="shared" si="4"/>
        <v>41.58563199999999</v>
      </c>
      <c r="V20" s="6">
        <f t="shared" si="4"/>
        <v>45.72075199999999</v>
      </c>
      <c r="W20" s="6">
        <f t="shared" si="4"/>
        <v>52.148095999999995</v>
      </c>
      <c r="X20" s="6">
        <f t="shared" si="4"/>
        <v>58.021919999999994</v>
      </c>
      <c r="Y20" s="6">
        <f t="shared" si="4"/>
        <v>62.469615999999995</v>
      </c>
      <c r="Z20" s="6">
        <f t="shared" si="4"/>
        <v>66.611247999999989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1.9535999999999996</v>
      </c>
      <c r="U21" s="6">
        <f t="shared" ref="U21:Z21" si="6">T21</f>
        <v>1.9535999999999996</v>
      </c>
      <c r="V21" s="6">
        <f t="shared" si="6"/>
        <v>1.9535999999999996</v>
      </c>
      <c r="W21" s="6">
        <f t="shared" si="6"/>
        <v>1.9535999999999996</v>
      </c>
      <c r="X21" s="6">
        <f t="shared" si="6"/>
        <v>1.9535999999999996</v>
      </c>
      <c r="Y21" s="6">
        <f t="shared" si="6"/>
        <v>1.9535999999999996</v>
      </c>
      <c r="Z21" s="6">
        <f t="shared" si="6"/>
        <v>1.9535999999999996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0.65120000000000289</v>
      </c>
      <c r="U22" s="6">
        <f t="shared" si="7"/>
        <v>2.0708160000000078</v>
      </c>
      <c r="V22" s="6">
        <f t="shared" si="7"/>
        <v>6.5706080000000071</v>
      </c>
      <c r="W22" s="6">
        <f t="shared" si="7"/>
        <v>12.01464</v>
      </c>
      <c r="X22" s="6">
        <f t="shared" si="7"/>
        <v>16.312559999999991</v>
      </c>
      <c r="Y22" s="6">
        <f t="shared" si="7"/>
        <v>18.083824000000007</v>
      </c>
      <c r="Z22" s="6">
        <f t="shared" si="7"/>
        <v>18.155456000000001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32</v>
      </c>
      <c r="J48">
        <f t="shared" si="10"/>
        <v>30.72</v>
      </c>
      <c r="K48">
        <f t="shared" si="10"/>
        <v>33.28</v>
      </c>
      <c r="L48">
        <f t="shared" si="10"/>
        <v>33.28</v>
      </c>
      <c r="M48">
        <f t="shared" si="10"/>
        <v>31.36</v>
      </c>
      <c r="N48">
        <f t="shared" si="10"/>
        <v>31.68</v>
      </c>
      <c r="O48">
        <f t="shared" si="10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137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137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137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137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137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137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137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137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137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137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137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137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137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137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137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137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137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137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137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137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137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137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175</v>
      </c>
      <c r="D10" t="s">
        <v>106</v>
      </c>
      <c r="F10" t="s">
        <v>175</v>
      </c>
      <c r="G10" t="s">
        <v>111</v>
      </c>
      <c r="I10" t="s">
        <v>175</v>
      </c>
      <c r="J10" t="s">
        <v>112</v>
      </c>
    </row>
    <row r="11" spans="1:10" x14ac:dyDescent="0.45">
      <c r="B11" s="15"/>
      <c r="C11" s="15" t="s">
        <v>176</v>
      </c>
      <c r="D11" t="s">
        <v>177</v>
      </c>
      <c r="F11" t="s">
        <v>176</v>
      </c>
      <c r="G11" t="s">
        <v>185</v>
      </c>
      <c r="I11" t="s">
        <v>176</v>
      </c>
      <c r="J11" t="s">
        <v>204</v>
      </c>
    </row>
    <row r="12" spans="1:10" x14ac:dyDescent="0.45">
      <c r="B12" s="15"/>
      <c r="C12" s="15" t="s">
        <v>178</v>
      </c>
      <c r="D12" t="s">
        <v>179</v>
      </c>
      <c r="F12" t="s">
        <v>178</v>
      </c>
      <c r="G12" t="s">
        <v>185</v>
      </c>
      <c r="I12" t="s">
        <v>178</v>
      </c>
      <c r="J12" t="s">
        <v>205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65F9F-BD98-468A-AB5D-419F4E5B6621}">
  <dimension ref="A9:AN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174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180</v>
      </c>
      <c r="AK10" t="s">
        <v>47</v>
      </c>
      <c r="AL10" t="s">
        <v>134</v>
      </c>
      <c r="AM10" t="s">
        <v>181</v>
      </c>
      <c r="AN10" t="s">
        <v>182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6.132459194036345E-4</v>
      </c>
      <c r="L11" t="s">
        <v>158</v>
      </c>
      <c r="N11" t="s">
        <v>173</v>
      </c>
      <c r="O11" t="s">
        <v>157</v>
      </c>
      <c r="P11">
        <v>6.5113385299955584E-2</v>
      </c>
      <c r="Q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</row>
    <row r="12" spans="1:40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2.5757167781414077E-2</v>
      </c>
      <c r="L12" t="s">
        <v>158</v>
      </c>
      <c r="N12" t="s">
        <v>173</v>
      </c>
      <c r="O12" t="s">
        <v>159</v>
      </c>
      <c r="P12">
        <v>2.3017609781207385E-2</v>
      </c>
      <c r="Q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</row>
    <row r="13" spans="1:40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3.9350177305529969E-2</v>
      </c>
      <c r="L13" t="s">
        <v>158</v>
      </c>
      <c r="N13" t="s">
        <v>173</v>
      </c>
      <c r="O13" t="s">
        <v>160</v>
      </c>
      <c r="P13">
        <v>2.3648713892613051E-2</v>
      </c>
      <c r="Q13" t="s">
        <v>158</v>
      </c>
      <c r="X13">
        <v>2.0205479452054795E-2</v>
      </c>
      <c r="Y13">
        <v>2.5483595621079155E-2</v>
      </c>
      <c r="Z13" t="s">
        <v>160</v>
      </c>
      <c r="AA13" t="s">
        <v>25</v>
      </c>
      <c r="AC13" t="s">
        <v>22</v>
      </c>
      <c r="AD13" t="s">
        <v>160</v>
      </c>
      <c r="AE13">
        <v>2.631498204793439E-2</v>
      </c>
      <c r="AG13" t="s">
        <v>97</v>
      </c>
      <c r="AH13" t="s">
        <v>160</v>
      </c>
      <c r="AI13">
        <v>5.1447247440785215E-2</v>
      </c>
    </row>
    <row r="14" spans="1:40" x14ac:dyDescent="0.45">
      <c r="E14" t="s">
        <v>153</v>
      </c>
      <c r="G14" t="s">
        <v>146</v>
      </c>
      <c r="I14" t="s">
        <v>156</v>
      </c>
      <c r="J14" t="s">
        <v>161</v>
      </c>
      <c r="K14">
        <v>3.376784737569203E-2</v>
      </c>
      <c r="L14" t="s">
        <v>158</v>
      </c>
      <c r="N14" t="s">
        <v>173</v>
      </c>
      <c r="O14" t="s">
        <v>161</v>
      </c>
      <c r="P14">
        <v>3.6889635621097844E-2</v>
      </c>
      <c r="Q14" t="s">
        <v>158</v>
      </c>
      <c r="X14">
        <v>2.6940639269406392E-2</v>
      </c>
      <c r="Y14">
        <v>4.5256362446030048E-2</v>
      </c>
      <c r="Z14" t="s">
        <v>161</v>
      </c>
      <c r="AA14" t="s">
        <v>25</v>
      </c>
      <c r="AC14" t="s">
        <v>22</v>
      </c>
      <c r="AD14" t="s">
        <v>161</v>
      </c>
      <c r="AE14">
        <v>3.5433128094308028E-2</v>
      </c>
      <c r="AG14" t="s">
        <v>97</v>
      </c>
      <c r="AH14" t="s">
        <v>161</v>
      </c>
      <c r="AI14">
        <v>4.8779532876089826E-2</v>
      </c>
    </row>
    <row r="15" spans="1:40" x14ac:dyDescent="0.45">
      <c r="E15" t="s">
        <v>154</v>
      </c>
      <c r="G15" t="s">
        <v>146</v>
      </c>
      <c r="I15" t="s">
        <v>156</v>
      </c>
      <c r="J15" t="s">
        <v>162</v>
      </c>
      <c r="K15">
        <v>0</v>
      </c>
      <c r="L15" t="s">
        <v>158</v>
      </c>
      <c r="N15" t="s">
        <v>173</v>
      </c>
      <c r="O15" t="s">
        <v>162</v>
      </c>
      <c r="P15">
        <v>5.9169240199864283E-2</v>
      </c>
      <c r="Q15" t="s">
        <v>158</v>
      </c>
      <c r="X15">
        <v>4.041095890410959E-2</v>
      </c>
      <c r="Y15">
        <v>3.5594891811484314E-2</v>
      </c>
      <c r="Z15" t="s">
        <v>162</v>
      </c>
      <c r="AA15" t="s">
        <v>25</v>
      </c>
      <c r="AC15" t="s">
        <v>22</v>
      </c>
      <c r="AD15" t="s">
        <v>162</v>
      </c>
      <c r="AE15">
        <v>4.6056861814408621E-2</v>
      </c>
      <c r="AG15" t="s">
        <v>97</v>
      </c>
      <c r="AH15" t="s">
        <v>162</v>
      </c>
      <c r="AI15">
        <v>0.16015462206357989</v>
      </c>
    </row>
    <row r="16" spans="1:40" x14ac:dyDescent="0.45">
      <c r="I16" t="s">
        <v>156</v>
      </c>
      <c r="J16" t="s">
        <v>163</v>
      </c>
      <c r="K16">
        <v>7.6217210821465819E-2</v>
      </c>
      <c r="L16" t="s">
        <v>158</v>
      </c>
      <c r="N16" t="s">
        <v>173</v>
      </c>
      <c r="O16" t="s">
        <v>163</v>
      </c>
      <c r="P16">
        <v>0.16570574030039575</v>
      </c>
      <c r="Q16" t="s">
        <v>158</v>
      </c>
      <c r="X16">
        <v>0.22374429223744291</v>
      </c>
      <c r="Y16">
        <v>0.12401362404594385</v>
      </c>
      <c r="Z16" t="s">
        <v>163</v>
      </c>
      <c r="AA16" t="s">
        <v>25</v>
      </c>
      <c r="AC16" t="s">
        <v>22</v>
      </c>
      <c r="AD16" t="s">
        <v>163</v>
      </c>
      <c r="AE16">
        <v>0.18180983337416165</v>
      </c>
      <c r="AG16" t="s">
        <v>97</v>
      </c>
      <c r="AH16" t="s">
        <v>163</v>
      </c>
      <c r="AI16">
        <v>0.38494471809292663</v>
      </c>
    </row>
    <row r="17" spans="9:35" x14ac:dyDescent="0.45">
      <c r="I17" t="s">
        <v>156</v>
      </c>
      <c r="J17" t="s">
        <v>164</v>
      </c>
      <c r="K17">
        <v>0.21545398742438707</v>
      </c>
      <c r="L17" t="s">
        <v>158</v>
      </c>
      <c r="N17" t="s">
        <v>173</v>
      </c>
      <c r="O17" t="s">
        <v>164</v>
      </c>
      <c r="P17">
        <v>5.2640287110715896E-2</v>
      </c>
      <c r="Q17" t="s">
        <v>158</v>
      </c>
      <c r="X17">
        <v>8.3904109589041098E-2</v>
      </c>
      <c r="Y17">
        <v>0.10565928283154749</v>
      </c>
      <c r="Z17" t="s">
        <v>164</v>
      </c>
      <c r="AA17" t="s">
        <v>25</v>
      </c>
      <c r="AC17" t="s">
        <v>22</v>
      </c>
      <c r="AD17" t="s">
        <v>164</v>
      </c>
      <c r="AE17">
        <v>8.7822513049850587E-2</v>
      </c>
      <c r="AG17" t="s">
        <v>97</v>
      </c>
      <c r="AH17" t="s">
        <v>164</v>
      </c>
      <c r="AI17">
        <v>0.17828445345522703</v>
      </c>
    </row>
    <row r="18" spans="9:35" x14ac:dyDescent="0.45">
      <c r="I18" t="s">
        <v>156</v>
      </c>
      <c r="J18" t="s">
        <v>165</v>
      </c>
      <c r="K18">
        <v>0.24195819742141833</v>
      </c>
      <c r="L18" t="s">
        <v>158</v>
      </c>
      <c r="N18" t="s">
        <v>173</v>
      </c>
      <c r="O18" t="s">
        <v>165</v>
      </c>
      <c r="P18">
        <v>6.0630289319162679E-2</v>
      </c>
      <c r="Q18" t="s">
        <v>158</v>
      </c>
      <c r="X18">
        <v>8.3904109589041098E-2</v>
      </c>
      <c r="Y18">
        <v>0.10582171062990497</v>
      </c>
      <c r="Z18" t="s">
        <v>165</v>
      </c>
      <c r="AA18" t="s">
        <v>25</v>
      </c>
      <c r="AC18" t="s">
        <v>22</v>
      </c>
      <c r="AD18" t="s">
        <v>165</v>
      </c>
      <c r="AE18">
        <v>8.7234369007480717E-2</v>
      </c>
      <c r="AG18" t="s">
        <v>97</v>
      </c>
      <c r="AH18" t="s">
        <v>165</v>
      </c>
      <c r="AI18">
        <v>0.18351187866982133</v>
      </c>
    </row>
    <row r="19" spans="9:35" x14ac:dyDescent="0.45">
      <c r="I19" t="s">
        <v>156</v>
      </c>
      <c r="J19" t="s">
        <v>166</v>
      </c>
      <c r="K19">
        <v>0.24608075786777328</v>
      </c>
      <c r="L19" t="s">
        <v>158</v>
      </c>
      <c r="N19" t="s">
        <v>173</v>
      </c>
      <c r="O19" t="s">
        <v>166</v>
      </c>
      <c r="P19">
        <v>9.3796057697873317E-2</v>
      </c>
      <c r="Q19" t="s">
        <v>158</v>
      </c>
      <c r="X19">
        <v>0.11187214611872145</v>
      </c>
      <c r="Y19">
        <v>0.18792896269961631</v>
      </c>
      <c r="Z19" t="s">
        <v>166</v>
      </c>
      <c r="AA19" t="s">
        <v>25</v>
      </c>
      <c r="AC19" t="s">
        <v>22</v>
      </c>
      <c r="AD19" t="s">
        <v>166</v>
      </c>
      <c r="AE19">
        <v>0.11501773744015503</v>
      </c>
      <c r="AG19" t="s">
        <v>97</v>
      </c>
      <c r="AH19" t="s">
        <v>166</v>
      </c>
      <c r="AI19">
        <v>0.19916876629908642</v>
      </c>
    </row>
    <row r="20" spans="9:35" x14ac:dyDescent="0.45">
      <c r="I20" t="s">
        <v>156</v>
      </c>
      <c r="J20" t="s">
        <v>167</v>
      </c>
      <c r="K20">
        <v>3.1029712189686625E-2</v>
      </c>
      <c r="L20" t="s">
        <v>158</v>
      </c>
      <c r="N20" t="s">
        <v>173</v>
      </c>
      <c r="O20" t="s">
        <v>167</v>
      </c>
      <c r="P20">
        <v>0.13992258313102396</v>
      </c>
      <c r="Q20" t="s">
        <v>158</v>
      </c>
      <c r="X20">
        <v>0.1678082191780822</v>
      </c>
      <c r="Y20">
        <v>0.14780929650531621</v>
      </c>
      <c r="Z20" t="s">
        <v>167</v>
      </c>
      <c r="AA20" t="s">
        <v>25</v>
      </c>
      <c r="AC20" t="s">
        <v>22</v>
      </c>
      <c r="AD20" t="s">
        <v>167</v>
      </c>
      <c r="AE20">
        <v>0.1505592226140364</v>
      </c>
      <c r="AG20" t="s">
        <v>97</v>
      </c>
      <c r="AH20" t="s">
        <v>167</v>
      </c>
      <c r="AI20">
        <v>0.30981791593302765</v>
      </c>
    </row>
    <row r="21" spans="9:35" x14ac:dyDescent="0.45">
      <c r="I21" t="s">
        <v>156</v>
      </c>
      <c r="J21" t="s">
        <v>168</v>
      </c>
      <c r="K21">
        <v>1.1520437908200041E-4</v>
      </c>
      <c r="L21" t="s">
        <v>158</v>
      </c>
      <c r="N21" t="s">
        <v>173</v>
      </c>
      <c r="O21" t="s">
        <v>168</v>
      </c>
      <c r="P21">
        <v>9.4810396390494545E-2</v>
      </c>
      <c r="Q21" t="s">
        <v>158</v>
      </c>
      <c r="X21">
        <v>5.5707762557077628E-2</v>
      </c>
      <c r="Y21">
        <v>3.0876861497153366E-2</v>
      </c>
      <c r="Z21" t="s">
        <v>168</v>
      </c>
      <c r="AA21" t="s">
        <v>25</v>
      </c>
      <c r="AC21" t="s">
        <v>22</v>
      </c>
      <c r="AD21" t="s">
        <v>168</v>
      </c>
      <c r="AE21">
        <v>5.563526490454903E-2</v>
      </c>
      <c r="AG21" t="s">
        <v>97</v>
      </c>
      <c r="AH21" t="s">
        <v>168</v>
      </c>
      <c r="AI21">
        <v>0.20955345371226008</v>
      </c>
    </row>
    <row r="22" spans="9:35" x14ac:dyDescent="0.45">
      <c r="I22" t="s">
        <v>156</v>
      </c>
      <c r="J22" t="s">
        <v>169</v>
      </c>
      <c r="K22">
        <v>2.614250903494543E-2</v>
      </c>
      <c r="L22" t="s">
        <v>158</v>
      </c>
      <c r="N22" t="s">
        <v>173</v>
      </c>
      <c r="O22" t="s">
        <v>169</v>
      </c>
      <c r="P22">
        <v>3.4643278645286629E-2</v>
      </c>
      <c r="Q22" t="s">
        <v>158</v>
      </c>
      <c r="X22">
        <v>2.0890410958904111E-2</v>
      </c>
      <c r="Y22">
        <v>2.6307005113160802E-2</v>
      </c>
      <c r="Z22" t="s">
        <v>169</v>
      </c>
      <c r="AA22" t="s">
        <v>25</v>
      </c>
      <c r="AC22" t="s">
        <v>22</v>
      </c>
      <c r="AD22" t="s">
        <v>169</v>
      </c>
      <c r="AE22">
        <v>2.5399754650767273E-2</v>
      </c>
      <c r="AG22" t="s">
        <v>97</v>
      </c>
      <c r="AH22" t="s">
        <v>169</v>
      </c>
      <c r="AI22">
        <v>6.2725301653463461E-2</v>
      </c>
    </row>
    <row r="23" spans="9:35" x14ac:dyDescent="0.45">
      <c r="I23" t="s">
        <v>156</v>
      </c>
      <c r="J23" t="s">
        <v>170</v>
      </c>
      <c r="K23">
        <v>3.6397492995892816E-2</v>
      </c>
      <c r="L23" t="s">
        <v>158</v>
      </c>
      <c r="N23" t="s">
        <v>173</v>
      </c>
      <c r="O23" t="s">
        <v>170</v>
      </c>
      <c r="P23">
        <v>3.3657534944689357E-2</v>
      </c>
      <c r="Q23" t="s">
        <v>158</v>
      </c>
      <c r="X23">
        <v>2.0890410958904111E-2</v>
      </c>
      <c r="Y23">
        <v>2.6347446320098788E-2</v>
      </c>
      <c r="Z23" t="s">
        <v>170</v>
      </c>
      <c r="AA23" t="s">
        <v>25</v>
      </c>
      <c r="AC23" t="s">
        <v>22</v>
      </c>
      <c r="AD23" t="s">
        <v>170</v>
      </c>
      <c r="AE23">
        <v>2.5079095352780315E-2</v>
      </c>
      <c r="AG23" t="s">
        <v>97</v>
      </c>
      <c r="AH23" t="s">
        <v>170</v>
      </c>
      <c r="AI23">
        <v>7.1723470633668684E-2</v>
      </c>
    </row>
    <row r="24" spans="9:35" x14ac:dyDescent="0.45">
      <c r="I24" t="s">
        <v>156</v>
      </c>
      <c r="J24" t="s">
        <v>171</v>
      </c>
      <c r="K24">
        <v>2.7116489483141253E-2</v>
      </c>
      <c r="L24" t="s">
        <v>158</v>
      </c>
      <c r="N24" t="s">
        <v>173</v>
      </c>
      <c r="O24" t="s">
        <v>171</v>
      </c>
      <c r="P24">
        <v>4.4892530825576663E-2</v>
      </c>
      <c r="Q24" t="s">
        <v>158</v>
      </c>
      <c r="X24">
        <v>2.7853881278538814E-2</v>
      </c>
      <c r="Y24">
        <v>4.6790476427251412E-2</v>
      </c>
      <c r="Z24" t="s">
        <v>171</v>
      </c>
      <c r="AA24" t="s">
        <v>25</v>
      </c>
      <c r="AC24" t="s">
        <v>22</v>
      </c>
      <c r="AD24" t="s">
        <v>171</v>
      </c>
      <c r="AE24">
        <v>3.4016053561235084E-2</v>
      </c>
      <c r="AG24" t="s">
        <v>97</v>
      </c>
      <c r="AH24" t="s">
        <v>171</v>
      </c>
      <c r="AI24">
        <v>6.4965421188911243E-2</v>
      </c>
    </row>
    <row r="25" spans="9:35" x14ac:dyDescent="0.45">
      <c r="I25" t="s">
        <v>156</v>
      </c>
      <c r="J25" t="s">
        <v>172</v>
      </c>
      <c r="K25">
        <v>0</v>
      </c>
      <c r="L25" t="s">
        <v>158</v>
      </c>
      <c r="N25" t="s">
        <v>173</v>
      </c>
      <c r="O25" t="s">
        <v>172</v>
      </c>
      <c r="P25">
        <v>7.1462716839900006E-2</v>
      </c>
      <c r="Q25" t="s">
        <v>158</v>
      </c>
      <c r="X25">
        <v>4.1780821917808221E-2</v>
      </c>
      <c r="Y25">
        <v>3.6801498313568527E-2</v>
      </c>
      <c r="Z25" t="s">
        <v>172</v>
      </c>
      <c r="AA25" t="s">
        <v>25</v>
      </c>
      <c r="AC25" t="s">
        <v>22</v>
      </c>
      <c r="AD25" t="s">
        <v>172</v>
      </c>
      <c r="AE25">
        <v>4.4169512521018056E-2</v>
      </c>
      <c r="AG25" t="s">
        <v>97</v>
      </c>
      <c r="AH25" t="s">
        <v>172</v>
      </c>
      <c r="AI25">
        <v>0.17529391004626182</v>
      </c>
    </row>
    <row r="26" spans="9:35" x14ac:dyDescent="0.45">
      <c r="AC26" t="s">
        <v>19</v>
      </c>
      <c r="AD26" t="s">
        <v>157</v>
      </c>
      <c r="AE26">
        <v>5.3569943690195979E-2</v>
      </c>
    </row>
    <row r="27" spans="9:35" x14ac:dyDescent="0.45">
      <c r="AC27" t="s">
        <v>19</v>
      </c>
      <c r="AD27" t="s">
        <v>159</v>
      </c>
      <c r="AE27">
        <v>2.0397037628813782E-2</v>
      </c>
    </row>
    <row r="28" spans="9:35" x14ac:dyDescent="0.45">
      <c r="AC28" t="s">
        <v>19</v>
      </c>
      <c r="AD28" t="s">
        <v>160</v>
      </c>
      <c r="AE28">
        <v>2.0382670704364253E-2</v>
      </c>
    </row>
    <row r="29" spans="9:35" x14ac:dyDescent="0.45">
      <c r="AC29" t="s">
        <v>19</v>
      </c>
      <c r="AD29" t="s">
        <v>161</v>
      </c>
      <c r="AE29">
        <v>2.7201051434891248E-2</v>
      </c>
    </row>
    <row r="30" spans="9:35" x14ac:dyDescent="0.45">
      <c r="AC30" t="s">
        <v>19</v>
      </c>
      <c r="AD30" t="s">
        <v>162</v>
      </c>
      <c r="AE30">
        <v>4.0307060869507902E-2</v>
      </c>
    </row>
    <row r="31" spans="9:35" x14ac:dyDescent="0.45">
      <c r="AC31" t="s">
        <v>19</v>
      </c>
      <c r="AD31" t="s">
        <v>163</v>
      </c>
      <c r="AE31">
        <v>0.22184441310800973</v>
      </c>
    </row>
    <row r="32" spans="9:35" x14ac:dyDescent="0.45">
      <c r="AC32" t="s">
        <v>19</v>
      </c>
      <c r="AD32" t="s">
        <v>164</v>
      </c>
      <c r="AE32">
        <v>8.4561233932053587E-2</v>
      </c>
    </row>
    <row r="33" spans="29:31" x14ac:dyDescent="0.45">
      <c r="AC33" t="s">
        <v>19</v>
      </c>
      <c r="AD33" t="s">
        <v>165</v>
      </c>
      <c r="AE33">
        <v>8.4520228185096496E-2</v>
      </c>
    </row>
    <row r="34" spans="29:31" x14ac:dyDescent="0.45">
      <c r="AC34" t="s">
        <v>19</v>
      </c>
      <c r="AD34" t="s">
        <v>166</v>
      </c>
      <c r="AE34">
        <v>0.11260336653351971</v>
      </c>
    </row>
    <row r="35" spans="29:31" x14ac:dyDescent="0.45">
      <c r="AC35" t="s">
        <v>19</v>
      </c>
      <c r="AD35" t="s">
        <v>167</v>
      </c>
      <c r="AE35">
        <v>0.16737347095885308</v>
      </c>
    </row>
    <row r="36" spans="29:31" x14ac:dyDescent="0.45">
      <c r="AC36" t="s">
        <v>19</v>
      </c>
      <c r="AD36" t="s">
        <v>168</v>
      </c>
      <c r="AE36">
        <v>5.5342270340135051E-2</v>
      </c>
    </row>
    <row r="37" spans="29:31" x14ac:dyDescent="0.45">
      <c r="AC37" t="s">
        <v>19</v>
      </c>
      <c r="AD37" t="s">
        <v>169</v>
      </c>
      <c r="AE37">
        <v>2.1069640926739144E-2</v>
      </c>
    </row>
    <row r="38" spans="29:31" x14ac:dyDescent="0.45">
      <c r="AC38" t="s">
        <v>19</v>
      </c>
      <c r="AD38" t="s">
        <v>170</v>
      </c>
      <c r="AE38">
        <v>2.1047284372756703E-2</v>
      </c>
    </row>
    <row r="39" spans="29:31" x14ac:dyDescent="0.45">
      <c r="AC39" t="s">
        <v>19</v>
      </c>
      <c r="AD39" t="s">
        <v>171</v>
      </c>
      <c r="AE39">
        <v>2.8103292718588097E-2</v>
      </c>
    </row>
    <row r="40" spans="29:31" x14ac:dyDescent="0.45">
      <c r="AC40" t="s">
        <v>19</v>
      </c>
      <c r="AD40" t="s">
        <v>172</v>
      </c>
      <c r="AE40">
        <v>4.1677034596475163E-2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CD99B-FB0D-4728-8E2F-BD9D2E9A433A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174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180</v>
      </c>
      <c r="AK10" t="s">
        <v>47</v>
      </c>
      <c r="AL10" t="s">
        <v>134</v>
      </c>
      <c r="AM10" t="s">
        <v>181</v>
      </c>
      <c r="AN10" t="s">
        <v>182</v>
      </c>
    </row>
    <row r="11" spans="1:40" x14ac:dyDescent="0.45">
      <c r="A11" t="str">
        <f>IFERROR(IF(Veda!D5=A10,"ok","x"),"")</f>
        <v>x</v>
      </c>
      <c r="C11" t="s">
        <v>183</v>
      </c>
      <c r="D11" t="s">
        <v>146</v>
      </c>
      <c r="E11" t="s">
        <v>184</v>
      </c>
      <c r="F11" t="s">
        <v>183</v>
      </c>
      <c r="G11" t="s">
        <v>146</v>
      </c>
      <c r="I11" t="s">
        <v>156</v>
      </c>
      <c r="J11" t="s">
        <v>185</v>
      </c>
      <c r="K11">
        <v>0.99999999999983236</v>
      </c>
      <c r="L11" t="s">
        <v>158</v>
      </c>
      <c r="N11" t="s">
        <v>173</v>
      </c>
      <c r="O11" t="s">
        <v>185</v>
      </c>
      <c r="P11">
        <v>0.99999999999985689</v>
      </c>
      <c r="Q11" t="s">
        <v>158</v>
      </c>
      <c r="X11">
        <v>1</v>
      </c>
      <c r="Y11">
        <v>1.0000000000000002</v>
      </c>
      <c r="Z11" t="s">
        <v>185</v>
      </c>
      <c r="AA11" t="s">
        <v>25</v>
      </c>
      <c r="AC11" t="s">
        <v>22</v>
      </c>
      <c r="AD11" t="s">
        <v>185</v>
      </c>
      <c r="AE11">
        <v>1</v>
      </c>
      <c r="AG11" t="s">
        <v>97</v>
      </c>
      <c r="AH11" t="s">
        <v>185</v>
      </c>
      <c r="AI11">
        <v>0.29211718079128235</v>
      </c>
    </row>
    <row r="12" spans="1:40" x14ac:dyDescent="0.45">
      <c r="AC12" t="s">
        <v>19</v>
      </c>
      <c r="AD12" t="s">
        <v>185</v>
      </c>
      <c r="AE1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DE2EF-B7D2-44CA-9F5E-1D1509AD563A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174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180</v>
      </c>
      <c r="AK10" t="s">
        <v>47</v>
      </c>
      <c r="AL10" t="s">
        <v>134</v>
      </c>
      <c r="AM10" t="s">
        <v>181</v>
      </c>
      <c r="AN10" t="s">
        <v>182</v>
      </c>
    </row>
    <row r="11" spans="1:40" x14ac:dyDescent="0.45">
      <c r="A11" t="str">
        <f>IFERROR(IF(Veda!D5=A10,"ok","x"),"")</f>
        <v>x</v>
      </c>
      <c r="C11" t="s">
        <v>186</v>
      </c>
      <c r="D11" t="s">
        <v>146</v>
      </c>
      <c r="E11" t="s">
        <v>176</v>
      </c>
      <c r="F11" t="s">
        <v>187</v>
      </c>
      <c r="G11" t="s">
        <v>146</v>
      </c>
      <c r="I11" t="s">
        <v>156</v>
      </c>
      <c r="J11" t="s">
        <v>192</v>
      </c>
      <c r="K11">
        <v>0.17903175412193401</v>
      </c>
      <c r="L11" t="s">
        <v>158</v>
      </c>
      <c r="N11" t="s">
        <v>173</v>
      </c>
      <c r="O11" t="s">
        <v>192</v>
      </c>
      <c r="P11">
        <v>0.1534952477385266</v>
      </c>
      <c r="Q11" t="s">
        <v>158</v>
      </c>
      <c r="X11">
        <v>0.11426940639269406</v>
      </c>
      <c r="Y11">
        <v>0.16087081189037786</v>
      </c>
      <c r="Z11" t="s">
        <v>192</v>
      </c>
      <c r="AA11" t="s">
        <v>25</v>
      </c>
      <c r="AC11" t="s">
        <v>22</v>
      </c>
      <c r="AD11" t="s">
        <v>192</v>
      </c>
      <c r="AE11">
        <v>0.12090138187557425</v>
      </c>
      <c r="AG11" t="s">
        <v>97</v>
      </c>
      <c r="AH11" t="s">
        <v>192</v>
      </c>
      <c r="AI11">
        <v>0.17617534240471389</v>
      </c>
    </row>
    <row r="12" spans="1:40" x14ac:dyDescent="0.45">
      <c r="C12" t="s">
        <v>188</v>
      </c>
      <c r="E12" t="s">
        <v>178</v>
      </c>
      <c r="G12" t="s">
        <v>146</v>
      </c>
      <c r="I12" t="s">
        <v>156</v>
      </c>
      <c r="J12" t="s">
        <v>193</v>
      </c>
      <c r="K12">
        <v>0</v>
      </c>
      <c r="L12" t="s">
        <v>158</v>
      </c>
      <c r="N12" t="s">
        <v>173</v>
      </c>
      <c r="O12" t="s">
        <v>193</v>
      </c>
      <c r="P12">
        <v>0.15355073366379907</v>
      </c>
      <c r="Q12" t="s">
        <v>158</v>
      </c>
      <c r="X12">
        <v>0.11426940639269406</v>
      </c>
      <c r="Y12">
        <v>5.2547713165767528E-2</v>
      </c>
      <c r="Z12" t="s">
        <v>193</v>
      </c>
      <c r="AA12" t="s">
        <v>25</v>
      </c>
      <c r="AC12" t="s">
        <v>22</v>
      </c>
      <c r="AD12" t="s">
        <v>193</v>
      </c>
      <c r="AE12">
        <v>9.5242975452984727E-2</v>
      </c>
      <c r="AG12" t="s">
        <v>97</v>
      </c>
      <c r="AH12" t="s">
        <v>193</v>
      </c>
      <c r="AI12">
        <v>0.33306575146351802</v>
      </c>
    </row>
    <row r="13" spans="1:40" x14ac:dyDescent="0.45">
      <c r="C13" t="s">
        <v>189</v>
      </c>
      <c r="E13" t="s">
        <v>190</v>
      </c>
      <c r="G13" t="s">
        <v>146</v>
      </c>
      <c r="I13" t="s">
        <v>156</v>
      </c>
      <c r="J13" t="s">
        <v>194</v>
      </c>
      <c r="K13">
        <v>6.7740130964763995E-3</v>
      </c>
      <c r="L13" t="s">
        <v>158</v>
      </c>
      <c r="N13" t="s">
        <v>173</v>
      </c>
      <c r="O13" t="s">
        <v>194</v>
      </c>
      <c r="P13">
        <v>2.7704663643394873E-2</v>
      </c>
      <c r="Q13" t="s">
        <v>158</v>
      </c>
      <c r="X13">
        <v>2.0776255707762557E-2</v>
      </c>
      <c r="Y13">
        <v>3.5896543437005365E-2</v>
      </c>
      <c r="Z13" t="s">
        <v>194</v>
      </c>
      <c r="AA13" t="s">
        <v>25</v>
      </c>
      <c r="AC13" t="s">
        <v>22</v>
      </c>
      <c r="AD13" t="s">
        <v>194</v>
      </c>
      <c r="AE13">
        <v>2.2069722995092467E-2</v>
      </c>
      <c r="AG13" t="s">
        <v>97</v>
      </c>
      <c r="AH13" t="s">
        <v>194</v>
      </c>
      <c r="AI13">
        <v>0.17286248685938022</v>
      </c>
    </row>
    <row r="14" spans="1:40" x14ac:dyDescent="0.45">
      <c r="C14" t="s">
        <v>191</v>
      </c>
      <c r="I14" t="s">
        <v>156</v>
      </c>
      <c r="J14" t="s">
        <v>195</v>
      </c>
      <c r="K14">
        <v>0.25897424516374834</v>
      </c>
      <c r="L14" t="s">
        <v>158</v>
      </c>
      <c r="N14" t="s">
        <v>173</v>
      </c>
      <c r="O14" t="s">
        <v>195</v>
      </c>
      <c r="P14">
        <v>9.425008749519051E-2</v>
      </c>
      <c r="Q14" t="s">
        <v>158</v>
      </c>
      <c r="X14">
        <v>0.11552511415525114</v>
      </c>
      <c r="Y14">
        <v>0.16263862301005233</v>
      </c>
      <c r="Z14" t="s">
        <v>195</v>
      </c>
      <c r="AA14" t="s">
        <v>25</v>
      </c>
      <c r="AC14" t="s">
        <v>22</v>
      </c>
      <c r="AD14" t="s">
        <v>195</v>
      </c>
      <c r="AE14">
        <v>0.12744469596891173</v>
      </c>
      <c r="AG14" t="s">
        <v>97</v>
      </c>
      <c r="AH14" t="s">
        <v>195</v>
      </c>
      <c r="AI14">
        <v>0.14227252545542379</v>
      </c>
    </row>
    <row r="15" spans="1:40" x14ac:dyDescent="0.45">
      <c r="I15" t="s">
        <v>156</v>
      </c>
      <c r="J15" t="s">
        <v>196</v>
      </c>
      <c r="K15">
        <v>2.848599488189614E-3</v>
      </c>
      <c r="L15" t="s">
        <v>158</v>
      </c>
      <c r="N15" t="s">
        <v>173</v>
      </c>
      <c r="O15" t="s">
        <v>196</v>
      </c>
      <c r="P15">
        <v>9.9138827404820343E-2</v>
      </c>
      <c r="Q15" t="s">
        <v>158</v>
      </c>
      <c r="X15">
        <v>0.11552511415525114</v>
      </c>
      <c r="Y15">
        <v>5.3125160563193538E-2</v>
      </c>
      <c r="Z15" t="s">
        <v>196</v>
      </c>
      <c r="AA15" t="s">
        <v>25</v>
      </c>
      <c r="AC15" t="s">
        <v>22</v>
      </c>
      <c r="AD15" t="s">
        <v>196</v>
      </c>
      <c r="AE15">
        <v>0.10132255701296763</v>
      </c>
      <c r="AG15" t="s">
        <v>97</v>
      </c>
      <c r="AH15" t="s">
        <v>196</v>
      </c>
      <c r="AI15">
        <v>0.28994593786435274</v>
      </c>
    </row>
    <row r="16" spans="1:40" x14ac:dyDescent="0.45">
      <c r="I16" t="s">
        <v>156</v>
      </c>
      <c r="J16" t="s">
        <v>197</v>
      </c>
      <c r="K16">
        <v>2.1533223112876643E-2</v>
      </c>
      <c r="L16" t="s">
        <v>158</v>
      </c>
      <c r="N16" t="s">
        <v>173</v>
      </c>
      <c r="O16" t="s">
        <v>197</v>
      </c>
      <c r="P16">
        <v>1.8328881031455892E-2</v>
      </c>
      <c r="Q16" t="s">
        <v>158</v>
      </c>
      <c r="X16">
        <v>2.1004566210045664E-2</v>
      </c>
      <c r="Y16">
        <v>3.6291010947302131E-2</v>
      </c>
      <c r="Z16" t="s">
        <v>197</v>
      </c>
      <c r="AA16" t="s">
        <v>25</v>
      </c>
      <c r="AC16" t="s">
        <v>22</v>
      </c>
      <c r="AD16" t="s">
        <v>197</v>
      </c>
      <c r="AE16">
        <v>2.3070200877549799E-2</v>
      </c>
      <c r="AG16" t="s">
        <v>97</v>
      </c>
      <c r="AH16" t="s">
        <v>197</v>
      </c>
      <c r="AI16">
        <v>0.14528556003353565</v>
      </c>
    </row>
    <row r="17" spans="9:35" x14ac:dyDescent="0.45">
      <c r="I17" t="s">
        <v>156</v>
      </c>
      <c r="J17" t="s">
        <v>198</v>
      </c>
      <c r="K17">
        <v>0.33215187562621223</v>
      </c>
      <c r="L17" t="s">
        <v>158</v>
      </c>
      <c r="N17" t="s">
        <v>173</v>
      </c>
      <c r="O17" t="s">
        <v>198</v>
      </c>
      <c r="P17">
        <v>5.6011402516703286E-2</v>
      </c>
      <c r="Q17" t="s">
        <v>158</v>
      </c>
      <c r="X17">
        <v>0.11552511415525114</v>
      </c>
      <c r="Y17">
        <v>0.16263862301005233</v>
      </c>
      <c r="Z17" t="s">
        <v>198</v>
      </c>
      <c r="AA17" t="s">
        <v>25</v>
      </c>
      <c r="AC17" t="s">
        <v>22</v>
      </c>
      <c r="AD17" t="s">
        <v>198</v>
      </c>
      <c r="AE17">
        <v>0.11289822530250294</v>
      </c>
      <c r="AG17" t="s">
        <v>97</v>
      </c>
      <c r="AH17" t="s">
        <v>198</v>
      </c>
      <c r="AI17">
        <v>0.12685347555621185</v>
      </c>
    </row>
    <row r="18" spans="9:35" x14ac:dyDescent="0.45">
      <c r="I18" t="s">
        <v>156</v>
      </c>
      <c r="J18" t="s">
        <v>199</v>
      </c>
      <c r="K18">
        <v>1.2756835594279273E-2</v>
      </c>
      <c r="L18" t="s">
        <v>158</v>
      </c>
      <c r="N18" t="s">
        <v>173</v>
      </c>
      <c r="O18" t="s">
        <v>199</v>
      </c>
      <c r="P18">
        <v>6.5320835761546459E-2</v>
      </c>
      <c r="Q18" t="s">
        <v>158</v>
      </c>
      <c r="X18">
        <v>0.11552511415525114</v>
      </c>
      <c r="Y18">
        <v>5.3125160563193538E-2</v>
      </c>
      <c r="Z18" t="s">
        <v>199</v>
      </c>
      <c r="AA18" t="s">
        <v>25</v>
      </c>
      <c r="AC18" t="s">
        <v>22</v>
      </c>
      <c r="AD18" t="s">
        <v>199</v>
      </c>
      <c r="AE18">
        <v>8.7639671683306802E-2</v>
      </c>
      <c r="AG18" t="s">
        <v>97</v>
      </c>
      <c r="AH18" t="s">
        <v>199</v>
      </c>
      <c r="AI18">
        <v>0.23017486315106495</v>
      </c>
    </row>
    <row r="19" spans="9:35" x14ac:dyDescent="0.45">
      <c r="I19" t="s">
        <v>156</v>
      </c>
      <c r="J19" t="s">
        <v>200</v>
      </c>
      <c r="K19">
        <v>3.5966847435696808E-2</v>
      </c>
      <c r="L19" t="s">
        <v>158</v>
      </c>
      <c r="N19" t="s">
        <v>173</v>
      </c>
      <c r="O19" t="s">
        <v>200</v>
      </c>
      <c r="P19">
        <v>1.2528906549186888E-2</v>
      </c>
      <c r="Q19" t="s">
        <v>158</v>
      </c>
      <c r="X19">
        <v>2.1004566210045664E-2</v>
      </c>
      <c r="Y19">
        <v>3.6291010947302131E-2</v>
      </c>
      <c r="Z19" t="s">
        <v>200</v>
      </c>
      <c r="AA19" t="s">
        <v>25</v>
      </c>
      <c r="AC19" t="s">
        <v>22</v>
      </c>
      <c r="AD19" t="s">
        <v>200</v>
      </c>
      <c r="AE19">
        <v>2.0015393677460164E-2</v>
      </c>
      <c r="AG19" t="s">
        <v>97</v>
      </c>
      <c r="AH19" t="s">
        <v>200</v>
      </c>
      <c r="AI19">
        <v>0.10493351197406975</v>
      </c>
    </row>
    <row r="20" spans="9:35" x14ac:dyDescent="0.45">
      <c r="I20" t="s">
        <v>156</v>
      </c>
      <c r="J20" t="s">
        <v>201</v>
      </c>
      <c r="K20">
        <v>0.14723827204216502</v>
      </c>
      <c r="L20" t="s">
        <v>158</v>
      </c>
      <c r="N20" t="s">
        <v>173</v>
      </c>
      <c r="O20" t="s">
        <v>201</v>
      </c>
      <c r="P20">
        <v>0.1340299633278341</v>
      </c>
      <c r="Q20" t="s">
        <v>158</v>
      </c>
      <c r="X20">
        <v>0.11301369863013698</v>
      </c>
      <c r="Y20">
        <v>0.15910300077070333</v>
      </c>
      <c r="Z20" t="s">
        <v>201</v>
      </c>
      <c r="AA20" t="s">
        <v>25</v>
      </c>
      <c r="AC20" t="s">
        <v>22</v>
      </c>
      <c r="AD20" t="s">
        <v>201</v>
      </c>
      <c r="AE20">
        <v>0.14393901433677572</v>
      </c>
      <c r="AG20" t="s">
        <v>97</v>
      </c>
      <c r="AH20" t="s">
        <v>201</v>
      </c>
      <c r="AI20">
        <v>8.8349265587104986E-2</v>
      </c>
    </row>
    <row r="21" spans="9:35" x14ac:dyDescent="0.45">
      <c r="I21" t="s">
        <v>156</v>
      </c>
      <c r="J21" t="s">
        <v>202</v>
      </c>
      <c r="K21">
        <v>0</v>
      </c>
      <c r="L21" t="s">
        <v>158</v>
      </c>
      <c r="N21" t="s">
        <v>173</v>
      </c>
      <c r="O21" t="s">
        <v>202</v>
      </c>
      <c r="P21">
        <v>0.15676252988338979</v>
      </c>
      <c r="Q21" t="s">
        <v>158</v>
      </c>
      <c r="X21">
        <v>0.11301369863013698</v>
      </c>
      <c r="Y21">
        <v>5.197026576834151E-2</v>
      </c>
      <c r="Z21" t="s">
        <v>202</v>
      </c>
      <c r="AA21" t="s">
        <v>25</v>
      </c>
      <c r="AC21" t="s">
        <v>22</v>
      </c>
      <c r="AD21" t="s">
        <v>202</v>
      </c>
      <c r="AE21">
        <v>0.11874698574208462</v>
      </c>
      <c r="AG21" t="s">
        <v>97</v>
      </c>
      <c r="AH21" t="s">
        <v>202</v>
      </c>
      <c r="AI21">
        <v>0.18964786719685711</v>
      </c>
    </row>
    <row r="22" spans="9:35" x14ac:dyDescent="0.45">
      <c r="I22" t="s">
        <v>156</v>
      </c>
      <c r="J22" t="s">
        <v>203</v>
      </c>
      <c r="K22">
        <v>2.7243343182539671E-3</v>
      </c>
      <c r="L22" t="s">
        <v>158</v>
      </c>
      <c r="N22" t="s">
        <v>173</v>
      </c>
      <c r="O22" t="s">
        <v>203</v>
      </c>
      <c r="P22">
        <v>2.887792098400915E-2</v>
      </c>
      <c r="Q22" t="s">
        <v>158</v>
      </c>
      <c r="X22">
        <v>2.0547945205479451E-2</v>
      </c>
      <c r="Y22">
        <v>3.5502075926708607E-2</v>
      </c>
      <c r="Z22" t="s">
        <v>203</v>
      </c>
      <c r="AA22" t="s">
        <v>25</v>
      </c>
      <c r="AC22" t="s">
        <v>22</v>
      </c>
      <c r="AD22" t="s">
        <v>203</v>
      </c>
      <c r="AE22">
        <v>2.6709175074789045E-2</v>
      </c>
      <c r="AG22" t="s">
        <v>97</v>
      </c>
      <c r="AH22" t="s">
        <v>203</v>
      </c>
      <c r="AI22">
        <v>5.7719826051751744E-2</v>
      </c>
    </row>
    <row r="23" spans="9:35" x14ac:dyDescent="0.45">
      <c r="AC23" t="s">
        <v>19</v>
      </c>
      <c r="AD23" t="s">
        <v>192</v>
      </c>
      <c r="AE23">
        <v>0.11505209570526871</v>
      </c>
    </row>
    <row r="24" spans="9:35" x14ac:dyDescent="0.45">
      <c r="AC24" t="s">
        <v>19</v>
      </c>
      <c r="AD24" t="s">
        <v>193</v>
      </c>
      <c r="AE24">
        <v>0.11326317658802752</v>
      </c>
    </row>
    <row r="25" spans="9:35" x14ac:dyDescent="0.45">
      <c r="AC25" t="s">
        <v>19</v>
      </c>
      <c r="AD25" t="s">
        <v>194</v>
      </c>
      <c r="AE25">
        <v>2.0924674113243509E-2</v>
      </c>
    </row>
    <row r="26" spans="9:35" x14ac:dyDescent="0.45">
      <c r="AC26" t="s">
        <v>19</v>
      </c>
      <c r="AD26" t="s">
        <v>195</v>
      </c>
      <c r="AE26">
        <v>0.11636242545027597</v>
      </c>
    </row>
    <row r="27" spans="9:35" x14ac:dyDescent="0.45">
      <c r="AC27" t="s">
        <v>19</v>
      </c>
      <c r="AD27" t="s">
        <v>196</v>
      </c>
      <c r="AE27">
        <v>0.11454117462932174</v>
      </c>
    </row>
    <row r="28" spans="9:35" x14ac:dyDescent="0.45">
      <c r="AC28" t="s">
        <v>19</v>
      </c>
      <c r="AD28" t="s">
        <v>197</v>
      </c>
      <c r="AE28">
        <v>2.1149723663419471E-2</v>
      </c>
    </row>
    <row r="29" spans="9:35" x14ac:dyDescent="0.45">
      <c r="AC29" t="s">
        <v>19</v>
      </c>
      <c r="AD29" t="s">
        <v>198</v>
      </c>
      <c r="AE29">
        <v>0.11625089949760344</v>
      </c>
    </row>
    <row r="30" spans="9:35" x14ac:dyDescent="0.45">
      <c r="AC30" t="s">
        <v>19</v>
      </c>
      <c r="AD30" t="s">
        <v>199</v>
      </c>
      <c r="AE30">
        <v>0.1144898583519047</v>
      </c>
    </row>
    <row r="31" spans="9:35" x14ac:dyDescent="0.45">
      <c r="AC31" t="s">
        <v>19</v>
      </c>
      <c r="AD31" t="s">
        <v>200</v>
      </c>
      <c r="AE31">
        <v>2.1100861171254748E-2</v>
      </c>
    </row>
    <row r="32" spans="9:35" x14ac:dyDescent="0.45">
      <c r="AC32" t="s">
        <v>19</v>
      </c>
      <c r="AD32" t="s">
        <v>201</v>
      </c>
      <c r="AE32">
        <v>0.1139343210030094</v>
      </c>
    </row>
    <row r="33" spans="29:31" x14ac:dyDescent="0.45">
      <c r="AC33" t="s">
        <v>19</v>
      </c>
      <c r="AD33" t="s">
        <v>202</v>
      </c>
      <c r="AE33">
        <v>0.11217791802096555</v>
      </c>
    </row>
    <row r="34" spans="29:31" x14ac:dyDescent="0.45">
      <c r="AC34" t="s">
        <v>19</v>
      </c>
      <c r="AD34" t="s">
        <v>203</v>
      </c>
      <c r="AE34">
        <v>2.0752871805705189E-2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2025-09-10T11:22:09Z</dcterms:modified>
</cp:coreProperties>
</file>