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ppXLS\"/>
    </mc:Choice>
  </mc:AlternateContent>
  <xr:revisionPtr revIDLastSave="0" documentId="13_ncr:1_{48B0D34E-E09E-41FA-986A-7D1C8537278E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" l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1" i="6"/>
  <c r="H24" i="6"/>
  <c r="H23" i="6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<sst xmlns="http://schemas.openxmlformats.org/spreadsheetml/2006/main" count="1594" uniqueCount="149">
  <si>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</si>
  <si>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</si>
  <si>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</si>
  <si>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</si>
  <si>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</si>
  <si>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</si>
  <si>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</si>
  <si>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</si>
  <si>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</si>
  <si>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</si>
  <si>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</si>
  <si>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</si>
  <si>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</si>
  <si>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</si>
  <si>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</si>
  <si>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</si>
  <si>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</si>
  <si>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</si>
  <si>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</si>
  <si>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</si>
  <si>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</si>
  <si>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</si>
  <si>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</si>
  <si>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</si>
  <si>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</si>
  <si>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</si>
  <si>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</si>
  <si>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</si>
  <si>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</si>
  <si>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</si>
  <si>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</si>
  <si>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</si>
  <si>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</si>
  <si>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</si>
  <si>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</si>
  <si>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</si>
  <si>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</si>
  <si>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</si>
  <si>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</si>
  <si>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</si>
  <si>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</si>
  <si>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</si>
  <si>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</si>
  <si>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</si>
  <si>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</si>
  <si>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</si>
  <si>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</si>
  <si>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</si>
  <si>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</si>
  <si>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</si>
  <si>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</si>
  <si>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</si>
  <si>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</si>
  <si>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</si>
  <si>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</si>
  <si>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</si>
  <si>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</si>
  <si>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</si>
  <si>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</si>
  <si>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</si>
  <si>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</si>
  <si>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</si>
  <si>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</si>
  <si>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</si>
  <si>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</si>
  <si>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</si>
  <si>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</si>
  <si>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</si>
  <si>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</si>
  <si>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</si>
  <si>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</si>
  <si>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</si>
  <si>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</si>
  <si>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</si>
  <si>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</si>
  <si>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</si>
  <si>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</si>
  <si>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</si>
  <si>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</si>
  <si>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</si>
  <si>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</si>
  <si>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</si>
  <si>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</si>
  <si>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</si>
  <si>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</si>
  <si>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</si>
  <si>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</si>
  <si>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</si>
  <si>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</si>
  <si>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</si>
  <si>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</si>
  <si>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</si>
  <si>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</si>
  <si>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</si>
  <si>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</si>
  <si>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</si>
  <si>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</si>
  <si>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</si>
  <si>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</si>
  <si>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</si>
  <si>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</si>
  <si>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</si>
  <si>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</si>
  <si>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</si>
  <si>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</si>
  <si>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</si>
  <si>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</si>
  <si>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</si>
  <si>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</si>
  <si>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</si>
  <si>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</si>
  <si>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</si>
  <si>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</si>
  <si>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</si>
  <si>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</si>
  <si>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</si>
  <si>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</si>
  <si>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</si>
  <si>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</si>
  <si>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</si>
  <si>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</si>
  <si>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</si>
  <si>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</si>
  <si>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</si>
  <si>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</si>
  <si>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</si>
  <si>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</si>
  <si>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</si>
  <si>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</si>
  <si>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</si>
  <si>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</si>
  <si>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</si>
  <si>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</si>
  <si>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</si>
  <si>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</si>
  <si>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</si>
  <si>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</si>
  <si>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</si>
  <si>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</si>
  <si>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</si>
  <si>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</si>
  <si>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</si>
  <si>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CHE</t>
  </si>
  <si>
    <t>R10EUROPE</t>
  </si>
  <si>
    <t>European pricing, forest resources</t>
  </si>
  <si>
    <t>1-70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</si>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</sst>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65.11999999999999</c:v>
                </c:pt>
                <c:pt idx="1">
                  <c:v>68.375999999999991</c:v>
                </c:pt>
                <c:pt idx="2">
                  <c:v>76.190399999999983</c:v>
                </c:pt>
                <c:pt idx="3">
                  <c:v>85.958399999999997</c:v>
                </c:pt>
                <c:pt idx="4">
                  <c:v>97.679999999999978</c:v>
                </c:pt>
                <c:pt idx="5">
                  <c:v>109.40159999999997</c:v>
                </c:pt>
                <c:pt idx="6">
                  <c:v>117.86719999999998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1"/>
  <sheetViews>
    <sheetView tabSelected="1"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65.11999999999999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65.11999999999999</v>
      </c>
      <c r="U14" s="8">
        <f t="shared" ref="U14:Z14" si="3">$S$12*J15</f>
        <v>68.375999999999991</v>
      </c>
      <c r="V14" s="8">
        <f t="shared" si="3"/>
        <v>76.190399999999983</v>
      </c>
      <c r="W14" s="8">
        <f t="shared" si="3"/>
        <v>85.958399999999997</v>
      </c>
      <c r="X14" s="8">
        <f t="shared" si="3"/>
        <v>97.679999999999978</v>
      </c>
      <c r="Y14" s="8">
        <f t="shared" si="3"/>
        <v>109.40159999999997</v>
      </c>
      <c r="Z14" s="8">
        <f t="shared" si="3"/>
        <v>117.86719999999998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0.7619039999999998</v>
      </c>
      <c r="W18" s="6">
        <f t="shared" si="7"/>
        <v>0.85958400000000001</v>
      </c>
      <c r="X18" s="6">
        <f t="shared" si="7"/>
        <v>0.97679999999999978</v>
      </c>
      <c r="Y18" s="6">
        <f t="shared" si="7"/>
        <v>2.1880319999999993</v>
      </c>
      <c r="Z18" s="6">
        <f t="shared" si="7"/>
        <v>3.5360159999999992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23.443199999999997</v>
      </c>
      <c r="U19" s="6">
        <f t="shared" si="7"/>
        <v>21.880319999999998</v>
      </c>
      <c r="V19" s="6">
        <f t="shared" si="7"/>
        <v>23.619023999999996</v>
      </c>
      <c r="W19" s="6">
        <f t="shared" si="7"/>
        <v>24.927935999999999</v>
      </c>
      <c r="X19" s="6">
        <f t="shared" si="7"/>
        <v>28.327199999999991</v>
      </c>
      <c r="Y19" s="6">
        <f t="shared" si="7"/>
        <v>31.726463999999989</v>
      </c>
      <c r="Z19" s="6">
        <f t="shared" si="7"/>
        <v>35.360159999999993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39.071999999999996</v>
      </c>
      <c r="U20" s="6">
        <f t="shared" si="7"/>
        <v>41.02559999999999</v>
      </c>
      <c r="V20" s="6">
        <f t="shared" si="7"/>
        <v>45.71423999999999</v>
      </c>
      <c r="W20" s="6">
        <f t="shared" si="7"/>
        <v>48.996287999999993</v>
      </c>
      <c r="X20" s="6">
        <f t="shared" si="7"/>
        <v>52.747199999999992</v>
      </c>
      <c r="Y20" s="6">
        <f t="shared" si="7"/>
        <v>56.888831999999987</v>
      </c>
      <c r="Z20" s="6">
        <f t="shared" si="7"/>
        <v>62.469615999999995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1.9535999999999996</v>
      </c>
      <c r="U21" s="6">
        <f t="shared" ref="U21:Z21" si="8">T21</f>
        <v>1.9535999999999996</v>
      </c>
      <c r="V21" s="6">
        <f t="shared" si="8"/>
        <v>1.9535999999999996</v>
      </c>
      <c r="W21" s="6">
        <f t="shared" si="8"/>
        <v>1.9535999999999996</v>
      </c>
      <c r="X21" s="6">
        <f t="shared" si="8"/>
        <v>1.9535999999999996</v>
      </c>
      <c r="Y21" s="6">
        <f t="shared" si="8"/>
        <v>1.9535999999999996</v>
      </c>
      <c r="Z21" s="6">
        <f t="shared" si="8"/>
        <v>1.9535999999999996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0.65120000000000289</v>
      </c>
      <c r="U22" s="6">
        <f t="shared" si="9"/>
        <v>3.5164800000000014</v>
      </c>
      <c r="V22" s="6">
        <f t="shared" si="9"/>
        <v>4.9035360000000026</v>
      </c>
      <c r="W22" s="6">
        <f t="shared" si="9"/>
        <v>10.080576000000008</v>
      </c>
      <c r="X22" s="6">
        <f t="shared" si="9"/>
        <v>14.652000000000001</v>
      </c>
      <c r="Y22" s="6">
        <f t="shared" si="9"/>
        <v>18.832704000000007</v>
      </c>
      <c r="Z22" s="6">
        <f t="shared" si="9"/>
        <v>18.083824000000007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33.119999999999997</v>
      </c>
      <c r="S28" t="s">
        <v>32</v>
      </c>
      <c r="T28" s="3">
        <f>Q28</f>
        <v>33.119999999999997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-29.73</v>
      </c>
      <c r="S29" t="s">
        <v>35</v>
      </c>
      <c r="T29" s="3">
        <f>-1*Q29</f>
        <v>29.73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32</v>
      </c>
      <c r="J48">
        <f t="shared" si="12"/>
        <v>30.72</v>
      </c>
      <c r="K48">
        <f t="shared" si="12"/>
        <v>33.28</v>
      </c>
      <c r="L48">
        <f t="shared" si="12"/>
        <v>33.28</v>
      </c>
      <c r="M48">
        <f t="shared" si="12"/>
        <v>31.36</v>
      </c>
      <c r="N48">
        <f t="shared" si="12"/>
        <v>31.68</v>
      </c>
      <c r="O48">
        <f t="shared" si="12"/>
        <v>32</v>
      </c>
      <c r="R48">
        <f>HLOOKUP($G48&amp;"_"&amp;R$44,fuel_prices!$B$10:$I$11,2,FALSE)</f>
        <v>28</v>
      </c>
      <c r="S48">
        <f>HLOOKUP($G48&amp;"_"&amp;S$44,fuel_prices!$B$10:$I$11,2,FALSE)</f>
        <v>36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 t="s">
        <v>146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79" spans="1:36" x14ac:dyDescent="0.45">
      <c r="A79" t="s">
        <v>30</v>
      </c>
      <c r="B79" t="s">
        <v>31</v>
      </c>
      <c r="C79">
        <v>2024</v>
      </c>
      <c r="D79">
        <v>2030</v>
      </c>
      <c r="E79">
        <v>2040</v>
      </c>
      <c r="F79" t="s">
        <v>14</v>
      </c>
    </row>
    <row r="80" spans="1:36" x14ac:dyDescent="0.45">
      <c r="A80" t="s">
        <v>35</v>
      </c>
      <c r="B80" t="s">
        <v>147</v>
      </c>
      <c r="C80">
        <v>9.7219999999999995</v>
      </c>
      <c r="D80">
        <v>12.172000000000001</v>
      </c>
      <c r="E80">
        <v>12.472</v>
      </c>
      <c r="F80" t="s">
        <v>148</v>
      </c>
    </row>
    <row r="81" spans="1:6" x14ac:dyDescent="0.45">
      <c r="A81" t="s">
        <v>32</v>
      </c>
      <c r="B81" t="s">
        <v>147</v>
      </c>
      <c r="C81">
        <v>1.2</v>
      </c>
      <c r="D81">
        <v>1.2</v>
      </c>
      <c r="E81">
        <v>1.2</v>
      </c>
      <c r="F81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28</v>
      </c>
      <c r="I11">
        <v>36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24.13</v>
      </c>
      <c r="D11">
        <v>31.47</v>
      </c>
      <c r="E11">
        <v>2.64</v>
      </c>
      <c r="F11">
        <v>0</v>
      </c>
      <c r="G11">
        <v>24.33</v>
      </c>
      <c r="H11">
        <v>-31.4</v>
      </c>
      <c r="I11">
        <v>66.12</v>
      </c>
    </row>
    <row r="12" spans="1:9" x14ac:dyDescent="0.45">
      <c r="A12" t="s">
        <v>142</v>
      </c>
      <c r="B12">
        <v>2001</v>
      </c>
      <c r="C12">
        <v>24.59</v>
      </c>
      <c r="D12">
        <v>32.51</v>
      </c>
      <c r="E12">
        <v>2.7</v>
      </c>
      <c r="F12">
        <v>0</v>
      </c>
      <c r="G12">
        <v>24.1</v>
      </c>
      <c r="H12">
        <v>-34.54</v>
      </c>
      <c r="I12">
        <v>71.040000000000006</v>
      </c>
    </row>
    <row r="13" spans="1:9" x14ac:dyDescent="0.45">
      <c r="A13" t="s">
        <v>142</v>
      </c>
      <c r="B13">
        <v>2002</v>
      </c>
      <c r="C13">
        <v>24.31</v>
      </c>
      <c r="D13">
        <v>32.86</v>
      </c>
      <c r="E13">
        <v>2.8</v>
      </c>
      <c r="F13">
        <v>0</v>
      </c>
      <c r="G13">
        <v>27.8</v>
      </c>
      <c r="H13">
        <v>-32.31</v>
      </c>
      <c r="I13">
        <v>65.41</v>
      </c>
    </row>
    <row r="14" spans="1:9" x14ac:dyDescent="0.45">
      <c r="A14" t="s">
        <v>142</v>
      </c>
      <c r="B14">
        <v>2003</v>
      </c>
      <c r="C14">
        <v>24.5</v>
      </c>
      <c r="D14">
        <v>33.659999999999997</v>
      </c>
      <c r="E14">
        <v>2.98</v>
      </c>
      <c r="F14">
        <v>0</v>
      </c>
      <c r="G14">
        <v>30.08</v>
      </c>
      <c r="H14">
        <v>-33.200000000000003</v>
      </c>
      <c r="I14">
        <v>65.33</v>
      </c>
    </row>
    <row r="15" spans="1:9" x14ac:dyDescent="0.45">
      <c r="A15" t="s">
        <v>142</v>
      </c>
      <c r="B15">
        <v>2004</v>
      </c>
      <c r="C15">
        <v>24.87</v>
      </c>
      <c r="D15">
        <v>34.409999999999997</v>
      </c>
      <c r="E15">
        <v>2.94</v>
      </c>
      <c r="F15">
        <v>0</v>
      </c>
      <c r="G15">
        <v>27.06</v>
      </c>
      <c r="H15">
        <v>-27.76</v>
      </c>
      <c r="I15">
        <v>63.86</v>
      </c>
    </row>
    <row r="16" spans="1:9" x14ac:dyDescent="0.45">
      <c r="A16" t="s">
        <v>142</v>
      </c>
      <c r="B16">
        <v>2005</v>
      </c>
      <c r="C16">
        <v>24.88</v>
      </c>
      <c r="D16">
        <v>35.270000000000003</v>
      </c>
      <c r="E16">
        <v>2.98</v>
      </c>
      <c r="F16">
        <v>0</v>
      </c>
      <c r="G16">
        <v>38.35</v>
      </c>
      <c r="H16">
        <v>-32</v>
      </c>
      <c r="I16">
        <v>57.78</v>
      </c>
    </row>
    <row r="17" spans="1:9" x14ac:dyDescent="0.45">
      <c r="A17" t="s">
        <v>142</v>
      </c>
      <c r="B17">
        <v>2006</v>
      </c>
      <c r="C17">
        <v>25.2</v>
      </c>
      <c r="D17">
        <v>35.51</v>
      </c>
      <c r="E17">
        <v>3.09</v>
      </c>
      <c r="F17">
        <v>0</v>
      </c>
      <c r="G17">
        <v>33.799999999999997</v>
      </c>
      <c r="H17">
        <v>-31.1</v>
      </c>
      <c r="I17">
        <v>62.13</v>
      </c>
    </row>
    <row r="18" spans="1:9" x14ac:dyDescent="0.45">
      <c r="A18" t="s">
        <v>142</v>
      </c>
      <c r="B18">
        <v>2007</v>
      </c>
      <c r="C18">
        <v>25.27</v>
      </c>
      <c r="D18">
        <v>35.18</v>
      </c>
      <c r="E18">
        <v>3.08</v>
      </c>
      <c r="F18">
        <v>0</v>
      </c>
      <c r="G18">
        <v>34.82</v>
      </c>
      <c r="H18">
        <v>-36.880000000000003</v>
      </c>
      <c r="I18">
        <v>66.430000000000007</v>
      </c>
    </row>
    <row r="19" spans="1:9" x14ac:dyDescent="0.45">
      <c r="A19" t="s">
        <v>142</v>
      </c>
      <c r="B19">
        <v>2008</v>
      </c>
      <c r="C19">
        <v>25.62</v>
      </c>
      <c r="D19">
        <v>36.130000000000003</v>
      </c>
      <c r="E19">
        <v>3.14</v>
      </c>
      <c r="F19">
        <v>0</v>
      </c>
      <c r="G19">
        <v>31.6</v>
      </c>
      <c r="H19">
        <v>-32.74</v>
      </c>
      <c r="I19">
        <v>67.03</v>
      </c>
    </row>
    <row r="20" spans="1:9" x14ac:dyDescent="0.45">
      <c r="A20" t="s">
        <v>142</v>
      </c>
      <c r="B20">
        <v>2009</v>
      </c>
      <c r="C20">
        <v>24.44</v>
      </c>
      <c r="D20">
        <v>36.04</v>
      </c>
      <c r="E20">
        <v>3.06</v>
      </c>
      <c r="F20">
        <v>0</v>
      </c>
      <c r="G20">
        <v>31.37</v>
      </c>
      <c r="H20">
        <v>-33.520000000000003</v>
      </c>
      <c r="I20">
        <v>66.67</v>
      </c>
    </row>
    <row r="21" spans="1:9" x14ac:dyDescent="0.45">
      <c r="A21" t="s">
        <v>142</v>
      </c>
      <c r="B21">
        <v>2010</v>
      </c>
      <c r="C21">
        <v>25.27</v>
      </c>
      <c r="D21">
        <v>37.17</v>
      </c>
      <c r="E21">
        <v>3.16</v>
      </c>
      <c r="F21">
        <v>0</v>
      </c>
      <c r="G21">
        <v>33.4</v>
      </c>
      <c r="H21">
        <v>-32.880000000000003</v>
      </c>
      <c r="I21">
        <v>66.040000000000006</v>
      </c>
    </row>
    <row r="22" spans="1:9" x14ac:dyDescent="0.45">
      <c r="A22" t="s">
        <v>142</v>
      </c>
      <c r="B22">
        <v>2011</v>
      </c>
      <c r="C22">
        <v>25.29</v>
      </c>
      <c r="D22">
        <v>36.14</v>
      </c>
      <c r="E22">
        <v>3.06</v>
      </c>
      <c r="F22">
        <v>0.02</v>
      </c>
      <c r="G22">
        <v>34.82</v>
      </c>
      <c r="H22">
        <v>-32.24</v>
      </c>
      <c r="I22">
        <v>62.87</v>
      </c>
    </row>
    <row r="23" spans="1:9" x14ac:dyDescent="0.45">
      <c r="A23" t="s">
        <v>142</v>
      </c>
      <c r="B23">
        <v>2012</v>
      </c>
      <c r="C23">
        <v>25.23</v>
      </c>
      <c r="D23">
        <v>36.64</v>
      </c>
      <c r="E23">
        <v>3.09</v>
      </c>
      <c r="F23">
        <v>0.02</v>
      </c>
      <c r="G23">
        <v>31.55</v>
      </c>
      <c r="H23">
        <v>-33.75</v>
      </c>
      <c r="I23">
        <v>68.12</v>
      </c>
    </row>
    <row r="24" spans="1:9" x14ac:dyDescent="0.45">
      <c r="A24" t="s">
        <v>142</v>
      </c>
      <c r="B24">
        <v>2013</v>
      </c>
      <c r="C24">
        <v>25.08</v>
      </c>
      <c r="D24">
        <v>37.22</v>
      </c>
      <c r="E24">
        <v>3.14</v>
      </c>
      <c r="F24">
        <v>0.01</v>
      </c>
      <c r="G24">
        <v>29.87</v>
      </c>
      <c r="H24">
        <v>-32.270000000000003</v>
      </c>
      <c r="I24">
        <v>68.7</v>
      </c>
    </row>
    <row r="25" spans="1:9" x14ac:dyDescent="0.45">
      <c r="A25" t="s">
        <v>142</v>
      </c>
      <c r="B25">
        <v>2014</v>
      </c>
      <c r="C25">
        <v>24.39</v>
      </c>
      <c r="D25">
        <v>36.18</v>
      </c>
      <c r="E25">
        <v>3.07</v>
      </c>
      <c r="F25">
        <v>0.02</v>
      </c>
      <c r="G25">
        <v>28.53</v>
      </c>
      <c r="H25">
        <v>-34.020000000000003</v>
      </c>
      <c r="I25">
        <v>70.069999999999993</v>
      </c>
    </row>
    <row r="26" spans="1:9" x14ac:dyDescent="0.45">
      <c r="A26" t="s">
        <v>142</v>
      </c>
      <c r="B26">
        <v>2015</v>
      </c>
      <c r="C26">
        <v>24.04</v>
      </c>
      <c r="D26">
        <v>36.909999999999997</v>
      </c>
      <c r="E26">
        <v>3.14</v>
      </c>
      <c r="F26">
        <v>0.03</v>
      </c>
      <c r="G26">
        <v>34.03</v>
      </c>
      <c r="H26">
        <v>-35.07</v>
      </c>
      <c r="I26">
        <v>66.05</v>
      </c>
    </row>
    <row r="27" spans="1:9" x14ac:dyDescent="0.45">
      <c r="A27" t="s">
        <v>142</v>
      </c>
      <c r="B27">
        <v>2016</v>
      </c>
      <c r="C27">
        <v>23.63</v>
      </c>
      <c r="D27">
        <v>37.06</v>
      </c>
      <c r="E27">
        <v>3.2</v>
      </c>
      <c r="F27">
        <v>0.04</v>
      </c>
      <c r="G27">
        <v>34.1</v>
      </c>
      <c r="H27">
        <v>-30.17</v>
      </c>
      <c r="I27">
        <v>61.09</v>
      </c>
    </row>
    <row r="28" spans="1:9" x14ac:dyDescent="0.45">
      <c r="A28" t="s">
        <v>142</v>
      </c>
      <c r="B28">
        <v>2017</v>
      </c>
      <c r="C28">
        <v>23.84</v>
      </c>
      <c r="D28">
        <v>37.200000000000003</v>
      </c>
      <c r="E28">
        <v>3.15</v>
      </c>
      <c r="F28">
        <v>0.05</v>
      </c>
      <c r="G28">
        <v>36.5</v>
      </c>
      <c r="H28">
        <v>-30.95</v>
      </c>
      <c r="I28">
        <v>60.14</v>
      </c>
    </row>
    <row r="29" spans="1:9" x14ac:dyDescent="0.45">
      <c r="A29" t="s">
        <v>142</v>
      </c>
      <c r="B29">
        <v>2018</v>
      </c>
      <c r="C29">
        <v>23.14</v>
      </c>
      <c r="D29">
        <v>36.99</v>
      </c>
      <c r="E29">
        <v>3.09</v>
      </c>
      <c r="F29">
        <v>0.08</v>
      </c>
      <c r="G29">
        <v>31.02</v>
      </c>
      <c r="H29">
        <v>-32.61</v>
      </c>
      <c r="I29">
        <v>66.290000000000006</v>
      </c>
    </row>
    <row r="30" spans="1:9" x14ac:dyDescent="0.45">
      <c r="A30" t="s">
        <v>142</v>
      </c>
      <c r="B30">
        <v>2019</v>
      </c>
      <c r="C30">
        <v>23.1</v>
      </c>
      <c r="D30">
        <v>36.61</v>
      </c>
      <c r="E30">
        <v>3.04</v>
      </c>
      <c r="F30">
        <v>0.11</v>
      </c>
      <c r="G30">
        <v>29.5</v>
      </c>
      <c r="H30">
        <v>-35.76</v>
      </c>
      <c r="I30">
        <v>70.56</v>
      </c>
    </row>
    <row r="31" spans="1:9" x14ac:dyDescent="0.45">
      <c r="A31" t="s">
        <v>142</v>
      </c>
      <c r="B31">
        <v>2020</v>
      </c>
      <c r="C31">
        <v>22.54</v>
      </c>
      <c r="D31">
        <v>35.92</v>
      </c>
      <c r="E31">
        <v>2.8</v>
      </c>
      <c r="F31">
        <v>0.14000000000000001</v>
      </c>
      <c r="G31">
        <v>26.99</v>
      </c>
      <c r="H31">
        <v>-32.549999999999997</v>
      </c>
      <c r="I31">
        <v>68.5</v>
      </c>
    </row>
    <row r="32" spans="1:9" x14ac:dyDescent="0.45">
      <c r="A32" t="s">
        <v>142</v>
      </c>
      <c r="B32">
        <v>2021</v>
      </c>
      <c r="C32">
        <v>23.73</v>
      </c>
      <c r="D32">
        <v>37.19</v>
      </c>
      <c r="E32">
        <v>2.93</v>
      </c>
      <c r="F32">
        <v>0.22</v>
      </c>
      <c r="G32">
        <v>31.53</v>
      </c>
      <c r="H32">
        <v>-29.12</v>
      </c>
      <c r="I32">
        <v>63.11</v>
      </c>
    </row>
    <row r="33" spans="1:9" x14ac:dyDescent="0.45">
      <c r="A33" t="s">
        <v>142</v>
      </c>
      <c r="B33">
        <v>2022</v>
      </c>
      <c r="C33">
        <v>23.76</v>
      </c>
      <c r="D33">
        <v>36.15</v>
      </c>
      <c r="E33">
        <v>2.98</v>
      </c>
      <c r="F33">
        <v>0.35</v>
      </c>
      <c r="G33">
        <v>33.119999999999997</v>
      </c>
      <c r="H33">
        <v>-29.73</v>
      </c>
      <c r="I33">
        <v>61.73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B10:M24"/>
  <sheetViews>
    <sheetView workbookViewId="0">
      <selection activeCell="H21" sqref="H21"/>
    </sheetView>
  </sheetViews>
  <sheetFormatPr defaultRowHeight="14.25" x14ac:dyDescent="0.45"/>
  <sheetData>
    <row r="10" spans="2:3" x14ac:dyDescent="0.45">
      <c r="B10" s="15"/>
      <c r="C10" s="15"/>
    </row>
    <row r="11" spans="2:3" x14ac:dyDescent="0.45">
      <c r="B11" s="15"/>
      <c r="C11" s="15"/>
    </row>
    <row r="12" spans="2:3" x14ac:dyDescent="0.45">
      <c r="B12" s="15"/>
      <c r="C12" s="15"/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e">
        <f>IF(H23=H24,"Not Required!","~UC_T: LO")</f>
        <v>#N/A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e">
        <f>HLOOKUP($A$10,$D$10:$CU$12,2,FALSE)</f>
        <v>#N/A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Veda</vt:lpstr>
      <vt:lpstr>fuel_prices</vt:lpstr>
      <vt:lpstr>iea_data</vt:lpstr>
      <vt:lpstr>ar6_r10</vt:lpstr>
      <vt:lpstr>ev_charging_uc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2025-09-14T16:34:07Z</dcterms:modified>
</cp:coreProperties>
</file>