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F3E2FA84-3609-42CE-A09B-68C70E1D292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<sst xmlns="http://schemas.openxmlformats.org/spreadsheetml/2006/main" count="58637" uniqueCount="95">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</sst>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121.66999999999999</c:v>
                </c:pt>
                <c:pt idx="1">
                  <c:v>127.05552521471041</c:v>
                </c:pt>
                <c:pt idx="2">
                  <c:v>137.12994054173089</c:v>
                </c:pt>
                <c:pt idx="3">
                  <c:v>146.90962563312044</c:v>
                </c:pt>
                <c:pt idx="4">
                  <c:v>153.09896058136971</c:v>
                </c:pt>
                <c:pt idx="5">
                  <c:v>155.51038978198633</c:v>
                </c:pt>
                <c:pt idx="6">
                  <c:v>158.93997797841882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2.4000000000000004</c:v>
                </c:pt>
                <c:pt idx="1">
                  <c:v>2.6608616780045349</c:v>
                </c:pt>
                <c:pt idx="2">
                  <c:v>2.1122902494331064</c:v>
                </c:pt>
                <c:pt idx="3">
                  <c:v>2.9754195011337869</c:v>
                </c:pt>
                <c:pt idx="4">
                  <c:v>4.0337414965986396</c:v>
                </c:pt>
                <c:pt idx="5">
                  <c:v>5.7063038548752845</c:v>
                </c:pt>
                <c:pt idx="6">
                  <c:v>6.467845804988662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121.67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121.66999999999999</v>
      </c>
      <c r="S12" s="8">
        <f t="shared" ref="S12:X12" si="0">SUM(S17:S20)</f>
        <v>127.05552521471041</v>
      </c>
      <c r="T12" s="8">
        <f t="shared" si="0"/>
        <v>137.12994054173089</v>
      </c>
      <c r="U12" s="8">
        <f t="shared" si="0"/>
        <v>146.90962563312044</v>
      </c>
      <c r="V12" s="8">
        <f t="shared" si="0"/>
        <v>153.09896058136971</v>
      </c>
      <c r="W12" s="8">
        <f t="shared" si="0"/>
        <v>155.51038978198633</v>
      </c>
      <c r="X12" s="8">
        <f t="shared" si="0"/>
        <v>158.93997797841882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5.0000000000000001E-4</v>
      </c>
      <c r="H16" s="10">
        <f>SUMIFS(ngfs_median!$J$2:$J$17119,ngfs_median!$B$2:$B$17119,Veda!$C$5,ngfs_median!$H$2:$H$17119,Veda!$Q16,ngfs_median!$I$2:$I$17119,Veda!H$15)</f>
        <v>2.2500000000000003E-3</v>
      </c>
      <c r="I16" s="10">
        <f>SUMIFS(ngfs_median!$J$2:$J$17119,ngfs_median!$B$2:$B$17119,Veda!$C$5,ngfs_median!$H$2:$H$17119,Veda!$Q16,ngfs_median!$I$2:$I$17119,Veda!I$15)</f>
        <v>4.4999999999999997E-3</v>
      </c>
      <c r="J16" s="10">
        <f>SUMIFS(ngfs_median!$J$2:$J$17119,ngfs_median!$B$2:$B$17119,Veda!$C$5,ngfs_median!$H$2:$H$17119,Veda!$Q16,ngfs_median!$I$2:$I$17119,Veda!J$15)</f>
        <v>6.8500000000000002E-3</v>
      </c>
      <c r="K16" s="10">
        <f>SUMIFS(ngfs_median!$J$2:$J$17119,ngfs_median!$B$2:$B$17119,Veda!$C$5,ngfs_median!$H$2:$H$17119,Veda!$Q16,ngfs_median!$I$2:$I$17119,Veda!K$15)</f>
        <v>8.6499999999999997E-3</v>
      </c>
      <c r="L16" s="10">
        <f>SUMIFS(ngfs_median!$J$2:$J$17119,ngfs_median!$B$2:$B$17119,Veda!$C$5,ngfs_median!$H$2:$H$17119,Veda!$Q16,ngfs_median!$I$2:$I$17119,Veda!L$15)</f>
        <v>0.01</v>
      </c>
      <c r="M16" s="10">
        <f>SUMIFS(ngfs_median!$J$2:$J$17119,ngfs_median!$B$2:$B$17119,Veda!$C$5,ngfs_median!$H$2:$H$17119,Veda!$Q16,ngfs_median!$I$2:$I$17119,Veda!M$15)</f>
        <v>1.0800000000000001E-2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0.62499999999999978</v>
      </c>
      <c r="U16" s="6">
        <f t="shared" si="2"/>
        <v>1.2777777777777777</v>
      </c>
      <c r="V16" s="6">
        <f t="shared" si="2"/>
        <v>1.7777777777777777</v>
      </c>
      <c r="W16" s="6">
        <f t="shared" si="2"/>
        <v>2.1527777777777777</v>
      </c>
      <c r="X16" s="6">
        <f t="shared" si="2"/>
        <v>2.375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9.6000000000000009E-3</v>
      </c>
      <c r="H17" s="10">
        <f>SUMIFS(ngfs_median!$J$2:$J$17119,ngfs_median!$B$2:$B$17119,Veda!$C$5,ngfs_median!$H$2:$H$17119,Veda!$Q17,ngfs_median!$I$2:$I$17119,Veda!H$15)</f>
        <v>1.6449999999999999E-2</v>
      </c>
      <c r="I17" s="10">
        <f>SUMIFS(ngfs_median!$J$2:$J$17119,ngfs_median!$B$2:$B$17119,Veda!$C$5,ngfs_median!$H$2:$H$17119,Veda!$Q17,ngfs_median!$I$2:$I$17119,Veda!I$15)</f>
        <v>2.5999999999999999E-2</v>
      </c>
      <c r="J17" s="10">
        <f>SUMIFS(ngfs_median!$J$2:$J$17119,ngfs_median!$B$2:$B$17119,Veda!$C$5,ngfs_median!$H$2:$H$17119,Veda!$Q17,ngfs_median!$I$2:$I$17119,Veda!J$15)</f>
        <v>3.5549999999999998E-2</v>
      </c>
      <c r="K17" s="10">
        <f>SUMIFS(ngfs_median!$J$2:$J$17119,ngfs_median!$B$2:$B$17119,Veda!$C$5,ngfs_median!$H$2:$H$17119,Veda!$Q17,ngfs_median!$I$2:$I$17119,Veda!K$15)</f>
        <v>4.8350000000000004E-2</v>
      </c>
      <c r="L17" s="10">
        <f>SUMIFS(ngfs_median!$J$2:$J$17119,ngfs_median!$B$2:$B$17119,Veda!$C$5,ngfs_median!$H$2:$H$17119,Veda!$Q17,ngfs_median!$I$2:$I$17119,Veda!L$15)</f>
        <v>5.6649999999999999E-2</v>
      </c>
      <c r="M17" s="10">
        <f>SUMIFS(ngfs_median!$J$2:$J$17119,ngfs_median!$B$2:$B$17119,Veda!$C$5,ngfs_median!$H$2:$H$17119,Veda!$Q17,ngfs_median!$I$2:$I$17119,Veda!M$15)</f>
        <v>6.384999999999999E-2</v>
      </c>
      <c r="Q17" s="12" t="s">
        <v>10</v>
      </c>
      <c r="R17" s="6">
        <f>$Q$10*G17/SUM($G$17:$G$19)</f>
        <v>5.1443822946487563</v>
      </c>
      <c r="S17" s="6">
        <f>R17</f>
        <v>5.1443822946487563</v>
      </c>
      <c r="T17" s="6">
        <f t="shared" ref="T17:X17" si="3">S17</f>
        <v>5.1443822946487563</v>
      </c>
      <c r="U17" s="6">
        <f t="shared" si="3"/>
        <v>5.1443822946487563</v>
      </c>
      <c r="V17" s="6">
        <f t="shared" si="3"/>
        <v>5.1443822946487563</v>
      </c>
      <c r="W17" s="6">
        <f t="shared" si="3"/>
        <v>5.1443822946487563</v>
      </c>
      <c r="X17" s="6">
        <f t="shared" si="3"/>
        <v>5.1443822946487563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0.14860000000000001</v>
      </c>
      <c r="H18" s="10">
        <f>SUMIFS(ngfs_median!$J$2:$J$17119,ngfs_median!$B$2:$B$17119,Veda!$C$5,ngfs_median!$H$2:$H$17119,Veda!$Q18,ngfs_median!$I$2:$I$17119,Veda!H$15)</f>
        <v>0.15365000000000001</v>
      </c>
      <c r="I18" s="10">
        <f>SUMIFS(ngfs_median!$J$2:$J$17119,ngfs_median!$B$2:$B$17119,Veda!$C$5,ngfs_median!$H$2:$H$17119,Veda!$Q18,ngfs_median!$I$2:$I$17119,Veda!I$15)</f>
        <v>0.16375000000000001</v>
      </c>
      <c r="J18" s="10">
        <f>SUMIFS(ngfs_median!$J$2:$J$17119,ngfs_median!$B$2:$B$17119,Veda!$C$5,ngfs_median!$H$2:$H$17119,Veda!$Q18,ngfs_median!$I$2:$I$17119,Veda!J$15)</f>
        <v>0.1729</v>
      </c>
      <c r="K18" s="10">
        <f>SUMIFS(ngfs_median!$J$2:$J$17119,ngfs_median!$B$2:$B$17119,Veda!$C$5,ngfs_median!$H$2:$H$17119,Veda!$Q18,ngfs_median!$I$2:$I$17119,Veda!K$15)</f>
        <v>0.17244999999999999</v>
      </c>
      <c r="L18" s="10">
        <f>SUMIFS(ngfs_median!$J$2:$J$17119,ngfs_median!$B$2:$B$17119,Veda!$C$5,ngfs_median!$H$2:$H$17119,Veda!$Q18,ngfs_median!$I$2:$I$17119,Veda!L$15)</f>
        <v>0.17185</v>
      </c>
      <c r="M18" s="10">
        <f>SUMIFS(ngfs_median!$J$2:$J$17119,ngfs_median!$B$2:$B$17119,Veda!$C$5,ngfs_median!$H$2:$H$17119,Veda!$Q18,ngfs_median!$I$2:$I$17119,Veda!M$15)</f>
        <v>0.17354999999999998</v>
      </c>
      <c r="Q18" s="12" t="s">
        <v>12</v>
      </c>
      <c r="R18" s="6">
        <f>$Q$10*G18/SUM($G$17:$G$19)</f>
        <v>79.630750935917206</v>
      </c>
      <c r="S18" s="6">
        <f t="shared" ref="S18:X19" si="4">R18*H18/G18</f>
        <v>82.336910372164724</v>
      </c>
      <c r="T18" s="6">
        <f t="shared" si="4"/>
        <v>87.749229244659773</v>
      </c>
      <c r="U18" s="6">
        <f t="shared" si="4"/>
        <v>92.652468619246861</v>
      </c>
      <c r="V18" s="6">
        <f t="shared" si="4"/>
        <v>92.411325699185198</v>
      </c>
      <c r="W18" s="6">
        <f t="shared" si="4"/>
        <v>92.089801805769653</v>
      </c>
      <c r="X18" s="6">
        <f t="shared" si="4"/>
        <v>93.000786170447029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6.8849999999999995E-2</v>
      </c>
      <c r="H19" s="10">
        <f>SUMIFS(ngfs_median!$J$2:$J$17119,ngfs_median!$B$2:$B$17119,Veda!$C$5,ngfs_median!$H$2:$H$17119,Veda!$Q19,ngfs_median!$I$2:$I$17119,Veda!H$15)</f>
        <v>6.7000000000000004E-2</v>
      </c>
      <c r="I19" s="10">
        <f>SUMIFS(ngfs_median!$J$2:$J$17119,ngfs_median!$B$2:$B$17119,Veda!$C$5,ngfs_median!$H$2:$H$17119,Veda!$Q19,ngfs_median!$I$2:$I$17119,Veda!I$15)</f>
        <v>6.615E-2</v>
      </c>
      <c r="J19" s="10">
        <f>SUMIFS(ngfs_median!$J$2:$J$17119,ngfs_median!$B$2:$B$17119,Veda!$C$5,ngfs_median!$H$2:$H$17119,Veda!$Q19,ngfs_median!$I$2:$I$17119,Veda!J$15)</f>
        <v>6.5700000000000008E-2</v>
      </c>
      <c r="K19" s="10">
        <f>SUMIFS(ngfs_median!$J$2:$J$17119,ngfs_median!$B$2:$B$17119,Veda!$C$5,ngfs_median!$H$2:$H$17119,Veda!$Q19,ngfs_median!$I$2:$I$17119,Veda!K$15)</f>
        <v>6.4899999999999999E-2</v>
      </c>
      <c r="L19" s="10">
        <f>SUMIFS(ngfs_median!$J$2:$J$17119,ngfs_median!$B$2:$B$17119,Veda!$C$5,ngfs_median!$H$2:$H$17119,Veda!$Q19,ngfs_median!$I$2:$I$17119,Veda!L$15)</f>
        <v>6.1699999999999998E-2</v>
      </c>
      <c r="M19" s="10">
        <f>SUMIFS(ngfs_median!$J$2:$J$17119,ngfs_median!$B$2:$B$17119,Veda!$C$5,ngfs_median!$H$2:$H$17119,Veda!$Q19,ngfs_median!$I$2:$I$17119,Veda!M$15)</f>
        <v>5.9200000000000003E-2</v>
      </c>
      <c r="Q19" s="12" t="s">
        <v>13</v>
      </c>
      <c r="R19" s="6">
        <f>$Q$10*G19/SUM($G$17:$G$19)</f>
        <v>36.894866769434039</v>
      </c>
      <c r="S19" s="6">
        <f t="shared" si="4"/>
        <v>35.903501431402773</v>
      </c>
      <c r="T19" s="6">
        <f t="shared" si="4"/>
        <v>35.448009249064079</v>
      </c>
      <c r="U19" s="6">
        <f t="shared" si="4"/>
        <v>35.206866329002423</v>
      </c>
      <c r="V19" s="6">
        <f t="shared" si="4"/>
        <v>34.778167804448358</v>
      </c>
      <c r="W19" s="6">
        <f t="shared" si="4"/>
        <v>33.063373706232106</v>
      </c>
      <c r="X19" s="6">
        <f t="shared" si="4"/>
        <v>31.723690817000662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3.6707311164941645</v>
      </c>
      <c r="T20" s="6">
        <f t="shared" si="5"/>
        <v>8.7883197533582909</v>
      </c>
      <c r="U20" s="6">
        <f t="shared" si="5"/>
        <v>13.905908390222415</v>
      </c>
      <c r="V20" s="6">
        <f t="shared" si="5"/>
        <v>20.765084783087424</v>
      </c>
      <c r="W20" s="6">
        <f t="shared" si="5"/>
        <v>25.212831975335828</v>
      </c>
      <c r="X20" s="6">
        <f t="shared" si="5"/>
        <v>29.071118696322387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2.4000000000000004</v>
      </c>
      <c r="D22" s="12" t="s">
        <v>79</v>
      </c>
      <c r="G22" s="8">
        <f>G35/$G$35*$B22</f>
        <v>2.4000000000000004</v>
      </c>
      <c r="H22" s="8">
        <f t="shared" ref="H22:M22" si="6">H35/$G$35*$B22</f>
        <v>2.6608616780045349</v>
      </c>
      <c r="I22" s="8">
        <f t="shared" si="6"/>
        <v>2.1122902494331064</v>
      </c>
      <c r="J22" s="8">
        <f t="shared" si="6"/>
        <v>2.9754195011337869</v>
      </c>
      <c r="K22" s="8">
        <f t="shared" si="6"/>
        <v>4.0337414965986396</v>
      </c>
      <c r="L22" s="8">
        <f t="shared" si="6"/>
        <v>5.7063038548752845</v>
      </c>
      <c r="M22" s="8">
        <f t="shared" si="6"/>
        <v>6.467845804988662</v>
      </c>
      <c r="Q22" t="s">
        <v>64</v>
      </c>
      <c r="T22" s="8">
        <f>I35*1000</f>
        <v>582.19999999999993</v>
      </c>
      <c r="U22" s="8">
        <f>J35*1000</f>
        <v>820.1</v>
      </c>
      <c r="V22" s="8">
        <f>K35*1000</f>
        <v>1111.8000000000002</v>
      </c>
      <c r="W22" s="8">
        <f>L35*1000</f>
        <v>1572.8000000000002</v>
      </c>
      <c r="X22" s="8">
        <f>M35*1000</f>
        <v>1782.7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33.1</v>
      </c>
      <c r="S26" s="3">
        <f>AVERAGEIFS(historical_data_long!$D$3:$D$9999,historical_data_long!$B$3:$B$9999,"&gt;2017",historical_data_long!$A$3:$A$9999,$O26)</f>
        <v>29.933333333333334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29.7</v>
      </c>
      <c r="S27" s="3">
        <f>AVERAGEIFS(historical_data_long!$D$3:$D$9999,historical_data_long!$B$3:$B$9999,"&gt;2017",historical_data_long!$A$3:$A$9999,$O27)</f>
        <v>32.266666666666666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0.66150000000000009</v>
      </c>
      <c r="H35" s="11">
        <f>SUMIFS(ngfs_median!$J$2:$J$17119,ngfs_median!$B$2:$B$17119,Veda!$C$5,ngfs_median!$D$2:$D$17119,Veda!$D22,ngfs_median!$I$2:$I$17119,Veda!H$15)</f>
        <v>0.73339999999999994</v>
      </c>
      <c r="I35" s="11">
        <f>SUMIFS(ngfs_median!$J$2:$J$17119,ngfs_median!$B$2:$B$17119,Veda!$C$5,ngfs_median!$D$2:$D$17119,Veda!$D22,ngfs_median!$I$2:$I$17119,Veda!I$15)</f>
        <v>0.58219999999999994</v>
      </c>
      <c r="J35" s="11">
        <f>SUMIFS(ngfs_median!$J$2:$J$17119,ngfs_median!$B$2:$B$17119,Veda!$C$5,ngfs_median!$D$2:$D$17119,Veda!$D22,ngfs_median!$I$2:$I$17119,Veda!J$15)</f>
        <v>0.82010000000000005</v>
      </c>
      <c r="K35" s="11">
        <f>SUMIFS(ngfs_median!$J$2:$J$17119,ngfs_median!$B$2:$B$17119,Veda!$C$5,ngfs_median!$D$2:$D$17119,Veda!$D22,ngfs_median!$I$2:$I$17119,Veda!K$15)</f>
        <v>1.1118000000000001</v>
      </c>
      <c r="L35" s="11">
        <f>SUMIFS(ngfs_median!$J$2:$J$17119,ngfs_median!$B$2:$B$17119,Veda!$C$5,ngfs_median!$D$2:$D$17119,Veda!$D22,ngfs_median!$I$2:$I$17119,Veda!L$15)</f>
        <v>1.5728000000000002</v>
      </c>
      <c r="M35" s="11">
        <f>SUMIFS(ngfs_median!$J$2:$J$17119,ngfs_median!$B$2:$B$17119,Veda!$C$5,ngfs_median!$D$2:$D$17119,Veda!$D22,ngfs_median!$I$2:$I$17119,Veda!M$15)</f>
        <v>1.7827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9.7219999999999995</v>
      </c>
      <c r="T37">
        <v>12.172000000000001</v>
      </c>
      <c r="U37">
        <v>12.472</v>
      </c>
      <c r="V37" t="s">
        <v>94</v>
      </c>
    </row>
    <row r="38" spans="7:22" x14ac:dyDescent="0.45">
      <c r="Q38" t="s">
        <v>39</v>
      </c>
      <c r="R38" t="s">
        <v>93</v>
      </c>
      <c r="S38">
        <v>1.2</v>
      </c>
      <c r="T38">
        <v>1.2</v>
      </c>
      <c r="U38">
        <v>1.2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0.21</v>
      </c>
    </row>
    <row r="3" spans="1:4" x14ac:dyDescent="0.45">
      <c r="A3" t="s">
        <v>36</v>
      </c>
      <c r="B3">
        <v>2000</v>
      </c>
      <c r="C3" t="s">
        <v>74</v>
      </c>
      <c r="D3">
        <v>0.86</v>
      </c>
    </row>
    <row r="4" spans="1:4" x14ac:dyDescent="0.45">
      <c r="A4" t="s">
        <v>56</v>
      </c>
      <c r="B4">
        <v>2000</v>
      </c>
      <c r="C4" t="s">
        <v>74</v>
      </c>
      <c r="D4">
        <v>36.83</v>
      </c>
    </row>
    <row r="5" spans="1:4" x14ac:dyDescent="0.45">
      <c r="A5" t="s">
        <v>57</v>
      </c>
      <c r="B5">
        <v>2000</v>
      </c>
      <c r="C5" t="s">
        <v>74</v>
      </c>
      <c r="D5">
        <v>26.45</v>
      </c>
    </row>
    <row r="6" spans="1:4" x14ac:dyDescent="0.45">
      <c r="A6" t="s">
        <v>38</v>
      </c>
      <c r="B6">
        <v>2000</v>
      </c>
      <c r="C6" t="s">
        <v>74</v>
      </c>
      <c r="D6">
        <v>1.1299999999999999</v>
      </c>
    </row>
    <row r="7" spans="1:4" x14ac:dyDescent="0.45">
      <c r="A7" t="s">
        <v>32</v>
      </c>
      <c r="B7">
        <v>2000</v>
      </c>
      <c r="C7" t="s">
        <v>74</v>
      </c>
      <c r="D7">
        <v>0.63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0.2</v>
      </c>
    </row>
    <row r="11" spans="1:4" x14ac:dyDescent="0.45">
      <c r="A11" t="s">
        <v>36</v>
      </c>
      <c r="B11">
        <v>2001</v>
      </c>
      <c r="C11" t="s">
        <v>74</v>
      </c>
      <c r="D11">
        <v>0.85</v>
      </c>
    </row>
    <row r="12" spans="1:4" x14ac:dyDescent="0.45">
      <c r="A12" t="s">
        <v>56</v>
      </c>
      <c r="B12">
        <v>2001</v>
      </c>
      <c r="C12" t="s">
        <v>74</v>
      </c>
      <c r="D12">
        <v>41.31</v>
      </c>
    </row>
    <row r="13" spans="1:4" x14ac:dyDescent="0.45">
      <c r="A13" t="s">
        <v>57</v>
      </c>
      <c r="B13">
        <v>2001</v>
      </c>
      <c r="C13" t="s">
        <v>74</v>
      </c>
      <c r="D13">
        <v>26.81</v>
      </c>
    </row>
    <row r="14" spans="1:4" x14ac:dyDescent="0.45">
      <c r="A14" t="s">
        <v>38</v>
      </c>
      <c r="B14">
        <v>2001</v>
      </c>
      <c r="C14" t="s">
        <v>74</v>
      </c>
      <c r="D14">
        <v>1.19</v>
      </c>
    </row>
    <row r="15" spans="1:4" x14ac:dyDescent="0.45">
      <c r="A15" t="s">
        <v>32</v>
      </c>
      <c r="B15">
        <v>2001</v>
      </c>
      <c r="C15" t="s">
        <v>74</v>
      </c>
      <c r="D15">
        <v>0.68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0</v>
      </c>
    </row>
    <row r="18" spans="1:4" x14ac:dyDescent="0.45">
      <c r="A18" t="s">
        <v>32</v>
      </c>
      <c r="B18">
        <v>2002</v>
      </c>
      <c r="C18" t="s">
        <v>74</v>
      </c>
      <c r="D18">
        <v>0.21</v>
      </c>
    </row>
    <row r="19" spans="1:4" x14ac:dyDescent="0.45">
      <c r="A19" t="s">
        <v>36</v>
      </c>
      <c r="B19">
        <v>2002</v>
      </c>
      <c r="C19" t="s">
        <v>74</v>
      </c>
      <c r="D19">
        <v>0.89</v>
      </c>
    </row>
    <row r="20" spans="1:4" x14ac:dyDescent="0.45">
      <c r="A20" t="s">
        <v>56</v>
      </c>
      <c r="B20">
        <v>2002</v>
      </c>
      <c r="C20" t="s">
        <v>74</v>
      </c>
      <c r="D20">
        <v>35.17</v>
      </c>
    </row>
    <row r="21" spans="1:4" x14ac:dyDescent="0.45">
      <c r="A21" t="s">
        <v>57</v>
      </c>
      <c r="B21">
        <v>2002</v>
      </c>
      <c r="C21" t="s">
        <v>74</v>
      </c>
      <c r="D21">
        <v>27.23</v>
      </c>
    </row>
    <row r="22" spans="1:4" x14ac:dyDescent="0.45">
      <c r="A22" t="s">
        <v>38</v>
      </c>
      <c r="B22">
        <v>2002</v>
      </c>
      <c r="C22" t="s">
        <v>74</v>
      </c>
      <c r="D22">
        <v>1.19</v>
      </c>
    </row>
    <row r="23" spans="1:4" x14ac:dyDescent="0.45">
      <c r="A23" t="s">
        <v>32</v>
      </c>
      <c r="B23">
        <v>2002</v>
      </c>
      <c r="C23" t="s">
        <v>74</v>
      </c>
      <c r="D23">
        <v>0.71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2003</v>
      </c>
      <c r="C26" t="s">
        <v>74</v>
      </c>
      <c r="D26">
        <v>0.22</v>
      </c>
    </row>
    <row r="27" spans="1:4" x14ac:dyDescent="0.45">
      <c r="A27" t="s">
        <v>36</v>
      </c>
      <c r="B27">
        <v>2003</v>
      </c>
      <c r="C27" t="s">
        <v>74</v>
      </c>
      <c r="D27">
        <v>0.93</v>
      </c>
    </row>
    <row r="28" spans="1:4" x14ac:dyDescent="0.45">
      <c r="A28" t="s">
        <v>56</v>
      </c>
      <c r="B28">
        <v>2003</v>
      </c>
      <c r="C28" t="s">
        <v>74</v>
      </c>
      <c r="D28">
        <v>34.76</v>
      </c>
    </row>
    <row r="29" spans="1:4" x14ac:dyDescent="0.45">
      <c r="A29" t="s">
        <v>57</v>
      </c>
      <c r="B29">
        <v>2003</v>
      </c>
      <c r="C29" t="s">
        <v>74</v>
      </c>
      <c r="D29">
        <v>27.49</v>
      </c>
    </row>
    <row r="30" spans="1:4" x14ac:dyDescent="0.45">
      <c r="A30" t="s">
        <v>38</v>
      </c>
      <c r="B30">
        <v>2003</v>
      </c>
      <c r="C30" t="s">
        <v>74</v>
      </c>
      <c r="D30">
        <v>1.2</v>
      </c>
    </row>
    <row r="31" spans="1:4" x14ac:dyDescent="0.45">
      <c r="A31" t="s">
        <v>32</v>
      </c>
      <c r="B31">
        <v>2003</v>
      </c>
      <c r="C31" t="s">
        <v>74</v>
      </c>
      <c r="D31">
        <v>0.72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</v>
      </c>
    </row>
    <row r="34" spans="1:4" x14ac:dyDescent="0.45">
      <c r="A34" t="s">
        <v>32</v>
      </c>
      <c r="B34">
        <v>2004</v>
      </c>
      <c r="C34" t="s">
        <v>74</v>
      </c>
      <c r="D34">
        <v>0.22</v>
      </c>
    </row>
    <row r="35" spans="1:4" x14ac:dyDescent="0.45">
      <c r="A35" t="s">
        <v>36</v>
      </c>
      <c r="B35">
        <v>2004</v>
      </c>
      <c r="C35" t="s">
        <v>74</v>
      </c>
      <c r="D35">
        <v>0.94</v>
      </c>
    </row>
    <row r="36" spans="1:4" x14ac:dyDescent="0.45">
      <c r="A36" t="s">
        <v>56</v>
      </c>
      <c r="B36">
        <v>2004</v>
      </c>
      <c r="C36" t="s">
        <v>74</v>
      </c>
      <c r="D36">
        <v>33.75</v>
      </c>
    </row>
    <row r="37" spans="1:4" x14ac:dyDescent="0.45">
      <c r="A37" t="s">
        <v>57</v>
      </c>
      <c r="B37">
        <v>2004</v>
      </c>
      <c r="C37" t="s">
        <v>74</v>
      </c>
      <c r="D37">
        <v>26.96</v>
      </c>
    </row>
    <row r="38" spans="1:4" x14ac:dyDescent="0.45">
      <c r="A38" t="s">
        <v>38</v>
      </c>
      <c r="B38">
        <v>2004</v>
      </c>
      <c r="C38" t="s">
        <v>74</v>
      </c>
      <c r="D38">
        <v>1.21</v>
      </c>
    </row>
    <row r="39" spans="1:4" x14ac:dyDescent="0.45">
      <c r="A39" t="s">
        <v>32</v>
      </c>
      <c r="B39">
        <v>2004</v>
      </c>
      <c r="C39" t="s">
        <v>74</v>
      </c>
      <c r="D39">
        <v>0.76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0.01</v>
      </c>
    </row>
    <row r="42" spans="1:4" x14ac:dyDescent="0.45">
      <c r="A42" t="s">
        <v>32</v>
      </c>
      <c r="B42">
        <v>2005</v>
      </c>
      <c r="C42" t="s">
        <v>74</v>
      </c>
      <c r="D42">
        <v>0.22</v>
      </c>
    </row>
    <row r="43" spans="1:4" x14ac:dyDescent="0.45">
      <c r="A43" t="s">
        <v>36</v>
      </c>
      <c r="B43">
        <v>2005</v>
      </c>
      <c r="C43" t="s">
        <v>74</v>
      </c>
      <c r="D43">
        <v>0.87</v>
      </c>
    </row>
    <row r="44" spans="1:4" x14ac:dyDescent="0.45">
      <c r="A44" t="s">
        <v>56</v>
      </c>
      <c r="B44">
        <v>2005</v>
      </c>
      <c r="C44" t="s">
        <v>74</v>
      </c>
      <c r="D44">
        <v>31.23</v>
      </c>
    </row>
    <row r="45" spans="1:4" x14ac:dyDescent="0.45">
      <c r="A45" t="s">
        <v>57</v>
      </c>
      <c r="B45">
        <v>2005</v>
      </c>
      <c r="C45" t="s">
        <v>74</v>
      </c>
      <c r="D45">
        <v>23.34</v>
      </c>
    </row>
    <row r="46" spans="1:4" x14ac:dyDescent="0.45">
      <c r="A46" t="s">
        <v>38</v>
      </c>
      <c r="B46">
        <v>2005</v>
      </c>
      <c r="C46" t="s">
        <v>74</v>
      </c>
      <c r="D46">
        <v>1.3</v>
      </c>
    </row>
    <row r="47" spans="1:4" x14ac:dyDescent="0.45">
      <c r="A47" t="s">
        <v>32</v>
      </c>
      <c r="B47">
        <v>2005</v>
      </c>
      <c r="C47" t="s">
        <v>74</v>
      </c>
      <c r="D47">
        <v>0.81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0.01</v>
      </c>
    </row>
    <row r="50" spans="1:4" x14ac:dyDescent="0.45">
      <c r="A50" t="s">
        <v>32</v>
      </c>
      <c r="B50">
        <v>2006</v>
      </c>
      <c r="C50" t="s">
        <v>74</v>
      </c>
      <c r="D50">
        <v>0.23</v>
      </c>
    </row>
    <row r="51" spans="1:4" x14ac:dyDescent="0.45">
      <c r="A51" t="s">
        <v>36</v>
      </c>
      <c r="B51">
        <v>2006</v>
      </c>
      <c r="C51" t="s">
        <v>74</v>
      </c>
      <c r="D51">
        <v>0.79</v>
      </c>
    </row>
    <row r="52" spans="1:4" x14ac:dyDescent="0.45">
      <c r="A52" t="s">
        <v>56</v>
      </c>
      <c r="B52">
        <v>2006</v>
      </c>
      <c r="C52" t="s">
        <v>74</v>
      </c>
      <c r="D52">
        <v>30.96</v>
      </c>
    </row>
    <row r="53" spans="1:4" x14ac:dyDescent="0.45">
      <c r="A53" t="s">
        <v>57</v>
      </c>
      <c r="B53">
        <v>2006</v>
      </c>
      <c r="C53" t="s">
        <v>74</v>
      </c>
      <c r="D53">
        <v>27.82</v>
      </c>
    </row>
    <row r="54" spans="1:4" x14ac:dyDescent="0.45">
      <c r="A54" t="s">
        <v>38</v>
      </c>
      <c r="B54">
        <v>2006</v>
      </c>
      <c r="C54" t="s">
        <v>74</v>
      </c>
      <c r="D54">
        <v>1.39</v>
      </c>
    </row>
    <row r="55" spans="1:4" x14ac:dyDescent="0.45">
      <c r="A55" t="s">
        <v>32</v>
      </c>
      <c r="B55">
        <v>2006</v>
      </c>
      <c r="C55" t="s">
        <v>74</v>
      </c>
      <c r="D55">
        <v>0.91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0.01</v>
      </c>
    </row>
    <row r="58" spans="1:4" x14ac:dyDescent="0.45">
      <c r="A58" t="s">
        <v>32</v>
      </c>
      <c r="B58">
        <v>2007</v>
      </c>
      <c r="C58" t="s">
        <v>74</v>
      </c>
      <c r="D58">
        <v>0.28999999999999998</v>
      </c>
    </row>
    <row r="59" spans="1:4" x14ac:dyDescent="0.45">
      <c r="A59" t="s">
        <v>36</v>
      </c>
      <c r="B59">
        <v>2007</v>
      </c>
      <c r="C59" t="s">
        <v>74</v>
      </c>
      <c r="D59">
        <v>0.74</v>
      </c>
    </row>
    <row r="60" spans="1:4" x14ac:dyDescent="0.45">
      <c r="A60" t="s">
        <v>56</v>
      </c>
      <c r="B60">
        <v>2007</v>
      </c>
      <c r="C60" t="s">
        <v>74</v>
      </c>
      <c r="D60">
        <v>35.25</v>
      </c>
    </row>
    <row r="61" spans="1:4" x14ac:dyDescent="0.45">
      <c r="A61" t="s">
        <v>57</v>
      </c>
      <c r="B61">
        <v>2007</v>
      </c>
      <c r="C61" t="s">
        <v>74</v>
      </c>
      <c r="D61">
        <v>27.92</v>
      </c>
    </row>
    <row r="62" spans="1:4" x14ac:dyDescent="0.45">
      <c r="A62" t="s">
        <v>38</v>
      </c>
      <c r="B62">
        <v>2007</v>
      </c>
      <c r="C62" t="s">
        <v>74</v>
      </c>
      <c r="D62">
        <v>1.29</v>
      </c>
    </row>
    <row r="63" spans="1:4" x14ac:dyDescent="0.45">
      <c r="A63" t="s">
        <v>32</v>
      </c>
      <c r="B63">
        <v>2007</v>
      </c>
      <c r="C63" t="s">
        <v>74</v>
      </c>
      <c r="D63">
        <v>0.89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0.02</v>
      </c>
    </row>
    <row r="66" spans="1:4" x14ac:dyDescent="0.45">
      <c r="A66" t="s">
        <v>32</v>
      </c>
      <c r="B66">
        <v>2008</v>
      </c>
      <c r="C66" t="s">
        <v>74</v>
      </c>
      <c r="D66">
        <v>0.32</v>
      </c>
    </row>
    <row r="67" spans="1:4" x14ac:dyDescent="0.45">
      <c r="A67" t="s">
        <v>36</v>
      </c>
      <c r="B67">
        <v>2008</v>
      </c>
      <c r="C67" t="s">
        <v>74</v>
      </c>
      <c r="D67">
        <v>0.73</v>
      </c>
    </row>
    <row r="68" spans="1:4" x14ac:dyDescent="0.45">
      <c r="A68" t="s">
        <v>56</v>
      </c>
      <c r="B68">
        <v>2008</v>
      </c>
      <c r="C68" t="s">
        <v>74</v>
      </c>
      <c r="D68">
        <v>36.04</v>
      </c>
    </row>
    <row r="69" spans="1:4" x14ac:dyDescent="0.45">
      <c r="A69" t="s">
        <v>57</v>
      </c>
      <c r="B69">
        <v>2008</v>
      </c>
      <c r="C69" t="s">
        <v>74</v>
      </c>
      <c r="D69">
        <v>27.7</v>
      </c>
    </row>
    <row r="70" spans="1:4" x14ac:dyDescent="0.45">
      <c r="A70" t="s">
        <v>38</v>
      </c>
      <c r="B70">
        <v>2008</v>
      </c>
      <c r="C70" t="s">
        <v>74</v>
      </c>
      <c r="D70">
        <v>1.28</v>
      </c>
    </row>
    <row r="71" spans="1:4" x14ac:dyDescent="0.45">
      <c r="A71" t="s">
        <v>32</v>
      </c>
      <c r="B71">
        <v>2008</v>
      </c>
      <c r="C71" t="s">
        <v>74</v>
      </c>
      <c r="D71">
        <v>0.91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0.02</v>
      </c>
    </row>
    <row r="74" spans="1:4" x14ac:dyDescent="0.45">
      <c r="A74" t="s">
        <v>32</v>
      </c>
      <c r="B74">
        <v>2009</v>
      </c>
      <c r="C74" t="s">
        <v>74</v>
      </c>
      <c r="D74">
        <v>0.36</v>
      </c>
    </row>
    <row r="75" spans="1:4" x14ac:dyDescent="0.45">
      <c r="A75" t="s">
        <v>36</v>
      </c>
      <c r="B75">
        <v>2009</v>
      </c>
      <c r="C75" t="s">
        <v>74</v>
      </c>
      <c r="D75">
        <v>0.71</v>
      </c>
    </row>
    <row r="76" spans="1:4" x14ac:dyDescent="0.45">
      <c r="A76" t="s">
        <v>56</v>
      </c>
      <c r="B76">
        <v>2009</v>
      </c>
      <c r="C76" t="s">
        <v>74</v>
      </c>
      <c r="D76">
        <v>35.72</v>
      </c>
    </row>
    <row r="77" spans="1:4" x14ac:dyDescent="0.45">
      <c r="A77" t="s">
        <v>57</v>
      </c>
      <c r="B77">
        <v>2009</v>
      </c>
      <c r="C77" t="s">
        <v>74</v>
      </c>
      <c r="D77">
        <v>27.69</v>
      </c>
    </row>
    <row r="78" spans="1:4" x14ac:dyDescent="0.45">
      <c r="A78" t="s">
        <v>38</v>
      </c>
      <c r="B78">
        <v>2009</v>
      </c>
      <c r="C78" t="s">
        <v>74</v>
      </c>
      <c r="D78">
        <v>1.24</v>
      </c>
    </row>
    <row r="79" spans="1:4" x14ac:dyDescent="0.45">
      <c r="A79" t="s">
        <v>32</v>
      </c>
      <c r="B79">
        <v>2009</v>
      </c>
      <c r="C79" t="s">
        <v>74</v>
      </c>
      <c r="D79">
        <v>0.88</v>
      </c>
    </row>
    <row r="80" spans="1:4" x14ac:dyDescent="0.45">
      <c r="A80" t="s">
        <v>58</v>
      </c>
      <c r="B80">
        <v>2009</v>
      </c>
      <c r="C80" t="s">
        <v>74</v>
      </c>
      <c r="D80">
        <v>0.05</v>
      </c>
    </row>
    <row r="81" spans="1:4" x14ac:dyDescent="0.45">
      <c r="A81" t="s">
        <v>91</v>
      </c>
      <c r="B81">
        <v>2009</v>
      </c>
      <c r="C81" t="s">
        <v>74</v>
      </c>
      <c r="D81">
        <v>0.02</v>
      </c>
    </row>
    <row r="82" spans="1:4" x14ac:dyDescent="0.45">
      <c r="A82" t="s">
        <v>32</v>
      </c>
      <c r="B82">
        <v>2010</v>
      </c>
      <c r="C82" t="s">
        <v>74</v>
      </c>
      <c r="D82">
        <v>0.36</v>
      </c>
    </row>
    <row r="83" spans="1:4" x14ac:dyDescent="0.45">
      <c r="A83" t="s">
        <v>36</v>
      </c>
      <c r="B83">
        <v>2010</v>
      </c>
      <c r="C83" t="s">
        <v>74</v>
      </c>
      <c r="D83">
        <v>1.03</v>
      </c>
    </row>
    <row r="84" spans="1:4" x14ac:dyDescent="0.45">
      <c r="A84" t="s">
        <v>56</v>
      </c>
      <c r="B84">
        <v>2010</v>
      </c>
      <c r="C84" t="s">
        <v>74</v>
      </c>
      <c r="D84">
        <v>36.06</v>
      </c>
    </row>
    <row r="85" spans="1:4" x14ac:dyDescent="0.45">
      <c r="A85" t="s">
        <v>57</v>
      </c>
      <c r="B85">
        <v>2010</v>
      </c>
      <c r="C85" t="s">
        <v>74</v>
      </c>
      <c r="D85">
        <v>26.34</v>
      </c>
    </row>
    <row r="86" spans="1:4" x14ac:dyDescent="0.45">
      <c r="A86" t="s">
        <v>38</v>
      </c>
      <c r="B86">
        <v>2010</v>
      </c>
      <c r="C86" t="s">
        <v>74</v>
      </c>
      <c r="D86">
        <v>1.21</v>
      </c>
    </row>
    <row r="87" spans="1:4" x14ac:dyDescent="0.45">
      <c r="A87" t="s">
        <v>32</v>
      </c>
      <c r="B87">
        <v>2010</v>
      </c>
      <c r="C87" t="s">
        <v>74</v>
      </c>
      <c r="D87">
        <v>0.92</v>
      </c>
    </row>
    <row r="88" spans="1:4" x14ac:dyDescent="0.45">
      <c r="A88" t="s">
        <v>58</v>
      </c>
      <c r="B88">
        <v>2010</v>
      </c>
      <c r="C88" t="s">
        <v>74</v>
      </c>
      <c r="D88">
        <v>0.09</v>
      </c>
    </row>
    <row r="89" spans="1:4" x14ac:dyDescent="0.45">
      <c r="A89" t="s">
        <v>91</v>
      </c>
      <c r="B89">
        <v>2010</v>
      </c>
      <c r="C89" t="s">
        <v>74</v>
      </c>
      <c r="D89">
        <v>0.04</v>
      </c>
    </row>
    <row r="90" spans="1:4" x14ac:dyDescent="0.45">
      <c r="A90" t="s">
        <v>32</v>
      </c>
      <c r="B90">
        <v>2011</v>
      </c>
      <c r="C90" t="s">
        <v>74</v>
      </c>
      <c r="D90">
        <v>0.44</v>
      </c>
    </row>
    <row r="91" spans="1:4" x14ac:dyDescent="0.45">
      <c r="A91" t="s">
        <v>36</v>
      </c>
      <c r="B91">
        <v>2011</v>
      </c>
      <c r="C91" t="s">
        <v>74</v>
      </c>
      <c r="D91">
        <v>0.96</v>
      </c>
    </row>
    <row r="92" spans="1:4" x14ac:dyDescent="0.45">
      <c r="A92" t="s">
        <v>56</v>
      </c>
      <c r="B92">
        <v>2011</v>
      </c>
      <c r="C92" t="s">
        <v>74</v>
      </c>
      <c r="D92">
        <v>32.39</v>
      </c>
    </row>
    <row r="93" spans="1:4" x14ac:dyDescent="0.45">
      <c r="A93" t="s">
        <v>57</v>
      </c>
      <c r="B93">
        <v>2011</v>
      </c>
      <c r="C93" t="s">
        <v>74</v>
      </c>
      <c r="D93">
        <v>26.71</v>
      </c>
    </row>
    <row r="94" spans="1:4" x14ac:dyDescent="0.45">
      <c r="A94" t="s">
        <v>38</v>
      </c>
      <c r="B94">
        <v>2011</v>
      </c>
      <c r="C94" t="s">
        <v>74</v>
      </c>
      <c r="D94">
        <v>1.19</v>
      </c>
    </row>
    <row r="95" spans="1:4" x14ac:dyDescent="0.45">
      <c r="A95" t="s">
        <v>32</v>
      </c>
      <c r="B95">
        <v>2011</v>
      </c>
      <c r="C95" t="s">
        <v>74</v>
      </c>
      <c r="D95">
        <v>0.95</v>
      </c>
    </row>
    <row r="96" spans="1:4" x14ac:dyDescent="0.45">
      <c r="A96" t="s">
        <v>58</v>
      </c>
      <c r="B96">
        <v>2011</v>
      </c>
      <c r="C96" t="s">
        <v>74</v>
      </c>
      <c r="D96">
        <v>0.17</v>
      </c>
    </row>
    <row r="97" spans="1:4" x14ac:dyDescent="0.45">
      <c r="A97" t="s">
        <v>91</v>
      </c>
      <c r="B97">
        <v>2011</v>
      </c>
      <c r="C97" t="s">
        <v>74</v>
      </c>
      <c r="D97">
        <v>7.0000000000000007E-2</v>
      </c>
    </row>
    <row r="98" spans="1:4" x14ac:dyDescent="0.45">
      <c r="A98" t="s">
        <v>32</v>
      </c>
      <c r="B98">
        <v>2012</v>
      </c>
      <c r="C98" t="s">
        <v>74</v>
      </c>
      <c r="D98">
        <v>0.53</v>
      </c>
    </row>
    <row r="99" spans="1:4" x14ac:dyDescent="0.45">
      <c r="A99" t="s">
        <v>36</v>
      </c>
      <c r="B99">
        <v>2012</v>
      </c>
      <c r="C99" t="s">
        <v>74</v>
      </c>
      <c r="D99">
        <v>0.91</v>
      </c>
    </row>
    <row r="100" spans="1:4" x14ac:dyDescent="0.45">
      <c r="A100" t="s">
        <v>56</v>
      </c>
      <c r="B100">
        <v>2012</v>
      </c>
      <c r="C100" t="s">
        <v>74</v>
      </c>
      <c r="D100">
        <v>38.6</v>
      </c>
    </row>
    <row r="101" spans="1:4" x14ac:dyDescent="0.45">
      <c r="A101" t="s">
        <v>57</v>
      </c>
      <c r="B101">
        <v>2012</v>
      </c>
      <c r="C101" t="s">
        <v>74</v>
      </c>
      <c r="D101">
        <v>25.44</v>
      </c>
    </row>
    <row r="102" spans="1:4" x14ac:dyDescent="0.45">
      <c r="A102" t="s">
        <v>38</v>
      </c>
      <c r="B102">
        <v>2012</v>
      </c>
      <c r="C102" t="s">
        <v>74</v>
      </c>
      <c r="D102">
        <v>1.25</v>
      </c>
    </row>
    <row r="103" spans="1:4" x14ac:dyDescent="0.45">
      <c r="A103" t="s">
        <v>32</v>
      </c>
      <c r="B103">
        <v>2012</v>
      </c>
      <c r="C103" t="s">
        <v>74</v>
      </c>
      <c r="D103">
        <v>1.01</v>
      </c>
    </row>
    <row r="104" spans="1:4" x14ac:dyDescent="0.45">
      <c r="A104" t="s">
        <v>58</v>
      </c>
      <c r="B104">
        <v>2012</v>
      </c>
      <c r="C104" t="s">
        <v>74</v>
      </c>
      <c r="D104">
        <v>0.3</v>
      </c>
    </row>
    <row r="105" spans="1:4" x14ac:dyDescent="0.45">
      <c r="A105" t="s">
        <v>91</v>
      </c>
      <c r="B105">
        <v>2012</v>
      </c>
      <c r="C105" t="s">
        <v>74</v>
      </c>
      <c r="D105">
        <v>0.09</v>
      </c>
    </row>
    <row r="106" spans="1:4" x14ac:dyDescent="0.45">
      <c r="A106" t="s">
        <v>32</v>
      </c>
      <c r="B106">
        <v>2013</v>
      </c>
      <c r="C106" t="s">
        <v>74</v>
      </c>
      <c r="D106">
        <v>0.57999999999999996</v>
      </c>
    </row>
    <row r="107" spans="1:4" x14ac:dyDescent="0.45">
      <c r="A107" t="s">
        <v>36</v>
      </c>
      <c r="B107">
        <v>2013</v>
      </c>
      <c r="C107" t="s">
        <v>74</v>
      </c>
      <c r="D107">
        <v>0.75</v>
      </c>
    </row>
    <row r="108" spans="1:4" x14ac:dyDescent="0.45">
      <c r="A108" t="s">
        <v>56</v>
      </c>
      <c r="B108">
        <v>2013</v>
      </c>
      <c r="C108" t="s">
        <v>74</v>
      </c>
      <c r="D108">
        <v>38.46</v>
      </c>
    </row>
    <row r="109" spans="1:4" x14ac:dyDescent="0.45">
      <c r="A109" t="s">
        <v>57</v>
      </c>
      <c r="B109">
        <v>2013</v>
      </c>
      <c r="C109" t="s">
        <v>74</v>
      </c>
      <c r="D109">
        <v>25.99</v>
      </c>
    </row>
    <row r="110" spans="1:4" x14ac:dyDescent="0.45">
      <c r="A110" t="s">
        <v>38</v>
      </c>
      <c r="B110">
        <v>2013</v>
      </c>
      <c r="C110" t="s">
        <v>74</v>
      </c>
      <c r="D110">
        <v>1.28</v>
      </c>
    </row>
    <row r="111" spans="1:4" x14ac:dyDescent="0.45">
      <c r="A111" t="s">
        <v>32</v>
      </c>
      <c r="B111">
        <v>2013</v>
      </c>
      <c r="C111" t="s">
        <v>74</v>
      </c>
      <c r="D111">
        <v>1.04</v>
      </c>
    </row>
    <row r="112" spans="1:4" x14ac:dyDescent="0.45">
      <c r="A112" t="s">
        <v>58</v>
      </c>
      <c r="B112">
        <v>2013</v>
      </c>
      <c r="C112" t="s">
        <v>74</v>
      </c>
      <c r="D112">
        <v>0.5</v>
      </c>
    </row>
    <row r="113" spans="1:4" x14ac:dyDescent="0.45">
      <c r="A113" t="s">
        <v>91</v>
      </c>
      <c r="B113">
        <v>2013</v>
      </c>
      <c r="C113" t="s">
        <v>74</v>
      </c>
      <c r="D113">
        <v>0.09</v>
      </c>
    </row>
    <row r="114" spans="1:4" x14ac:dyDescent="0.45">
      <c r="A114" t="s">
        <v>32</v>
      </c>
      <c r="B114">
        <v>2014</v>
      </c>
      <c r="C114" t="s">
        <v>74</v>
      </c>
      <c r="D114">
        <v>0.59</v>
      </c>
    </row>
    <row r="115" spans="1:4" x14ac:dyDescent="0.45">
      <c r="A115" t="s">
        <v>36</v>
      </c>
      <c r="B115">
        <v>2014</v>
      </c>
      <c r="C115" t="s">
        <v>74</v>
      </c>
      <c r="D115">
        <v>0.5</v>
      </c>
    </row>
    <row r="116" spans="1:4" x14ac:dyDescent="0.45">
      <c r="A116" t="s">
        <v>56</v>
      </c>
      <c r="B116">
        <v>2014</v>
      </c>
      <c r="C116" t="s">
        <v>74</v>
      </c>
      <c r="D116">
        <v>38.04</v>
      </c>
    </row>
    <row r="117" spans="1:4" x14ac:dyDescent="0.45">
      <c r="A117" t="s">
        <v>57</v>
      </c>
      <c r="B117">
        <v>2014</v>
      </c>
      <c r="C117" t="s">
        <v>74</v>
      </c>
      <c r="D117">
        <v>27.56</v>
      </c>
    </row>
    <row r="118" spans="1:4" x14ac:dyDescent="0.45">
      <c r="A118" t="s">
        <v>38</v>
      </c>
      <c r="B118">
        <v>2014</v>
      </c>
      <c r="C118" t="s">
        <v>74</v>
      </c>
      <c r="D118">
        <v>1.35</v>
      </c>
    </row>
    <row r="119" spans="1:4" x14ac:dyDescent="0.45">
      <c r="A119" t="s">
        <v>32</v>
      </c>
      <c r="B119">
        <v>2014</v>
      </c>
      <c r="C119" t="s">
        <v>74</v>
      </c>
      <c r="D119">
        <v>1.1000000000000001</v>
      </c>
    </row>
    <row r="120" spans="1:4" x14ac:dyDescent="0.45">
      <c r="A120" t="s">
        <v>58</v>
      </c>
      <c r="B120">
        <v>2014</v>
      </c>
      <c r="C120" t="s">
        <v>74</v>
      </c>
      <c r="D120">
        <v>0.84</v>
      </c>
    </row>
    <row r="121" spans="1:4" x14ac:dyDescent="0.45">
      <c r="A121" t="s">
        <v>91</v>
      </c>
      <c r="B121">
        <v>2014</v>
      </c>
      <c r="C121" t="s">
        <v>74</v>
      </c>
      <c r="D121">
        <v>0.1</v>
      </c>
    </row>
    <row r="122" spans="1:4" x14ac:dyDescent="0.45">
      <c r="A122" t="s">
        <v>32</v>
      </c>
      <c r="B122">
        <v>2015</v>
      </c>
      <c r="C122" t="s">
        <v>74</v>
      </c>
      <c r="D122">
        <v>0.52</v>
      </c>
    </row>
    <row r="123" spans="1:4" x14ac:dyDescent="0.45">
      <c r="A123" t="s">
        <v>36</v>
      </c>
      <c r="B123">
        <v>2015</v>
      </c>
      <c r="C123" t="s">
        <v>74</v>
      </c>
      <c r="D123">
        <v>0.63</v>
      </c>
    </row>
    <row r="124" spans="1:4" x14ac:dyDescent="0.45">
      <c r="A124" t="s">
        <v>56</v>
      </c>
      <c r="B124">
        <v>2015</v>
      </c>
      <c r="C124" t="s">
        <v>74</v>
      </c>
      <c r="D124">
        <v>38.26</v>
      </c>
    </row>
    <row r="125" spans="1:4" x14ac:dyDescent="0.45">
      <c r="A125" t="s">
        <v>57</v>
      </c>
      <c r="B125">
        <v>2015</v>
      </c>
      <c r="C125" t="s">
        <v>74</v>
      </c>
      <c r="D125">
        <v>23.09</v>
      </c>
    </row>
    <row r="126" spans="1:4" x14ac:dyDescent="0.45">
      <c r="A126" t="s">
        <v>38</v>
      </c>
      <c r="B126">
        <v>2015</v>
      </c>
      <c r="C126" t="s">
        <v>74</v>
      </c>
      <c r="D126">
        <v>1.23</v>
      </c>
    </row>
    <row r="127" spans="1:4" x14ac:dyDescent="0.45">
      <c r="A127" t="s">
        <v>32</v>
      </c>
      <c r="B127">
        <v>2015</v>
      </c>
      <c r="C127" t="s">
        <v>74</v>
      </c>
      <c r="D127">
        <v>1.1100000000000001</v>
      </c>
    </row>
    <row r="128" spans="1:4" x14ac:dyDescent="0.45">
      <c r="A128" t="s">
        <v>58</v>
      </c>
      <c r="B128">
        <v>2015</v>
      </c>
      <c r="C128" t="s">
        <v>74</v>
      </c>
      <c r="D128">
        <v>1.1200000000000001</v>
      </c>
    </row>
    <row r="129" spans="1:4" x14ac:dyDescent="0.45">
      <c r="A129" t="s">
        <v>91</v>
      </c>
      <c r="B129">
        <v>2015</v>
      </c>
      <c r="C129" t="s">
        <v>74</v>
      </c>
      <c r="D129">
        <v>0.11</v>
      </c>
    </row>
    <row r="130" spans="1:4" x14ac:dyDescent="0.45">
      <c r="A130" t="s">
        <v>32</v>
      </c>
      <c r="B130">
        <v>2016</v>
      </c>
      <c r="C130" t="s">
        <v>74</v>
      </c>
      <c r="D130">
        <v>0.57999999999999996</v>
      </c>
    </row>
    <row r="131" spans="1:4" x14ac:dyDescent="0.45">
      <c r="A131" t="s">
        <v>36</v>
      </c>
      <c r="B131">
        <v>2016</v>
      </c>
      <c r="C131" t="s">
        <v>74</v>
      </c>
      <c r="D131">
        <v>0.86</v>
      </c>
    </row>
    <row r="132" spans="1:4" x14ac:dyDescent="0.45">
      <c r="A132" t="s">
        <v>56</v>
      </c>
      <c r="B132">
        <v>2016</v>
      </c>
      <c r="C132" t="s">
        <v>74</v>
      </c>
      <c r="D132">
        <v>34.619999999999997</v>
      </c>
    </row>
    <row r="133" spans="1:4" x14ac:dyDescent="0.45">
      <c r="A133" t="s">
        <v>57</v>
      </c>
      <c r="B133">
        <v>2016</v>
      </c>
      <c r="C133" t="s">
        <v>74</v>
      </c>
      <c r="D133">
        <v>21.15</v>
      </c>
    </row>
    <row r="134" spans="1:4" x14ac:dyDescent="0.45">
      <c r="A134" t="s">
        <v>38</v>
      </c>
      <c r="B134">
        <v>2016</v>
      </c>
      <c r="C134" t="s">
        <v>74</v>
      </c>
      <c r="D134">
        <v>1.28</v>
      </c>
    </row>
    <row r="135" spans="1:4" x14ac:dyDescent="0.45">
      <c r="A135" t="s">
        <v>32</v>
      </c>
      <c r="B135">
        <v>2016</v>
      </c>
      <c r="C135" t="s">
        <v>74</v>
      </c>
      <c r="D135">
        <v>1.17</v>
      </c>
    </row>
    <row r="136" spans="1:4" x14ac:dyDescent="0.45">
      <c r="A136" t="s">
        <v>58</v>
      </c>
      <c r="B136">
        <v>2016</v>
      </c>
      <c r="C136" t="s">
        <v>74</v>
      </c>
      <c r="D136">
        <v>1.33</v>
      </c>
    </row>
    <row r="137" spans="1:4" x14ac:dyDescent="0.45">
      <c r="A137" t="s">
        <v>91</v>
      </c>
      <c r="B137">
        <v>2016</v>
      </c>
      <c r="C137" t="s">
        <v>74</v>
      </c>
      <c r="D137">
        <v>0.11</v>
      </c>
    </row>
    <row r="138" spans="1:4" x14ac:dyDescent="0.45">
      <c r="A138" t="s">
        <v>32</v>
      </c>
      <c r="B138">
        <v>2017</v>
      </c>
      <c r="C138" t="s">
        <v>74</v>
      </c>
      <c r="D138">
        <v>0.69</v>
      </c>
    </row>
    <row r="139" spans="1:4" x14ac:dyDescent="0.45">
      <c r="A139" t="s">
        <v>36</v>
      </c>
      <c r="B139">
        <v>2017</v>
      </c>
      <c r="C139" t="s">
        <v>74</v>
      </c>
      <c r="D139">
        <v>0.72</v>
      </c>
    </row>
    <row r="140" spans="1:4" x14ac:dyDescent="0.45">
      <c r="A140" t="s">
        <v>56</v>
      </c>
      <c r="B140">
        <v>2017</v>
      </c>
      <c r="C140" t="s">
        <v>74</v>
      </c>
      <c r="D140">
        <v>34.090000000000003</v>
      </c>
    </row>
    <row r="141" spans="1:4" x14ac:dyDescent="0.45">
      <c r="A141" t="s">
        <v>57</v>
      </c>
      <c r="B141">
        <v>2017</v>
      </c>
      <c r="C141" t="s">
        <v>74</v>
      </c>
      <c r="D141">
        <v>20.38</v>
      </c>
    </row>
    <row r="142" spans="1:4" x14ac:dyDescent="0.45">
      <c r="A142" t="s">
        <v>38</v>
      </c>
      <c r="B142">
        <v>2017</v>
      </c>
      <c r="C142" t="s">
        <v>74</v>
      </c>
      <c r="D142">
        <v>1.29</v>
      </c>
    </row>
    <row r="143" spans="1:4" x14ac:dyDescent="0.45">
      <c r="A143" t="s">
        <v>32</v>
      </c>
      <c r="B143">
        <v>2017</v>
      </c>
      <c r="C143" t="s">
        <v>74</v>
      </c>
      <c r="D143">
        <v>1.17</v>
      </c>
    </row>
    <row r="144" spans="1:4" x14ac:dyDescent="0.45">
      <c r="A144" t="s">
        <v>58</v>
      </c>
      <c r="B144">
        <v>2017</v>
      </c>
      <c r="C144" t="s">
        <v>74</v>
      </c>
      <c r="D144">
        <v>1.68</v>
      </c>
    </row>
    <row r="145" spans="1:4" x14ac:dyDescent="0.45">
      <c r="A145" t="s">
        <v>91</v>
      </c>
      <c r="B145">
        <v>2017</v>
      </c>
      <c r="C145" t="s">
        <v>74</v>
      </c>
      <c r="D145">
        <v>0.13</v>
      </c>
    </row>
    <row r="146" spans="1:4" x14ac:dyDescent="0.45">
      <c r="A146" t="s">
        <v>32</v>
      </c>
      <c r="B146">
        <v>2018</v>
      </c>
      <c r="C146" t="s">
        <v>74</v>
      </c>
      <c r="D146">
        <v>0.66</v>
      </c>
    </row>
    <row r="147" spans="1:4" x14ac:dyDescent="0.45">
      <c r="A147" t="s">
        <v>36</v>
      </c>
      <c r="B147">
        <v>2018</v>
      </c>
      <c r="C147" t="s">
        <v>74</v>
      </c>
      <c r="D147">
        <v>0.62</v>
      </c>
    </row>
    <row r="148" spans="1:4" x14ac:dyDescent="0.45">
      <c r="A148" t="s">
        <v>56</v>
      </c>
      <c r="B148">
        <v>2018</v>
      </c>
      <c r="C148" t="s">
        <v>74</v>
      </c>
      <c r="D148">
        <v>34.99</v>
      </c>
    </row>
    <row r="149" spans="1:4" x14ac:dyDescent="0.45">
      <c r="A149" t="s">
        <v>57</v>
      </c>
      <c r="B149">
        <v>2018</v>
      </c>
      <c r="C149" t="s">
        <v>74</v>
      </c>
      <c r="D149">
        <v>25.51</v>
      </c>
    </row>
    <row r="150" spans="1:4" x14ac:dyDescent="0.45">
      <c r="A150" t="s">
        <v>38</v>
      </c>
      <c r="B150">
        <v>2018</v>
      </c>
      <c r="C150" t="s">
        <v>74</v>
      </c>
      <c r="D150">
        <v>1.28</v>
      </c>
    </row>
    <row r="151" spans="1:4" x14ac:dyDescent="0.45">
      <c r="A151" t="s">
        <v>32</v>
      </c>
      <c r="B151">
        <v>2018</v>
      </c>
      <c r="C151" t="s">
        <v>74</v>
      </c>
      <c r="D151">
        <v>1.1599999999999999</v>
      </c>
    </row>
    <row r="152" spans="1:4" x14ac:dyDescent="0.45">
      <c r="A152" t="s">
        <v>58</v>
      </c>
      <c r="B152">
        <v>2018</v>
      </c>
      <c r="C152" t="s">
        <v>74</v>
      </c>
      <c r="D152">
        <v>1.95</v>
      </c>
    </row>
    <row r="153" spans="1:4" x14ac:dyDescent="0.45">
      <c r="A153" t="s">
        <v>91</v>
      </c>
      <c r="B153">
        <v>2018</v>
      </c>
      <c r="C153" t="s">
        <v>74</v>
      </c>
      <c r="D153">
        <v>0.12</v>
      </c>
    </row>
    <row r="154" spans="1:4" x14ac:dyDescent="0.45">
      <c r="A154" t="s">
        <v>32</v>
      </c>
      <c r="B154">
        <v>2019</v>
      </c>
      <c r="C154" t="s">
        <v>74</v>
      </c>
      <c r="D154">
        <v>0.71</v>
      </c>
    </row>
    <row r="155" spans="1:4" x14ac:dyDescent="0.45">
      <c r="A155" t="s">
        <v>36</v>
      </c>
      <c r="B155">
        <v>2019</v>
      </c>
      <c r="C155" t="s">
        <v>74</v>
      </c>
      <c r="D155">
        <v>0.61</v>
      </c>
    </row>
    <row r="156" spans="1:4" x14ac:dyDescent="0.45">
      <c r="A156" t="s">
        <v>56</v>
      </c>
      <c r="B156">
        <v>2019</v>
      </c>
      <c r="C156" t="s">
        <v>74</v>
      </c>
      <c r="D156">
        <v>38.04</v>
      </c>
    </row>
    <row r="157" spans="1:4" x14ac:dyDescent="0.45">
      <c r="A157" t="s">
        <v>57</v>
      </c>
      <c r="B157">
        <v>2019</v>
      </c>
      <c r="C157" t="s">
        <v>74</v>
      </c>
      <c r="D157">
        <v>26.42</v>
      </c>
    </row>
    <row r="158" spans="1:4" x14ac:dyDescent="0.45">
      <c r="A158" t="s">
        <v>38</v>
      </c>
      <c r="B158">
        <v>2019</v>
      </c>
      <c r="C158" t="s">
        <v>74</v>
      </c>
      <c r="D158">
        <v>1.29</v>
      </c>
    </row>
    <row r="159" spans="1:4" x14ac:dyDescent="0.45">
      <c r="A159" t="s">
        <v>32</v>
      </c>
      <c r="B159">
        <v>2019</v>
      </c>
      <c r="C159" t="s">
        <v>74</v>
      </c>
      <c r="D159">
        <v>1.17</v>
      </c>
    </row>
    <row r="160" spans="1:4" x14ac:dyDescent="0.45">
      <c r="A160" t="s">
        <v>58</v>
      </c>
      <c r="B160">
        <v>2019</v>
      </c>
      <c r="C160" t="s">
        <v>74</v>
      </c>
      <c r="D160">
        <v>2.1800000000000002</v>
      </c>
    </row>
    <row r="161" spans="1:4" x14ac:dyDescent="0.45">
      <c r="A161" t="s">
        <v>91</v>
      </c>
      <c r="B161">
        <v>2019</v>
      </c>
      <c r="C161" t="s">
        <v>74</v>
      </c>
      <c r="D161">
        <v>0.15</v>
      </c>
    </row>
    <row r="162" spans="1:4" x14ac:dyDescent="0.45">
      <c r="A162" t="s">
        <v>32</v>
      </c>
      <c r="B162">
        <v>2020</v>
      </c>
      <c r="C162" t="s">
        <v>74</v>
      </c>
      <c r="D162">
        <v>0.81</v>
      </c>
    </row>
    <row r="163" spans="1:4" x14ac:dyDescent="0.45">
      <c r="A163" t="s">
        <v>36</v>
      </c>
      <c r="B163">
        <v>2020</v>
      </c>
      <c r="C163" t="s">
        <v>74</v>
      </c>
      <c r="D163">
        <v>0.62</v>
      </c>
    </row>
    <row r="164" spans="1:4" x14ac:dyDescent="0.45">
      <c r="A164" t="s">
        <v>56</v>
      </c>
      <c r="B164">
        <v>2020</v>
      </c>
      <c r="C164" t="s">
        <v>74</v>
      </c>
      <c r="D164">
        <v>37.869999999999997</v>
      </c>
    </row>
    <row r="165" spans="1:4" x14ac:dyDescent="0.45">
      <c r="A165" t="s">
        <v>57</v>
      </c>
      <c r="B165">
        <v>2020</v>
      </c>
      <c r="C165" t="s">
        <v>74</v>
      </c>
      <c r="D165">
        <v>24.02</v>
      </c>
    </row>
    <row r="166" spans="1:4" x14ac:dyDescent="0.45">
      <c r="A166" t="s">
        <v>38</v>
      </c>
      <c r="B166">
        <v>2020</v>
      </c>
      <c r="C166" t="s">
        <v>74</v>
      </c>
      <c r="D166">
        <v>1.25</v>
      </c>
    </row>
    <row r="167" spans="1:4" x14ac:dyDescent="0.45">
      <c r="A167" t="s">
        <v>32</v>
      </c>
      <c r="B167">
        <v>2020</v>
      </c>
      <c r="C167" t="s">
        <v>74</v>
      </c>
      <c r="D167">
        <v>1.18</v>
      </c>
    </row>
    <row r="168" spans="1:4" x14ac:dyDescent="0.45">
      <c r="A168" t="s">
        <v>58</v>
      </c>
      <c r="B168">
        <v>2020</v>
      </c>
      <c r="C168" t="s">
        <v>74</v>
      </c>
      <c r="D168">
        <v>2.6</v>
      </c>
    </row>
    <row r="169" spans="1:4" x14ac:dyDescent="0.45">
      <c r="A169" t="s">
        <v>91</v>
      </c>
      <c r="B169">
        <v>2020</v>
      </c>
      <c r="C169" t="s">
        <v>74</v>
      </c>
      <c r="D169">
        <v>0.14000000000000001</v>
      </c>
    </row>
    <row r="170" spans="1:4" x14ac:dyDescent="0.45">
      <c r="A170" t="s">
        <v>32</v>
      </c>
      <c r="B170">
        <v>2021</v>
      </c>
      <c r="C170" t="s">
        <v>74</v>
      </c>
      <c r="D170">
        <v>0.96</v>
      </c>
    </row>
    <row r="171" spans="1:4" x14ac:dyDescent="0.45">
      <c r="A171" t="s">
        <v>36</v>
      </c>
      <c r="B171">
        <v>2021</v>
      </c>
      <c r="C171" t="s">
        <v>74</v>
      </c>
      <c r="D171">
        <v>0.5</v>
      </c>
    </row>
    <row r="172" spans="1:4" x14ac:dyDescent="0.45">
      <c r="A172" t="s">
        <v>56</v>
      </c>
      <c r="B172">
        <v>2021</v>
      </c>
      <c r="C172" t="s">
        <v>74</v>
      </c>
      <c r="D172">
        <v>36.96</v>
      </c>
    </row>
    <row r="173" spans="1:4" x14ac:dyDescent="0.45">
      <c r="A173" t="s">
        <v>57</v>
      </c>
      <c r="B173">
        <v>2021</v>
      </c>
      <c r="C173" t="s">
        <v>74</v>
      </c>
      <c r="D173">
        <v>19.36</v>
      </c>
    </row>
    <row r="174" spans="1:4" x14ac:dyDescent="0.45">
      <c r="A174" t="s">
        <v>38</v>
      </c>
      <c r="B174">
        <v>2021</v>
      </c>
      <c r="C174" t="s">
        <v>74</v>
      </c>
      <c r="D174">
        <v>1.22</v>
      </c>
    </row>
    <row r="175" spans="1:4" x14ac:dyDescent="0.45">
      <c r="A175" t="s">
        <v>32</v>
      </c>
      <c r="B175">
        <v>2021</v>
      </c>
      <c r="C175" t="s">
        <v>74</v>
      </c>
      <c r="D175">
        <v>1.1100000000000001</v>
      </c>
    </row>
    <row r="176" spans="1:4" x14ac:dyDescent="0.45">
      <c r="A176" t="s">
        <v>58</v>
      </c>
      <c r="B176">
        <v>2021</v>
      </c>
      <c r="C176" t="s">
        <v>74</v>
      </c>
      <c r="D176">
        <v>2.84</v>
      </c>
    </row>
    <row r="177" spans="1:4" x14ac:dyDescent="0.45">
      <c r="A177" t="s">
        <v>91</v>
      </c>
      <c r="B177">
        <v>2021</v>
      </c>
      <c r="C177" t="s">
        <v>74</v>
      </c>
      <c r="D177">
        <v>0.15</v>
      </c>
    </row>
    <row r="178" spans="1:4" x14ac:dyDescent="0.45">
      <c r="A178" t="s">
        <v>32</v>
      </c>
      <c r="B178">
        <v>2022</v>
      </c>
      <c r="C178" t="s">
        <v>74</v>
      </c>
      <c r="D178">
        <v>0.96</v>
      </c>
    </row>
    <row r="179" spans="1:4" x14ac:dyDescent="0.45">
      <c r="A179" t="s">
        <v>36</v>
      </c>
      <c r="B179">
        <v>2022</v>
      </c>
      <c r="C179" t="s">
        <v>74</v>
      </c>
      <c r="D179">
        <v>0.5</v>
      </c>
    </row>
    <row r="180" spans="1:4" x14ac:dyDescent="0.45">
      <c r="A180" t="s">
        <v>56</v>
      </c>
      <c r="B180">
        <v>2022</v>
      </c>
      <c r="C180" t="s">
        <v>74</v>
      </c>
      <c r="D180">
        <v>30.99</v>
      </c>
    </row>
    <row r="181" spans="1:4" x14ac:dyDescent="0.45">
      <c r="A181" t="s">
        <v>57</v>
      </c>
      <c r="B181">
        <v>2022</v>
      </c>
      <c r="C181" t="s">
        <v>74</v>
      </c>
      <c r="D181">
        <v>23.95</v>
      </c>
    </row>
    <row r="182" spans="1:4" x14ac:dyDescent="0.45">
      <c r="A182" t="s">
        <v>38</v>
      </c>
      <c r="B182">
        <v>2022</v>
      </c>
      <c r="C182" t="s">
        <v>74</v>
      </c>
      <c r="D182">
        <v>1.22</v>
      </c>
    </row>
    <row r="183" spans="1:4" x14ac:dyDescent="0.45">
      <c r="A183" t="s">
        <v>32</v>
      </c>
      <c r="B183">
        <v>2022</v>
      </c>
      <c r="C183" t="s">
        <v>74</v>
      </c>
      <c r="D183">
        <v>1.1100000000000001</v>
      </c>
    </row>
    <row r="184" spans="1:4" x14ac:dyDescent="0.45">
      <c r="A184" t="s">
        <v>58</v>
      </c>
      <c r="B184">
        <v>2022</v>
      </c>
      <c r="C184" t="s">
        <v>74</v>
      </c>
      <c r="D184">
        <v>3.37</v>
      </c>
    </row>
    <row r="185" spans="1:4" x14ac:dyDescent="0.45">
      <c r="A185" t="s">
        <v>91</v>
      </c>
      <c r="B185">
        <v>2022</v>
      </c>
      <c r="C185" t="s">
        <v>74</v>
      </c>
      <c r="D185">
        <v>0.17</v>
      </c>
    </row>
    <row r="186" spans="1:4" x14ac:dyDescent="0.45">
      <c r="A186" t="s">
        <v>32</v>
      </c>
      <c r="B186">
        <v>2023</v>
      </c>
      <c r="C186" t="s">
        <v>74</v>
      </c>
      <c r="D186">
        <v>0.96</v>
      </c>
    </row>
    <row r="187" spans="1:4" x14ac:dyDescent="0.45">
      <c r="A187" t="s">
        <v>36</v>
      </c>
      <c r="B187">
        <v>2023</v>
      </c>
      <c r="C187" t="s">
        <v>74</v>
      </c>
      <c r="D187">
        <v>0.5</v>
      </c>
    </row>
    <row r="188" spans="1:4" x14ac:dyDescent="0.45">
      <c r="A188" t="s">
        <v>56</v>
      </c>
      <c r="B188">
        <v>2023</v>
      </c>
      <c r="C188" t="s">
        <v>74</v>
      </c>
      <c r="D188">
        <v>38.68</v>
      </c>
    </row>
    <row r="189" spans="1:4" x14ac:dyDescent="0.45">
      <c r="A189" t="s">
        <v>57</v>
      </c>
      <c r="B189">
        <v>2023</v>
      </c>
      <c r="C189" t="s">
        <v>74</v>
      </c>
      <c r="D189">
        <v>24.19</v>
      </c>
    </row>
    <row r="190" spans="1:4" x14ac:dyDescent="0.45">
      <c r="A190" t="s">
        <v>38</v>
      </c>
      <c r="B190">
        <v>2023</v>
      </c>
      <c r="C190" t="s">
        <v>74</v>
      </c>
      <c r="D190">
        <v>1.22</v>
      </c>
    </row>
    <row r="191" spans="1:4" x14ac:dyDescent="0.45">
      <c r="A191" t="s">
        <v>32</v>
      </c>
      <c r="B191">
        <v>2023</v>
      </c>
      <c r="C191" t="s">
        <v>74</v>
      </c>
      <c r="D191">
        <v>1.1100000000000001</v>
      </c>
    </row>
    <row r="192" spans="1:4" x14ac:dyDescent="0.45">
      <c r="A192" t="s">
        <v>58</v>
      </c>
      <c r="B192">
        <v>2023</v>
      </c>
      <c r="C192" t="s">
        <v>74</v>
      </c>
      <c r="D192">
        <v>4.07</v>
      </c>
    </row>
    <row r="193" spans="1:4" x14ac:dyDescent="0.45">
      <c r="A193" t="s">
        <v>91</v>
      </c>
      <c r="B193">
        <v>2023</v>
      </c>
      <c r="C193" t="s">
        <v>74</v>
      </c>
      <c r="D193">
        <v>0.17</v>
      </c>
    </row>
    <row r="194" spans="1:4" x14ac:dyDescent="0.45">
      <c r="A194" t="s">
        <v>32</v>
      </c>
      <c r="B194">
        <v>2000</v>
      </c>
      <c r="C194" t="s">
        <v>75</v>
      </c>
      <c r="D194">
        <v>0.03</v>
      </c>
    </row>
    <row r="195" spans="1:4" x14ac:dyDescent="0.45">
      <c r="A195" t="s">
        <v>36</v>
      </c>
      <c r="B195">
        <v>2000</v>
      </c>
      <c r="C195" t="s">
        <v>75</v>
      </c>
      <c r="D195">
        <v>0.13</v>
      </c>
    </row>
    <row r="196" spans="1:4" x14ac:dyDescent="0.45">
      <c r="A196" t="s">
        <v>56</v>
      </c>
      <c r="B196">
        <v>2000</v>
      </c>
      <c r="C196" t="s">
        <v>75</v>
      </c>
      <c r="D196">
        <v>12.92</v>
      </c>
    </row>
    <row r="197" spans="1:4" x14ac:dyDescent="0.45">
      <c r="A197" t="s">
        <v>57</v>
      </c>
      <c r="B197">
        <v>2000</v>
      </c>
      <c r="C197" t="s">
        <v>75</v>
      </c>
      <c r="D197">
        <v>3.2</v>
      </c>
    </row>
    <row r="198" spans="1:4" x14ac:dyDescent="0.45">
      <c r="A198" t="s">
        <v>38</v>
      </c>
      <c r="B198">
        <v>2000</v>
      </c>
      <c r="C198" t="s">
        <v>75</v>
      </c>
      <c r="D198">
        <v>0.5</v>
      </c>
    </row>
    <row r="199" spans="1:4" x14ac:dyDescent="0.45">
      <c r="A199" t="s">
        <v>32</v>
      </c>
      <c r="B199">
        <v>2000</v>
      </c>
      <c r="C199" t="s">
        <v>75</v>
      </c>
      <c r="D199">
        <v>0.14000000000000001</v>
      </c>
    </row>
    <row r="200" spans="1:4" x14ac:dyDescent="0.45">
      <c r="A200" t="s">
        <v>58</v>
      </c>
      <c r="B200">
        <v>2000</v>
      </c>
      <c r="C200" t="s">
        <v>75</v>
      </c>
      <c r="D200">
        <v>0.02</v>
      </c>
    </row>
    <row r="201" spans="1:4" x14ac:dyDescent="0.45">
      <c r="A201" t="s">
        <v>91</v>
      </c>
      <c r="B201">
        <v>2000</v>
      </c>
      <c r="C201" t="s">
        <v>75</v>
      </c>
      <c r="D201">
        <v>0</v>
      </c>
    </row>
    <row r="202" spans="1:4" x14ac:dyDescent="0.45">
      <c r="A202" t="s">
        <v>32</v>
      </c>
      <c r="B202">
        <v>2001</v>
      </c>
      <c r="C202" t="s">
        <v>75</v>
      </c>
      <c r="D202">
        <v>0.03</v>
      </c>
    </row>
    <row r="203" spans="1:4" x14ac:dyDescent="0.45">
      <c r="A203" t="s">
        <v>36</v>
      </c>
      <c r="B203">
        <v>2001</v>
      </c>
      <c r="C203" t="s">
        <v>75</v>
      </c>
      <c r="D203">
        <v>0.13</v>
      </c>
    </row>
    <row r="204" spans="1:4" x14ac:dyDescent="0.45">
      <c r="A204" t="s">
        <v>56</v>
      </c>
      <c r="B204">
        <v>2001</v>
      </c>
      <c r="C204" t="s">
        <v>75</v>
      </c>
      <c r="D204">
        <v>12.97</v>
      </c>
    </row>
    <row r="205" spans="1:4" x14ac:dyDescent="0.45">
      <c r="A205" t="s">
        <v>57</v>
      </c>
      <c r="B205">
        <v>2001</v>
      </c>
      <c r="C205" t="s">
        <v>75</v>
      </c>
      <c r="D205">
        <v>3.2</v>
      </c>
    </row>
    <row r="206" spans="1:4" x14ac:dyDescent="0.45">
      <c r="A206" t="s">
        <v>38</v>
      </c>
      <c r="B206">
        <v>2001</v>
      </c>
      <c r="C206" t="s">
        <v>75</v>
      </c>
      <c r="D206">
        <v>0.51</v>
      </c>
    </row>
    <row r="207" spans="1:4" x14ac:dyDescent="0.45">
      <c r="A207" t="s">
        <v>32</v>
      </c>
      <c r="B207">
        <v>2001</v>
      </c>
      <c r="C207" t="s">
        <v>75</v>
      </c>
      <c r="D207">
        <v>0.14000000000000001</v>
      </c>
    </row>
    <row r="208" spans="1:4" x14ac:dyDescent="0.45">
      <c r="A208" t="s">
        <v>58</v>
      </c>
      <c r="B208">
        <v>2001</v>
      </c>
      <c r="C208" t="s">
        <v>75</v>
      </c>
      <c r="D208">
        <v>0.02</v>
      </c>
    </row>
    <row r="209" spans="1:4" x14ac:dyDescent="0.45">
      <c r="A209" t="s">
        <v>91</v>
      </c>
      <c r="B209">
        <v>2001</v>
      </c>
      <c r="C209" t="s">
        <v>75</v>
      </c>
      <c r="D209">
        <v>0</v>
      </c>
    </row>
    <row r="210" spans="1:4" x14ac:dyDescent="0.45">
      <c r="A210" t="s">
        <v>32</v>
      </c>
      <c r="B210">
        <v>2002</v>
      </c>
      <c r="C210" t="s">
        <v>75</v>
      </c>
      <c r="D210">
        <v>0.03</v>
      </c>
    </row>
    <row r="211" spans="1:4" x14ac:dyDescent="0.45">
      <c r="A211" t="s">
        <v>36</v>
      </c>
      <c r="B211">
        <v>2002</v>
      </c>
      <c r="C211" t="s">
        <v>75</v>
      </c>
      <c r="D211">
        <v>0.14000000000000001</v>
      </c>
    </row>
    <row r="212" spans="1:4" x14ac:dyDescent="0.45">
      <c r="A212" t="s">
        <v>56</v>
      </c>
      <c r="B212">
        <v>2002</v>
      </c>
      <c r="C212" t="s">
        <v>75</v>
      </c>
      <c r="D212">
        <v>12.98</v>
      </c>
    </row>
    <row r="213" spans="1:4" x14ac:dyDescent="0.45">
      <c r="A213" t="s">
        <v>57</v>
      </c>
      <c r="B213">
        <v>2002</v>
      </c>
      <c r="C213" t="s">
        <v>75</v>
      </c>
      <c r="D213">
        <v>3.22</v>
      </c>
    </row>
    <row r="214" spans="1:4" x14ac:dyDescent="0.45">
      <c r="A214" t="s">
        <v>38</v>
      </c>
      <c r="B214">
        <v>2002</v>
      </c>
      <c r="C214" t="s">
        <v>75</v>
      </c>
      <c r="D214">
        <v>0.51</v>
      </c>
    </row>
    <row r="215" spans="1:4" x14ac:dyDescent="0.45">
      <c r="A215" t="s">
        <v>32</v>
      </c>
      <c r="B215">
        <v>2002</v>
      </c>
      <c r="C215" t="s">
        <v>75</v>
      </c>
      <c r="D215">
        <v>0.14000000000000001</v>
      </c>
    </row>
    <row r="216" spans="1:4" x14ac:dyDescent="0.45">
      <c r="A216" t="s">
        <v>58</v>
      </c>
      <c r="B216">
        <v>2002</v>
      </c>
      <c r="C216" t="s">
        <v>75</v>
      </c>
      <c r="D216">
        <v>0.02</v>
      </c>
    </row>
    <row r="217" spans="1:4" x14ac:dyDescent="0.45">
      <c r="A217" t="s">
        <v>91</v>
      </c>
      <c r="B217">
        <v>2002</v>
      </c>
      <c r="C217" t="s">
        <v>75</v>
      </c>
      <c r="D217">
        <v>0</v>
      </c>
    </row>
    <row r="218" spans="1:4" x14ac:dyDescent="0.45">
      <c r="A218" t="s">
        <v>32</v>
      </c>
      <c r="B218">
        <v>2003</v>
      </c>
      <c r="C218" t="s">
        <v>75</v>
      </c>
      <c r="D218">
        <v>0.03</v>
      </c>
    </row>
    <row r="219" spans="1:4" x14ac:dyDescent="0.45">
      <c r="A219" t="s">
        <v>36</v>
      </c>
      <c r="B219">
        <v>2003</v>
      </c>
      <c r="C219" t="s">
        <v>75</v>
      </c>
      <c r="D219">
        <v>0.19</v>
      </c>
    </row>
    <row r="220" spans="1:4" x14ac:dyDescent="0.45">
      <c r="A220" t="s">
        <v>56</v>
      </c>
      <c r="B220">
        <v>2003</v>
      </c>
      <c r="C220" t="s">
        <v>75</v>
      </c>
      <c r="D220">
        <v>13</v>
      </c>
    </row>
    <row r="221" spans="1:4" x14ac:dyDescent="0.45">
      <c r="A221" t="s">
        <v>57</v>
      </c>
      <c r="B221">
        <v>2003</v>
      </c>
      <c r="C221" t="s">
        <v>75</v>
      </c>
      <c r="D221">
        <v>3.22</v>
      </c>
    </row>
    <row r="222" spans="1:4" x14ac:dyDescent="0.45">
      <c r="A222" t="s">
        <v>38</v>
      </c>
      <c r="B222">
        <v>2003</v>
      </c>
      <c r="C222" t="s">
        <v>75</v>
      </c>
      <c r="D222">
        <v>0.48</v>
      </c>
    </row>
    <row r="223" spans="1:4" x14ac:dyDescent="0.45">
      <c r="A223" t="s">
        <v>32</v>
      </c>
      <c r="B223">
        <v>2003</v>
      </c>
      <c r="C223" t="s">
        <v>75</v>
      </c>
      <c r="D223">
        <v>0.15</v>
      </c>
    </row>
    <row r="224" spans="1:4" x14ac:dyDescent="0.45">
      <c r="A224" t="s">
        <v>58</v>
      </c>
      <c r="B224">
        <v>2003</v>
      </c>
      <c r="C224" t="s">
        <v>75</v>
      </c>
      <c r="D224">
        <v>0.02</v>
      </c>
    </row>
    <row r="225" spans="1:4" x14ac:dyDescent="0.45">
      <c r="A225" t="s">
        <v>91</v>
      </c>
      <c r="B225">
        <v>2003</v>
      </c>
      <c r="C225" t="s">
        <v>75</v>
      </c>
      <c r="D225">
        <v>0</v>
      </c>
    </row>
    <row r="226" spans="1:4" x14ac:dyDescent="0.45">
      <c r="A226" t="s">
        <v>32</v>
      </c>
      <c r="B226">
        <v>2004</v>
      </c>
      <c r="C226" t="s">
        <v>75</v>
      </c>
      <c r="D226">
        <v>0.03</v>
      </c>
    </row>
    <row r="227" spans="1:4" x14ac:dyDescent="0.45">
      <c r="A227" t="s">
        <v>36</v>
      </c>
      <c r="B227">
        <v>2004</v>
      </c>
      <c r="C227" t="s">
        <v>75</v>
      </c>
      <c r="D227">
        <v>0.12</v>
      </c>
    </row>
    <row r="228" spans="1:4" x14ac:dyDescent="0.45">
      <c r="A228" t="s">
        <v>56</v>
      </c>
      <c r="B228">
        <v>2004</v>
      </c>
      <c r="C228" t="s">
        <v>75</v>
      </c>
      <c r="D228">
        <v>13</v>
      </c>
    </row>
    <row r="229" spans="1:4" x14ac:dyDescent="0.45">
      <c r="A229" t="s">
        <v>57</v>
      </c>
      <c r="B229">
        <v>2004</v>
      </c>
      <c r="C229" t="s">
        <v>75</v>
      </c>
      <c r="D229">
        <v>3.22</v>
      </c>
    </row>
    <row r="230" spans="1:4" x14ac:dyDescent="0.45">
      <c r="A230" t="s">
        <v>38</v>
      </c>
      <c r="B230">
        <v>2004</v>
      </c>
      <c r="C230" t="s">
        <v>75</v>
      </c>
      <c r="D230">
        <v>0.52</v>
      </c>
    </row>
    <row r="231" spans="1:4" x14ac:dyDescent="0.45">
      <c r="A231" t="s">
        <v>32</v>
      </c>
      <c r="B231">
        <v>2004</v>
      </c>
      <c r="C231" t="s">
        <v>75</v>
      </c>
      <c r="D231">
        <v>0.15</v>
      </c>
    </row>
    <row r="232" spans="1:4" x14ac:dyDescent="0.45">
      <c r="A232" t="s">
        <v>58</v>
      </c>
      <c r="B232">
        <v>2004</v>
      </c>
      <c r="C232" t="s">
        <v>75</v>
      </c>
      <c r="D232">
        <v>0.02</v>
      </c>
    </row>
    <row r="233" spans="1:4" x14ac:dyDescent="0.45">
      <c r="A233" t="s">
        <v>91</v>
      </c>
      <c r="B233">
        <v>2004</v>
      </c>
      <c r="C233" t="s">
        <v>75</v>
      </c>
      <c r="D233">
        <v>0.01</v>
      </c>
    </row>
    <row r="234" spans="1:4" x14ac:dyDescent="0.45">
      <c r="A234" t="s">
        <v>32</v>
      </c>
      <c r="B234">
        <v>2005</v>
      </c>
      <c r="C234" t="s">
        <v>75</v>
      </c>
      <c r="D234">
        <v>0.03</v>
      </c>
    </row>
    <row r="235" spans="1:4" x14ac:dyDescent="0.45">
      <c r="A235" t="s">
        <v>36</v>
      </c>
      <c r="B235">
        <v>2005</v>
      </c>
      <c r="C235" t="s">
        <v>75</v>
      </c>
      <c r="D235">
        <v>0.14000000000000001</v>
      </c>
    </row>
    <row r="236" spans="1:4" x14ac:dyDescent="0.45">
      <c r="A236" t="s">
        <v>56</v>
      </c>
      <c r="B236">
        <v>2005</v>
      </c>
      <c r="C236" t="s">
        <v>75</v>
      </c>
      <c r="D236">
        <v>13.04</v>
      </c>
    </row>
    <row r="237" spans="1:4" x14ac:dyDescent="0.45">
      <c r="A237" t="s">
        <v>57</v>
      </c>
      <c r="B237">
        <v>2005</v>
      </c>
      <c r="C237" t="s">
        <v>75</v>
      </c>
      <c r="D237">
        <v>3.22</v>
      </c>
    </row>
    <row r="238" spans="1:4" x14ac:dyDescent="0.45">
      <c r="A238" t="s">
        <v>38</v>
      </c>
      <c r="B238">
        <v>2005</v>
      </c>
      <c r="C238" t="s">
        <v>75</v>
      </c>
      <c r="D238">
        <v>0.5</v>
      </c>
    </row>
    <row r="239" spans="1:4" x14ac:dyDescent="0.45">
      <c r="A239" t="s">
        <v>32</v>
      </c>
      <c r="B239">
        <v>2005</v>
      </c>
      <c r="C239" t="s">
        <v>75</v>
      </c>
      <c r="D239">
        <v>0.15</v>
      </c>
    </row>
    <row r="240" spans="1:4" x14ac:dyDescent="0.45">
      <c r="A240" t="s">
        <v>58</v>
      </c>
      <c r="B240">
        <v>2005</v>
      </c>
      <c r="C240" t="s">
        <v>75</v>
      </c>
      <c r="D240">
        <v>0.03</v>
      </c>
    </row>
    <row r="241" spans="1:4" x14ac:dyDescent="0.45">
      <c r="A241" t="s">
        <v>91</v>
      </c>
      <c r="B241">
        <v>2005</v>
      </c>
      <c r="C241" t="s">
        <v>75</v>
      </c>
      <c r="D241">
        <v>0.01</v>
      </c>
    </row>
    <row r="242" spans="1:4" x14ac:dyDescent="0.45">
      <c r="A242" t="s">
        <v>32</v>
      </c>
      <c r="B242">
        <v>2006</v>
      </c>
      <c r="C242" t="s">
        <v>75</v>
      </c>
      <c r="D242">
        <v>0.03</v>
      </c>
    </row>
    <row r="243" spans="1:4" x14ac:dyDescent="0.45">
      <c r="A243" t="s">
        <v>36</v>
      </c>
      <c r="B243">
        <v>2006</v>
      </c>
      <c r="C243" t="s">
        <v>75</v>
      </c>
      <c r="D243">
        <v>0.16</v>
      </c>
    </row>
    <row r="244" spans="1:4" x14ac:dyDescent="0.45">
      <c r="A244" t="s">
        <v>56</v>
      </c>
      <c r="B244">
        <v>2006</v>
      </c>
      <c r="C244" t="s">
        <v>75</v>
      </c>
      <c r="D244">
        <v>13.04</v>
      </c>
    </row>
    <row r="245" spans="1:4" x14ac:dyDescent="0.45">
      <c r="A245" t="s">
        <v>57</v>
      </c>
      <c r="B245">
        <v>2006</v>
      </c>
      <c r="C245" t="s">
        <v>75</v>
      </c>
      <c r="D245">
        <v>3.22</v>
      </c>
    </row>
    <row r="246" spans="1:4" x14ac:dyDescent="0.45">
      <c r="A246" t="s">
        <v>38</v>
      </c>
      <c r="B246">
        <v>2006</v>
      </c>
      <c r="C246" t="s">
        <v>75</v>
      </c>
      <c r="D246">
        <v>0.48</v>
      </c>
    </row>
    <row r="247" spans="1:4" x14ac:dyDescent="0.45">
      <c r="A247" t="s">
        <v>32</v>
      </c>
      <c r="B247">
        <v>2006</v>
      </c>
      <c r="C247" t="s">
        <v>75</v>
      </c>
      <c r="D247">
        <v>0.17</v>
      </c>
    </row>
    <row r="248" spans="1:4" x14ac:dyDescent="0.45">
      <c r="A248" t="s">
        <v>58</v>
      </c>
      <c r="B248">
        <v>2006</v>
      </c>
      <c r="C248" t="s">
        <v>75</v>
      </c>
      <c r="D248">
        <v>0.03</v>
      </c>
    </row>
    <row r="249" spans="1:4" x14ac:dyDescent="0.45">
      <c r="A249" t="s">
        <v>91</v>
      </c>
      <c r="B249">
        <v>2006</v>
      </c>
      <c r="C249" t="s">
        <v>75</v>
      </c>
      <c r="D249">
        <v>0.01</v>
      </c>
    </row>
    <row r="250" spans="1:4" x14ac:dyDescent="0.45">
      <c r="A250" t="s">
        <v>32</v>
      </c>
      <c r="B250">
        <v>2007</v>
      </c>
      <c r="C250" t="s">
        <v>75</v>
      </c>
      <c r="D250">
        <v>0.03</v>
      </c>
    </row>
    <row r="251" spans="1:4" x14ac:dyDescent="0.45">
      <c r="A251" t="s">
        <v>36</v>
      </c>
      <c r="B251">
        <v>2007</v>
      </c>
      <c r="C251" t="s">
        <v>75</v>
      </c>
      <c r="D251">
        <v>0.16</v>
      </c>
    </row>
    <row r="252" spans="1:4" x14ac:dyDescent="0.45">
      <c r="A252" t="s">
        <v>56</v>
      </c>
      <c r="B252">
        <v>2007</v>
      </c>
      <c r="C252" t="s">
        <v>75</v>
      </c>
      <c r="D252">
        <v>13.15</v>
      </c>
    </row>
    <row r="253" spans="1:4" x14ac:dyDescent="0.45">
      <c r="A253" t="s">
        <v>57</v>
      </c>
      <c r="B253">
        <v>2007</v>
      </c>
      <c r="C253" t="s">
        <v>75</v>
      </c>
      <c r="D253">
        <v>3.22</v>
      </c>
    </row>
    <row r="254" spans="1:4" x14ac:dyDescent="0.45">
      <c r="A254" t="s">
        <v>38</v>
      </c>
      <c r="B254">
        <v>2007</v>
      </c>
      <c r="C254" t="s">
        <v>75</v>
      </c>
      <c r="D254">
        <v>0.48</v>
      </c>
    </row>
    <row r="255" spans="1:4" x14ac:dyDescent="0.45">
      <c r="A255" t="s">
        <v>32</v>
      </c>
      <c r="B255">
        <v>2007</v>
      </c>
      <c r="C255" t="s">
        <v>75</v>
      </c>
      <c r="D255">
        <v>0.17</v>
      </c>
    </row>
    <row r="256" spans="1:4" x14ac:dyDescent="0.45">
      <c r="A256" t="s">
        <v>58</v>
      </c>
      <c r="B256">
        <v>2007</v>
      </c>
      <c r="C256" t="s">
        <v>75</v>
      </c>
      <c r="D256">
        <v>0.04</v>
      </c>
    </row>
    <row r="257" spans="1:4" x14ac:dyDescent="0.45">
      <c r="A257" t="s">
        <v>91</v>
      </c>
      <c r="B257">
        <v>2007</v>
      </c>
      <c r="C257" t="s">
        <v>75</v>
      </c>
      <c r="D257">
        <v>0.01</v>
      </c>
    </row>
    <row r="258" spans="1:4" x14ac:dyDescent="0.45">
      <c r="A258" t="s">
        <v>32</v>
      </c>
      <c r="B258">
        <v>2008</v>
      </c>
      <c r="C258" t="s">
        <v>75</v>
      </c>
      <c r="D258">
        <v>0.03</v>
      </c>
    </row>
    <row r="259" spans="1:4" x14ac:dyDescent="0.45">
      <c r="A259" t="s">
        <v>36</v>
      </c>
      <c r="B259">
        <v>2008</v>
      </c>
      <c r="C259" t="s">
        <v>75</v>
      </c>
      <c r="D259">
        <v>0.19</v>
      </c>
    </row>
    <row r="260" spans="1:4" x14ac:dyDescent="0.45">
      <c r="A260" t="s">
        <v>56</v>
      </c>
      <c r="B260">
        <v>2008</v>
      </c>
      <c r="C260" t="s">
        <v>75</v>
      </c>
      <c r="D260">
        <v>13.16</v>
      </c>
    </row>
    <row r="261" spans="1:4" x14ac:dyDescent="0.45">
      <c r="A261" t="s">
        <v>57</v>
      </c>
      <c r="B261">
        <v>2008</v>
      </c>
      <c r="C261" t="s">
        <v>75</v>
      </c>
      <c r="D261">
        <v>3.22</v>
      </c>
    </row>
    <row r="262" spans="1:4" x14ac:dyDescent="0.45">
      <c r="A262" t="s">
        <v>38</v>
      </c>
      <c r="B262">
        <v>2008</v>
      </c>
      <c r="C262" t="s">
        <v>75</v>
      </c>
      <c r="D262">
        <v>0.46</v>
      </c>
    </row>
    <row r="263" spans="1:4" x14ac:dyDescent="0.45">
      <c r="A263" t="s">
        <v>32</v>
      </c>
      <c r="B263">
        <v>2008</v>
      </c>
      <c r="C263" t="s">
        <v>75</v>
      </c>
      <c r="D263">
        <v>0.17</v>
      </c>
    </row>
    <row r="264" spans="1:4" x14ac:dyDescent="0.45">
      <c r="A264" t="s">
        <v>58</v>
      </c>
      <c r="B264">
        <v>2008</v>
      </c>
      <c r="C264" t="s">
        <v>75</v>
      </c>
      <c r="D264">
        <v>0.05</v>
      </c>
    </row>
    <row r="265" spans="1:4" x14ac:dyDescent="0.45">
      <c r="A265" t="s">
        <v>91</v>
      </c>
      <c r="B265">
        <v>2008</v>
      </c>
      <c r="C265" t="s">
        <v>75</v>
      </c>
      <c r="D265">
        <v>0.01</v>
      </c>
    </row>
    <row r="266" spans="1:4" x14ac:dyDescent="0.45">
      <c r="A266" t="s">
        <v>32</v>
      </c>
      <c r="B266">
        <v>2009</v>
      </c>
      <c r="C266" t="s">
        <v>75</v>
      </c>
      <c r="D266">
        <v>0.03</v>
      </c>
    </row>
    <row r="267" spans="1:4" x14ac:dyDescent="0.45">
      <c r="A267" t="s">
        <v>36</v>
      </c>
      <c r="B267">
        <v>2009</v>
      </c>
      <c r="C267" t="s">
        <v>75</v>
      </c>
      <c r="D267">
        <v>0.2</v>
      </c>
    </row>
    <row r="268" spans="1:4" x14ac:dyDescent="0.45">
      <c r="A268" t="s">
        <v>56</v>
      </c>
      <c r="B268">
        <v>2009</v>
      </c>
      <c r="C268" t="s">
        <v>75</v>
      </c>
      <c r="D268">
        <v>13.21</v>
      </c>
    </row>
    <row r="269" spans="1:4" x14ac:dyDescent="0.45">
      <c r="A269" t="s">
        <v>57</v>
      </c>
      <c r="B269">
        <v>2009</v>
      </c>
      <c r="C269" t="s">
        <v>75</v>
      </c>
      <c r="D269">
        <v>3.24</v>
      </c>
    </row>
    <row r="270" spans="1:4" x14ac:dyDescent="0.45">
      <c r="A270" t="s">
        <v>38</v>
      </c>
      <c r="B270">
        <v>2009</v>
      </c>
      <c r="C270" t="s">
        <v>75</v>
      </c>
      <c r="D270">
        <v>0.52</v>
      </c>
    </row>
    <row r="271" spans="1:4" x14ac:dyDescent="0.45">
      <c r="A271" t="s">
        <v>32</v>
      </c>
      <c r="B271">
        <v>2009</v>
      </c>
      <c r="C271" t="s">
        <v>75</v>
      </c>
      <c r="D271">
        <v>0.17</v>
      </c>
    </row>
    <row r="272" spans="1:4" x14ac:dyDescent="0.45">
      <c r="A272" t="s">
        <v>58</v>
      </c>
      <c r="B272">
        <v>2009</v>
      </c>
      <c r="C272" t="s">
        <v>75</v>
      </c>
      <c r="D272">
        <v>0.08</v>
      </c>
    </row>
    <row r="273" spans="1:4" x14ac:dyDescent="0.45">
      <c r="A273" t="s">
        <v>91</v>
      </c>
      <c r="B273">
        <v>2009</v>
      </c>
      <c r="C273" t="s">
        <v>75</v>
      </c>
      <c r="D273">
        <v>0.02</v>
      </c>
    </row>
    <row r="274" spans="1:4" x14ac:dyDescent="0.45">
      <c r="A274" t="s">
        <v>32</v>
      </c>
      <c r="B274">
        <v>2010</v>
      </c>
      <c r="C274" t="s">
        <v>75</v>
      </c>
      <c r="D274">
        <v>0.03</v>
      </c>
    </row>
    <row r="275" spans="1:4" x14ac:dyDescent="0.45">
      <c r="A275" t="s">
        <v>36</v>
      </c>
      <c r="B275">
        <v>2010</v>
      </c>
      <c r="C275" t="s">
        <v>75</v>
      </c>
      <c r="D275">
        <v>0.28000000000000003</v>
      </c>
    </row>
    <row r="276" spans="1:4" x14ac:dyDescent="0.45">
      <c r="A276" t="s">
        <v>56</v>
      </c>
      <c r="B276">
        <v>2010</v>
      </c>
      <c r="C276" t="s">
        <v>75</v>
      </c>
      <c r="D276">
        <v>13.27</v>
      </c>
    </row>
    <row r="277" spans="1:4" x14ac:dyDescent="0.45">
      <c r="A277" t="s">
        <v>57</v>
      </c>
      <c r="B277">
        <v>2010</v>
      </c>
      <c r="C277" t="s">
        <v>75</v>
      </c>
      <c r="D277">
        <v>3.25</v>
      </c>
    </row>
    <row r="278" spans="1:4" x14ac:dyDescent="0.45">
      <c r="A278" t="s">
        <v>38</v>
      </c>
      <c r="B278">
        <v>2010</v>
      </c>
      <c r="C278" t="s">
        <v>75</v>
      </c>
      <c r="D278">
        <v>0.45</v>
      </c>
    </row>
    <row r="279" spans="1:4" x14ac:dyDescent="0.45">
      <c r="A279" t="s">
        <v>32</v>
      </c>
      <c r="B279">
        <v>2010</v>
      </c>
      <c r="C279" t="s">
        <v>75</v>
      </c>
      <c r="D279">
        <v>0.18</v>
      </c>
    </row>
    <row r="280" spans="1:4" x14ac:dyDescent="0.45">
      <c r="A280" t="s">
        <v>58</v>
      </c>
      <c r="B280">
        <v>2010</v>
      </c>
      <c r="C280" t="s">
        <v>75</v>
      </c>
      <c r="D280">
        <v>0.13</v>
      </c>
    </row>
    <row r="281" spans="1:4" x14ac:dyDescent="0.45">
      <c r="A281" t="s">
        <v>91</v>
      </c>
      <c r="B281">
        <v>2010</v>
      </c>
      <c r="C281" t="s">
        <v>75</v>
      </c>
      <c r="D281">
        <v>0.04</v>
      </c>
    </row>
    <row r="282" spans="1:4" x14ac:dyDescent="0.45">
      <c r="A282" t="s">
        <v>32</v>
      </c>
      <c r="B282">
        <v>2011</v>
      </c>
      <c r="C282" t="s">
        <v>75</v>
      </c>
      <c r="D282">
        <v>0.03</v>
      </c>
    </row>
    <row r="283" spans="1:4" x14ac:dyDescent="0.45">
      <c r="A283" t="s">
        <v>36</v>
      </c>
      <c r="B283">
        <v>2011</v>
      </c>
      <c r="C283" t="s">
        <v>75</v>
      </c>
      <c r="D283">
        <v>0.23</v>
      </c>
    </row>
    <row r="284" spans="1:4" x14ac:dyDescent="0.45">
      <c r="A284" t="s">
        <v>56</v>
      </c>
      <c r="B284">
        <v>2011</v>
      </c>
      <c r="C284" t="s">
        <v>75</v>
      </c>
      <c r="D284">
        <v>13.31</v>
      </c>
    </row>
    <row r="285" spans="1:4" x14ac:dyDescent="0.45">
      <c r="A285" t="s">
        <v>57</v>
      </c>
      <c r="B285">
        <v>2011</v>
      </c>
      <c r="C285" t="s">
        <v>75</v>
      </c>
      <c r="D285">
        <v>3.28</v>
      </c>
    </row>
    <row r="286" spans="1:4" x14ac:dyDescent="0.45">
      <c r="A286" t="s">
        <v>38</v>
      </c>
      <c r="B286">
        <v>2011</v>
      </c>
      <c r="C286" t="s">
        <v>75</v>
      </c>
      <c r="D286">
        <v>0.49</v>
      </c>
    </row>
    <row r="287" spans="1:4" x14ac:dyDescent="0.45">
      <c r="A287" t="s">
        <v>32</v>
      </c>
      <c r="B287">
        <v>2011</v>
      </c>
      <c r="C287" t="s">
        <v>75</v>
      </c>
      <c r="D287">
        <v>0.17</v>
      </c>
    </row>
    <row r="288" spans="1:4" x14ac:dyDescent="0.45">
      <c r="A288" t="s">
        <v>58</v>
      </c>
      <c r="B288">
        <v>2011</v>
      </c>
      <c r="C288" t="s">
        <v>75</v>
      </c>
      <c r="D288">
        <v>0.22</v>
      </c>
    </row>
    <row r="289" spans="1:4" x14ac:dyDescent="0.45">
      <c r="A289" t="s">
        <v>91</v>
      </c>
      <c r="B289">
        <v>2011</v>
      </c>
      <c r="C289" t="s">
        <v>75</v>
      </c>
      <c r="D289">
        <v>0.05</v>
      </c>
    </row>
    <row r="290" spans="1:4" x14ac:dyDescent="0.45">
      <c r="A290" t="s">
        <v>32</v>
      </c>
      <c r="B290">
        <v>2012</v>
      </c>
      <c r="C290" t="s">
        <v>75</v>
      </c>
      <c r="D290">
        <v>0.03</v>
      </c>
    </row>
    <row r="291" spans="1:4" x14ac:dyDescent="0.45">
      <c r="A291" t="s">
        <v>36</v>
      </c>
      <c r="B291">
        <v>2012</v>
      </c>
      <c r="C291" t="s">
        <v>75</v>
      </c>
      <c r="D291">
        <v>0.26</v>
      </c>
    </row>
    <row r="292" spans="1:4" x14ac:dyDescent="0.45">
      <c r="A292" t="s">
        <v>56</v>
      </c>
      <c r="B292">
        <v>2012</v>
      </c>
      <c r="C292" t="s">
        <v>75</v>
      </c>
      <c r="D292">
        <v>13.35</v>
      </c>
    </row>
    <row r="293" spans="1:4" x14ac:dyDescent="0.45">
      <c r="A293" t="s">
        <v>57</v>
      </c>
      <c r="B293">
        <v>2012</v>
      </c>
      <c r="C293" t="s">
        <v>75</v>
      </c>
      <c r="D293">
        <v>3.28</v>
      </c>
    </row>
    <row r="294" spans="1:4" x14ac:dyDescent="0.45">
      <c r="A294" t="s">
        <v>38</v>
      </c>
      <c r="B294">
        <v>2012</v>
      </c>
      <c r="C294" t="s">
        <v>75</v>
      </c>
      <c r="D294">
        <v>0.52</v>
      </c>
    </row>
    <row r="295" spans="1:4" x14ac:dyDescent="0.45">
      <c r="A295" t="s">
        <v>32</v>
      </c>
      <c r="B295">
        <v>2012</v>
      </c>
      <c r="C295" t="s">
        <v>75</v>
      </c>
      <c r="D295">
        <v>0.2</v>
      </c>
    </row>
    <row r="296" spans="1:4" x14ac:dyDescent="0.45">
      <c r="A296" t="s">
        <v>58</v>
      </c>
      <c r="B296">
        <v>2012</v>
      </c>
      <c r="C296" t="s">
        <v>75</v>
      </c>
      <c r="D296">
        <v>0.44</v>
      </c>
    </row>
    <row r="297" spans="1:4" x14ac:dyDescent="0.45">
      <c r="A297" t="s">
        <v>91</v>
      </c>
      <c r="B297">
        <v>2012</v>
      </c>
      <c r="C297" t="s">
        <v>75</v>
      </c>
      <c r="D297">
        <v>0.05</v>
      </c>
    </row>
    <row r="298" spans="1:4" x14ac:dyDescent="0.45">
      <c r="A298" t="s">
        <v>32</v>
      </c>
      <c r="B298">
        <v>2013</v>
      </c>
      <c r="C298" t="s">
        <v>75</v>
      </c>
      <c r="D298">
        <v>0.03</v>
      </c>
    </row>
    <row r="299" spans="1:4" x14ac:dyDescent="0.45">
      <c r="A299" t="s">
        <v>36</v>
      </c>
      <c r="B299">
        <v>2013</v>
      </c>
      <c r="C299" t="s">
        <v>75</v>
      </c>
      <c r="D299">
        <v>0.27</v>
      </c>
    </row>
    <row r="300" spans="1:4" x14ac:dyDescent="0.45">
      <c r="A300" t="s">
        <v>56</v>
      </c>
      <c r="B300">
        <v>2013</v>
      </c>
      <c r="C300" t="s">
        <v>75</v>
      </c>
      <c r="D300">
        <v>13.36</v>
      </c>
    </row>
    <row r="301" spans="1:4" x14ac:dyDescent="0.45">
      <c r="A301" t="s">
        <v>57</v>
      </c>
      <c r="B301">
        <v>2013</v>
      </c>
      <c r="C301" t="s">
        <v>75</v>
      </c>
      <c r="D301">
        <v>3.28</v>
      </c>
    </row>
    <row r="302" spans="1:4" x14ac:dyDescent="0.45">
      <c r="A302" t="s">
        <v>38</v>
      </c>
      <c r="B302">
        <v>2013</v>
      </c>
      <c r="C302" t="s">
        <v>75</v>
      </c>
      <c r="D302">
        <v>0.52</v>
      </c>
    </row>
    <row r="303" spans="1:4" x14ac:dyDescent="0.45">
      <c r="A303" t="s">
        <v>32</v>
      </c>
      <c r="B303">
        <v>2013</v>
      </c>
      <c r="C303" t="s">
        <v>75</v>
      </c>
      <c r="D303">
        <v>0.2</v>
      </c>
    </row>
    <row r="304" spans="1:4" x14ac:dyDescent="0.45">
      <c r="A304" t="s">
        <v>58</v>
      </c>
      <c r="B304">
        <v>2013</v>
      </c>
      <c r="C304" t="s">
        <v>75</v>
      </c>
      <c r="D304">
        <v>0.76</v>
      </c>
    </row>
    <row r="305" spans="1:4" x14ac:dyDescent="0.45">
      <c r="A305" t="s">
        <v>91</v>
      </c>
      <c r="B305">
        <v>2013</v>
      </c>
      <c r="C305" t="s">
        <v>75</v>
      </c>
      <c r="D305">
        <v>0.06</v>
      </c>
    </row>
    <row r="306" spans="1:4" x14ac:dyDescent="0.45">
      <c r="A306" t="s">
        <v>32</v>
      </c>
      <c r="B306">
        <v>2014</v>
      </c>
      <c r="C306" t="s">
        <v>75</v>
      </c>
      <c r="D306">
        <v>0.03</v>
      </c>
    </row>
    <row r="307" spans="1:4" x14ac:dyDescent="0.45">
      <c r="A307" t="s">
        <v>36</v>
      </c>
      <c r="B307">
        <v>2014</v>
      </c>
      <c r="C307" t="s">
        <v>75</v>
      </c>
      <c r="D307">
        <v>0.24</v>
      </c>
    </row>
    <row r="308" spans="1:4" x14ac:dyDescent="0.45">
      <c r="A308" t="s">
        <v>56</v>
      </c>
      <c r="B308">
        <v>2014</v>
      </c>
      <c r="C308" t="s">
        <v>75</v>
      </c>
      <c r="D308">
        <v>13.29</v>
      </c>
    </row>
    <row r="309" spans="1:4" x14ac:dyDescent="0.45">
      <c r="A309" t="s">
        <v>57</v>
      </c>
      <c r="B309">
        <v>2014</v>
      </c>
      <c r="C309" t="s">
        <v>75</v>
      </c>
      <c r="D309">
        <v>3.31</v>
      </c>
    </row>
    <row r="310" spans="1:4" x14ac:dyDescent="0.45">
      <c r="A310" t="s">
        <v>38</v>
      </c>
      <c r="B310">
        <v>2014</v>
      </c>
      <c r="C310" t="s">
        <v>75</v>
      </c>
      <c r="D310">
        <v>0.53</v>
      </c>
    </row>
    <row r="311" spans="1:4" x14ac:dyDescent="0.45">
      <c r="A311" t="s">
        <v>32</v>
      </c>
      <c r="B311">
        <v>2014</v>
      </c>
      <c r="C311" t="s">
        <v>75</v>
      </c>
      <c r="D311">
        <v>0.2</v>
      </c>
    </row>
    <row r="312" spans="1:4" x14ac:dyDescent="0.45">
      <c r="A312" t="s">
        <v>58</v>
      </c>
      <c r="B312">
        <v>2014</v>
      </c>
      <c r="C312" t="s">
        <v>75</v>
      </c>
      <c r="D312">
        <v>1.06</v>
      </c>
    </row>
    <row r="313" spans="1:4" x14ac:dyDescent="0.45">
      <c r="A313" t="s">
        <v>91</v>
      </c>
      <c r="B313">
        <v>2014</v>
      </c>
      <c r="C313" t="s">
        <v>75</v>
      </c>
      <c r="D313">
        <v>0.06</v>
      </c>
    </row>
    <row r="314" spans="1:4" x14ac:dyDescent="0.45">
      <c r="A314" t="s">
        <v>32</v>
      </c>
      <c r="B314">
        <v>2015</v>
      </c>
      <c r="C314" t="s">
        <v>75</v>
      </c>
      <c r="D314">
        <v>0.03</v>
      </c>
    </row>
    <row r="315" spans="1:4" x14ac:dyDescent="0.45">
      <c r="A315" t="s">
        <v>36</v>
      </c>
      <c r="B315">
        <v>2015</v>
      </c>
      <c r="C315" t="s">
        <v>75</v>
      </c>
      <c r="D315">
        <v>0.24</v>
      </c>
    </row>
    <row r="316" spans="1:4" x14ac:dyDescent="0.45">
      <c r="A316" t="s">
        <v>56</v>
      </c>
      <c r="B316">
        <v>2015</v>
      </c>
      <c r="C316" t="s">
        <v>75</v>
      </c>
      <c r="D316">
        <v>13.35</v>
      </c>
    </row>
    <row r="317" spans="1:4" x14ac:dyDescent="0.45">
      <c r="A317" t="s">
        <v>57</v>
      </c>
      <c r="B317">
        <v>2015</v>
      </c>
      <c r="C317" t="s">
        <v>75</v>
      </c>
      <c r="D317">
        <v>3.33</v>
      </c>
    </row>
    <row r="318" spans="1:4" x14ac:dyDescent="0.45">
      <c r="A318" t="s">
        <v>38</v>
      </c>
      <c r="B318">
        <v>2015</v>
      </c>
      <c r="C318" t="s">
        <v>75</v>
      </c>
      <c r="D318">
        <v>0.54</v>
      </c>
    </row>
    <row r="319" spans="1:4" x14ac:dyDescent="0.45">
      <c r="A319" t="s">
        <v>32</v>
      </c>
      <c r="B319">
        <v>2015</v>
      </c>
      <c r="C319" t="s">
        <v>75</v>
      </c>
      <c r="D319">
        <v>0.21</v>
      </c>
    </row>
    <row r="320" spans="1:4" x14ac:dyDescent="0.45">
      <c r="A320" t="s">
        <v>58</v>
      </c>
      <c r="B320">
        <v>2015</v>
      </c>
      <c r="C320" t="s">
        <v>75</v>
      </c>
      <c r="D320">
        <v>1.39</v>
      </c>
    </row>
    <row r="321" spans="1:4" x14ac:dyDescent="0.45">
      <c r="A321" t="s">
        <v>91</v>
      </c>
      <c r="B321">
        <v>2015</v>
      </c>
      <c r="C321" t="s">
        <v>75</v>
      </c>
      <c r="D321">
        <v>0.06</v>
      </c>
    </row>
    <row r="322" spans="1:4" x14ac:dyDescent="0.45">
      <c r="A322" t="s">
        <v>32</v>
      </c>
      <c r="B322">
        <v>2016</v>
      </c>
      <c r="C322" t="s">
        <v>75</v>
      </c>
      <c r="D322">
        <v>0.03</v>
      </c>
    </row>
    <row r="323" spans="1:4" x14ac:dyDescent="0.45">
      <c r="A323" t="s">
        <v>36</v>
      </c>
      <c r="B323">
        <v>2016</v>
      </c>
      <c r="C323" t="s">
        <v>75</v>
      </c>
      <c r="D323">
        <v>0.23</v>
      </c>
    </row>
    <row r="324" spans="1:4" x14ac:dyDescent="0.45">
      <c r="A324" t="s">
        <v>56</v>
      </c>
      <c r="B324">
        <v>2016</v>
      </c>
      <c r="C324" t="s">
        <v>75</v>
      </c>
      <c r="D324">
        <v>14.28</v>
      </c>
    </row>
    <row r="325" spans="1:4" x14ac:dyDescent="0.45">
      <c r="A325" t="s">
        <v>57</v>
      </c>
      <c r="B325">
        <v>2016</v>
      </c>
      <c r="C325" t="s">
        <v>75</v>
      </c>
      <c r="D325">
        <v>3.33</v>
      </c>
    </row>
    <row r="326" spans="1:4" x14ac:dyDescent="0.45">
      <c r="A326" t="s">
        <v>38</v>
      </c>
      <c r="B326">
        <v>2016</v>
      </c>
      <c r="C326" t="s">
        <v>75</v>
      </c>
      <c r="D326">
        <v>0.49</v>
      </c>
    </row>
    <row r="327" spans="1:4" x14ac:dyDescent="0.45">
      <c r="A327" t="s">
        <v>32</v>
      </c>
      <c r="B327">
        <v>2016</v>
      </c>
      <c r="C327" t="s">
        <v>75</v>
      </c>
      <c r="D327">
        <v>0.21</v>
      </c>
    </row>
    <row r="328" spans="1:4" x14ac:dyDescent="0.45">
      <c r="A328" t="s">
        <v>58</v>
      </c>
      <c r="B328">
        <v>2016</v>
      </c>
      <c r="C328" t="s">
        <v>75</v>
      </c>
      <c r="D328">
        <v>1.66</v>
      </c>
    </row>
    <row r="329" spans="1:4" x14ac:dyDescent="0.45">
      <c r="A329" t="s">
        <v>91</v>
      </c>
      <c r="B329">
        <v>2016</v>
      </c>
      <c r="C329" t="s">
        <v>75</v>
      </c>
      <c r="D329">
        <v>0.08</v>
      </c>
    </row>
    <row r="330" spans="1:4" x14ac:dyDescent="0.45">
      <c r="A330" t="s">
        <v>32</v>
      </c>
      <c r="B330">
        <v>2017</v>
      </c>
      <c r="C330" t="s">
        <v>75</v>
      </c>
      <c r="D330">
        <v>0.03</v>
      </c>
    </row>
    <row r="331" spans="1:4" x14ac:dyDescent="0.45">
      <c r="A331" t="s">
        <v>36</v>
      </c>
      <c r="B331">
        <v>2017</v>
      </c>
      <c r="C331" t="s">
        <v>75</v>
      </c>
      <c r="D331">
        <v>0.23</v>
      </c>
    </row>
    <row r="332" spans="1:4" x14ac:dyDescent="0.45">
      <c r="A332" t="s">
        <v>56</v>
      </c>
      <c r="B332">
        <v>2017</v>
      </c>
      <c r="C332" t="s">
        <v>75</v>
      </c>
      <c r="D332">
        <v>14.83</v>
      </c>
    </row>
    <row r="333" spans="1:4" x14ac:dyDescent="0.45">
      <c r="A333" t="s">
        <v>57</v>
      </c>
      <c r="B333">
        <v>2017</v>
      </c>
      <c r="C333" t="s">
        <v>75</v>
      </c>
      <c r="D333">
        <v>3.33</v>
      </c>
    </row>
    <row r="334" spans="1:4" x14ac:dyDescent="0.45">
      <c r="A334" t="s">
        <v>38</v>
      </c>
      <c r="B334">
        <v>2017</v>
      </c>
      <c r="C334" t="s">
        <v>75</v>
      </c>
      <c r="D334">
        <v>0.48</v>
      </c>
    </row>
    <row r="335" spans="1:4" x14ac:dyDescent="0.45">
      <c r="A335" t="s">
        <v>32</v>
      </c>
      <c r="B335">
        <v>2017</v>
      </c>
      <c r="C335" t="s">
        <v>75</v>
      </c>
      <c r="D335">
        <v>0.21</v>
      </c>
    </row>
    <row r="336" spans="1:4" x14ac:dyDescent="0.45">
      <c r="A336" t="s">
        <v>58</v>
      </c>
      <c r="B336">
        <v>2017</v>
      </c>
      <c r="C336" t="s">
        <v>75</v>
      </c>
      <c r="D336">
        <v>1.91</v>
      </c>
    </row>
    <row r="337" spans="1:4" x14ac:dyDescent="0.45">
      <c r="A337" t="s">
        <v>91</v>
      </c>
      <c r="B337">
        <v>2017</v>
      </c>
      <c r="C337" t="s">
        <v>75</v>
      </c>
      <c r="D337">
        <v>0.08</v>
      </c>
    </row>
    <row r="338" spans="1:4" x14ac:dyDescent="0.45">
      <c r="A338" t="s">
        <v>32</v>
      </c>
      <c r="B338">
        <v>2018</v>
      </c>
      <c r="C338" t="s">
        <v>75</v>
      </c>
      <c r="D338">
        <v>0.03</v>
      </c>
    </row>
    <row r="339" spans="1:4" x14ac:dyDescent="0.45">
      <c r="A339" t="s">
        <v>36</v>
      </c>
      <c r="B339">
        <v>2018</v>
      </c>
      <c r="C339" t="s">
        <v>75</v>
      </c>
      <c r="D339">
        <v>0.22</v>
      </c>
    </row>
    <row r="340" spans="1:4" x14ac:dyDescent="0.45">
      <c r="A340" t="s">
        <v>56</v>
      </c>
      <c r="B340">
        <v>2018</v>
      </c>
      <c r="C340" t="s">
        <v>75</v>
      </c>
      <c r="D340">
        <v>14.98</v>
      </c>
    </row>
    <row r="341" spans="1:4" x14ac:dyDescent="0.45">
      <c r="A341" t="s">
        <v>57</v>
      </c>
      <c r="B341">
        <v>2018</v>
      </c>
      <c r="C341" t="s">
        <v>75</v>
      </c>
      <c r="D341">
        <v>3.33</v>
      </c>
    </row>
    <row r="342" spans="1:4" x14ac:dyDescent="0.45">
      <c r="A342" t="s">
        <v>38</v>
      </c>
      <c r="B342">
        <v>2018</v>
      </c>
      <c r="C342" t="s">
        <v>75</v>
      </c>
      <c r="D342">
        <v>0.47</v>
      </c>
    </row>
    <row r="343" spans="1:4" x14ac:dyDescent="0.45">
      <c r="A343" t="s">
        <v>32</v>
      </c>
      <c r="B343">
        <v>2018</v>
      </c>
      <c r="C343" t="s">
        <v>75</v>
      </c>
      <c r="D343">
        <v>0.21</v>
      </c>
    </row>
    <row r="344" spans="1:4" x14ac:dyDescent="0.45">
      <c r="A344" t="s">
        <v>58</v>
      </c>
      <c r="B344">
        <v>2018</v>
      </c>
      <c r="C344" t="s">
        <v>75</v>
      </c>
      <c r="D344">
        <v>2.17</v>
      </c>
    </row>
    <row r="345" spans="1:4" x14ac:dyDescent="0.45">
      <c r="A345" t="s">
        <v>91</v>
      </c>
      <c r="B345">
        <v>2018</v>
      </c>
      <c r="C345" t="s">
        <v>75</v>
      </c>
      <c r="D345">
        <v>0.08</v>
      </c>
    </row>
    <row r="346" spans="1:4" x14ac:dyDescent="0.45">
      <c r="A346" t="s">
        <v>32</v>
      </c>
      <c r="B346">
        <v>2019</v>
      </c>
      <c r="C346" t="s">
        <v>75</v>
      </c>
      <c r="D346">
        <v>0.03</v>
      </c>
    </row>
    <row r="347" spans="1:4" x14ac:dyDescent="0.45">
      <c r="A347" t="s">
        <v>36</v>
      </c>
      <c r="B347">
        <v>2019</v>
      </c>
      <c r="C347" t="s">
        <v>75</v>
      </c>
      <c r="D347">
        <v>0.22</v>
      </c>
    </row>
    <row r="348" spans="1:4" x14ac:dyDescent="0.45">
      <c r="A348" t="s">
        <v>56</v>
      </c>
      <c r="B348">
        <v>2019</v>
      </c>
      <c r="C348" t="s">
        <v>75</v>
      </c>
      <c r="D348">
        <v>15.01</v>
      </c>
    </row>
    <row r="349" spans="1:4" x14ac:dyDescent="0.45">
      <c r="A349" t="s">
        <v>57</v>
      </c>
      <c r="B349">
        <v>2019</v>
      </c>
      <c r="C349" t="s">
        <v>75</v>
      </c>
      <c r="D349">
        <v>3.33</v>
      </c>
    </row>
    <row r="350" spans="1:4" x14ac:dyDescent="0.45">
      <c r="A350" t="s">
        <v>38</v>
      </c>
      <c r="B350">
        <v>2019</v>
      </c>
      <c r="C350" t="s">
        <v>75</v>
      </c>
      <c r="D350">
        <v>0.48</v>
      </c>
    </row>
    <row r="351" spans="1:4" x14ac:dyDescent="0.45">
      <c r="A351" t="s">
        <v>32</v>
      </c>
      <c r="B351">
        <v>2019</v>
      </c>
      <c r="C351" t="s">
        <v>75</v>
      </c>
      <c r="D351">
        <v>0.21</v>
      </c>
    </row>
    <row r="352" spans="1:4" x14ac:dyDescent="0.45">
      <c r="A352" t="s">
        <v>58</v>
      </c>
      <c r="B352">
        <v>2019</v>
      </c>
      <c r="C352" t="s">
        <v>75</v>
      </c>
      <c r="D352">
        <v>2.5</v>
      </c>
    </row>
    <row r="353" spans="1:4" x14ac:dyDescent="0.45">
      <c r="A353" t="s">
        <v>91</v>
      </c>
      <c r="B353">
        <v>2019</v>
      </c>
      <c r="C353" t="s">
        <v>75</v>
      </c>
      <c r="D353">
        <v>0.08</v>
      </c>
    </row>
    <row r="354" spans="1:4" x14ac:dyDescent="0.45">
      <c r="A354" t="s">
        <v>32</v>
      </c>
      <c r="B354">
        <v>2020</v>
      </c>
      <c r="C354" t="s">
        <v>75</v>
      </c>
      <c r="D354">
        <v>0.03</v>
      </c>
    </row>
    <row r="355" spans="1:4" x14ac:dyDescent="0.45">
      <c r="A355" t="s">
        <v>36</v>
      </c>
      <c r="B355">
        <v>2020</v>
      </c>
      <c r="C355" t="s">
        <v>75</v>
      </c>
      <c r="D355">
        <v>0.22</v>
      </c>
    </row>
    <row r="356" spans="1:4" x14ac:dyDescent="0.45">
      <c r="A356" t="s">
        <v>56</v>
      </c>
      <c r="B356">
        <v>2020</v>
      </c>
      <c r="C356" t="s">
        <v>75</v>
      </c>
      <c r="D356">
        <v>15.03</v>
      </c>
    </row>
    <row r="357" spans="1:4" x14ac:dyDescent="0.45">
      <c r="A357" t="s">
        <v>57</v>
      </c>
      <c r="B357">
        <v>2020</v>
      </c>
      <c r="C357" t="s">
        <v>75</v>
      </c>
      <c r="D357">
        <v>3.33</v>
      </c>
    </row>
    <row r="358" spans="1:4" x14ac:dyDescent="0.45">
      <c r="A358" t="s">
        <v>38</v>
      </c>
      <c r="B358">
        <v>2020</v>
      </c>
      <c r="C358" t="s">
        <v>75</v>
      </c>
      <c r="D358">
        <v>0.49</v>
      </c>
    </row>
    <row r="359" spans="1:4" x14ac:dyDescent="0.45">
      <c r="A359" t="s">
        <v>32</v>
      </c>
      <c r="B359">
        <v>2020</v>
      </c>
      <c r="C359" t="s">
        <v>75</v>
      </c>
      <c r="D359">
        <v>0.21</v>
      </c>
    </row>
    <row r="360" spans="1:4" x14ac:dyDescent="0.45">
      <c r="A360" t="s">
        <v>58</v>
      </c>
      <c r="B360">
        <v>2020</v>
      </c>
      <c r="C360" t="s">
        <v>75</v>
      </c>
      <c r="D360">
        <v>2.97</v>
      </c>
    </row>
    <row r="361" spans="1:4" x14ac:dyDescent="0.45">
      <c r="A361" t="s">
        <v>91</v>
      </c>
      <c r="B361">
        <v>2020</v>
      </c>
      <c r="C361" t="s">
        <v>75</v>
      </c>
      <c r="D361">
        <v>0.09</v>
      </c>
    </row>
    <row r="362" spans="1:4" x14ac:dyDescent="0.45">
      <c r="A362" t="s">
        <v>32</v>
      </c>
      <c r="B362">
        <v>2021</v>
      </c>
      <c r="C362" t="s">
        <v>75</v>
      </c>
      <c r="D362">
        <v>0.03</v>
      </c>
    </row>
    <row r="363" spans="1:4" x14ac:dyDescent="0.45">
      <c r="A363" t="s">
        <v>36</v>
      </c>
      <c r="B363">
        <v>2021</v>
      </c>
      <c r="C363" t="s">
        <v>75</v>
      </c>
      <c r="D363">
        <v>0.23</v>
      </c>
    </row>
    <row r="364" spans="1:4" x14ac:dyDescent="0.45">
      <c r="A364" t="s">
        <v>56</v>
      </c>
      <c r="B364">
        <v>2021</v>
      </c>
      <c r="C364" t="s">
        <v>75</v>
      </c>
      <c r="D364">
        <v>15.05</v>
      </c>
    </row>
    <row r="365" spans="1:4" x14ac:dyDescent="0.45">
      <c r="A365" t="s">
        <v>57</v>
      </c>
      <c r="B365">
        <v>2021</v>
      </c>
      <c r="C365" t="s">
        <v>75</v>
      </c>
      <c r="D365">
        <v>2.96</v>
      </c>
    </row>
    <row r="366" spans="1:4" x14ac:dyDescent="0.45">
      <c r="A366" t="s">
        <v>38</v>
      </c>
      <c r="B366">
        <v>2021</v>
      </c>
      <c r="C366" t="s">
        <v>75</v>
      </c>
      <c r="D366">
        <v>0.5</v>
      </c>
    </row>
    <row r="367" spans="1:4" x14ac:dyDescent="0.45">
      <c r="A367" t="s">
        <v>32</v>
      </c>
      <c r="B367">
        <v>2021</v>
      </c>
      <c r="C367" t="s">
        <v>75</v>
      </c>
      <c r="D367">
        <v>0.2</v>
      </c>
    </row>
    <row r="368" spans="1:4" x14ac:dyDescent="0.45">
      <c r="A368" t="s">
        <v>58</v>
      </c>
      <c r="B368">
        <v>2021</v>
      </c>
      <c r="C368" t="s">
        <v>75</v>
      </c>
      <c r="D368">
        <v>3.65</v>
      </c>
    </row>
    <row r="369" spans="1:4" x14ac:dyDescent="0.45">
      <c r="A369" t="s">
        <v>91</v>
      </c>
      <c r="B369">
        <v>2021</v>
      </c>
      <c r="C369" t="s">
        <v>75</v>
      </c>
      <c r="D369">
        <v>0.09</v>
      </c>
    </row>
    <row r="370" spans="1:4" x14ac:dyDescent="0.45">
      <c r="A370" t="s">
        <v>32</v>
      </c>
      <c r="B370">
        <v>2022</v>
      </c>
      <c r="C370" t="s">
        <v>75</v>
      </c>
      <c r="D370">
        <v>0.03</v>
      </c>
    </row>
    <row r="371" spans="1:4" x14ac:dyDescent="0.45">
      <c r="A371" t="s">
        <v>36</v>
      </c>
      <c r="B371">
        <v>2022</v>
      </c>
      <c r="C371" t="s">
        <v>75</v>
      </c>
      <c r="D371">
        <v>0.23</v>
      </c>
    </row>
    <row r="372" spans="1:4" x14ac:dyDescent="0.45">
      <c r="A372" t="s">
        <v>56</v>
      </c>
      <c r="B372">
        <v>2022</v>
      </c>
      <c r="C372" t="s">
        <v>75</v>
      </c>
      <c r="D372">
        <v>15.07</v>
      </c>
    </row>
    <row r="373" spans="1:4" x14ac:dyDescent="0.45">
      <c r="A373" t="s">
        <v>57</v>
      </c>
      <c r="B373">
        <v>2022</v>
      </c>
      <c r="C373" t="s">
        <v>75</v>
      </c>
      <c r="D373">
        <v>2.96</v>
      </c>
    </row>
    <row r="374" spans="1:4" x14ac:dyDescent="0.45">
      <c r="A374" t="s">
        <v>38</v>
      </c>
      <c r="B374">
        <v>2022</v>
      </c>
      <c r="C374" t="s">
        <v>75</v>
      </c>
      <c r="D374">
        <v>0.5</v>
      </c>
    </row>
    <row r="375" spans="1:4" x14ac:dyDescent="0.45">
      <c r="A375" t="s">
        <v>32</v>
      </c>
      <c r="B375">
        <v>2022</v>
      </c>
      <c r="C375" t="s">
        <v>75</v>
      </c>
      <c r="D375">
        <v>0.2</v>
      </c>
    </row>
    <row r="376" spans="1:4" x14ac:dyDescent="0.45">
      <c r="A376" t="s">
        <v>58</v>
      </c>
      <c r="B376">
        <v>2022</v>
      </c>
      <c r="C376" t="s">
        <v>75</v>
      </c>
      <c r="D376">
        <v>4.34</v>
      </c>
    </row>
    <row r="377" spans="1:4" x14ac:dyDescent="0.45">
      <c r="A377" t="s">
        <v>91</v>
      </c>
      <c r="B377">
        <v>2022</v>
      </c>
      <c r="C377" t="s">
        <v>75</v>
      </c>
      <c r="D377">
        <v>0.09</v>
      </c>
    </row>
    <row r="378" spans="1:4" x14ac:dyDescent="0.45">
      <c r="A378" t="s">
        <v>32</v>
      </c>
      <c r="B378">
        <v>2023</v>
      </c>
      <c r="C378" t="s">
        <v>75</v>
      </c>
      <c r="D378">
        <v>0.03</v>
      </c>
    </row>
    <row r="379" spans="1:4" x14ac:dyDescent="0.45">
      <c r="A379" t="s">
        <v>36</v>
      </c>
      <c r="B379">
        <v>2023</v>
      </c>
      <c r="C379" t="s">
        <v>75</v>
      </c>
      <c r="D379">
        <v>0.23</v>
      </c>
    </row>
    <row r="380" spans="1:4" x14ac:dyDescent="0.45">
      <c r="A380" t="s">
        <v>56</v>
      </c>
      <c r="B380">
        <v>2023</v>
      </c>
      <c r="C380" t="s">
        <v>75</v>
      </c>
      <c r="D380">
        <v>15.28</v>
      </c>
    </row>
    <row r="381" spans="1:4" x14ac:dyDescent="0.45">
      <c r="A381" t="s">
        <v>57</v>
      </c>
      <c r="B381">
        <v>2023</v>
      </c>
      <c r="C381" t="s">
        <v>75</v>
      </c>
      <c r="D381">
        <v>2.96</v>
      </c>
    </row>
    <row r="382" spans="1:4" x14ac:dyDescent="0.45">
      <c r="A382" t="s">
        <v>38</v>
      </c>
      <c r="B382">
        <v>2023</v>
      </c>
      <c r="C382" t="s">
        <v>75</v>
      </c>
      <c r="D382">
        <v>0.5</v>
      </c>
    </row>
    <row r="383" spans="1:4" x14ac:dyDescent="0.45">
      <c r="A383" t="s">
        <v>32</v>
      </c>
      <c r="B383">
        <v>2023</v>
      </c>
      <c r="C383" t="s">
        <v>75</v>
      </c>
      <c r="D383">
        <v>0.2</v>
      </c>
    </row>
    <row r="384" spans="1:4" x14ac:dyDescent="0.45">
      <c r="A384" t="s">
        <v>58</v>
      </c>
      <c r="B384">
        <v>2023</v>
      </c>
      <c r="C384" t="s">
        <v>75</v>
      </c>
      <c r="D384">
        <v>5.84</v>
      </c>
    </row>
    <row r="385" spans="1:4" x14ac:dyDescent="0.45">
      <c r="A385" t="s">
        <v>91</v>
      </c>
      <c r="B385">
        <v>2023</v>
      </c>
      <c r="C385" t="s">
        <v>75</v>
      </c>
      <c r="D385">
        <v>0.09</v>
      </c>
    </row>
    <row r="386" spans="1:4" x14ac:dyDescent="0.45">
      <c r="A386" t="s">
        <v>32</v>
      </c>
      <c r="B386">
        <v>2000</v>
      </c>
      <c r="C386" t="s">
        <v>76</v>
      </c>
      <c r="D386">
        <v>0.05</v>
      </c>
    </row>
    <row r="387" spans="1:4" x14ac:dyDescent="0.45">
      <c r="A387" t="s">
        <v>36</v>
      </c>
      <c r="B387">
        <v>2000</v>
      </c>
      <c r="C387" t="s">
        <v>76</v>
      </c>
      <c r="D387">
        <v>0.32</v>
      </c>
    </row>
    <row r="388" spans="1:4" x14ac:dyDescent="0.45">
      <c r="A388" t="s">
        <v>56</v>
      </c>
      <c r="B388">
        <v>2000</v>
      </c>
      <c r="C388" t="s">
        <v>76</v>
      </c>
      <c r="D388">
        <v>0.88</v>
      </c>
    </row>
    <row r="389" spans="1:4" x14ac:dyDescent="0.45">
      <c r="A389" t="s">
        <v>57</v>
      </c>
      <c r="B389">
        <v>2000</v>
      </c>
      <c r="C389" t="s">
        <v>76</v>
      </c>
      <c r="D389">
        <v>0.12</v>
      </c>
    </row>
    <row r="390" spans="1:4" x14ac:dyDescent="0.45">
      <c r="A390" t="s">
        <v>38</v>
      </c>
      <c r="B390">
        <v>2000</v>
      </c>
      <c r="C390" t="s">
        <v>76</v>
      </c>
      <c r="D390">
        <v>0.74</v>
      </c>
    </row>
    <row r="391" spans="1:4" x14ac:dyDescent="0.45">
      <c r="A391" t="s">
        <v>32</v>
      </c>
      <c r="B391">
        <v>2000</v>
      </c>
      <c r="C391" t="s">
        <v>76</v>
      </c>
      <c r="D391">
        <v>0.02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0.04</v>
      </c>
    </row>
    <row r="395" spans="1:4" x14ac:dyDescent="0.45">
      <c r="A395" t="s">
        <v>36</v>
      </c>
      <c r="B395">
        <v>2001</v>
      </c>
      <c r="C395" t="s">
        <v>76</v>
      </c>
      <c r="D395">
        <v>0.32</v>
      </c>
    </row>
    <row r="396" spans="1:4" x14ac:dyDescent="0.45">
      <c r="A396" t="s">
        <v>56</v>
      </c>
      <c r="B396">
        <v>2001</v>
      </c>
      <c r="C396" t="s">
        <v>76</v>
      </c>
      <c r="D396">
        <v>0.98</v>
      </c>
    </row>
    <row r="397" spans="1:4" x14ac:dyDescent="0.45">
      <c r="A397" t="s">
        <v>57</v>
      </c>
      <c r="B397">
        <v>2001</v>
      </c>
      <c r="C397" t="s">
        <v>76</v>
      </c>
      <c r="D397">
        <v>0.12</v>
      </c>
    </row>
    <row r="398" spans="1:4" x14ac:dyDescent="0.45">
      <c r="A398" t="s">
        <v>38</v>
      </c>
      <c r="B398">
        <v>2001</v>
      </c>
      <c r="C398" t="s">
        <v>76</v>
      </c>
      <c r="D398">
        <v>0.78</v>
      </c>
    </row>
    <row r="399" spans="1:4" x14ac:dyDescent="0.45">
      <c r="A399" t="s">
        <v>32</v>
      </c>
      <c r="B399">
        <v>2001</v>
      </c>
      <c r="C399" t="s">
        <v>76</v>
      </c>
      <c r="D399">
        <v>0.03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0.05</v>
      </c>
    </row>
    <row r="403" spans="1:4" x14ac:dyDescent="0.45">
      <c r="A403" t="s">
        <v>36</v>
      </c>
      <c r="B403">
        <v>2002</v>
      </c>
      <c r="C403" t="s">
        <v>76</v>
      </c>
      <c r="D403">
        <v>0.34</v>
      </c>
    </row>
    <row r="404" spans="1:4" x14ac:dyDescent="0.45">
      <c r="A404" t="s">
        <v>56</v>
      </c>
      <c r="B404">
        <v>2002</v>
      </c>
      <c r="C404" t="s">
        <v>76</v>
      </c>
      <c r="D404">
        <v>0.84</v>
      </c>
    </row>
    <row r="405" spans="1:4" x14ac:dyDescent="0.45">
      <c r="A405" t="s">
        <v>57</v>
      </c>
      <c r="B405">
        <v>2002</v>
      </c>
      <c r="C405" t="s">
        <v>76</v>
      </c>
      <c r="D405">
        <v>0.13</v>
      </c>
    </row>
    <row r="406" spans="1:4" x14ac:dyDescent="0.45">
      <c r="A406" t="s">
        <v>38</v>
      </c>
      <c r="B406">
        <v>2002</v>
      </c>
      <c r="C406" t="s">
        <v>76</v>
      </c>
      <c r="D406">
        <v>0.78</v>
      </c>
    </row>
    <row r="407" spans="1:4" x14ac:dyDescent="0.45">
      <c r="A407" t="s">
        <v>32</v>
      </c>
      <c r="B407">
        <v>2002</v>
      </c>
      <c r="C407" t="s">
        <v>76</v>
      </c>
      <c r="D407">
        <v>0.03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0.05</v>
      </c>
    </row>
    <row r="411" spans="1:4" x14ac:dyDescent="0.45">
      <c r="A411" t="s">
        <v>36</v>
      </c>
      <c r="B411">
        <v>2003</v>
      </c>
      <c r="C411" t="s">
        <v>76</v>
      </c>
      <c r="D411">
        <v>0.35</v>
      </c>
    </row>
    <row r="412" spans="1:4" x14ac:dyDescent="0.45">
      <c r="A412" t="s">
        <v>56</v>
      </c>
      <c r="B412">
        <v>2003</v>
      </c>
      <c r="C412" t="s">
        <v>76</v>
      </c>
      <c r="D412">
        <v>0.83</v>
      </c>
    </row>
    <row r="413" spans="1:4" x14ac:dyDescent="0.45">
      <c r="A413" t="s">
        <v>57</v>
      </c>
      <c r="B413">
        <v>2003</v>
      </c>
      <c r="C413" t="s">
        <v>76</v>
      </c>
      <c r="D413">
        <v>0.13</v>
      </c>
    </row>
    <row r="414" spans="1:4" x14ac:dyDescent="0.45">
      <c r="A414" t="s">
        <v>38</v>
      </c>
      <c r="B414">
        <v>2003</v>
      </c>
      <c r="C414" t="s">
        <v>76</v>
      </c>
      <c r="D414">
        <v>0.79</v>
      </c>
    </row>
    <row r="415" spans="1:4" x14ac:dyDescent="0.45">
      <c r="A415" t="s">
        <v>32</v>
      </c>
      <c r="B415">
        <v>2003</v>
      </c>
      <c r="C415" t="s">
        <v>76</v>
      </c>
      <c r="D415">
        <v>0.03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0.05</v>
      </c>
    </row>
    <row r="419" spans="1:4" x14ac:dyDescent="0.45">
      <c r="A419" t="s">
        <v>36</v>
      </c>
      <c r="B419">
        <v>2004</v>
      </c>
      <c r="C419" t="s">
        <v>76</v>
      </c>
      <c r="D419">
        <v>0.36</v>
      </c>
    </row>
    <row r="420" spans="1:4" x14ac:dyDescent="0.45">
      <c r="A420" t="s">
        <v>56</v>
      </c>
      <c r="B420">
        <v>2004</v>
      </c>
      <c r="C420" t="s">
        <v>76</v>
      </c>
      <c r="D420">
        <v>0.8</v>
      </c>
    </row>
    <row r="421" spans="1:4" x14ac:dyDescent="0.45">
      <c r="A421" t="s">
        <v>57</v>
      </c>
      <c r="B421">
        <v>2004</v>
      </c>
      <c r="C421" t="s">
        <v>76</v>
      </c>
      <c r="D421">
        <v>0.12</v>
      </c>
    </row>
    <row r="422" spans="1:4" x14ac:dyDescent="0.45">
      <c r="A422" t="s">
        <v>38</v>
      </c>
      <c r="B422">
        <v>2004</v>
      </c>
      <c r="C422" t="s">
        <v>76</v>
      </c>
      <c r="D422">
        <v>0.8</v>
      </c>
    </row>
    <row r="423" spans="1:4" x14ac:dyDescent="0.45">
      <c r="A423" t="s">
        <v>32</v>
      </c>
      <c r="B423">
        <v>2004</v>
      </c>
      <c r="C423" t="s">
        <v>76</v>
      </c>
      <c r="D423">
        <v>0.03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0.05</v>
      </c>
    </row>
    <row r="427" spans="1:4" x14ac:dyDescent="0.45">
      <c r="A427" t="s">
        <v>36</v>
      </c>
      <c r="B427">
        <v>2005</v>
      </c>
      <c r="C427" t="s">
        <v>76</v>
      </c>
      <c r="D427">
        <v>0.33</v>
      </c>
    </row>
    <row r="428" spans="1:4" x14ac:dyDescent="0.45">
      <c r="A428" t="s">
        <v>56</v>
      </c>
      <c r="B428">
        <v>2005</v>
      </c>
      <c r="C428" t="s">
        <v>76</v>
      </c>
      <c r="D428">
        <v>0.74</v>
      </c>
    </row>
    <row r="429" spans="1:4" x14ac:dyDescent="0.45">
      <c r="A429" t="s">
        <v>57</v>
      </c>
      <c r="B429">
        <v>2005</v>
      </c>
      <c r="C429" t="s">
        <v>76</v>
      </c>
      <c r="D429">
        <v>0.11</v>
      </c>
    </row>
    <row r="430" spans="1:4" x14ac:dyDescent="0.45">
      <c r="A430" t="s">
        <v>38</v>
      </c>
      <c r="B430">
        <v>2005</v>
      </c>
      <c r="C430" t="s">
        <v>76</v>
      </c>
      <c r="D430">
        <v>0.86</v>
      </c>
    </row>
    <row r="431" spans="1:4" x14ac:dyDescent="0.45">
      <c r="A431" t="s">
        <v>32</v>
      </c>
      <c r="B431">
        <v>2005</v>
      </c>
      <c r="C431" t="s">
        <v>76</v>
      </c>
      <c r="D431">
        <v>0.03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0.05</v>
      </c>
    </row>
    <row r="435" spans="1:4" x14ac:dyDescent="0.45">
      <c r="A435" t="s">
        <v>36</v>
      </c>
      <c r="B435">
        <v>2006</v>
      </c>
      <c r="C435" t="s">
        <v>76</v>
      </c>
      <c r="D435">
        <v>0.3</v>
      </c>
    </row>
    <row r="436" spans="1:4" x14ac:dyDescent="0.45">
      <c r="A436" t="s">
        <v>56</v>
      </c>
      <c r="B436">
        <v>2006</v>
      </c>
      <c r="C436" t="s">
        <v>76</v>
      </c>
      <c r="D436">
        <v>0.74</v>
      </c>
    </row>
    <row r="437" spans="1:4" x14ac:dyDescent="0.45">
      <c r="A437" t="s">
        <v>57</v>
      </c>
      <c r="B437">
        <v>2006</v>
      </c>
      <c r="C437" t="s">
        <v>76</v>
      </c>
      <c r="D437">
        <v>0.13</v>
      </c>
    </row>
    <row r="438" spans="1:4" x14ac:dyDescent="0.45">
      <c r="A438" t="s">
        <v>38</v>
      </c>
      <c r="B438">
        <v>2006</v>
      </c>
      <c r="C438" t="s">
        <v>76</v>
      </c>
      <c r="D438">
        <v>0.91</v>
      </c>
    </row>
    <row r="439" spans="1:4" x14ac:dyDescent="0.45">
      <c r="A439" t="s">
        <v>32</v>
      </c>
      <c r="B439">
        <v>2006</v>
      </c>
      <c r="C439" t="s">
        <v>76</v>
      </c>
      <c r="D439">
        <v>0.03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0.06</v>
      </c>
    </row>
    <row r="443" spans="1:4" x14ac:dyDescent="0.45">
      <c r="A443" t="s">
        <v>36</v>
      </c>
      <c r="B443">
        <v>2007</v>
      </c>
      <c r="C443" t="s">
        <v>76</v>
      </c>
      <c r="D443">
        <v>0.28000000000000003</v>
      </c>
    </row>
    <row r="444" spans="1:4" x14ac:dyDescent="0.45">
      <c r="A444" t="s">
        <v>56</v>
      </c>
      <c r="B444">
        <v>2007</v>
      </c>
      <c r="C444" t="s">
        <v>76</v>
      </c>
      <c r="D444">
        <v>0.84</v>
      </c>
    </row>
    <row r="445" spans="1:4" x14ac:dyDescent="0.45">
      <c r="A445" t="s">
        <v>57</v>
      </c>
      <c r="B445">
        <v>2007</v>
      </c>
      <c r="C445" t="s">
        <v>76</v>
      </c>
      <c r="D445">
        <v>0.13</v>
      </c>
    </row>
    <row r="446" spans="1:4" x14ac:dyDescent="0.45">
      <c r="A446" t="s">
        <v>38</v>
      </c>
      <c r="B446">
        <v>2007</v>
      </c>
      <c r="C446" t="s">
        <v>76</v>
      </c>
      <c r="D446">
        <v>0.85</v>
      </c>
    </row>
    <row r="447" spans="1:4" x14ac:dyDescent="0.45">
      <c r="A447" t="s">
        <v>32</v>
      </c>
      <c r="B447">
        <v>2007</v>
      </c>
      <c r="C447" t="s">
        <v>76</v>
      </c>
      <c r="D447">
        <v>0.03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</v>
      </c>
    </row>
    <row r="450" spans="1:4" x14ac:dyDescent="0.45">
      <c r="A450" t="s">
        <v>32</v>
      </c>
      <c r="B450">
        <v>2008</v>
      </c>
      <c r="C450" t="s">
        <v>76</v>
      </c>
      <c r="D450">
        <v>7.0000000000000007E-2</v>
      </c>
    </row>
    <row r="451" spans="1:4" x14ac:dyDescent="0.45">
      <c r="A451" t="s">
        <v>36</v>
      </c>
      <c r="B451">
        <v>2008</v>
      </c>
      <c r="C451" t="s">
        <v>76</v>
      </c>
      <c r="D451">
        <v>0.28000000000000003</v>
      </c>
    </row>
    <row r="452" spans="1:4" x14ac:dyDescent="0.45">
      <c r="A452" t="s">
        <v>56</v>
      </c>
      <c r="B452">
        <v>2008</v>
      </c>
      <c r="C452" t="s">
        <v>76</v>
      </c>
      <c r="D452">
        <v>0.86</v>
      </c>
    </row>
    <row r="453" spans="1:4" x14ac:dyDescent="0.45">
      <c r="A453" t="s">
        <v>57</v>
      </c>
      <c r="B453">
        <v>2008</v>
      </c>
      <c r="C453" t="s">
        <v>76</v>
      </c>
      <c r="D453">
        <v>0.13</v>
      </c>
    </row>
    <row r="454" spans="1:4" x14ac:dyDescent="0.45">
      <c r="A454" t="s">
        <v>38</v>
      </c>
      <c r="B454">
        <v>2008</v>
      </c>
      <c r="C454" t="s">
        <v>76</v>
      </c>
      <c r="D454">
        <v>0.84</v>
      </c>
    </row>
    <row r="455" spans="1:4" x14ac:dyDescent="0.45">
      <c r="A455" t="s">
        <v>32</v>
      </c>
      <c r="B455">
        <v>2008</v>
      </c>
      <c r="C455" t="s">
        <v>76</v>
      </c>
      <c r="D455">
        <v>0.03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</v>
      </c>
    </row>
    <row r="458" spans="1:4" x14ac:dyDescent="0.45">
      <c r="A458" t="s">
        <v>32</v>
      </c>
      <c r="B458">
        <v>2009</v>
      </c>
      <c r="C458" t="s">
        <v>76</v>
      </c>
      <c r="D458">
        <v>0.08</v>
      </c>
    </row>
    <row r="459" spans="1:4" x14ac:dyDescent="0.45">
      <c r="A459" t="s">
        <v>36</v>
      </c>
      <c r="B459">
        <v>2009</v>
      </c>
      <c r="C459" t="s">
        <v>76</v>
      </c>
      <c r="D459">
        <v>0.27</v>
      </c>
    </row>
    <row r="460" spans="1:4" x14ac:dyDescent="0.45">
      <c r="A460" t="s">
        <v>56</v>
      </c>
      <c r="B460">
        <v>2009</v>
      </c>
      <c r="C460" t="s">
        <v>76</v>
      </c>
      <c r="D460">
        <v>0.85</v>
      </c>
    </row>
    <row r="461" spans="1:4" x14ac:dyDescent="0.45">
      <c r="A461" t="s">
        <v>57</v>
      </c>
      <c r="B461">
        <v>2009</v>
      </c>
      <c r="C461" t="s">
        <v>76</v>
      </c>
      <c r="D461">
        <v>0.13</v>
      </c>
    </row>
    <row r="462" spans="1:4" x14ac:dyDescent="0.45">
      <c r="A462" t="s">
        <v>38</v>
      </c>
      <c r="B462">
        <v>2009</v>
      </c>
      <c r="C462" t="s">
        <v>76</v>
      </c>
      <c r="D462">
        <v>0.82</v>
      </c>
    </row>
    <row r="463" spans="1:4" x14ac:dyDescent="0.45">
      <c r="A463" t="s">
        <v>32</v>
      </c>
      <c r="B463">
        <v>2009</v>
      </c>
      <c r="C463" t="s">
        <v>76</v>
      </c>
      <c r="D463">
        <v>0.03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</v>
      </c>
    </row>
    <row r="466" spans="1:4" x14ac:dyDescent="0.45">
      <c r="A466" t="s">
        <v>32</v>
      </c>
      <c r="B466">
        <v>2010</v>
      </c>
      <c r="C466" t="s">
        <v>76</v>
      </c>
      <c r="D466">
        <v>0.08</v>
      </c>
    </row>
    <row r="467" spans="1:4" x14ac:dyDescent="0.45">
      <c r="A467" t="s">
        <v>36</v>
      </c>
      <c r="B467">
        <v>2010</v>
      </c>
      <c r="C467" t="s">
        <v>76</v>
      </c>
      <c r="D467">
        <v>0.39</v>
      </c>
    </row>
    <row r="468" spans="1:4" x14ac:dyDescent="0.45">
      <c r="A468" t="s">
        <v>56</v>
      </c>
      <c r="B468">
        <v>2010</v>
      </c>
      <c r="C468" t="s">
        <v>76</v>
      </c>
      <c r="D468">
        <v>0.86</v>
      </c>
    </row>
    <row r="469" spans="1:4" x14ac:dyDescent="0.45">
      <c r="A469" t="s">
        <v>57</v>
      </c>
      <c r="B469">
        <v>2010</v>
      </c>
      <c r="C469" t="s">
        <v>76</v>
      </c>
      <c r="D469">
        <v>0.12</v>
      </c>
    </row>
    <row r="470" spans="1:4" x14ac:dyDescent="0.45">
      <c r="A470" t="s">
        <v>38</v>
      </c>
      <c r="B470">
        <v>2010</v>
      </c>
      <c r="C470" t="s">
        <v>76</v>
      </c>
      <c r="D470">
        <v>0.8</v>
      </c>
    </row>
    <row r="471" spans="1:4" x14ac:dyDescent="0.45">
      <c r="A471" t="s">
        <v>32</v>
      </c>
      <c r="B471">
        <v>2010</v>
      </c>
      <c r="C471" t="s">
        <v>76</v>
      </c>
      <c r="D471">
        <v>0.03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</v>
      </c>
    </row>
    <row r="474" spans="1:4" x14ac:dyDescent="0.45">
      <c r="A474" t="s">
        <v>32</v>
      </c>
      <c r="B474">
        <v>2011</v>
      </c>
      <c r="C474" t="s">
        <v>76</v>
      </c>
      <c r="D474">
        <v>0.1</v>
      </c>
    </row>
    <row r="475" spans="1:4" x14ac:dyDescent="0.45">
      <c r="A475" t="s">
        <v>36</v>
      </c>
      <c r="B475">
        <v>2011</v>
      </c>
      <c r="C475" t="s">
        <v>76</v>
      </c>
      <c r="D475">
        <v>0.36</v>
      </c>
    </row>
    <row r="476" spans="1:4" x14ac:dyDescent="0.45">
      <c r="A476" t="s">
        <v>56</v>
      </c>
      <c r="B476">
        <v>2011</v>
      </c>
      <c r="C476" t="s">
        <v>76</v>
      </c>
      <c r="D476">
        <v>0.77</v>
      </c>
    </row>
    <row r="477" spans="1:4" x14ac:dyDescent="0.45">
      <c r="A477" t="s">
        <v>57</v>
      </c>
      <c r="B477">
        <v>2011</v>
      </c>
      <c r="C477" t="s">
        <v>76</v>
      </c>
      <c r="D477">
        <v>0.12</v>
      </c>
    </row>
    <row r="478" spans="1:4" x14ac:dyDescent="0.45">
      <c r="A478" t="s">
        <v>38</v>
      </c>
      <c r="B478">
        <v>2011</v>
      </c>
      <c r="C478" t="s">
        <v>76</v>
      </c>
      <c r="D478">
        <v>0.78</v>
      </c>
    </row>
    <row r="479" spans="1:4" x14ac:dyDescent="0.45">
      <c r="A479" t="s">
        <v>32</v>
      </c>
      <c r="B479">
        <v>2011</v>
      </c>
      <c r="C479" t="s">
        <v>76</v>
      </c>
      <c r="D479">
        <v>0.04</v>
      </c>
    </row>
    <row r="480" spans="1:4" x14ac:dyDescent="0.45">
      <c r="A480" t="s">
        <v>58</v>
      </c>
      <c r="B480">
        <v>2011</v>
      </c>
      <c r="C480" t="s">
        <v>76</v>
      </c>
      <c r="D480">
        <v>0.01</v>
      </c>
    </row>
    <row r="481" spans="1:4" x14ac:dyDescent="0.45">
      <c r="A481" t="s">
        <v>91</v>
      </c>
      <c r="B481">
        <v>2011</v>
      </c>
      <c r="C481" t="s">
        <v>76</v>
      </c>
      <c r="D481">
        <v>0</v>
      </c>
    </row>
    <row r="482" spans="1:4" x14ac:dyDescent="0.45">
      <c r="A482" t="s">
        <v>32</v>
      </c>
      <c r="B482">
        <v>2012</v>
      </c>
      <c r="C482" t="s">
        <v>76</v>
      </c>
      <c r="D482">
        <v>0.11</v>
      </c>
    </row>
    <row r="483" spans="1:4" x14ac:dyDescent="0.45">
      <c r="A483" t="s">
        <v>36</v>
      </c>
      <c r="B483">
        <v>2012</v>
      </c>
      <c r="C483" t="s">
        <v>76</v>
      </c>
      <c r="D483">
        <v>0.34</v>
      </c>
    </row>
    <row r="484" spans="1:4" x14ac:dyDescent="0.45">
      <c r="A484" t="s">
        <v>56</v>
      </c>
      <c r="B484">
        <v>2012</v>
      </c>
      <c r="C484" t="s">
        <v>76</v>
      </c>
      <c r="D484">
        <v>0.92</v>
      </c>
    </row>
    <row r="485" spans="1:4" x14ac:dyDescent="0.45">
      <c r="A485" t="s">
        <v>57</v>
      </c>
      <c r="B485">
        <v>2012</v>
      </c>
      <c r="C485" t="s">
        <v>76</v>
      </c>
      <c r="D485">
        <v>0.12</v>
      </c>
    </row>
    <row r="486" spans="1:4" x14ac:dyDescent="0.45">
      <c r="A486" t="s">
        <v>38</v>
      </c>
      <c r="B486">
        <v>2012</v>
      </c>
      <c r="C486" t="s">
        <v>76</v>
      </c>
      <c r="D486">
        <v>0.82</v>
      </c>
    </row>
    <row r="487" spans="1:4" x14ac:dyDescent="0.45">
      <c r="A487" t="s">
        <v>32</v>
      </c>
      <c r="B487">
        <v>2012</v>
      </c>
      <c r="C487" t="s">
        <v>76</v>
      </c>
      <c r="D487">
        <v>0.04</v>
      </c>
    </row>
    <row r="488" spans="1:4" x14ac:dyDescent="0.45">
      <c r="A488" t="s">
        <v>58</v>
      </c>
      <c r="B488">
        <v>2012</v>
      </c>
      <c r="C488" t="s">
        <v>76</v>
      </c>
      <c r="D488">
        <v>0.01</v>
      </c>
    </row>
    <row r="489" spans="1:4" x14ac:dyDescent="0.45">
      <c r="A489" t="s">
        <v>91</v>
      </c>
      <c r="B489">
        <v>2012</v>
      </c>
      <c r="C489" t="s">
        <v>76</v>
      </c>
      <c r="D489">
        <v>0</v>
      </c>
    </row>
    <row r="490" spans="1:4" x14ac:dyDescent="0.45">
      <c r="A490" t="s">
        <v>32</v>
      </c>
      <c r="B490">
        <v>2013</v>
      </c>
      <c r="C490" t="s">
        <v>76</v>
      </c>
      <c r="D490">
        <v>0.13</v>
      </c>
    </row>
    <row r="491" spans="1:4" x14ac:dyDescent="0.45">
      <c r="A491" t="s">
        <v>36</v>
      </c>
      <c r="B491">
        <v>2013</v>
      </c>
      <c r="C491" t="s">
        <v>76</v>
      </c>
      <c r="D491">
        <v>0.28000000000000003</v>
      </c>
    </row>
    <row r="492" spans="1:4" x14ac:dyDescent="0.45">
      <c r="A492" t="s">
        <v>56</v>
      </c>
      <c r="B492">
        <v>2013</v>
      </c>
      <c r="C492" t="s">
        <v>76</v>
      </c>
      <c r="D492">
        <v>0.91</v>
      </c>
    </row>
    <row r="493" spans="1:4" x14ac:dyDescent="0.45">
      <c r="A493" t="s">
        <v>57</v>
      </c>
      <c r="B493">
        <v>2013</v>
      </c>
      <c r="C493" t="s">
        <v>76</v>
      </c>
      <c r="D493">
        <v>0.12</v>
      </c>
    </row>
    <row r="494" spans="1:4" x14ac:dyDescent="0.45">
      <c r="A494" t="s">
        <v>38</v>
      </c>
      <c r="B494">
        <v>2013</v>
      </c>
      <c r="C494" t="s">
        <v>76</v>
      </c>
      <c r="D494">
        <v>0.84</v>
      </c>
    </row>
    <row r="495" spans="1:4" x14ac:dyDescent="0.45">
      <c r="A495" t="s">
        <v>32</v>
      </c>
      <c r="B495">
        <v>2013</v>
      </c>
      <c r="C495" t="s">
        <v>76</v>
      </c>
      <c r="D495">
        <v>0.04</v>
      </c>
    </row>
    <row r="496" spans="1:4" x14ac:dyDescent="0.45">
      <c r="A496" t="s">
        <v>58</v>
      </c>
      <c r="B496">
        <v>2013</v>
      </c>
      <c r="C496" t="s">
        <v>76</v>
      </c>
      <c r="D496">
        <v>0.02</v>
      </c>
    </row>
    <row r="497" spans="1:4" x14ac:dyDescent="0.45">
      <c r="A497" t="s">
        <v>91</v>
      </c>
      <c r="B497">
        <v>2013</v>
      </c>
      <c r="C497" t="s">
        <v>76</v>
      </c>
      <c r="D497">
        <v>0</v>
      </c>
    </row>
    <row r="498" spans="1:4" x14ac:dyDescent="0.45">
      <c r="A498" t="s">
        <v>32</v>
      </c>
      <c r="B498">
        <v>2014</v>
      </c>
      <c r="C498" t="s">
        <v>76</v>
      </c>
      <c r="D498">
        <v>0.13</v>
      </c>
    </row>
    <row r="499" spans="1:4" x14ac:dyDescent="0.45">
      <c r="A499" t="s">
        <v>36</v>
      </c>
      <c r="B499">
        <v>2014</v>
      </c>
      <c r="C499" t="s">
        <v>76</v>
      </c>
      <c r="D499">
        <v>0.19</v>
      </c>
    </row>
    <row r="500" spans="1:4" x14ac:dyDescent="0.45">
      <c r="A500" t="s">
        <v>56</v>
      </c>
      <c r="B500">
        <v>2014</v>
      </c>
      <c r="C500" t="s">
        <v>76</v>
      </c>
      <c r="D500">
        <v>0.9</v>
      </c>
    </row>
    <row r="501" spans="1:4" x14ac:dyDescent="0.45">
      <c r="A501" t="s">
        <v>57</v>
      </c>
      <c r="B501">
        <v>2014</v>
      </c>
      <c r="C501" t="s">
        <v>76</v>
      </c>
      <c r="D501">
        <v>0.13</v>
      </c>
    </row>
    <row r="502" spans="1:4" x14ac:dyDescent="0.45">
      <c r="A502" t="s">
        <v>38</v>
      </c>
      <c r="B502">
        <v>2014</v>
      </c>
      <c r="C502" t="s">
        <v>76</v>
      </c>
      <c r="D502">
        <v>0.89</v>
      </c>
    </row>
    <row r="503" spans="1:4" x14ac:dyDescent="0.45">
      <c r="A503" t="s">
        <v>32</v>
      </c>
      <c r="B503">
        <v>2014</v>
      </c>
      <c r="C503" t="s">
        <v>76</v>
      </c>
      <c r="D503">
        <v>0.04</v>
      </c>
    </row>
    <row r="504" spans="1:4" x14ac:dyDescent="0.45">
      <c r="A504" t="s">
        <v>58</v>
      </c>
      <c r="B504">
        <v>2014</v>
      </c>
      <c r="C504" t="s">
        <v>76</v>
      </c>
      <c r="D504">
        <v>0.04</v>
      </c>
    </row>
    <row r="505" spans="1:4" x14ac:dyDescent="0.45">
      <c r="A505" t="s">
        <v>91</v>
      </c>
      <c r="B505">
        <v>2014</v>
      </c>
      <c r="C505" t="s">
        <v>76</v>
      </c>
      <c r="D505">
        <v>0</v>
      </c>
    </row>
    <row r="506" spans="1:4" x14ac:dyDescent="0.45">
      <c r="A506" t="s">
        <v>32</v>
      </c>
      <c r="B506">
        <v>2015</v>
      </c>
      <c r="C506" t="s">
        <v>76</v>
      </c>
      <c r="D506">
        <v>0.11</v>
      </c>
    </row>
    <row r="507" spans="1:4" x14ac:dyDescent="0.45">
      <c r="A507" t="s">
        <v>36</v>
      </c>
      <c r="B507">
        <v>2015</v>
      </c>
      <c r="C507" t="s">
        <v>76</v>
      </c>
      <c r="D507">
        <v>0.24</v>
      </c>
    </row>
    <row r="508" spans="1:4" x14ac:dyDescent="0.45">
      <c r="A508" t="s">
        <v>56</v>
      </c>
      <c r="B508">
        <v>2015</v>
      </c>
      <c r="C508" t="s">
        <v>76</v>
      </c>
      <c r="D508">
        <v>0.91</v>
      </c>
    </row>
    <row r="509" spans="1:4" x14ac:dyDescent="0.45">
      <c r="A509" t="s">
        <v>57</v>
      </c>
      <c r="B509">
        <v>2015</v>
      </c>
      <c r="C509" t="s">
        <v>76</v>
      </c>
      <c r="D509">
        <v>0.11</v>
      </c>
    </row>
    <row r="510" spans="1:4" x14ac:dyDescent="0.45">
      <c r="A510" t="s">
        <v>38</v>
      </c>
      <c r="B510">
        <v>2015</v>
      </c>
      <c r="C510" t="s">
        <v>76</v>
      </c>
      <c r="D510">
        <v>0.81</v>
      </c>
    </row>
    <row r="511" spans="1:4" x14ac:dyDescent="0.45">
      <c r="A511" t="s">
        <v>32</v>
      </c>
      <c r="B511">
        <v>2015</v>
      </c>
      <c r="C511" t="s">
        <v>76</v>
      </c>
      <c r="D511">
        <v>0.04</v>
      </c>
    </row>
    <row r="512" spans="1:4" x14ac:dyDescent="0.45">
      <c r="A512" t="s">
        <v>58</v>
      </c>
      <c r="B512">
        <v>2015</v>
      </c>
      <c r="C512" t="s">
        <v>76</v>
      </c>
      <c r="D512">
        <v>0.05</v>
      </c>
    </row>
    <row r="513" spans="1:4" x14ac:dyDescent="0.45">
      <c r="A513" t="s">
        <v>91</v>
      </c>
      <c r="B513">
        <v>2015</v>
      </c>
      <c r="C513" t="s">
        <v>76</v>
      </c>
      <c r="D513">
        <v>0</v>
      </c>
    </row>
    <row r="514" spans="1:4" x14ac:dyDescent="0.45">
      <c r="A514" t="s">
        <v>32</v>
      </c>
      <c r="B514">
        <v>2016</v>
      </c>
      <c r="C514" t="s">
        <v>76</v>
      </c>
      <c r="D514">
        <v>0.13</v>
      </c>
    </row>
    <row r="515" spans="1:4" x14ac:dyDescent="0.45">
      <c r="A515" t="s">
        <v>36</v>
      </c>
      <c r="B515">
        <v>2016</v>
      </c>
      <c r="C515" t="s">
        <v>76</v>
      </c>
      <c r="D515">
        <v>0.32</v>
      </c>
    </row>
    <row r="516" spans="1:4" x14ac:dyDescent="0.45">
      <c r="A516" t="s">
        <v>56</v>
      </c>
      <c r="B516">
        <v>2016</v>
      </c>
      <c r="C516" t="s">
        <v>76</v>
      </c>
      <c r="D516">
        <v>0.82</v>
      </c>
    </row>
    <row r="517" spans="1:4" x14ac:dyDescent="0.45">
      <c r="A517" t="s">
        <v>57</v>
      </c>
      <c r="B517">
        <v>2016</v>
      </c>
      <c r="C517" t="s">
        <v>76</v>
      </c>
      <c r="D517">
        <v>0.1</v>
      </c>
    </row>
    <row r="518" spans="1:4" x14ac:dyDescent="0.45">
      <c r="A518" t="s">
        <v>38</v>
      </c>
      <c r="B518">
        <v>2016</v>
      </c>
      <c r="C518" t="s">
        <v>76</v>
      </c>
      <c r="D518">
        <v>0.84</v>
      </c>
    </row>
    <row r="519" spans="1:4" x14ac:dyDescent="0.45">
      <c r="A519" t="s">
        <v>32</v>
      </c>
      <c r="B519">
        <v>2016</v>
      </c>
      <c r="C519" t="s">
        <v>76</v>
      </c>
      <c r="D519">
        <v>0.04</v>
      </c>
    </row>
    <row r="520" spans="1:4" x14ac:dyDescent="0.45">
      <c r="A520" t="s">
        <v>58</v>
      </c>
      <c r="B520">
        <v>2016</v>
      </c>
      <c r="C520" t="s">
        <v>76</v>
      </c>
      <c r="D520">
        <v>0.06</v>
      </c>
    </row>
    <row r="521" spans="1:4" x14ac:dyDescent="0.45">
      <c r="A521" t="s">
        <v>91</v>
      </c>
      <c r="B521">
        <v>2016</v>
      </c>
      <c r="C521" t="s">
        <v>76</v>
      </c>
      <c r="D521">
        <v>0</v>
      </c>
    </row>
    <row r="522" spans="1:4" x14ac:dyDescent="0.45">
      <c r="A522" t="s">
        <v>32</v>
      </c>
      <c r="B522">
        <v>2017</v>
      </c>
      <c r="C522" t="s">
        <v>76</v>
      </c>
      <c r="D522">
        <v>0.15</v>
      </c>
    </row>
    <row r="523" spans="1:4" x14ac:dyDescent="0.45">
      <c r="A523" t="s">
        <v>36</v>
      </c>
      <c r="B523">
        <v>2017</v>
      </c>
      <c r="C523" t="s">
        <v>76</v>
      </c>
      <c r="D523">
        <v>0.27</v>
      </c>
    </row>
    <row r="524" spans="1:4" x14ac:dyDescent="0.45">
      <c r="A524" t="s">
        <v>56</v>
      </c>
      <c r="B524">
        <v>2017</v>
      </c>
      <c r="C524" t="s">
        <v>76</v>
      </c>
      <c r="D524">
        <v>0.81</v>
      </c>
    </row>
    <row r="525" spans="1:4" x14ac:dyDescent="0.45">
      <c r="A525" t="s">
        <v>57</v>
      </c>
      <c r="B525">
        <v>2017</v>
      </c>
      <c r="C525" t="s">
        <v>76</v>
      </c>
      <c r="D525">
        <v>0.09</v>
      </c>
    </row>
    <row r="526" spans="1:4" x14ac:dyDescent="0.45">
      <c r="A526" t="s">
        <v>38</v>
      </c>
      <c r="B526">
        <v>2017</v>
      </c>
      <c r="C526" t="s">
        <v>76</v>
      </c>
      <c r="D526">
        <v>0.85</v>
      </c>
    </row>
    <row r="527" spans="1:4" x14ac:dyDescent="0.45">
      <c r="A527" t="s">
        <v>32</v>
      </c>
      <c r="B527">
        <v>2017</v>
      </c>
      <c r="C527" t="s">
        <v>76</v>
      </c>
      <c r="D527">
        <v>0.04</v>
      </c>
    </row>
    <row r="528" spans="1:4" x14ac:dyDescent="0.45">
      <c r="A528" t="s">
        <v>58</v>
      </c>
      <c r="B528">
        <v>2017</v>
      </c>
      <c r="C528" t="s">
        <v>76</v>
      </c>
      <c r="D528">
        <v>0.08</v>
      </c>
    </row>
    <row r="529" spans="1:4" x14ac:dyDescent="0.45">
      <c r="A529" t="s">
        <v>91</v>
      </c>
      <c r="B529">
        <v>2017</v>
      </c>
      <c r="C529" t="s">
        <v>76</v>
      </c>
      <c r="D529">
        <v>0</v>
      </c>
    </row>
    <row r="530" spans="1:4" x14ac:dyDescent="0.45">
      <c r="A530" t="s">
        <v>32</v>
      </c>
      <c r="B530">
        <v>2018</v>
      </c>
      <c r="C530" t="s">
        <v>76</v>
      </c>
      <c r="D530">
        <v>0.14000000000000001</v>
      </c>
    </row>
    <row r="531" spans="1:4" x14ac:dyDescent="0.45">
      <c r="A531" t="s">
        <v>36</v>
      </c>
      <c r="B531">
        <v>2018</v>
      </c>
      <c r="C531" t="s">
        <v>76</v>
      </c>
      <c r="D531">
        <v>0.23</v>
      </c>
    </row>
    <row r="532" spans="1:4" x14ac:dyDescent="0.45">
      <c r="A532" t="s">
        <v>56</v>
      </c>
      <c r="B532">
        <v>2018</v>
      </c>
      <c r="C532" t="s">
        <v>76</v>
      </c>
      <c r="D532">
        <v>0.83</v>
      </c>
    </row>
    <row r="533" spans="1:4" x14ac:dyDescent="0.45">
      <c r="A533" t="s">
        <v>57</v>
      </c>
      <c r="B533">
        <v>2018</v>
      </c>
      <c r="C533" t="s">
        <v>76</v>
      </c>
      <c r="D533">
        <v>0.12</v>
      </c>
    </row>
    <row r="534" spans="1:4" x14ac:dyDescent="0.45">
      <c r="A534" t="s">
        <v>38</v>
      </c>
      <c r="B534">
        <v>2018</v>
      </c>
      <c r="C534" t="s">
        <v>76</v>
      </c>
      <c r="D534">
        <v>0.84</v>
      </c>
    </row>
    <row r="535" spans="1:4" x14ac:dyDescent="0.45">
      <c r="A535" t="s">
        <v>32</v>
      </c>
      <c r="B535">
        <v>2018</v>
      </c>
      <c r="C535" t="s">
        <v>76</v>
      </c>
      <c r="D535">
        <v>0.04</v>
      </c>
    </row>
    <row r="536" spans="1:4" x14ac:dyDescent="0.45">
      <c r="A536" t="s">
        <v>58</v>
      </c>
      <c r="B536">
        <v>2018</v>
      </c>
      <c r="C536" t="s">
        <v>76</v>
      </c>
      <c r="D536">
        <v>0.09</v>
      </c>
    </row>
    <row r="537" spans="1:4" x14ac:dyDescent="0.45">
      <c r="A537" t="s">
        <v>91</v>
      </c>
      <c r="B537">
        <v>2018</v>
      </c>
      <c r="C537" t="s">
        <v>76</v>
      </c>
      <c r="D537">
        <v>0</v>
      </c>
    </row>
    <row r="538" spans="1:4" x14ac:dyDescent="0.45">
      <c r="A538" t="s">
        <v>32</v>
      </c>
      <c r="B538">
        <v>2019</v>
      </c>
      <c r="C538" t="s">
        <v>76</v>
      </c>
      <c r="D538">
        <v>0.15</v>
      </c>
    </row>
    <row r="539" spans="1:4" x14ac:dyDescent="0.45">
      <c r="A539" t="s">
        <v>36</v>
      </c>
      <c r="B539">
        <v>2019</v>
      </c>
      <c r="C539" t="s">
        <v>76</v>
      </c>
      <c r="D539">
        <v>0.23</v>
      </c>
    </row>
    <row r="540" spans="1:4" x14ac:dyDescent="0.45">
      <c r="A540" t="s">
        <v>56</v>
      </c>
      <c r="B540">
        <v>2019</v>
      </c>
      <c r="C540" t="s">
        <v>76</v>
      </c>
      <c r="D540">
        <v>0.9</v>
      </c>
    </row>
    <row r="541" spans="1:4" x14ac:dyDescent="0.45">
      <c r="A541" t="s">
        <v>57</v>
      </c>
      <c r="B541">
        <v>2019</v>
      </c>
      <c r="C541" t="s">
        <v>76</v>
      </c>
      <c r="D541">
        <v>0.12</v>
      </c>
    </row>
    <row r="542" spans="1:4" x14ac:dyDescent="0.45">
      <c r="A542" t="s">
        <v>38</v>
      </c>
      <c r="B542">
        <v>2019</v>
      </c>
      <c r="C542" t="s">
        <v>76</v>
      </c>
      <c r="D542">
        <v>0.85</v>
      </c>
    </row>
    <row r="543" spans="1:4" x14ac:dyDescent="0.45">
      <c r="A543" t="s">
        <v>32</v>
      </c>
      <c r="B543">
        <v>2019</v>
      </c>
      <c r="C543" t="s">
        <v>76</v>
      </c>
      <c r="D543">
        <v>0.04</v>
      </c>
    </row>
    <row r="544" spans="1:4" x14ac:dyDescent="0.45">
      <c r="A544" t="s">
        <v>58</v>
      </c>
      <c r="B544">
        <v>2019</v>
      </c>
      <c r="C544" t="s">
        <v>76</v>
      </c>
      <c r="D544">
        <v>0.1</v>
      </c>
    </row>
    <row r="545" spans="1:4" x14ac:dyDescent="0.45">
      <c r="A545" t="s">
        <v>91</v>
      </c>
      <c r="B545">
        <v>2019</v>
      </c>
      <c r="C545" t="s">
        <v>76</v>
      </c>
      <c r="D545">
        <v>0</v>
      </c>
    </row>
    <row r="546" spans="1:4" x14ac:dyDescent="0.45">
      <c r="A546" t="s">
        <v>32</v>
      </c>
      <c r="B546">
        <v>2020</v>
      </c>
      <c r="C546" t="s">
        <v>76</v>
      </c>
      <c r="D546">
        <v>0.18</v>
      </c>
    </row>
    <row r="547" spans="1:4" x14ac:dyDescent="0.45">
      <c r="A547" t="s">
        <v>36</v>
      </c>
      <c r="B547">
        <v>2020</v>
      </c>
      <c r="C547" t="s">
        <v>76</v>
      </c>
      <c r="D547">
        <v>0.23</v>
      </c>
    </row>
    <row r="548" spans="1:4" x14ac:dyDescent="0.45">
      <c r="A548" t="s">
        <v>56</v>
      </c>
      <c r="B548">
        <v>2020</v>
      </c>
      <c r="C548" t="s">
        <v>76</v>
      </c>
      <c r="D548">
        <v>0.9</v>
      </c>
    </row>
    <row r="549" spans="1:4" x14ac:dyDescent="0.45">
      <c r="A549" t="s">
        <v>57</v>
      </c>
      <c r="B549">
        <v>2020</v>
      </c>
      <c r="C549" t="s">
        <v>76</v>
      </c>
      <c r="D549">
        <v>0.11</v>
      </c>
    </row>
    <row r="550" spans="1:4" x14ac:dyDescent="0.45">
      <c r="A550" t="s">
        <v>38</v>
      </c>
      <c r="B550">
        <v>2020</v>
      </c>
      <c r="C550" t="s">
        <v>76</v>
      </c>
      <c r="D550">
        <v>0.82</v>
      </c>
    </row>
    <row r="551" spans="1:4" x14ac:dyDescent="0.45">
      <c r="A551" t="s">
        <v>32</v>
      </c>
      <c r="B551">
        <v>2020</v>
      </c>
      <c r="C551" t="s">
        <v>76</v>
      </c>
      <c r="D551">
        <v>0.04</v>
      </c>
    </row>
    <row r="552" spans="1:4" x14ac:dyDescent="0.45">
      <c r="A552" t="s">
        <v>58</v>
      </c>
      <c r="B552">
        <v>2020</v>
      </c>
      <c r="C552" t="s">
        <v>76</v>
      </c>
      <c r="D552">
        <v>0.12</v>
      </c>
    </row>
    <row r="553" spans="1:4" x14ac:dyDescent="0.45">
      <c r="A553" t="s">
        <v>91</v>
      </c>
      <c r="B553">
        <v>2020</v>
      </c>
      <c r="C553" t="s">
        <v>76</v>
      </c>
      <c r="D553">
        <v>0</v>
      </c>
    </row>
    <row r="554" spans="1:4" x14ac:dyDescent="0.45">
      <c r="A554" t="s">
        <v>32</v>
      </c>
      <c r="B554">
        <v>2021</v>
      </c>
      <c r="C554" t="s">
        <v>76</v>
      </c>
      <c r="D554">
        <v>0.21</v>
      </c>
    </row>
    <row r="555" spans="1:4" x14ac:dyDescent="0.45">
      <c r="A555" t="s">
        <v>36</v>
      </c>
      <c r="B555">
        <v>2021</v>
      </c>
      <c r="C555" t="s">
        <v>76</v>
      </c>
      <c r="D555">
        <v>0.19</v>
      </c>
    </row>
    <row r="556" spans="1:4" x14ac:dyDescent="0.45">
      <c r="A556" t="s">
        <v>56</v>
      </c>
      <c r="B556">
        <v>2021</v>
      </c>
      <c r="C556" t="s">
        <v>76</v>
      </c>
      <c r="D556">
        <v>0.88</v>
      </c>
    </row>
    <row r="557" spans="1:4" x14ac:dyDescent="0.45">
      <c r="A557" t="s">
        <v>57</v>
      </c>
      <c r="B557">
        <v>2021</v>
      </c>
      <c r="C557" t="s">
        <v>76</v>
      </c>
      <c r="D557">
        <v>0.09</v>
      </c>
    </row>
    <row r="558" spans="1:4" x14ac:dyDescent="0.45">
      <c r="A558" t="s">
        <v>38</v>
      </c>
      <c r="B558">
        <v>2021</v>
      </c>
      <c r="C558" t="s">
        <v>76</v>
      </c>
      <c r="D558">
        <v>0.8</v>
      </c>
    </row>
    <row r="559" spans="1:4" x14ac:dyDescent="0.45">
      <c r="A559" t="s">
        <v>32</v>
      </c>
      <c r="B559">
        <v>2021</v>
      </c>
      <c r="C559" t="s">
        <v>76</v>
      </c>
      <c r="D559">
        <v>0.04</v>
      </c>
    </row>
    <row r="560" spans="1:4" x14ac:dyDescent="0.45">
      <c r="A560" t="s">
        <v>58</v>
      </c>
      <c r="B560">
        <v>2021</v>
      </c>
      <c r="C560" t="s">
        <v>76</v>
      </c>
      <c r="D560">
        <v>0.13</v>
      </c>
    </row>
    <row r="561" spans="1:4" x14ac:dyDescent="0.45">
      <c r="A561" t="s">
        <v>91</v>
      </c>
      <c r="B561">
        <v>2021</v>
      </c>
      <c r="C561" t="s">
        <v>76</v>
      </c>
      <c r="D561">
        <v>0</v>
      </c>
    </row>
    <row r="562" spans="1:4" x14ac:dyDescent="0.45">
      <c r="A562" t="s">
        <v>32</v>
      </c>
      <c r="B562">
        <v>2022</v>
      </c>
      <c r="C562" t="s">
        <v>76</v>
      </c>
      <c r="D562">
        <v>0.21</v>
      </c>
    </row>
    <row r="563" spans="1:4" x14ac:dyDescent="0.45">
      <c r="A563" t="s">
        <v>36</v>
      </c>
      <c r="B563">
        <v>2022</v>
      </c>
      <c r="C563" t="s">
        <v>76</v>
      </c>
      <c r="D563">
        <v>0.19</v>
      </c>
    </row>
    <row r="564" spans="1:4" x14ac:dyDescent="0.45">
      <c r="A564" t="s">
        <v>56</v>
      </c>
      <c r="B564">
        <v>2022</v>
      </c>
      <c r="C564" t="s">
        <v>76</v>
      </c>
      <c r="D564">
        <v>0.74</v>
      </c>
    </row>
    <row r="565" spans="1:4" x14ac:dyDescent="0.45">
      <c r="A565" t="s">
        <v>57</v>
      </c>
      <c r="B565">
        <v>2022</v>
      </c>
      <c r="C565" t="s">
        <v>76</v>
      </c>
      <c r="D565">
        <v>0.11</v>
      </c>
    </row>
    <row r="566" spans="1:4" x14ac:dyDescent="0.45">
      <c r="A566" t="s">
        <v>38</v>
      </c>
      <c r="B566">
        <v>2022</v>
      </c>
      <c r="C566" t="s">
        <v>76</v>
      </c>
      <c r="D566">
        <v>0.8</v>
      </c>
    </row>
    <row r="567" spans="1:4" x14ac:dyDescent="0.45">
      <c r="A567" t="s">
        <v>32</v>
      </c>
      <c r="B567">
        <v>2022</v>
      </c>
      <c r="C567" t="s">
        <v>76</v>
      </c>
      <c r="D567">
        <v>0.04</v>
      </c>
    </row>
    <row r="568" spans="1:4" x14ac:dyDescent="0.45">
      <c r="A568" t="s">
        <v>58</v>
      </c>
      <c r="B568">
        <v>2022</v>
      </c>
      <c r="C568" t="s">
        <v>76</v>
      </c>
      <c r="D568">
        <v>0.16</v>
      </c>
    </row>
    <row r="569" spans="1:4" x14ac:dyDescent="0.45">
      <c r="A569" t="s">
        <v>91</v>
      </c>
      <c r="B569">
        <v>2022</v>
      </c>
      <c r="C569" t="s">
        <v>76</v>
      </c>
      <c r="D569">
        <v>0</v>
      </c>
    </row>
    <row r="570" spans="1:4" x14ac:dyDescent="0.45">
      <c r="A570" t="s">
        <v>32</v>
      </c>
      <c r="B570">
        <v>2023</v>
      </c>
      <c r="C570" t="s">
        <v>76</v>
      </c>
      <c r="D570">
        <v>0.21</v>
      </c>
    </row>
    <row r="571" spans="1:4" x14ac:dyDescent="0.45">
      <c r="A571" t="s">
        <v>36</v>
      </c>
      <c r="B571">
        <v>2023</v>
      </c>
      <c r="C571" t="s">
        <v>76</v>
      </c>
      <c r="D571">
        <v>0.19</v>
      </c>
    </row>
    <row r="572" spans="1:4" x14ac:dyDescent="0.45">
      <c r="A572" t="s">
        <v>56</v>
      </c>
      <c r="B572">
        <v>2023</v>
      </c>
      <c r="C572" t="s">
        <v>76</v>
      </c>
      <c r="D572">
        <v>0.92</v>
      </c>
    </row>
    <row r="573" spans="1:4" x14ac:dyDescent="0.45">
      <c r="A573" t="s">
        <v>57</v>
      </c>
      <c r="B573">
        <v>2023</v>
      </c>
      <c r="C573" t="s">
        <v>76</v>
      </c>
      <c r="D573">
        <v>0.11</v>
      </c>
    </row>
    <row r="574" spans="1:4" x14ac:dyDescent="0.45">
      <c r="A574" t="s">
        <v>38</v>
      </c>
      <c r="B574">
        <v>2023</v>
      </c>
      <c r="C574" t="s">
        <v>76</v>
      </c>
      <c r="D574">
        <v>0.8</v>
      </c>
    </row>
    <row r="575" spans="1:4" x14ac:dyDescent="0.45">
      <c r="A575" t="s">
        <v>32</v>
      </c>
      <c r="B575">
        <v>2023</v>
      </c>
      <c r="C575" t="s">
        <v>76</v>
      </c>
      <c r="D575">
        <v>0.04</v>
      </c>
    </row>
    <row r="576" spans="1:4" x14ac:dyDescent="0.45">
      <c r="A576" t="s">
        <v>58</v>
      </c>
      <c r="B576">
        <v>2023</v>
      </c>
      <c r="C576" t="s">
        <v>76</v>
      </c>
      <c r="D576">
        <v>0.19</v>
      </c>
    </row>
    <row r="577" spans="1:4" x14ac:dyDescent="0.45">
      <c r="A577" t="s">
        <v>91</v>
      </c>
      <c r="B577">
        <v>2023</v>
      </c>
      <c r="C577" t="s">
        <v>76</v>
      </c>
      <c r="D577">
        <v>0</v>
      </c>
    </row>
    <row r="578" spans="1:4" x14ac:dyDescent="0.45">
      <c r="A578" t="s">
        <v>59</v>
      </c>
      <c r="B578">
        <v>2000</v>
      </c>
      <c r="C578" t="s">
        <v>74</v>
      </c>
      <c r="D578">
        <v>31.4</v>
      </c>
    </row>
    <row r="579" spans="1:4" x14ac:dyDescent="0.45">
      <c r="A579" t="s">
        <v>60</v>
      </c>
      <c r="B579">
        <v>2000</v>
      </c>
      <c r="C579" t="s">
        <v>74</v>
      </c>
      <c r="D579">
        <v>24.3</v>
      </c>
    </row>
    <row r="580" spans="1:4" x14ac:dyDescent="0.45">
      <c r="A580" t="s">
        <v>59</v>
      </c>
      <c r="B580">
        <v>2001</v>
      </c>
      <c r="C580" t="s">
        <v>74</v>
      </c>
      <c r="D580">
        <v>34.5</v>
      </c>
    </row>
    <row r="581" spans="1:4" x14ac:dyDescent="0.45">
      <c r="A581" t="s">
        <v>60</v>
      </c>
      <c r="B581">
        <v>2001</v>
      </c>
      <c r="C581" t="s">
        <v>74</v>
      </c>
      <c r="D581">
        <v>24.1</v>
      </c>
    </row>
    <row r="582" spans="1:4" x14ac:dyDescent="0.45">
      <c r="A582" t="s">
        <v>59</v>
      </c>
      <c r="B582">
        <v>2002</v>
      </c>
      <c r="C582" t="s">
        <v>74</v>
      </c>
      <c r="D582">
        <v>32.299999999999997</v>
      </c>
    </row>
    <row r="583" spans="1:4" x14ac:dyDescent="0.45">
      <c r="A583" t="s">
        <v>60</v>
      </c>
      <c r="B583">
        <v>2002</v>
      </c>
      <c r="C583" t="s">
        <v>74</v>
      </c>
      <c r="D583">
        <v>27.8</v>
      </c>
    </row>
    <row r="584" spans="1:4" x14ac:dyDescent="0.45">
      <c r="A584" t="s">
        <v>59</v>
      </c>
      <c r="B584">
        <v>2003</v>
      </c>
      <c r="C584" t="s">
        <v>74</v>
      </c>
      <c r="D584">
        <v>33.200000000000003</v>
      </c>
    </row>
    <row r="585" spans="1:4" x14ac:dyDescent="0.45">
      <c r="A585" t="s">
        <v>60</v>
      </c>
      <c r="B585">
        <v>2003</v>
      </c>
      <c r="C585" t="s">
        <v>74</v>
      </c>
      <c r="D585">
        <v>30.1</v>
      </c>
    </row>
    <row r="586" spans="1:4" x14ac:dyDescent="0.45">
      <c r="A586" t="s">
        <v>59</v>
      </c>
      <c r="B586">
        <v>2004</v>
      </c>
      <c r="C586" t="s">
        <v>74</v>
      </c>
      <c r="D586">
        <v>27.8</v>
      </c>
    </row>
    <row r="587" spans="1:4" x14ac:dyDescent="0.45">
      <c r="A587" t="s">
        <v>60</v>
      </c>
      <c r="B587">
        <v>2004</v>
      </c>
      <c r="C587" t="s">
        <v>74</v>
      </c>
      <c r="D587">
        <v>27.1</v>
      </c>
    </row>
    <row r="588" spans="1:4" x14ac:dyDescent="0.45">
      <c r="A588" t="s">
        <v>59</v>
      </c>
      <c r="B588">
        <v>2005</v>
      </c>
      <c r="C588" t="s">
        <v>74</v>
      </c>
      <c r="D588">
        <v>32</v>
      </c>
    </row>
    <row r="589" spans="1:4" x14ac:dyDescent="0.45">
      <c r="A589" t="s">
        <v>60</v>
      </c>
      <c r="B589">
        <v>2005</v>
      </c>
      <c r="C589" t="s">
        <v>74</v>
      </c>
      <c r="D589">
        <v>38.299999999999997</v>
      </c>
    </row>
    <row r="590" spans="1:4" x14ac:dyDescent="0.45">
      <c r="A590" t="s">
        <v>59</v>
      </c>
      <c r="B590">
        <v>2006</v>
      </c>
      <c r="C590" t="s">
        <v>74</v>
      </c>
      <c r="D590">
        <v>31.1</v>
      </c>
    </row>
    <row r="591" spans="1:4" x14ac:dyDescent="0.45">
      <c r="A591" t="s">
        <v>60</v>
      </c>
      <c r="B591">
        <v>2006</v>
      </c>
      <c r="C591" t="s">
        <v>74</v>
      </c>
      <c r="D591">
        <v>33.799999999999997</v>
      </c>
    </row>
    <row r="592" spans="1:4" x14ac:dyDescent="0.45">
      <c r="A592" t="s">
        <v>59</v>
      </c>
      <c r="B592">
        <v>2007</v>
      </c>
      <c r="C592" t="s">
        <v>74</v>
      </c>
      <c r="D592">
        <v>36.9</v>
      </c>
    </row>
    <row r="593" spans="1:4" x14ac:dyDescent="0.45">
      <c r="A593" t="s">
        <v>60</v>
      </c>
      <c r="B593">
        <v>2007</v>
      </c>
      <c r="C593" t="s">
        <v>74</v>
      </c>
      <c r="D593">
        <v>34.799999999999997</v>
      </c>
    </row>
    <row r="594" spans="1:4" x14ac:dyDescent="0.45">
      <c r="A594" t="s">
        <v>59</v>
      </c>
      <c r="B594">
        <v>2008</v>
      </c>
      <c r="C594" t="s">
        <v>74</v>
      </c>
      <c r="D594">
        <v>32.700000000000003</v>
      </c>
    </row>
    <row r="595" spans="1:4" x14ac:dyDescent="0.45">
      <c r="A595" t="s">
        <v>60</v>
      </c>
      <c r="B595">
        <v>2008</v>
      </c>
      <c r="C595" t="s">
        <v>74</v>
      </c>
      <c r="D595">
        <v>31.6</v>
      </c>
    </row>
    <row r="596" spans="1:4" x14ac:dyDescent="0.45">
      <c r="A596" t="s">
        <v>59</v>
      </c>
      <c r="B596">
        <v>2009</v>
      </c>
      <c r="C596" t="s">
        <v>74</v>
      </c>
      <c r="D596">
        <v>33.5</v>
      </c>
    </row>
    <row r="597" spans="1:4" x14ac:dyDescent="0.45">
      <c r="A597" t="s">
        <v>60</v>
      </c>
      <c r="B597">
        <v>2009</v>
      </c>
      <c r="C597" t="s">
        <v>74</v>
      </c>
      <c r="D597">
        <v>31.4</v>
      </c>
    </row>
    <row r="598" spans="1:4" x14ac:dyDescent="0.45">
      <c r="A598" t="s">
        <v>59</v>
      </c>
      <c r="B598">
        <v>2010</v>
      </c>
      <c r="C598" t="s">
        <v>74</v>
      </c>
      <c r="D598">
        <v>32.9</v>
      </c>
    </row>
    <row r="599" spans="1:4" x14ac:dyDescent="0.45">
      <c r="A599" t="s">
        <v>60</v>
      </c>
      <c r="B599">
        <v>2010</v>
      </c>
      <c r="C599" t="s">
        <v>74</v>
      </c>
      <c r="D599">
        <v>33.4</v>
      </c>
    </row>
    <row r="600" spans="1:4" x14ac:dyDescent="0.45">
      <c r="A600" t="s">
        <v>59</v>
      </c>
      <c r="B600">
        <v>2011</v>
      </c>
      <c r="C600" t="s">
        <v>74</v>
      </c>
      <c r="D600">
        <v>32.200000000000003</v>
      </c>
    </row>
    <row r="601" spans="1:4" x14ac:dyDescent="0.45">
      <c r="A601" t="s">
        <v>60</v>
      </c>
      <c r="B601">
        <v>2011</v>
      </c>
      <c r="C601" t="s">
        <v>74</v>
      </c>
      <c r="D601">
        <v>34.799999999999997</v>
      </c>
    </row>
    <row r="602" spans="1:4" x14ac:dyDescent="0.45">
      <c r="A602" t="s">
        <v>59</v>
      </c>
      <c r="B602">
        <v>2012</v>
      </c>
      <c r="C602" t="s">
        <v>74</v>
      </c>
      <c r="D602">
        <v>33.700000000000003</v>
      </c>
    </row>
    <row r="603" spans="1:4" x14ac:dyDescent="0.45">
      <c r="A603" t="s">
        <v>60</v>
      </c>
      <c r="B603">
        <v>2012</v>
      </c>
      <c r="C603" t="s">
        <v>74</v>
      </c>
      <c r="D603">
        <v>31.5</v>
      </c>
    </row>
    <row r="604" spans="1:4" x14ac:dyDescent="0.45">
      <c r="A604" t="s">
        <v>59</v>
      </c>
      <c r="B604">
        <v>2013</v>
      </c>
      <c r="C604" t="s">
        <v>74</v>
      </c>
      <c r="D604">
        <v>32.299999999999997</v>
      </c>
    </row>
    <row r="605" spans="1:4" x14ac:dyDescent="0.45">
      <c r="A605" t="s">
        <v>60</v>
      </c>
      <c r="B605">
        <v>2013</v>
      </c>
      <c r="C605" t="s">
        <v>74</v>
      </c>
      <c r="D605">
        <v>29.9</v>
      </c>
    </row>
    <row r="606" spans="1:4" x14ac:dyDescent="0.45">
      <c r="A606" t="s">
        <v>59</v>
      </c>
      <c r="B606">
        <v>2014</v>
      </c>
      <c r="C606" t="s">
        <v>74</v>
      </c>
      <c r="D606">
        <v>34</v>
      </c>
    </row>
    <row r="607" spans="1:4" x14ac:dyDescent="0.45">
      <c r="A607" t="s">
        <v>60</v>
      </c>
      <c r="B607">
        <v>2014</v>
      </c>
      <c r="C607" t="s">
        <v>74</v>
      </c>
      <c r="D607">
        <v>28.5</v>
      </c>
    </row>
    <row r="608" spans="1:4" x14ac:dyDescent="0.45">
      <c r="A608" t="s">
        <v>59</v>
      </c>
      <c r="B608">
        <v>2015</v>
      </c>
      <c r="C608" t="s">
        <v>74</v>
      </c>
      <c r="D608">
        <v>35.1</v>
      </c>
    </row>
    <row r="609" spans="1:4" x14ac:dyDescent="0.45">
      <c r="A609" t="s">
        <v>60</v>
      </c>
      <c r="B609">
        <v>2015</v>
      </c>
      <c r="C609" t="s">
        <v>74</v>
      </c>
      <c r="D609">
        <v>34</v>
      </c>
    </row>
    <row r="610" spans="1:4" x14ac:dyDescent="0.45">
      <c r="A610" t="s">
        <v>59</v>
      </c>
      <c r="B610">
        <v>2016</v>
      </c>
      <c r="C610" t="s">
        <v>74</v>
      </c>
      <c r="D610">
        <v>30.2</v>
      </c>
    </row>
    <row r="611" spans="1:4" x14ac:dyDescent="0.45">
      <c r="A611" t="s">
        <v>60</v>
      </c>
      <c r="B611">
        <v>2016</v>
      </c>
      <c r="C611" t="s">
        <v>74</v>
      </c>
      <c r="D611">
        <v>34.1</v>
      </c>
    </row>
    <row r="612" spans="1:4" x14ac:dyDescent="0.45">
      <c r="A612" t="s">
        <v>59</v>
      </c>
      <c r="B612">
        <v>2017</v>
      </c>
      <c r="C612" t="s">
        <v>74</v>
      </c>
      <c r="D612">
        <v>30.9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32.6</v>
      </c>
    </row>
    <row r="615" spans="1:4" x14ac:dyDescent="0.45">
      <c r="A615" t="s">
        <v>60</v>
      </c>
      <c r="B615">
        <v>2018</v>
      </c>
      <c r="C615" t="s">
        <v>74</v>
      </c>
      <c r="D615">
        <v>31</v>
      </c>
    </row>
    <row r="616" spans="1:4" x14ac:dyDescent="0.45">
      <c r="A616" t="s">
        <v>59</v>
      </c>
      <c r="B616">
        <v>2019</v>
      </c>
      <c r="C616" t="s">
        <v>74</v>
      </c>
      <c r="D616">
        <v>35.799999999999997</v>
      </c>
    </row>
    <row r="617" spans="1:4" x14ac:dyDescent="0.45">
      <c r="A617" t="s">
        <v>60</v>
      </c>
      <c r="B617">
        <v>2019</v>
      </c>
      <c r="C617" t="s">
        <v>74</v>
      </c>
      <c r="D617">
        <v>29.5</v>
      </c>
    </row>
    <row r="618" spans="1:4" x14ac:dyDescent="0.45">
      <c r="A618" t="s">
        <v>59</v>
      </c>
      <c r="B618">
        <v>2020</v>
      </c>
      <c r="C618" t="s">
        <v>74</v>
      </c>
      <c r="D618">
        <v>32.5</v>
      </c>
    </row>
    <row r="619" spans="1:4" x14ac:dyDescent="0.45">
      <c r="A619" t="s">
        <v>60</v>
      </c>
      <c r="B619">
        <v>2020</v>
      </c>
      <c r="C619" t="s">
        <v>74</v>
      </c>
      <c r="D619">
        <v>27</v>
      </c>
    </row>
    <row r="620" spans="1:4" x14ac:dyDescent="0.45">
      <c r="A620" t="s">
        <v>59</v>
      </c>
      <c r="B620">
        <v>2021</v>
      </c>
      <c r="C620" t="s">
        <v>74</v>
      </c>
      <c r="D620">
        <v>29.1</v>
      </c>
    </row>
    <row r="621" spans="1:4" x14ac:dyDescent="0.45">
      <c r="A621" t="s">
        <v>60</v>
      </c>
      <c r="B621">
        <v>2021</v>
      </c>
      <c r="C621" t="s">
        <v>74</v>
      </c>
      <c r="D621">
        <v>31.5</v>
      </c>
    </row>
    <row r="622" spans="1:4" x14ac:dyDescent="0.45">
      <c r="A622" t="s">
        <v>59</v>
      </c>
      <c r="B622">
        <v>2022</v>
      </c>
      <c r="C622" t="s">
        <v>74</v>
      </c>
      <c r="D622">
        <v>29.7</v>
      </c>
    </row>
    <row r="623" spans="1:4" x14ac:dyDescent="0.45">
      <c r="A623" t="s">
        <v>60</v>
      </c>
      <c r="B623">
        <v>2022</v>
      </c>
      <c r="C623" t="s">
        <v>74</v>
      </c>
      <c r="D623">
        <v>33.1</v>
      </c>
    </row>
    <row r="624" spans="1:4" x14ac:dyDescent="0.45">
      <c r="A624" t="s">
        <v>59</v>
      </c>
      <c r="B624">
        <v>2023</v>
      </c>
      <c r="C624" t="s">
        <v>74</v>
      </c>
      <c r="D624">
        <v>33.9</v>
      </c>
    </row>
    <row r="625" spans="1:4" x14ac:dyDescent="0.45">
      <c r="A625" t="s">
        <v>60</v>
      </c>
      <c r="B625">
        <v>2023</v>
      </c>
      <c r="C625" t="s">
        <v>74</v>
      </c>
      <c r="D625">
        <v>27.5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0.50760000000000005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0.42299999999999999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0.30080000000000001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0.19739999999999999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0.11279999999999998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0.47000000000000003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0.38540000000000002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0.26319999999999999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0.3196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0.25380000000000003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6.5799999999999997E-2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2.8199999999999996E-2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0.41360000000000002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0.32900000000000001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0.22559999999999997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0.20680000000000001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5.6399999999999992E-2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0.45119999999999993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0.38540000000000002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0.26319999999999999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5.6399999999999992E-2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0.49819999999999998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0.42299999999999999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0.25380000000000003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0.15040000000000001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3.7600000000000001E-2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0.47940000000000005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0.39479999999999998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0.27259999999999995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0.15040000000000001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6.5799999999999997E-2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0.59220000000000006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0.50760000000000005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0.19739999999999999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0.10340000000000001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9.4000000000000004E-3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0.17600000000000002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0.30249999999999999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0.41249999999999998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0.53900000000000003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0.748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1.0890000000000002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1.3145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0.17049999999999998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0.34099999999999997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0.31899999999999995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0.50050000000000006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0.85799999999999998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1.5070000000000001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1.7544999999999999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0.15949999999999998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0.32450000000000001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0.28599999999999998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0.72599999999999998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0.8909999999999999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1.2264999999999999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1.177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0.16500000000000001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0.34099999999999997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0.3135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0.72599999999999998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0.85250000000000004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0.99550000000000005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1.0229999999999999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0.17600000000000002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0.30249999999999999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0.28599999999999998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0.20899999999999999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0.50600000000000001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0.86900000000000011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0.17049999999999998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0.28599999999999998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0.36299999999999999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0.45650000000000002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0.64900000000000002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0.89649999999999996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1.3805000000000001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0.187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0.33550000000000002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0.26950000000000002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9.35E-2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0.17049999999999998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0.19799999999999998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6.5999999999999989E-2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2.0999999999999998E-2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7.0000000000000001E-3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2.0999999999999998E-2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7.0000000000000001E-3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2.0999999999999998E-2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7.0000000000000001E-3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2.0999999999999998E-2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2.0999999999999998E-2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2.0999999999999998E-2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8.5849999999999996E-2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0.68209999999999993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2.39425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3.8931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4.8212000000000002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5.2188999999999997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4.8117999999999999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4.1234500000000001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3.9002499999999998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3.6537000000000002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3.0522999999999998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2.3910499999999999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2.08975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1.79325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1.4818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1.1825000000000001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2.0000000000000001E-4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2.0000000000000001E-4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1E-4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1E-4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1E-4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1E-4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2.0000000000000001E-4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2.0000000000000001E-4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1E-4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1E-4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2.0000000000000001E-4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0.11699999999999999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1.2961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2.4546999999999999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2.5326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2.4032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2.2864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2.2500999999999998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2.2214999999999998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1.8857499999999998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1.5565500000000001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0.95134999999999992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0.34575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0.1918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4.675E-2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2.0000000000000001E-4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7.3000000000000009E-2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0.43374999999999997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0.66964999999999997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0.69964999999999999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0.70369999999999999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0.72039999999999993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0.69264999999999999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0.6601499999999999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0.53059999999999996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0.40264999999999995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0.2089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2.8249999999999997E-2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1.3849999999999999E-2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0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0.1062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1.40795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2.8955000000000002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4.0955000000000004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4.8217999999999996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5.82165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6.5822000000000003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6.22255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5.6593499999999999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5.1211500000000001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4.4666499999999996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3.8099500000000002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3.7303500000000001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3.6368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3.4729999999999999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3.3040000000000003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2.0000000000000001E-4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1.06E-2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5.885E-2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5.3749999999999999E-2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5.1900000000000002E-2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4.9199999999999994E-2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2.4900000000000002E-2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2.29E-2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1.6799999999999999E-2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1.1849999999999999E-2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7.7499999999999999E-3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3.4499999999999999E-3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1.6999999999999999E-3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0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0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0.15395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2.2837499999999999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4.98515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6.6559999999999997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7.6047500000000001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7.9490499999999997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7.54725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6.4907500000000002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5.6604000000000001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4.8805500000000004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4.0687999999999995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3.3322500000000002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3.20885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3.3102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3.0252499999999998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2.7808000000000002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29.873249999999999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29.78115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26.571850000000001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21.979700000000001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16.22175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10.8794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6.8900000000000006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4.5128000000000004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2.0253999999999999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0.22370000000000001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-1.3277000000000001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-1.4756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-1.4634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-1.40635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-1.3388499999999999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-0.47034999999999999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0.38180000000000003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30.334699999999998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30.53905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28.792349999999999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27.631699999999999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25.635549999999999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22.5899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20.602450000000001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19.656849999999999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19.18055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18.595599999999997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18.600949999999997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16.708300000000001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14.989000000000001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13.8375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12.6952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12.38785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12.129650000000002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30.288350000000001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30.74485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29.256799999999998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27.005099999999999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19.701349999999998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13.677250000000001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9.3375500000000002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7.2165499999999998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5.6753499999999999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3.8170500000000001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2.2741500000000001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1.6633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1.1998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0.9121999999999999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0.67179999999999995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1.2575499999999999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1.8364500000000001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30.289000000000001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30.558799999999998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28.89235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26.693300000000001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23.809750000000001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20.564999999999998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17.154899999999998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6.9622999999999999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4.9459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3.5553499999999998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2.5825499999999999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1.7100500000000001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0.91230000000000011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0.75569999999999993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0.6079500000000001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1.3331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2.0619000000000001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29.052149999999997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28.292299999999997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20.763950000000001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13.201000000000001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5.9345499999999998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1.4281000000000001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-2.4868000000000001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-3.4987000000000004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-3.2915999999999999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-2.3997999999999999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-1.4430499999999999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-2.2731500000000002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-3.0411999999999999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-2.4319499999999996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-1.80525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-2.2098499999999999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-2.6062500000000002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30.370449999999998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30.570900000000002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28.732399999999998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27.117550000000001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24.802999999999997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21.313800000000001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18.286300000000001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16.625299999999999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14.8889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12.374600000000001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10.906500000000001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8.6638000000000002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6.5970499999999994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5.4895999999999994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4.4244500000000002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4.6964000000000006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4.99125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29.686950000000003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29.10145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22.833750000000002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14.608499999999999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5.9162499999999998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-0.56814999999999993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-4.1578499999999998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-4.2676999999999996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-3.5941000000000001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-2.3380999999999998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-1.04175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-1.9086000000000001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-2.7855499999999997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-2.1913499999999999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-1.8226499999999999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-2.262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-2.7388500000000002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32.884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31.663550000000001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28.6982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24.602449999999997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19.062950000000001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13.64655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9.4298500000000001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6.8268000000000004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3.6126499999999999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1.6137999999999999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-0.1341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-0.49960000000000004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-0.71150000000000002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-0.63119999999999998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-0.53459999999999996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-0.40684999999999999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-0.2928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33.327950000000001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32.7592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31.585599999999999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30.3428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28.371700000000001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25.605399999999999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23.898099999999999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22.9636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22.4191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21.79645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21.745200000000001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20.158300000000001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18.732900000000001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17.256399999999999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15.7897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14.37725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13.0177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33.294249999999998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32.610500000000002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31.30575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29.0442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22.223849999999999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16.0718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11.493549999999999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9.1345999999999989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6.9900500000000001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4.9631500000000006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3.2477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2.4596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1.8079000000000001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1.5095499999999999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1.2623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1.1155999999999999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0.96360000000000001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33.303700000000006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32.615499999999997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31.330400000000001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29.40615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26.397649999999999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23.267949999999999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20.763349999999999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9.8734000000000002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7.3662999999999998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5.7090000000000005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4.4532499999999997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3.8414999999999999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3.2949999999999999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2.9774000000000003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2.6723500000000002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2.282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1.8983999999999999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32.131549999999997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30.176749999999998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23.585099999999997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16.118600000000001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8.4314499999999999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3.4737999999999998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-0.89924999999999999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-1.7566999999999999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-1.73105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-1.8584000000000001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-1.9185500000000002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-1.82795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-1.6781999999999999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-1.72105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-1.7421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-1.7985500000000001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-1.8445499999999999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33.376049999999999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32.655799999999999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31.1982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29.51145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27.271799999999999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23.86495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20.902450000000002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18.886900000000001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16.684550000000002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13.9756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12.27965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10.274900000000001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8.4358499999999985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7.1945499999999996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5.9984500000000001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5.1505999999999998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4.3294499999999996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32.722650000000002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31.040750000000003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25.608249999999998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17.1023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8.0284999999999993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1.1924999999999999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-2.9247000000000001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-2.9440999999999997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-2.5473999999999997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-2.28735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-1.9929999999999999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-1.8952499999999999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-1.81175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-1.7858499999999999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-1.9837499999999999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-1.9659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-1.9843500000000001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6.9400000000000003E-2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6.7500000000000004E-2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6.615E-2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6.4649999999999999E-2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6.2050000000000001E-2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5.8249999999999996E-2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5.4600000000000003E-2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5.2199999999999996E-2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4.9149999999999999E-2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4.8500000000000001E-2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4.7500000000000001E-2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4.6550000000000001E-2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4.53E-2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4.3749999999999997E-2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4.1749999999999995E-2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3.8949999999999999E-2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3.5900000000000001E-2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6.8849999999999995E-2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6.7000000000000004E-2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6.615E-2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6.5700000000000008E-2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6.4899999999999999E-2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6.1699999999999998E-2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5.9200000000000003E-2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5.645E-2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5.4400000000000004E-2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5.2999999999999999E-2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5.1400000000000001E-2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4.9849999999999998E-2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4.82E-2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4.6300000000000001E-2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4.41E-2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4.1749999999999995E-2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3.9150000000000004E-2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6.9149999999999989E-2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6.7500000000000004E-2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6.6750000000000004E-2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6.7150000000000001E-2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6.2450000000000006E-2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6.0749999999999998E-2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5.8649999999999994E-2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5.62E-2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5.4550000000000001E-2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5.3949999999999998E-2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5.2900000000000003E-2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5.1549999999999999E-2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0.05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4.7850000000000004E-2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4.53E-2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4.2200000000000001E-2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3.9050000000000001E-2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6.8900000000000003E-2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6.7150000000000001E-2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6.6400000000000001E-2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6.5950000000000009E-2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6.1100000000000002E-2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5.8950000000000002E-2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5.6849999999999998E-2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5.5050000000000002E-2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5.4650000000000004E-2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5.3449999999999998E-2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5.2000000000000005E-2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5.0849999999999999E-2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4.9549999999999997E-2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4.7549999999999995E-2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4.505E-2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4.19E-2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3.8600000000000002E-2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6.6650000000000001E-2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5.8950000000000002E-2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4.5999999999999999E-2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3.6299999999999999E-2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3.3700000000000001E-2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2.9749999999999999E-2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2.64E-2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2.4E-2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2.155E-2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2.095E-2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2.0400000000000001E-2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2.0200000000000003E-2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0.02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0.02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0.02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1.9400000000000001E-2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1.8750000000000003E-2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6.9149999999999989E-2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6.7699999999999996E-2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6.6799999999999998E-2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6.7599999999999993E-2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6.6400000000000001E-2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6.25E-2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5.7849999999999999E-2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5.5800000000000002E-2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5.4949999999999999E-2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5.2650000000000002E-2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5.0199999999999995E-2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4.9849999999999998E-2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4.9299999999999997E-2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4.7449999999999999E-2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4.53E-2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4.2550000000000004E-2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3.9550000000000002E-2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6.8649999999999989E-2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6.6650000000000001E-2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6.6349999999999992E-2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6.3250000000000001E-2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6.2E-2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5.9749999999999998E-2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5.62E-2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5.1400000000000001E-2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4.9450000000000001E-2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4.845E-2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4.7100000000000003E-2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4.5450000000000004E-2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4.3700000000000003E-2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4.19E-2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3.9899999999999998E-2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3.6799999999999999E-2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3.3600000000000005E-2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0.1492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0.15455000000000002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0.16520000000000001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0.17470000000000002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0.17170000000000002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0.16930000000000001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0.16914999999999999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0.16289999999999999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0.17130000000000001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0.17344999999999999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0.1749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0.18035000000000001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0.18554999999999999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0.18859999999999999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0.19095000000000001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0.18890000000000001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0.18645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0.14860000000000001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0.15365000000000001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0.16375000000000001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0.1729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0.17244999999999999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0.17185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0.17354999999999998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0.17080000000000001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0.17985000000000001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0.18095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0.18204999999999999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0.18545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0.18890000000000001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0.19164999999999999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0.19369999999999998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0.19389999999999999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0.1938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0.14905000000000002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0.1547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0.1653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0.17659999999999998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0.1709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0.17520000000000002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0.1804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0.1741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0.1855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0.18734999999999999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0.18864999999999998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0.19284999999999999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0.19685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0.19829999999999998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0.19889999999999999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0.19814999999999999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0.19700000000000001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0.14834999999999998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0.15409999999999999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0.16439999999999999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0.17494999999999999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0.17194999999999999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0.1726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0.17699999999999999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0.17154999999999998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0.18475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0.18559999999999999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0.18595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0.19070000000000001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0.19535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0.19764999999999999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0.19905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0.19745000000000001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0.19555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0.1459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0.14824999999999999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0.14369999999999999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0.13519999999999999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0.13985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0.13885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0.13840000000000002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0.13700000000000001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0.14005000000000001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0.14019999999999999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0.1406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0.14435000000000001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0.14829999999999999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0.15175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0.15465000000000001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0.15415000000000001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0.15325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0.14829999999999999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0.15415000000000001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0.16450000000000001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0.17599999999999999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0.17574999999999999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0.17609999999999998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0.17809999999999998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0.17565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0.18654999999999999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0.18340000000000001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0.17985000000000001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0.18740000000000001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0.19514999999999999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0.19774999999999998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0.19974999999999998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0.19869999999999999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0.19740000000000002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0.14879999999999999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0.15359999999999999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0.1681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0.17094999999999999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0.17530000000000001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0.17054999999999998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0.16750000000000001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0.1593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0.1724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0.17244999999999999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0.1724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0.17460000000000001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0.17695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0.17974999999999999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0.18190000000000001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0.17945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0.17635000000000001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9.2999999999999992E-3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1.6500000000000001E-2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2.8899999999999999E-2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4.4499999999999998E-2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5.9049999999999998E-2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7.2349999999999998E-2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8.4100000000000008E-2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8.9650000000000007E-2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9.3100000000000002E-2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9.4450000000000006E-2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9.5700000000000007E-2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9.6700000000000008E-2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9.7549999999999998E-2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9.7700000000000009E-2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9.8000000000000004E-2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9.6750000000000003E-2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9.5750000000000002E-2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9.6000000000000009E-3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1.6449999999999999E-2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2.5999999999999999E-2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3.5549999999999998E-2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4.8350000000000004E-2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5.6649999999999999E-2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6.384999999999999E-2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7.0500000000000007E-2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7.4399999999999994E-2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7.619999999999999E-2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7.7850000000000003E-2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7.8800000000000009E-2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7.9799999999999996E-2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8.030000000000001E-2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8.0699999999999994E-2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8.0649999999999999E-2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8.0600000000000005E-2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9.6000000000000009E-3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1.6449999999999999E-2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2.5750000000000002E-2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3.6199999999999996E-2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4.7850000000000004E-2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5.7050000000000003E-2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6.5599999999999992E-2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7.0450000000000013E-2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7.4999999999999997E-2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7.7350000000000002E-2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7.9250000000000001E-2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8.0750000000000002E-2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8.1900000000000001E-2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8.1749999999999989E-2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8.1350000000000006E-2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8.0399999999999999E-2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7.9500000000000001E-2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9.2499999999999995E-3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1.5649999999999997E-2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2.5350000000000001E-2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3.5799999999999998E-2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4.8049999999999995E-2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5.7200000000000001E-2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6.5449999999999994E-2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7.0949999999999999E-2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7.5950000000000004E-2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7.7399999999999997E-2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7.8699999999999992E-2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0.08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8.1250000000000003E-2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8.14E-2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8.115E-2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7.9850000000000004E-2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7.8750000000000001E-2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8.8999999999999999E-3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1.355E-2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2.0049999999999998E-2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2.7349999999999999E-2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3.9849999999999997E-2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5.0900000000000001E-2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5.5800000000000002E-2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6.1499999999999999E-2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6.3450000000000006E-2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6.4000000000000001E-2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6.4450000000000007E-2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6.515E-2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6.59E-2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6.6250000000000003E-2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6.6700000000000009E-2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6.6099999999999992E-2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6.5599999999999992E-2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9.1999999999999998E-3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1.5800000000000002E-2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2.605E-2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3.6299999999999999E-2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4.9149999999999999E-2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5.815E-2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6.5750000000000003E-2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7.1349999999999997E-2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7.535E-2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7.5899999999999995E-2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7.6450000000000004E-2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7.8550000000000009E-2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8.055000000000001E-2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8.1100000000000005E-2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8.1499999999999989E-2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8.0949999999999994E-2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8.0449999999999994E-2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9.1000000000000004E-3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1.6449999999999999E-2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3.0199999999999998E-2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4.5999999999999999E-2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6.2599999999999989E-2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7.8949999999999992E-2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8.8749999999999996E-2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9.2249999999999999E-2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9.6250000000000002E-2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9.6500000000000002E-2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9.6350000000000005E-2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9.5950000000000008E-2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9.5750000000000002E-2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9.5599999999999991E-2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9.5649999999999999E-2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9.4399999999999998E-2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9.3450000000000005E-2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7.54115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2.2448999999999999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1.2764500000000001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2.0613000000000001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1.4137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4.8227500000000001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4.6227999999999998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4.6227999999999998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4.6289499999999997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4.6227999999999998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5.0952500000000001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73.001599999999996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79.066299999999998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82.383749999999992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82.636150000000001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91.632049999999992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94.265199999999993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102.8836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110.20099999999999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189.9135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243.83080000000001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297.74810000000002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298.70510000000002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299.66210000000001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315.89494999999999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332.12779999999998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355.6035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379.07915000000003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73.001599999999996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77.92349999999999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81.950199999999995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80.477850000000004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93.642750000000007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98.788600000000002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106.2567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120.55445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190.57150000000001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228.37270000000001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266.17385000000002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271.12790000000001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276.08195000000001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275.84559999999999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275.60929999999996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282.08190000000002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288.55449999999996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73.001599999999996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77.92349999999999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81.950199999999995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68.059049999999999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90.819299999999998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102.67144999999999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107.06125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119.62864999999999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193.2653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241.5908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289.91624999999999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292.00374999999997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294.09125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309.74199999999996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325.39280000000002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338.38440000000003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351.37610000000001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73.001599999999996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77.92349999999999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81.950199999999995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67.492799999999988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91.162849999999992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99.316300000000012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105.65300000000001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125.08449999999999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195.101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240.28019999999998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285.45934999999997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295.97744999999998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306.49554999999998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304.64875000000001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302.80200000000002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332.25154999999995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361.7011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73.001599999999996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45.404899999999998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64.712900000000005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72.4422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79.375749999999996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91.084400000000002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74.302500000000009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146.68855000000002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180.30635000000001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220.9676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261.62879999999996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258.83994999999999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256.05115000000001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251.64755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247.2439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265.67090000000002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284.09794999999997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73.001599999999996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77.404050000000012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80.602800000000002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77.817849999999993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92.151999999999987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97.070700000000002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104.63045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119.40055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193.45215000000002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226.62455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259.79689999999999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261.49295000000001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263.18889999999999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264.45010000000002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265.71129999999999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286.84354999999999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307.97584999999998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73.001599999999996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73.406000000000006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90.977049999999991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79.77600000000001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89.068100000000001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104.5635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109.67435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110.18725000000001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205.1018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242.87849999999997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280.65520000000004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269.81465000000003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258.97415000000001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242.5718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226.16944999999998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235.23259999999999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244.29575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6.7999999999999996E-3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5.4999999999999997E-3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2.5999999999999999E-3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2.0000000000000001E-4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6.4999999999999997E-3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5.4000000000000003E-3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3.8E-3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1.2999999999999999E-3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0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1E-4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2.5000000000000001E-4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5.5000000000000003E-4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1E-3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6.7000000000000002E-3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5.5999999999999999E-3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3.8E-3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1.2999999999999999E-3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6.6E-3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5.4999999999999997E-3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3.7000000000000002E-3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1.1999999999999999E-3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6.1999999999999998E-3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4.3E-3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1.8E-3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6.6E-3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5.4999999999999997E-3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2.8E-3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5.0000000000000001E-4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7.4000000000000003E-3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5.7999999999999996E-3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2.5000000000000001E-3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2.3999999999999998E-3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2.2000000000000001E-3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2.0999999999999999E-3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1.2999999999999999E-3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4.0000000000000002E-4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2.9999999999999997E-4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2.0000000000000001E-4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2.0000000000000001E-4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2.0000000000000001E-4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2.0000000000000001E-4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1E-4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1E-4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2.3E-3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2.3999999999999998E-3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2.5999999999999999E-3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2.8999999999999998E-3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3.0000000000000001E-3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2.3999999999999998E-3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2.5000000000000001E-3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2.4000000000000002E-3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2.4999999999999996E-3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2.7499999999999998E-3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3.0000000000000001E-3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3.4000000000000002E-3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3.8E-3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4.0999999999999995E-3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4.3499999999999997E-3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4.5000000000000005E-3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4.6499999999999996E-3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2.3999999999999998E-3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2.5000000000000001E-3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2.8E-3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2.7000000000000001E-3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1.5E-3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6.9999999999999999E-4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4.0000000000000002E-4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2.9999999999999997E-4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1E-4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1E-4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2.3999999999999998E-3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2.5000000000000001E-3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2.7000000000000001E-3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2.7000000000000001E-3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2E-3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1.5E-3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1.6999999999999999E-3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1.3500000000000001E-3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1.25E-3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1.2000000000000001E-3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1.1000000000000001E-3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1E-3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8.9999999999999998E-4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7.5000000000000002E-4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5.0000000000000001E-4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4.0000000000000002E-4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2.0000000000000001E-4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2.3E-3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1.8E-3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2.9999999999999997E-4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2.0000000000000001E-4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0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0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0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2.3999999999999998E-3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2.3E-3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2.5000000000000001E-3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2.5000000000000001E-3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1.6999999999999999E-3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1.2999999999999999E-3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1.4E-3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1.3500000000000001E-3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1.2999999999999999E-3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1.4E-3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1.4499999999999999E-3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1.3500000000000001E-3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1.2499999999999998E-3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1.0500000000000002E-3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8.0000000000000004E-4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5.9999999999999995E-4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2.9999999999999997E-4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2.5999999999999999E-3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2.3E-3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1.4E-3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4.0000000000000002E-4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2.0000000000000001E-4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1E-4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0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0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1E-4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0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0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1E-4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1E-4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1E-4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1E-4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4.0000000000000002E-4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2.2000000000000001E-3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4.8999999999999998E-3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7.6E-3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9.8999999999999991E-3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1.3399999999999999E-2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1.9700000000000002E-2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2.9149999999999999E-2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4.1150000000000006E-2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4.5650000000000003E-2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4.9049999999999996E-2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4.7600000000000003E-2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4.4450000000000003E-2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4.1849999999999998E-2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3.9400000000000004E-2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3.6000000000000004E-2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3.2750000000000001E-2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5.0000000000000001E-4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2.2500000000000003E-3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4.4999999999999997E-3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6.8500000000000002E-3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8.6499999999999997E-3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0.01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1.0800000000000001E-2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1.06E-2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1.0450000000000001E-2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1.2E-2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1.3350000000000001E-2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1.78E-2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2.18E-2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2.7749999999999997E-2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3.2750000000000001E-2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3.635E-2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3.9400000000000004E-2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5.0000000000000001E-4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2.2500000000000003E-3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4.4999999999999997E-3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6.7999999999999996E-3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9.4500000000000001E-3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1.575E-2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2.64E-2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3.6650000000000002E-2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4.4249999999999998E-2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4.5949999999999998E-2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4.7149999999999997E-2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4.7399999999999998E-2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4.6950000000000006E-2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4.7800000000000002E-2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4.8099999999999997E-2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4.505E-2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4.1950000000000001E-2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5.0000000000000001E-4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2.2500000000000003E-3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4.4999999999999997E-3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6.3499999999999997E-3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8.0499999999999999E-3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9.5499999999999995E-3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1.2199999999999999E-2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3.6400000000000002E-2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4.6300000000000001E-2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5.1199999999999996E-2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5.4500000000000007E-2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5.4199999999999998E-2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5.2850000000000001E-2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5.0849999999999999E-2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4.8649999999999999E-2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4.5749999999999999E-2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4.2999999999999997E-2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4.0000000000000002E-4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1.6000000000000001E-3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3.3E-3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6.3499999999999997E-3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8.6500000000000014E-3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1.0100000000000001E-2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1.06E-2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1.055E-2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1.295E-2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1.5550000000000001E-2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1.7500000000000002E-2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1.8749999999999999E-2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1.9349999999999999E-2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1.9099999999999999E-2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1.8950000000000002E-2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1.8750000000000003E-2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1.8450000000000001E-2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5.0000000000000001E-4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2.2500000000000003E-3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4.5500000000000002E-3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6.45E-3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7.7000000000000002E-3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9.2999999999999992E-3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1.1300000000000001E-2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1.52E-2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2.5500000000000002E-2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4.2099999999999999E-2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5.305E-2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5.6149999999999999E-2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5.7700000000000001E-2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5.885E-2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5.9050000000000005E-2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5.5800000000000002E-2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5.2250000000000005E-2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4.0000000000000002E-4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1.9E-3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5.1999999999999998E-3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1.2400000000000001E-2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2.0900000000000002E-2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2.9749999999999999E-2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3.8900000000000004E-2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4.4249999999999998E-2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4.2700000000000002E-2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4.0349999999999997E-2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3.7949999999999998E-2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3.6600000000000001E-2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3.5150000000000001E-2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3.4949999999999995E-2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3.6850000000000001E-2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3.5950000000000003E-2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3.5400000000000001E-2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0.6633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1.4878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2.4533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3.4942000000000002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5.8242000000000003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6.0299999999999999E-2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5.4600000000000003E-2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5.2299999999999999E-2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4.6699999999999998E-2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4.1500000000000002E-2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3.85E-2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4.0899999999999999E-2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0.15279999999999999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0.17610000000000001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0.20030000000000001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0.1905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0.18490000000000001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0.19719999999999999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0.21609999999999999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1.7999999999999999E-2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1.49E-2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2.7099999999999999E-2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7.4700000000000003E-2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0.1051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0.1154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7.1000000000000004E-3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0.50760000000000005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0.42299999999999999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0.19739999999999999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0.11279999999999998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0.17600000000000002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0.30249999999999999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0.41249999999999998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0.53900000000000003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1.0890000000000002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1.3145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2.0999999999999998E-2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24.115200000000002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25.934999999999999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22.213899999999999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21.212299999999999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19.058599999999998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16.724799999999998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13.952199999999999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27.633500000000002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28.2272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25.253799999999998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24.358899999999998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22.3124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19.592300000000002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16.540900000000001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6.0699999999999997E-2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5.8200000000000002E-2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5.2900000000000003E-2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5.2900000000000003E-2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5.0799999999999998E-2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4.7500000000000001E-2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4.4699999999999997E-2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0.1492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0.1716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0.19550000000000001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0.20180000000000001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0.2024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0.2087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0.21590000000000001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2.1100000000000001E-2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1.7100000000000001E-2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2.5399999999999999E-2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2.3400000000000001E-2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1.9400000000000001E-2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2.3900000000000001E-2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3.9800000000000002E-2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0.47000000000000003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0.38540000000000002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0.3196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0.25380000000000003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6.5799999999999997E-2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0.17049999999999998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0.34099999999999997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0.31899999999999995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0.50050000000000006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0.85799999999999998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1.5070000000000001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1.7544999999999999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2.0999999999999998E-2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25.2988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28.7636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27.7667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31.601500000000001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35.3371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40.4542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42.869399999999999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28.803899999999999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31.36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31.392700000000001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35.5578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39.527700000000003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44.889899999999997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47.534700000000001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0.97689999999999999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2.2319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3.6368999999999998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6.7667999999999999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6.08E-2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5.8299999999999998E-2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5.3100000000000001E-2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5.2900000000000003E-2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4.7800000000000002E-2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4.3700000000000003E-2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4.1099999999999998E-2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0.1492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0.17150000000000001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0.1956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0.19309999999999999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0.19470000000000001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0.21210000000000001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0.23300000000000001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2.12E-2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1.72E-2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2.5499999999999998E-2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3.8399999999999997E-2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6.7100000000000007E-2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9.3899999999999997E-2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0.1142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0.41360000000000002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0.32900000000000001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0.22559999999999997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0.20680000000000001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0.15949999999999998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0.32450000000000001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0.28599999999999998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0.72599999999999998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0.8909999999999999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1.2264999999999999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1.177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2.0999999999999998E-2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25.186900000000001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29.006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28.421700000000001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24.568100000000001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24.674800000000001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23.421099999999999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22.065999999999999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28.693899999999999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31.2088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31.255500000000001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27.504100000000001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27.7791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24.609200000000001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1.2688999999999999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2.1652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3.6979000000000002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7.0884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5.9900000000000002E-2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5.7099999999999998E-2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5.2299999999999999E-2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4.9299999999999997E-2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4.5999999999999999E-2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4.3700000000000003E-2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4.3799999999999999E-2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0.15210000000000001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0.1749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0.2009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0.19189999999999999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0.1825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0.1865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0.19189999999999999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1.8100000000000002E-2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1.5699999999999999E-2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2.3199999999999998E-2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3.9199999999999999E-2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6.3299999999999995E-2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9.4700000000000006E-2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0.1177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1.1000000000000001E-3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2.8999999999999998E-3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5.4999999999999997E-3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9.7999999999999997E-3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0.45119999999999993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0.38540000000000002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0.26319999999999999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5.6399999999999992E-2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0.16500000000000001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0.34099999999999997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0.3135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0.72599999999999998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0.85250000000000004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0.99550000000000005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1.0229999999999999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2.0999999999999998E-2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24.463999999999999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27.458200000000001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26.328600000000002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26.982399999999998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25.752600000000001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23.291699999999999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20.2456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27.996200000000002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29.8706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29.581099999999999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30.5731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29.7179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27.3551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24.439399999999999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1.1132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2.0830000000000002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3.2749000000000001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4.2725999999999997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5.4269999999999996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5.8999999999999997E-2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5.2400000000000002E-2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5.11E-2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4.8800000000000003E-2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4.2900000000000001E-2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2.3300000000000001E-2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0.15110000000000001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0.17180000000000001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0.1651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0.13450000000000001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0.1069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0.1067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0.10390000000000001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1.7999999999999999E-2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1.46E-2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4.58E-2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7.3700000000000002E-2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0.10299999999999999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0.1212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3.0999999999999999E-3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7.3000000000000001E-3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1.7399999999999999E-2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1.9199999999999998E-2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0.49819999999999998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0.42299999999999999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0.25380000000000003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0.15040000000000001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3.7600000000000001E-2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0.17600000000000002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0.30249999999999999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0.28599999999999998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0.20899999999999999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0.50600000000000001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0.86900000000000011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2.0999999999999998E-2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24.415800000000001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26.981300000000001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18.3034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15.1774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11.7959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6.0423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3.0474999999999999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27.966000000000001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29.3354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21.516300000000001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18.061299999999999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14.5763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8.9088999999999992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5.5495000000000001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0.7681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1.1561999999999999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1.7467999999999999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2.4710000000000001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6.08E-2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5.5899999999999998E-2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5.1299999999999998E-2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4.9000000000000002E-2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4.4299999999999999E-2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3.9699999999999999E-2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3.9199999999999999E-2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0.15110000000000001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0.17349999999999999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0.19170000000000001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0.18940000000000001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0.18279999999999999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0.18190000000000001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0.18010000000000001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1.9099999999999999E-2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1.52E-2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1.8200000000000001E-2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2.9899999999999999E-2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5.0700000000000002E-2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8.3400000000000002E-2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0.121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8.9999999999999998E-4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8.0000000000000004E-4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0.47940000000000005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0.39479999999999998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0.27259999999999995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0.15040000000000001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6.5799999999999997E-2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0.17049999999999998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0.28599999999999998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0.36299999999999999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0.45650000000000002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0.64900000000000002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0.89649999999999996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1.3805000000000001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2.0999999999999998E-2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24.720199999999998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27.090800000000002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27.085599999999999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25.295200000000001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23.961600000000001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22.608599999999999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20.6525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28.247699999999998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29.5989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30.464600000000001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29.003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28.007300000000001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26.7316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24.8355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2.1490999999999998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3.6836000000000002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4.7127999999999997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6.9017999999999997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6.7333999999999996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6.0299999999999999E-2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5.4100000000000002E-2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5.8200000000000002E-2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5.6500000000000002E-2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5.0200000000000002E-2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5.7000000000000002E-2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6.7199999999999996E-2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0.15540000000000001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0.1802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0.19969999999999999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0.21260000000000001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0.24010000000000001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0.2487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1.7899999999999999E-2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1.4999999999999999E-2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2.53E-2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4.5699999999999998E-2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7.4099999999999999E-2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9.1200000000000003E-2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0.10290000000000001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7.1999999999999998E-3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2.3300000000000001E-2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2.9700000000000001E-2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0.59220000000000006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0.50760000000000005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0.19739999999999999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0.187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0.33550000000000002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0.26950000000000002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9.35E-2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0.17049999999999998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0.19799999999999998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6.5999999999999989E-2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2.0999999999999998E-2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24.268000000000001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26.088699999999999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17.9297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15.6568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13.4757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10.6663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8.7608999999999995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27.791499999999999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28.3841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21.127300000000002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18.7028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16.3005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13.332599999999999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11.1404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7.3899999999999993E-2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0.85340000000000005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2.3689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3.8090000000000002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4.6848000000000001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4.7457000000000003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4.4085000000000001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3.8862000000000001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3.6995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3.4824000000000002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2.9180999999999999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2.3052999999999999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2.0489999999999999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1.796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1.5001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1.216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6.93E-2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6.7500000000000004E-2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6.59E-2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6.4399999999999999E-2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6.1800000000000001E-2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5.7700000000000001E-2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5.4100000000000002E-2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5.16E-2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4.8500000000000001E-2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4.7800000000000002E-2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4.6800000000000001E-2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4.5900000000000003E-2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4.4699999999999997E-2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4.3099999999999999E-2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4.1099999999999998E-2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3.8300000000000001E-2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3.5299999999999998E-2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0.14879999999999999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0.1542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0.16470000000000001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0.17299999999999999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0.16980000000000001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0.1663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0.1658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0.16139999999999999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0.16950000000000001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0.17150000000000001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0.17280000000000001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0.17810000000000001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0.18310000000000001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0.186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0.18820000000000001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0.18609999999999999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0.18360000000000001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9.2999999999999992E-3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1.66E-2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2.9000000000000001E-2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4.4299999999999999E-2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5.8000000000000003E-2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7.0300000000000001E-2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8.1199999999999994E-2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8.8200000000000001E-2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9.1499999999999998E-2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9.2799999999999994E-2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9.5100000000000004E-2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9.6000000000000002E-2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9.6100000000000005E-2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9.6299999999999997E-2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9.5100000000000004E-2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9.4100000000000003E-2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4.0000000000000002E-4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2.2000000000000001E-3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4.8999999999999998E-3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7.6E-3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1.01E-2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1.38E-2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2.9499999999999998E-2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4.1300000000000003E-2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4.9399999999999999E-2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4.7899999999999998E-2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4.4699999999999997E-2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4.19E-2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3.9300000000000002E-2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3.5799999999999998E-2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3.2500000000000001E-2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6.7000000000000002E-3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5.3E-3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2.3999999999999998E-3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2.3999999999999998E-3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4.0000000000000002E-4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73.001599999999996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78.466499999999996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82.507800000000003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83.1297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90.676500000000004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93.797300000000007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102.2341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109.28360000000001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188.86699999999999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240.95179999999999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293.03660000000002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293.50970000000001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293.98270000000002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311.18680000000001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328.39089999999999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353.34289999999999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378.29489999999998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29.845099999999999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29.719000000000001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26.365400000000001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21.7714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15.9224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10.716200000000001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6.7812000000000001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4.5705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1.8267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0.32400000000000001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-0.9667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-1.2323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-1.3385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-1.3653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-1.3707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-0.52759999999999996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32.856499999999997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31.6022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28.4864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24.392399999999999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18.775099999999998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13.4856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9.3228000000000009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6.8792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3.4102999999999999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1.7122999999999999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0.22670000000000001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-0.25340000000000001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-0.58050000000000002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-0.57940000000000003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-0.55100000000000005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-0.44929999999999998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-0.36070000000000002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2.0000000000000001E-4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2.0000000000000001E-4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1E-4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1E-4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1E-4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1E-4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2.0000000000000001E-4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2.0000000000000001E-4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6.88E-2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6.6900000000000001E-2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6.6000000000000003E-2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6.5500000000000003E-2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6.4500000000000002E-2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6.0999999999999999E-2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5.8400000000000001E-2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5.5399999999999998E-2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5.33E-2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5.1799999999999999E-2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5.0099999999999999E-2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4.8399999999999999E-2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4.6600000000000003E-2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4.4600000000000001E-2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4.2299999999999997E-2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0.04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3.7499999999999999E-2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0.14779999999999999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0.153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0.1628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0.17130000000000001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0.17069999999999999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0.16869999999999999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0.1699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0.16850000000000001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0.17710000000000001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0.17780000000000001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0.17860000000000001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0.18129999999999999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0.18410000000000001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0.18609999999999999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0.1875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0.18759999999999999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0.1875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1.5800000000000002E-2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2.5999999999999999E-2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3.5499999999999997E-2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4.82E-2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5.62E-2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6.3399999999999998E-2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6.9599999999999995E-2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7.3300000000000004E-2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7.4899999999999994E-2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7.6399999999999996E-2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7.7100000000000002E-2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7.7799999999999994E-2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7.8100000000000003E-2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7.8299999999999995E-2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7.8200000000000006E-2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7.8100000000000003E-2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2.2000000000000001E-3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4.4999999999999997E-3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6.7999999999999996E-3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9.9000000000000008E-3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1.0699999999999999E-2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1.0500000000000001E-2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1.0200000000000001E-2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1.15E-2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1.26E-2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1.6500000000000001E-2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2.5499999999999998E-2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3.0099999999999998E-2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3.3099999999999997E-2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3.56E-2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6.4000000000000003E-3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5.3E-3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3.5999999999999999E-3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1.2999999999999999E-3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2.3E-3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2.5999999999999999E-3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2.8999999999999998E-3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2.3E-3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2.3999999999999998E-3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2.7000000000000001E-3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2.8999999999999998E-3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4.1999999999999997E-3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4.4000000000000003E-3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4.4999999999999997E-3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73.001599999999996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77.891999999999996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81.912400000000005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80.238200000000006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93.126099999999994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98.16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105.309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119.66370000000001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188.98869999999999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226.34530000000001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263.70179999999999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268.50380000000001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273.30579999999998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272.73469999999998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272.16359999999997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278.35910000000001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284.55459999999999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30.3371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30.4969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28.761399999999998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27.523599999999998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25.431699999999999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22.142800000000001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19.9528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19.429300000000001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18.9833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18.264399999999998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18.117599999999999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16.231100000000001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14.5153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13.389200000000001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12.2578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11.987399999999999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11.755800000000001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33.3354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32.7209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31.559000000000001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30.236999999999998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28.179400000000001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25.197800000000001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23.3018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22.7652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22.2531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21.499500000000001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21.298999999999999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19.7224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18.304500000000001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16.856000000000002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15.401199999999999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14.0236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12.688499999999999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2.0000000000000001E-4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0.1104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1.3694999999999999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2.5154000000000001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2.5897999999999999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2.5583999999999998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2.4380000000000002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2.4058000000000002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2.3801999999999999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2.0116999999999998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1.6508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1.0189999999999999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0.3861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0.2354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9.35E-2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6.9099999999999995E-2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6.7400000000000002E-2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6.6600000000000006E-2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6.7000000000000004E-2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6.1699999999999998E-2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6.0100000000000001E-2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5.7799999999999997E-2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5.5199999999999999E-2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5.3699999999999998E-2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5.2999999999999999E-2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5.1900000000000002E-2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5.0500000000000003E-2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4.9000000000000002E-2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4.7E-2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4.4499999999999998E-2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4.1399999999999999E-2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3.8300000000000001E-2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0.14860000000000001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0.15459999999999999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0.1648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0.17510000000000001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0.1668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0.1711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0.17480000000000001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0.17180000000000001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0.18310000000000001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0.18459999999999999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0.1857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0.18959999999999999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0.19339999999999999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0.19489999999999999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0.19539999999999999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0.19450000000000001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0.19320000000000001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9.1999999999999998E-3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1.5599999999999999E-2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2.5700000000000001E-2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3.61E-2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4.7199999999999999E-2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5.6000000000000001E-2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6.3700000000000007E-2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6.9500000000000006E-2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7.3999999999999996E-2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7.6200000000000004E-2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7.8E-2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7.9399999999999998E-2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8.0699999999999994E-2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8.0699999999999994E-2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8.0199999999999994E-2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7.9299999999999995E-2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7.8399999999999997E-2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2.2000000000000001E-3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4.4999999999999997E-3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6.7999999999999996E-3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9.4999999999999998E-3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1.5599999999999999E-2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2.58E-2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3.5900000000000001E-2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4.3099999999999999E-2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4.5499999999999999E-2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4.7399999999999998E-2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4.7699999999999999E-2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4.7300000000000002E-2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4.8000000000000001E-2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4.8099999999999997E-2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4.4900000000000002E-2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4.1700000000000001E-2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6.7000000000000002E-3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1.2999999999999999E-3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2.3999999999999998E-3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2.5000000000000001E-3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2.8E-3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2.7000000000000001E-3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1.5E-3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6.9999999999999999E-4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4.0000000000000002E-4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73.001599999999996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77.891999999999996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81.912400000000005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67.241900000000001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90.6113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101.7992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107.02209999999999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120.10380000000001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194.6285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241.1953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287.76209999999998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290.18090000000001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292.59969999999998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309.4341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326.26850000000002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340.6293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354.99020000000002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30.268799999999999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30.703199999999999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29.227399999999999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26.824100000000001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18.716799999999999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12.716699999999999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8.7987000000000002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6.7073999999999998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4.9861000000000004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3.2309999999999999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1.7598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1.2877000000000001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0.95089999999999997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0.70309999999999995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0.51080000000000003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1.1097999999999999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1.7018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33.293199999999999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32.572400000000002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31.280200000000001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28.918800000000001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21.414999999999999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15.3979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11.1547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8.7327999999999992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6.3601999999999999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4.4301000000000004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2.78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2.1286999999999998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1.6025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1.3396999999999999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1.1357999999999999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0.99680000000000002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0.85209999999999997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2.0000000000000001E-4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9.2700000000000005E-2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0.71889999999999998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1.0815999999999999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1.2492000000000001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1.2970999999999999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1.2383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1.1742999999999999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0.93959999999999999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0.70799999999999996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0.35970000000000002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3.7999999999999999E-2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1.8599999999999998E-2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6.88E-2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6.7100000000000007E-2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6.6299999999999998E-2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6.6000000000000003E-2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6.1199999999999997E-2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5.8400000000000001E-2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5.5399999999999998E-2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5.3800000000000001E-2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5.4699999999999999E-2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5.3499999999999999E-2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5.0299999999999997E-2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4.8399999999999999E-2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4.6399999999999997E-2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4.3999999999999997E-2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4.0899999999999999E-2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3.7600000000000001E-2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0.14829999999999999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0.15409999999999999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0.1643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0.1686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0.16830000000000001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0.1691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0.1686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0.18440000000000001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0.1847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0.18790000000000001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0.19059999999999999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0.19270000000000001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0.19389999999999999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0.1918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0.1895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1.5299999999999999E-2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2.5100000000000001E-2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3.5799999999999998E-2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4.7699999999999999E-2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5.6300000000000003E-2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6.3799999999999996E-2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7.0199999999999999E-2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7.6300000000000007E-2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7.7499999999999999E-2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7.8600000000000003E-2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7.9100000000000004E-2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7.9600000000000004E-2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7.9600000000000004E-2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7.9399999999999998E-2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7.8100000000000003E-2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7.6999999999999999E-2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2.2000000000000001E-3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4.4999999999999997E-3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1.32E-2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3.04E-2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4.4200000000000003E-2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5.2999999999999999E-2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6.13E-2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6.2799999999999995E-2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6.3600000000000004E-2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6.0999999999999999E-2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5.7200000000000001E-2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5.2499999999999998E-2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4.7800000000000002E-2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4.41E-2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6.6E-3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5.4999999999999997E-3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3.7000000000000002E-3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2.7000000000000001E-3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2.7000000000000001E-3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1.2999999999999999E-3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6.9999999999999999E-4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5.0000000000000001E-4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73.001599999999996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77.891999999999996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81.912400000000005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64.127499999999998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91.354799999999997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105.9276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120.80500000000001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127.26349999999999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198.3801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253.75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309.11989999999997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326.37200000000001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343.6241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347.93310000000002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352.24209999999999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377.07549999999998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401.90890000000002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30.209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30.432500000000001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28.761600000000001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25.714300000000001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14.793699999999999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8.4719999999999995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4.0876999999999999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1.6634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-6.6299999999999998E-2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-0.78539999999999999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-1.3738999999999999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-1.7864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-2.1602999999999999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-1.8088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-1.4742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-0.41749999999999998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0.63900000000000001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33.236400000000003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32.503799999999998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31.2148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28.497299999999999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18.102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12.1046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7.7160000000000002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4.8863000000000003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2.5958999999999999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1.5981000000000001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0.71599999999999997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0.56240000000000001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0.4355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0.60350000000000004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0.75790000000000002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0.69310000000000005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0.62770000000000004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0.1028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1.3872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2.8121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4.0810000000000004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4.7611999999999997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5.7492000000000001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6.21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6.1376999999999997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5.6487999999999996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5.1680999999999999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4.6002999999999998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4.0239000000000003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3.9512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3.8635999999999999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3.6577999999999999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3.4499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6.7199999999999996E-2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5.9799999999999999E-2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4.5900000000000003E-2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3.61E-2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3.3300000000000003E-2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2.9700000000000001E-2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2.7E-2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2.3400000000000001E-2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2.1399999999999999E-2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2.06E-2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1.9800000000000002E-2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1.9599999999999999E-2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1.9599999999999999E-2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1.9599999999999999E-2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1.89E-2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1.8200000000000001E-2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0.14580000000000001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0.14810000000000001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0.1434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0.13589999999999999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0.14130000000000001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0.14069999999999999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0.14050000000000001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0.13550000000000001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0.13919999999999999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0.13900000000000001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0.1391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0.14280000000000001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0.14660000000000001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0.15010000000000001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0.15310000000000001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0.1525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0.1515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8.8999999999999999E-3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1.35E-2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1.9699999999999999E-2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2.6599999999999999E-2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3.8800000000000001E-2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4.9200000000000001E-2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5.4399999999999997E-2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6.0900000000000003E-2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6.3399999999999998E-2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6.3700000000000007E-2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6.4399999999999999E-2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6.5199999999999994E-2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6.5600000000000006E-2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6.6000000000000003E-2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6.54E-2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6.4899999999999999E-2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4.0000000000000002E-4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1.6000000000000001E-3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3.3E-3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6.1999999999999998E-3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8.0000000000000002E-3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8.9999999999999993E-3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8.9999999999999993E-3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8.8999999999999999E-3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1.0200000000000001E-2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1.2999999999999999E-2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1.52E-2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1.6899999999999998E-2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1.7999999999999999E-2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1.7899999999999999E-2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1.7899999999999999E-2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1.8200000000000001E-2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1.84E-2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6.1000000000000004E-3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4.1999999999999997E-3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1.6999999999999999E-3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1.6999999999999999E-3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2.9999999999999997E-4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73.001599999999996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45.482599999999998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67.088399999999993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73.105500000000006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79.048699999999997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90.3874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71.707599999999999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144.792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183.17789999999999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218.52809999999999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253.87819999999999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251.1943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248.5104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244.03149999999999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239.55260000000001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255.48400000000001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271.41550000000001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29.0488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28.253799999999998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20.677900000000001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13.1441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6.0716000000000001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1.8606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-1.9555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-2.9651000000000001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-3.1496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-2.1858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-1.1549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-2.1113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-2.9946000000000002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-2.4293999999999998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-1.8441000000000001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-2.2351999999999999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-2.6196999999999999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32.115299999999998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30.148800000000001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23.622599999999998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16.1111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8.5642999999999994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3.8889999999999998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-0.39350000000000002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-1.1946000000000001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-1.5469999999999999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-1.6027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-1.5902000000000001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-1.6233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-1.5859000000000001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-1.6737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-1.7377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-1.7918000000000001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-1.8371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2.0000000000000001E-4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9.4000000000000004E-3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8.3999999999999995E-3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7.4999999999999997E-3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7.1999999999999998E-3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6.7999999999999996E-3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5.8999999999999999E-3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5.3E-3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3.5999999999999999E-3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2.3E-3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1.1999999999999999E-3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6.9099999999999995E-2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6.7699999999999996E-2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6.6799999999999998E-2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6.7500000000000004E-2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6.6199999999999995E-2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6.2100000000000002E-2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5.6800000000000003E-2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5.4899999999999997E-2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5.3900000000000003E-2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5.16E-2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4.9099999999999998E-2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4.87E-2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4.8099999999999997E-2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4.6199999999999998E-2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4.41E-2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4.1500000000000002E-2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3.8699999999999998E-2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0.1482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0.15409999999999999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0.16450000000000001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0.1757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0.17460000000000001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0.17319999999999999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0.1736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0.1734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0.18379999999999999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0.18049999999999999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0.1767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0.1842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0.19139999999999999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0.19359999999999999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0.19439999999999999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0.19320000000000001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1.5900000000000001E-2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2.6100000000000002E-2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3.6299999999999999E-2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4.8800000000000003E-2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5.7099999999999998E-2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6.4100000000000004E-2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7.0400000000000004E-2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7.4300000000000005E-2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7.4700000000000003E-2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7.5200000000000003E-2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7.7200000000000005E-2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7.9000000000000001E-2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7.9500000000000001E-2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7.9799999999999996E-2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7.9500000000000001E-2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7.9200000000000007E-2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2.2000000000000001E-3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4.4999999999999997E-3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6.4000000000000003E-3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7.6E-3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9.1999999999999998E-3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1.11E-2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1.4999999999999999E-2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2.53E-2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4.1700000000000001E-2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5.2499999999999998E-2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5.5399999999999998E-2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5.7000000000000002E-2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5.8299999999999998E-2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5.8500000000000003E-2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5.5199999999999999E-2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6.6E-3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5.4000000000000003E-3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2.8E-3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5.0000000000000001E-4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2.3999999999999998E-3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2.3E-3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2.5000000000000001E-3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2.5000000000000001E-3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1.6999999999999999E-3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1.1999999999999999E-3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1.2999999999999999E-3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1.1999999999999999E-3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1.2999999999999999E-3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1.4E-3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1.2999999999999999E-3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1.1999999999999999E-3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8.0000000000000004E-4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5.9999999999999995E-4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2.9999999999999997E-4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73.001599999999996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77.341800000000006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80.438900000000004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77.589500000000001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91.733999999999995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96.340900000000005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103.72620000000001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118.6707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192.0369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225.63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259.22309999999999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260.21190000000001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261.20060000000001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260.74560000000002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260.29059999999998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286.59870000000001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312.90679999999998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30.3431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30.558399999999999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28.7651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27.160599999999999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24.837499999999999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21.1282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17.747900000000001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16.402699999999999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14.792899999999999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12.31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10.8535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8.4756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6.3574999999999999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5.2698999999999998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4.2199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4.5091999999999999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4.8216999999999999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33.349899999999998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32.620899999999999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31.210599999999999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29.545100000000001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27.2925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23.707699999999999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20.431999999999999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18.700700000000001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16.624199999999998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13.944599999999999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12.257300000000001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10.1218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8.2364999999999995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7.0166000000000004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5.8368000000000002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5.0049999999999999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4.1999000000000004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0.12529999999999999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2.2709999999999999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5.0099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7.0039999999999996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8.0778999999999996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8.6829000000000001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7.9366000000000003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6.8388999999999998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6.0018000000000002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5.2022000000000004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4.3357000000000001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3.5533999999999999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3.4529999999999998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3.6280000000000001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3.3328000000000002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3.0853999999999999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6.8599999999999994E-2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6.6600000000000006E-2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6.6799999999999998E-2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6.3299999999999995E-2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6.2899999999999998E-2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6.08E-2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5.7000000000000002E-2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5.21E-2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5.0200000000000002E-2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4.9500000000000002E-2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4.8300000000000003E-2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4.6800000000000001E-2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4.5199999999999997E-2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4.3499999999999997E-2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4.1599999999999998E-2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3.85E-2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3.5400000000000001E-2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0.14829999999999999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0.15359999999999999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0.1691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0.17100000000000001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0.17660000000000001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0.1719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0.17030000000000001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0.16189999999999999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0.17369999999999999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0.17430000000000001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0.17449999999999999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0.1769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0.17949999999999999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0.1825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0.18290000000000001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0.18010000000000001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9.1000000000000004E-3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1.6299999999999999E-2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4.4299999999999999E-2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5.9700000000000003E-2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7.51E-2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8.5099999999999995E-2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0.09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9.3899999999999997E-2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9.4700000000000006E-2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9.4700000000000006E-2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9.4299999999999995E-2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9.4100000000000003E-2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9.3899999999999997E-2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9.3799999999999994E-2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9.2299999999999993E-2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9.1200000000000003E-2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4.0000000000000002E-4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1.2E-2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1.9699999999999999E-2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2.7699999999999999E-2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3.6400000000000002E-2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4.2200000000000001E-2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4.2000000000000003E-2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4.02E-2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3.8300000000000001E-2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3.6999999999999998E-2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3.56E-2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3.5499999999999997E-2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3.7900000000000003E-2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3.7400000000000003E-2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3.73E-2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6.7000000000000002E-3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2.3999999999999998E-3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2E-3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1.1999999999999999E-3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2.9999999999999997E-4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73.001599999999996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73.331400000000002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90.933199999999999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79.789900000000003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88.284700000000001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102.3732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116.0378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102.0744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204.833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239.78649999999999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274.74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263.06189999999998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251.38380000000001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234.74799999999999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218.1121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228.7638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239.41540000000001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29.626000000000001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29.0807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23.1539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15.007899999999999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6.2248000000000001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-0.1429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-3.8809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-4.1830999999999996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-3.3908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-2.3243999999999998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-1.1667000000000001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-2.0455000000000001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-2.9371999999999998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-2.3685999999999998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-2.0758000000000001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-2.5236999999999998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-3.0158999999999998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32.656599999999997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30.9953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25.828199999999999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17.451899999999998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8.2737999999999996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1.57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-2.6753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-2.8483999999999998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-2.3382999999999998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-2.2721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-2.121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-2.0409999999999999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-1.9789000000000001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-1.9811000000000001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-2.2576999999999998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-2.2503000000000002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-2.2856999999999998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9.7799999999999998E-2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0.65939999999999999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2.4196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3.9771999999999998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4.9576000000000002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5.1391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5.2150999999999996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4.3606999999999996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4.101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3.8250000000000002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3.1865000000000001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2.4767999999999999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2.1305000000000001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1.7905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1.4635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1.149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6.9500000000000006E-2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6.7500000000000004E-2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6.6400000000000001E-2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5.8799999999999998E-2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5.5100000000000003E-2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5.28E-2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4.9799999999999997E-2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4.9200000000000001E-2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4.82E-2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4.7199999999999999E-2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4.5900000000000003E-2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4.4400000000000002E-2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4.24E-2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3.9600000000000003E-2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3.6499999999999998E-2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0.14910000000000001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0.15440000000000001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0.16500000000000001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0.17430000000000001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0.17130000000000001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0.16900000000000001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0.16819999999999999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0.16439999999999999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0.1731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0.1754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0.17699999999999999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0.18260000000000001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0.188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0.19120000000000001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0.19370000000000001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0.19170000000000001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0.1893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9.2999999999999992E-3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1.6500000000000001E-2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2.8899999999999999E-2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4.4699999999999997E-2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5.8799999999999998E-2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7.1900000000000006E-2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8.3299999999999999E-2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9.11E-2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9.4700000000000006E-2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9.6100000000000005E-2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9.74E-2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9.8299999999999998E-2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9.9099999999999994E-2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9.9299999999999999E-2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9.9699999999999997E-2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9.8400000000000001E-2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9.74E-2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4.0000000000000002E-4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2.2000000000000001E-3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4.8999999999999998E-3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7.6E-3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9.7000000000000003E-3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1.2999999999999999E-2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1.9300000000000001E-2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2.8799999999999999E-2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4.1000000000000002E-2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4.5400000000000003E-2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4.87E-2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4.7300000000000002E-2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4.4200000000000003E-2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4.1799999999999997E-2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3.95E-2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3.6200000000000003E-2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3.3000000000000002E-2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6.7999999999999996E-3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5.4999999999999997E-3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2.5999999999999999E-3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2.0000000000000001E-4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2.3999999999999998E-3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1.2999999999999999E-3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4.0000000000000002E-4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4.0000000000000002E-4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73.001599999999996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79.6661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82.259699999999995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82.519800000000004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92.587599999999995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94.733099999999993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103.5331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111.11839999999999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190.96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246.7098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302.45960000000002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303.90050000000002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305.3415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320.60309999999998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335.86470000000003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357.86410000000001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379.86340000000001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29.901399999999999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29.843299999999999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26.778300000000002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22.290900000000001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16.344799999999999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11.0426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6.9988000000000001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4.4550999999999998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2.2241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0.1234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-1.6887000000000001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-1.7189000000000001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-1.5883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-1.4474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-1.3069999999999999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-0.41310000000000002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0.4637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32.911499999999997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31.724900000000002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28.91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24.882200000000001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19.177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13.807499999999999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9.5368999999999993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6.7744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3.8149999999999999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1.5153000000000001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-0.49490000000000001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-0.74580000000000002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-0.84250000000000003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-0.68300000000000005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-0.51819999999999999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-0.3644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-0.22489999999999999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2.0000000000000001E-4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2.0000000000000001E-4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1E-4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1E-4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1E-4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1E-4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2.0000000000000001E-4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2.0000000000000001E-4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6.8900000000000003E-2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6.7100000000000007E-2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6.6299999999999998E-2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6.59E-2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6.5299999999999997E-2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6.2399999999999997E-2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6.0199999999999997E-2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5.7500000000000002E-2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5.5500000000000001E-2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5.4199999999999998E-2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5.1299999999999998E-2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4.9799999999999997E-2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4.8000000000000001E-2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4.5900000000000003E-2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4.3499999999999997E-2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4.0800000000000003E-2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0.14799999999999999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0.15329999999999999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0.16309999999999999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0.17180000000000001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0.1721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0.17150000000000001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0.17369999999999999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0.1731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0.18260000000000001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0.18410000000000001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0.1855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0.18959999999999999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0.19370000000000001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0.19719999999999999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0.19989999999999999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0.20019999999999999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9.1999999999999998E-3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1.5800000000000002E-2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2.5999999999999999E-2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3.56E-2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4.8500000000000001E-2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5.7099999999999998E-2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6.4799999999999996E-2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7.1400000000000005E-2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7.5499999999999998E-2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7.7499999999999999E-2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7.9299999999999995E-2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8.0500000000000002E-2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8.1799999999999998E-2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8.2500000000000004E-2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8.3099999999999993E-2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8.3099999999999993E-2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8.3099999999999993E-2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2.3E-3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4.4999999999999997E-3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6.8999999999999999E-3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8.8000000000000005E-3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1.01E-2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1.09E-2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1.0699999999999999E-2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1.0699999999999999E-2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1.2500000000000001E-2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1.41E-2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1.9099999999999999E-2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2.35E-2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3.5400000000000001E-2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3.9600000000000003E-2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4.3200000000000002E-2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6.4999999999999997E-3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5.4000000000000003E-3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3.8E-3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1.2999999999999999E-3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1.6999999999999999E-3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2.3E-3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2.7000000000000001E-3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2.8999999999999998E-3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3.0000000000000001E-3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2.3999999999999998E-3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2.5000000000000001E-3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2.5999999999999999E-3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3.0999999999999999E-3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3.5000000000000001E-3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3.8999999999999998E-3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4.4999999999999997E-3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4.5999999999999999E-3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4.7999999999999996E-3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73.001599999999996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77.968500000000006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81.988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80.717500000000001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94.159400000000005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99.417199999999994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107.20440000000001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121.4452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192.15430000000001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230.40010000000001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268.64589999999998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273.75200000000001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278.85809999999998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278.95650000000001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279.05500000000001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285.80470000000003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292.55439999999999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30.416399999999999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30.581199999999999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28.8233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27.624099999999999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25.741399999999999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22.6462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20.502500000000001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19.884399999999999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19.377800000000001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18.9268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19.084299999999999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17.185500000000001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15.4627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14.2858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13.1326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12.7883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12.503500000000001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33.412199999999999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32.797499999999999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31.612200000000001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30.325600000000001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28.4617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25.658300000000001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23.7986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23.161999999999999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22.585100000000001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22.093399999999999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22.191400000000002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20.594200000000001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19.161300000000001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17.6568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16.1782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14.7309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13.3469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2.0000000000000001E-4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0.1222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1.0944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2.1172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2.2332000000000001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2.2480000000000002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2.1347999999999998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2.0943999999999998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2.0628000000000002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1.7598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1.4622999999999999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0.88370000000000004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0.3054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0.1482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6.9199999999999998E-2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6.7599999999999993E-2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6.6900000000000001E-2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6.7299999999999999E-2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6.3200000000000006E-2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6.1400000000000003E-2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5.9499999999999997E-2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5.7200000000000001E-2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5.5399999999999998E-2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5.4899999999999997E-2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5.3900000000000003E-2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5.2600000000000001E-2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5.0999999999999997E-2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4.87E-2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4.6100000000000002E-2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4.2999999999999997E-2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3.9800000000000002E-2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0.1489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0.15479999999999999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0.1651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0.1757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0.16980000000000001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0.17330000000000001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0.17810000000000001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0.1764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0.18790000000000001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0.19009999999999999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0.19159999999999999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0.1961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0.20030000000000001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0.20169999999999999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0.2024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0.20180000000000001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0.20080000000000001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9.1999999999999998E-3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1.5699999999999999E-2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2.58E-2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3.6299999999999999E-2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4.7899999999999998E-2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5.6800000000000003E-2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6.5000000000000002E-2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7.1400000000000005E-2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7.5999999999999998E-2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7.85E-2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8.0500000000000002E-2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8.2100000000000006E-2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8.3099999999999993E-2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8.2799999999999999E-2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8.2500000000000004E-2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8.1500000000000003E-2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8.0600000000000005E-2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2.3E-3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4.4999999999999997E-3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6.7999999999999996E-3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9.4000000000000004E-3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1.5900000000000001E-2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3.7400000000000003E-2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4.5400000000000003E-2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4.6399999999999997E-2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4.6899999999999997E-2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4.6600000000000003E-2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4.7600000000000003E-2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4.8099999999999997E-2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4.5199999999999997E-2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6.7000000000000002E-3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5.7000000000000002E-3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1.4E-3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2.3999999999999998E-3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2.5999999999999999E-3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2.8E-3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2.8E-3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1.6000000000000001E-3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6.9999999999999999E-4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5.0000000000000001E-4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73.001599999999996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77.968500000000006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81.988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68.936199999999999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91.027299999999997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103.5437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107.10509999999999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119.15349999999999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191.90209999999999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241.9863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292.07040000000001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293.82659999999998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295.58280000000002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310.04989999999998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324.51710000000003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336.1395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347.762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30.3446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30.7865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29.286200000000001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27.1861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19.739699999999999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13.970700000000001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9.7104999999999997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7.7256999999999998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6.3646000000000003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4.4031000000000002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2.7885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2.0388999999999999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1.4487000000000001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1.1213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0.83279999999999998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1.4053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1.9711000000000001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33.366700000000002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32.648600000000002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31.331299999999999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29.169599999999999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22.271000000000001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16.381900000000002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11.8324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9.5364000000000004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7.6199000000000003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5.4962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3.7153999999999998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2.7905000000000002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2.0133000000000001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1.6794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1.3888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1.2343999999999999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1.0750999999999999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2.0000000000000001E-4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5.33E-2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0.14860000000000001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0.25769999999999998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0.2175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0.15820000000000001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0.14369999999999999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0.14699999999999999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0.14599999999999999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0.1216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9.7299999999999998E-2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5.8099999999999999E-2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1.8499999999999999E-2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9.1000000000000004E-3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6.9000000000000006E-2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6.7199999999999996E-2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6.6500000000000004E-2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6.59E-2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6.0999999999999999E-2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5.9499999999999997E-2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5.8299999999999998E-2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5.6300000000000003E-2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5.4600000000000003E-2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5.3400000000000003E-2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5.1900000000000002E-2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5.1400000000000001E-2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5.0700000000000002E-2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4.6100000000000002E-2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4.2900000000000001E-2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3.9600000000000003E-2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0.1484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0.15409999999999999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0.16420000000000001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0.1744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0.16819999999999999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0.1691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0.1744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0.17449999999999999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0.18509999999999999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0.1865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0.18690000000000001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0.19350000000000001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0.2001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0.2026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0.20419999999999999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0.2031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0.2016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9.1999999999999998E-3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1.5599999999999999E-2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2.5600000000000001E-2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3.5799999999999998E-2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4.7699999999999999E-2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5.6899999999999999E-2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6.5199999999999994E-2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7.17E-2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7.5600000000000001E-2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7.7299999999999994E-2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7.8799999999999995E-2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8.09E-2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8.2900000000000001E-2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8.3199999999999996E-2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8.2900000000000001E-2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8.1600000000000006E-2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8.0500000000000002E-2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2.3E-3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4.4999999999999997E-3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6.1999999999999998E-3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9.2999999999999992E-3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1.3899999999999999E-2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1.9800000000000002E-2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3.1300000000000001E-2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3.9600000000000003E-2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4.5400000000000003E-2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4.7399999999999998E-2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4.8500000000000001E-2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4.9200000000000001E-2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4.9500000000000002E-2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4.7399999999999998E-2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4.53E-2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6.6E-3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5.4999999999999997E-3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3.8E-3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1.2999999999999999E-3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2.3999999999999998E-3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2.5000000000000001E-3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2.7000000000000001E-3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2.8E-3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1.5E-3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1.6999999999999999E-3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1.6999999999999999E-3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1.8E-3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1.6999999999999999E-3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1.4E-3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4.0000000000000002E-4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73.001599999999996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77.968500000000006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81.988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70.858099999999993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90.9709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101.1491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106.63930000000001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122.9055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191.8219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226.81039999999999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261.79880000000003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265.5829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269.36700000000002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261.36439999999999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253.36189999999999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287.42759999999998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321.49329999999998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30.369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30.685099999999998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29.023099999999999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26.404199999999999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21.866900000000001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17.8383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14.0642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12.261200000000001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9.9581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7.8960999999999997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6.5389999999999997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5.2065000000000001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3.9849000000000001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3.3201999999999998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2.6901000000000002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3.0836999999999999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3.4847999999999999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33.3782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32.727200000000003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31.446000000000002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28.978100000000001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24.6906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20.806999999999999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17.087299999999999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14.8605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12.136699999999999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9.8199000000000005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8.1905000000000001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7.1205999999999996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6.1544999999999996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5.3513000000000002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4.5868000000000002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3.8708999999999998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3.1690999999999998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0.1096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1.4631000000000001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2.9788999999999999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4.3338000000000001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5.3909000000000002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6.7252000000000001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6.9543999999999997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6.3074000000000003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5.6699000000000002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5.0742000000000003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4.3330000000000002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3.5960000000000001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3.5095000000000001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3.41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3.2881999999999998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3.1581000000000001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6.7199999999999996E-2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5.9900000000000002E-2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4.6100000000000002E-2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3.6499999999999998E-2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3.4099999999999998E-2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3.0599999999999999E-2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2.8299999999999999E-2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2.46E-2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2.1700000000000001E-2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2.1299999999999999E-2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2.0799999999999999E-2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2.06E-2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2.0400000000000001E-2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2.0400000000000001E-2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2.0400000000000001E-2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1.9900000000000001E-2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1.9300000000000001E-2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0.14599999999999999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0.1484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0.14399999999999999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0.1366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0.1426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0.1429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0.1434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0.13850000000000001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0.1409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0.1414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0.1421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0.1459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0.15340000000000001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0.15620000000000001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0.15579999999999999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0.155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8.8999999999999999E-3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1.35E-2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1.9800000000000002E-2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2.6700000000000002E-2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3.9199999999999999E-2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5.0500000000000003E-2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5.6000000000000001E-2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6.2100000000000002E-2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6.3899999999999998E-2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6.4600000000000005E-2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6.5199999999999994E-2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6.59E-2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6.6600000000000006E-2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6.6900000000000001E-2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6.7400000000000002E-2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6.6799999999999998E-2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6.6299999999999998E-2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4.0000000000000002E-4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1.6999999999999999E-3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6.4000000000000003E-3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8.8000000000000005E-3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1.12E-2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1.2200000000000001E-2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1.5699999999999999E-2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1.8100000000000002E-2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1.9800000000000002E-2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2.06E-2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2.07E-2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2.0299999999999999E-2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0.02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1.8499999999999999E-2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6.1999999999999998E-3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1.8E-3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1.8E-3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2.9999999999999997E-4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2.0000000000000001E-4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73.001599999999996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45.327199999999998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66.704400000000007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72.423400000000001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79.702799999999996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91.915599999999998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76.897400000000005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148.58510000000001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177.4348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223.40710000000001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269.37939999999998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266.48559999999998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263.59190000000001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259.2636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254.93520000000001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275.8578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296.78039999999999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29.0886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28.555399999999999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20.85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13.1816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5.6689999999999996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0.82279999999999998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-3.4518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-4.0323000000000002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-3.4336000000000002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-2.6137999999999999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-1.7312000000000001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-2.4350000000000001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-3.0878000000000001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-2.4344999999999999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-1.7664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-2.1844999999999999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-2.5928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32.154200000000003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30.293900000000001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23.547599999999999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15.9754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8.0753000000000004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2.7942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-1.9377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-2.3188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-1.9151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-2.1141000000000001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-2.2469000000000001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-2.0326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-1.7705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-1.7684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-1.7464999999999999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-1.8052999999999999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-1.8520000000000001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2.0000000000000001E-4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1.2200000000000001E-2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5.8799999999999998E-2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5.4199999999999998E-2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5.2400000000000002E-2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4.9799999999999997E-2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4.3900000000000002E-2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4.0500000000000001E-2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0.03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2.1399999999999999E-2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1.43E-2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6.8999999999999999E-3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3.3999999999999998E-3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6.9199999999999998E-2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6.7699999999999996E-2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6.6900000000000001E-2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6.7699999999999996E-2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6.6600000000000006E-2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6.2899999999999998E-2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5.8900000000000001E-2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5.67E-2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5.6000000000000001E-2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5.3699999999999998E-2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5.1299999999999998E-2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5.0999999999999997E-2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5.0500000000000003E-2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4.87E-2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4.65E-2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4.36E-2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4.0399999999999998E-2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0.14829999999999999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0.1542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0.16450000000000001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0.17599999999999999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0.17549999999999999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0.1757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0.17749999999999999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0.1779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0.1893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0.18629999999999999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0.183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0.19059999999999999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0.19889999999999999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0.2019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0.20419999999999999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0.20300000000000001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0.2016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9.1999999999999998E-3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1.5800000000000002E-2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2.6100000000000002E-2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3.6400000000000002E-2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4.9099999999999998E-2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5.8000000000000003E-2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6.5500000000000003E-2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7.2300000000000003E-2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7.6399999999999996E-2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7.7100000000000002E-2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7.7700000000000005E-2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7.9899999999999999E-2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8.2100000000000006E-2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8.2699999999999996E-2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8.3199999999999996E-2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8.2400000000000001E-2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8.1699999999999995E-2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4.5999999999999999E-3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6.4999999999999997E-3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7.7999999999999996E-3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9.4999999999999998E-3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1.15E-2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1.54E-2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2.5700000000000001E-2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4.2500000000000003E-2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5.3600000000000002E-2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5.6899999999999999E-2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5.8400000000000001E-2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5.9400000000000001E-2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5.96E-2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5.6399999999999999E-2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5.2900000000000003E-2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6.6E-3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5.4999999999999997E-3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2.8E-3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5.0000000000000001E-4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2.3999999999999998E-3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2.3E-3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2.5000000000000001E-3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2.5000000000000001E-3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1.6999999999999999E-3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1.2999999999999999E-3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1.4E-3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1.5E-3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1.5E-3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1.4E-3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1.2999999999999999E-3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1.1000000000000001E-3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8.0000000000000004E-4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5.9999999999999995E-4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2.9999999999999997E-4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73.001599999999996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77.466300000000004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80.7667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78.046199999999999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92.57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97.8005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105.5347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120.13039999999999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194.8674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227.6191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260.3707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262.774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265.17720000000003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268.15460000000002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271.13200000000001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287.08839999999998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303.04489999999998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30.407599999999999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30.6647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28.757400000000001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27.161200000000001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24.812799999999999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21.3019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18.240200000000002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16.847899999999999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14.9849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12.4392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10.9595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8.8520000000000003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6.8365999999999998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5.7092999999999998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4.6289999999999996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4.8836000000000004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5.1608000000000001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33.4116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32.715699999999998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31.197199999999999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29.534199999999998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27.251100000000001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23.850999999999999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20.859300000000001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19.0731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16.744900000000001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14.006600000000001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12.302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10.428000000000001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8.6351999999999993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7.3724999999999996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6.1600999999999999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5.2961999999999998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4.4589999999999996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0.18260000000000001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2.2965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4.9696999999999996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6.5526999999999997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7.4939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7.9006999999999996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7.1578999999999997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6.1425999999999998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5.319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4.5589000000000004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3.8018999999999998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3.1111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2.9647000000000001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2.9923999999999999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2.7176999999999998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2.4762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6.8699999999999997E-2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6.6699999999999995E-2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6.6299999999999998E-2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6.3200000000000006E-2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6.2E-2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5.96E-2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5.5100000000000003E-2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5.0700000000000002E-2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4.87E-2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4.7399999999999998E-2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4.5900000000000003E-2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4.41E-2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4.2200000000000001E-2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4.0300000000000002E-2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3.8199999999999998E-2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3.5099999999999999E-2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3.1800000000000002E-2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0.14879999999999999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0.15359999999999999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0.16700000000000001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0.1704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0.17369999999999999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0.16850000000000001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0.1641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0.15670000000000001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0.1711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0.1706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0.17030000000000001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0.17230000000000001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0.1744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0.17699999999999999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0.17879999999999999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0.17599999999999999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0.1726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9.1000000000000004E-3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1.66E-2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3.0599999999999999E-2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4.6300000000000001E-2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6.2399999999999997E-2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7.8600000000000003E-2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8.8400000000000006E-2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9.4500000000000001E-2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9.8599999999999993E-2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9.8299999999999998E-2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9.8000000000000004E-2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9.7600000000000006E-2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9.74E-2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9.7299999999999998E-2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9.7500000000000003E-2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9.6500000000000002E-2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9.5699999999999993E-2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4.0000000000000002E-4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1.9E-3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5.3E-3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1.2800000000000001E-2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2.2100000000000002E-2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3.1800000000000002E-2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4.1399999999999999E-2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4.6300000000000001E-2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4.3400000000000001E-2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4.0500000000000001E-2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3.7600000000000001E-2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3.6200000000000003E-2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3.4700000000000002E-2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3.44E-2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3.5799999999999998E-2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3.4500000000000003E-2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3.3500000000000002E-2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7.4000000000000003E-3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5.7999999999999996E-3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2.5999999999999999E-3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1.4E-3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4.0000000000000002E-4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2.0000000000000001E-4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73.001599999999996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73.480599999999995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91.020899999999997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79.762100000000004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89.851500000000001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106.7538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110.3374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118.3001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205.3706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245.97049999999999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286.57040000000001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276.56740000000002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266.56450000000001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250.3956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234.2268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241.70140000000001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249.17609999999999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29.747900000000001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29.137499999999999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22.8978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14.209099999999999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5.6077000000000004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-0.99339999999999995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-4.4348000000000001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-4.3522999999999996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-3.7974000000000001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-2.3517999999999999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-0.91679999999999995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-1.7717000000000001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-2.6339000000000001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-2.0141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-1.5694999999999999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-2.0003000000000002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-2.4618000000000002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32.788699999999999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31.086200000000002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25.6495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16.752700000000001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7.7831999999999999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0.81499999999999995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-3.1741000000000001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-3.0398000000000001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-2.7565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-2.3026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-1.865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-1.7495000000000001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-1.6446000000000001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-1.5906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-1.7098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-1.6815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-1.6830000000000001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9.8799999999999999E-2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0.70089999999999997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2.5398000000000001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4.1151999999999997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5.1847000000000003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5.2987000000000002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6.9500000000000006E-2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6.7599999999999993E-2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6.6600000000000006E-2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6.5199999999999994E-2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6.2700000000000006E-2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5.9200000000000003E-2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5.5899999999999998E-2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0.14929999999999999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0.1547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0.16539999999999999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0.17510000000000001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0.1721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0.1696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0.1701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9.2999999999999992E-3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1.6500000000000001E-2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2.8899999999999999E-2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4.4900000000000002E-2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5.9299999999999999E-2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7.2800000000000004E-2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8.4900000000000003E-2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4.0000000000000002E-4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2.2000000000000001E-3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4.8999999999999998E-3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7.7000000000000002E-3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1.01E-2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1.38E-2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2.0400000000000001E-2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6.7999999999999996E-3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5.4999999999999997E-3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2.5999999999999999E-3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2.0000000000000001E-4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2.3999999999999998E-3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2.3E-3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2.2000000000000001E-3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1.2999999999999999E-3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5.0000000000000001E-4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73.001599999999996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80.203800000000001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82.549700000000001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82.752499999999998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92.685199999999995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95.278599999999997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104.5851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29.913399999999999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29.886399999999998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26.973199999999999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22.187999999999999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16.098700000000001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10.6426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6.1660000000000004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32.925199999999997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31.814699999999998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29.1402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24.8125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18.948899999999998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13.4163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8.7045999999999992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2.0000000000000001E-4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2.0000000000000001E-4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1E-4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1E-4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1E-4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7.0000000000000007E-2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6.7900000000000002E-2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6.7500000000000004E-2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6.7400000000000002E-2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6.5600000000000006E-2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6.2700000000000006E-2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0.06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0.14979999999999999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0.16439999999999999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0.17399999999999999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0.17280000000000001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0.17219999999999999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0.1734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0.01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1.7899999999999999E-2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2.75E-2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3.6499999999999998E-2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4.8599999999999997E-2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5.7099999999999998E-2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6.4299999999999996E-2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2.3E-3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4.4999999999999997E-3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6.8999999999999999E-3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8.6999999999999994E-3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1.01E-2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1.0999999999999999E-2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6.6E-3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5.4000000000000003E-3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3.8E-3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1.4E-3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2.3E-3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2.5999999999999999E-3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2.8999999999999998E-3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3.0000000000000001E-3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2.5999999999999999E-3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73.001599999999996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77.954999999999998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82.11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80.954599999999999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94.6935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100.05540000000001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108.1425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30.3323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30.663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28.915700000000001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27.639299999999999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25.529699999999998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22.5336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20.702400000000001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33.320500000000003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32.905500000000004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31.735900000000001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30.36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28.281700000000001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25.552499999999998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23.997599999999998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2.0000000000000001E-4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0.1118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1.2226999999999999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2.3940000000000001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2.4754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7.0099999999999996E-2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6.8000000000000005E-2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6.7699999999999996E-2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6.7599999999999993E-2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6.3600000000000004E-2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6.2399999999999997E-2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6.08E-2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0.15010000000000001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0.15459999999999999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0.16550000000000001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0.17749999999999999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0.17199999999999999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0.17710000000000001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0.1827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1.7899999999999999E-2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2.7400000000000001E-2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3.5999999999999997E-2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4.7800000000000002E-2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5.7299999999999997E-2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6.6199999999999995E-2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2.3E-3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4.4999999999999997E-3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6.7999999999999996E-3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1.7299999999999999E-2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2.8899999999999999E-2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6.1000000000000004E-3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4.5999999999999999E-3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3.3E-3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1.1999999999999999E-3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2.3E-3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2.2000000000000001E-3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2.3E-3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2.3999999999999998E-3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1.2999999999999999E-3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5.9999999999999995E-4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73.001599999999996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77.954999999999998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82.11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68.876199999999997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91.817999999999998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104.6031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107.10039999999999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30.3079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30.949100000000001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29.638999999999999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27.2197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19.663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13.383800000000001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8.9646000000000008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33.295299999999997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32.788600000000002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31.646799999999999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29.2056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22.1767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15.761699999999999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11.0403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2.0000000000000001E-4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1E-4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1E-4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1E-4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2.0000000000000001E-4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6.9099999999999995E-2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6.7299999999999999E-2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6.6600000000000006E-2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6.6199999999999995E-2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6.6000000000000003E-2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6.3700000000000007E-2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6.1899999999999997E-2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0.14829999999999999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0.15390000000000001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0.16450000000000001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0.1744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0.17530000000000001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0.17610000000000001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0.17960000000000001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9.2999999999999992E-3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1.5699999999999999E-2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2.5700000000000001E-2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3.5299999999999998E-2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4.8399999999999999E-2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5.7500000000000002E-2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6.5699999999999995E-2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2.3E-3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4.4999999999999997E-3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8.5000000000000006E-3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9.7999999999999997E-3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1.0500000000000001E-2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6.1000000000000004E-3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4.5999999999999999E-3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3.3E-3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1.1999999999999999E-3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2.3E-3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2.2000000000000001E-3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2.3E-3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2.5000000000000001E-3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2.5999999999999999E-3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2.0999999999999999E-3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2.2000000000000001E-3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73.001599999999996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77.954999999999998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82.11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79.552300000000002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92.837299999999999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97.483500000000006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104.66670000000001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30.380800000000001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30.701899999999998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29.1328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27.4864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25.758400000000002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23.292000000000002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22.860900000000001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33.371000000000002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32.771799999999999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31.566500000000001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29.834199999999999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28.104700000000001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25.728899999999999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25.372800000000002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0.1162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1.4287000000000001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2.9809000000000001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4.1100000000000003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4.8823999999999996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5.8940999999999999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6.6100000000000006E-2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5.8099999999999999E-2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4.4299999999999999E-2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3.2199999999999999E-2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2.8400000000000002E-2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2.58E-2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0.14510000000000001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0.1469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0.1414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0.1341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0.1384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0.13700000000000001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0.1363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8.8000000000000005E-3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1.3599999999999999E-2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2.0299999999999999E-2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2.8000000000000001E-2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4.0500000000000001E-2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5.1299999999999998E-2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5.5599999999999997E-2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4.0000000000000002E-4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1.6000000000000001E-3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8.5000000000000006E-3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9.7000000000000003E-3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0.01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5.1999999999999998E-3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2.3E-3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2.3999999999999998E-3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1.1999999999999999E-3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73.001599999999996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48.768900000000002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62.721400000000003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72.460999999999999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80.591200000000001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91.781400000000005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80.823700000000002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29.055499999999999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28.3308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20.994700000000002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13.2204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5.7975000000000003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0.99560000000000004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-3.0181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32.147799999999997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30.204699999999999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23.842400000000001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16.126100000000001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8.2986000000000004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3.0586000000000002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-1.405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2.0000000000000001E-4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1.18E-2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5.8900000000000001E-2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5.33E-2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5.1400000000000001E-2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4.8599999999999997E-2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6.9199999999999998E-2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6.7699999999999996E-2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6.6799999999999998E-2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6.7699999999999996E-2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6.6799999999999998E-2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6.3399999999999998E-2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5.9400000000000001E-2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0.14829999999999999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0.15409999999999999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0.16439999999999999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0.17599999999999999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0.17599999999999999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0.17649999999999999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0.1787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9.1999999999999998E-3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1.5800000000000002E-2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2.5999999999999999E-2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3.6299999999999999E-2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4.9200000000000001E-2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5.8299999999999998E-2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6.6000000000000003E-2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7.9000000000000008E-3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9.4000000000000004E-3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1.15E-2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6.6E-3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5.4999999999999997E-3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2.8E-3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5.0000000000000001E-4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2.3999999999999998E-3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2.3E-3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2.5000000000000001E-3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1.8E-3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1.5E-3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73.001599999999996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77.505899999999997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80.950800000000001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78.172700000000006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92.872900000000001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98.497200000000007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106.169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30.3978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30.583400000000001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28.7074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27.0745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24.793199999999999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21.325700000000001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18.3324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33.402200000000001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32.6907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31.199200000000001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29.488700000000001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27.2502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23.878900000000002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20.945599999999999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0.189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2.3083999999999998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5.0006000000000004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6.7592999999999996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7.7156000000000002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7.9973999999999998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6.8699999999999997E-2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6.6699999999999995E-2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6.6400000000000001E-2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6.3399999999999998E-2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6.2E-2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5.9900000000000002E-2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5.5399999999999998E-2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0.14879999999999999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0.15359999999999999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0.1671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0.1709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0.17399999999999999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0.16919999999999999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0.16470000000000001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9.1000000000000004E-3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1.66E-2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3.0700000000000002E-2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4.6699999999999998E-2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6.2799999999999995E-2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7.9299999999999995E-2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8.9099999999999999E-2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4.0000000000000002E-4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1.9E-3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5.1999999999999998E-3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1.2999999999999999E-2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2.2800000000000001E-2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3.2800000000000003E-2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4.2299999999999997E-2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7.4000000000000003E-3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5.8999999999999999E-3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2.5000000000000001E-3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2.5999999999999999E-3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2.3999999999999998E-3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1.4E-3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4.0000000000000002E-4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2.0000000000000001E-4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73.001599999999996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73.994500000000002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91.4251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80.040499999999994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90.896699999999996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108.5005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109.01130000000001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29.760999999999999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29.122199999999999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22.7697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13.951000000000001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5.2427000000000001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-1.3882000000000001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-4.6597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32.801099999999998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31.122399999999999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25.567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16.5197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7.4127999999999998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0.38919999999999999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-3.4455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2025-09-06T18:57:16Z</dcterms:modified>
</cp:coreProperties>
</file>