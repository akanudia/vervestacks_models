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\SubRES_Tmpl\"/>
    </mc:Choice>
  </mc:AlternateContent>
  <xr:revisionPtr revIDLastSave="0" documentId="8_{7DF84326-5261-4279-9ED6-8684D01278D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<sst xmlns="http://schemas.openxmlformats.org/spreadsheetml/2006/main" count="1148" uniqueCount="300">
  <si>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</si>
  <si>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</si>
  <si>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</si>
  <si>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</si>
  <si>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</si>
  <si>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</si>
  <si>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</si>
  <si>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</si>
  <si>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</si>
  <si>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</si>
  <si>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</si>
  <si>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</si>
  <si>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</si>
  <si>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</si>
  <si>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</si>
  <si>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</si>
  <si>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</si>
  <si>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</si>
  <si>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</si>
  <si>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</si>
  <si>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</si>
  <si>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</si>
  <si>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</si>
  <si>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</si>
  <si>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</si>
  <si>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</si>
  <si>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</si>
  <si>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</si>
  <si>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</si>
  <si>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</si>
  <si>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</si>
  <si>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</si>
  <si>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</si>
  <si>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</si>
  <si>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</si>
  <si>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</si>
  <si>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</si>
  <si>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</si>
  <si>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</si>
  <si>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</si>
  <si>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</si>
  <si>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</si>
  <si>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</si>
  <si>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</si>
  <si>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</si>
  <si>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</si>
  <si>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</si>
  <si>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</si>
  <si>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</si>
  <si>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</si>
  <si>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</si>
  <si>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</si>
  <si>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</si>
  <si>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</si>
  <si>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</si>
  <si>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</si>
  <si>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</si>
  <si>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</si>
  <si>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</si>
  <si>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</si>
  <si>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</si>
  <si>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</si>
  <si>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</si>
  <si>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</si>
  <si>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</si>
  <si>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</si>
  <si>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</si>
  <si>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</si>
  <si>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</si>
  <si>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</si>
  <si>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</si>
  <si>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</si>
  <si>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</si>
  <si>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</si>
  <si>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</si>
  <si>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</si>
  <si>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</si>
  <si>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</si>
  <si>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</si>
  <si>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</si>
  <si>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</si>
  <si>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</si>
  <si>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</si>
  <si>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</si>
  <si>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</si>
  <si>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</si>
  <si>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</si>
  <si>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</si>
  <si>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</si>
  <si>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</si>
  <si>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</si>
  <si>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</si>
  <si>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</si>
  <si>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</si>
  <si>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</si>
  <si>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</si>
  <si>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</si>
  <si>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</si>
  <si>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</si>
  <si>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</si>
  <si>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</si>
  <si>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</si>
  <si>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</si>
  <si>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</si>
  <si>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</si>
  <si>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</si>
  <si>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</si>
  <si>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</si>
  <si>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</si>
  <si>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</si>
  <si>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</si>
  <si>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</si>
  <si>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</si>
  <si>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</si>
  <si>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</si>
  <si>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</si>
  <si>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</si>
  <si>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</si>
  <si>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</si>
  <si>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</si>
  <si>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</si>
  <si>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</si>
  <si>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</si>
  <si>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</si>
  <si>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</si>
  <si>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</si>
  <si>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</si>
  <si>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</si>
  <si>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</si>
  <si>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</si>
  <si>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</si>
  <si>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</si>
  <si>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</si>
  <si>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</si>
  <si>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</si>
  <si>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</si>
  <si>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</si>
  <si>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</si>
  <si>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</si>
  <si>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</si>
  <si>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</si>
  <si>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</si>
  <si>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</si>
  <si>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</si>
  <si>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</si>
  <si>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</si>
  <si>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</si>
  <si>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</si>
  <si>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</si>
  <si>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</si>
  <si>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</si>
  <si>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</si>
  <si>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</si>
  <si>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</si>
  <si>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</si>
  <si>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</si>
  <si>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</si>
  <si>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</si>
  <si>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</si>
  <si>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</si>
  <si>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</si>
  <si>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</si>
  <si>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</si>
  <si>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</si>
  <si>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</si>
  <si>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</si>
  <si>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</si>
  <si>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EN_Hydro_CHE-1</t>
  </si>
  <si>
    <t>New Hydro Potential - Switzerland - Step 1</t>
  </si>
  <si>
    <t>PJ</t>
  </si>
  <si>
    <t>EN_Hydro_CHE-2</t>
  </si>
  <si>
    <t>New Hydro Potential - Switzerland - Step 2</t>
  </si>
  <si>
    <t>EN_Hydro_CHE-3</t>
  </si>
  <si>
    <t>New Hydro Potential - Switzerland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</si>
  <si>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</si>
  <si>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</si>
  <si>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</si>
  <si>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</si>
  <si>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</si>
  <si>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</si>
  <si>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</si>
  <si>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</si>
  <si>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</si>
  <si>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e_spv-CHE_21_c1</t>
  </si>
  <si>
    <t>solar resource -- CF class spv-CHE_21 -- cost class 1</t>
  </si>
  <si>
    <t>annual</t>
  </si>
  <si>
    <t>no</t>
  </si>
  <si>
    <t>e_spv-CHE_20_c1</t>
  </si>
  <si>
    <t>solar resource -- CF class spv-CHE_20 -- cost class 1</t>
  </si>
  <si>
    <t>e_spv-CHE_20_c3</t>
  </si>
  <si>
    <t>solar resource -- CF class spv-CHE_20 -- cost class 3</t>
  </si>
  <si>
    <t>e_spv-CHE_20_c2</t>
  </si>
  <si>
    <t>solar resource -- CF class spv-CHE_20 -- cost class 2</t>
  </si>
  <si>
    <t>e_spv-CHE_19_c1</t>
  </si>
  <si>
    <t>solar resource -- CF class spv-CHE_19 -- cost class 1</t>
  </si>
  <si>
    <t>e_spv-CHE_19_c2</t>
  </si>
  <si>
    <t>solar resource -- CF class spv-CHE_19 -- cost class 2</t>
  </si>
  <si>
    <t>e_spv-CHE_19_c3</t>
  </si>
  <si>
    <t>solar resource -- CF class spv-CHE_19 -- cost class 3</t>
  </si>
  <si>
    <t>e_spv-CHE_18_c5</t>
  </si>
  <si>
    <t>solar resource -- CF class spv-CHE_18 -- cost class 5</t>
  </si>
  <si>
    <t>e_spv-CHE_18_c2</t>
  </si>
  <si>
    <t>solar resource -- CF class spv-CHE_18 -- cost class 2</t>
  </si>
  <si>
    <t>e_spv-CHE_18_c1</t>
  </si>
  <si>
    <t>solar resource -- CF class spv-CHE_18 -- cost class 1</t>
  </si>
  <si>
    <t>e_spv-CHE_18_c3</t>
  </si>
  <si>
    <t>solar resource -- CF class spv-CHE_18 -- cost class 3</t>
  </si>
  <si>
    <t>e_spv-CHE_18_c4</t>
  </si>
  <si>
    <t>solar resource -- CF class spv-CHE_18 -- cost class 4</t>
  </si>
  <si>
    <t>e_spv-CHE_17_c1</t>
  </si>
  <si>
    <t>solar resource -- CF class spv-CHE_17 -- cost class 1</t>
  </si>
  <si>
    <t>e_spv-CHE_17_c2</t>
  </si>
  <si>
    <t>solar resource -- CF class spv-CHE_17 -- cost class 2</t>
  </si>
  <si>
    <t>e_spv-CHE_17_c4</t>
  </si>
  <si>
    <t>solar resource -- CF class spv-CHE_17 -- cost class 4</t>
  </si>
  <si>
    <t>e_spv-CHE_17_c3</t>
  </si>
  <si>
    <t>solar resource -- CF class spv-CHE_17 -- cost class 3</t>
  </si>
  <si>
    <t>e_spv-CHE_16_c1</t>
  </si>
  <si>
    <t>solar resource -- CF class spv-CHE_16 -- cost class 1</t>
  </si>
  <si>
    <t>e_spv-CHE_16_c4</t>
  </si>
  <si>
    <t>solar resource -- CF class spv-CHE_16 -- cost class 4</t>
  </si>
  <si>
    <t>e_spv-CHE_16_c2</t>
  </si>
  <si>
    <t>solar resource -- CF class spv-CHE_16 -- cost class 2</t>
  </si>
  <si>
    <t>e_spv-CHE_16_c5</t>
  </si>
  <si>
    <t>solar resource -- CF class spv-CHE_16 -- cost class 5</t>
  </si>
  <si>
    <t>e_spv-CHE_16_c3</t>
  </si>
  <si>
    <t>solar resource -- CF class spv-CHE_16 -- cost class 3</t>
  </si>
  <si>
    <t>comm-out</t>
  </si>
  <si>
    <t>cap_bnd</t>
  </si>
  <si>
    <t>af~fx</t>
  </si>
  <si>
    <t>lcoe_class</t>
  </si>
  <si>
    <t>elc_spv-CHE</t>
  </si>
  <si>
    <t>e_won-CHE_18_c1</t>
  </si>
  <si>
    <t>onshore wind resource -- CF class won-CHE_18 -- cost class 1</t>
  </si>
  <si>
    <t>e_won-CHE_15_c1</t>
  </si>
  <si>
    <t>onshore wind resource -- CF class won-CHE_15 -- cost class 1</t>
  </si>
  <si>
    <t>e_won-CHE_11_c1</t>
  </si>
  <si>
    <t>onshore wind resource -- CF class won-CHE_11 -- cost class 1</t>
  </si>
  <si>
    <t>e_won-CHE_9_c1</t>
  </si>
  <si>
    <t>onshore wind resource -- CF class won-CHE_9 -- cost class 1</t>
  </si>
  <si>
    <t>e_won-CHE_9_c2</t>
  </si>
  <si>
    <t>onshore wind resource -- CF class won-CHE_9 -- cost class 2</t>
  </si>
  <si>
    <t>e_won-CHE_8_c1</t>
  </si>
  <si>
    <t>onshore wind resource -- CF class won-CHE_8 -- cost class 1</t>
  </si>
  <si>
    <t>e_won-CHE_8_c2</t>
  </si>
  <si>
    <t>onshore wind resource -- CF class won-CHE_8 -- cost class 2</t>
  </si>
  <si>
    <t>e_won-CHE_6_c1</t>
  </si>
  <si>
    <t>onshore wind resource -- CF class won-CHE_6 -- cost class 1</t>
  </si>
  <si>
    <t>e_won-CHE_4_c1</t>
  </si>
  <si>
    <t>onshore wind resource -- CF class won-CHE_4 -- cost class 1</t>
  </si>
  <si>
    <t>e_won-CHE_3_c2</t>
  </si>
  <si>
    <t>onshore wind resource -- CF class won-CHE_3 -- cost class 2</t>
  </si>
  <si>
    <t>e_won-CHE_3_c1</t>
  </si>
  <si>
    <t>onshore wind resource -- CF class won-CHE_3 -- cost class 1</t>
  </si>
  <si>
    <t>e_won-CHE_2_c4</t>
  </si>
  <si>
    <t>onshore wind resource -- CF class won-CHE_2 -- cost class 4</t>
  </si>
  <si>
    <t>e_won-CHE_2_c2</t>
  </si>
  <si>
    <t>onshore wind resource -- CF class won-CHE_2 -- cost class 2</t>
  </si>
  <si>
    <t>e_won-CHE_2_c5</t>
  </si>
  <si>
    <t>onshore wind resource -- CF class won-CHE_2 -- cost class 5</t>
  </si>
  <si>
    <t>e_won-CHE_2_c1</t>
  </si>
  <si>
    <t>onshore wind resource -- CF class won-CHE_2 -- cost class 1</t>
  </si>
  <si>
    <t>e_won-CHE_2_c3</t>
  </si>
  <si>
    <t>onshore wind resource -- CF class won-CHE_2 -- cost class 3</t>
  </si>
  <si>
    <t>e_won-CHE_1_c5</t>
  </si>
  <si>
    <t>onshore wind resource -- CF class won-CHE_1 -- cost class 5</t>
  </si>
  <si>
    <t>e_won-CHE_1_c2</t>
  </si>
  <si>
    <t>onshore wind resource -- CF class won-CHE_1 -- cost class 2</t>
  </si>
  <si>
    <t>e_won-CHE_1_c4</t>
  </si>
  <si>
    <t>onshore wind resource -- CF class won-CHE_1 -- cost class 4</t>
  </si>
  <si>
    <t>e_won-CHE_1_c1</t>
  </si>
  <si>
    <t>onshore wind resource -- CF class won-CHE_1 -- cost class 1</t>
  </si>
  <si>
    <t>e_won-CHE_1_c3</t>
  </si>
  <si>
    <t>onshore wind resource -- CF class won-CHE_1 -- cost class 3</t>
  </si>
  <si>
    <t>elc_won-CHE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</si>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</sst>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2.1950000000000003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6.92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13.84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D6D3-E5C7-4557-827D-1BC7FE8D1FA2}">
  <dimension ref="B9:N31"/>
  <sheetViews>
    <sheetView workbookViewId="0"/>
  </sheetViews>
  <sheetFormatPr defaultRowHeight="14.25"/>
  <sheetData>
    <row r="9" spans="2:14">
      <c r="B9" t="s">
        <v>163</v>
      </c>
      <c r="J9" t="s">
        <v>174</v>
      </c>
    </row>
    <row r="10" spans="2:1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227</v>
      </c>
      <c r="L10" t="s">
        <v>228</v>
      </c>
      <c r="M10" t="s">
        <v>229</v>
      </c>
      <c r="N10" t="s">
        <v>230</v>
      </c>
    </row>
    <row r="11" spans="2:1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231</v>
      </c>
      <c r="L11">
        <v>2.8756996303142331E-2</v>
      </c>
      <c r="M11">
        <v>0.20930892224138251</v>
      </c>
      <c r="N11">
        <v>1</v>
      </c>
    </row>
    <row r="12" spans="2:14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231</v>
      </c>
      <c r="L12">
        <v>3.7915202381444578E-3</v>
      </c>
      <c r="M12">
        <v>0.19749885808161249</v>
      </c>
      <c r="N12">
        <v>1</v>
      </c>
    </row>
    <row r="13" spans="2:14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231</v>
      </c>
      <c r="L13">
        <v>4.3897763578274757E-3</v>
      </c>
      <c r="M13">
        <v>0.19633772958479789</v>
      </c>
      <c r="N13">
        <v>3</v>
      </c>
    </row>
    <row r="14" spans="2:14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231</v>
      </c>
      <c r="L14">
        <v>8.2354980303882955E-2</v>
      </c>
      <c r="M14">
        <v>0.19528573025258039</v>
      </c>
      <c r="N14">
        <v>2</v>
      </c>
    </row>
    <row r="15" spans="2:14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231</v>
      </c>
      <c r="L15">
        <v>0.17153533917986757</v>
      </c>
      <c r="M15">
        <v>0.19149994531508044</v>
      </c>
      <c r="N15">
        <v>1</v>
      </c>
    </row>
    <row r="16" spans="2:14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231</v>
      </c>
      <c r="L16">
        <v>6.1797040380237251E-3</v>
      </c>
      <c r="M16">
        <v>0.19011715424716044</v>
      </c>
      <c r="N16">
        <v>2</v>
      </c>
    </row>
    <row r="17" spans="2:14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231</v>
      </c>
      <c r="L17">
        <v>0.26997383720930235</v>
      </c>
      <c r="M17">
        <v>0.18992324175161571</v>
      </c>
      <c r="N17">
        <v>3</v>
      </c>
    </row>
    <row r="18" spans="2:14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231</v>
      </c>
      <c r="L18">
        <v>1.1915835896675682E-3</v>
      </c>
      <c r="M18">
        <v>0.1845718208438536</v>
      </c>
      <c r="N18">
        <v>5</v>
      </c>
    </row>
    <row r="19" spans="2:14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231</v>
      </c>
      <c r="L19">
        <v>8.5493602671339302E-3</v>
      </c>
      <c r="M19">
        <v>0.181243750482871</v>
      </c>
      <c r="N19">
        <v>2</v>
      </c>
    </row>
    <row r="20" spans="2:14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231</v>
      </c>
      <c r="L20">
        <v>0.6709370077112814</v>
      </c>
      <c r="M20">
        <v>0.17644725257364624</v>
      </c>
      <c r="N20">
        <v>1</v>
      </c>
    </row>
    <row r="21" spans="2:14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231</v>
      </c>
      <c r="L21">
        <v>0.29639120965667998</v>
      </c>
      <c r="M21">
        <v>0.17614020399124761</v>
      </c>
      <c r="N21">
        <v>3</v>
      </c>
    </row>
    <row r="22" spans="2:14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231</v>
      </c>
      <c r="L22">
        <v>0.4684507225739995</v>
      </c>
      <c r="M22">
        <v>0.1751948590908658</v>
      </c>
      <c r="N22">
        <v>4</v>
      </c>
    </row>
    <row r="23" spans="2:14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231</v>
      </c>
      <c r="L23">
        <v>1.4481085481682499</v>
      </c>
      <c r="M23">
        <v>0.17487833888233581</v>
      </c>
      <c r="N23">
        <v>1</v>
      </c>
    </row>
    <row r="24" spans="2:14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231</v>
      </c>
      <c r="L24">
        <v>1.579447229248103</v>
      </c>
      <c r="M24">
        <v>0.17244794072124439</v>
      </c>
      <c r="N24">
        <v>2</v>
      </c>
    </row>
    <row r="25" spans="2:14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231</v>
      </c>
      <c r="L25">
        <v>1.2298670247245116</v>
      </c>
      <c r="M25">
        <v>0.16962670935478119</v>
      </c>
      <c r="N25">
        <v>4</v>
      </c>
    </row>
    <row r="26" spans="2:14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231</v>
      </c>
      <c r="L26">
        <v>1.9842252367079387</v>
      </c>
      <c r="M26">
        <v>0.16684649586809219</v>
      </c>
      <c r="N26">
        <v>3</v>
      </c>
    </row>
    <row r="27" spans="2:14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231</v>
      </c>
      <c r="L27">
        <v>3.8812885906241887</v>
      </c>
      <c r="M27">
        <v>0.16402657077428809</v>
      </c>
      <c r="N27">
        <v>1</v>
      </c>
    </row>
    <row r="28" spans="2:14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231</v>
      </c>
      <c r="L28">
        <v>2.1530929285090701</v>
      </c>
      <c r="M28">
        <v>0.1607615908692181</v>
      </c>
      <c r="N28">
        <v>4</v>
      </c>
    </row>
    <row r="29" spans="2:14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231</v>
      </c>
      <c r="L29">
        <v>3.6689087448027093</v>
      </c>
      <c r="M29">
        <v>0.16010229153219946</v>
      </c>
      <c r="N29">
        <v>2</v>
      </c>
    </row>
    <row r="30" spans="2:14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231</v>
      </c>
      <c r="L30">
        <v>1.5659439033006963</v>
      </c>
      <c r="M30">
        <v>0.1588247014810453</v>
      </c>
      <c r="N30">
        <v>5</v>
      </c>
    </row>
    <row r="31" spans="2:14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231</v>
      </c>
      <c r="L31">
        <v>5.2561812365089242</v>
      </c>
      <c r="M31">
        <v>0.15819443124016505</v>
      </c>
      <c r="N3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8430-64B4-4AEA-BD30-E0C5E353288C}">
  <dimension ref="B9:AB31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227</v>
      </c>
      <c r="L10" t="s">
        <v>228</v>
      </c>
      <c r="M10" t="s">
        <v>229</v>
      </c>
      <c r="N10" t="s">
        <v>230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164</v>
      </c>
      <c r="Y10" t="s">
        <v>227</v>
      </c>
      <c r="Z10" t="s">
        <v>228</v>
      </c>
      <c r="AA10" t="s">
        <v>229</v>
      </c>
      <c r="AB10" t="s">
        <v>230</v>
      </c>
    </row>
    <row r="11" spans="2:28">
      <c r="B11" t="s">
        <v>182</v>
      </c>
      <c r="C11" t="s">
        <v>232</v>
      </c>
      <c r="D11" t="s">
        <v>233</v>
      </c>
      <c r="E11" t="s">
        <v>10</v>
      </c>
      <c r="F11" t="s">
        <v>21</v>
      </c>
      <c r="G11" t="s">
        <v>185</v>
      </c>
      <c r="H11" t="s">
        <v>186</v>
      </c>
      <c r="J11" t="s">
        <v>232</v>
      </c>
      <c r="K11" t="s">
        <v>274</v>
      </c>
      <c r="L11">
        <v>5.5300750395968263</v>
      </c>
      <c r="M11">
        <v>0.18337776500373579</v>
      </c>
      <c r="N11">
        <v>1</v>
      </c>
    </row>
    <row r="12" spans="2:28">
      <c r="B12" t="s">
        <v>182</v>
      </c>
      <c r="C12" t="s">
        <v>234</v>
      </c>
      <c r="D12" t="s">
        <v>235</v>
      </c>
      <c r="E12" t="s">
        <v>10</v>
      </c>
      <c r="F12" t="s">
        <v>21</v>
      </c>
      <c r="G12" t="s">
        <v>185</v>
      </c>
      <c r="H12" t="s">
        <v>186</v>
      </c>
      <c r="J12" t="s">
        <v>234</v>
      </c>
      <c r="K12" t="s">
        <v>274</v>
      </c>
      <c r="L12">
        <v>5.2637138388739624</v>
      </c>
      <c r="M12">
        <v>0.15124373474020081</v>
      </c>
      <c r="N12">
        <v>1</v>
      </c>
    </row>
    <row r="13" spans="2:28">
      <c r="B13" t="s">
        <v>182</v>
      </c>
      <c r="C13" t="s">
        <v>236</v>
      </c>
      <c r="D13" t="s">
        <v>237</v>
      </c>
      <c r="E13" t="s">
        <v>10</v>
      </c>
      <c r="F13" t="s">
        <v>21</v>
      </c>
      <c r="G13" t="s">
        <v>185</v>
      </c>
      <c r="H13" t="s">
        <v>186</v>
      </c>
      <c r="J13" t="s">
        <v>236</v>
      </c>
      <c r="K13" t="s">
        <v>274</v>
      </c>
      <c r="L13">
        <v>4.8810223774085832</v>
      </c>
      <c r="M13">
        <v>0.1090484973217004</v>
      </c>
      <c r="N13">
        <v>1</v>
      </c>
    </row>
    <row r="14" spans="2:28">
      <c r="B14" t="s">
        <v>182</v>
      </c>
      <c r="C14" t="s">
        <v>238</v>
      </c>
      <c r="D14" t="s">
        <v>239</v>
      </c>
      <c r="E14" t="s">
        <v>10</v>
      </c>
      <c r="F14" t="s">
        <v>21</v>
      </c>
      <c r="G14" t="s">
        <v>185</v>
      </c>
      <c r="H14" t="s">
        <v>186</v>
      </c>
      <c r="J14" t="s">
        <v>238</v>
      </c>
      <c r="K14" t="s">
        <v>274</v>
      </c>
      <c r="L14">
        <v>5.4484134852470127</v>
      </c>
      <c r="M14">
        <v>9.4605519946606709E-2</v>
      </c>
      <c r="N14">
        <v>1</v>
      </c>
    </row>
    <row r="15" spans="2:28">
      <c r="B15" t="s">
        <v>182</v>
      </c>
      <c r="C15" t="s">
        <v>240</v>
      </c>
      <c r="D15" t="s">
        <v>241</v>
      </c>
      <c r="E15" t="s">
        <v>10</v>
      </c>
      <c r="F15" t="s">
        <v>21</v>
      </c>
      <c r="G15" t="s">
        <v>185</v>
      </c>
      <c r="H15" t="s">
        <v>186</v>
      </c>
      <c r="J15" t="s">
        <v>240</v>
      </c>
      <c r="K15" t="s">
        <v>274</v>
      </c>
      <c r="L15">
        <v>4.5427400681867214</v>
      </c>
      <c r="M15">
        <v>9.1718896057032401E-2</v>
      </c>
      <c r="N15">
        <v>2</v>
      </c>
    </row>
    <row r="16" spans="2:28">
      <c r="B16" t="s">
        <v>182</v>
      </c>
      <c r="C16" t="s">
        <v>242</v>
      </c>
      <c r="D16" t="s">
        <v>243</v>
      </c>
      <c r="E16" t="s">
        <v>10</v>
      </c>
      <c r="F16" t="s">
        <v>21</v>
      </c>
      <c r="G16" t="s">
        <v>185</v>
      </c>
      <c r="H16" t="s">
        <v>186</v>
      </c>
      <c r="J16" t="s">
        <v>242</v>
      </c>
      <c r="K16" t="s">
        <v>274</v>
      </c>
      <c r="L16">
        <v>5.7700877580207592</v>
      </c>
      <c r="M16">
        <v>8.4808314560993803E-2</v>
      </c>
      <c r="N16">
        <v>1</v>
      </c>
    </row>
    <row r="17" spans="2:14">
      <c r="B17" t="s">
        <v>182</v>
      </c>
      <c r="C17" t="s">
        <v>244</v>
      </c>
      <c r="D17" t="s">
        <v>245</v>
      </c>
      <c r="E17" t="s">
        <v>10</v>
      </c>
      <c r="F17" t="s">
        <v>21</v>
      </c>
      <c r="G17" t="s">
        <v>185</v>
      </c>
      <c r="H17" t="s">
        <v>186</v>
      </c>
      <c r="J17" t="s">
        <v>244</v>
      </c>
      <c r="K17" t="s">
        <v>274</v>
      </c>
      <c r="L17">
        <v>4.6353949297463997</v>
      </c>
      <c r="M17">
        <v>7.5379803340346496E-2</v>
      </c>
      <c r="N17">
        <v>2</v>
      </c>
    </row>
    <row r="18" spans="2:14">
      <c r="B18" t="s">
        <v>182</v>
      </c>
      <c r="C18" t="s">
        <v>246</v>
      </c>
      <c r="D18" t="s">
        <v>247</v>
      </c>
      <c r="E18" t="s">
        <v>10</v>
      </c>
      <c r="F18" t="s">
        <v>21</v>
      </c>
      <c r="G18" t="s">
        <v>185</v>
      </c>
      <c r="H18" t="s">
        <v>186</v>
      </c>
      <c r="J18" t="s">
        <v>246</v>
      </c>
      <c r="K18" t="s">
        <v>274</v>
      </c>
      <c r="L18">
        <v>4.3332785211148934</v>
      </c>
      <c r="M18">
        <v>5.6562862203992398E-2</v>
      </c>
      <c r="N18">
        <v>1</v>
      </c>
    </row>
    <row r="19" spans="2:14">
      <c r="B19" t="s">
        <v>182</v>
      </c>
      <c r="C19" t="s">
        <v>248</v>
      </c>
      <c r="D19" t="s">
        <v>249</v>
      </c>
      <c r="E19" t="s">
        <v>10</v>
      </c>
      <c r="F19" t="s">
        <v>21</v>
      </c>
      <c r="G19" t="s">
        <v>185</v>
      </c>
      <c r="H19" t="s">
        <v>186</v>
      </c>
      <c r="J19" t="s">
        <v>248</v>
      </c>
      <c r="K19" t="s">
        <v>274</v>
      </c>
      <c r="L19">
        <v>2.0462720932774983</v>
      </c>
      <c r="M19">
        <v>3.57376484501324E-2</v>
      </c>
      <c r="N19">
        <v>1</v>
      </c>
    </row>
    <row r="20" spans="2:14">
      <c r="B20" t="s">
        <v>182</v>
      </c>
      <c r="C20" t="s">
        <v>250</v>
      </c>
      <c r="D20" t="s">
        <v>251</v>
      </c>
      <c r="E20" t="s">
        <v>10</v>
      </c>
      <c r="F20" t="s">
        <v>21</v>
      </c>
      <c r="G20" t="s">
        <v>185</v>
      </c>
      <c r="H20" t="s">
        <v>186</v>
      </c>
      <c r="J20" t="s">
        <v>250</v>
      </c>
      <c r="K20" t="s">
        <v>274</v>
      </c>
      <c r="L20">
        <v>1.9495723062423211</v>
      </c>
      <c r="M20">
        <v>3.43407248230971E-2</v>
      </c>
      <c r="N20">
        <v>2</v>
      </c>
    </row>
    <row r="21" spans="2:14">
      <c r="B21" t="s">
        <v>182</v>
      </c>
      <c r="C21" t="s">
        <v>252</v>
      </c>
      <c r="D21" t="s">
        <v>253</v>
      </c>
      <c r="E21" t="s">
        <v>10</v>
      </c>
      <c r="F21" t="s">
        <v>21</v>
      </c>
      <c r="G21" t="s">
        <v>185</v>
      </c>
      <c r="H21" t="s">
        <v>186</v>
      </c>
      <c r="J21" t="s">
        <v>252</v>
      </c>
      <c r="K21" t="s">
        <v>274</v>
      </c>
      <c r="L21">
        <v>3.0790570281938239</v>
      </c>
      <c r="M21">
        <v>3.3416011988648103E-2</v>
      </c>
      <c r="N21">
        <v>1</v>
      </c>
    </row>
    <row r="22" spans="2:14">
      <c r="B22" t="s">
        <v>182</v>
      </c>
      <c r="C22" t="s">
        <v>254</v>
      </c>
      <c r="D22" t="s">
        <v>255</v>
      </c>
      <c r="E22" t="s">
        <v>10</v>
      </c>
      <c r="F22" t="s">
        <v>21</v>
      </c>
      <c r="G22" t="s">
        <v>185</v>
      </c>
      <c r="H22" t="s">
        <v>186</v>
      </c>
      <c r="J22" t="s">
        <v>254</v>
      </c>
      <c r="K22" t="s">
        <v>274</v>
      </c>
      <c r="L22">
        <v>1.7426414691899286</v>
      </c>
      <c r="M22">
        <v>2.1682675869008301E-2</v>
      </c>
      <c r="N22">
        <v>4</v>
      </c>
    </row>
    <row r="23" spans="2:14">
      <c r="B23" t="s">
        <v>182</v>
      </c>
      <c r="C23" t="s">
        <v>256</v>
      </c>
      <c r="D23" t="s">
        <v>257</v>
      </c>
      <c r="E23" t="s">
        <v>10</v>
      </c>
      <c r="F23" t="s">
        <v>21</v>
      </c>
      <c r="G23" t="s">
        <v>185</v>
      </c>
      <c r="H23" t="s">
        <v>186</v>
      </c>
      <c r="J23" t="s">
        <v>256</v>
      </c>
      <c r="K23" t="s">
        <v>274</v>
      </c>
      <c r="L23">
        <v>1.6043266883203575</v>
      </c>
      <c r="M23">
        <v>2.0266383600495881E-2</v>
      </c>
      <c r="N23">
        <v>2</v>
      </c>
    </row>
    <row r="24" spans="2:14">
      <c r="B24" t="s">
        <v>182</v>
      </c>
      <c r="C24" t="s">
        <v>258</v>
      </c>
      <c r="D24" t="s">
        <v>259</v>
      </c>
      <c r="E24" t="s">
        <v>10</v>
      </c>
      <c r="F24" t="s">
        <v>21</v>
      </c>
      <c r="G24" t="s">
        <v>185</v>
      </c>
      <c r="H24" t="s">
        <v>186</v>
      </c>
      <c r="J24" t="s">
        <v>258</v>
      </c>
      <c r="K24" t="s">
        <v>274</v>
      </c>
      <c r="L24">
        <v>3.6439944134078216E-2</v>
      </c>
      <c r="M24">
        <v>1.83696490148956E-2</v>
      </c>
      <c r="N24">
        <v>5</v>
      </c>
    </row>
    <row r="25" spans="2:14">
      <c r="B25" t="s">
        <v>182</v>
      </c>
      <c r="C25" t="s">
        <v>260</v>
      </c>
      <c r="D25" t="s">
        <v>261</v>
      </c>
      <c r="E25" t="s">
        <v>10</v>
      </c>
      <c r="F25" t="s">
        <v>21</v>
      </c>
      <c r="G25" t="s">
        <v>185</v>
      </c>
      <c r="H25" t="s">
        <v>186</v>
      </c>
      <c r="J25" t="s">
        <v>260</v>
      </c>
      <c r="K25" t="s">
        <v>274</v>
      </c>
      <c r="L25">
        <v>1.3008768034372531</v>
      </c>
      <c r="M25">
        <v>1.8091015445443046E-2</v>
      </c>
      <c r="N25">
        <v>1</v>
      </c>
    </row>
    <row r="26" spans="2:14">
      <c r="B26" t="s">
        <v>182</v>
      </c>
      <c r="C26" t="s">
        <v>262</v>
      </c>
      <c r="D26" t="s">
        <v>263</v>
      </c>
      <c r="E26" t="s">
        <v>10</v>
      </c>
      <c r="F26" t="s">
        <v>21</v>
      </c>
      <c r="G26" t="s">
        <v>185</v>
      </c>
      <c r="H26" t="s">
        <v>186</v>
      </c>
      <c r="J26" t="s">
        <v>262</v>
      </c>
      <c r="K26" t="s">
        <v>274</v>
      </c>
      <c r="L26">
        <v>0.4632111530641882</v>
      </c>
      <c r="M26">
        <v>1.50049883921675E-2</v>
      </c>
      <c r="N26">
        <v>3</v>
      </c>
    </row>
    <row r="27" spans="2:14">
      <c r="B27" t="s">
        <v>182</v>
      </c>
      <c r="C27" t="s">
        <v>264</v>
      </c>
      <c r="D27" t="s">
        <v>265</v>
      </c>
      <c r="E27" t="s">
        <v>10</v>
      </c>
      <c r="F27" t="s">
        <v>21</v>
      </c>
      <c r="G27" t="s">
        <v>185</v>
      </c>
      <c r="H27" t="s">
        <v>186</v>
      </c>
      <c r="J27" t="s">
        <v>264</v>
      </c>
      <c r="K27" t="s">
        <v>274</v>
      </c>
      <c r="L27">
        <v>6.0975756649342704E-2</v>
      </c>
      <c r="M27">
        <v>1.32900002666706E-2</v>
      </c>
      <c r="N27">
        <v>5</v>
      </c>
    </row>
    <row r="28" spans="2:14">
      <c r="B28" t="s">
        <v>182</v>
      </c>
      <c r="C28" t="s">
        <v>266</v>
      </c>
      <c r="D28" t="s">
        <v>267</v>
      </c>
      <c r="E28" t="s">
        <v>10</v>
      </c>
      <c r="F28" t="s">
        <v>21</v>
      </c>
      <c r="G28" t="s">
        <v>185</v>
      </c>
      <c r="H28" t="s">
        <v>186</v>
      </c>
      <c r="J28" t="s">
        <v>266</v>
      </c>
      <c r="K28" t="s">
        <v>274</v>
      </c>
      <c r="L28">
        <v>1.2085654979173839</v>
      </c>
      <c r="M28">
        <v>1.3198365282264956E-2</v>
      </c>
      <c r="N28">
        <v>2</v>
      </c>
    </row>
    <row r="29" spans="2:14">
      <c r="B29" t="s">
        <v>182</v>
      </c>
      <c r="C29" t="s">
        <v>268</v>
      </c>
      <c r="D29" t="s">
        <v>269</v>
      </c>
      <c r="E29" t="s">
        <v>10</v>
      </c>
      <c r="F29" t="s">
        <v>21</v>
      </c>
      <c r="G29" t="s">
        <v>185</v>
      </c>
      <c r="H29" t="s">
        <v>186</v>
      </c>
      <c r="J29" t="s">
        <v>268</v>
      </c>
      <c r="K29" t="s">
        <v>274</v>
      </c>
      <c r="L29">
        <v>0.79360563220340441</v>
      </c>
      <c r="M29">
        <v>1.08875889114047E-2</v>
      </c>
      <c r="N29">
        <v>4</v>
      </c>
    </row>
    <row r="30" spans="2:14">
      <c r="B30" t="s">
        <v>182</v>
      </c>
      <c r="C30" t="s">
        <v>270</v>
      </c>
      <c r="D30" t="s">
        <v>271</v>
      </c>
      <c r="E30" t="s">
        <v>10</v>
      </c>
      <c r="F30" t="s">
        <v>21</v>
      </c>
      <c r="G30" t="s">
        <v>185</v>
      </c>
      <c r="H30" t="s">
        <v>186</v>
      </c>
      <c r="J30" t="s">
        <v>270</v>
      </c>
      <c r="K30" t="s">
        <v>274</v>
      </c>
      <c r="L30">
        <v>0.54700004658835288</v>
      </c>
      <c r="M30">
        <v>1.0736120756036928E-2</v>
      </c>
      <c r="N30">
        <v>1</v>
      </c>
    </row>
    <row r="31" spans="2:14">
      <c r="B31" t="s">
        <v>182</v>
      </c>
      <c r="C31" t="s">
        <v>272</v>
      </c>
      <c r="D31" t="s">
        <v>273</v>
      </c>
      <c r="E31" t="s">
        <v>10</v>
      </c>
      <c r="F31" t="s">
        <v>21</v>
      </c>
      <c r="G31" t="s">
        <v>185</v>
      </c>
      <c r="H31" t="s">
        <v>186</v>
      </c>
      <c r="J31" t="s">
        <v>272</v>
      </c>
      <c r="K31" t="s">
        <v>274</v>
      </c>
      <c r="L31">
        <v>0.86864330419863411</v>
      </c>
      <c r="M31">
        <v>9.1915826566676215E-3</v>
      </c>
      <c r="N3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9602-5443-4FE2-B94F-14D4DC1A66E7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275</v>
      </c>
      <c r="D10" t="s">
        <v>227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276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276</v>
      </c>
      <c r="M11" t="s">
        <v>10</v>
      </c>
      <c r="N11" t="s">
        <v>21</v>
      </c>
      <c r="O11" t="s">
        <v>298</v>
      </c>
      <c r="P11" t="s">
        <v>299</v>
      </c>
    </row>
    <row r="12" spans="2:16">
      <c r="B12" t="s">
        <v>276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277</v>
      </c>
      <c r="J12" t="s">
        <v>182</v>
      </c>
      <c r="K12" t="s">
        <v>281</v>
      </c>
      <c r="M12" t="s">
        <v>10</v>
      </c>
      <c r="N12" t="s">
        <v>21</v>
      </c>
      <c r="O12" t="s">
        <v>298</v>
      </c>
      <c r="P12" t="s">
        <v>299</v>
      </c>
    </row>
    <row r="13" spans="2:16">
      <c r="B13" t="s">
        <v>276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278</v>
      </c>
      <c r="J13" t="s">
        <v>182</v>
      </c>
      <c r="K13" t="s">
        <v>282</v>
      </c>
      <c r="M13" t="s">
        <v>10</v>
      </c>
      <c r="N13" t="s">
        <v>21</v>
      </c>
      <c r="O13" t="s">
        <v>298</v>
      </c>
      <c r="P13" t="s">
        <v>299</v>
      </c>
    </row>
    <row r="14" spans="2:16">
      <c r="B14" t="s">
        <v>276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279</v>
      </c>
      <c r="J14" t="s">
        <v>182</v>
      </c>
      <c r="K14" t="s">
        <v>283</v>
      </c>
      <c r="M14" t="s">
        <v>10</v>
      </c>
      <c r="N14" t="s">
        <v>21</v>
      </c>
      <c r="O14" t="s">
        <v>298</v>
      </c>
      <c r="P14" t="s">
        <v>299</v>
      </c>
    </row>
    <row r="15" spans="2:16">
      <c r="B15" t="s">
        <v>276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280</v>
      </c>
      <c r="J15" t="s">
        <v>182</v>
      </c>
      <c r="K15" t="s">
        <v>284</v>
      </c>
      <c r="M15" t="s">
        <v>10</v>
      </c>
      <c r="N15" t="s">
        <v>21</v>
      </c>
      <c r="O15" t="s">
        <v>298</v>
      </c>
      <c r="P15" t="s">
        <v>299</v>
      </c>
    </row>
    <row r="16" spans="2:16">
      <c r="B16" t="s">
        <v>281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285</v>
      </c>
      <c r="M16" t="s">
        <v>10</v>
      </c>
      <c r="N16" t="s">
        <v>21</v>
      </c>
      <c r="O16" t="s">
        <v>298</v>
      </c>
      <c r="P16" t="s">
        <v>299</v>
      </c>
    </row>
    <row r="17" spans="2:16">
      <c r="B17" t="s">
        <v>281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277</v>
      </c>
      <c r="J17" t="s">
        <v>182</v>
      </c>
      <c r="K17" t="s">
        <v>286</v>
      </c>
      <c r="M17" t="s">
        <v>10</v>
      </c>
      <c r="N17" t="s">
        <v>21</v>
      </c>
      <c r="O17" t="s">
        <v>298</v>
      </c>
      <c r="P17" t="s">
        <v>299</v>
      </c>
    </row>
    <row r="18" spans="2:16">
      <c r="B18" t="s">
        <v>281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278</v>
      </c>
      <c r="J18" t="s">
        <v>182</v>
      </c>
      <c r="K18" t="s">
        <v>287</v>
      </c>
      <c r="M18" t="s">
        <v>10</v>
      </c>
      <c r="N18" t="s">
        <v>21</v>
      </c>
      <c r="O18" t="s">
        <v>298</v>
      </c>
      <c r="P18" t="s">
        <v>299</v>
      </c>
    </row>
    <row r="19" spans="2:16">
      <c r="B19" t="s">
        <v>281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279</v>
      </c>
      <c r="J19" t="s">
        <v>182</v>
      </c>
      <c r="K19" t="s">
        <v>288</v>
      </c>
      <c r="M19" t="s">
        <v>10</v>
      </c>
      <c r="N19" t="s">
        <v>21</v>
      </c>
      <c r="O19" t="s">
        <v>298</v>
      </c>
      <c r="P19" t="s">
        <v>299</v>
      </c>
    </row>
    <row r="20" spans="2:16">
      <c r="B20" t="s">
        <v>281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280</v>
      </c>
      <c r="J20" t="s">
        <v>182</v>
      </c>
      <c r="K20" t="s">
        <v>289</v>
      </c>
      <c r="M20" t="s">
        <v>10</v>
      </c>
      <c r="N20" t="s">
        <v>21</v>
      </c>
      <c r="O20" t="s">
        <v>298</v>
      </c>
      <c r="P20" t="s">
        <v>299</v>
      </c>
    </row>
    <row r="21" spans="2:16">
      <c r="B21" t="s">
        <v>282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290</v>
      </c>
      <c r="M21" t="s">
        <v>10</v>
      </c>
      <c r="N21" t="s">
        <v>21</v>
      </c>
      <c r="O21" t="s">
        <v>298</v>
      </c>
      <c r="P21" t="s">
        <v>299</v>
      </c>
    </row>
    <row r="22" spans="2:16">
      <c r="B22" t="s">
        <v>282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278</v>
      </c>
      <c r="J22" t="s">
        <v>182</v>
      </c>
      <c r="K22" t="s">
        <v>291</v>
      </c>
      <c r="M22" t="s">
        <v>10</v>
      </c>
      <c r="N22" t="s">
        <v>21</v>
      </c>
      <c r="O22" t="s">
        <v>298</v>
      </c>
      <c r="P22" t="s">
        <v>299</v>
      </c>
    </row>
    <row r="23" spans="2:16">
      <c r="B23" t="s">
        <v>282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279</v>
      </c>
      <c r="J23" t="s">
        <v>182</v>
      </c>
      <c r="K23" t="s">
        <v>292</v>
      </c>
      <c r="M23" t="s">
        <v>10</v>
      </c>
      <c r="N23" t="s">
        <v>21</v>
      </c>
      <c r="O23" t="s">
        <v>298</v>
      </c>
      <c r="P23" t="s">
        <v>299</v>
      </c>
    </row>
    <row r="24" spans="2:16">
      <c r="B24" t="s">
        <v>283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293</v>
      </c>
      <c r="M24" t="s">
        <v>10</v>
      </c>
      <c r="N24" t="s">
        <v>21</v>
      </c>
      <c r="O24" t="s">
        <v>298</v>
      </c>
      <c r="P24" t="s">
        <v>299</v>
      </c>
    </row>
    <row r="25" spans="2:16">
      <c r="B25" t="s">
        <v>283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278</v>
      </c>
      <c r="J25" t="s">
        <v>182</v>
      </c>
      <c r="K25" t="s">
        <v>294</v>
      </c>
      <c r="M25" t="s">
        <v>10</v>
      </c>
      <c r="N25" t="s">
        <v>21</v>
      </c>
      <c r="O25" t="s">
        <v>298</v>
      </c>
      <c r="P25" t="s">
        <v>299</v>
      </c>
    </row>
    <row r="26" spans="2:16">
      <c r="B26" t="s">
        <v>283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279</v>
      </c>
      <c r="J26" t="s">
        <v>182</v>
      </c>
      <c r="K26" t="s">
        <v>295</v>
      </c>
      <c r="M26" t="s">
        <v>10</v>
      </c>
      <c r="N26" t="s">
        <v>21</v>
      </c>
      <c r="O26" t="s">
        <v>298</v>
      </c>
      <c r="P26" t="s">
        <v>299</v>
      </c>
    </row>
    <row r="27" spans="2:16">
      <c r="B27" t="s">
        <v>284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182</v>
      </c>
      <c r="K27" t="s">
        <v>297</v>
      </c>
      <c r="M27" t="s">
        <v>10</v>
      </c>
      <c r="N27" t="s">
        <v>21</v>
      </c>
      <c r="O27" t="s">
        <v>298</v>
      </c>
      <c r="P27" t="s">
        <v>299</v>
      </c>
    </row>
    <row r="28" spans="2:16">
      <c r="B28" t="s">
        <v>284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278</v>
      </c>
    </row>
    <row r="29" spans="2:16">
      <c r="B29" t="s">
        <v>284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279</v>
      </c>
    </row>
    <row r="30" spans="2:16">
      <c r="B30" t="s">
        <v>285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285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278</v>
      </c>
    </row>
    <row r="32" spans="2:16">
      <c r="B32" t="s">
        <v>285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279</v>
      </c>
    </row>
    <row r="33" spans="2:8">
      <c r="B33" t="s">
        <v>286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286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277</v>
      </c>
    </row>
    <row r="35" spans="2:8">
      <c r="B35" t="s">
        <v>286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278</v>
      </c>
    </row>
    <row r="36" spans="2:8">
      <c r="B36" t="s">
        <v>286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279</v>
      </c>
    </row>
    <row r="37" spans="2:8">
      <c r="B37" t="s">
        <v>286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280</v>
      </c>
    </row>
    <row r="38" spans="2:8">
      <c r="B38" t="s">
        <v>287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287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278</v>
      </c>
    </row>
    <row r="40" spans="2:8">
      <c r="B40" t="s">
        <v>287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279</v>
      </c>
    </row>
    <row r="41" spans="2:8">
      <c r="B41" t="s">
        <v>288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288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278</v>
      </c>
    </row>
    <row r="43" spans="2:8">
      <c r="B43" t="s">
        <v>288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279</v>
      </c>
    </row>
    <row r="44" spans="2:8">
      <c r="B44" t="s">
        <v>289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289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278</v>
      </c>
    </row>
    <row r="46" spans="2:8">
      <c r="B46" t="s">
        <v>289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279</v>
      </c>
    </row>
    <row r="47" spans="2:8">
      <c r="B47" t="s">
        <v>290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290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278</v>
      </c>
    </row>
    <row r="49" spans="2:8">
      <c r="B49" t="s">
        <v>290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279</v>
      </c>
    </row>
    <row r="50" spans="2:8">
      <c r="B50" t="s">
        <v>291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291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277</v>
      </c>
    </row>
    <row r="52" spans="2:8">
      <c r="B52" t="s">
        <v>291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278</v>
      </c>
    </row>
    <row r="53" spans="2:8">
      <c r="B53" t="s">
        <v>291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279</v>
      </c>
    </row>
    <row r="54" spans="2:8">
      <c r="B54" t="s">
        <v>291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280</v>
      </c>
    </row>
    <row r="55" spans="2:8">
      <c r="B55" t="s">
        <v>292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292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278</v>
      </c>
    </row>
    <row r="57" spans="2:8">
      <c r="B57" t="s">
        <v>292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279</v>
      </c>
    </row>
    <row r="58" spans="2:8">
      <c r="B58" t="s">
        <v>293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293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278</v>
      </c>
    </row>
    <row r="60" spans="2:8">
      <c r="B60" t="s">
        <v>293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279</v>
      </c>
    </row>
    <row r="61" spans="2:8">
      <c r="B61" t="s">
        <v>294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294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278</v>
      </c>
    </row>
    <row r="63" spans="2:8">
      <c r="B63" t="s">
        <v>294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279</v>
      </c>
    </row>
    <row r="64" spans="2:8">
      <c r="B64" t="s">
        <v>295</v>
      </c>
      <c r="C64" t="s">
        <v>296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295</v>
      </c>
      <c r="C65" t="s">
        <v>296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277</v>
      </c>
    </row>
    <row r="66" spans="2:8">
      <c r="B66" t="s">
        <v>295</v>
      </c>
      <c r="C66" t="s">
        <v>296</v>
      </c>
      <c r="D66" t="s">
        <v>19</v>
      </c>
      <c r="E66">
        <v>3120</v>
      </c>
      <c r="F66">
        <v>2280</v>
      </c>
      <c r="G66">
        <v>1660</v>
      </c>
      <c r="H66" t="s">
        <v>278</v>
      </c>
    </row>
    <row r="67" spans="2:8">
      <c r="B67" t="s">
        <v>295</v>
      </c>
      <c r="C67" t="s">
        <v>296</v>
      </c>
      <c r="D67" t="s">
        <v>19</v>
      </c>
      <c r="E67">
        <v>60</v>
      </c>
      <c r="F67">
        <v>50</v>
      </c>
      <c r="G67">
        <v>40</v>
      </c>
      <c r="H67" t="s">
        <v>279</v>
      </c>
    </row>
    <row r="68" spans="2:8">
      <c r="B68" t="s">
        <v>295</v>
      </c>
      <c r="C68" t="s">
        <v>296</v>
      </c>
      <c r="D68" t="s">
        <v>19</v>
      </c>
      <c r="E68">
        <v>3</v>
      </c>
      <c r="F68">
        <v>3</v>
      </c>
      <c r="G68">
        <v>3</v>
      </c>
      <c r="H68" t="s">
        <v>280</v>
      </c>
    </row>
    <row r="69" spans="2:8">
      <c r="B69" t="s">
        <v>297</v>
      </c>
      <c r="C69" t="s">
        <v>296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297</v>
      </c>
      <c r="C70" t="s">
        <v>296</v>
      </c>
      <c r="D70" t="s">
        <v>19</v>
      </c>
      <c r="E70">
        <v>0.28999999999999998</v>
      </c>
      <c r="F70">
        <v>0.3</v>
      </c>
      <c r="G70">
        <v>0.3</v>
      </c>
      <c r="H70" t="s">
        <v>277</v>
      </c>
    </row>
    <row r="71" spans="2:8">
      <c r="B71" t="s">
        <v>297</v>
      </c>
      <c r="C71" t="s">
        <v>296</v>
      </c>
      <c r="D71" t="s">
        <v>19</v>
      </c>
      <c r="E71">
        <v>1630</v>
      </c>
      <c r="F71">
        <v>1550</v>
      </c>
      <c r="G71">
        <v>1490</v>
      </c>
      <c r="H71" t="s">
        <v>278</v>
      </c>
    </row>
    <row r="72" spans="2:8">
      <c r="B72" t="s">
        <v>297</v>
      </c>
      <c r="C72" t="s">
        <v>296</v>
      </c>
      <c r="D72" t="s">
        <v>19</v>
      </c>
      <c r="E72">
        <v>42</v>
      </c>
      <c r="F72">
        <v>40</v>
      </c>
      <c r="G72">
        <v>38</v>
      </c>
      <c r="H72" t="s">
        <v>279</v>
      </c>
    </row>
    <row r="73" spans="2:8">
      <c r="B73" t="s">
        <v>297</v>
      </c>
      <c r="C73" t="s">
        <v>296</v>
      </c>
      <c r="D73" t="s">
        <v>19</v>
      </c>
      <c r="E73">
        <v>1.5</v>
      </c>
      <c r="F73">
        <v>1.5</v>
      </c>
      <c r="G73">
        <v>1.5</v>
      </c>
      <c r="H73" t="s">
        <v>280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2025-09-12T07:34:36Z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