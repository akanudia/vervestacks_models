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CHE\SubRES_Tmpl\"/>
    </mc:Choice>
  </mc:AlternateContent>
  <xr:revisionPtr revIDLastSave="0" documentId="8_{58109AFD-2B37-4C8C-B497-252045923889}" xr6:coauthVersionLast="47" xr6:coauthVersionMax="47" xr10:uidLastSave="{00000000-0000-0000-0000-000000000000}"/>
  <bookViews>
    <workbookView xWindow="-98" yWindow="-98" windowWidth="28996" windowHeight="17475" firstSheet="7" activeTab="7" xr2:uid="{00000000-000D-0000-FFFF-FFFF00000000}"/>
  </bookViews>
  <sheets>
    <sheet name="misc" sheetId="7" r:id="rId1"/>
    <sheet name="hydro" sheetId="6" r:id="rId2"/>
    <sheet name="ELC_Storage" sheetId="9" r:id="rId3"/>
    <sheet name="EV Battery" sheetId="10" r:id="rId4"/>
    <sheet name="H2 prod" sheetId="11" r:id="rId5"/>
    <sheet name="solar" sheetId="12" r:id="rId6"/>
    <sheet name="wind" sheetId="13" r:id="rId7"/>
    <sheet name="conventional" sheetId="14" r:id="rId8"/>
  </sheets>
  <externalReferences>
    <externalReference r:id="rId9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5" i="7" l="1"/>
  <c r="J17" i="7"/>
  <c r="J16" i="7"/>
  <c r="J14" i="7"/>
  <c r="J11" i="7"/>
  <c r="O17" i="7"/>
  <c r="J7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F8" i="10" l="1"/>
  <c r="G8" i="10"/>
  <c r="J19" i="7" l="1"/>
  <c r="J18" i="7"/>
  <c r="S5" i="10"/>
  <c r="T22" i="9"/>
  <c r="S22" i="9"/>
  <c r="R22" i="9"/>
  <c r="Q22" i="9"/>
  <c r="P22" i="9"/>
  <c r="O22" i="9"/>
  <c r="N22" i="9"/>
  <c r="T21" i="9"/>
  <c r="S21" i="9"/>
  <c r="R21" i="9"/>
  <c r="Q21" i="9"/>
  <c r="P21" i="9"/>
  <c r="O21" i="9"/>
  <c r="N21" i="9"/>
  <c r="U19" i="9"/>
  <c r="N19" i="9"/>
  <c r="V18" i="9"/>
  <c r="N18" i="9"/>
  <c r="T14" i="9"/>
  <c r="S14" i="9"/>
  <c r="R14" i="9"/>
  <c r="Q14" i="9"/>
  <c r="P14" i="9"/>
  <c r="O14" i="9"/>
  <c r="N14" i="9"/>
  <c r="T13" i="9"/>
  <c r="S13" i="9"/>
  <c r="R13" i="9"/>
  <c r="Q13" i="9"/>
  <c r="P13" i="9"/>
  <c r="O13" i="9"/>
  <c r="N13" i="9"/>
  <c r="U11" i="9"/>
  <c r="N11" i="9"/>
  <c r="V10" i="9"/>
  <c r="N10" i="9"/>
  <c r="T9" i="9"/>
  <c r="S9" i="9"/>
  <c r="R9" i="9"/>
  <c r="Q9" i="9"/>
  <c r="P9" i="9"/>
  <c r="O9" i="9"/>
  <c r="N9" i="9"/>
  <c r="O16" i="7"/>
  <c r="O15" i="7"/>
  <c r="O10" i="7"/>
  <c r="O14" i="7"/>
  <c r="O12" i="7"/>
  <c r="O11" i="7"/>
  <c r="O9" i="7"/>
  <c r="O8" i="7"/>
  <c r="O13" i="7"/>
  <c r="J8" i="7"/>
  <c r="J6" i="7"/>
  <c r="J5" i="7"/>
  <c r="J4" i="7"/>
</calcChain>
</file>

<file path=xl/sharedStrings.xml><?xml version="1.0" encoding="utf-8"?>
<sst xmlns="http://schemas.openxmlformats.org/spreadsheetml/2006/main" count="1146" uniqueCount="300">
  <si>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</si>
  <si>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</si>
  <si>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</si>
  <si>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</si>
  <si>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</si>
  <si>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</si>
  <si>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</si>
  <si>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</si>
  <si>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</si>
  <si>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</si>
  <si>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</si>
  <si>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</si>
  <si>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</si>
  <si>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</si>
  <si>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</si>
  <si>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</si>
  <si>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</si>
  <si>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</si>
  <si>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</si>
  <si>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</si>
  <si>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</si>
  <si>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</si>
  <si>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elc_buildings,elc_industry,elc_transport</t>
  </si>
  <si>
    <t>~FI_Comm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</si>
  <si>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</si>
  <si>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</si>
  <si>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</si>
  <si>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</si>
  <si>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</si>
  <si>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</si>
  <si>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</si>
  <si>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</si>
  <si>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</si>
  <si>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</si>
  <si>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</si>
  <si>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</si>
  <si>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</si>
  <si>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</si>
  <si>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</si>
  <si>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</si>
  <si>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</si>
  <si>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</si>
  <si>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</si>
  <si>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</si>
  <si>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</si>
  <si>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</si>
  <si>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</si>
  <si>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</si>
  <si>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</si>
  <si>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</si>
  <si>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</si>
  <si>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~FI_T: USD21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</si>
  <si>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</si>
  <si>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</si>
  <si>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</si>
  <si>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</si>
  <si>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</si>
  <si>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</si>
  <si>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</si>
  <si>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</si>
  <si>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</si>
  <si>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</si>
  <si>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</si>
  <si>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</si>
  <si>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</si>
  <si>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</si>
  <si>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</si>
  <si>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</si>
  <si>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</si>
  <si>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</si>
  <si>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</si>
  <si>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</si>
  <si>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</si>
  <si>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</si>
  <si>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</si>
  <si>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</si>
  <si>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</si>
  <si>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</si>
  <si>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</si>
  <si>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</si>
  <si>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</si>
  <si>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</si>
  <si>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</si>
  <si>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</si>
  <si>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</si>
  <si>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</si>
  <si>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</si>
  <si>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</si>
  <si>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</si>
  <si>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</si>
  <si>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</si>
  <si>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</si>
  <si>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</si>
  <si>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</si>
  <si>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</si>
  <si>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</si>
  <si>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</si>
  <si>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</si>
  <si>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</si>
  <si>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</si>
  <si>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</si>
  <si>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</si>
  <si>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~FI_T: USD21~FX~ACT_BND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</si>
  <si>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</si>
  <si>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</si>
  <si>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</si>
  <si>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</si>
  <si>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</si>
  <si>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</si>
  <si>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</si>
  <si>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</si>
  <si>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</si>
  <si>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</si>
  <si>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</si>
  <si>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</si>
  <si>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</si>
  <si>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</si>
  <si>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</si>
  <si>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</si>
  <si>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</si>
  <si>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</si>
  <si>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</si>
  <si>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</si>
  <si>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</si>
  <si>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</si>
  <si>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</si>
  <si>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</si>
  <si>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</si>
  <si>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</si>
  <si>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</si>
  <si>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</si>
  <si>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</si>
  <si>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</si>
  <si>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</si>
  <si>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</si>
  <si>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</si>
  <si>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</si>
  <si>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</si>
  <si>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</si>
  <si>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</si>
  <si>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</si>
  <si>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</si>
  <si>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</si>
  <si>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</si>
  <si>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</si>
  <si>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</si>
  <si>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</si>
  <si>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</si>
  <si>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</si>
  <si>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</si>
  <si>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</si>
  <si>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</si>
  <si>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</si>
  <si>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</si>
  <si>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</si>
  <si>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</si>
  <si>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</si>
  <si>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</si>
  <si>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</si>
  <si>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</si>
  <si>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</si>
  <si>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</si>
  <si>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</si>
  <si>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~fi_process</t>
  </si>
  <si>
    <t>process</t>
  </si>
  <si>
    <t>description</t>
  </si>
  <si>
    <t>timeslicelevel</t>
  </si>
  <si>
    <t>EN_Hydro_CHE-1</t>
  </si>
  <si>
    <t>New Hydro Potential - Switzerland - Step 1</t>
  </si>
  <si>
    <t>PJ</t>
  </si>
  <si>
    <t>EN_Hydro_CHE-2</t>
  </si>
  <si>
    <t>New Hydro Potential - Switzerland - Step 2</t>
  </si>
  <si>
    <t>EN_Hydro_CHE-3</t>
  </si>
  <si>
    <t>New Hydro Potential - Switzerland - Step 3</t>
  </si>
  <si>
    <t>~fi_t</t>
  </si>
  <si>
    <t>CAP_BND</t>
  </si>
  <si>
    <t>INVCOST~USD21_alt</t>
  </si>
  <si>
    <t>AF~FX</t>
  </si>
  <si>
    <t>set</t>
  </si>
  <si>
    <t>capacity_unit</t>
  </si>
  <si>
    <t>activity_unit</t>
  </si>
  <si>
    <t>vintage</t>
  </si>
  <si>
    <t>ele</t>
  </si>
  <si>
    <t>e_spv-CHE_21_c1</t>
  </si>
  <si>
    <t>solar resource -- CF class spv-CHE_21 -- cost class 1</t>
  </si>
  <si>
    <t>annual</t>
  </si>
  <si>
    <t>no</t>
  </si>
  <si>
    <t>e_spv-CHE_20_c1</t>
  </si>
  <si>
    <t>solar resource -- CF class spv-CHE_20 -- cost class 1</t>
  </si>
  <si>
    <t>e_spv-CHE_20_c3</t>
  </si>
  <si>
    <t>solar resource -- CF class spv-CHE_20 -- cost class 3</t>
  </si>
  <si>
    <t>e_spv-CHE_20_c2</t>
  </si>
  <si>
    <t>solar resource -- CF class spv-CHE_20 -- cost class 2</t>
  </si>
  <si>
    <t>e_spv-CHE_19_c1</t>
  </si>
  <si>
    <t>solar resource -- CF class spv-CHE_19 -- cost class 1</t>
  </si>
  <si>
    <t>e_spv-CHE_19_c2</t>
  </si>
  <si>
    <t>solar resource -- CF class spv-CHE_19 -- cost class 2</t>
  </si>
  <si>
    <t>e_spv-CHE_19_c3</t>
  </si>
  <si>
    <t>solar resource -- CF class spv-CHE_19 -- cost class 3</t>
  </si>
  <si>
    <t>e_spv-CHE_18_c5</t>
  </si>
  <si>
    <t>solar resource -- CF class spv-CHE_18 -- cost class 5</t>
  </si>
  <si>
    <t>e_spv-CHE_18_c2</t>
  </si>
  <si>
    <t>solar resource -- CF class spv-CHE_18 -- cost class 2</t>
  </si>
  <si>
    <t>e_spv-CHE_18_c1</t>
  </si>
  <si>
    <t>solar resource -- CF class spv-CHE_18 -- cost class 1</t>
  </si>
  <si>
    <t>e_spv-CHE_18_c3</t>
  </si>
  <si>
    <t>solar resource -- CF class spv-CHE_18 -- cost class 3</t>
  </si>
  <si>
    <t>e_spv-CHE_18_c4</t>
  </si>
  <si>
    <t>solar resource -- CF class spv-CHE_18 -- cost class 4</t>
  </si>
  <si>
    <t>e_spv-CHE_17_c1</t>
  </si>
  <si>
    <t>solar resource -- CF class spv-CHE_17 -- cost class 1</t>
  </si>
  <si>
    <t>e_spv-CHE_17_c2</t>
  </si>
  <si>
    <t>solar resource -- CF class spv-CHE_17 -- cost class 2</t>
  </si>
  <si>
    <t>e_spv-CHE_17_c4</t>
  </si>
  <si>
    <t>solar resource -- CF class spv-CHE_17 -- cost class 4</t>
  </si>
  <si>
    <t>e_spv-CHE_17_c3</t>
  </si>
  <si>
    <t>solar resource -- CF class spv-CHE_17 -- cost class 3</t>
  </si>
  <si>
    <t>e_spv-CHE_16_c1</t>
  </si>
  <si>
    <t>solar resource -- CF class spv-CHE_16 -- cost class 1</t>
  </si>
  <si>
    <t>e_spv-CHE_16_c4</t>
  </si>
  <si>
    <t>solar resource -- CF class spv-CHE_16 -- cost class 4</t>
  </si>
  <si>
    <t>e_spv-CHE_16_c2</t>
  </si>
  <si>
    <t>solar resource -- CF class spv-CHE_16 -- cost class 2</t>
  </si>
  <si>
    <t>e_spv-CHE_16_c5</t>
  </si>
  <si>
    <t>solar resource -- CF class spv-CHE_16 -- cost class 5</t>
  </si>
  <si>
    <t>e_spv-CHE_16_c3</t>
  </si>
  <si>
    <t>solar resource -- CF class spv-CHE_16 -- cost class 3</t>
  </si>
  <si>
    <t>comm-out</t>
  </si>
  <si>
    <t>cap_bnd</t>
  </si>
  <si>
    <t>af~fx</t>
  </si>
  <si>
    <t>lcoe_class</t>
  </si>
  <si>
    <t>elc_spv-CHE</t>
  </si>
  <si>
    <t>e_won-CHE_18_c1</t>
  </si>
  <si>
    <t>onshore wind resource -- CF class won-CHE_18 -- cost class 1</t>
  </si>
  <si>
    <t>e_won-CHE_15_c1</t>
  </si>
  <si>
    <t>onshore wind resource -- CF class won-CHE_15 -- cost class 1</t>
  </si>
  <si>
    <t>e_won-CHE_11_c1</t>
  </si>
  <si>
    <t>onshore wind resource -- CF class won-CHE_11 -- cost class 1</t>
  </si>
  <si>
    <t>e_won-CHE_9_c1</t>
  </si>
  <si>
    <t>onshore wind resource -- CF class won-CHE_9 -- cost class 1</t>
  </si>
  <si>
    <t>e_won-CHE_9_c2</t>
  </si>
  <si>
    <t>onshore wind resource -- CF class won-CHE_9 -- cost class 2</t>
  </si>
  <si>
    <t>e_won-CHE_8_c1</t>
  </si>
  <si>
    <t>onshore wind resource -- CF class won-CHE_8 -- cost class 1</t>
  </si>
  <si>
    <t>e_won-CHE_8_c2</t>
  </si>
  <si>
    <t>onshore wind resource -- CF class won-CHE_8 -- cost class 2</t>
  </si>
  <si>
    <t>e_won-CHE_6_c1</t>
  </si>
  <si>
    <t>onshore wind resource -- CF class won-CHE_6 -- cost class 1</t>
  </si>
  <si>
    <t>e_won-CHE_4_c1</t>
  </si>
  <si>
    <t>onshore wind resource -- CF class won-CHE_4 -- cost class 1</t>
  </si>
  <si>
    <t>e_won-CHE_3_c2</t>
  </si>
  <si>
    <t>onshore wind resource -- CF class won-CHE_3 -- cost class 2</t>
  </si>
  <si>
    <t>e_won-CHE_3_c1</t>
  </si>
  <si>
    <t>onshore wind resource -- CF class won-CHE_3 -- cost class 1</t>
  </si>
  <si>
    <t>e_won-CHE_2_c4</t>
  </si>
  <si>
    <t>onshore wind resource -- CF class won-CHE_2 -- cost class 4</t>
  </si>
  <si>
    <t>e_won-CHE_2_c2</t>
  </si>
  <si>
    <t>onshore wind resource -- CF class won-CHE_2 -- cost class 2</t>
  </si>
  <si>
    <t>e_won-CHE_2_c5</t>
  </si>
  <si>
    <t>onshore wind resource -- CF class won-CHE_2 -- cost class 5</t>
  </si>
  <si>
    <t>e_won-CHE_2_c1</t>
  </si>
  <si>
    <t>onshore wind resource -- CF class won-CHE_2 -- cost class 1</t>
  </si>
  <si>
    <t>e_won-CHE_2_c3</t>
  </si>
  <si>
    <t>onshore wind resource -- CF class won-CHE_2 -- cost class 3</t>
  </si>
  <si>
    <t>e_won-CHE_1_c5</t>
  </si>
  <si>
    <t>onshore wind resource -- CF class won-CHE_1 -- cost class 5</t>
  </si>
  <si>
    <t>e_won-CHE_1_c2</t>
  </si>
  <si>
    <t>onshore wind resource -- CF class won-CHE_1 -- cost class 2</t>
  </si>
  <si>
    <t>e_won-CHE_1_c4</t>
  </si>
  <si>
    <t>onshore wind resource -- CF class won-CHE_1 -- cost class 4</t>
  </si>
  <si>
    <t>e_won-CHE_1_c1</t>
  </si>
  <si>
    <t>onshore wind resource -- CF class won-CHE_1 -- cost class 1</t>
  </si>
  <si>
    <t>e_won-CHE_1_c3</t>
  </si>
  <si>
    <t>onshore wind resource -- CF class won-CHE_1 -- cost class 3</t>
  </si>
  <si>
    <t>elc_won-CHE</t>
  </si>
  <si>
    <t>comm-in</t>
  </si>
  <si>
    <t>Bioenergy + CCUS</t>
  </si>
  <si>
    <t>ncap_af</t>
  </si>
  <si>
    <t>ncap_cost</t>
  </si>
  <si>
    <t>ncap_fom</t>
  </si>
  <si>
    <t>ncap_iled</t>
  </si>
  <si>
    <t>Bioenergy - Large scale unit</t>
  </si>
  <si>
    <t>CCGT</t>
  </si>
  <si>
    <t>CCGT + CCS</t>
  </si>
  <si>
    <t>Coal + CCS</t>
  </si>
  <si>
    <t>Gas turbine</t>
  </si>
  <si>
    <t>Hydropower - large-scale unit</t>
  </si>
  <si>
    <t>IGCC</t>
  </si>
  <si>
    <t>IGCC + CCS</t>
  </si>
  <si>
    <t>Nuclear large</t>
  </si>
  <si>
    <t>Oxyfuel + CCS</t>
  </si>
  <si>
    <t>Solar photovoltaics - Large scale unit</t>
  </si>
  <si>
    <t>Steam Coal - SUBCRITICAL</t>
  </si>
  <si>
    <t>Steam Coal - SUPERCRITICAL</t>
  </si>
  <si>
    <t>Steam Coal - ULTRASUPERCRITICAL</t>
  </si>
  <si>
    <t>Wind offshore</t>
  </si>
  <si>
    <t>unknown</t>
  </si>
  <si>
    <t>Wind onshore</t>
  </si>
  <si>
    <t>daynite</t>
  </si>
  <si>
    <t>yes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</si>
</sst>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\Te\x\t"/>
    <numFmt numFmtId="165" formatCode="&quot;$&quot;#,##0"/>
    <numFmt numFmtId="166" formatCode="0.0%"/>
    <numFmt numFmtId="167" formatCode="_-* #,##0.00_-;\-* #,##0.00_-;_-* &quot;-&quot;??_-;_-@_-"/>
    <numFmt numFmtId="168" formatCode="0.0"/>
    <numFmt numFmtId="169" formatCode="0.000"/>
  </numFmts>
  <fonts count="2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</fills>
  <borders count="2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9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7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</cellStyleXfs>
  <cellXfs count="153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8" fontId="19" fillId="7" borderId="8" xfId="0" applyNumberFormat="1" applyFont="1" applyFill="1" applyBorder="1" applyAlignment="1">
      <alignment vertical="center"/>
    </xf>
    <xf numFmtId="168" fontId="19" fillId="7" borderId="0" xfId="0" applyNumberFormat="1" applyFont="1" applyFill="1" applyAlignment="1">
      <alignment vertical="center"/>
    </xf>
    <xf numFmtId="168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8" fontId="19" fillId="8" borderId="8" xfId="0" applyNumberFormat="1" applyFont="1" applyFill="1" applyBorder="1" applyAlignment="1">
      <alignment vertical="center"/>
    </xf>
    <xf numFmtId="168" fontId="19" fillId="8" borderId="0" xfId="0" applyNumberFormat="1" applyFont="1" applyFill="1" applyAlignment="1">
      <alignment vertical="center"/>
    </xf>
    <xf numFmtId="168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9" xfId="0" applyNumberFormat="1" applyFont="1" applyFill="1" applyBorder="1" applyAlignment="1">
      <alignment vertical="center"/>
    </xf>
    <xf numFmtId="169" fontId="20" fillId="9" borderId="8" xfId="0" applyNumberFormat="1" applyFont="1" applyFill="1" applyBorder="1" applyAlignment="1">
      <alignment vertical="center"/>
    </xf>
    <xf numFmtId="169" fontId="20" fillId="9" borderId="0" xfId="0" applyNumberFormat="1" applyFont="1" applyFill="1" applyAlignment="1">
      <alignment vertical="center"/>
    </xf>
    <xf numFmtId="169" fontId="20" fillId="9" borderId="10" xfId="0" applyNumberFormat="1" applyFont="1" applyFill="1" applyBorder="1" applyAlignment="1">
      <alignment vertical="center"/>
    </xf>
    <xf numFmtId="169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9" xfId="0" applyNumberFormat="1" applyFont="1" applyFill="1" applyBorder="1" applyAlignment="1">
      <alignment vertical="center"/>
    </xf>
    <xf numFmtId="169" fontId="19" fillId="10" borderId="8" xfId="0" applyNumberFormat="1" applyFont="1" applyFill="1" applyBorder="1" applyAlignment="1">
      <alignment vertical="center"/>
    </xf>
    <xf numFmtId="169" fontId="19" fillId="10" borderId="0" xfId="0" applyNumberFormat="1" applyFont="1" applyFill="1" applyAlignment="1">
      <alignment vertical="center"/>
    </xf>
    <xf numFmtId="169" fontId="19" fillId="10" borderId="10" xfId="0" applyNumberFormat="1" applyFont="1" applyFill="1" applyBorder="1" applyAlignment="1">
      <alignment vertical="center"/>
    </xf>
    <xf numFmtId="169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9" xfId="0" applyNumberFormat="1" applyFont="1" applyFill="1" applyBorder="1" applyAlignment="1">
      <alignment vertical="center"/>
    </xf>
    <xf numFmtId="169" fontId="19" fillId="11" borderId="8" xfId="0" applyNumberFormat="1" applyFont="1" applyFill="1" applyBorder="1" applyAlignment="1">
      <alignment vertical="center"/>
    </xf>
    <xf numFmtId="169" fontId="19" fillId="11" borderId="0" xfId="0" applyNumberFormat="1" applyFont="1" applyFill="1" applyAlignment="1">
      <alignment vertical="center"/>
    </xf>
    <xf numFmtId="169" fontId="19" fillId="11" borderId="10" xfId="0" applyNumberFormat="1" applyFont="1" applyFill="1" applyBorder="1" applyAlignment="1">
      <alignment vertical="center"/>
    </xf>
    <xf numFmtId="169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8" fontId="19" fillId="12" borderId="5" xfId="0" applyNumberFormat="1" applyFont="1" applyFill="1" applyBorder="1" applyAlignment="1">
      <alignment vertical="center"/>
    </xf>
    <xf numFmtId="168" fontId="19" fillId="12" borderId="4" xfId="0" applyNumberFormat="1" applyFont="1" applyFill="1" applyBorder="1" applyAlignment="1">
      <alignment vertical="center"/>
    </xf>
    <xf numFmtId="168" fontId="19" fillId="12" borderId="6" xfId="0" applyNumberFormat="1" applyFont="1" applyFill="1" applyBorder="1" applyAlignment="1">
      <alignment vertical="center"/>
    </xf>
    <xf numFmtId="169" fontId="20" fillId="12" borderId="5" xfId="0" applyNumberFormat="1" applyFont="1" applyFill="1" applyBorder="1" applyAlignment="1">
      <alignment vertical="center"/>
    </xf>
    <xf numFmtId="169" fontId="20" fillId="12" borderId="4" xfId="0" applyNumberFormat="1" applyFont="1" applyFill="1" applyBorder="1" applyAlignment="1">
      <alignment vertical="center"/>
    </xf>
    <xf numFmtId="169" fontId="20" fillId="12" borderId="13" xfId="0" applyNumberFormat="1" applyFont="1" applyFill="1" applyBorder="1" applyAlignment="1">
      <alignment vertical="center"/>
    </xf>
    <xf numFmtId="169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8" fontId="19" fillId="14" borderId="8" xfId="0" applyNumberFormat="1" applyFont="1" applyFill="1" applyBorder="1" applyAlignment="1">
      <alignment vertical="center"/>
    </xf>
    <xf numFmtId="168" fontId="19" fillId="14" borderId="0" xfId="0" applyNumberFormat="1" applyFont="1" applyFill="1" applyAlignment="1">
      <alignment vertical="center"/>
    </xf>
    <xf numFmtId="168" fontId="19" fillId="14" borderId="9" xfId="0" applyNumberFormat="1" applyFont="1" applyFill="1" applyBorder="1" applyAlignment="1">
      <alignment vertical="center"/>
    </xf>
    <xf numFmtId="169" fontId="20" fillId="14" borderId="8" xfId="0" applyNumberFormat="1" applyFont="1" applyFill="1" applyBorder="1" applyAlignment="1">
      <alignment vertical="center"/>
    </xf>
    <xf numFmtId="169" fontId="20" fillId="14" borderId="0" xfId="0" applyNumberFormat="1" applyFont="1" applyFill="1" applyAlignment="1">
      <alignment vertical="center"/>
    </xf>
    <xf numFmtId="169" fontId="20" fillId="14" borderId="10" xfId="0" applyNumberFormat="1" applyFont="1" applyFill="1" applyBorder="1" applyAlignment="1">
      <alignment vertical="center"/>
    </xf>
    <xf numFmtId="169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8" fontId="19" fillId="12" borderId="16" xfId="0" applyNumberFormat="1" applyFont="1" applyFill="1" applyBorder="1" applyAlignment="1">
      <alignment vertical="center"/>
    </xf>
    <xf numFmtId="168" fontId="19" fillId="12" borderId="15" xfId="0" applyNumberFormat="1" applyFont="1" applyFill="1" applyBorder="1" applyAlignment="1">
      <alignment vertical="center"/>
    </xf>
    <xf numFmtId="168" fontId="19" fillId="12" borderId="17" xfId="0" applyNumberFormat="1" applyFont="1" applyFill="1" applyBorder="1" applyAlignment="1">
      <alignment vertical="center"/>
    </xf>
    <xf numFmtId="169" fontId="20" fillId="12" borderId="16" xfId="0" applyNumberFormat="1" applyFont="1" applyFill="1" applyBorder="1" applyAlignment="1">
      <alignment vertical="center"/>
    </xf>
    <xf numFmtId="169" fontId="20" fillId="12" borderId="15" xfId="0" applyNumberFormat="1" applyFont="1" applyFill="1" applyBorder="1" applyAlignment="1">
      <alignment vertical="center"/>
    </xf>
    <xf numFmtId="169" fontId="20" fillId="12" borderId="18" xfId="0" applyNumberFormat="1" applyFont="1" applyFill="1" applyBorder="1" applyAlignment="1">
      <alignment vertical="center"/>
    </xf>
    <xf numFmtId="169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9" xfId="0" applyNumberFormat="1" applyFont="1" applyFill="1" applyBorder="1" applyAlignment="1">
      <alignment vertical="center"/>
    </xf>
    <xf numFmtId="169" fontId="19" fillId="15" borderId="8" xfId="0" applyNumberFormat="1" applyFont="1" applyFill="1" applyBorder="1" applyAlignment="1">
      <alignment vertical="center"/>
    </xf>
    <xf numFmtId="169" fontId="19" fillId="15" borderId="0" xfId="0" applyNumberFormat="1" applyFont="1" applyFill="1" applyAlignment="1">
      <alignment vertical="center"/>
    </xf>
    <xf numFmtId="169" fontId="19" fillId="15" borderId="10" xfId="0" applyNumberFormat="1" applyFont="1" applyFill="1" applyBorder="1" applyAlignment="1">
      <alignment vertical="center"/>
    </xf>
    <xf numFmtId="169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9" xfId="0" applyNumberFormat="1" applyFont="1" applyFill="1" applyBorder="1" applyAlignment="1">
      <alignment vertical="center"/>
    </xf>
    <xf numFmtId="169" fontId="19" fillId="16" borderId="8" xfId="0" applyNumberFormat="1" applyFont="1" applyFill="1" applyBorder="1" applyAlignment="1">
      <alignment vertical="center"/>
    </xf>
    <xf numFmtId="169" fontId="19" fillId="16" borderId="0" xfId="0" applyNumberFormat="1" applyFont="1" applyFill="1" applyAlignment="1">
      <alignment vertical="center"/>
    </xf>
    <xf numFmtId="169" fontId="19" fillId="16" borderId="10" xfId="0" applyNumberFormat="1" applyFont="1" applyFill="1" applyBorder="1" applyAlignment="1">
      <alignment vertical="center"/>
    </xf>
    <xf numFmtId="169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7" xfId="0" applyNumberFormat="1" applyFont="1" applyFill="1" applyBorder="1" applyAlignment="1">
      <alignment vertical="center"/>
    </xf>
    <xf numFmtId="169" fontId="19" fillId="15" borderId="16" xfId="0" applyNumberFormat="1" applyFont="1" applyFill="1" applyBorder="1" applyAlignment="1">
      <alignment vertical="center"/>
    </xf>
    <xf numFmtId="169" fontId="19" fillId="15" borderId="15" xfId="0" applyNumberFormat="1" applyFont="1" applyFill="1" applyBorder="1" applyAlignment="1">
      <alignment vertical="center"/>
    </xf>
    <xf numFmtId="169" fontId="19" fillId="15" borderId="18" xfId="0" applyNumberFormat="1" applyFont="1" applyFill="1" applyBorder="1" applyAlignment="1">
      <alignment vertical="center"/>
    </xf>
    <xf numFmtId="169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</cellXfs>
  <cellStyles count="19">
    <cellStyle name="20% - Accent3 3 2" xfId="4" xr:uid="{ABC4988B-8BA7-47D0-A9D6-448C999748B6}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2:V19"/>
  <sheetViews>
    <sheetView workbookViewId="0">
      <selection activeCell="J10" sqref="J10"/>
    </sheetView>
  </sheetViews>
  <sheetFormatPr defaultRowHeight="14.25"/>
  <cols>
    <col min="2" max="2" width="10.1328125" bestFit="1" customWidth="1"/>
    <col min="3" max="3" width="17.9296875" bestFit="1" customWidth="1"/>
    <col min="4" max="4" width="8.06640625" bestFit="1" customWidth="1"/>
    <col min="5" max="5" width="4.3984375" bestFit="1" customWidth="1"/>
    <col min="6" max="6" width="4.59765625" bestFit="1" customWidth="1"/>
    <col min="7" max="7" width="7.59765625" bestFit="1" customWidth="1"/>
    <col min="10" max="10" width="17.9296875" bestFit="1" customWidth="1"/>
    <col min="11" max="11" width="8.1328125" bestFit="1" customWidth="1"/>
    <col min="12" max="12" width="32.19921875" bestFit="1" customWidth="1"/>
    <col min="13" max="13" width="3.3984375" bestFit="1" customWidth="1"/>
    <col min="14" max="14" width="7.73046875" bestFit="1" customWidth="1"/>
    <col min="15" max="15" width="6.9296875" bestFit="1" customWidth="1"/>
    <col min="17" max="17" width="3.73046875" bestFit="1" customWidth="1"/>
    <col min="22" max="22" width="4.265625" bestFit="1" customWidth="1"/>
  </cols>
  <sheetData>
    <row r="2" spans="2:22" ht="14.65" thickBot="1">
      <c r="B2" s="2" t="s">
        <v>0</v>
      </c>
      <c r="L2" s="2" t="s">
        <v>102</v>
      </c>
      <c r="N2" s="1"/>
      <c r="O2" s="1"/>
      <c r="P2" s="1"/>
      <c r="Q2" s="1"/>
    </row>
    <row r="3" spans="2:22">
      <c r="B3" s="1" t="s">
        <v>6</v>
      </c>
      <c r="C3" s="1" t="s">
        <v>1</v>
      </c>
      <c r="D3" s="1" t="s">
        <v>7</v>
      </c>
      <c r="E3" s="1" t="s">
        <v>9</v>
      </c>
      <c r="F3" s="1" t="s">
        <v>8</v>
      </c>
      <c r="G3" s="1" t="s">
        <v>11</v>
      </c>
      <c r="J3" s="1" t="s">
        <v>12</v>
      </c>
      <c r="K3" s="1" t="s">
        <v>2</v>
      </c>
      <c r="L3" s="1" t="s">
        <v>3</v>
      </c>
      <c r="M3" t="s">
        <v>4</v>
      </c>
      <c r="N3" t="s">
        <v>5</v>
      </c>
      <c r="O3" s="1" t="s">
        <v>30</v>
      </c>
      <c r="P3" s="1">
        <v>2022</v>
      </c>
      <c r="Q3" s="1">
        <v>0</v>
      </c>
      <c r="R3" t="s">
        <v>101</v>
      </c>
      <c r="S3" t="s">
        <v>105</v>
      </c>
    </row>
    <row r="4" spans="2:22">
      <c r="B4" s="1" t="s">
        <v>17</v>
      </c>
      <c r="C4" s="1" t="s">
        <v>13</v>
      </c>
      <c r="E4" s="1" t="s">
        <v>21</v>
      </c>
      <c r="F4" t="s">
        <v>10</v>
      </c>
      <c r="G4" t="s">
        <v>14</v>
      </c>
      <c r="J4" s="1" t="str">
        <f>C4</f>
        <v>ElcAgg_Solar</v>
      </c>
      <c r="L4" s="1" t="s">
        <v>15</v>
      </c>
      <c r="M4" s="1">
        <v>1</v>
      </c>
      <c r="N4" s="1">
        <v>8.76</v>
      </c>
      <c r="O4" s="1"/>
      <c r="P4" s="1"/>
      <c r="Q4" s="1"/>
    </row>
    <row r="5" spans="2:22">
      <c r="B5" s="1" t="s">
        <v>17</v>
      </c>
      <c r="C5" s="1" t="s">
        <v>16</v>
      </c>
      <c r="E5" s="1" t="s">
        <v>21</v>
      </c>
      <c r="F5" t="s">
        <v>10</v>
      </c>
      <c r="G5" t="s">
        <v>14</v>
      </c>
      <c r="H5" s="1"/>
      <c r="I5" s="1"/>
      <c r="J5" s="1" t="str">
        <f>C5</f>
        <v>ElcAgg_Wind</v>
      </c>
      <c r="L5" s="1" t="s">
        <v>15</v>
      </c>
      <c r="M5" s="1">
        <v>1</v>
      </c>
      <c r="N5" s="1">
        <v>8.76</v>
      </c>
      <c r="O5" s="1"/>
      <c r="P5" s="1"/>
      <c r="Q5" s="1"/>
    </row>
    <row r="6" spans="2:22">
      <c r="B6" t="s">
        <v>20</v>
      </c>
      <c r="C6" t="s">
        <v>104</v>
      </c>
      <c r="D6" s="1" t="s">
        <v>106</v>
      </c>
      <c r="E6" s="1" t="s">
        <v>21</v>
      </c>
      <c r="F6" t="s">
        <v>10</v>
      </c>
      <c r="G6" s="1"/>
      <c r="H6" s="1"/>
      <c r="I6" s="1"/>
      <c r="J6" s="1" t="str">
        <f>C6</f>
        <v>e_demand</v>
      </c>
      <c r="K6" s="1" t="s">
        <v>19</v>
      </c>
      <c r="L6" t="s">
        <v>22</v>
      </c>
      <c r="M6" s="1">
        <v>1</v>
      </c>
      <c r="N6" s="1">
        <v>8.76</v>
      </c>
      <c r="O6" s="1"/>
      <c r="P6" s="1"/>
      <c r="Q6" s="1"/>
      <c r="V6" t="s">
        <v>100</v>
      </c>
    </row>
    <row r="7" spans="2:22">
      <c r="B7" t="s">
        <v>20</v>
      </c>
      <c r="C7" t="s">
        <v>147</v>
      </c>
      <c r="D7" s="1" t="s">
        <v>148</v>
      </c>
      <c r="E7" s="1" t="s">
        <v>21</v>
      </c>
      <c r="F7" t="s">
        <v>10</v>
      </c>
      <c r="G7" s="1"/>
      <c r="H7" s="1"/>
      <c r="I7" s="1"/>
      <c r="J7" s="1" t="str">
        <f>C7</f>
        <v>h_demand</v>
      </c>
      <c r="K7" s="1" t="s">
        <v>35</v>
      </c>
      <c r="L7" t="s">
        <v>149</v>
      </c>
      <c r="M7" s="1">
        <v>1</v>
      </c>
      <c r="N7" s="1">
        <v>8.76</v>
      </c>
      <c r="O7" s="1"/>
      <c r="P7" s="1"/>
      <c r="Q7" s="1"/>
    </row>
    <row r="8" spans="2:22">
      <c r="B8" t="s">
        <v>29</v>
      </c>
      <c r="C8" t="s">
        <v>98</v>
      </c>
      <c r="D8" s="1"/>
      <c r="E8" s="1" t="s">
        <v>21</v>
      </c>
      <c r="F8" t="s">
        <v>10</v>
      </c>
      <c r="G8" s="1"/>
      <c r="H8" s="1"/>
      <c r="I8" s="1"/>
      <c r="J8" s="1" t="str">
        <f>C10</f>
        <v>fossil_supply</v>
      </c>
      <c r="K8" s="1"/>
      <c r="L8" s="1" t="s">
        <v>32</v>
      </c>
      <c r="M8" s="1"/>
      <c r="N8" s="1"/>
      <c r="O8" s="1">
        <f t="shared" ref="O8:O12" si="0">V8*3.6</f>
        <v>7.2</v>
      </c>
      <c r="P8" s="1"/>
      <c r="V8" s="1">
        <v>2</v>
      </c>
    </row>
    <row r="9" spans="2:22">
      <c r="B9" t="s">
        <v>97</v>
      </c>
      <c r="C9" t="s">
        <v>99</v>
      </c>
      <c r="D9" s="1"/>
      <c r="E9" s="1" t="s">
        <v>21</v>
      </c>
      <c r="F9" t="s">
        <v>10</v>
      </c>
      <c r="G9" s="1"/>
      <c r="H9" s="1"/>
      <c r="I9" s="1"/>
      <c r="K9" s="1"/>
      <c r="L9" s="1" t="s">
        <v>33</v>
      </c>
      <c r="M9" s="1"/>
      <c r="N9" s="1"/>
      <c r="O9" s="1">
        <f t="shared" si="0"/>
        <v>18</v>
      </c>
      <c r="P9" s="1"/>
      <c r="V9" s="1">
        <v>5</v>
      </c>
    </row>
    <row r="10" spans="2:22">
      <c r="B10" s="1" t="s">
        <v>29</v>
      </c>
      <c r="C10" s="1" t="s">
        <v>152</v>
      </c>
      <c r="D10" s="1" t="s">
        <v>107</v>
      </c>
      <c r="E10" s="1" t="s">
        <v>21</v>
      </c>
      <c r="F10" t="s">
        <v>10</v>
      </c>
      <c r="G10" s="1"/>
      <c r="H10" s="1"/>
      <c r="I10" s="1"/>
      <c r="K10" s="1"/>
      <c r="L10" s="1" t="s">
        <v>37</v>
      </c>
      <c r="M10" s="1"/>
      <c r="N10" s="1"/>
      <c r="O10" s="1">
        <f>V10*3.6</f>
        <v>36</v>
      </c>
      <c r="P10" s="1"/>
      <c r="V10">
        <v>10</v>
      </c>
    </row>
    <row r="11" spans="2:22">
      <c r="B11" s="1" t="s">
        <v>29</v>
      </c>
      <c r="C11" s="1" t="s">
        <v>154</v>
      </c>
      <c r="D11" s="1" t="s">
        <v>153</v>
      </c>
      <c r="E11" s="1" t="s">
        <v>21</v>
      </c>
      <c r="F11" t="s">
        <v>10</v>
      </c>
      <c r="G11" s="1"/>
      <c r="H11" s="1"/>
      <c r="I11" s="1"/>
      <c r="J11" s="1" t="str">
        <f>C11</f>
        <v>renewable</v>
      </c>
      <c r="K11" s="1"/>
      <c r="L11" s="1" t="s">
        <v>34</v>
      </c>
      <c r="M11" s="1"/>
      <c r="N11" s="1"/>
      <c r="O11" s="1">
        <f t="shared" si="0"/>
        <v>0.36000000000000004</v>
      </c>
      <c r="P11" s="1"/>
      <c r="V11">
        <v>0.1</v>
      </c>
    </row>
    <row r="12" spans="2:22">
      <c r="B12" s="1" t="s">
        <v>29</v>
      </c>
      <c r="C12" s="1" t="s">
        <v>155</v>
      </c>
      <c r="D12" s="1" t="s">
        <v>156</v>
      </c>
      <c r="E12" s="1" t="s">
        <v>21</v>
      </c>
      <c r="F12" t="s">
        <v>10</v>
      </c>
      <c r="G12" s="1"/>
      <c r="H12" s="1"/>
      <c r="I12" s="1"/>
      <c r="K12" s="1"/>
      <c r="L12" s="1" t="s">
        <v>28</v>
      </c>
      <c r="M12" s="1"/>
      <c r="N12" s="1"/>
      <c r="O12" s="1">
        <f t="shared" si="0"/>
        <v>0.36000000000000004</v>
      </c>
      <c r="P12" s="1"/>
      <c r="V12">
        <v>0.1</v>
      </c>
    </row>
    <row r="13" spans="2:22">
      <c r="B13" s="1" t="s">
        <v>29</v>
      </c>
      <c r="C13" s="1" t="s">
        <v>157</v>
      </c>
      <c r="D13" s="1" t="s">
        <v>160</v>
      </c>
      <c r="E13" s="1" t="s">
        <v>21</v>
      </c>
      <c r="F13" t="s">
        <v>10</v>
      </c>
      <c r="G13" s="1"/>
      <c r="H13" s="1"/>
      <c r="I13" s="1"/>
      <c r="L13" s="1" t="s">
        <v>31</v>
      </c>
      <c r="M13" s="1"/>
      <c r="N13" s="1"/>
      <c r="O13" s="1">
        <f>V13*3.6</f>
        <v>25.2</v>
      </c>
      <c r="P13" s="1"/>
      <c r="V13" s="1">
        <v>7</v>
      </c>
    </row>
    <row r="14" spans="2:22">
      <c r="B14" s="1" t="s">
        <v>29</v>
      </c>
      <c r="C14" t="s">
        <v>158</v>
      </c>
      <c r="D14" t="s">
        <v>161</v>
      </c>
      <c r="E14" s="1" t="s">
        <v>21</v>
      </c>
      <c r="F14" t="s">
        <v>10</v>
      </c>
      <c r="G14" s="1"/>
      <c r="H14" s="1"/>
      <c r="I14" s="1"/>
      <c r="J14" s="1" t="str">
        <f>C12</f>
        <v>nuclear_fuel</v>
      </c>
      <c r="K14" s="1"/>
      <c r="L14" s="1" t="s">
        <v>36</v>
      </c>
      <c r="M14" s="1"/>
      <c r="N14" s="1"/>
      <c r="O14" s="1">
        <f>V14*3.6</f>
        <v>0.36000000000000004</v>
      </c>
      <c r="P14" s="1"/>
      <c r="V14">
        <v>0.1</v>
      </c>
    </row>
    <row r="15" spans="2:22">
      <c r="B15" s="1" t="s">
        <v>29</v>
      </c>
      <c r="C15" t="s">
        <v>159</v>
      </c>
      <c r="D15" t="s">
        <v>162</v>
      </c>
      <c r="E15" s="1" t="s">
        <v>21</v>
      </c>
      <c r="F15" t="s">
        <v>10</v>
      </c>
      <c r="G15" s="1"/>
      <c r="H15" s="1"/>
      <c r="I15" s="1"/>
      <c r="J15" s="1" t="str">
        <f>C13</f>
        <v>solar_potential</v>
      </c>
      <c r="K15" s="1"/>
      <c r="L15" s="1" t="s">
        <v>27</v>
      </c>
      <c r="M15" s="1"/>
      <c r="N15" s="1"/>
      <c r="O15" s="1">
        <f>V15*3.6</f>
        <v>0.36000000000000004</v>
      </c>
      <c r="P15" s="1"/>
      <c r="V15">
        <v>0.1</v>
      </c>
    </row>
    <row r="16" spans="2:22">
      <c r="B16" s="1"/>
      <c r="C16" s="1"/>
      <c r="D16" s="1"/>
      <c r="E16" s="1"/>
      <c r="F16" s="1"/>
      <c r="G16" s="1"/>
      <c r="H16" s="1"/>
      <c r="I16" s="1"/>
      <c r="J16" s="1" t="str">
        <f>C14</f>
        <v>winon_potential</v>
      </c>
      <c r="K16" s="1"/>
      <c r="L16" s="1" t="s">
        <v>150</v>
      </c>
      <c r="M16" s="1"/>
      <c r="N16" s="1"/>
      <c r="O16" s="1">
        <f>V16*3.6</f>
        <v>0.36000000000000004</v>
      </c>
      <c r="P16" s="1"/>
      <c r="V16">
        <v>0.1</v>
      </c>
    </row>
    <row r="17" spans="2:22">
      <c r="B17" s="1"/>
      <c r="C17" s="1"/>
      <c r="D17" s="1"/>
      <c r="E17" s="1"/>
      <c r="F17" s="1"/>
      <c r="G17" s="1"/>
      <c r="H17" s="1"/>
      <c r="I17" s="1"/>
      <c r="J17" s="1" t="str">
        <f>C15</f>
        <v>winoff_potential</v>
      </c>
      <c r="K17" s="1"/>
      <c r="L17" s="1" t="s">
        <v>151</v>
      </c>
      <c r="M17" s="1"/>
      <c r="N17" s="1"/>
      <c r="O17" s="1">
        <f t="shared" ref="O17" si="1">V17*3.6</f>
        <v>0.36000000000000004</v>
      </c>
      <c r="P17" s="1"/>
      <c r="V17">
        <v>0.1</v>
      </c>
    </row>
    <row r="18" spans="2:22">
      <c r="J18" t="str">
        <f>C8</f>
        <v>Trd_electricity import</v>
      </c>
      <c r="L18" t="s">
        <v>19</v>
      </c>
      <c r="P18">
        <v>0</v>
      </c>
      <c r="Q18">
        <v>3</v>
      </c>
      <c r="R18">
        <v>1000</v>
      </c>
      <c r="S18">
        <v>50</v>
      </c>
    </row>
    <row r="19" spans="2:22">
      <c r="J19" t="str">
        <f>C9</f>
        <v>Trd_electricity export</v>
      </c>
      <c r="K19" t="s">
        <v>19</v>
      </c>
      <c r="P19">
        <v>0</v>
      </c>
      <c r="Q19">
        <v>3</v>
      </c>
      <c r="R19">
        <v>1000</v>
      </c>
      <c r="S19">
        <v>50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417F31-D792-47CD-82F2-E942FCB1F74A}">
  <dimension ref="B9:N13"/>
  <sheetViews>
    <sheetView workbookViewId="0">
      <selection activeCell="A2" sqref="A2"/>
    </sheetView>
  </sheetViews>
  <sheetFormatPr defaultRowHeight="14.25"/>
  <sheetData>
    <row r="9" spans="2:14">
      <c r="B9" t="s">
        <v>163</v>
      </c>
      <c r="I9" t="s">
        <v>174</v>
      </c>
    </row>
    <row r="10" spans="2:14">
      <c r="B10" t="s">
        <v>6</v>
      </c>
      <c r="C10" t="s">
        <v>164</v>
      </c>
      <c r="D10" t="s">
        <v>165</v>
      </c>
      <c r="E10" t="s">
        <v>9</v>
      </c>
      <c r="F10" t="s">
        <v>8</v>
      </c>
      <c r="G10" t="s">
        <v>166</v>
      </c>
      <c r="I10" t="s">
        <v>164</v>
      </c>
      <c r="J10" t="s">
        <v>2</v>
      </c>
      <c r="K10" t="s">
        <v>3</v>
      </c>
      <c r="L10" t="s">
        <v>175</v>
      </c>
      <c r="M10" t="s">
        <v>176</v>
      </c>
      <c r="N10" t="s">
        <v>177</v>
      </c>
    </row>
    <row r="11" spans="2:14">
      <c r="B11" t="s">
        <v>17</v>
      </c>
      <c r="C11" t="s">
        <v>167</v>
      </c>
      <c r="D11" t="s">
        <v>168</v>
      </c>
      <c r="E11" t="s">
        <v>169</v>
      </c>
      <c r="F11" t="s">
        <v>10</v>
      </c>
      <c r="G11" t="s">
        <v>14</v>
      </c>
      <c r="I11" t="s">
        <v>167</v>
      </c>
      <c r="J11" t="s">
        <v>28</v>
      </c>
      <c r="K11" t="s">
        <v>19</v>
      </c>
      <c r="L11">
        <v>2.1950000000000003</v>
      </c>
    </row>
    <row r="12" spans="2:14">
      <c r="B12" t="s">
        <v>17</v>
      </c>
      <c r="C12" t="s">
        <v>170</v>
      </c>
      <c r="D12" t="s">
        <v>171</v>
      </c>
      <c r="E12" t="s">
        <v>169</v>
      </c>
      <c r="F12" t="s">
        <v>10</v>
      </c>
      <c r="G12" t="s">
        <v>14</v>
      </c>
      <c r="I12" t="s">
        <v>170</v>
      </c>
      <c r="J12" t="s">
        <v>28</v>
      </c>
      <c r="K12" t="s">
        <v>19</v>
      </c>
      <c r="L12">
        <v>6.92</v>
      </c>
    </row>
    <row r="13" spans="2:14">
      <c r="B13" t="s">
        <v>17</v>
      </c>
      <c r="C13" t="s">
        <v>172</v>
      </c>
      <c r="D13" t="s">
        <v>173</v>
      </c>
      <c r="E13" t="s">
        <v>169</v>
      </c>
      <c r="F13" t="s">
        <v>10</v>
      </c>
      <c r="G13" t="s">
        <v>14</v>
      </c>
      <c r="I13" t="s">
        <v>172</v>
      </c>
      <c r="J13" t="s">
        <v>28</v>
      </c>
      <c r="K13" t="s">
        <v>19</v>
      </c>
      <c r="L13">
        <v>13.84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2:W61"/>
  <sheetViews>
    <sheetView workbookViewId="0">
      <selection activeCell="A2" sqref="A2"/>
    </sheetView>
  </sheetViews>
  <sheetFormatPr defaultColWidth="8.86328125" defaultRowHeight="14.25"/>
  <cols>
    <col min="2" max="2" width="18.86328125" bestFit="1" customWidth="1"/>
    <col min="3" max="3" width="17.59765625" bestFit="1" customWidth="1"/>
    <col min="4" max="4" width="26" customWidth="1"/>
    <col min="5" max="5" width="11.1328125" bestFit="1" customWidth="1"/>
    <col min="6" max="6" width="13.265625" bestFit="1" customWidth="1"/>
    <col min="7" max="7" width="12.1328125" bestFit="1" customWidth="1"/>
    <col min="8" max="8" width="10.265625" bestFit="1" customWidth="1"/>
    <col min="9" max="9" width="16.265625" bestFit="1" customWidth="1"/>
    <col min="10" max="10" width="19.265625" bestFit="1" customWidth="1"/>
    <col min="11" max="11" width="8.86328125" bestFit="1" customWidth="1"/>
    <col min="12" max="12" width="14.265625" bestFit="1" customWidth="1"/>
    <col min="13" max="13" width="9.1328125" bestFit="1" customWidth="1"/>
    <col min="14" max="14" width="13" bestFit="1" customWidth="1"/>
    <col min="15" max="15" width="7.59765625" bestFit="1" customWidth="1"/>
    <col min="16" max="17" width="9" bestFit="1" customWidth="1"/>
    <col min="18" max="18" width="7.59765625" bestFit="1" customWidth="1"/>
    <col min="19" max="20" width="9" bestFit="1" customWidth="1"/>
    <col min="21" max="21" width="10.33203125" bestFit="1" customWidth="1"/>
    <col min="22" max="22" width="12.1328125" bestFit="1" customWidth="1"/>
    <col min="23" max="23" width="3.796875" bestFit="1" customWidth="1"/>
  </cols>
  <sheetData>
    <row r="2" spans="2:23">
      <c r="B2" s="3" t="s">
        <v>23</v>
      </c>
      <c r="C2" s="3"/>
      <c r="D2" s="3"/>
      <c r="E2" s="3"/>
      <c r="F2" s="3"/>
      <c r="G2" s="3"/>
      <c r="H2" s="3"/>
      <c r="I2" s="3"/>
    </row>
    <row r="3" spans="2:23">
      <c r="B3" s="3" t="s">
        <v>38</v>
      </c>
      <c r="C3" s="3" t="s">
        <v>39</v>
      </c>
      <c r="D3" s="3" t="s">
        <v>40</v>
      </c>
      <c r="E3" s="3" t="s">
        <v>25</v>
      </c>
      <c r="F3" s="3" t="s">
        <v>41</v>
      </c>
      <c r="G3" s="3" t="s">
        <v>42</v>
      </c>
      <c r="H3" s="3" t="s">
        <v>43</v>
      </c>
      <c r="I3" s="3" t="s">
        <v>44</v>
      </c>
    </row>
    <row r="4" spans="2:23">
      <c r="B4" s="3" t="s">
        <v>45</v>
      </c>
      <c r="C4" s="3" t="s">
        <v>46</v>
      </c>
      <c r="D4" s="3" t="s">
        <v>47</v>
      </c>
      <c r="E4" s="3" t="s">
        <v>48</v>
      </c>
      <c r="F4" s="3"/>
      <c r="G4" s="5" t="s">
        <v>14</v>
      </c>
      <c r="H4" s="3"/>
      <c r="I4" s="3"/>
    </row>
    <row r="5" spans="2:23">
      <c r="C5" s="3" t="s">
        <v>49</v>
      </c>
      <c r="D5" s="3" t="s">
        <v>50</v>
      </c>
      <c r="E5" s="3" t="s">
        <v>48</v>
      </c>
      <c r="F5" s="3"/>
      <c r="G5" s="5" t="s">
        <v>14</v>
      </c>
    </row>
    <row r="8" spans="2:23">
      <c r="B8" s="5" t="s">
        <v>0</v>
      </c>
      <c r="C8" s="5"/>
      <c r="D8" s="5"/>
      <c r="E8" s="5"/>
      <c r="F8" s="5"/>
      <c r="G8" s="5"/>
      <c r="H8" s="6"/>
      <c r="I8" s="6"/>
      <c r="J8" s="6"/>
      <c r="K8" s="6"/>
      <c r="L8" s="6"/>
      <c r="M8" s="7" t="s">
        <v>51</v>
      </c>
      <c r="O8" s="6"/>
      <c r="P8" s="6"/>
      <c r="Q8" s="6"/>
      <c r="R8" s="6"/>
      <c r="S8" s="6"/>
      <c r="T8" s="6"/>
      <c r="U8" s="6"/>
      <c r="V8" s="6"/>
      <c r="W8" s="6"/>
    </row>
    <row r="9" spans="2:23">
      <c r="B9" s="5" t="s">
        <v>6</v>
      </c>
      <c r="C9" s="5" t="s">
        <v>1</v>
      </c>
      <c r="D9" s="5" t="s">
        <v>7</v>
      </c>
      <c r="E9" s="5" t="s">
        <v>52</v>
      </c>
      <c r="F9" s="5" t="s">
        <v>53</v>
      </c>
      <c r="G9" s="5" t="s">
        <v>11</v>
      </c>
      <c r="H9" s="6"/>
      <c r="I9" s="6" t="s">
        <v>1</v>
      </c>
      <c r="J9" s="6" t="s">
        <v>54</v>
      </c>
      <c r="K9" s="6" t="s">
        <v>55</v>
      </c>
      <c r="L9" s="6" t="s">
        <v>24</v>
      </c>
      <c r="M9" s="7" t="s">
        <v>56</v>
      </c>
      <c r="N9" s="6">
        <f>J35</f>
        <v>2020</v>
      </c>
      <c r="O9" s="6">
        <f t="shared" ref="O9:T9" si="0">K35</f>
        <v>2025</v>
      </c>
      <c r="P9" s="6">
        <f t="shared" si="0"/>
        <v>2030</v>
      </c>
      <c r="Q9" s="6">
        <f t="shared" si="0"/>
        <v>2035</v>
      </c>
      <c r="R9" s="6">
        <f t="shared" si="0"/>
        <v>2040</v>
      </c>
      <c r="S9" s="6">
        <f t="shared" si="0"/>
        <v>2045</v>
      </c>
      <c r="T9" s="6">
        <f t="shared" si="0"/>
        <v>2050</v>
      </c>
      <c r="U9" s="6" t="s">
        <v>3</v>
      </c>
      <c r="V9" s="6" t="s">
        <v>57</v>
      </c>
      <c r="W9" t="s">
        <v>58</v>
      </c>
    </row>
    <row r="10" spans="2:23">
      <c r="B10" s="5" t="s">
        <v>59</v>
      </c>
      <c r="C10" s="5" t="s">
        <v>60</v>
      </c>
      <c r="D10" s="8" t="s">
        <v>61</v>
      </c>
      <c r="E10" s="5" t="s">
        <v>48</v>
      </c>
      <c r="F10" s="5" t="s">
        <v>10</v>
      </c>
      <c r="G10" s="5" t="s">
        <v>14</v>
      </c>
      <c r="H10" s="6"/>
      <c r="I10" s="6" t="s">
        <v>62</v>
      </c>
      <c r="J10" s="6" t="s">
        <v>63</v>
      </c>
      <c r="K10" s="3" t="s">
        <v>49</v>
      </c>
      <c r="L10" s="3" t="s">
        <v>19</v>
      </c>
      <c r="M10" s="6" t="s">
        <v>18</v>
      </c>
      <c r="N10" s="9">
        <f>1/N17</f>
        <v>1.1764705882352942</v>
      </c>
      <c r="O10" s="9"/>
      <c r="P10" s="9"/>
      <c r="Q10" s="9"/>
      <c r="R10" s="9"/>
      <c r="S10" s="9"/>
      <c r="T10" s="9"/>
      <c r="U10" s="6"/>
      <c r="V10" s="5" t="str">
        <f>K10</f>
        <v>AuxStoOUT</v>
      </c>
      <c r="W10">
        <v>20</v>
      </c>
    </row>
    <row r="11" spans="2:23">
      <c r="B11" s="5"/>
      <c r="C11" s="7" t="s">
        <v>62</v>
      </c>
      <c r="D11" s="7" t="s">
        <v>64</v>
      </c>
      <c r="E11" s="5" t="s">
        <v>48</v>
      </c>
      <c r="F11" s="5" t="s">
        <v>10</v>
      </c>
      <c r="G11" s="5" t="s">
        <v>14</v>
      </c>
      <c r="H11" s="6"/>
      <c r="I11" s="6" t="s">
        <v>62</v>
      </c>
      <c r="J11" s="6" t="s">
        <v>65</v>
      </c>
      <c r="K11" s="6" t="s">
        <v>66</v>
      </c>
      <c r="L11" s="6" t="s">
        <v>19</v>
      </c>
      <c r="M11" s="6" t="s">
        <v>14</v>
      </c>
      <c r="N11" s="9">
        <f>4/24</f>
        <v>0.16666666666666666</v>
      </c>
      <c r="O11" s="4"/>
      <c r="P11" s="4"/>
      <c r="Q11" s="4"/>
      <c r="R11" s="4"/>
      <c r="S11" s="4"/>
      <c r="T11" s="4"/>
      <c r="U11" s="5" t="str">
        <f>L11</f>
        <v>ELC</v>
      </c>
    </row>
    <row r="12" spans="2:23">
      <c r="B12" s="5"/>
      <c r="C12" s="5"/>
      <c r="D12" s="5"/>
      <c r="E12" s="5"/>
      <c r="F12" s="5"/>
      <c r="G12" s="5"/>
      <c r="H12" s="6"/>
      <c r="I12" s="6" t="s">
        <v>62</v>
      </c>
      <c r="J12" s="6" t="s">
        <v>65</v>
      </c>
      <c r="K12" s="6" t="s">
        <v>26</v>
      </c>
      <c r="L12" s="6"/>
      <c r="M12" s="7" t="s">
        <v>14</v>
      </c>
      <c r="N12" s="9">
        <v>1</v>
      </c>
      <c r="O12" s="9"/>
      <c r="P12" s="9"/>
      <c r="Q12" s="9"/>
      <c r="R12" s="9"/>
      <c r="S12" s="9"/>
      <c r="T12" s="9"/>
      <c r="U12" s="6"/>
      <c r="V12" s="6"/>
    </row>
    <row r="13" spans="2:23">
      <c r="B13" s="5"/>
      <c r="C13" s="5"/>
      <c r="D13" s="5"/>
      <c r="E13" s="5"/>
      <c r="F13" s="5"/>
      <c r="G13" s="5"/>
      <c r="H13" s="6"/>
      <c r="I13" s="6" t="s">
        <v>62</v>
      </c>
      <c r="J13" s="6" t="s">
        <v>67</v>
      </c>
      <c r="K13" s="6"/>
      <c r="L13" s="6"/>
      <c r="M13" s="7"/>
      <c r="N13" s="9">
        <f>J40</f>
        <v>1363</v>
      </c>
      <c r="O13" s="9">
        <f t="shared" ref="O13:T13" si="1">K40</f>
        <v>956</v>
      </c>
      <c r="P13" s="9">
        <f t="shared" si="1"/>
        <v>784</v>
      </c>
      <c r="Q13" s="9">
        <f t="shared" si="1"/>
        <v>735</v>
      </c>
      <c r="R13" s="9">
        <f t="shared" si="1"/>
        <v>686</v>
      </c>
      <c r="S13" s="9">
        <f t="shared" si="1"/>
        <v>637</v>
      </c>
      <c r="T13" s="9">
        <f t="shared" si="1"/>
        <v>588</v>
      </c>
      <c r="U13" s="6"/>
      <c r="V13" s="6"/>
    </row>
    <row r="14" spans="2:23">
      <c r="I14" t="s">
        <v>62</v>
      </c>
      <c r="J14" t="s">
        <v>68</v>
      </c>
      <c r="N14" s="4">
        <f>J44</f>
        <v>34</v>
      </c>
      <c r="O14" s="4">
        <f t="shared" ref="O14:T14" si="2">K44</f>
        <v>24</v>
      </c>
      <c r="P14" s="4">
        <f t="shared" si="2"/>
        <v>20</v>
      </c>
      <c r="Q14" s="4">
        <f t="shared" si="2"/>
        <v>18</v>
      </c>
      <c r="R14" s="4">
        <f t="shared" si="2"/>
        <v>17</v>
      </c>
      <c r="S14" s="4">
        <f t="shared" si="2"/>
        <v>16</v>
      </c>
      <c r="T14" s="4">
        <f t="shared" si="2"/>
        <v>15</v>
      </c>
    </row>
    <row r="15" spans="2:23">
      <c r="I15" t="s">
        <v>62</v>
      </c>
      <c r="J15" t="s">
        <v>69</v>
      </c>
      <c r="M15" t="s">
        <v>18</v>
      </c>
      <c r="N15" s="4">
        <v>1</v>
      </c>
      <c r="O15" s="4"/>
      <c r="P15" s="4"/>
      <c r="Q15" s="4"/>
      <c r="R15" s="4"/>
      <c r="S15" s="4"/>
      <c r="T15" s="4"/>
    </row>
    <row r="16" spans="2:23">
      <c r="I16" t="s">
        <v>62</v>
      </c>
      <c r="J16" t="s">
        <v>70</v>
      </c>
      <c r="N16" s="9">
        <v>31.536000000000001</v>
      </c>
      <c r="O16" s="4"/>
      <c r="P16" s="4"/>
      <c r="Q16" s="4"/>
      <c r="R16" s="4"/>
      <c r="S16" s="4"/>
      <c r="T16" s="4"/>
    </row>
    <row r="17" spans="9:23">
      <c r="I17" t="s">
        <v>62</v>
      </c>
      <c r="J17" t="s">
        <v>71</v>
      </c>
      <c r="N17" s="4">
        <v>0.85</v>
      </c>
      <c r="O17" s="4"/>
      <c r="P17" s="4"/>
      <c r="Q17" s="4"/>
      <c r="R17" s="4"/>
      <c r="S17" s="4"/>
      <c r="T17" s="4"/>
    </row>
    <row r="18" spans="9:23">
      <c r="I18" t="s">
        <v>60</v>
      </c>
      <c r="J18" t="s">
        <v>63</v>
      </c>
      <c r="K18" s="3" t="s">
        <v>49</v>
      </c>
      <c r="L18" s="3" t="s">
        <v>19</v>
      </c>
      <c r="M18" t="s">
        <v>18</v>
      </c>
      <c r="N18" s="9">
        <f>1/N25</f>
        <v>1.1764705882352942</v>
      </c>
      <c r="O18" s="4"/>
      <c r="P18" s="4"/>
      <c r="Q18" s="4"/>
      <c r="R18" s="4"/>
      <c r="S18" s="4"/>
      <c r="T18" s="4"/>
      <c r="U18" s="6"/>
      <c r="V18" s="5" t="str">
        <f>K18</f>
        <v>AuxStoOUT</v>
      </c>
      <c r="W18">
        <v>20</v>
      </c>
    </row>
    <row r="19" spans="9:23">
      <c r="I19" t="s">
        <v>60</v>
      </c>
      <c r="J19" t="s">
        <v>65</v>
      </c>
      <c r="K19" t="s">
        <v>66</v>
      </c>
      <c r="L19" t="s">
        <v>19</v>
      </c>
      <c r="M19" t="s">
        <v>14</v>
      </c>
      <c r="N19" s="4">
        <f>8/24</f>
        <v>0.33333333333333331</v>
      </c>
      <c r="O19" s="4"/>
      <c r="P19" s="4"/>
      <c r="Q19" s="4"/>
      <c r="R19" s="4"/>
      <c r="S19" s="4"/>
      <c r="T19" s="4"/>
      <c r="U19" s="5" t="str">
        <f>L19</f>
        <v>ELC</v>
      </c>
    </row>
    <row r="20" spans="9:23">
      <c r="I20" t="s">
        <v>60</v>
      </c>
      <c r="J20" t="s">
        <v>65</v>
      </c>
      <c r="K20" t="s">
        <v>26</v>
      </c>
      <c r="M20" t="s">
        <v>14</v>
      </c>
      <c r="N20" s="4">
        <v>1</v>
      </c>
      <c r="O20" s="4"/>
      <c r="P20" s="4"/>
      <c r="Q20" s="4"/>
      <c r="R20" s="4"/>
      <c r="S20" s="4"/>
      <c r="T20" s="4"/>
    </row>
    <row r="21" spans="9:23">
      <c r="I21" t="s">
        <v>60</v>
      </c>
      <c r="J21" t="s">
        <v>67</v>
      </c>
      <c r="N21" s="4">
        <f>J49</f>
        <v>2470</v>
      </c>
      <c r="O21" s="4">
        <f t="shared" ref="O21:T21" si="3">K49</f>
        <v>1714</v>
      </c>
      <c r="P21" s="4">
        <f t="shared" si="3"/>
        <v>1371</v>
      </c>
      <c r="Q21" s="4">
        <f t="shared" si="3"/>
        <v>1277</v>
      </c>
      <c r="R21" s="4">
        <f t="shared" si="3"/>
        <v>1183</v>
      </c>
      <c r="S21" s="4">
        <f t="shared" si="3"/>
        <v>1089</v>
      </c>
      <c r="T21" s="4">
        <f t="shared" si="3"/>
        <v>995</v>
      </c>
    </row>
    <row r="22" spans="9:23">
      <c r="I22" t="s">
        <v>60</v>
      </c>
      <c r="J22" t="s">
        <v>68</v>
      </c>
      <c r="N22" s="4">
        <f>J53</f>
        <v>62</v>
      </c>
      <c r="O22" s="4">
        <f t="shared" ref="O22:T22" si="4">K53</f>
        <v>43</v>
      </c>
      <c r="P22" s="4">
        <f t="shared" si="4"/>
        <v>34</v>
      </c>
      <c r="Q22" s="4">
        <f t="shared" si="4"/>
        <v>32</v>
      </c>
      <c r="R22" s="4">
        <f t="shared" si="4"/>
        <v>30</v>
      </c>
      <c r="S22" s="4">
        <f t="shared" si="4"/>
        <v>27</v>
      </c>
      <c r="T22" s="4">
        <f t="shared" si="4"/>
        <v>25</v>
      </c>
    </row>
    <row r="23" spans="9:23">
      <c r="I23" t="s">
        <v>60</v>
      </c>
      <c r="J23" t="s">
        <v>69</v>
      </c>
      <c r="M23" t="s">
        <v>18</v>
      </c>
      <c r="N23" s="4">
        <v>1</v>
      </c>
      <c r="O23" s="4"/>
      <c r="P23" s="4"/>
      <c r="Q23" s="4"/>
      <c r="R23" s="4"/>
      <c r="S23" s="4"/>
      <c r="T23" s="4"/>
    </row>
    <row r="24" spans="9:23">
      <c r="I24" t="s">
        <v>60</v>
      </c>
      <c r="J24" t="s">
        <v>70</v>
      </c>
      <c r="N24" s="9">
        <v>31.536000000000001</v>
      </c>
      <c r="O24" s="4"/>
      <c r="P24" s="4"/>
      <c r="Q24" s="4"/>
      <c r="R24" s="4"/>
      <c r="S24" s="4"/>
      <c r="T24" s="4"/>
    </row>
    <row r="25" spans="9:23">
      <c r="I25" t="s">
        <v>60</v>
      </c>
      <c r="J25" t="s">
        <v>71</v>
      </c>
      <c r="N25" s="4">
        <v>0.85</v>
      </c>
      <c r="O25" s="4"/>
      <c r="P25" s="4"/>
      <c r="Q25" s="4"/>
      <c r="R25" s="4"/>
      <c r="S25" s="4"/>
      <c r="T25" s="4"/>
    </row>
    <row r="31" spans="9:23" ht="15.75">
      <c r="I31" s="10" t="s">
        <v>72</v>
      </c>
      <c r="J31" s="11"/>
      <c r="K31" s="11"/>
      <c r="L31" s="11"/>
      <c r="M31" s="11"/>
      <c r="N31" s="11"/>
      <c r="O31" s="11"/>
      <c r="P31" s="11"/>
    </row>
    <row r="32" spans="9:23" ht="15.75">
      <c r="I32" s="10" t="s">
        <v>73</v>
      </c>
      <c r="J32" s="11"/>
      <c r="K32" s="11"/>
      <c r="L32" s="11"/>
      <c r="M32" s="11"/>
      <c r="N32" s="11"/>
      <c r="O32" s="11"/>
      <c r="P32" s="11"/>
    </row>
    <row r="33" spans="9:16">
      <c r="I33" s="12"/>
      <c r="J33" s="12"/>
      <c r="K33" s="12"/>
      <c r="L33" s="12"/>
      <c r="M33" s="12"/>
      <c r="N33" s="12"/>
      <c r="O33" s="12"/>
      <c r="P33" s="12"/>
    </row>
    <row r="34" spans="9:16" ht="15.75">
      <c r="I34" s="13" t="s">
        <v>74</v>
      </c>
      <c r="J34" s="14"/>
      <c r="K34" s="14"/>
      <c r="L34" s="14"/>
      <c r="M34" s="14"/>
      <c r="N34" s="14"/>
      <c r="O34" s="14"/>
      <c r="P34" s="14"/>
    </row>
    <row r="35" spans="9:16" ht="15.75">
      <c r="I35" s="14"/>
      <c r="J35" s="14">
        <v>2020</v>
      </c>
      <c r="K35" s="14">
        <v>2025</v>
      </c>
      <c r="L35" s="14">
        <v>2030</v>
      </c>
      <c r="M35" s="14">
        <v>2035</v>
      </c>
      <c r="N35" s="14">
        <v>2040</v>
      </c>
      <c r="O35" s="14">
        <v>2045</v>
      </c>
      <c r="P35" s="14">
        <v>2050</v>
      </c>
    </row>
    <row r="36" spans="9:16" ht="15.75">
      <c r="I36" s="15" t="s">
        <v>75</v>
      </c>
      <c r="J36" s="14"/>
      <c r="K36" s="14"/>
      <c r="L36" s="14"/>
      <c r="M36" s="14"/>
      <c r="N36" s="14"/>
      <c r="O36" s="14"/>
      <c r="P36" s="14"/>
    </row>
    <row r="37" spans="9:16" ht="15.75">
      <c r="I37" s="13" t="s">
        <v>76</v>
      </c>
      <c r="J37" s="14"/>
      <c r="K37" s="14"/>
      <c r="L37" s="14"/>
      <c r="M37" s="14"/>
      <c r="N37" s="14"/>
      <c r="O37" s="14"/>
      <c r="P37" s="14"/>
    </row>
    <row r="38" spans="9:16" ht="15.75">
      <c r="I38" s="14" t="s">
        <v>77</v>
      </c>
      <c r="J38" s="16">
        <v>1363</v>
      </c>
      <c r="K38" s="16">
        <v>839</v>
      </c>
      <c r="L38" s="16">
        <v>566</v>
      </c>
      <c r="M38" s="16">
        <v>512</v>
      </c>
      <c r="N38" s="16">
        <v>454</v>
      </c>
      <c r="O38" s="16">
        <v>400</v>
      </c>
      <c r="P38" s="16">
        <v>346</v>
      </c>
    </row>
    <row r="39" spans="9:16" ht="15.75">
      <c r="I39" s="14" t="s">
        <v>78</v>
      </c>
      <c r="J39" s="16">
        <v>1363</v>
      </c>
      <c r="K39" s="16">
        <v>1167</v>
      </c>
      <c r="L39" s="16">
        <v>981</v>
      </c>
      <c r="M39" s="16">
        <v>981</v>
      </c>
      <c r="N39" s="16">
        <v>981</v>
      </c>
      <c r="O39" s="16">
        <v>981</v>
      </c>
      <c r="P39" s="16">
        <v>981</v>
      </c>
    </row>
    <row r="40" spans="9:16" ht="15.75">
      <c r="I40" s="14" t="s">
        <v>79</v>
      </c>
      <c r="J40" s="16">
        <v>1363</v>
      </c>
      <c r="K40" s="16">
        <v>956</v>
      </c>
      <c r="L40" s="16">
        <v>784</v>
      </c>
      <c r="M40" s="16">
        <v>735</v>
      </c>
      <c r="N40" s="16">
        <v>686</v>
      </c>
      <c r="O40" s="16">
        <v>637</v>
      </c>
      <c r="P40" s="16">
        <v>588</v>
      </c>
    </row>
    <row r="41" spans="9:16" ht="15.75">
      <c r="I41" s="13" t="s">
        <v>80</v>
      </c>
      <c r="J41" s="17"/>
      <c r="K41" s="17"/>
      <c r="L41" s="17"/>
      <c r="M41" s="17"/>
      <c r="N41" s="17"/>
      <c r="O41" s="17"/>
      <c r="P41" s="17"/>
    </row>
    <row r="42" spans="9:16" ht="15.75">
      <c r="I42" s="14" t="s">
        <v>77</v>
      </c>
      <c r="J42" s="18">
        <v>34</v>
      </c>
      <c r="K42" s="18">
        <v>21</v>
      </c>
      <c r="L42" s="18">
        <v>14</v>
      </c>
      <c r="M42" s="18">
        <v>13</v>
      </c>
      <c r="N42" s="18">
        <v>11</v>
      </c>
      <c r="O42" s="18">
        <v>10</v>
      </c>
      <c r="P42" s="18">
        <v>9</v>
      </c>
    </row>
    <row r="43" spans="9:16" ht="15.75">
      <c r="I43" s="14" t="s">
        <v>78</v>
      </c>
      <c r="J43" s="18">
        <v>34</v>
      </c>
      <c r="K43" s="18">
        <v>29</v>
      </c>
      <c r="L43" s="18">
        <v>25</v>
      </c>
      <c r="M43" s="18">
        <v>25</v>
      </c>
      <c r="N43" s="18">
        <v>25</v>
      </c>
      <c r="O43" s="18">
        <v>25</v>
      </c>
      <c r="P43" s="18">
        <v>25</v>
      </c>
    </row>
    <row r="44" spans="9:16" ht="15.75">
      <c r="I44" s="14" t="s">
        <v>79</v>
      </c>
      <c r="J44" s="18">
        <v>34</v>
      </c>
      <c r="K44" s="18">
        <v>24</v>
      </c>
      <c r="L44" s="18">
        <v>20</v>
      </c>
      <c r="M44" s="18">
        <v>18</v>
      </c>
      <c r="N44" s="18">
        <v>17</v>
      </c>
      <c r="O44" s="18">
        <v>16</v>
      </c>
      <c r="P44" s="18">
        <v>15</v>
      </c>
    </row>
    <row r="45" spans="9:16" ht="15.75">
      <c r="I45" s="15" t="s">
        <v>81</v>
      </c>
      <c r="J45" s="17"/>
      <c r="K45" s="17"/>
      <c r="L45" s="17"/>
      <c r="M45" s="17"/>
      <c r="N45" s="17"/>
      <c r="O45" s="17"/>
      <c r="P45" s="17"/>
    </row>
    <row r="46" spans="9:16" ht="15.75">
      <c r="I46" s="13" t="s">
        <v>76</v>
      </c>
      <c r="J46" s="17"/>
      <c r="K46" s="17"/>
      <c r="L46" s="17"/>
      <c r="M46" s="17"/>
      <c r="N46" s="17"/>
      <c r="O46" s="17"/>
      <c r="P46" s="17"/>
    </row>
    <row r="47" spans="9:16" ht="15.75">
      <c r="I47" s="14" t="s">
        <v>77</v>
      </c>
      <c r="J47" s="16">
        <v>2470</v>
      </c>
      <c r="K47" s="16">
        <v>1518</v>
      </c>
      <c r="L47" s="16">
        <v>1024</v>
      </c>
      <c r="M47" s="16">
        <v>927</v>
      </c>
      <c r="N47" s="16">
        <v>822</v>
      </c>
      <c r="O47" s="16">
        <v>724</v>
      </c>
      <c r="P47" s="16">
        <v>626</v>
      </c>
    </row>
    <row r="48" spans="9:16" ht="15.75">
      <c r="I48" s="14" t="s">
        <v>78</v>
      </c>
      <c r="J48" s="16">
        <v>2470</v>
      </c>
      <c r="K48" s="16">
        <v>2111</v>
      </c>
      <c r="L48" s="16">
        <v>1754</v>
      </c>
      <c r="M48" s="16">
        <v>1754</v>
      </c>
      <c r="N48" s="16">
        <v>1754</v>
      </c>
      <c r="O48" s="16">
        <v>1754</v>
      </c>
      <c r="P48" s="16">
        <v>1754</v>
      </c>
    </row>
    <row r="49" spans="9:16" ht="15.75">
      <c r="I49" s="14" t="s">
        <v>79</v>
      </c>
      <c r="J49" s="16">
        <v>2470</v>
      </c>
      <c r="K49" s="16">
        <v>1714</v>
      </c>
      <c r="L49" s="16">
        <v>1371</v>
      </c>
      <c r="M49" s="16">
        <v>1277</v>
      </c>
      <c r="N49" s="16">
        <v>1183</v>
      </c>
      <c r="O49" s="16">
        <v>1089</v>
      </c>
      <c r="P49" s="16">
        <v>995</v>
      </c>
    </row>
    <row r="50" spans="9:16" ht="15.75">
      <c r="I50" s="13" t="s">
        <v>80</v>
      </c>
      <c r="J50" s="17"/>
      <c r="K50" s="17"/>
      <c r="L50" s="17"/>
      <c r="M50" s="17"/>
      <c r="N50" s="17"/>
      <c r="O50" s="17"/>
      <c r="P50" s="17"/>
    </row>
    <row r="51" spans="9:16" ht="15.75">
      <c r="I51" s="14" t="s">
        <v>77</v>
      </c>
      <c r="J51" s="18">
        <v>62</v>
      </c>
      <c r="K51" s="18">
        <v>38</v>
      </c>
      <c r="L51" s="18">
        <v>26</v>
      </c>
      <c r="M51" s="18">
        <v>23</v>
      </c>
      <c r="N51" s="18">
        <v>21</v>
      </c>
      <c r="O51" s="18">
        <v>18</v>
      </c>
      <c r="P51" s="18">
        <v>16</v>
      </c>
    </row>
    <row r="52" spans="9:16" ht="15.75">
      <c r="I52" s="14" t="s">
        <v>78</v>
      </c>
      <c r="J52" s="18">
        <v>62</v>
      </c>
      <c r="K52" s="18">
        <v>53</v>
      </c>
      <c r="L52" s="18">
        <v>44</v>
      </c>
      <c r="M52" s="18">
        <v>44</v>
      </c>
      <c r="N52" s="18">
        <v>44</v>
      </c>
      <c r="O52" s="18">
        <v>44</v>
      </c>
      <c r="P52" s="18">
        <v>44</v>
      </c>
    </row>
    <row r="53" spans="9:16" ht="15.75">
      <c r="I53" s="14" t="s">
        <v>79</v>
      </c>
      <c r="J53" s="18">
        <v>62</v>
      </c>
      <c r="K53" s="18">
        <v>43</v>
      </c>
      <c r="L53" s="18">
        <v>34</v>
      </c>
      <c r="M53" s="18">
        <v>32</v>
      </c>
      <c r="N53" s="18">
        <v>30</v>
      </c>
      <c r="O53" s="18">
        <v>27</v>
      </c>
      <c r="P53" s="18">
        <v>25</v>
      </c>
    </row>
    <row r="54" spans="9:16">
      <c r="I54" s="12"/>
      <c r="J54" s="12"/>
      <c r="K54" s="12"/>
      <c r="L54" s="12"/>
      <c r="M54" s="12"/>
      <c r="N54" s="12"/>
      <c r="O54" s="12"/>
      <c r="P54" s="12"/>
    </row>
    <row r="55" spans="9:16" ht="15.75">
      <c r="I55" s="11" t="s">
        <v>82</v>
      </c>
      <c r="J55" s="11">
        <v>0.85</v>
      </c>
      <c r="K55" s="11"/>
      <c r="L55" s="11"/>
      <c r="M55" s="11"/>
      <c r="N55" s="11"/>
      <c r="O55" s="11"/>
      <c r="P55" s="11"/>
    </row>
    <row r="56" spans="9:16" ht="15.75">
      <c r="I56" s="11" t="s">
        <v>83</v>
      </c>
      <c r="J56" s="11"/>
      <c r="K56" s="11"/>
      <c r="L56" s="11"/>
      <c r="M56" s="11"/>
      <c r="N56" s="11"/>
      <c r="O56" s="11"/>
      <c r="P56" s="11"/>
    </row>
    <row r="57" spans="9:16" ht="15.75">
      <c r="I57" s="11" t="s">
        <v>84</v>
      </c>
      <c r="J57" s="11"/>
      <c r="K57" s="11"/>
      <c r="L57" s="11"/>
      <c r="M57" s="19"/>
      <c r="N57" s="11"/>
      <c r="O57" s="11"/>
      <c r="P57" s="11"/>
    </row>
    <row r="58" spans="9:16" ht="15.75">
      <c r="I58" s="11"/>
      <c r="J58" s="11"/>
      <c r="K58" s="11"/>
      <c r="L58" s="11"/>
      <c r="M58" s="19"/>
      <c r="N58" s="11"/>
      <c r="O58" s="11"/>
      <c r="P58" s="11"/>
    </row>
    <row r="59" spans="9:16" ht="15.75">
      <c r="I59" s="11"/>
      <c r="J59" s="19"/>
      <c r="K59" s="11"/>
      <c r="L59" s="11"/>
      <c r="M59" s="19"/>
      <c r="N59" s="11"/>
      <c r="O59" s="11"/>
      <c r="P59" s="11"/>
    </row>
    <row r="60" spans="9:16" ht="15.75">
      <c r="I60" s="11"/>
      <c r="J60" s="19"/>
      <c r="K60" s="11"/>
      <c r="L60" s="11"/>
      <c r="M60" s="11"/>
      <c r="N60" s="11"/>
      <c r="O60" s="11"/>
      <c r="P60" s="11"/>
    </row>
    <row r="61" spans="9:16" ht="15.75">
      <c r="I61" s="11"/>
      <c r="J61" s="19"/>
      <c r="K61" s="11"/>
      <c r="L61" s="11"/>
      <c r="M61" s="11"/>
      <c r="N61" s="11"/>
      <c r="O61" s="11"/>
      <c r="P61" s="11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workbookViewId="0">
      <selection activeCell="B5" sqref="B5"/>
    </sheetView>
  </sheetViews>
  <sheetFormatPr defaultRowHeight="14.25"/>
  <cols>
    <col min="2" max="2" width="11.53125" bestFit="1" customWidth="1"/>
    <col min="3" max="3" width="8.1328125" bestFit="1" customWidth="1"/>
    <col min="4" max="4" width="14.86328125" bestFit="1" customWidth="1"/>
    <col min="5" max="5" width="11.59765625" bestFit="1" customWidth="1"/>
    <col min="6" max="6" width="14.86328125" bestFit="1" customWidth="1"/>
    <col min="7" max="7" width="9.59765625" bestFit="1" customWidth="1"/>
    <col min="8" max="8" width="9" bestFit="1" customWidth="1"/>
    <col min="9" max="9" width="4.73046875" bestFit="1" customWidth="1"/>
    <col min="10" max="10" width="1.73046875" bestFit="1" customWidth="1"/>
    <col min="11" max="11" width="6.73046875" bestFit="1" customWidth="1"/>
    <col min="12" max="12" width="14.796875" bestFit="1" customWidth="1"/>
    <col min="13" max="13" width="3.796875" bestFit="1" customWidth="1"/>
    <col min="14" max="14" width="6.265625" bestFit="1" customWidth="1"/>
    <col min="15" max="15" width="7.9296875" bestFit="1" customWidth="1"/>
    <col min="16" max="16" width="4.46484375" bestFit="1" customWidth="1"/>
    <col min="18" max="18" width="9.796875" bestFit="1" customWidth="1"/>
    <col min="19" max="19" width="11.53125" bestFit="1" customWidth="1"/>
    <col min="20" max="20" width="37.9296875" bestFit="1" customWidth="1"/>
    <col min="21" max="21" width="4.06640625" bestFit="1" customWidth="1"/>
    <col min="22" max="22" width="4.3984375" bestFit="1" customWidth="1"/>
    <col min="23" max="23" width="7.59765625" bestFit="1" customWidth="1"/>
    <col min="25" max="25" width="6.73046875" bestFit="1" customWidth="1"/>
  </cols>
  <sheetData>
    <row r="3" spans="2:25">
      <c r="B3" s="23"/>
      <c r="C3" s="23"/>
      <c r="D3" s="23"/>
      <c r="E3" s="23"/>
      <c r="F3" s="23"/>
      <c r="G3" s="23"/>
      <c r="H3" s="23" t="s">
        <v>85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0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57</v>
      </c>
      <c r="F4" t="s">
        <v>55</v>
      </c>
      <c r="G4" t="s">
        <v>86</v>
      </c>
      <c r="H4" t="s">
        <v>87</v>
      </c>
      <c r="I4">
        <v>2030</v>
      </c>
      <c r="J4">
        <v>0</v>
      </c>
      <c r="K4" s="23" t="s">
        <v>88</v>
      </c>
      <c r="L4" s="23" t="s">
        <v>89</v>
      </c>
      <c r="M4" s="23" t="s">
        <v>58</v>
      </c>
      <c r="N4" s="23" t="s">
        <v>101</v>
      </c>
      <c r="O4" s="23" t="s">
        <v>90</v>
      </c>
      <c r="P4" s="23" t="s">
        <v>91</v>
      </c>
      <c r="Q4" s="23"/>
      <c r="R4" s="23" t="s">
        <v>6</v>
      </c>
      <c r="S4" s="23" t="s">
        <v>1</v>
      </c>
      <c r="T4" s="23" t="s">
        <v>7</v>
      </c>
      <c r="U4" s="23" t="s">
        <v>52</v>
      </c>
      <c r="V4" s="23" t="s">
        <v>53</v>
      </c>
      <c r="W4" s="23" t="s">
        <v>11</v>
      </c>
      <c r="X4" s="23" t="s">
        <v>92</v>
      </c>
      <c r="Y4" s="23" t="s">
        <v>93</v>
      </c>
    </row>
    <row r="5" spans="2:25">
      <c r="B5" t="s">
        <v>103</v>
      </c>
      <c r="C5" t="s">
        <v>19</v>
      </c>
      <c r="F5" t="s">
        <v>26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96</v>
      </c>
      <c r="S5" s="23" t="str">
        <f>B5</f>
        <v>ev_battery</v>
      </c>
      <c r="T5" s="23" t="s">
        <v>94</v>
      </c>
      <c r="U5" s="23" t="s">
        <v>21</v>
      </c>
      <c r="V5" s="23" t="s">
        <v>21</v>
      </c>
      <c r="W5" s="23" t="s">
        <v>14</v>
      </c>
      <c r="X5" s="23"/>
      <c r="Y5" s="23"/>
    </row>
    <row r="6" spans="2:25">
      <c r="B6" s="23"/>
      <c r="F6" t="s">
        <v>66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95</v>
      </c>
      <c r="E7" t="s">
        <v>46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7.649999999999999">
      <c r="B8" s="20"/>
      <c r="E8" s="26"/>
      <c r="F8" t="str">
        <f>C5</f>
        <v>ELC</v>
      </c>
      <c r="G8" t="str">
        <f>E7</f>
        <v>AuxStoIN</v>
      </c>
      <c r="H8" t="s">
        <v>63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4.25"/>
  <cols>
    <col min="1" max="1" width="11.1328125" bestFit="1" customWidth="1"/>
    <col min="2" max="2" width="11.1328125" customWidth="1"/>
    <col min="3" max="5" width="14" bestFit="1" customWidth="1"/>
    <col min="6" max="8" width="11.86328125" bestFit="1" customWidth="1"/>
    <col min="9" max="9" width="20.265625" bestFit="1" customWidth="1"/>
    <col min="10" max="10" width="15.59765625" bestFit="1" customWidth="1"/>
    <col min="11" max="11" width="20.265625" bestFit="1" customWidth="1"/>
    <col min="12" max="12" width="15.59765625" bestFit="1" customWidth="1"/>
    <col min="13" max="13" width="20.265625" bestFit="1" customWidth="1"/>
    <col min="14" max="14" width="15.59765625" bestFit="1" customWidth="1"/>
    <col min="15" max="15" width="18.86328125" customWidth="1"/>
    <col min="16" max="16" width="4.3984375" bestFit="1" customWidth="1"/>
    <col min="17" max="17" width="8.1328125" bestFit="1" customWidth="1"/>
    <col min="18" max="18" width="5.9296875" bestFit="1" customWidth="1"/>
    <col min="21" max="21" width="18.1328125" bestFit="1" customWidth="1"/>
    <col min="22" max="22" width="24" customWidth="1"/>
    <col min="23" max="23" width="4.53125" bestFit="1" customWidth="1"/>
    <col min="24" max="24" width="4.19921875" bestFit="1" customWidth="1"/>
    <col min="25" max="25" width="7.6640625" bestFit="1" customWidth="1"/>
    <col min="26" max="26" width="7.1328125" bestFit="1" customWidth="1"/>
  </cols>
  <sheetData>
    <row r="1" spans="1:18" ht="33.75" customHeight="1">
      <c r="A1" t="s">
        <v>108</v>
      </c>
      <c r="C1" s="147" t="s">
        <v>109</v>
      </c>
      <c r="D1" s="147"/>
      <c r="E1" s="147"/>
      <c r="F1" s="148" t="s">
        <v>110</v>
      </c>
      <c r="G1" s="147"/>
      <c r="H1" s="149"/>
      <c r="I1" s="147" t="s">
        <v>111</v>
      </c>
      <c r="J1" s="147"/>
      <c r="K1" s="147"/>
      <c r="L1" s="147"/>
      <c r="M1" s="147"/>
      <c r="N1" s="147"/>
      <c r="O1" s="150" t="s">
        <v>112</v>
      </c>
      <c r="P1" s="27"/>
      <c r="Q1" s="27"/>
      <c r="R1" s="27"/>
    </row>
    <row r="2" spans="1:18">
      <c r="C2" s="28" t="s">
        <v>101</v>
      </c>
      <c r="D2" s="28" t="s">
        <v>101</v>
      </c>
      <c r="E2" s="28" t="s">
        <v>101</v>
      </c>
      <c r="F2" s="28" t="s">
        <v>113</v>
      </c>
      <c r="G2" s="28" t="s">
        <v>113</v>
      </c>
      <c r="H2" s="28" t="s">
        <v>113</v>
      </c>
      <c r="I2" s="28" t="s">
        <v>114</v>
      </c>
      <c r="J2" s="28" t="s">
        <v>146</v>
      </c>
      <c r="K2" s="28" t="str">
        <f>I2</f>
        <v>input~GASNGA</v>
      </c>
      <c r="L2" s="28" t="s">
        <v>146</v>
      </c>
      <c r="M2" s="28" t="str">
        <f>K2</f>
        <v>input~GASNGA</v>
      </c>
      <c r="N2" s="28" t="s">
        <v>146</v>
      </c>
      <c r="O2" s="151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51"/>
      <c r="P3" s="27"/>
      <c r="Q3" s="27"/>
      <c r="R3" s="27"/>
    </row>
    <row r="4" spans="1:18" ht="26.25">
      <c r="C4" s="29">
        <v>2020</v>
      </c>
      <c r="D4" s="29">
        <v>2030</v>
      </c>
      <c r="E4" s="29" t="s">
        <v>115</v>
      </c>
      <c r="F4" s="30">
        <v>2015</v>
      </c>
      <c r="G4" s="29">
        <v>2030</v>
      </c>
      <c r="H4" s="31" t="s">
        <v>115</v>
      </c>
      <c r="I4" s="29" t="s">
        <v>116</v>
      </c>
      <c r="J4" s="29" t="s">
        <v>117</v>
      </c>
      <c r="K4" s="32" t="s">
        <v>118</v>
      </c>
      <c r="L4" s="33" t="s">
        <v>119</v>
      </c>
      <c r="M4" s="29" t="s">
        <v>120</v>
      </c>
      <c r="N4" s="29" t="s">
        <v>121</v>
      </c>
      <c r="O4" s="152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122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123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124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125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126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127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128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129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130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131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132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133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134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135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136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137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138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139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140</v>
      </c>
      <c r="P23" s="123"/>
      <c r="Q23" s="123"/>
      <c r="R23" s="123"/>
    </row>
    <row r="26" spans="1:26" ht="17.25" thickBot="1">
      <c r="C26" s="143" t="s">
        <v>141</v>
      </c>
      <c r="T26" s="143" t="s">
        <v>0</v>
      </c>
    </row>
    <row r="27" spans="1:26" ht="14.6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146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58</v>
      </c>
      <c r="Q27" s="144" t="s">
        <v>142</v>
      </c>
      <c r="T27" s="144" t="s">
        <v>6</v>
      </c>
      <c r="U27" s="144" t="s">
        <v>1</v>
      </c>
      <c r="V27" s="144" t="s">
        <v>7</v>
      </c>
      <c r="W27" s="144" t="s">
        <v>53</v>
      </c>
      <c r="X27" s="144" t="s">
        <v>52</v>
      </c>
      <c r="Y27" s="144" t="s">
        <v>11</v>
      </c>
      <c r="Z27" s="144" t="s">
        <v>93</v>
      </c>
    </row>
    <row r="28" spans="1:26">
      <c r="A28" t="s">
        <v>35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144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21</v>
      </c>
      <c r="Y28" t="s">
        <v>14</v>
      </c>
      <c r="Z28" t="s">
        <v>143</v>
      </c>
    </row>
    <row r="29" spans="1:26">
      <c r="A29" t="s">
        <v>35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145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21</v>
      </c>
      <c r="Y29" t="s">
        <v>14</v>
      </c>
      <c r="Z29" t="s">
        <v>143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6F1D1B-0283-4496-8A8C-EF8AEAA32F0D}">
  <dimension ref="B9:N31"/>
  <sheetViews>
    <sheetView workbookViewId="0"/>
  </sheetViews>
  <sheetFormatPr defaultRowHeight="14.25"/>
  <sheetData>
    <row r="9" spans="2:14">
      <c r="B9" t="s">
        <v>163</v>
      </c>
      <c r="J9" t="s">
        <v>174</v>
      </c>
    </row>
    <row r="10" spans="2:14">
      <c r="B10" t="s">
        <v>178</v>
      </c>
      <c r="C10" t="s">
        <v>164</v>
      </c>
      <c r="D10" t="s">
        <v>165</v>
      </c>
      <c r="E10" t="s">
        <v>179</v>
      </c>
      <c r="F10" t="s">
        <v>180</v>
      </c>
      <c r="G10" t="s">
        <v>166</v>
      </c>
      <c r="H10" t="s">
        <v>181</v>
      </c>
      <c r="J10" t="s">
        <v>164</v>
      </c>
      <c r="K10" t="s">
        <v>227</v>
      </c>
      <c r="L10" t="s">
        <v>228</v>
      </c>
      <c r="M10" t="s">
        <v>229</v>
      </c>
      <c r="N10" t="s">
        <v>230</v>
      </c>
    </row>
    <row r="11" spans="2:14">
      <c r="B11" t="s">
        <v>182</v>
      </c>
      <c r="C11" t="s">
        <v>183</v>
      </c>
      <c r="D11" t="s">
        <v>184</v>
      </c>
      <c r="E11" t="s">
        <v>10</v>
      </c>
      <c r="F11" t="s">
        <v>21</v>
      </c>
      <c r="G11" t="s">
        <v>185</v>
      </c>
      <c r="H11" t="s">
        <v>186</v>
      </c>
      <c r="J11" t="s">
        <v>183</v>
      </c>
      <c r="K11" t="s">
        <v>231</v>
      </c>
      <c r="L11">
        <v>4.725E-2</v>
      </c>
      <c r="M11">
        <v>0.20930892200000001</v>
      </c>
      <c r="N11">
        <v>1</v>
      </c>
    </row>
    <row r="12" spans="2:14">
      <c r="B12" t="s">
        <v>182</v>
      </c>
      <c r="C12" t="s">
        <v>187</v>
      </c>
      <c r="D12" t="s">
        <v>188</v>
      </c>
      <c r="E12" t="s">
        <v>10</v>
      </c>
      <c r="F12" t="s">
        <v>21</v>
      </c>
      <c r="G12" t="s">
        <v>185</v>
      </c>
      <c r="H12" t="s">
        <v>186</v>
      </c>
      <c r="J12" t="s">
        <v>187</v>
      </c>
      <c r="K12" t="s">
        <v>231</v>
      </c>
      <c r="L12">
        <v>6.7499999999999999E-3</v>
      </c>
      <c r="M12">
        <v>0.197498858</v>
      </c>
      <c r="N12">
        <v>1</v>
      </c>
    </row>
    <row r="13" spans="2:14">
      <c r="B13" t="s">
        <v>182</v>
      </c>
      <c r="C13" t="s">
        <v>189</v>
      </c>
      <c r="D13" t="s">
        <v>190</v>
      </c>
      <c r="E13" t="s">
        <v>10</v>
      </c>
      <c r="F13" t="s">
        <v>21</v>
      </c>
      <c r="G13" t="s">
        <v>185</v>
      </c>
      <c r="H13" t="s">
        <v>186</v>
      </c>
      <c r="J13" t="s">
        <v>189</v>
      </c>
      <c r="K13" t="s">
        <v>231</v>
      </c>
      <c r="L13">
        <v>8.2500000000000004E-3</v>
      </c>
      <c r="M13">
        <v>0.19633772999999999</v>
      </c>
      <c r="N13">
        <v>3</v>
      </c>
    </row>
    <row r="14" spans="2:14">
      <c r="B14" t="s">
        <v>182</v>
      </c>
      <c r="C14" t="s">
        <v>191</v>
      </c>
      <c r="D14" t="s">
        <v>192</v>
      </c>
      <c r="E14" t="s">
        <v>10</v>
      </c>
      <c r="F14" t="s">
        <v>21</v>
      </c>
      <c r="G14" t="s">
        <v>185</v>
      </c>
      <c r="H14" t="s">
        <v>186</v>
      </c>
      <c r="J14" t="s">
        <v>191</v>
      </c>
      <c r="K14" t="s">
        <v>231</v>
      </c>
      <c r="L14">
        <v>0.13950000000000001</v>
      </c>
      <c r="M14">
        <v>0.19528572999999999</v>
      </c>
      <c r="N14">
        <v>2</v>
      </c>
    </row>
    <row r="15" spans="2:14">
      <c r="B15" t="s">
        <v>182</v>
      </c>
      <c r="C15" t="s">
        <v>193</v>
      </c>
      <c r="D15" t="s">
        <v>194</v>
      </c>
      <c r="E15" t="s">
        <v>10</v>
      </c>
      <c r="F15" t="s">
        <v>21</v>
      </c>
      <c r="G15" t="s">
        <v>185</v>
      </c>
      <c r="H15" t="s">
        <v>186</v>
      </c>
      <c r="J15" t="s">
        <v>193</v>
      </c>
      <c r="K15" t="s">
        <v>231</v>
      </c>
      <c r="L15">
        <v>0.27900000000000003</v>
      </c>
      <c r="M15">
        <v>0.191499945</v>
      </c>
      <c r="N15">
        <v>1</v>
      </c>
    </row>
    <row r="16" spans="2:14">
      <c r="B16" t="s">
        <v>182</v>
      </c>
      <c r="C16" t="s">
        <v>195</v>
      </c>
      <c r="D16" t="s">
        <v>196</v>
      </c>
      <c r="E16" t="s">
        <v>10</v>
      </c>
      <c r="F16" t="s">
        <v>21</v>
      </c>
      <c r="G16" t="s">
        <v>185</v>
      </c>
      <c r="H16" t="s">
        <v>186</v>
      </c>
      <c r="J16" t="s">
        <v>195</v>
      </c>
      <c r="K16" t="s">
        <v>231</v>
      </c>
      <c r="L16">
        <v>1.125E-2</v>
      </c>
      <c r="M16">
        <v>0.19011715400000001</v>
      </c>
      <c r="N16">
        <v>2</v>
      </c>
    </row>
    <row r="17" spans="2:14">
      <c r="B17" t="s">
        <v>182</v>
      </c>
      <c r="C17" t="s">
        <v>197</v>
      </c>
      <c r="D17" t="s">
        <v>198</v>
      </c>
      <c r="E17" t="s">
        <v>10</v>
      </c>
      <c r="F17" t="s">
        <v>21</v>
      </c>
      <c r="G17" t="s">
        <v>185</v>
      </c>
      <c r="H17" t="s">
        <v>186</v>
      </c>
      <c r="J17" t="s">
        <v>197</v>
      </c>
      <c r="K17" t="s">
        <v>231</v>
      </c>
      <c r="L17">
        <v>0.45524999999999999</v>
      </c>
      <c r="M17">
        <v>0.18992324199999999</v>
      </c>
      <c r="N17">
        <v>3</v>
      </c>
    </row>
    <row r="18" spans="2:14">
      <c r="B18" t="s">
        <v>182</v>
      </c>
      <c r="C18" t="s">
        <v>199</v>
      </c>
      <c r="D18" t="s">
        <v>200</v>
      </c>
      <c r="E18" t="s">
        <v>10</v>
      </c>
      <c r="F18" t="s">
        <v>21</v>
      </c>
      <c r="G18" t="s">
        <v>185</v>
      </c>
      <c r="H18" t="s">
        <v>186</v>
      </c>
      <c r="J18" t="s">
        <v>199</v>
      </c>
      <c r="K18" t="s">
        <v>231</v>
      </c>
      <c r="L18">
        <v>2.2499999999999998E-3</v>
      </c>
      <c r="M18">
        <v>0.184571821</v>
      </c>
      <c r="N18">
        <v>5</v>
      </c>
    </row>
    <row r="19" spans="2:14">
      <c r="B19" t="s">
        <v>182</v>
      </c>
      <c r="C19" t="s">
        <v>201</v>
      </c>
      <c r="D19" t="s">
        <v>202</v>
      </c>
      <c r="E19" t="s">
        <v>10</v>
      </c>
      <c r="F19" t="s">
        <v>21</v>
      </c>
      <c r="G19" t="s">
        <v>185</v>
      </c>
      <c r="H19" t="s">
        <v>186</v>
      </c>
      <c r="J19" t="s">
        <v>201</v>
      </c>
      <c r="K19" t="s">
        <v>231</v>
      </c>
      <c r="L19">
        <v>1.35E-2</v>
      </c>
      <c r="M19">
        <v>0.18124375000000001</v>
      </c>
      <c r="N19">
        <v>2</v>
      </c>
    </row>
    <row r="20" spans="2:14">
      <c r="B20" t="s">
        <v>182</v>
      </c>
      <c r="C20" t="s">
        <v>203</v>
      </c>
      <c r="D20" t="s">
        <v>204</v>
      </c>
      <c r="E20" t="s">
        <v>10</v>
      </c>
      <c r="F20" t="s">
        <v>21</v>
      </c>
      <c r="G20" t="s">
        <v>185</v>
      </c>
      <c r="H20" t="s">
        <v>186</v>
      </c>
      <c r="J20" t="s">
        <v>203</v>
      </c>
      <c r="K20" t="s">
        <v>231</v>
      </c>
      <c r="L20">
        <v>0.76875000000000004</v>
      </c>
      <c r="M20">
        <v>0.17643770207804879</v>
      </c>
      <c r="N20">
        <v>1</v>
      </c>
    </row>
    <row r="21" spans="2:14">
      <c r="B21" t="s">
        <v>182</v>
      </c>
      <c r="C21" t="s">
        <v>205</v>
      </c>
      <c r="D21" t="s">
        <v>206</v>
      </c>
      <c r="E21" t="s">
        <v>10</v>
      </c>
      <c r="F21" t="s">
        <v>21</v>
      </c>
      <c r="G21" t="s">
        <v>185</v>
      </c>
      <c r="H21" t="s">
        <v>186</v>
      </c>
      <c r="J21" t="s">
        <v>205</v>
      </c>
      <c r="K21" t="s">
        <v>231</v>
      </c>
      <c r="L21">
        <v>0.48225000000000001</v>
      </c>
      <c r="M21">
        <v>0.17614020399999999</v>
      </c>
      <c r="N21">
        <v>3</v>
      </c>
    </row>
    <row r="22" spans="2:14">
      <c r="B22" t="s">
        <v>182</v>
      </c>
      <c r="C22" t="s">
        <v>207</v>
      </c>
      <c r="D22" t="s">
        <v>208</v>
      </c>
      <c r="E22" t="s">
        <v>10</v>
      </c>
      <c r="F22" t="s">
        <v>21</v>
      </c>
      <c r="G22" t="s">
        <v>185</v>
      </c>
      <c r="H22" t="s">
        <v>186</v>
      </c>
      <c r="J22" t="s">
        <v>207</v>
      </c>
      <c r="K22" t="s">
        <v>231</v>
      </c>
      <c r="L22">
        <v>0.747</v>
      </c>
      <c r="M22">
        <v>0.17519485900000001</v>
      </c>
      <c r="N22">
        <v>4</v>
      </c>
    </row>
    <row r="23" spans="2:14">
      <c r="B23" t="s">
        <v>182</v>
      </c>
      <c r="C23" t="s">
        <v>209</v>
      </c>
      <c r="D23" t="s">
        <v>210</v>
      </c>
      <c r="E23" t="s">
        <v>10</v>
      </c>
      <c r="F23" t="s">
        <v>21</v>
      </c>
      <c r="G23" t="s">
        <v>185</v>
      </c>
      <c r="H23" t="s">
        <v>186</v>
      </c>
      <c r="J23" t="s">
        <v>209</v>
      </c>
      <c r="K23" t="s">
        <v>231</v>
      </c>
      <c r="L23">
        <v>2.3692500000000001</v>
      </c>
      <c r="M23">
        <v>0.17487833899999999</v>
      </c>
      <c r="N23">
        <v>1</v>
      </c>
    </row>
    <row r="24" spans="2:14">
      <c r="B24" t="s">
        <v>182</v>
      </c>
      <c r="C24" t="s">
        <v>211</v>
      </c>
      <c r="D24" t="s">
        <v>212</v>
      </c>
      <c r="E24" t="s">
        <v>10</v>
      </c>
      <c r="F24" t="s">
        <v>21</v>
      </c>
      <c r="G24" t="s">
        <v>185</v>
      </c>
      <c r="H24" t="s">
        <v>186</v>
      </c>
      <c r="J24" t="s">
        <v>211</v>
      </c>
      <c r="K24" t="s">
        <v>231</v>
      </c>
      <c r="L24">
        <v>2.7719999999999998</v>
      </c>
      <c r="M24">
        <v>0.17244794099999999</v>
      </c>
      <c r="N24">
        <v>2</v>
      </c>
    </row>
    <row r="25" spans="2:14">
      <c r="B25" t="s">
        <v>182</v>
      </c>
      <c r="C25" t="s">
        <v>213</v>
      </c>
      <c r="D25" t="s">
        <v>214</v>
      </c>
      <c r="E25" t="s">
        <v>10</v>
      </c>
      <c r="F25" t="s">
        <v>21</v>
      </c>
      <c r="G25" t="s">
        <v>185</v>
      </c>
      <c r="H25" t="s">
        <v>186</v>
      </c>
      <c r="J25" t="s">
        <v>213</v>
      </c>
      <c r="K25" t="s">
        <v>231</v>
      </c>
      <c r="L25">
        <v>1.9815</v>
      </c>
      <c r="M25">
        <v>0.16962670899999999</v>
      </c>
      <c r="N25">
        <v>4</v>
      </c>
    </row>
    <row r="26" spans="2:14">
      <c r="B26" t="s">
        <v>182</v>
      </c>
      <c r="C26" t="s">
        <v>215</v>
      </c>
      <c r="D26" t="s">
        <v>216</v>
      </c>
      <c r="E26" t="s">
        <v>10</v>
      </c>
      <c r="F26" t="s">
        <v>21</v>
      </c>
      <c r="G26" t="s">
        <v>185</v>
      </c>
      <c r="H26" t="s">
        <v>186</v>
      </c>
      <c r="J26" t="s">
        <v>215</v>
      </c>
      <c r="K26" t="s">
        <v>231</v>
      </c>
      <c r="L26">
        <v>3.6675</v>
      </c>
      <c r="M26">
        <v>0.16684649599999998</v>
      </c>
      <c r="N26">
        <v>3</v>
      </c>
    </row>
    <row r="27" spans="2:14">
      <c r="B27" t="s">
        <v>182</v>
      </c>
      <c r="C27" t="s">
        <v>217</v>
      </c>
      <c r="D27" t="s">
        <v>218</v>
      </c>
      <c r="E27" t="s">
        <v>10</v>
      </c>
      <c r="F27" t="s">
        <v>21</v>
      </c>
      <c r="G27" t="s">
        <v>185</v>
      </c>
      <c r="H27" t="s">
        <v>186</v>
      </c>
      <c r="J27" t="s">
        <v>217</v>
      </c>
      <c r="K27" t="s">
        <v>231</v>
      </c>
      <c r="L27">
        <v>7.47525</v>
      </c>
      <c r="M27">
        <v>0.16401564627330192</v>
      </c>
      <c r="N27">
        <v>1</v>
      </c>
    </row>
    <row r="28" spans="2:14">
      <c r="B28" t="s">
        <v>182</v>
      </c>
      <c r="C28" t="s">
        <v>219</v>
      </c>
      <c r="D28" t="s">
        <v>220</v>
      </c>
      <c r="E28" t="s">
        <v>10</v>
      </c>
      <c r="F28" t="s">
        <v>21</v>
      </c>
      <c r="G28" t="s">
        <v>185</v>
      </c>
      <c r="H28" t="s">
        <v>186</v>
      </c>
      <c r="J28" t="s">
        <v>219</v>
      </c>
      <c r="K28" t="s">
        <v>231</v>
      </c>
      <c r="L28">
        <v>3.5550000000000002</v>
      </c>
      <c r="M28">
        <v>0.16076159100000001</v>
      </c>
      <c r="N28">
        <v>4</v>
      </c>
    </row>
    <row r="29" spans="2:14">
      <c r="B29" t="s">
        <v>182</v>
      </c>
      <c r="C29" t="s">
        <v>221</v>
      </c>
      <c r="D29" t="s">
        <v>222</v>
      </c>
      <c r="E29" t="s">
        <v>10</v>
      </c>
      <c r="F29" t="s">
        <v>21</v>
      </c>
      <c r="G29" t="s">
        <v>185</v>
      </c>
      <c r="H29" t="s">
        <v>186</v>
      </c>
      <c r="J29" t="s">
        <v>221</v>
      </c>
      <c r="K29" t="s">
        <v>231</v>
      </c>
      <c r="L29">
        <v>6.1710000000000003</v>
      </c>
      <c r="M29">
        <v>0.1600213561623724</v>
      </c>
      <c r="N29">
        <v>2</v>
      </c>
    </row>
    <row r="30" spans="2:14">
      <c r="B30" t="s">
        <v>182</v>
      </c>
      <c r="C30" t="s">
        <v>223</v>
      </c>
      <c r="D30" t="s">
        <v>224</v>
      </c>
      <c r="E30" t="s">
        <v>10</v>
      </c>
      <c r="F30" t="s">
        <v>21</v>
      </c>
      <c r="G30" t="s">
        <v>185</v>
      </c>
      <c r="H30" t="s">
        <v>186</v>
      </c>
      <c r="J30" t="s">
        <v>223</v>
      </c>
      <c r="K30" t="s">
        <v>231</v>
      </c>
      <c r="L30">
        <v>2.6587499999999999</v>
      </c>
      <c r="M30">
        <v>0.15882470100000001</v>
      </c>
      <c r="N30">
        <v>5</v>
      </c>
    </row>
    <row r="31" spans="2:14">
      <c r="B31" t="s">
        <v>182</v>
      </c>
      <c r="C31" t="s">
        <v>225</v>
      </c>
      <c r="D31" t="s">
        <v>226</v>
      </c>
      <c r="E31" t="s">
        <v>10</v>
      </c>
      <c r="F31" t="s">
        <v>21</v>
      </c>
      <c r="G31" t="s">
        <v>185</v>
      </c>
      <c r="H31" t="s">
        <v>186</v>
      </c>
      <c r="J31" t="s">
        <v>225</v>
      </c>
      <c r="K31" t="s">
        <v>231</v>
      </c>
      <c r="L31">
        <v>9.3562499999999993</v>
      </c>
      <c r="M31">
        <v>0.15802575720112225</v>
      </c>
      <c r="N31">
        <v>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21415E-4BD0-4CF7-B463-086B35B46A88}">
  <dimension ref="B9:AB31"/>
  <sheetViews>
    <sheetView workbookViewId="0"/>
  </sheetViews>
  <sheetFormatPr defaultRowHeight="14.25"/>
  <sheetData>
    <row r="9" spans="2:28">
      <c r="B9" t="s">
        <v>163</v>
      </c>
      <c r="J9" t="s">
        <v>174</v>
      </c>
      <c r="P9" t="s">
        <v>163</v>
      </c>
      <c r="X9" t="s">
        <v>174</v>
      </c>
    </row>
    <row r="10" spans="2:28">
      <c r="B10" t="s">
        <v>178</v>
      </c>
      <c r="C10" t="s">
        <v>164</v>
      </c>
      <c r="D10" t="s">
        <v>165</v>
      </c>
      <c r="E10" t="s">
        <v>179</v>
      </c>
      <c r="F10" t="s">
        <v>180</v>
      </c>
      <c r="G10" t="s">
        <v>166</v>
      </c>
      <c r="H10" t="s">
        <v>181</v>
      </c>
      <c r="J10" t="s">
        <v>164</v>
      </c>
      <c r="K10" t="s">
        <v>227</v>
      </c>
      <c r="L10" t="s">
        <v>228</v>
      </c>
      <c r="M10" t="s">
        <v>229</v>
      </c>
      <c r="N10" t="s">
        <v>230</v>
      </c>
      <c r="P10" t="s">
        <v>178</v>
      </c>
      <c r="Q10" t="s">
        <v>164</v>
      </c>
      <c r="R10" t="s">
        <v>165</v>
      </c>
      <c r="S10" t="s">
        <v>179</v>
      </c>
      <c r="T10" t="s">
        <v>180</v>
      </c>
      <c r="U10" t="s">
        <v>166</v>
      </c>
      <c r="V10" t="s">
        <v>181</v>
      </c>
      <c r="X10" t="s">
        <v>164</v>
      </c>
      <c r="Y10" t="s">
        <v>227</v>
      </c>
      <c r="Z10" t="s">
        <v>228</v>
      </c>
      <c r="AA10" t="s">
        <v>229</v>
      </c>
      <c r="AB10" t="s">
        <v>230</v>
      </c>
    </row>
    <row r="11" spans="2:28">
      <c r="B11" t="s">
        <v>182</v>
      </c>
      <c r="C11" t="s">
        <v>232</v>
      </c>
      <c r="D11" t="s">
        <v>233</v>
      </c>
      <c r="E11" t="s">
        <v>10</v>
      </c>
      <c r="F11" t="s">
        <v>21</v>
      </c>
      <c r="G11" t="s">
        <v>185</v>
      </c>
      <c r="H11" t="s">
        <v>186</v>
      </c>
      <c r="J11" t="s">
        <v>232</v>
      </c>
      <c r="K11" t="s">
        <v>274</v>
      </c>
      <c r="L11">
        <v>7.5884999999999998</v>
      </c>
      <c r="M11">
        <v>0.18337776623437799</v>
      </c>
      <c r="N11">
        <v>1</v>
      </c>
    </row>
    <row r="12" spans="2:28">
      <c r="B12" t="s">
        <v>182</v>
      </c>
      <c r="C12" t="s">
        <v>234</v>
      </c>
      <c r="D12" t="s">
        <v>235</v>
      </c>
      <c r="E12" t="s">
        <v>10</v>
      </c>
      <c r="F12" t="s">
        <v>21</v>
      </c>
      <c r="G12" t="s">
        <v>185</v>
      </c>
      <c r="H12" t="s">
        <v>186</v>
      </c>
      <c r="J12" t="s">
        <v>234</v>
      </c>
      <c r="K12" t="s">
        <v>274</v>
      </c>
      <c r="L12">
        <v>7.6980000000000004</v>
      </c>
      <c r="M12">
        <v>0.15124373583078471</v>
      </c>
      <c r="N12">
        <v>1</v>
      </c>
    </row>
    <row r="13" spans="2:28">
      <c r="B13" t="s">
        <v>182</v>
      </c>
      <c r="C13" t="s">
        <v>236</v>
      </c>
      <c r="D13" t="s">
        <v>237</v>
      </c>
      <c r="E13" t="s">
        <v>10</v>
      </c>
      <c r="F13" t="s">
        <v>21</v>
      </c>
      <c r="G13" t="s">
        <v>185</v>
      </c>
      <c r="H13" t="s">
        <v>186</v>
      </c>
      <c r="J13" t="s">
        <v>236</v>
      </c>
      <c r="K13" t="s">
        <v>274</v>
      </c>
      <c r="L13">
        <v>6.7035</v>
      </c>
      <c r="M13">
        <v>0.10904849809575221</v>
      </c>
      <c r="N13">
        <v>1</v>
      </c>
    </row>
    <row r="14" spans="2:28">
      <c r="B14" t="s">
        <v>182</v>
      </c>
      <c r="C14" t="s">
        <v>238</v>
      </c>
      <c r="D14" t="s">
        <v>239</v>
      </c>
      <c r="E14" t="s">
        <v>10</v>
      </c>
      <c r="F14" t="s">
        <v>21</v>
      </c>
      <c r="G14" t="s">
        <v>185</v>
      </c>
      <c r="H14" t="s">
        <v>186</v>
      </c>
      <c r="J14" t="s">
        <v>238</v>
      </c>
      <c r="K14" t="s">
        <v>274</v>
      </c>
      <c r="L14">
        <v>7.4332500000000001</v>
      </c>
      <c r="M14">
        <v>9.4605520907724894E-2</v>
      </c>
      <c r="N14">
        <v>1</v>
      </c>
    </row>
    <row r="15" spans="2:28">
      <c r="B15" t="s">
        <v>182</v>
      </c>
      <c r="C15" t="s">
        <v>240</v>
      </c>
      <c r="D15" t="s">
        <v>241</v>
      </c>
      <c r="E15" t="s">
        <v>10</v>
      </c>
      <c r="F15" t="s">
        <v>21</v>
      </c>
      <c r="G15" t="s">
        <v>185</v>
      </c>
      <c r="H15" t="s">
        <v>186</v>
      </c>
      <c r="J15" t="s">
        <v>240</v>
      </c>
      <c r="K15" t="s">
        <v>274</v>
      </c>
      <c r="L15">
        <v>6.3525</v>
      </c>
      <c r="M15">
        <v>9.1718896536609501E-2</v>
      </c>
      <c r="N15">
        <v>2</v>
      </c>
    </row>
    <row r="16" spans="2:28">
      <c r="B16" t="s">
        <v>182</v>
      </c>
      <c r="C16" t="s">
        <v>242</v>
      </c>
      <c r="D16" t="s">
        <v>243</v>
      </c>
      <c r="E16" t="s">
        <v>10</v>
      </c>
      <c r="F16" t="s">
        <v>21</v>
      </c>
      <c r="G16" t="s">
        <v>185</v>
      </c>
      <c r="H16" t="s">
        <v>186</v>
      </c>
      <c r="J16" t="s">
        <v>242</v>
      </c>
      <c r="K16" t="s">
        <v>274</v>
      </c>
      <c r="L16">
        <v>7.33575</v>
      </c>
      <c r="M16">
        <v>8.4808315126564907E-2</v>
      </c>
      <c r="N16">
        <v>1</v>
      </c>
    </row>
    <row r="17" spans="2:14">
      <c r="B17" t="s">
        <v>182</v>
      </c>
      <c r="C17" t="s">
        <v>244</v>
      </c>
      <c r="D17" t="s">
        <v>245</v>
      </c>
      <c r="E17" t="s">
        <v>10</v>
      </c>
      <c r="F17" t="s">
        <v>21</v>
      </c>
      <c r="G17" t="s">
        <v>185</v>
      </c>
      <c r="H17" t="s">
        <v>186</v>
      </c>
      <c r="J17" t="s">
        <v>244</v>
      </c>
      <c r="K17" t="s">
        <v>274</v>
      </c>
      <c r="L17">
        <v>6.7882499999999997</v>
      </c>
      <c r="M17">
        <v>7.537980374929E-2</v>
      </c>
      <c r="N17">
        <v>2</v>
      </c>
    </row>
    <row r="18" spans="2:14">
      <c r="B18" t="s">
        <v>182</v>
      </c>
      <c r="C18" t="s">
        <v>246</v>
      </c>
      <c r="D18" t="s">
        <v>247</v>
      </c>
      <c r="E18" t="s">
        <v>10</v>
      </c>
      <c r="F18" t="s">
        <v>21</v>
      </c>
      <c r="G18" t="s">
        <v>185</v>
      </c>
      <c r="H18" t="s">
        <v>186</v>
      </c>
      <c r="J18" t="s">
        <v>246</v>
      </c>
      <c r="K18" t="s">
        <v>274</v>
      </c>
      <c r="L18">
        <v>6.1920000000000002</v>
      </c>
      <c r="M18">
        <v>5.6562862859018202E-2</v>
      </c>
      <c r="N18">
        <v>1</v>
      </c>
    </row>
    <row r="19" spans="2:14">
      <c r="B19" t="s">
        <v>182</v>
      </c>
      <c r="C19" t="s">
        <v>248</v>
      </c>
      <c r="D19" t="s">
        <v>249</v>
      </c>
      <c r="E19" t="s">
        <v>10</v>
      </c>
      <c r="F19" t="s">
        <v>21</v>
      </c>
      <c r="G19" t="s">
        <v>185</v>
      </c>
      <c r="H19" t="s">
        <v>186</v>
      </c>
      <c r="J19" t="s">
        <v>248</v>
      </c>
      <c r="K19" t="s">
        <v>274</v>
      </c>
      <c r="L19">
        <v>4.8682499999999997</v>
      </c>
      <c r="M19">
        <v>3.5737648954593297E-2</v>
      </c>
      <c r="N19">
        <v>1</v>
      </c>
    </row>
    <row r="20" spans="2:14">
      <c r="B20" t="s">
        <v>182</v>
      </c>
      <c r="C20" t="s">
        <v>250</v>
      </c>
      <c r="D20" t="s">
        <v>251</v>
      </c>
      <c r="E20" t="s">
        <v>10</v>
      </c>
      <c r="F20" t="s">
        <v>21</v>
      </c>
      <c r="G20" t="s">
        <v>185</v>
      </c>
      <c r="H20" t="s">
        <v>186</v>
      </c>
      <c r="J20" t="s">
        <v>250</v>
      </c>
      <c r="K20" t="s">
        <v>274</v>
      </c>
      <c r="L20">
        <v>3.3975</v>
      </c>
      <c r="M20">
        <v>3.4340724851371601E-2</v>
      </c>
      <c r="N20">
        <v>2</v>
      </c>
    </row>
    <row r="21" spans="2:14">
      <c r="B21" t="s">
        <v>182</v>
      </c>
      <c r="C21" t="s">
        <v>252</v>
      </c>
      <c r="D21" t="s">
        <v>253</v>
      </c>
      <c r="E21" t="s">
        <v>10</v>
      </c>
      <c r="F21" t="s">
        <v>21</v>
      </c>
      <c r="G21" t="s">
        <v>185</v>
      </c>
      <c r="H21" t="s">
        <v>186</v>
      </c>
      <c r="J21" t="s">
        <v>252</v>
      </c>
      <c r="K21" t="s">
        <v>274</v>
      </c>
      <c r="L21">
        <v>4.6582499999999998</v>
      </c>
      <c r="M21">
        <v>3.3416012310939797E-2</v>
      </c>
      <c r="N21">
        <v>1</v>
      </c>
    </row>
    <row r="22" spans="2:14">
      <c r="B22" t="s">
        <v>182</v>
      </c>
      <c r="C22" t="s">
        <v>254</v>
      </c>
      <c r="D22" t="s">
        <v>255</v>
      </c>
      <c r="E22" t="s">
        <v>10</v>
      </c>
      <c r="F22" t="s">
        <v>21</v>
      </c>
      <c r="G22" t="s">
        <v>185</v>
      </c>
      <c r="H22" t="s">
        <v>186</v>
      </c>
      <c r="J22" t="s">
        <v>254</v>
      </c>
      <c r="K22" t="s">
        <v>274</v>
      </c>
      <c r="L22">
        <v>2.9737499999999999</v>
      </c>
      <c r="M22">
        <v>2.1682676131496301E-2</v>
      </c>
      <c r="N22">
        <v>4</v>
      </c>
    </row>
    <row r="23" spans="2:14">
      <c r="B23" t="s">
        <v>182</v>
      </c>
      <c r="C23" t="s">
        <v>256</v>
      </c>
      <c r="D23" t="s">
        <v>257</v>
      </c>
      <c r="E23" t="s">
        <v>10</v>
      </c>
      <c r="F23" t="s">
        <v>21</v>
      </c>
      <c r="G23" t="s">
        <v>185</v>
      </c>
      <c r="H23" t="s">
        <v>186</v>
      </c>
      <c r="J23" t="s">
        <v>256</v>
      </c>
      <c r="K23" t="s">
        <v>274</v>
      </c>
      <c r="L23">
        <v>1.6125</v>
      </c>
      <c r="M23">
        <v>2.0268829793247678E-2</v>
      </c>
      <c r="N23">
        <v>2</v>
      </c>
    </row>
    <row r="24" spans="2:14">
      <c r="B24" t="s">
        <v>182</v>
      </c>
      <c r="C24" t="s">
        <v>258</v>
      </c>
      <c r="D24" t="s">
        <v>259</v>
      </c>
      <c r="E24" t="s">
        <v>10</v>
      </c>
      <c r="F24" t="s">
        <v>21</v>
      </c>
      <c r="G24" t="s">
        <v>185</v>
      </c>
      <c r="H24" t="s">
        <v>186</v>
      </c>
      <c r="J24" t="s">
        <v>258</v>
      </c>
      <c r="K24" t="s">
        <v>274</v>
      </c>
      <c r="L24">
        <v>0.10725</v>
      </c>
      <c r="M24">
        <v>1.8369649268974501E-2</v>
      </c>
      <c r="N24">
        <v>5</v>
      </c>
    </row>
    <row r="25" spans="2:14">
      <c r="B25" t="s">
        <v>182</v>
      </c>
      <c r="C25" t="s">
        <v>260</v>
      </c>
      <c r="D25" t="s">
        <v>261</v>
      </c>
      <c r="E25" t="s">
        <v>10</v>
      </c>
      <c r="F25" t="s">
        <v>21</v>
      </c>
      <c r="G25" t="s">
        <v>185</v>
      </c>
      <c r="H25" t="s">
        <v>186</v>
      </c>
      <c r="J25" t="s">
        <v>260</v>
      </c>
      <c r="K25" t="s">
        <v>274</v>
      </c>
      <c r="L25">
        <v>1.3042499999999999</v>
      </c>
      <c r="M25">
        <v>1.8084835495698726E-2</v>
      </c>
      <c r="N25">
        <v>1</v>
      </c>
    </row>
    <row r="26" spans="2:14">
      <c r="B26" t="s">
        <v>182</v>
      </c>
      <c r="C26" t="s">
        <v>262</v>
      </c>
      <c r="D26" t="s">
        <v>263</v>
      </c>
      <c r="E26" t="s">
        <v>10</v>
      </c>
      <c r="F26" t="s">
        <v>21</v>
      </c>
      <c r="G26" t="s">
        <v>185</v>
      </c>
      <c r="H26" t="s">
        <v>186</v>
      </c>
      <c r="J26" t="s">
        <v>262</v>
      </c>
      <c r="K26" t="s">
        <v>274</v>
      </c>
      <c r="L26">
        <v>0.46800000000000003</v>
      </c>
      <c r="M26">
        <v>1.50049887647238E-2</v>
      </c>
      <c r="N26">
        <v>3</v>
      </c>
    </row>
    <row r="27" spans="2:14">
      <c r="B27" t="s">
        <v>182</v>
      </c>
      <c r="C27" t="s">
        <v>264</v>
      </c>
      <c r="D27" t="s">
        <v>265</v>
      </c>
      <c r="E27" t="s">
        <v>10</v>
      </c>
      <c r="F27" t="s">
        <v>21</v>
      </c>
      <c r="G27" t="s">
        <v>185</v>
      </c>
      <c r="H27" t="s">
        <v>186</v>
      </c>
      <c r="J27" t="s">
        <v>264</v>
      </c>
      <c r="K27" t="s">
        <v>274</v>
      </c>
      <c r="L27">
        <v>0.183</v>
      </c>
      <c r="M27">
        <v>1.32900004537707E-2</v>
      </c>
      <c r="N27">
        <v>5</v>
      </c>
    </row>
    <row r="28" spans="2:14">
      <c r="B28" t="s">
        <v>182</v>
      </c>
      <c r="C28" t="s">
        <v>266</v>
      </c>
      <c r="D28" t="s">
        <v>267</v>
      </c>
      <c r="E28" t="s">
        <v>10</v>
      </c>
      <c r="F28" t="s">
        <v>21</v>
      </c>
      <c r="G28" t="s">
        <v>185</v>
      </c>
      <c r="H28" t="s">
        <v>186</v>
      </c>
      <c r="J28" t="s">
        <v>266</v>
      </c>
      <c r="K28" t="s">
        <v>274</v>
      </c>
      <c r="L28">
        <v>1.6507499999999999</v>
      </c>
      <c r="M28">
        <v>1.3102762881452496E-2</v>
      </c>
      <c r="N28">
        <v>2</v>
      </c>
    </row>
    <row r="29" spans="2:14">
      <c r="B29" t="s">
        <v>182</v>
      </c>
      <c r="C29" t="s">
        <v>268</v>
      </c>
      <c r="D29" t="s">
        <v>269</v>
      </c>
      <c r="E29" t="s">
        <v>10</v>
      </c>
      <c r="F29" t="s">
        <v>21</v>
      </c>
      <c r="G29" t="s">
        <v>185</v>
      </c>
      <c r="H29" t="s">
        <v>186</v>
      </c>
      <c r="J29" t="s">
        <v>268</v>
      </c>
      <c r="K29" t="s">
        <v>274</v>
      </c>
      <c r="L29">
        <v>1.2615000000000001</v>
      </c>
      <c r="M29">
        <v>1.0887589015734001E-2</v>
      </c>
      <c r="N29">
        <v>4</v>
      </c>
    </row>
    <row r="30" spans="2:14">
      <c r="B30" t="s">
        <v>182</v>
      </c>
      <c r="C30" t="s">
        <v>270</v>
      </c>
      <c r="D30" t="s">
        <v>271</v>
      </c>
      <c r="E30" t="s">
        <v>10</v>
      </c>
      <c r="F30" t="s">
        <v>21</v>
      </c>
      <c r="G30" t="s">
        <v>185</v>
      </c>
      <c r="H30" t="s">
        <v>186</v>
      </c>
      <c r="J30" t="s">
        <v>270</v>
      </c>
      <c r="K30" t="s">
        <v>274</v>
      </c>
      <c r="L30">
        <v>0.65925</v>
      </c>
      <c r="M30">
        <v>1.0878132580914582E-2</v>
      </c>
      <c r="N30">
        <v>1</v>
      </c>
    </row>
    <row r="31" spans="2:14">
      <c r="B31" t="s">
        <v>182</v>
      </c>
      <c r="C31" t="s">
        <v>272</v>
      </c>
      <c r="D31" t="s">
        <v>273</v>
      </c>
      <c r="E31" t="s">
        <v>10</v>
      </c>
      <c r="F31" t="s">
        <v>21</v>
      </c>
      <c r="G31" t="s">
        <v>185</v>
      </c>
      <c r="H31" t="s">
        <v>186</v>
      </c>
      <c r="J31" t="s">
        <v>272</v>
      </c>
      <c r="K31" t="s">
        <v>274</v>
      </c>
      <c r="L31">
        <v>1.1745000000000001</v>
      </c>
      <c r="M31">
        <v>9.3365127205448963E-3</v>
      </c>
      <c r="N31">
        <v>3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773207-F680-405B-B337-8F2A6BDD7FF6}">
  <dimension ref="B9:P73"/>
  <sheetViews>
    <sheetView tabSelected="1" workbookViewId="0"/>
  </sheetViews>
  <sheetFormatPr defaultRowHeight="14.25"/>
  <sheetData>
    <row r="9" spans="2:16">
      <c r="B9" t="s">
        <v>174</v>
      </c>
      <c r="J9" t="s">
        <v>163</v>
      </c>
    </row>
    <row r="10" spans="2:16">
      <c r="B10" t="s">
        <v>164</v>
      </c>
      <c r="C10" t="s">
        <v>275</v>
      </c>
      <c r="D10" t="s">
        <v>227</v>
      </c>
      <c r="E10">
        <v>2023</v>
      </c>
      <c r="F10">
        <v>2030</v>
      </c>
      <c r="G10">
        <v>2050</v>
      </c>
      <c r="H10" t="s">
        <v>54</v>
      </c>
      <c r="J10" t="s">
        <v>178</v>
      </c>
      <c r="K10" t="s">
        <v>164</v>
      </c>
      <c r="L10" t="s">
        <v>165</v>
      </c>
      <c r="M10" t="s">
        <v>179</v>
      </c>
      <c r="N10" t="s">
        <v>180</v>
      </c>
      <c r="O10" t="s">
        <v>166</v>
      </c>
      <c r="P10" t="s">
        <v>181</v>
      </c>
    </row>
    <row r="11" spans="2:16">
      <c r="B11" t="s">
        <v>276</v>
      </c>
      <c r="C11" t="s">
        <v>31</v>
      </c>
      <c r="D11" t="s">
        <v>19</v>
      </c>
      <c r="E11">
        <v>0.30000000000000004</v>
      </c>
      <c r="F11">
        <v>0.30000000000000004</v>
      </c>
      <c r="G11">
        <v>0.30000000000000004</v>
      </c>
      <c r="H11" t="s">
        <v>146</v>
      </c>
      <c r="J11" t="s">
        <v>182</v>
      </c>
      <c r="K11" t="s">
        <v>276</v>
      </c>
      <c r="M11" t="s">
        <v>10</v>
      </c>
      <c r="N11" t="s">
        <v>21</v>
      </c>
      <c r="O11" t="s">
        <v>298</v>
      </c>
      <c r="P11" t="s">
        <v>299</v>
      </c>
    </row>
    <row r="12" spans="2:16">
      <c r="B12" t="s">
        <v>276</v>
      </c>
      <c r="C12" t="s">
        <v>31</v>
      </c>
      <c r="D12" t="s">
        <v>19</v>
      </c>
      <c r="E12">
        <v>0.60000000000000009</v>
      </c>
      <c r="F12">
        <v>0.60000000000000009</v>
      </c>
      <c r="G12">
        <v>0.60000000000000009</v>
      </c>
      <c r="H12" t="s">
        <v>277</v>
      </c>
      <c r="J12" t="s">
        <v>182</v>
      </c>
      <c r="K12" t="s">
        <v>281</v>
      </c>
      <c r="M12" t="s">
        <v>10</v>
      </c>
      <c r="N12" t="s">
        <v>21</v>
      </c>
      <c r="O12" t="s">
        <v>298</v>
      </c>
      <c r="P12" t="s">
        <v>299</v>
      </c>
    </row>
    <row r="13" spans="2:16">
      <c r="B13" t="s">
        <v>276</v>
      </c>
      <c r="C13" t="s">
        <v>31</v>
      </c>
      <c r="D13" t="s">
        <v>19</v>
      </c>
      <c r="E13">
        <v>5750</v>
      </c>
      <c r="F13">
        <v>5700</v>
      </c>
      <c r="G13">
        <v>5100</v>
      </c>
      <c r="H13" t="s">
        <v>278</v>
      </c>
      <c r="J13" t="s">
        <v>182</v>
      </c>
      <c r="K13" t="s">
        <v>282</v>
      </c>
      <c r="M13" t="s">
        <v>10</v>
      </c>
      <c r="N13" t="s">
        <v>21</v>
      </c>
      <c r="O13" t="s">
        <v>298</v>
      </c>
      <c r="P13" t="s">
        <v>299</v>
      </c>
    </row>
    <row r="14" spans="2:16">
      <c r="B14" t="s">
        <v>276</v>
      </c>
      <c r="C14" t="s">
        <v>31</v>
      </c>
      <c r="D14" t="s">
        <v>19</v>
      </c>
      <c r="E14">
        <v>200</v>
      </c>
      <c r="F14">
        <v>200</v>
      </c>
      <c r="G14">
        <v>175</v>
      </c>
      <c r="H14" t="s">
        <v>279</v>
      </c>
      <c r="J14" t="s">
        <v>182</v>
      </c>
      <c r="K14" t="s">
        <v>283</v>
      </c>
      <c r="M14" t="s">
        <v>10</v>
      </c>
      <c r="N14" t="s">
        <v>21</v>
      </c>
      <c r="O14" t="s">
        <v>298</v>
      </c>
      <c r="P14" t="s">
        <v>299</v>
      </c>
    </row>
    <row r="15" spans="2:16">
      <c r="B15" t="s">
        <v>276</v>
      </c>
      <c r="C15" t="s">
        <v>31</v>
      </c>
      <c r="D15" t="s">
        <v>19</v>
      </c>
      <c r="E15">
        <v>3</v>
      </c>
      <c r="F15">
        <v>3</v>
      </c>
      <c r="G15">
        <v>3</v>
      </c>
      <c r="H15" t="s">
        <v>280</v>
      </c>
      <c r="J15" t="s">
        <v>182</v>
      </c>
      <c r="K15" t="s">
        <v>284</v>
      </c>
      <c r="M15" t="s">
        <v>10</v>
      </c>
      <c r="N15" t="s">
        <v>21</v>
      </c>
      <c r="O15" t="s">
        <v>298</v>
      </c>
      <c r="P15" t="s">
        <v>299</v>
      </c>
    </row>
    <row r="16" spans="2:16">
      <c r="B16" t="s">
        <v>281</v>
      </c>
      <c r="C16" t="s">
        <v>31</v>
      </c>
      <c r="D16" t="s">
        <v>19</v>
      </c>
      <c r="E16">
        <v>0.35000000000000003</v>
      </c>
      <c r="F16">
        <v>0.35000000000000003</v>
      </c>
      <c r="G16">
        <v>0.35000000000000003</v>
      </c>
      <c r="H16" t="s">
        <v>146</v>
      </c>
      <c r="J16" t="s">
        <v>182</v>
      </c>
      <c r="K16" t="s">
        <v>285</v>
      </c>
      <c r="M16" t="s">
        <v>10</v>
      </c>
      <c r="N16" t="s">
        <v>21</v>
      </c>
      <c r="O16" t="s">
        <v>298</v>
      </c>
      <c r="P16" t="s">
        <v>299</v>
      </c>
    </row>
    <row r="17" spans="2:16">
      <c r="B17" t="s">
        <v>281</v>
      </c>
      <c r="C17" t="s">
        <v>31</v>
      </c>
      <c r="D17" t="s">
        <v>19</v>
      </c>
      <c r="E17">
        <v>0.60000000000000009</v>
      </c>
      <c r="F17">
        <v>0.60000000000000009</v>
      </c>
      <c r="G17">
        <v>0.60000000000000009</v>
      </c>
      <c r="H17" t="s">
        <v>277</v>
      </c>
      <c r="J17" t="s">
        <v>182</v>
      </c>
      <c r="K17" t="s">
        <v>286</v>
      </c>
      <c r="M17" t="s">
        <v>10</v>
      </c>
      <c r="N17" t="s">
        <v>21</v>
      </c>
      <c r="O17" t="s">
        <v>298</v>
      </c>
      <c r="P17" t="s">
        <v>299</v>
      </c>
    </row>
    <row r="18" spans="2:16">
      <c r="B18" t="s">
        <v>281</v>
      </c>
      <c r="C18" t="s">
        <v>31</v>
      </c>
      <c r="D18" t="s">
        <v>19</v>
      </c>
      <c r="E18">
        <v>2400</v>
      </c>
      <c r="F18">
        <v>2350</v>
      </c>
      <c r="G18">
        <v>2300</v>
      </c>
      <c r="H18" t="s">
        <v>278</v>
      </c>
      <c r="J18" t="s">
        <v>182</v>
      </c>
      <c r="K18" t="s">
        <v>287</v>
      </c>
      <c r="M18" t="s">
        <v>10</v>
      </c>
      <c r="N18" t="s">
        <v>21</v>
      </c>
      <c r="O18" t="s">
        <v>298</v>
      </c>
      <c r="P18" t="s">
        <v>299</v>
      </c>
    </row>
    <row r="19" spans="2:16">
      <c r="B19" t="s">
        <v>281</v>
      </c>
      <c r="C19" t="s">
        <v>31</v>
      </c>
      <c r="D19" t="s">
        <v>19</v>
      </c>
      <c r="E19">
        <v>85</v>
      </c>
      <c r="F19">
        <v>85</v>
      </c>
      <c r="G19">
        <v>80</v>
      </c>
      <c r="H19" t="s">
        <v>279</v>
      </c>
      <c r="J19" t="s">
        <v>182</v>
      </c>
      <c r="K19" t="s">
        <v>288</v>
      </c>
      <c r="M19" t="s">
        <v>10</v>
      </c>
      <c r="N19" t="s">
        <v>21</v>
      </c>
      <c r="O19" t="s">
        <v>298</v>
      </c>
      <c r="P19" t="s">
        <v>299</v>
      </c>
    </row>
    <row r="20" spans="2:16">
      <c r="B20" t="s">
        <v>281</v>
      </c>
      <c r="C20" t="s">
        <v>31</v>
      </c>
      <c r="D20" t="s">
        <v>19</v>
      </c>
      <c r="E20">
        <v>3</v>
      </c>
      <c r="F20">
        <v>3</v>
      </c>
      <c r="G20">
        <v>3</v>
      </c>
      <c r="H20" t="s">
        <v>280</v>
      </c>
      <c r="J20" t="s">
        <v>182</v>
      </c>
      <c r="K20" t="s">
        <v>289</v>
      </c>
      <c r="M20" t="s">
        <v>10</v>
      </c>
      <c r="N20" t="s">
        <v>21</v>
      </c>
      <c r="O20" t="s">
        <v>298</v>
      </c>
      <c r="P20" t="s">
        <v>299</v>
      </c>
    </row>
    <row r="21" spans="2:16">
      <c r="B21" t="s">
        <v>282</v>
      </c>
      <c r="C21" t="s">
        <v>33</v>
      </c>
      <c r="D21" t="s">
        <v>19</v>
      </c>
      <c r="E21">
        <v>0.59</v>
      </c>
      <c r="F21">
        <v>0.6</v>
      </c>
      <c r="G21">
        <v>0.61</v>
      </c>
      <c r="H21" t="s">
        <v>146</v>
      </c>
      <c r="J21" t="s">
        <v>182</v>
      </c>
      <c r="K21" t="s">
        <v>290</v>
      </c>
      <c r="M21" t="s">
        <v>10</v>
      </c>
      <c r="N21" t="s">
        <v>21</v>
      </c>
      <c r="O21" t="s">
        <v>298</v>
      </c>
      <c r="P21" t="s">
        <v>299</v>
      </c>
    </row>
    <row r="22" spans="2:16">
      <c r="B22" t="s">
        <v>282</v>
      </c>
      <c r="C22" t="s">
        <v>33</v>
      </c>
      <c r="D22" t="s">
        <v>19</v>
      </c>
      <c r="E22">
        <v>1000</v>
      </c>
      <c r="F22">
        <v>1000</v>
      </c>
      <c r="G22">
        <v>1000</v>
      </c>
      <c r="H22" t="s">
        <v>278</v>
      </c>
      <c r="J22" t="s">
        <v>182</v>
      </c>
      <c r="K22" t="s">
        <v>291</v>
      </c>
      <c r="M22" t="s">
        <v>10</v>
      </c>
      <c r="N22" t="s">
        <v>21</v>
      </c>
      <c r="O22" t="s">
        <v>298</v>
      </c>
      <c r="P22" t="s">
        <v>299</v>
      </c>
    </row>
    <row r="23" spans="2:16">
      <c r="B23" t="s">
        <v>282</v>
      </c>
      <c r="C23" t="s">
        <v>33</v>
      </c>
      <c r="D23" t="s">
        <v>19</v>
      </c>
      <c r="E23">
        <v>25</v>
      </c>
      <c r="F23">
        <v>25</v>
      </c>
      <c r="G23">
        <v>25</v>
      </c>
      <c r="H23" t="s">
        <v>279</v>
      </c>
      <c r="J23" t="s">
        <v>182</v>
      </c>
      <c r="K23" t="s">
        <v>292</v>
      </c>
      <c r="M23" t="s">
        <v>10</v>
      </c>
      <c r="N23" t="s">
        <v>21</v>
      </c>
      <c r="O23" t="s">
        <v>298</v>
      </c>
      <c r="P23" t="s">
        <v>299</v>
      </c>
    </row>
    <row r="24" spans="2:16">
      <c r="B24" t="s">
        <v>283</v>
      </c>
      <c r="C24" t="s">
        <v>33</v>
      </c>
      <c r="D24" t="s">
        <v>19</v>
      </c>
      <c r="E24">
        <v>0.51</v>
      </c>
      <c r="F24">
        <v>0.52</v>
      </c>
      <c r="G24">
        <v>0.54</v>
      </c>
      <c r="H24" t="s">
        <v>146</v>
      </c>
      <c r="J24" t="s">
        <v>182</v>
      </c>
      <c r="K24" t="s">
        <v>293</v>
      </c>
      <c r="M24" t="s">
        <v>10</v>
      </c>
      <c r="N24" t="s">
        <v>21</v>
      </c>
      <c r="O24" t="s">
        <v>298</v>
      </c>
      <c r="P24" t="s">
        <v>299</v>
      </c>
    </row>
    <row r="25" spans="2:16">
      <c r="B25" t="s">
        <v>283</v>
      </c>
      <c r="C25" t="s">
        <v>33</v>
      </c>
      <c r="D25" t="s">
        <v>19</v>
      </c>
      <c r="E25">
        <v>3100</v>
      </c>
      <c r="F25">
        <v>3100</v>
      </c>
      <c r="G25">
        <v>2400</v>
      </c>
      <c r="H25" t="s">
        <v>278</v>
      </c>
      <c r="J25" t="s">
        <v>182</v>
      </c>
      <c r="K25" t="s">
        <v>294</v>
      </c>
      <c r="M25" t="s">
        <v>10</v>
      </c>
      <c r="N25" t="s">
        <v>21</v>
      </c>
      <c r="O25" t="s">
        <v>298</v>
      </c>
      <c r="P25" t="s">
        <v>299</v>
      </c>
    </row>
    <row r="26" spans="2:16">
      <c r="B26" t="s">
        <v>283</v>
      </c>
      <c r="C26" t="s">
        <v>33</v>
      </c>
      <c r="D26" t="s">
        <v>19</v>
      </c>
      <c r="E26">
        <v>75</v>
      </c>
      <c r="F26">
        <v>75</v>
      </c>
      <c r="G26">
        <v>60</v>
      </c>
      <c r="H26" t="s">
        <v>279</v>
      </c>
      <c r="J26" t="s">
        <v>182</v>
      </c>
      <c r="K26" t="s">
        <v>295</v>
      </c>
      <c r="M26" t="s">
        <v>10</v>
      </c>
      <c r="N26" t="s">
        <v>21</v>
      </c>
      <c r="O26" t="s">
        <v>298</v>
      </c>
      <c r="P26" t="s">
        <v>299</v>
      </c>
    </row>
    <row r="27" spans="2:16">
      <c r="B27" t="s">
        <v>284</v>
      </c>
      <c r="C27" t="s">
        <v>32</v>
      </c>
      <c r="D27" t="s">
        <v>19</v>
      </c>
      <c r="E27">
        <v>0.37</v>
      </c>
      <c r="F27">
        <v>0.38</v>
      </c>
      <c r="G27">
        <v>0.39</v>
      </c>
      <c r="H27" t="s">
        <v>146</v>
      </c>
      <c r="J27" t="s">
        <v>182</v>
      </c>
      <c r="K27" t="s">
        <v>297</v>
      </c>
      <c r="M27" t="s">
        <v>10</v>
      </c>
      <c r="N27" t="s">
        <v>21</v>
      </c>
      <c r="O27" t="s">
        <v>298</v>
      </c>
      <c r="P27" t="s">
        <v>299</v>
      </c>
    </row>
    <row r="28" spans="2:16">
      <c r="B28" t="s">
        <v>284</v>
      </c>
      <c r="C28" t="s">
        <v>32</v>
      </c>
      <c r="D28" t="s">
        <v>19</v>
      </c>
      <c r="E28">
        <v>5500</v>
      </c>
      <c r="F28">
        <v>5500</v>
      </c>
      <c r="G28">
        <v>4350</v>
      </c>
      <c r="H28" t="s">
        <v>278</v>
      </c>
    </row>
    <row r="29" spans="2:16">
      <c r="B29" t="s">
        <v>284</v>
      </c>
      <c r="C29" t="s">
        <v>32</v>
      </c>
      <c r="D29" t="s">
        <v>19</v>
      </c>
      <c r="E29">
        <v>165</v>
      </c>
      <c r="F29">
        <v>165</v>
      </c>
      <c r="G29">
        <v>130</v>
      </c>
      <c r="H29" t="s">
        <v>279</v>
      </c>
    </row>
    <row r="30" spans="2:16">
      <c r="B30" t="s">
        <v>285</v>
      </c>
      <c r="C30" t="s">
        <v>33</v>
      </c>
      <c r="D30" t="s">
        <v>19</v>
      </c>
      <c r="E30">
        <v>0.4</v>
      </c>
      <c r="F30">
        <v>0.41000000000000003</v>
      </c>
      <c r="G30">
        <v>0.42</v>
      </c>
      <c r="H30" t="s">
        <v>146</v>
      </c>
    </row>
    <row r="31" spans="2:16">
      <c r="B31" t="s">
        <v>285</v>
      </c>
      <c r="C31" t="s">
        <v>33</v>
      </c>
      <c r="D31" t="s">
        <v>19</v>
      </c>
      <c r="E31">
        <v>500</v>
      </c>
      <c r="F31">
        <v>500</v>
      </c>
      <c r="G31">
        <v>500</v>
      </c>
      <c r="H31" t="s">
        <v>278</v>
      </c>
    </row>
    <row r="32" spans="2:16">
      <c r="B32" t="s">
        <v>285</v>
      </c>
      <c r="C32" t="s">
        <v>33</v>
      </c>
      <c r="D32" t="s">
        <v>19</v>
      </c>
      <c r="E32">
        <v>20</v>
      </c>
      <c r="F32">
        <v>20</v>
      </c>
      <c r="G32">
        <v>20</v>
      </c>
      <c r="H32" t="s">
        <v>279</v>
      </c>
    </row>
    <row r="33" spans="2:8">
      <c r="B33" t="s">
        <v>286</v>
      </c>
      <c r="C33" t="s">
        <v>28</v>
      </c>
      <c r="D33" t="s">
        <v>19</v>
      </c>
      <c r="E33">
        <v>1</v>
      </c>
      <c r="F33">
        <v>1</v>
      </c>
      <c r="G33">
        <v>1</v>
      </c>
      <c r="H33" t="s">
        <v>146</v>
      </c>
    </row>
    <row r="34" spans="2:8">
      <c r="B34" t="s">
        <v>286</v>
      </c>
      <c r="C34" t="s">
        <v>28</v>
      </c>
      <c r="D34" t="s">
        <v>19</v>
      </c>
      <c r="E34">
        <v>0.35000000000000003</v>
      </c>
      <c r="F34">
        <v>0.35000000000000003</v>
      </c>
      <c r="G34">
        <v>0.35000000000000003</v>
      </c>
      <c r="H34" t="s">
        <v>277</v>
      </c>
    </row>
    <row r="35" spans="2:8">
      <c r="B35" t="s">
        <v>286</v>
      </c>
      <c r="C35" t="s">
        <v>28</v>
      </c>
      <c r="D35" t="s">
        <v>19</v>
      </c>
      <c r="E35">
        <v>2650</v>
      </c>
      <c r="F35">
        <v>2650</v>
      </c>
      <c r="G35">
        <v>2650</v>
      </c>
      <c r="H35" t="s">
        <v>278</v>
      </c>
    </row>
    <row r="36" spans="2:8">
      <c r="B36" t="s">
        <v>286</v>
      </c>
      <c r="C36" t="s">
        <v>28</v>
      </c>
      <c r="D36" t="s">
        <v>19</v>
      </c>
      <c r="E36">
        <v>65</v>
      </c>
      <c r="F36">
        <v>65</v>
      </c>
      <c r="G36">
        <v>65</v>
      </c>
      <c r="H36" t="s">
        <v>279</v>
      </c>
    </row>
    <row r="37" spans="2:8">
      <c r="B37" t="s">
        <v>286</v>
      </c>
      <c r="C37" t="s">
        <v>28</v>
      </c>
      <c r="D37" t="s">
        <v>19</v>
      </c>
      <c r="E37">
        <v>4</v>
      </c>
      <c r="F37">
        <v>4</v>
      </c>
      <c r="G37">
        <v>4</v>
      </c>
      <c r="H37" t="s">
        <v>280</v>
      </c>
    </row>
    <row r="38" spans="2:8">
      <c r="B38" t="s">
        <v>287</v>
      </c>
      <c r="C38" t="s">
        <v>33</v>
      </c>
      <c r="D38" t="s">
        <v>19</v>
      </c>
      <c r="E38">
        <v>0.45</v>
      </c>
      <c r="F38">
        <v>0.47000000000000003</v>
      </c>
      <c r="G38">
        <v>0.5</v>
      </c>
      <c r="H38" t="s">
        <v>146</v>
      </c>
    </row>
    <row r="39" spans="2:8">
      <c r="B39" t="s">
        <v>287</v>
      </c>
      <c r="C39" t="s">
        <v>33</v>
      </c>
      <c r="D39" t="s">
        <v>19</v>
      </c>
      <c r="E39">
        <v>2500</v>
      </c>
      <c r="F39">
        <v>2350</v>
      </c>
      <c r="G39">
        <v>2300</v>
      </c>
      <c r="H39" t="s">
        <v>278</v>
      </c>
    </row>
    <row r="40" spans="2:8">
      <c r="B40" t="s">
        <v>287</v>
      </c>
      <c r="C40" t="s">
        <v>33</v>
      </c>
      <c r="D40" t="s">
        <v>19</v>
      </c>
      <c r="E40">
        <v>95</v>
      </c>
      <c r="F40">
        <v>85</v>
      </c>
      <c r="G40">
        <v>80</v>
      </c>
      <c r="H40" t="s">
        <v>279</v>
      </c>
    </row>
    <row r="41" spans="2:8">
      <c r="B41" t="s">
        <v>288</v>
      </c>
      <c r="C41" t="s">
        <v>32</v>
      </c>
      <c r="D41" t="s">
        <v>19</v>
      </c>
      <c r="E41">
        <v>0.36</v>
      </c>
      <c r="F41">
        <v>0.38</v>
      </c>
      <c r="G41">
        <v>0.43</v>
      </c>
      <c r="H41" t="s">
        <v>146</v>
      </c>
    </row>
    <row r="42" spans="2:8">
      <c r="B42" t="s">
        <v>288</v>
      </c>
      <c r="C42" t="s">
        <v>32</v>
      </c>
      <c r="D42" t="s">
        <v>19</v>
      </c>
      <c r="E42">
        <v>5850</v>
      </c>
      <c r="F42">
        <v>5700</v>
      </c>
      <c r="G42">
        <v>5100</v>
      </c>
      <c r="H42" t="s">
        <v>278</v>
      </c>
    </row>
    <row r="43" spans="2:8">
      <c r="B43" t="s">
        <v>288</v>
      </c>
      <c r="C43" t="s">
        <v>32</v>
      </c>
      <c r="D43" t="s">
        <v>19</v>
      </c>
      <c r="E43">
        <v>205</v>
      </c>
      <c r="F43">
        <v>200</v>
      </c>
      <c r="G43">
        <v>180</v>
      </c>
      <c r="H43" t="s">
        <v>279</v>
      </c>
    </row>
    <row r="44" spans="2:8">
      <c r="B44" t="s">
        <v>289</v>
      </c>
      <c r="C44" t="s">
        <v>36</v>
      </c>
      <c r="D44" t="s">
        <v>19</v>
      </c>
      <c r="E44">
        <v>0.33</v>
      </c>
      <c r="F44">
        <v>0.33</v>
      </c>
      <c r="G44">
        <v>0.33</v>
      </c>
      <c r="H44" t="s">
        <v>146</v>
      </c>
    </row>
    <row r="45" spans="2:8">
      <c r="B45" t="s">
        <v>289</v>
      </c>
      <c r="C45" t="s">
        <v>36</v>
      </c>
      <c r="D45" t="s">
        <v>19</v>
      </c>
      <c r="E45">
        <v>6600</v>
      </c>
      <c r="F45">
        <v>5100</v>
      </c>
      <c r="G45">
        <v>4500</v>
      </c>
      <c r="H45" t="s">
        <v>278</v>
      </c>
    </row>
    <row r="46" spans="2:8">
      <c r="B46" t="s">
        <v>289</v>
      </c>
      <c r="C46" t="s">
        <v>36</v>
      </c>
      <c r="D46" t="s">
        <v>19</v>
      </c>
      <c r="E46">
        <v>165</v>
      </c>
      <c r="F46">
        <v>165</v>
      </c>
      <c r="G46">
        <v>160</v>
      </c>
      <c r="H46" t="s">
        <v>279</v>
      </c>
    </row>
    <row r="47" spans="2:8">
      <c r="B47" t="s">
        <v>290</v>
      </c>
      <c r="C47" t="s">
        <v>32</v>
      </c>
      <c r="D47" t="s">
        <v>19</v>
      </c>
      <c r="E47">
        <v>0.37</v>
      </c>
      <c r="F47">
        <v>0.38</v>
      </c>
      <c r="G47">
        <v>0.39</v>
      </c>
      <c r="H47" t="s">
        <v>146</v>
      </c>
    </row>
    <row r="48" spans="2:8">
      <c r="B48" t="s">
        <v>290</v>
      </c>
      <c r="C48" t="s">
        <v>32</v>
      </c>
      <c r="D48" t="s">
        <v>19</v>
      </c>
      <c r="E48">
        <v>5700</v>
      </c>
      <c r="F48">
        <v>5700</v>
      </c>
      <c r="G48">
        <v>5100</v>
      </c>
      <c r="H48" t="s">
        <v>278</v>
      </c>
    </row>
    <row r="49" spans="2:8">
      <c r="B49" t="s">
        <v>290</v>
      </c>
      <c r="C49" t="s">
        <v>32</v>
      </c>
      <c r="D49" t="s">
        <v>19</v>
      </c>
      <c r="E49">
        <v>170</v>
      </c>
      <c r="F49">
        <v>170</v>
      </c>
      <c r="G49">
        <v>155</v>
      </c>
      <c r="H49" t="s">
        <v>279</v>
      </c>
    </row>
    <row r="50" spans="2:8">
      <c r="B50" t="s">
        <v>291</v>
      </c>
      <c r="C50" t="s">
        <v>27</v>
      </c>
      <c r="D50" t="s">
        <v>19</v>
      </c>
      <c r="E50">
        <v>1</v>
      </c>
      <c r="F50">
        <v>1</v>
      </c>
      <c r="G50">
        <v>1</v>
      </c>
      <c r="H50" t="s">
        <v>146</v>
      </c>
    </row>
    <row r="51" spans="2:8">
      <c r="B51" t="s">
        <v>291</v>
      </c>
      <c r="C51" t="s">
        <v>27</v>
      </c>
      <c r="D51" t="s">
        <v>19</v>
      </c>
      <c r="E51">
        <v>0.14000000000000001</v>
      </c>
      <c r="F51">
        <v>0.14000000000000001</v>
      </c>
      <c r="G51">
        <v>0.14000000000000001</v>
      </c>
      <c r="H51" t="s">
        <v>277</v>
      </c>
    </row>
    <row r="52" spans="2:8">
      <c r="B52" t="s">
        <v>291</v>
      </c>
      <c r="C52" t="s">
        <v>27</v>
      </c>
      <c r="D52" t="s">
        <v>19</v>
      </c>
      <c r="E52">
        <v>750</v>
      </c>
      <c r="F52">
        <v>480</v>
      </c>
      <c r="G52">
        <v>340</v>
      </c>
      <c r="H52" t="s">
        <v>278</v>
      </c>
    </row>
    <row r="53" spans="2:8">
      <c r="B53" t="s">
        <v>291</v>
      </c>
      <c r="C53" t="s">
        <v>27</v>
      </c>
      <c r="D53" t="s">
        <v>19</v>
      </c>
      <c r="E53">
        <v>12</v>
      </c>
      <c r="F53">
        <v>10</v>
      </c>
      <c r="G53">
        <v>10</v>
      </c>
      <c r="H53" t="s">
        <v>279</v>
      </c>
    </row>
    <row r="54" spans="2:8">
      <c r="B54" t="s">
        <v>291</v>
      </c>
      <c r="C54" t="s">
        <v>27</v>
      </c>
      <c r="D54" t="s">
        <v>19</v>
      </c>
      <c r="E54">
        <v>1.5</v>
      </c>
      <c r="F54">
        <v>1.5</v>
      </c>
      <c r="G54">
        <v>1.5</v>
      </c>
      <c r="H54" t="s">
        <v>280</v>
      </c>
    </row>
    <row r="55" spans="2:8">
      <c r="B55" t="s">
        <v>292</v>
      </c>
      <c r="C55" t="s">
        <v>32</v>
      </c>
      <c r="D55" t="s">
        <v>19</v>
      </c>
      <c r="E55">
        <v>0.39</v>
      </c>
      <c r="F55">
        <v>0.39</v>
      </c>
      <c r="G55">
        <v>0.39</v>
      </c>
      <c r="H55" t="s">
        <v>146</v>
      </c>
    </row>
    <row r="56" spans="2:8">
      <c r="B56" t="s">
        <v>292</v>
      </c>
      <c r="C56" t="s">
        <v>32</v>
      </c>
      <c r="D56" t="s">
        <v>19</v>
      </c>
      <c r="E56">
        <v>1700</v>
      </c>
      <c r="F56">
        <v>1700</v>
      </c>
      <c r="G56">
        <v>1700</v>
      </c>
      <c r="H56" t="s">
        <v>278</v>
      </c>
    </row>
    <row r="57" spans="2:8">
      <c r="B57" t="s">
        <v>292</v>
      </c>
      <c r="C57" t="s">
        <v>32</v>
      </c>
      <c r="D57" t="s">
        <v>19</v>
      </c>
      <c r="E57">
        <v>45</v>
      </c>
      <c r="F57">
        <v>45</v>
      </c>
      <c r="G57">
        <v>45</v>
      </c>
      <c r="H57" t="s">
        <v>279</v>
      </c>
    </row>
    <row r="58" spans="2:8">
      <c r="B58" t="s">
        <v>293</v>
      </c>
      <c r="C58" t="s">
        <v>32</v>
      </c>
      <c r="D58" t="s">
        <v>19</v>
      </c>
      <c r="E58">
        <v>0.43</v>
      </c>
      <c r="F58">
        <v>0.43</v>
      </c>
      <c r="G58">
        <v>0.43</v>
      </c>
      <c r="H58" t="s">
        <v>146</v>
      </c>
    </row>
    <row r="59" spans="2:8">
      <c r="B59" t="s">
        <v>293</v>
      </c>
      <c r="C59" t="s">
        <v>32</v>
      </c>
      <c r="D59" t="s">
        <v>19</v>
      </c>
      <c r="E59">
        <v>2000</v>
      </c>
      <c r="F59">
        <v>2000</v>
      </c>
      <c r="G59">
        <v>2000</v>
      </c>
      <c r="H59" t="s">
        <v>278</v>
      </c>
    </row>
    <row r="60" spans="2:8">
      <c r="B60" t="s">
        <v>293</v>
      </c>
      <c r="C60" t="s">
        <v>32</v>
      </c>
      <c r="D60" t="s">
        <v>19</v>
      </c>
      <c r="E60">
        <v>60</v>
      </c>
      <c r="F60">
        <v>60</v>
      </c>
      <c r="G60">
        <v>60</v>
      </c>
      <c r="H60" t="s">
        <v>279</v>
      </c>
    </row>
    <row r="61" spans="2:8">
      <c r="B61" t="s">
        <v>294</v>
      </c>
      <c r="C61" t="s">
        <v>32</v>
      </c>
      <c r="D61" t="s">
        <v>19</v>
      </c>
      <c r="E61">
        <v>0.46</v>
      </c>
      <c r="F61">
        <v>0.46</v>
      </c>
      <c r="G61">
        <v>0.48</v>
      </c>
      <c r="H61" t="s">
        <v>146</v>
      </c>
    </row>
    <row r="62" spans="2:8">
      <c r="B62" t="s">
        <v>294</v>
      </c>
      <c r="C62" t="s">
        <v>32</v>
      </c>
      <c r="D62" t="s">
        <v>19</v>
      </c>
      <c r="E62">
        <v>2200</v>
      </c>
      <c r="F62">
        <v>2200</v>
      </c>
      <c r="G62">
        <v>2200</v>
      </c>
      <c r="H62" t="s">
        <v>278</v>
      </c>
    </row>
    <row r="63" spans="2:8">
      <c r="B63" t="s">
        <v>294</v>
      </c>
      <c r="C63" t="s">
        <v>32</v>
      </c>
      <c r="D63" t="s">
        <v>19</v>
      </c>
      <c r="E63">
        <v>65</v>
      </c>
      <c r="F63">
        <v>65</v>
      </c>
      <c r="G63">
        <v>65</v>
      </c>
      <c r="H63" t="s">
        <v>279</v>
      </c>
    </row>
    <row r="64" spans="2:8">
      <c r="B64" t="s">
        <v>295</v>
      </c>
      <c r="C64" t="s">
        <v>296</v>
      </c>
      <c r="D64" t="s">
        <v>19</v>
      </c>
      <c r="E64">
        <v>1</v>
      </c>
      <c r="F64">
        <v>1</v>
      </c>
      <c r="G64">
        <v>1</v>
      </c>
      <c r="H64" t="s">
        <v>146</v>
      </c>
    </row>
    <row r="65" spans="2:8">
      <c r="B65" t="s">
        <v>295</v>
      </c>
      <c r="C65" t="s">
        <v>296</v>
      </c>
      <c r="D65" t="s">
        <v>19</v>
      </c>
      <c r="E65">
        <v>0.5</v>
      </c>
      <c r="F65">
        <v>0.55000000000000004</v>
      </c>
      <c r="G65">
        <v>0.56000000000000005</v>
      </c>
      <c r="H65" t="s">
        <v>277</v>
      </c>
    </row>
    <row r="66" spans="2:8">
      <c r="B66" t="s">
        <v>295</v>
      </c>
      <c r="C66" t="s">
        <v>296</v>
      </c>
      <c r="D66" t="s">
        <v>19</v>
      </c>
      <c r="E66">
        <v>3120</v>
      </c>
      <c r="F66">
        <v>2280</v>
      </c>
      <c r="G66">
        <v>1660</v>
      </c>
      <c r="H66" t="s">
        <v>278</v>
      </c>
    </row>
    <row r="67" spans="2:8">
      <c r="B67" t="s">
        <v>295</v>
      </c>
      <c r="C67" t="s">
        <v>296</v>
      </c>
      <c r="D67" t="s">
        <v>19</v>
      </c>
      <c r="E67">
        <v>60</v>
      </c>
      <c r="F67">
        <v>50</v>
      </c>
      <c r="G67">
        <v>40</v>
      </c>
      <c r="H67" t="s">
        <v>279</v>
      </c>
    </row>
    <row r="68" spans="2:8">
      <c r="B68" t="s">
        <v>295</v>
      </c>
      <c r="C68" t="s">
        <v>296</v>
      </c>
      <c r="D68" t="s">
        <v>19</v>
      </c>
      <c r="E68">
        <v>3</v>
      </c>
      <c r="F68">
        <v>3</v>
      </c>
      <c r="G68">
        <v>3</v>
      </c>
      <c r="H68" t="s">
        <v>280</v>
      </c>
    </row>
    <row r="69" spans="2:8">
      <c r="B69" t="s">
        <v>297</v>
      </c>
      <c r="C69" t="s">
        <v>296</v>
      </c>
      <c r="D69" t="s">
        <v>19</v>
      </c>
      <c r="E69">
        <v>1</v>
      </c>
      <c r="F69">
        <v>1</v>
      </c>
      <c r="G69">
        <v>1</v>
      </c>
      <c r="H69" t="s">
        <v>146</v>
      </c>
    </row>
    <row r="70" spans="2:8">
      <c r="B70" t="s">
        <v>297</v>
      </c>
      <c r="C70" t="s">
        <v>296</v>
      </c>
      <c r="D70" t="s">
        <v>19</v>
      </c>
      <c r="E70">
        <v>0.28999999999999998</v>
      </c>
      <c r="F70">
        <v>0.3</v>
      </c>
      <c r="G70">
        <v>0.3</v>
      </c>
      <c r="H70" t="s">
        <v>277</v>
      </c>
    </row>
    <row r="71" spans="2:8">
      <c r="B71" t="s">
        <v>297</v>
      </c>
      <c r="C71" t="s">
        <v>296</v>
      </c>
      <c r="D71" t="s">
        <v>19</v>
      </c>
      <c r="E71">
        <v>1630</v>
      </c>
      <c r="F71">
        <v>1550</v>
      </c>
      <c r="G71">
        <v>1490</v>
      </c>
      <c r="H71" t="s">
        <v>278</v>
      </c>
    </row>
    <row r="72" spans="2:8">
      <c r="B72" t="s">
        <v>297</v>
      </c>
      <c r="C72" t="s">
        <v>296</v>
      </c>
      <c r="D72" t="s">
        <v>19</v>
      </c>
      <c r="E72">
        <v>42</v>
      </c>
      <c r="F72">
        <v>40</v>
      </c>
      <c r="G72">
        <v>38</v>
      </c>
      <c r="H72" t="s">
        <v>279</v>
      </c>
    </row>
    <row r="73" spans="2:8">
      <c r="B73" t="s">
        <v>297</v>
      </c>
      <c r="C73" t="s">
        <v>296</v>
      </c>
      <c r="D73" t="s">
        <v>19</v>
      </c>
      <c r="E73">
        <v>1.5</v>
      </c>
      <c r="F73">
        <v>1.5</v>
      </c>
      <c r="G73">
        <v>1.5</v>
      </c>
      <c r="H73" t="s">
        <v>280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misc</vt:lpstr>
      <vt:lpstr>hydro</vt:lpstr>
      <vt:lpstr>ELC_Storage</vt:lpstr>
      <vt:lpstr>EV Battery</vt:lpstr>
      <vt:lpstr>H2 prod</vt:lpstr>
      <vt:lpstr>solar</vt:lpstr>
      <vt:lpstr>wind</vt:lpstr>
      <vt:lpstr>conventional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2019-05-06T14:41:57Z</cp:lastPrinted>
  <dcterms:created xsi:type="dcterms:W3CDTF">2016-08-02T11:07:23Z</dcterms:created>
  <dcterms:modified xsi:type="dcterms:W3CDTF">2025-09-06T18:39:04Z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