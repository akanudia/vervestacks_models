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\"/>
    </mc:Choice>
  </mc:AlternateContent>
  <xr:revisionPtr revIDLastSave="0" documentId="8_{74BA20FC-5413-47FB-AA60-189D02ABFCE9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ScenMap_OLD" sheetId="70" r:id="rId1"/>
    <sheet name="ScenMap" sheetId="56" r:id="rId2"/>
    <sheet name="geolocation" sheetId="72" r:id="rId3"/>
    <sheet name="process_map_geo" sheetId="71" r:id="rId4"/>
    <sheet name="TS_Defs" sheetId="27" r:id="rId5"/>
    <sheet name="TS_ratios" sheetId="68" r:id="rId6"/>
    <sheet name="Sankey" sheetId="69" r:id="rId7"/>
    <sheet name="PSet_MAP" sheetId="57" r:id="rId8"/>
    <sheet name="CSET_MAP" sheetId="66" r:id="rId9"/>
    <sheet name="CName_MAP" sheetId="58" r:id="rId10"/>
    <sheet name="timeslice map" sheetId="64" r:id="rId11"/>
    <sheet name="process map" sheetId="65" r:id="rId12"/>
    <sheet name="commodity map" sheetId="67" r:id="rId13"/>
    <sheet name="ATS" sheetId="63" r:id="rId14"/>
    <sheet name="UnitConv" sheetId="59" r:id="rId15"/>
  </sheets>
  <definedNames>
    <definedName name="_xlnm._FilterDatabase" localSheetId="4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5" i="56" l="1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O23" i="70"/>
  <c r="O28" i="70" s="1"/>
  <c r="O33" i="70" s="1"/>
  <c r="O38" i="70" s="1"/>
  <c r="O43" i="70" s="1"/>
  <c r="O48" i="70" s="1"/>
  <c r="O53" i="70" s="1"/>
  <c r="O58" i="70" s="1"/>
  <c r="I23" i="70"/>
  <c r="I28" i="70" s="1"/>
  <c r="A21" i="70"/>
  <c r="Q21" i="70" s="1"/>
  <c r="J21" i="70" s="1"/>
  <c r="Q20" i="70"/>
  <c r="O20" i="70"/>
  <c r="O25" i="70" s="1"/>
  <c r="O30" i="70" s="1"/>
  <c r="O35" i="70" s="1"/>
  <c r="O40" i="70" s="1"/>
  <c r="O45" i="70" s="1"/>
  <c r="O50" i="70" s="1"/>
  <c r="O55" i="70" s="1"/>
  <c r="O60" i="70" s="1"/>
  <c r="J20" i="70"/>
  <c r="B20" i="70"/>
  <c r="A20" i="70"/>
  <c r="A25" i="70" s="1"/>
  <c r="O19" i="70"/>
  <c r="O24" i="70" s="1"/>
  <c r="O29" i="70" s="1"/>
  <c r="O34" i="70" s="1"/>
  <c r="O39" i="70" s="1"/>
  <c r="O44" i="70" s="1"/>
  <c r="O49" i="70" s="1"/>
  <c r="O54" i="70" s="1"/>
  <c r="O59" i="70" s="1"/>
  <c r="O18" i="70"/>
  <c r="I18" i="70"/>
  <c r="B18" i="70"/>
  <c r="A18" i="70"/>
  <c r="Q18" i="70" s="1"/>
  <c r="J18" i="70" s="1"/>
  <c r="H18" i="70" s="1"/>
  <c r="C18" i="70" s="1"/>
  <c r="Q17" i="70"/>
  <c r="J17" i="70"/>
  <c r="A17" i="70"/>
  <c r="A22" i="70" s="1"/>
  <c r="A16" i="70"/>
  <c r="Q16" i="70" s="1"/>
  <c r="J16" i="70" s="1"/>
  <c r="Q15" i="70"/>
  <c r="J15" i="70" s="1"/>
  <c r="H15" i="70" s="1"/>
  <c r="C15" i="70" s="1"/>
  <c r="O15" i="70"/>
  <c r="I15" i="70"/>
  <c r="I20" i="70" s="1"/>
  <c r="B15" i="70"/>
  <c r="A15" i="70"/>
  <c r="Q14" i="70"/>
  <c r="O14" i="70"/>
  <c r="B14" i="70" s="1"/>
  <c r="J14" i="70"/>
  <c r="I14" i="70"/>
  <c r="I19" i="70" s="1"/>
  <c r="H14" i="70"/>
  <c r="C14" i="70" s="1"/>
  <c r="A14" i="70"/>
  <c r="A19" i="70" s="1"/>
  <c r="O13" i="70"/>
  <c r="I13" i="70"/>
  <c r="B13" i="70"/>
  <c r="A13" i="70"/>
  <c r="Q13" i="70" s="1"/>
  <c r="J13" i="70" s="1"/>
  <c r="H13" i="70" s="1"/>
  <c r="C13" i="70" s="1"/>
  <c r="Q12" i="70"/>
  <c r="O12" i="70"/>
  <c r="O17" i="70" s="1"/>
  <c r="J12" i="70"/>
  <c r="I12" i="70"/>
  <c r="I17" i="70" s="1"/>
  <c r="H12" i="70"/>
  <c r="C12" i="70" s="1"/>
  <c r="B12" i="70"/>
  <c r="A12" i="70"/>
  <c r="Q11" i="70"/>
  <c r="O11" i="70"/>
  <c r="B11" i="70" s="1"/>
  <c r="J11" i="70"/>
  <c r="I11" i="70"/>
  <c r="H11" i="70" s="1"/>
  <c r="C11" i="70" s="1"/>
  <c r="A11" i="70"/>
  <c r="Q10" i="70"/>
  <c r="J10" i="70" s="1"/>
  <c r="H10" i="70" s="1"/>
  <c r="C10" i="70" s="1"/>
  <c r="B10" i="70"/>
  <c r="Q9" i="70"/>
  <c r="J9" i="70"/>
  <c r="H9" i="70"/>
  <c r="C9" i="70" s="1"/>
  <c r="B9" i="70"/>
  <c r="Q8" i="70"/>
  <c r="J8" i="70" s="1"/>
  <c r="H8" i="70" s="1"/>
  <c r="C8" i="70" s="1"/>
  <c r="B8" i="70"/>
  <c r="Q7" i="70"/>
  <c r="J7" i="70"/>
  <c r="H7" i="70"/>
  <c r="C7" i="70" s="1"/>
  <c r="B7" i="70"/>
  <c r="Q6" i="70"/>
  <c r="J6" i="70" s="1"/>
  <c r="H6" i="70" s="1"/>
  <c r="C6" i="70" s="1"/>
  <c r="B6" i="70"/>
  <c r="J5" i="70"/>
  <c r="I5" i="70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A27" i="70"/>
  <c r="Q22" i="70"/>
  <c r="J22" i="70" s="1"/>
  <c r="H20" i="70"/>
  <c r="C20" i="70" s="1"/>
  <c r="I25" i="70"/>
  <c r="H17" i="70"/>
  <c r="C17" i="70" s="1"/>
  <c r="I22" i="70"/>
  <c r="I24" i="70"/>
  <c r="I33" i="70"/>
  <c r="B17" i="70"/>
  <c r="O22" i="70"/>
  <c r="O27" i="70" s="1"/>
  <c r="O32" i="70" s="1"/>
  <c r="O37" i="70" s="1"/>
  <c r="O42" i="70" s="1"/>
  <c r="O47" i="70" s="1"/>
  <c r="O52" i="70" s="1"/>
  <c r="O57" i="70" s="1"/>
  <c r="B25" i="70"/>
  <c r="Q25" i="70"/>
  <c r="J25" i="70" s="1"/>
  <c r="A30" i="70"/>
  <c r="B19" i="70"/>
  <c r="A24" i="70"/>
  <c r="Q19" i="70"/>
  <c r="J19" i="70" s="1"/>
  <c r="H19" i="70" s="1"/>
  <c r="C19" i="70" s="1"/>
  <c r="A23" i="70"/>
  <c r="A26" i="70"/>
  <c r="I16" i="70"/>
  <c r="O16" i="70"/>
  <c r="B4" i="58"/>
  <c r="B5" i="58"/>
  <c r="B6" i="58"/>
  <c r="B7" i="58"/>
  <c r="B8" i="58"/>
  <c r="B9" i="58"/>
  <c r="B10" i="58"/>
  <c r="B11" i="58"/>
  <c r="B3" i="58"/>
  <c r="Q24" i="70" l="1"/>
  <c r="J24" i="70" s="1"/>
  <c r="B24" i="70"/>
  <c r="A29" i="70"/>
  <c r="B30" i="70"/>
  <c r="A35" i="70"/>
  <c r="Q30" i="70"/>
  <c r="J30" i="70" s="1"/>
  <c r="H24" i="70"/>
  <c r="C24" i="70" s="1"/>
  <c r="I29" i="70"/>
  <c r="H16" i="70"/>
  <c r="C16" i="70" s="1"/>
  <c r="I21" i="70"/>
  <c r="Q26" i="70"/>
  <c r="J26" i="70" s="1"/>
  <c r="A31" i="70"/>
  <c r="B23" i="70"/>
  <c r="Q23" i="70"/>
  <c r="J23" i="70" s="1"/>
  <c r="H23" i="70" s="1"/>
  <c r="C23" i="70" s="1"/>
  <c r="A28" i="70"/>
  <c r="I38" i="70"/>
  <c r="H22" i="70"/>
  <c r="C22" i="70" s="1"/>
  <c r="I27" i="70"/>
  <c r="Q27" i="70"/>
  <c r="J27" i="70" s="1"/>
  <c r="B27" i="70"/>
  <c r="A32" i="70"/>
  <c r="I30" i="70"/>
  <c r="H25" i="70"/>
  <c r="C25" i="70" s="1"/>
  <c r="B16" i="70"/>
  <c r="O21" i="70"/>
  <c r="B22" i="70"/>
  <c r="C60" i="56"/>
  <c r="C58" i="56"/>
  <c r="A33" i="70" l="1"/>
  <c r="Q28" i="70"/>
  <c r="J28" i="70" s="1"/>
  <c r="H28" i="70" s="1"/>
  <c r="C28" i="70" s="1"/>
  <c r="B28" i="70"/>
  <c r="I34" i="70"/>
  <c r="H27" i="70"/>
  <c r="C27" i="70" s="1"/>
  <c r="I32" i="70"/>
  <c r="O26" i="70"/>
  <c r="B21" i="70"/>
  <c r="Q35" i="70"/>
  <c r="J35" i="70" s="1"/>
  <c r="B35" i="70"/>
  <c r="A40" i="70"/>
  <c r="I43" i="70"/>
  <c r="Q29" i="70"/>
  <c r="J29" i="70" s="1"/>
  <c r="H29" i="70" s="1"/>
  <c r="C29" i="70" s="1"/>
  <c r="B29" i="70"/>
  <c r="A34" i="70"/>
  <c r="A36" i="70"/>
  <c r="Q31" i="70"/>
  <c r="J31" i="70" s="1"/>
  <c r="H21" i="70"/>
  <c r="C21" i="70" s="1"/>
  <c r="I26" i="70"/>
  <c r="H30" i="70"/>
  <c r="C30" i="70" s="1"/>
  <c r="I35" i="70"/>
  <c r="Q32" i="70"/>
  <c r="J32" i="70" s="1"/>
  <c r="B32" i="70"/>
  <c r="A37" i="70"/>
  <c r="C59" i="56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H26" i="70"/>
  <c r="C26" i="70" s="1"/>
  <c r="I31" i="70"/>
  <c r="O31" i="70"/>
  <c r="B26" i="70"/>
  <c r="H32" i="70"/>
  <c r="C32" i="70" s="1"/>
  <c r="I37" i="70"/>
  <c r="Q37" i="70"/>
  <c r="J37" i="70" s="1"/>
  <c r="B37" i="70"/>
  <c r="A42" i="70"/>
  <c r="I39" i="70"/>
  <c r="Q36" i="70"/>
  <c r="J36" i="70" s="1"/>
  <c r="A41" i="70"/>
  <c r="Q40" i="70"/>
  <c r="J40" i="70" s="1"/>
  <c r="B40" i="70"/>
  <c r="A45" i="70"/>
  <c r="B34" i="70"/>
  <c r="Q34" i="70"/>
  <c r="J34" i="70" s="1"/>
  <c r="H34" i="70" s="1"/>
  <c r="C34" i="70" s="1"/>
  <c r="A39" i="70"/>
  <c r="I48" i="70"/>
  <c r="H35" i="70"/>
  <c r="C35" i="70" s="1"/>
  <c r="I40" i="70"/>
  <c r="B33" i="70"/>
  <c r="A38" i="70"/>
  <c r="Q33" i="70"/>
  <c r="J33" i="70" s="1"/>
  <c r="H33" i="70" s="1"/>
  <c r="C33" i="70" s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Q45" i="70" l="1"/>
  <c r="J45" i="70" s="1"/>
  <c r="B45" i="70"/>
  <c r="A50" i="70"/>
  <c r="A46" i="70"/>
  <c r="Q41" i="70"/>
  <c r="J41" i="70" s="1"/>
  <c r="A47" i="70"/>
  <c r="Q42" i="70"/>
  <c r="J42" i="70" s="1"/>
  <c r="B42" i="70"/>
  <c r="H37" i="70"/>
  <c r="C37" i="70" s="1"/>
  <c r="I42" i="70"/>
  <c r="Q38" i="70"/>
  <c r="J38" i="70" s="1"/>
  <c r="H38" i="70" s="1"/>
  <c r="C38" i="70" s="1"/>
  <c r="B38" i="70"/>
  <c r="A43" i="70"/>
  <c r="I53" i="70"/>
  <c r="A44" i="70"/>
  <c r="Q39" i="70"/>
  <c r="J39" i="70" s="1"/>
  <c r="H39" i="70" s="1"/>
  <c r="C39" i="70" s="1"/>
  <c r="B39" i="70"/>
  <c r="I44" i="70"/>
  <c r="O36" i="70"/>
  <c r="B31" i="70"/>
  <c r="H40" i="70"/>
  <c r="C40" i="70" s="1"/>
  <c r="I45" i="70"/>
  <c r="H31" i="70"/>
  <c r="C31" i="70" s="1"/>
  <c r="I36" i="70"/>
  <c r="B21" i="57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I49" i="70" l="1"/>
  <c r="B44" i="70"/>
  <c r="A49" i="70"/>
  <c r="Q44" i="70"/>
  <c r="J44" i="70" s="1"/>
  <c r="H44" i="70" s="1"/>
  <c r="C44" i="70" s="1"/>
  <c r="Q43" i="70"/>
  <c r="J43" i="70" s="1"/>
  <c r="H43" i="70" s="1"/>
  <c r="C43" i="70" s="1"/>
  <c r="B43" i="70"/>
  <c r="A48" i="70"/>
  <c r="B47" i="70"/>
  <c r="A52" i="70"/>
  <c r="Q47" i="70"/>
  <c r="J47" i="70" s="1"/>
  <c r="I41" i="70"/>
  <c r="H36" i="70"/>
  <c r="C36" i="70" s="1"/>
  <c r="Q46" i="70"/>
  <c r="J46" i="70" s="1"/>
  <c r="A51" i="70"/>
  <c r="O41" i="70"/>
  <c r="B36" i="70"/>
  <c r="I58" i="70"/>
  <c r="H42" i="70"/>
  <c r="C42" i="70" s="1"/>
  <c r="I47" i="70"/>
  <c r="H45" i="70"/>
  <c r="C45" i="70" s="1"/>
  <c r="I50" i="70"/>
  <c r="A55" i="70"/>
  <c r="Q50" i="70"/>
  <c r="J50" i="70" s="1"/>
  <c r="B50" i="70"/>
  <c r="C6" i="64"/>
  <c r="C7" i="64"/>
  <c r="C8" i="64"/>
  <c r="C9" i="64"/>
  <c r="C10" i="64"/>
  <c r="C5" i="64"/>
  <c r="C9" i="56"/>
  <c r="C10" i="56"/>
  <c r="C11" i="56"/>
  <c r="C12" i="56"/>
  <c r="C7" i="56"/>
  <c r="C6" i="56"/>
  <c r="C8" i="56"/>
  <c r="C15" i="56"/>
  <c r="C19" i="56"/>
  <c r="C26" i="56"/>
  <c r="J5" i="56"/>
  <c r="D4" i="59"/>
  <c r="D3" i="59"/>
  <c r="Q51" i="70" l="1"/>
  <c r="J51" i="70" s="1"/>
  <c r="A56" i="70"/>
  <c r="Q48" i="70"/>
  <c r="J48" i="70" s="1"/>
  <c r="H48" i="70" s="1"/>
  <c r="C48" i="70" s="1"/>
  <c r="B48" i="70"/>
  <c r="A53" i="70"/>
  <c r="I52" i="70"/>
  <c r="H47" i="70"/>
  <c r="C47" i="70" s="1"/>
  <c r="H41" i="70"/>
  <c r="C41" i="70" s="1"/>
  <c r="I46" i="70"/>
  <c r="B52" i="70"/>
  <c r="A57" i="70"/>
  <c r="Q52" i="70"/>
  <c r="J52" i="70" s="1"/>
  <c r="H50" i="70"/>
  <c r="C50" i="70" s="1"/>
  <c r="I55" i="70"/>
  <c r="I54" i="70"/>
  <c r="O46" i="70"/>
  <c r="B41" i="70"/>
  <c r="Q49" i="70"/>
  <c r="J49" i="70" s="1"/>
  <c r="H49" i="70" s="1"/>
  <c r="C49" i="70" s="1"/>
  <c r="B49" i="70"/>
  <c r="A54" i="70"/>
  <c r="B55" i="70"/>
  <c r="A60" i="70"/>
  <c r="Q55" i="70"/>
  <c r="J55" i="70" s="1"/>
  <c r="C18" i="56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H55" i="70" l="1"/>
  <c r="C55" i="70" s="1"/>
  <c r="I60" i="70"/>
  <c r="I59" i="70"/>
  <c r="H46" i="70"/>
  <c r="C46" i="70" s="1"/>
  <c r="I51" i="70"/>
  <c r="O51" i="70"/>
  <c r="B46" i="70"/>
  <c r="Q57" i="70"/>
  <c r="J57" i="70" s="1"/>
  <c r="B57" i="70"/>
  <c r="H52" i="70"/>
  <c r="C52" i="70" s="1"/>
  <c r="I57" i="70"/>
  <c r="H57" i="70" s="1"/>
  <c r="C57" i="70" s="1"/>
  <c r="A58" i="70"/>
  <c r="Q53" i="70"/>
  <c r="J53" i="70" s="1"/>
  <c r="H53" i="70" s="1"/>
  <c r="C53" i="70" s="1"/>
  <c r="B53" i="70"/>
  <c r="Q56" i="70"/>
  <c r="J56" i="70" s="1"/>
  <c r="Q60" i="70"/>
  <c r="J60" i="70" s="1"/>
  <c r="B60" i="70"/>
  <c r="Q54" i="70"/>
  <c r="J54" i="70" s="1"/>
  <c r="H54" i="70" s="1"/>
  <c r="C54" i="70" s="1"/>
  <c r="B54" i="70"/>
  <c r="A59" i="70"/>
  <c r="C38" i="56"/>
  <c r="C31" i="56"/>
  <c r="C34" i="56"/>
  <c r="C27" i="56"/>
  <c r="C30" i="56"/>
  <c r="C37" i="56"/>
  <c r="C40" i="56"/>
  <c r="C33" i="56"/>
  <c r="C35" i="56"/>
  <c r="C28" i="56"/>
  <c r="C39" i="56"/>
  <c r="C32" i="56"/>
  <c r="H51" i="70" l="1"/>
  <c r="C51" i="70" s="1"/>
  <c r="I56" i="70"/>
  <c r="H56" i="70" s="1"/>
  <c r="C56" i="70" s="1"/>
  <c r="Q59" i="70"/>
  <c r="J59" i="70" s="1"/>
  <c r="B59" i="70"/>
  <c r="B58" i="70"/>
  <c r="Q58" i="70"/>
  <c r="J58" i="70" s="1"/>
  <c r="H58" i="70" s="1"/>
  <c r="C58" i="70" s="1"/>
  <c r="H59" i="70"/>
  <c r="C59" i="70" s="1"/>
  <c r="H60" i="70"/>
  <c r="C60" i="70" s="1"/>
  <c r="O56" i="70"/>
  <c r="B56" i="70" s="1"/>
  <c r="B51" i="7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<sst xmlns="http://schemas.openxmlformats.org/spreadsheetml/2006/main" count="2840" uniqueCount="739">
  <si>
    <t>Unit</t>
  </si>
  <si>
    <t>Desc</t>
  </si>
  <si>
    <t>Name</t>
  </si>
  <si>
    <t>Solar</t>
  </si>
  <si>
    <t>Varbl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</si>
  <si>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</si>
  <si>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</si>
  <si>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</si>
  <si>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</si>
  <si>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</si>
  <si>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</si>
  <si>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</si>
  <si>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</si>
  <si>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</si>
  <si>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</si>
  <si>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</si>
  <si>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</si>
  <si>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</si>
  <si>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</si>
  <si>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</si>
  <si>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</si>
  <si>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</si>
  <si>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</si>
  <si>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</si>
  <si>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</si>
  <si>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</si>
  <si>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</si>
  <si>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</si>
  <si>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</si>
  <si>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</si>
  <si>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Cost_INV</t>
  </si>
  <si>
    <t>~UnitConv</t>
  </si>
  <si>
    <t>Model</t>
  </si>
  <si>
    <t>Unit1</t>
  </si>
  <si>
    <t>Unit2</t>
  </si>
  <si>
    <t>MultFact</t>
  </si>
  <si>
    <t>VAR_NCAP</t>
  </si>
  <si>
    <t>C</t>
  </si>
  <si>
    <t>~ATS</t>
  </si>
  <si>
    <t>Region</t>
  </si>
  <si>
    <t>Year</t>
  </si>
  <si>
    <t>Val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</si>
  <si>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</si>
  <si>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</si>
  <si>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</si>
  <si>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</si>
  <si>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</si>
  <si>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</si>
  <si>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</si>
  <si>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</si>
  <si>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</si>
  <si>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</si>
  <si>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</si>
  <si>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</si>
  <si>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</si>
  <si>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</si>
  <si>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</si>
  <si>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</si>
  <si>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</si>
  <si>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</si>
  <si>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</si>
  <si>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</si>
  <si>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</si>
  <si>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</si>
  <si>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</si>
  <si>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</si>
  <si>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</si>
  <si>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</si>
  <si>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</si>
  <si>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</si>
  <si>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</si>
  <si>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</si>
  <si>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</si>
  <si>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</si>
  <si>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</si>
  <si>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</si>
  <si>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</si>
  <si>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</si>
  <si>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</si>
  <si>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</si>
  <si>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Twh</t>
  </si>
  <si>
    <t>Elec Production</t>
  </si>
  <si>
    <t>Cost_Investment</t>
  </si>
  <si>
    <t>$/Mwh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</si>
  <si>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</si>
  <si>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</si>
  <si>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</si>
  <si>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</si>
  <si>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</si>
  <si>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</si>
  <si>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</si>
  <si>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</si>
  <si>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</si>
  <si>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</si>
  <si>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</si>
  <si>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</si>
  <si>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</si>
  <si>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</si>
  <si>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</si>
  <si>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</si>
  <si>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</si>
  <si>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</si>
  <si>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</si>
  <si>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</si>
  <si>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</si>
  <si>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</si>
  <si>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</si>
  <si>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</si>
  <si>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</si>
  <si>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</si>
  <si>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</si>
  <si>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</si>
  <si>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</si>
  <si>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</si>
  <si>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</si>
  <si>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</si>
  <si>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</si>
  <si>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</si>
  <si>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</si>
  <si>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</si>
  <si>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</si>
  <si>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</si>
  <si>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</si>
  <si>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</si>
  <si>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</si>
  <si>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</si>
  <si>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</si>
  <si>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</si>
  <si>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</si>
  <si>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</si>
  <si>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</si>
  <si>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mt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</si>
  <si>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</si>
  <si>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</si>
  <si>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</si>
  <si>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</si>
  <si>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</si>
  <si>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</si>
  <si>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</si>
  <si>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</si>
  <si>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</si>
  <si>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</si>
  <si>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</si>
  <si>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</si>
  <si>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s?a*</t>
  </si>
  <si>
    <t>*,-s?a*</t>
  </si>
  <si>
    <t>hourly</t>
  </si>
  <si>
    <t>aggregated</t>
  </si>
  <si>
    <t>ts_type</t>
  </si>
  <si>
    <t>ts_season</t>
  </si>
  <si>
    <t>S1*</t>
  </si>
  <si>
    <t>S2*</t>
  </si>
  <si>
    <t>S3*</t>
  </si>
  <si>
    <t>S4*</t>
  </si>
  <si>
    <t>S5*</t>
  </si>
  <si>
    <t>S6*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</si>
  <si>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</si>
  <si>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</si>
  <si>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</si>
  <si>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</si>
  <si>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</si>
  <si>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</si>
  <si>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</si>
  <si>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</si>
  <si>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</si>
  <si>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</si>
  <si>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</si>
  <si>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</si>
  <si>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</si>
  <si>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</si>
  <si>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</si>
  <si>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</si>
  <si>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</si>
  <si>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</si>
  <si>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</si>
  <si>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</si>
  <si>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</si>
  <si>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</si>
  <si>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</si>
  <si>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</si>
  <si>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</si>
  <si>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</si>
  <si>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</si>
  <si>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</si>
  <si>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</si>
  <si>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</si>
  <si>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</si>
  <si>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</si>
  <si>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</si>
  <si>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</si>
  <si>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</si>
  <si>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</si>
  <si>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</si>
  <si>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</si>
  <si>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</si>
  <si>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</si>
  <si>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</si>
  <si>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</si>
  <si>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</si>
  <si>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</si>
  <si>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</si>
  <si>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</si>
  <si>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</si>
  <si>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</si>
  <si>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</si>
  <si>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</si>
  <si>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</si>
  <si>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</si>
  <si>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</si>
  <si>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</si>
  <si>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</si>
  <si>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</si>
  <si>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</si>
  <si>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</si>
  <si>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</si>
  <si>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</si>
  <si>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</si>
  <si>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</si>
  <si>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</si>
  <si>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</si>
  <si>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</si>
  <si>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</si>
  <si>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</si>
  <si>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</si>
  <si>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</si>
  <si>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</si>
  <si>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</si>
  <si>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</si>
  <si>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</si>
  <si>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</si>
  <si>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</si>
  <si>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</si>
  <si>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</si>
  <si>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</si>
  <si>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ts12_clu</t>
  </si>
  <si>
    <t>ts24_clu</t>
  </si>
  <si>
    <t>ts48_clu</t>
  </si>
  <si>
    <t>s5p5v5_d</t>
  </si>
  <si>
    <t>ts_annual</t>
  </si>
  <si>
    <t>ts_12</t>
  </si>
  <si>
    <t>a2w2d</t>
  </si>
  <si>
    <t>d9d</t>
  </si>
  <si>
    <t>b2w</t>
  </si>
  <si>
    <t>c15d</t>
  </si>
  <si>
    <t>e3d</t>
  </si>
  <si>
    <t>fTS48c</t>
  </si>
  <si>
    <t>gTS24c</t>
  </si>
  <si>
    <t>hTS12c</t>
  </si>
  <si>
    <t>iTS12</t>
  </si>
  <si>
    <t>jAnn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</si>
  <si>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</si>
  <si>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</si>
  <si>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</si>
  <si>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</si>
  <si>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</si>
  <si>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</si>
  <si>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</si>
  <si>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</si>
  <si>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</si>
  <si>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</si>
  <si>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</si>
  <si>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</si>
  <si>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s1_d</t>
  </si>
  <si>
    <t>f3d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</si>
  <si>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</si>
  <si>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</si>
  <si>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</si>
  <si>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</si>
  <si>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</si>
  <si>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</si>
  <si>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</si>
  <si>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</si>
  <si>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</si>
  <si>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</si>
  <si>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</si>
  <si>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</si>
  <si>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</si>
  <si>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</si>
  <si>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</si>
  <si>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</si>
  <si>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</si>
  <si>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</si>
  <si>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</si>
  <si>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</si>
  <si>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</si>
  <si>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</si>
  <si>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</si>
  <si>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</si>
  <si>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</si>
  <si>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</si>
  <si>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</si>
  <si>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</si>
  <si>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</si>
  <si>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</si>
  <si>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</si>
  <si>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</si>
  <si>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</si>
  <si>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</si>
  <si>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</si>
  <si>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</si>
  <si>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</si>
  <si>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</si>
  <si>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</si>
  <si>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</si>
  <si>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</si>
  <si>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</si>
  <si>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</si>
  <si>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</si>
  <si>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</si>
  <si>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</si>
  <si>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</si>
  <si>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</si>
  <si>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</si>
  <si>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</si>
  <si>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</si>
  <si>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</si>
  <si>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</si>
  <si>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</si>
  <si>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</si>
  <si>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</si>
  <si>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</si>
  <si>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</si>
  <si>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</si>
  <si>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</si>
  <si>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</si>
  <si>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</si>
  <si>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</si>
  <si>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</si>
  <si>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</si>
  <si>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</si>
  <si>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</si>
  <si>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</si>
  <si>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</si>
  <si>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</si>
  <si>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</si>
  <si>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</si>
  <si>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</si>
  <si>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</si>
  <si>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</si>
  <si>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</si>
  <si>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</si>
  <si>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</si>
  <si>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</si>
  <si>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</si>
  <si>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</si>
  <si>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</si>
  <si>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</si>
  <si>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</si>
  <si>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</si>
  <si>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</si>
  <si>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</si>
  <si>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</si>
  <si>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</si>
  <si>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</si>
  <si>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</si>
  <si>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</si>
  <si>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</si>
  <si>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</si>
  <si>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</si>
  <si>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</si>
  <si>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</si>
  <si>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</si>
  <si>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</si>
  <si>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</si>
  <si>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</si>
  <si>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</si>
  <si>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</si>
  <si>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</si>
  <si>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</si>
  <si>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</si>
  <si>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</si>
  <si>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</si>
  <si>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</si>
  <si>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</si>
  <si>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</si>
  <si>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</si>
  <si>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</si>
  <si>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</si>
  <si>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</si>
  <si>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</si>
  <si>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</si>
  <si>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</si>
  <si>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</si>
  <si>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</si>
  <si>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</si>
  <si>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</si>
  <si>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</si>
  <si>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</si>
  <si>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</si>
  <si>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</si>
  <si>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</si>
  <si>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</si>
  <si>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</si>
  <si>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</si>
  <si>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</si>
  <si>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</si>
  <si>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</si>
  <si>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</si>
  <si>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</si>
  <si>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grid_node</t>
  </si>
  <si>
    <t>p_w66098469</t>
  </si>
  <si>
    <t>p_w87538349</t>
  </si>
  <si>
    <t>p_w102958903</t>
  </si>
  <si>
    <t>p_w104173570</t>
  </si>
  <si>
    <t>p_w104391636</t>
  </si>
  <si>
    <t>p_w104530060</t>
  </si>
  <si>
    <t>p_w105298089</t>
  </si>
  <si>
    <t>p_w106076988</t>
  </si>
  <si>
    <t>p_w106309481</t>
  </si>
  <si>
    <t>p_w109834508</t>
  </si>
  <si>
    <t>p_w109850439</t>
  </si>
  <si>
    <t>p_w110682956</t>
  </si>
  <si>
    <t>p_w116559939</t>
  </si>
  <si>
    <t>p_w128581912</t>
  </si>
  <si>
    <t>p_w132913106</t>
  </si>
  <si>
    <t>p_w133641619</t>
  </si>
  <si>
    <t>p_w133644487</t>
  </si>
  <si>
    <t>p_w142662111</t>
  </si>
  <si>
    <t>p_w145079972</t>
  </si>
  <si>
    <t>p_w149843487</t>
  </si>
  <si>
    <t>p_w150035494</t>
  </si>
  <si>
    <t>p_w150065045</t>
  </si>
  <si>
    <t>p_w151379730</t>
  </si>
  <si>
    <t>p_w156208858</t>
  </si>
  <si>
    <t>p_w161727149</t>
  </si>
  <si>
    <t>p_w161870227</t>
  </si>
  <si>
    <t>p_w161946849</t>
  </si>
  <si>
    <t>p_w168727982</t>
  </si>
  <si>
    <t>p_w168839127</t>
  </si>
  <si>
    <t>p_w168857610</t>
  </si>
  <si>
    <t>p_w169031921</t>
  </si>
  <si>
    <t>p_w169031998</t>
  </si>
  <si>
    <t>p_w169122898</t>
  </si>
  <si>
    <t>p_w169249243</t>
  </si>
  <si>
    <t>p_w256682313</t>
  </si>
  <si>
    <t>p_w169359724</t>
  </si>
  <si>
    <t>p_w169963227</t>
  </si>
  <si>
    <t>p_w170247312</t>
  </si>
  <si>
    <t>p_w170366035</t>
  </si>
  <si>
    <t>p_w170537514</t>
  </si>
  <si>
    <t>p_w170568495</t>
  </si>
  <si>
    <t>p_w170589736</t>
  </si>
  <si>
    <t>p_w170605907</t>
  </si>
  <si>
    <t>p_w170850727</t>
  </si>
  <si>
    <t>p_w170974371</t>
  </si>
  <si>
    <t>p_w171066843</t>
  </si>
  <si>
    <t>p_w172144358</t>
  </si>
  <si>
    <t>p_w172601929</t>
  </si>
  <si>
    <t>p_w172907196</t>
  </si>
  <si>
    <t>p_w174636874</t>
  </si>
  <si>
    <t>p_w185029969</t>
  </si>
  <si>
    <t>p_w186510275</t>
  </si>
  <si>
    <t>p_w187988970</t>
  </si>
  <si>
    <t>p_w190769051</t>
  </si>
  <si>
    <t>p_w193544791</t>
  </si>
  <si>
    <t>p_w195615141</t>
  </si>
  <si>
    <t>p_w201293312</t>
  </si>
  <si>
    <t>p_w204258596</t>
  </si>
  <si>
    <t>p_w209429410</t>
  </si>
  <si>
    <t>p_w209726348</t>
  </si>
  <si>
    <t>p_w210090094</t>
  </si>
  <si>
    <t>p_w211412000</t>
  </si>
  <si>
    <t>p_w215451416</t>
  </si>
  <si>
    <t>p_w216502300</t>
  </si>
  <si>
    <t>p_w216778426</t>
  </si>
  <si>
    <t>p_w216953915</t>
  </si>
  <si>
    <t>p_w216956620</t>
  </si>
  <si>
    <t>p_w241822621</t>
  </si>
  <si>
    <t>p_w241822623</t>
  </si>
  <si>
    <t>p_w241822631</t>
  </si>
  <si>
    <t>p_w241828221</t>
  </si>
  <si>
    <t>p_w242103481</t>
  </si>
  <si>
    <t>p_w242103532</t>
  </si>
  <si>
    <t>p_w242253500</t>
  </si>
  <si>
    <t>p_w250540807</t>
  </si>
  <si>
    <t>p_w253566674</t>
  </si>
  <si>
    <t>p_w291678103</t>
  </si>
  <si>
    <t>p_w307942220</t>
  </si>
  <si>
    <t>p_w315434358</t>
  </si>
  <si>
    <t>p_w315461259</t>
  </si>
  <si>
    <t>p_w315461272</t>
  </si>
  <si>
    <t>p_w315618377</t>
  </si>
  <si>
    <t>p_w315662839</t>
  </si>
  <si>
    <t>p_w317416612</t>
  </si>
  <si>
    <t>p_w317511904</t>
  </si>
  <si>
    <t>p_w320438391</t>
  </si>
  <si>
    <t>p_w405626236</t>
  </si>
  <si>
    <t>p_w421647841</t>
  </si>
  <si>
    <t>p_w459476442</t>
  </si>
  <si>
    <t>p_w505170104</t>
  </si>
  <si>
    <t>p_w659138214</t>
  </si>
  <si>
    <t>p_w714627759</t>
  </si>
  <si>
    <t>p_w722673849</t>
  </si>
  <si>
    <t>p_w785319805</t>
  </si>
  <si>
    <t>p_w832823487</t>
  </si>
  <si>
    <t>p_w901872431</t>
  </si>
  <si>
    <t>p_w901872439</t>
  </si>
  <si>
    <t>p_w1029010255</t>
  </si>
  <si>
    <t>p_w975217734</t>
  </si>
  <si>
    <t>p_w1028554758</t>
  </si>
  <si>
    <t>p_w1030329139</t>
  </si>
  <si>
    <t>p_w1037299172</t>
  </si>
  <si>
    <t>p_w1037516198</t>
  </si>
  <si>
    <t>p_w1038584990</t>
  </si>
  <si>
    <t>p_r2269992</t>
  </si>
  <si>
    <t>p_r11529219</t>
  </si>
  <si>
    <t>p_r11529637</t>
  </si>
  <si>
    <t>p_r13768299</t>
  </si>
  <si>
    <t>p_r15580570</t>
  </si>
  <si>
    <t>p_r17013811</t>
  </si>
  <si>
    <t>p_JP21</t>
  </si>
  <si>
    <t>p_JP36</t>
  </si>
  <si>
    <t>p_JP28</t>
  </si>
  <si>
    <t>p_JP60</t>
  </si>
  <si>
    <t>p_JP23</t>
  </si>
  <si>
    <t>p_JP95</t>
  </si>
  <si>
    <t>p_JP191</t>
  </si>
  <si>
    <t>p_JP116</t>
  </si>
  <si>
    <t>p_JP156</t>
  </si>
  <si>
    <t>p_JP141</t>
  </si>
  <si>
    <t>p_JP122</t>
  </si>
  <si>
    <t>p_JP178</t>
  </si>
  <si>
    <t>p_JP117</t>
  </si>
  <si>
    <t>p_JP132</t>
  </si>
  <si>
    <t>p_JP269</t>
  </si>
  <si>
    <t>p_JP19</t>
  </si>
  <si>
    <t>p_JP267</t>
  </si>
  <si>
    <t>p_JP102</t>
  </si>
  <si>
    <t>p_JP112</t>
  </si>
  <si>
    <t>p_JP106</t>
  </si>
  <si>
    <t>p_JP96</t>
  </si>
  <si>
    <t>p_JP9</t>
  </si>
  <si>
    <t>p_JP292</t>
  </si>
  <si>
    <t>p_JP294</t>
  </si>
  <si>
    <t>p_JP41</t>
  </si>
  <si>
    <t>p_JP29</t>
  </si>
  <si>
    <t>p_JP37</t>
  </si>
  <si>
    <t>p_JP218</t>
  </si>
  <si>
    <t>p_w242253537</t>
  </si>
  <si>
    <t>p_JP10</t>
  </si>
  <si>
    <t>p_JP57</t>
  </si>
  <si>
    <t>p_JP30</t>
  </si>
  <si>
    <t>p_JP34</t>
  </si>
  <si>
    <t>p_JP118</t>
  </si>
  <si>
    <t>p_JP119</t>
  </si>
  <si>
    <t>p_JP135</t>
  </si>
  <si>
    <t>p_JP158</t>
  </si>
  <si>
    <t>p_JP121</t>
  </si>
  <si>
    <t>p_JP124</t>
  </si>
  <si>
    <t>p_JP248</t>
  </si>
  <si>
    <t>p_JP76</t>
  </si>
  <si>
    <t>p_JP155</t>
  </si>
  <si>
    <t>p_JP219</t>
  </si>
  <si>
    <t>p_JP296</t>
  </si>
  <si>
    <t>p_JP74</t>
  </si>
  <si>
    <t>p_JP137</t>
  </si>
  <si>
    <t>p_JP50</t>
  </si>
  <si>
    <t>p_JP49</t>
  </si>
  <si>
    <t>p_JP249</t>
  </si>
  <si>
    <t>p_JP175</t>
  </si>
  <si>
    <t>p_JP306</t>
  </si>
  <si>
    <t>p_JP25</t>
  </si>
  <si>
    <t>p_JP101</t>
  </si>
  <si>
    <t>p_JP100</t>
  </si>
  <si>
    <t>p_JP103</t>
  </si>
  <si>
    <t>p_JP111</t>
  </si>
  <si>
    <t>p_JP109</t>
  </si>
  <si>
    <t>p_JP108</t>
  </si>
  <si>
    <t>p_JP107</t>
  </si>
  <si>
    <t>p_JP110</t>
  </si>
  <si>
    <t>p_JP120</t>
  </si>
  <si>
    <t>p_JP73</t>
  </si>
  <si>
    <t>p_w179863079</t>
  </si>
  <si>
    <t>p_w801582512</t>
  </si>
  <si>
    <t>p_JP5</t>
  </si>
  <si>
    <t>p_JP1</t>
  </si>
  <si>
    <t>p_JP2</t>
  </si>
  <si>
    <t>p_JP8</t>
  </si>
  <si>
    <t>p_JP7</t>
  </si>
  <si>
    <t>p_JP6</t>
  </si>
  <si>
    <t>p_JP4</t>
  </si>
  <si>
    <t>p_JP3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</si>
  <si>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</si>
  <si>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</si>
  <si>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</si>
  <si>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</si>
  <si>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</si>
  <si>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</si>
  <si>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</si>
  <si>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</si>
  <si>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</si>
  <si>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</si>
  <si>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rez_spv_011</t>
  </si>
  <si>
    <t>rez_spv_012</t>
  </si>
  <si>
    <t>rez_spv_013</t>
  </si>
  <si>
    <t>rez_spv_014</t>
  </si>
  <si>
    <t>rez_spv_015</t>
  </si>
  <si>
    <t>rez_spv_016</t>
  </si>
  <si>
    <t>rez_spv_017</t>
  </si>
  <si>
    <t>rez_spv_018</t>
  </si>
  <si>
    <t>rez_spv_019</t>
  </si>
  <si>
    <t>rez_spv_020</t>
  </si>
  <si>
    <t>rez_spv_021</t>
  </si>
  <si>
    <t>rez_spv_022</t>
  </si>
  <si>
    <t>rez_spv_023</t>
  </si>
  <si>
    <t>rez_spv_024</t>
  </si>
  <si>
    <t>rez_spv_025</t>
  </si>
  <si>
    <t>rez_spv_026</t>
  </si>
  <si>
    <t>rez_spv_027</t>
  </si>
  <si>
    <t>rez_spv_028</t>
  </si>
  <si>
    <t>rez_spv_029</t>
  </si>
  <si>
    <t>rez_spv_030</t>
  </si>
  <si>
    <t>rez_spv_031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</si>
  <si>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</si>
  <si>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</si>
  <si>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</si>
  <si>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</si>
  <si>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</si>
  <si>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</si>
  <si>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</si>
  <si>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</si>
  <si>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</si>
  <si>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</si>
  <si>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rez_won_011</t>
  </si>
  <si>
    <t>rez_won_012</t>
  </si>
  <si>
    <t>rez_won_013</t>
  </si>
  <si>
    <t>rez_won_014</t>
  </si>
  <si>
    <t>rez_won_015</t>
  </si>
  <si>
    <t>rez_won_016</t>
  </si>
  <si>
    <t>rez_won_017</t>
  </si>
  <si>
    <t>rez_won_018</t>
  </si>
  <si>
    <t>rez_won_019</t>
  </si>
  <si>
    <t>rez_won_020</t>
  </si>
  <si>
    <t>rez_won_021</t>
  </si>
  <si>
    <t>rez_won_022</t>
  </si>
  <si>
    <t>rez_won_023</t>
  </si>
  <si>
    <t>rez_won_024</t>
  </si>
  <si>
    <t>rez_won_025</t>
  </si>
  <si>
    <t>rez_won_026</t>
  </si>
  <si>
    <t>rez_won_027</t>
  </si>
  <si>
    <t>rez_won_028</t>
  </si>
  <si>
    <t>rez_won_029</t>
  </si>
  <si>
    <t>rez_won_030</t>
  </si>
  <si>
    <t>rez_won_031</t>
  </si>
  <si>
    <t>rez_wof_001</t>
  </si>
  <si>
    <t>rez_wof_002</t>
  </si>
  <si>
    <t>rez_wof_003</t>
  </si>
  <si>
    <t>rez_wof_004</t>
  </si>
  <si>
    <t>rez_wof_005</t>
  </si>
  <si>
    <t>rez_wof_006</t>
  </si>
  <si>
    <t>rez_wof_007</t>
  </si>
  <si>
    <t>rez_wof_008</t>
  </si>
  <si>
    <t>rez_wof_009</t>
  </si>
  <si>
    <t>rez_wof_010</t>
  </si>
  <si>
    <t>rez_wof_011</t>
  </si>
  <si>
    <t>rez_wof_012</t>
  </si>
  <si>
    <t>rez_wof_013</t>
  </si>
  <si>
    <t>rez_wof_014</t>
  </si>
  <si>
    <t>rez_wof_015</t>
  </si>
  <si>
    <t>rez_wof_016</t>
  </si>
  <si>
    <t>rez_wof_017</t>
  </si>
  <si>
    <t>rez_wof_018</t>
  </si>
  <si>
    <t>rez_wof_019</t>
  </si>
  <si>
    <t>rez_wof_020</t>
  </si>
  <si>
    <t>rez_wof_021</t>
  </si>
  <si>
    <t>rez_wof_022</t>
  </si>
  <si>
    <t>rez_wof_023</t>
  </si>
  <si>
    <t>rez_wof_024</t>
  </si>
  <si>
    <t>rez_wof_025</t>
  </si>
  <si>
    <t>rez_wof_026</t>
  </si>
  <si>
    <t>rez_wof_027</t>
  </si>
  <si>
    <t>rez_wof_028</t>
  </si>
  <si>
    <t>rez_wof_029</t>
  </si>
  <si>
    <t>rez_wof_030</t>
  </si>
  <si>
    <t>rez_wof_031</t>
  </si>
  <si>
    <t>rez_wof_032</t>
  </si>
  <si>
    <t>rez_wof_033</t>
  </si>
  <si>
    <t>rez_wof_034</t>
  </si>
  <si>
    <t>rez_wof_035</t>
  </si>
  <si>
    <t>rez_wof_036</t>
  </si>
  <si>
    <t>rez_wof_037</t>
  </si>
  <si>
    <t>rez_wof_038</t>
  </si>
  <si>
    <t>rez_wof_039</t>
  </si>
  <si>
    <t>rez_wof_040</t>
  </si>
  <si>
    <t>rez_wof_041</t>
  </si>
  <si>
    <t>rez_wof_042</t>
  </si>
  <si>
    <t>rez_wof_043</t>
  </si>
  <si>
    <t>rez_wof_044</t>
  </si>
  <si>
    <t>admin_1</t>
  </si>
  <si>
    <t>Gunma</t>
  </si>
  <si>
    <t>Kagawa</t>
  </si>
  <si>
    <t>Fukushima</t>
  </si>
  <si>
    <t>Tochigi</t>
  </si>
  <si>
    <t>Chiba</t>
  </si>
  <si>
    <t>Miyagi</t>
  </si>
  <si>
    <t>Ōsaka</t>
  </si>
  <si>
    <t>Wakayama</t>
  </si>
  <si>
    <t>Hyōgo</t>
  </si>
  <si>
    <t>Aichi</t>
  </si>
  <si>
    <t>Saitama</t>
  </si>
  <si>
    <t>Ibaraki</t>
  </si>
  <si>
    <t>Tokyo</t>
  </si>
  <si>
    <t>Kanagawa</t>
  </si>
  <si>
    <t>Yamanashi</t>
  </si>
  <si>
    <t>Shizuoka</t>
  </si>
  <si>
    <t>Nara</t>
  </si>
  <si>
    <t>Shiga</t>
  </si>
  <si>
    <t>Gifu</t>
  </si>
  <si>
    <t>Kyōto</t>
  </si>
  <si>
    <t>Toyama</t>
  </si>
  <si>
    <t>Ishikawa</t>
  </si>
  <si>
    <t>Mie</t>
  </si>
  <si>
    <t>Hiroshima</t>
  </si>
  <si>
    <t>Ehime</t>
  </si>
  <si>
    <t>Fukuoka</t>
  </si>
  <si>
    <t>Iwate</t>
  </si>
  <si>
    <t>Saga</t>
  </si>
  <si>
    <t>Unknown</t>
  </si>
  <si>
    <t>Yamaguchi</t>
  </si>
  <si>
    <t>Nagano</t>
  </si>
  <si>
    <t>Kagoshima</t>
  </si>
  <si>
    <t>Kumamoto</t>
  </si>
  <si>
    <t>Ōita</t>
  </si>
  <si>
    <t>Miyazaki</t>
  </si>
  <si>
    <t>Okayama</t>
  </si>
  <si>
    <t>Tottori</t>
  </si>
  <si>
    <t>Tokushima</t>
  </si>
  <si>
    <t>Fukui</t>
  </si>
  <si>
    <t>Shimane</t>
  </si>
  <si>
    <t>Aomori</t>
  </si>
  <si>
    <t>Niigata</t>
  </si>
  <si>
    <t>Nagasaki</t>
  </si>
  <si>
    <t>Hokkaidō</t>
  </si>
  <si>
    <t>Akita</t>
  </si>
  <si>
    <t>Okinawa</t>
  </si>
  <si>
    <t>~geolocation</t>
  </si>
  <si>
    <t>region</t>
  </si>
  <si>
    <t>lat</t>
  </si>
  <si>
    <t>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</si>
</sst>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1595-4651-4682-AE2C-4C2356B80CEF}">
  <dimension ref="A1:U60"/>
  <sheetViews>
    <sheetView zoomScaleNormal="100" workbookViewId="0">
      <selection activeCell="B5" sqref="B5"/>
    </sheetView>
  </sheetViews>
  <sheetFormatPr defaultColWidth="14.73046875" defaultRowHeight="14.25"/>
  <cols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5" max="15" width="1.73046875" bestFit="1" customWidth="1"/>
    <col min="17" max="17" width="4.6640625" bestFit="1" customWidth="1"/>
  </cols>
  <sheetData>
    <row r="1" spans="1:21">
      <c r="I1" t="s">
        <v>37</v>
      </c>
    </row>
    <row r="2" spans="1:21">
      <c r="I2" t="s">
        <v>260</v>
      </c>
      <c r="J2" t="s">
        <v>124</v>
      </c>
    </row>
    <row r="5" spans="1:21">
      <c r="A5" t="s">
        <v>120</v>
      </c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</row>
    <row r="6" spans="1:21">
      <c r="A6">
        <v>1</v>
      </c>
      <c r="B6" t="str">
        <f t="shared" ref="B6:B60" si="0">"vstacks_"&amp;VLOOKUP(A6,$S$6:$T$18,2,FALSE)&amp;"~"&amp;TEXT(O6,"0000")</f>
        <v>vstacks_s1p1v1_d~0001</v>
      </c>
      <c r="C6" t="str">
        <f>H6</f>
        <v>e 1.5 deg no OS.e3d</v>
      </c>
      <c r="H6" t="str">
        <f>_xlfn.TEXTJOIN(".",TRUE,I6:J6)</f>
        <v>e 1.5 deg no OS.e3d</v>
      </c>
      <c r="I6" t="s">
        <v>258</v>
      </c>
      <c r="J6" t="str">
        <f>Q6</f>
        <v>e3d</v>
      </c>
      <c r="L6" t="s">
        <v>250</v>
      </c>
      <c r="O6">
        <v>1</v>
      </c>
      <c r="Q6" t="str">
        <f>VLOOKUP(A6,$S$6:$U$17,3,FALSE)</f>
        <v>e3d</v>
      </c>
      <c r="S6">
        <v>1</v>
      </c>
      <c r="T6" t="s">
        <v>230</v>
      </c>
      <c r="U6" t="s">
        <v>244</v>
      </c>
    </row>
    <row r="7" spans="1:21">
      <c r="A7">
        <v>1</v>
      </c>
      <c r="B7" t="str">
        <f t="shared" si="0"/>
        <v>vstacks_s1p1v1_d~0002</v>
      </c>
      <c r="C7" t="str">
        <f t="shared" ref="C7:C60" si="1">H7</f>
        <v>d 1.5 deg OS.e3d</v>
      </c>
      <c r="H7" t="str">
        <f t="shared" ref="H7:H60" si="2">_xlfn.TEXTJOIN(".",TRUE,I7:J7)</f>
        <v>d 1.5 deg OS.e3d</v>
      </c>
      <c r="I7" t="s">
        <v>257</v>
      </c>
      <c r="J7" t="str">
        <f t="shared" ref="J7:J60" si="3">Q7</f>
        <v>e3d</v>
      </c>
      <c r="L7" t="s">
        <v>251</v>
      </c>
      <c r="O7">
        <v>2</v>
      </c>
      <c r="Q7" t="str">
        <f t="shared" ref="Q7:Q60" si="4">VLOOKUP(A7,$S$6:$U$17,3,FALSE)</f>
        <v>e3d</v>
      </c>
      <c r="S7">
        <v>2</v>
      </c>
      <c r="T7" t="s">
        <v>231</v>
      </c>
      <c r="U7" t="s">
        <v>241</v>
      </c>
    </row>
    <row r="8" spans="1:21">
      <c r="A8">
        <v>1</v>
      </c>
      <c r="B8" t="str">
        <f t="shared" si="0"/>
        <v>vstacks_s1p1v1_d~0003</v>
      </c>
      <c r="C8" t="str">
        <f t="shared" si="1"/>
        <v>c 2 deg (67%).e3d</v>
      </c>
      <c r="H8" t="str">
        <f t="shared" si="2"/>
        <v>c 2 deg (67%).e3d</v>
      </c>
      <c r="I8" t="s">
        <v>256</v>
      </c>
      <c r="J8" t="str">
        <f t="shared" si="3"/>
        <v>e3d</v>
      </c>
      <c r="L8" t="s">
        <v>252</v>
      </c>
      <c r="O8">
        <v>3</v>
      </c>
      <c r="Q8" t="str">
        <f t="shared" si="4"/>
        <v>e3d</v>
      </c>
      <c r="S8">
        <v>3</v>
      </c>
      <c r="T8" t="s">
        <v>232</v>
      </c>
      <c r="U8" t="s">
        <v>242</v>
      </c>
    </row>
    <row r="9" spans="1:21">
      <c r="A9">
        <v>1</v>
      </c>
      <c r="B9" t="str">
        <f t="shared" si="0"/>
        <v>vstacks_s1p1v1_d~0004</v>
      </c>
      <c r="C9" t="str">
        <f t="shared" si="1"/>
        <v>b 2 deg (50%).e3d</v>
      </c>
      <c r="H9" t="str">
        <f t="shared" si="2"/>
        <v>b 2 deg (50%).e3d</v>
      </c>
      <c r="I9" t="s">
        <v>255</v>
      </c>
      <c r="J9" t="str">
        <f t="shared" si="3"/>
        <v>e3d</v>
      </c>
      <c r="L9" t="s">
        <v>253</v>
      </c>
      <c r="O9">
        <v>4</v>
      </c>
      <c r="Q9" t="str">
        <f t="shared" si="4"/>
        <v>e3d</v>
      </c>
      <c r="S9">
        <v>4</v>
      </c>
      <c r="T9" t="s">
        <v>233</v>
      </c>
      <c r="U9" t="s">
        <v>240</v>
      </c>
    </row>
    <row r="10" spans="1:21">
      <c r="A10">
        <v>1</v>
      </c>
      <c r="B10" t="str">
        <f t="shared" si="0"/>
        <v>vstacks_s1p1v1_d~0005</v>
      </c>
      <c r="C10" t="str">
        <f t="shared" si="1"/>
        <v>a 3 deg.e3d</v>
      </c>
      <c r="H10" t="str">
        <f t="shared" si="2"/>
        <v>a 3 deg.e3d</v>
      </c>
      <c r="I10" t="s">
        <v>259</v>
      </c>
      <c r="J10" t="str">
        <f t="shared" si="3"/>
        <v>e3d</v>
      </c>
      <c r="L10" t="s">
        <v>254</v>
      </c>
      <c r="O10">
        <v>5</v>
      </c>
      <c r="Q10" t="str">
        <f t="shared" si="4"/>
        <v>e3d</v>
      </c>
      <c r="S10">
        <v>5</v>
      </c>
      <c r="T10" t="s">
        <v>234</v>
      </c>
      <c r="U10" t="s">
        <v>247</v>
      </c>
    </row>
    <row r="11" spans="1:21">
      <c r="A11">
        <f>A6+1</f>
        <v>2</v>
      </c>
      <c r="B11" t="str">
        <f t="shared" si="0"/>
        <v>vstacks_s3p3v3_d~0001</v>
      </c>
      <c r="C11" t="str">
        <f t="shared" si="1"/>
        <v>e 1.5 deg no OS.d9d</v>
      </c>
      <c r="H11" t="str">
        <f t="shared" si="2"/>
        <v>e 1.5 deg no OS.d9d</v>
      </c>
      <c r="I11" t="str">
        <f>I6</f>
        <v>e 1.5 deg no OS</v>
      </c>
      <c r="J11" t="str">
        <f t="shared" si="3"/>
        <v>d9d</v>
      </c>
      <c r="O11">
        <f>O6</f>
        <v>1</v>
      </c>
      <c r="Q11" t="str">
        <f t="shared" si="4"/>
        <v>d9d</v>
      </c>
      <c r="S11">
        <v>6</v>
      </c>
      <c r="T11" t="s">
        <v>235</v>
      </c>
      <c r="U11" t="s">
        <v>246</v>
      </c>
    </row>
    <row r="12" spans="1:21">
      <c r="A12">
        <f t="shared" ref="A12:A60" si="5">A7+1</f>
        <v>2</v>
      </c>
      <c r="B12" t="str">
        <f t="shared" si="0"/>
        <v>vstacks_s3p3v3_d~0002</v>
      </c>
      <c r="C12" t="str">
        <f t="shared" si="1"/>
        <v>d 1.5 deg OS.d9d</v>
      </c>
      <c r="H12" t="str">
        <f t="shared" si="2"/>
        <v>d 1.5 deg OS.d9d</v>
      </c>
      <c r="I12" t="str">
        <f t="shared" ref="I12:I60" si="6">I7</f>
        <v>d 1.5 deg OS</v>
      </c>
      <c r="J12" t="str">
        <f t="shared" si="3"/>
        <v>d9d</v>
      </c>
      <c r="O12">
        <f t="shared" ref="O12:O60" si="7">O7</f>
        <v>2</v>
      </c>
      <c r="Q12" t="str">
        <f t="shared" si="4"/>
        <v>d9d</v>
      </c>
      <c r="S12">
        <v>7</v>
      </c>
      <c r="T12" t="s">
        <v>236</v>
      </c>
      <c r="U12" t="s">
        <v>245</v>
      </c>
    </row>
    <row r="13" spans="1:21">
      <c r="A13">
        <f t="shared" si="5"/>
        <v>2</v>
      </c>
      <c r="B13" t="str">
        <f t="shared" si="0"/>
        <v>vstacks_s3p3v3_d~0003</v>
      </c>
      <c r="C13" t="str">
        <f t="shared" si="1"/>
        <v>c 2 deg (67%).d9d</v>
      </c>
      <c r="H13" t="str">
        <f t="shared" si="2"/>
        <v>c 2 deg (67%).d9d</v>
      </c>
      <c r="I13" t="str">
        <f t="shared" si="6"/>
        <v>c 2 deg (67%)</v>
      </c>
      <c r="J13" t="str">
        <f t="shared" si="3"/>
        <v>d9d</v>
      </c>
      <c r="O13">
        <f t="shared" si="7"/>
        <v>3</v>
      </c>
      <c r="Q13" t="str">
        <f t="shared" si="4"/>
        <v>d9d</v>
      </c>
      <c r="S13">
        <v>8</v>
      </c>
      <c r="T13" t="s">
        <v>237</v>
      </c>
      <c r="U13" t="s">
        <v>243</v>
      </c>
    </row>
    <row r="14" spans="1:21">
      <c r="A14">
        <f t="shared" si="5"/>
        <v>2</v>
      </c>
      <c r="B14" t="str">
        <f t="shared" si="0"/>
        <v>vstacks_s3p3v3_d~0004</v>
      </c>
      <c r="C14" t="str">
        <f t="shared" si="1"/>
        <v>b 2 deg (50%).d9d</v>
      </c>
      <c r="H14" t="str">
        <f t="shared" si="2"/>
        <v>b 2 deg (50%).d9d</v>
      </c>
      <c r="I14" t="str">
        <f t="shared" si="6"/>
        <v>b 2 deg (50%)</v>
      </c>
      <c r="J14" t="str">
        <f t="shared" si="3"/>
        <v>d9d</v>
      </c>
      <c r="O14">
        <f t="shared" si="7"/>
        <v>4</v>
      </c>
      <c r="Q14" t="str">
        <f t="shared" si="4"/>
        <v>d9d</v>
      </c>
      <c r="S14">
        <v>9</v>
      </c>
      <c r="T14" t="s">
        <v>239</v>
      </c>
      <c r="U14" t="s">
        <v>248</v>
      </c>
    </row>
    <row r="15" spans="1:21">
      <c r="A15">
        <f t="shared" si="5"/>
        <v>2</v>
      </c>
      <c r="B15" t="str">
        <f t="shared" si="0"/>
        <v>vstacks_s3p3v3_d~0005</v>
      </c>
      <c r="C15" t="str">
        <f t="shared" si="1"/>
        <v>a 3 deg.d9d</v>
      </c>
      <c r="H15" t="str">
        <f t="shared" si="2"/>
        <v>a 3 deg.d9d</v>
      </c>
      <c r="I15" t="str">
        <f t="shared" si="6"/>
        <v>a 3 deg</v>
      </c>
      <c r="J15" t="str">
        <f t="shared" si="3"/>
        <v>d9d</v>
      </c>
      <c r="O15">
        <f t="shared" si="7"/>
        <v>5</v>
      </c>
      <c r="Q15" t="str">
        <f t="shared" si="4"/>
        <v>d9d</v>
      </c>
      <c r="S15">
        <v>10</v>
      </c>
      <c r="T15" t="s">
        <v>238</v>
      </c>
      <c r="U15" t="s">
        <v>249</v>
      </c>
    </row>
    <row r="16" spans="1:21">
      <c r="A16">
        <f t="shared" si="5"/>
        <v>3</v>
      </c>
      <c r="B16" t="str">
        <f t="shared" si="0"/>
        <v>vstacks_s2_w~0001</v>
      </c>
      <c r="C16" t="str">
        <f t="shared" si="1"/>
        <v>e 1.5 deg no OS.b2w</v>
      </c>
      <c r="H16" t="str">
        <f t="shared" si="2"/>
        <v>e 1.5 deg no OS.b2w</v>
      </c>
      <c r="I16" t="str">
        <f t="shared" si="6"/>
        <v>e 1.5 deg no OS</v>
      </c>
      <c r="J16" t="str">
        <f t="shared" si="3"/>
        <v>b2w</v>
      </c>
      <c r="O16">
        <f t="shared" si="7"/>
        <v>1</v>
      </c>
      <c r="Q16" t="str">
        <f t="shared" si="4"/>
        <v>b2w</v>
      </c>
      <c r="S16">
        <v>11</v>
      </c>
      <c r="T16" t="s">
        <v>262</v>
      </c>
      <c r="U16" t="s">
        <v>263</v>
      </c>
    </row>
    <row r="17" spans="1:17">
      <c r="A17">
        <f t="shared" si="5"/>
        <v>3</v>
      </c>
      <c r="B17" t="str">
        <f t="shared" si="0"/>
        <v>vstacks_s2_w~0002</v>
      </c>
      <c r="C17" t="str">
        <f t="shared" si="1"/>
        <v>d 1.5 deg OS.b2w</v>
      </c>
      <c r="H17" t="str">
        <f t="shared" si="2"/>
        <v>d 1.5 deg OS.b2w</v>
      </c>
      <c r="I17" t="str">
        <f t="shared" si="6"/>
        <v>d 1.5 deg OS</v>
      </c>
      <c r="J17" t="str">
        <f t="shared" si="3"/>
        <v>b2w</v>
      </c>
      <c r="O17">
        <f t="shared" si="7"/>
        <v>2</v>
      </c>
      <c r="Q17" t="str">
        <f t="shared" si="4"/>
        <v>b2w</v>
      </c>
    </row>
    <row r="18" spans="1:17">
      <c r="A18">
        <f t="shared" si="5"/>
        <v>3</v>
      </c>
      <c r="B18" t="str">
        <f t="shared" si="0"/>
        <v>vstacks_s2_w~0003</v>
      </c>
      <c r="C18" t="str">
        <f t="shared" si="1"/>
        <v>c 2 deg (67%).b2w</v>
      </c>
      <c r="H18" t="str">
        <f t="shared" si="2"/>
        <v>c 2 deg (67%).b2w</v>
      </c>
      <c r="I18" t="str">
        <f t="shared" si="6"/>
        <v>c 2 deg (67%)</v>
      </c>
      <c r="J18" t="str">
        <f t="shared" si="3"/>
        <v>b2w</v>
      </c>
      <c r="O18">
        <f t="shared" si="7"/>
        <v>3</v>
      </c>
      <c r="Q18" t="str">
        <f t="shared" si="4"/>
        <v>b2w</v>
      </c>
    </row>
    <row r="19" spans="1:17">
      <c r="A19">
        <f t="shared" si="5"/>
        <v>3</v>
      </c>
      <c r="B19" t="str">
        <f t="shared" si="0"/>
        <v>vstacks_s2_w~0004</v>
      </c>
      <c r="C19" t="str">
        <f t="shared" si="1"/>
        <v>b 2 deg (50%).b2w</v>
      </c>
      <c r="H19" t="str">
        <f t="shared" si="2"/>
        <v>b 2 deg (50%).b2w</v>
      </c>
      <c r="I19" t="str">
        <f t="shared" si="6"/>
        <v>b 2 deg (50%)</v>
      </c>
      <c r="J19" t="str">
        <f t="shared" si="3"/>
        <v>b2w</v>
      </c>
      <c r="O19">
        <f t="shared" si="7"/>
        <v>4</v>
      </c>
      <c r="Q19" t="str">
        <f t="shared" si="4"/>
        <v>b2w</v>
      </c>
    </row>
    <row r="20" spans="1:17">
      <c r="A20">
        <f t="shared" si="5"/>
        <v>3</v>
      </c>
      <c r="B20" t="str">
        <f t="shared" si="0"/>
        <v>vstacks_s2_w~0005</v>
      </c>
      <c r="C20" t="str">
        <f t="shared" si="1"/>
        <v>a 3 deg.b2w</v>
      </c>
      <c r="H20" t="str">
        <f t="shared" si="2"/>
        <v>a 3 deg.b2w</v>
      </c>
      <c r="I20" t="str">
        <f t="shared" si="6"/>
        <v>a 3 deg</v>
      </c>
      <c r="J20" t="str">
        <f t="shared" si="3"/>
        <v>b2w</v>
      </c>
      <c r="O20">
        <f t="shared" si="7"/>
        <v>5</v>
      </c>
      <c r="Q20" t="str">
        <f t="shared" si="4"/>
        <v>b2w</v>
      </c>
    </row>
    <row r="21" spans="1:17">
      <c r="A21">
        <f t="shared" si="5"/>
        <v>4</v>
      </c>
      <c r="B21" t="str">
        <f t="shared" si="0"/>
        <v>vstacks_s2_w_p2_d~0001</v>
      </c>
      <c r="C21" t="str">
        <f t="shared" si="1"/>
        <v>e 1.5 deg no OS.a2w2d</v>
      </c>
      <c r="H21" t="str">
        <f t="shared" si="2"/>
        <v>e 1.5 deg no OS.a2w2d</v>
      </c>
      <c r="I21" t="str">
        <f t="shared" si="6"/>
        <v>e 1.5 deg no OS</v>
      </c>
      <c r="J21" t="str">
        <f t="shared" si="3"/>
        <v>a2w2d</v>
      </c>
      <c r="O21">
        <f t="shared" si="7"/>
        <v>1</v>
      </c>
      <c r="Q21" t="str">
        <f t="shared" si="4"/>
        <v>a2w2d</v>
      </c>
    </row>
    <row r="22" spans="1:17">
      <c r="A22">
        <f t="shared" si="5"/>
        <v>4</v>
      </c>
      <c r="B22" t="str">
        <f t="shared" si="0"/>
        <v>vstacks_s2_w_p2_d~0002</v>
      </c>
      <c r="C22" t="str">
        <f t="shared" si="1"/>
        <v>d 1.5 deg OS.a2w2d</v>
      </c>
      <c r="H22" t="str">
        <f t="shared" si="2"/>
        <v>d 1.5 deg OS.a2w2d</v>
      </c>
      <c r="I22" t="str">
        <f t="shared" si="6"/>
        <v>d 1.5 deg OS</v>
      </c>
      <c r="J22" t="str">
        <f t="shared" si="3"/>
        <v>a2w2d</v>
      </c>
      <c r="O22">
        <f t="shared" si="7"/>
        <v>2</v>
      </c>
      <c r="Q22" t="str">
        <f t="shared" si="4"/>
        <v>a2w2d</v>
      </c>
    </row>
    <row r="23" spans="1:17">
      <c r="A23">
        <f t="shared" si="5"/>
        <v>4</v>
      </c>
      <c r="B23" t="str">
        <f t="shared" si="0"/>
        <v>vstacks_s2_w_p2_d~0003</v>
      </c>
      <c r="C23" t="str">
        <f t="shared" si="1"/>
        <v>c 2 deg (67%).a2w2d</v>
      </c>
      <c r="H23" t="str">
        <f t="shared" si="2"/>
        <v>c 2 deg (67%).a2w2d</v>
      </c>
      <c r="I23" t="str">
        <f t="shared" si="6"/>
        <v>c 2 deg (67%)</v>
      </c>
      <c r="J23" t="str">
        <f t="shared" si="3"/>
        <v>a2w2d</v>
      </c>
      <c r="O23">
        <f t="shared" si="7"/>
        <v>3</v>
      </c>
      <c r="Q23" t="str">
        <f t="shared" si="4"/>
        <v>a2w2d</v>
      </c>
    </row>
    <row r="24" spans="1:17">
      <c r="A24">
        <f t="shared" si="5"/>
        <v>4</v>
      </c>
      <c r="B24" t="str">
        <f t="shared" si="0"/>
        <v>vstacks_s2_w_p2_d~0004</v>
      </c>
      <c r="C24" t="str">
        <f t="shared" si="1"/>
        <v>b 2 deg (50%).a2w2d</v>
      </c>
      <c r="H24" t="str">
        <f t="shared" si="2"/>
        <v>b 2 deg (50%).a2w2d</v>
      </c>
      <c r="I24" t="str">
        <f t="shared" si="6"/>
        <v>b 2 deg (50%)</v>
      </c>
      <c r="J24" t="str">
        <f t="shared" si="3"/>
        <v>a2w2d</v>
      </c>
      <c r="O24">
        <f t="shared" si="7"/>
        <v>4</v>
      </c>
      <c r="Q24" t="str">
        <f t="shared" si="4"/>
        <v>a2w2d</v>
      </c>
    </row>
    <row r="25" spans="1:17">
      <c r="A25">
        <f t="shared" si="5"/>
        <v>4</v>
      </c>
      <c r="B25" t="str">
        <f t="shared" si="0"/>
        <v>vstacks_s2_w_p2_d~0005</v>
      </c>
      <c r="C25" t="str">
        <f t="shared" si="1"/>
        <v>a 3 deg.a2w2d</v>
      </c>
      <c r="H25" t="str">
        <f t="shared" si="2"/>
        <v>a 3 deg.a2w2d</v>
      </c>
      <c r="I25" t="str">
        <f t="shared" si="6"/>
        <v>a 3 deg</v>
      </c>
      <c r="J25" t="str">
        <f t="shared" si="3"/>
        <v>a2w2d</v>
      </c>
      <c r="O25">
        <f t="shared" si="7"/>
        <v>5</v>
      </c>
      <c r="Q25" t="str">
        <f t="shared" si="4"/>
        <v>a2w2d</v>
      </c>
    </row>
    <row r="26" spans="1:17">
      <c r="A26">
        <f t="shared" si="5"/>
        <v>5</v>
      </c>
      <c r="B26" t="str">
        <f t="shared" si="0"/>
        <v>vstacks_ts12_clu~0001</v>
      </c>
      <c r="C26" t="str">
        <f t="shared" si="1"/>
        <v>e 1.5 deg no OS.hTS12c</v>
      </c>
      <c r="H26" t="str">
        <f t="shared" si="2"/>
        <v>e 1.5 deg no OS.hTS12c</v>
      </c>
      <c r="I26" t="str">
        <f t="shared" si="6"/>
        <v>e 1.5 deg no OS</v>
      </c>
      <c r="J26" t="str">
        <f t="shared" si="3"/>
        <v>hTS12c</v>
      </c>
      <c r="O26">
        <f t="shared" si="7"/>
        <v>1</v>
      </c>
      <c r="Q26" t="str">
        <f t="shared" si="4"/>
        <v>hTS12c</v>
      </c>
    </row>
    <row r="27" spans="1:17">
      <c r="A27">
        <f t="shared" si="5"/>
        <v>5</v>
      </c>
      <c r="B27" t="str">
        <f t="shared" si="0"/>
        <v>vstacks_ts12_clu~0002</v>
      </c>
      <c r="C27" t="str">
        <f t="shared" si="1"/>
        <v>d 1.5 deg OS.hTS12c</v>
      </c>
      <c r="H27" t="str">
        <f t="shared" si="2"/>
        <v>d 1.5 deg OS.hTS12c</v>
      </c>
      <c r="I27" t="str">
        <f t="shared" si="6"/>
        <v>d 1.5 deg OS</v>
      </c>
      <c r="J27" t="str">
        <f t="shared" si="3"/>
        <v>hTS12c</v>
      </c>
      <c r="O27">
        <f t="shared" si="7"/>
        <v>2</v>
      </c>
      <c r="Q27" t="str">
        <f t="shared" si="4"/>
        <v>hTS12c</v>
      </c>
    </row>
    <row r="28" spans="1:17">
      <c r="A28">
        <f t="shared" si="5"/>
        <v>5</v>
      </c>
      <c r="B28" t="str">
        <f t="shared" si="0"/>
        <v>vstacks_ts12_clu~0003</v>
      </c>
      <c r="C28" t="str">
        <f t="shared" si="1"/>
        <v>c 2 deg (67%).hTS12c</v>
      </c>
      <c r="H28" t="str">
        <f t="shared" si="2"/>
        <v>c 2 deg (67%).hTS12c</v>
      </c>
      <c r="I28" t="str">
        <f t="shared" si="6"/>
        <v>c 2 deg (67%)</v>
      </c>
      <c r="J28" t="str">
        <f t="shared" si="3"/>
        <v>hTS12c</v>
      </c>
      <c r="O28">
        <f t="shared" si="7"/>
        <v>3</v>
      </c>
      <c r="Q28" t="str">
        <f t="shared" si="4"/>
        <v>hTS12c</v>
      </c>
    </row>
    <row r="29" spans="1:17">
      <c r="A29">
        <f t="shared" si="5"/>
        <v>5</v>
      </c>
      <c r="B29" t="str">
        <f t="shared" si="0"/>
        <v>vstacks_ts12_clu~0004</v>
      </c>
      <c r="C29" t="str">
        <f t="shared" si="1"/>
        <v>b 2 deg (50%).hTS12c</v>
      </c>
      <c r="H29" t="str">
        <f t="shared" si="2"/>
        <v>b 2 deg (50%).hTS12c</v>
      </c>
      <c r="I29" t="str">
        <f t="shared" si="6"/>
        <v>b 2 deg (50%)</v>
      </c>
      <c r="J29" t="str">
        <f t="shared" si="3"/>
        <v>hTS12c</v>
      </c>
      <c r="O29">
        <f t="shared" si="7"/>
        <v>4</v>
      </c>
      <c r="Q29" t="str">
        <f t="shared" si="4"/>
        <v>hTS12c</v>
      </c>
    </row>
    <row r="30" spans="1:17">
      <c r="A30">
        <f t="shared" si="5"/>
        <v>5</v>
      </c>
      <c r="B30" t="str">
        <f t="shared" si="0"/>
        <v>vstacks_ts12_clu~0005</v>
      </c>
      <c r="C30" t="str">
        <f t="shared" si="1"/>
        <v>a 3 deg.hTS12c</v>
      </c>
      <c r="H30" t="str">
        <f t="shared" si="2"/>
        <v>a 3 deg.hTS12c</v>
      </c>
      <c r="I30" t="str">
        <f t="shared" si="6"/>
        <v>a 3 deg</v>
      </c>
      <c r="J30" t="str">
        <f t="shared" si="3"/>
        <v>hTS12c</v>
      </c>
      <c r="O30">
        <f t="shared" si="7"/>
        <v>5</v>
      </c>
      <c r="Q30" t="str">
        <f t="shared" si="4"/>
        <v>hTS12c</v>
      </c>
    </row>
    <row r="31" spans="1:17">
      <c r="A31">
        <f t="shared" si="5"/>
        <v>6</v>
      </c>
      <c r="B31" t="str">
        <f t="shared" si="0"/>
        <v>vstacks_ts24_clu~0001</v>
      </c>
      <c r="C31" t="str">
        <f t="shared" si="1"/>
        <v>e 1.5 deg no OS.gTS24c</v>
      </c>
      <c r="H31" t="str">
        <f t="shared" si="2"/>
        <v>e 1.5 deg no OS.gTS24c</v>
      </c>
      <c r="I31" t="str">
        <f t="shared" si="6"/>
        <v>e 1.5 deg no OS</v>
      </c>
      <c r="J31" t="str">
        <f t="shared" si="3"/>
        <v>gTS24c</v>
      </c>
      <c r="O31">
        <f t="shared" si="7"/>
        <v>1</v>
      </c>
      <c r="Q31" t="str">
        <f t="shared" si="4"/>
        <v>gTS24c</v>
      </c>
    </row>
    <row r="32" spans="1:17">
      <c r="A32">
        <f t="shared" si="5"/>
        <v>6</v>
      </c>
      <c r="B32" t="str">
        <f t="shared" si="0"/>
        <v>vstacks_ts24_clu~0002</v>
      </c>
      <c r="C32" t="str">
        <f t="shared" si="1"/>
        <v>d 1.5 deg OS.gTS24c</v>
      </c>
      <c r="H32" t="str">
        <f t="shared" si="2"/>
        <v>d 1.5 deg OS.gTS24c</v>
      </c>
      <c r="I32" t="str">
        <f t="shared" si="6"/>
        <v>d 1.5 deg OS</v>
      </c>
      <c r="J32" t="str">
        <f t="shared" si="3"/>
        <v>gTS24c</v>
      </c>
      <c r="O32">
        <f t="shared" si="7"/>
        <v>2</v>
      </c>
      <c r="Q32" t="str">
        <f t="shared" si="4"/>
        <v>gTS24c</v>
      </c>
    </row>
    <row r="33" spans="1:17">
      <c r="A33">
        <f t="shared" si="5"/>
        <v>6</v>
      </c>
      <c r="B33" t="str">
        <f t="shared" si="0"/>
        <v>vstacks_ts24_clu~0003</v>
      </c>
      <c r="C33" t="str">
        <f t="shared" si="1"/>
        <v>c 2 deg (67%).gTS24c</v>
      </c>
      <c r="H33" t="str">
        <f t="shared" si="2"/>
        <v>c 2 deg (67%).gTS24c</v>
      </c>
      <c r="I33" t="str">
        <f t="shared" si="6"/>
        <v>c 2 deg (67%)</v>
      </c>
      <c r="J33" t="str">
        <f t="shared" si="3"/>
        <v>gTS24c</v>
      </c>
      <c r="O33">
        <f t="shared" si="7"/>
        <v>3</v>
      </c>
      <c r="Q33" t="str">
        <f t="shared" si="4"/>
        <v>gTS24c</v>
      </c>
    </row>
    <row r="34" spans="1:17">
      <c r="A34">
        <f t="shared" si="5"/>
        <v>6</v>
      </c>
      <c r="B34" t="str">
        <f t="shared" si="0"/>
        <v>vstacks_ts24_clu~0004</v>
      </c>
      <c r="C34" t="str">
        <f t="shared" si="1"/>
        <v>b 2 deg (50%).gTS24c</v>
      </c>
      <c r="H34" t="str">
        <f t="shared" si="2"/>
        <v>b 2 deg (50%).gTS24c</v>
      </c>
      <c r="I34" t="str">
        <f t="shared" si="6"/>
        <v>b 2 deg (50%)</v>
      </c>
      <c r="J34" t="str">
        <f t="shared" si="3"/>
        <v>gTS24c</v>
      </c>
      <c r="O34">
        <f t="shared" si="7"/>
        <v>4</v>
      </c>
      <c r="Q34" t="str">
        <f t="shared" si="4"/>
        <v>gTS24c</v>
      </c>
    </row>
    <row r="35" spans="1:17">
      <c r="A35">
        <f t="shared" si="5"/>
        <v>6</v>
      </c>
      <c r="B35" t="str">
        <f t="shared" si="0"/>
        <v>vstacks_ts24_clu~0005</v>
      </c>
      <c r="C35" t="str">
        <f t="shared" si="1"/>
        <v>a 3 deg.gTS24c</v>
      </c>
      <c r="H35" t="str">
        <f t="shared" si="2"/>
        <v>a 3 deg.gTS24c</v>
      </c>
      <c r="I35" t="str">
        <f t="shared" si="6"/>
        <v>a 3 deg</v>
      </c>
      <c r="J35" t="str">
        <f t="shared" si="3"/>
        <v>gTS24c</v>
      </c>
      <c r="O35">
        <f t="shared" si="7"/>
        <v>5</v>
      </c>
      <c r="Q35" t="str">
        <f t="shared" si="4"/>
        <v>gTS24c</v>
      </c>
    </row>
    <row r="36" spans="1:17">
      <c r="A36">
        <f t="shared" si="5"/>
        <v>7</v>
      </c>
      <c r="B36" t="str">
        <f t="shared" si="0"/>
        <v>vstacks_ts48_clu~0001</v>
      </c>
      <c r="C36" t="str">
        <f t="shared" si="1"/>
        <v>e 1.5 deg no OS.fTS48c</v>
      </c>
      <c r="H36" t="str">
        <f t="shared" si="2"/>
        <v>e 1.5 deg no OS.fTS48c</v>
      </c>
      <c r="I36" t="str">
        <f t="shared" si="6"/>
        <v>e 1.5 deg no OS</v>
      </c>
      <c r="J36" t="str">
        <f t="shared" si="3"/>
        <v>fTS48c</v>
      </c>
      <c r="O36">
        <f t="shared" si="7"/>
        <v>1</v>
      </c>
      <c r="Q36" t="str">
        <f t="shared" si="4"/>
        <v>fTS48c</v>
      </c>
    </row>
    <row r="37" spans="1:17">
      <c r="A37">
        <f t="shared" si="5"/>
        <v>7</v>
      </c>
      <c r="B37" t="str">
        <f t="shared" si="0"/>
        <v>vstacks_ts48_clu~0002</v>
      </c>
      <c r="C37" t="str">
        <f t="shared" si="1"/>
        <v>d 1.5 deg OS.fTS48c</v>
      </c>
      <c r="H37" t="str">
        <f t="shared" si="2"/>
        <v>d 1.5 deg OS.fTS48c</v>
      </c>
      <c r="I37" t="str">
        <f t="shared" si="6"/>
        <v>d 1.5 deg OS</v>
      </c>
      <c r="J37" t="str">
        <f t="shared" si="3"/>
        <v>fTS48c</v>
      </c>
      <c r="O37">
        <f t="shared" si="7"/>
        <v>2</v>
      </c>
      <c r="Q37" t="str">
        <f t="shared" si="4"/>
        <v>fTS48c</v>
      </c>
    </row>
    <row r="38" spans="1:17">
      <c r="A38">
        <f t="shared" si="5"/>
        <v>7</v>
      </c>
      <c r="B38" t="str">
        <f t="shared" si="0"/>
        <v>vstacks_ts48_clu~0003</v>
      </c>
      <c r="C38" t="str">
        <f t="shared" si="1"/>
        <v>c 2 deg (67%).fTS48c</v>
      </c>
      <c r="H38" t="str">
        <f t="shared" si="2"/>
        <v>c 2 deg (67%).fTS48c</v>
      </c>
      <c r="I38" t="str">
        <f t="shared" si="6"/>
        <v>c 2 deg (67%)</v>
      </c>
      <c r="J38" t="str">
        <f t="shared" si="3"/>
        <v>fTS48c</v>
      </c>
      <c r="O38">
        <f t="shared" si="7"/>
        <v>3</v>
      </c>
      <c r="Q38" t="str">
        <f t="shared" si="4"/>
        <v>fTS48c</v>
      </c>
    </row>
    <row r="39" spans="1:17">
      <c r="A39">
        <f t="shared" si="5"/>
        <v>7</v>
      </c>
      <c r="B39" t="str">
        <f t="shared" si="0"/>
        <v>vstacks_ts48_clu~0004</v>
      </c>
      <c r="C39" t="str">
        <f t="shared" si="1"/>
        <v>b 2 deg (50%).fTS48c</v>
      </c>
      <c r="H39" t="str">
        <f t="shared" si="2"/>
        <v>b 2 deg (50%).fTS48c</v>
      </c>
      <c r="I39" t="str">
        <f t="shared" si="6"/>
        <v>b 2 deg (50%)</v>
      </c>
      <c r="J39" t="str">
        <f t="shared" si="3"/>
        <v>fTS48c</v>
      </c>
      <c r="O39">
        <f t="shared" si="7"/>
        <v>4</v>
      </c>
      <c r="Q39" t="str">
        <f t="shared" si="4"/>
        <v>fTS48c</v>
      </c>
    </row>
    <row r="40" spans="1:17">
      <c r="A40">
        <f t="shared" si="5"/>
        <v>7</v>
      </c>
      <c r="B40" t="str">
        <f t="shared" si="0"/>
        <v>vstacks_ts48_clu~0005</v>
      </c>
      <c r="C40" t="str">
        <f t="shared" si="1"/>
        <v>a 3 deg.fTS48c</v>
      </c>
      <c r="H40" t="str">
        <f t="shared" si="2"/>
        <v>a 3 deg.fTS48c</v>
      </c>
      <c r="I40" t="str">
        <f t="shared" si="6"/>
        <v>a 3 deg</v>
      </c>
      <c r="J40" t="str">
        <f t="shared" si="3"/>
        <v>fTS48c</v>
      </c>
      <c r="O40">
        <f t="shared" si="7"/>
        <v>5</v>
      </c>
      <c r="Q40" t="str">
        <f t="shared" si="4"/>
        <v>fTS48c</v>
      </c>
    </row>
    <row r="41" spans="1:17">
      <c r="A41">
        <f t="shared" si="5"/>
        <v>8</v>
      </c>
      <c r="B41" t="str">
        <f t="shared" si="0"/>
        <v>vstacks_s5p5v5_d~0001</v>
      </c>
      <c r="C41" t="str">
        <f t="shared" si="1"/>
        <v>e 1.5 deg no OS.c15d</v>
      </c>
      <c r="H41" t="str">
        <f t="shared" si="2"/>
        <v>e 1.5 deg no OS.c15d</v>
      </c>
      <c r="I41" t="str">
        <f t="shared" si="6"/>
        <v>e 1.5 deg no OS</v>
      </c>
      <c r="J41" t="str">
        <f t="shared" si="3"/>
        <v>c15d</v>
      </c>
      <c r="O41">
        <f t="shared" si="7"/>
        <v>1</v>
      </c>
      <c r="Q41" t="str">
        <f t="shared" si="4"/>
        <v>c15d</v>
      </c>
    </row>
    <row r="42" spans="1:17">
      <c r="A42">
        <f t="shared" si="5"/>
        <v>8</v>
      </c>
      <c r="B42" t="str">
        <f t="shared" si="0"/>
        <v>vstacks_s5p5v5_d~0002</v>
      </c>
      <c r="C42" t="str">
        <f t="shared" si="1"/>
        <v>d 1.5 deg OS.c15d</v>
      </c>
      <c r="H42" t="str">
        <f t="shared" si="2"/>
        <v>d 1.5 deg OS.c15d</v>
      </c>
      <c r="I42" t="str">
        <f t="shared" si="6"/>
        <v>d 1.5 deg OS</v>
      </c>
      <c r="J42" t="str">
        <f t="shared" si="3"/>
        <v>c15d</v>
      </c>
      <c r="O42">
        <f t="shared" si="7"/>
        <v>2</v>
      </c>
      <c r="Q42" t="str">
        <f t="shared" si="4"/>
        <v>c15d</v>
      </c>
    </row>
    <row r="43" spans="1:17">
      <c r="A43">
        <f t="shared" si="5"/>
        <v>8</v>
      </c>
      <c r="B43" t="str">
        <f t="shared" si="0"/>
        <v>vstacks_s5p5v5_d~0003</v>
      </c>
      <c r="C43" t="str">
        <f t="shared" si="1"/>
        <v>c 2 deg (67%).c15d</v>
      </c>
      <c r="H43" t="str">
        <f t="shared" si="2"/>
        <v>c 2 deg (67%).c15d</v>
      </c>
      <c r="I43" t="str">
        <f t="shared" si="6"/>
        <v>c 2 deg (67%)</v>
      </c>
      <c r="J43" t="str">
        <f t="shared" si="3"/>
        <v>c15d</v>
      </c>
      <c r="O43">
        <f t="shared" si="7"/>
        <v>3</v>
      </c>
      <c r="Q43" t="str">
        <f t="shared" si="4"/>
        <v>c15d</v>
      </c>
    </row>
    <row r="44" spans="1:17">
      <c r="A44">
        <f t="shared" si="5"/>
        <v>8</v>
      </c>
      <c r="B44" t="str">
        <f t="shared" si="0"/>
        <v>vstacks_s5p5v5_d~0004</v>
      </c>
      <c r="C44" t="str">
        <f t="shared" si="1"/>
        <v>b 2 deg (50%).c15d</v>
      </c>
      <c r="H44" t="str">
        <f t="shared" si="2"/>
        <v>b 2 deg (50%).c15d</v>
      </c>
      <c r="I44" t="str">
        <f t="shared" si="6"/>
        <v>b 2 deg (50%)</v>
      </c>
      <c r="J44" t="str">
        <f t="shared" si="3"/>
        <v>c15d</v>
      </c>
      <c r="O44">
        <f t="shared" si="7"/>
        <v>4</v>
      </c>
      <c r="Q44" t="str">
        <f t="shared" si="4"/>
        <v>c15d</v>
      </c>
    </row>
    <row r="45" spans="1:17">
      <c r="A45">
        <f t="shared" si="5"/>
        <v>8</v>
      </c>
      <c r="B45" t="str">
        <f t="shared" si="0"/>
        <v>vstacks_s5p5v5_d~0005</v>
      </c>
      <c r="C45" t="str">
        <f t="shared" si="1"/>
        <v>a 3 deg.c15d</v>
      </c>
      <c r="H45" t="str">
        <f t="shared" si="2"/>
        <v>a 3 deg.c15d</v>
      </c>
      <c r="I45" t="str">
        <f t="shared" si="6"/>
        <v>a 3 deg</v>
      </c>
      <c r="J45" t="str">
        <f t="shared" si="3"/>
        <v>c15d</v>
      </c>
      <c r="O45">
        <f t="shared" si="7"/>
        <v>5</v>
      </c>
      <c r="Q45" t="str">
        <f t="shared" si="4"/>
        <v>c15d</v>
      </c>
    </row>
    <row r="46" spans="1:17">
      <c r="A46">
        <f t="shared" si="5"/>
        <v>9</v>
      </c>
      <c r="B46" t="str">
        <f t="shared" si="0"/>
        <v>vstacks_ts_12~0001</v>
      </c>
      <c r="C46" t="str">
        <f t="shared" si="1"/>
        <v>e 1.5 deg no OS.iTS12</v>
      </c>
      <c r="H46" t="str">
        <f t="shared" si="2"/>
        <v>e 1.5 deg no OS.iTS12</v>
      </c>
      <c r="I46" t="str">
        <f t="shared" si="6"/>
        <v>e 1.5 deg no OS</v>
      </c>
      <c r="J46" t="str">
        <f t="shared" si="3"/>
        <v>iTS12</v>
      </c>
      <c r="O46">
        <f t="shared" si="7"/>
        <v>1</v>
      </c>
      <c r="Q46" t="str">
        <f t="shared" si="4"/>
        <v>iTS12</v>
      </c>
    </row>
    <row r="47" spans="1:17">
      <c r="A47">
        <f t="shared" si="5"/>
        <v>9</v>
      </c>
      <c r="B47" t="str">
        <f t="shared" si="0"/>
        <v>vstacks_ts_12~0002</v>
      </c>
      <c r="C47" t="str">
        <f t="shared" si="1"/>
        <v>d 1.5 deg OS.iTS12</v>
      </c>
      <c r="H47" t="str">
        <f t="shared" si="2"/>
        <v>d 1.5 deg OS.iTS12</v>
      </c>
      <c r="I47" t="str">
        <f t="shared" si="6"/>
        <v>d 1.5 deg OS</v>
      </c>
      <c r="J47" t="str">
        <f t="shared" si="3"/>
        <v>iTS12</v>
      </c>
      <c r="O47">
        <f t="shared" si="7"/>
        <v>2</v>
      </c>
      <c r="Q47" t="str">
        <f t="shared" si="4"/>
        <v>iTS12</v>
      </c>
    </row>
    <row r="48" spans="1:17">
      <c r="A48">
        <f t="shared" si="5"/>
        <v>9</v>
      </c>
      <c r="B48" t="str">
        <f t="shared" si="0"/>
        <v>vstacks_ts_12~0003</v>
      </c>
      <c r="C48" t="str">
        <f t="shared" si="1"/>
        <v>c 2 deg (67%).iTS12</v>
      </c>
      <c r="H48" t="str">
        <f t="shared" si="2"/>
        <v>c 2 deg (67%).iTS12</v>
      </c>
      <c r="I48" t="str">
        <f t="shared" si="6"/>
        <v>c 2 deg (67%)</v>
      </c>
      <c r="J48" t="str">
        <f t="shared" si="3"/>
        <v>iTS12</v>
      </c>
      <c r="O48">
        <f t="shared" si="7"/>
        <v>3</v>
      </c>
      <c r="Q48" t="str">
        <f t="shared" si="4"/>
        <v>iTS12</v>
      </c>
    </row>
    <row r="49" spans="1:17">
      <c r="A49">
        <f t="shared" si="5"/>
        <v>9</v>
      </c>
      <c r="B49" t="str">
        <f t="shared" si="0"/>
        <v>vstacks_ts_12~0004</v>
      </c>
      <c r="C49" t="str">
        <f t="shared" si="1"/>
        <v>b 2 deg (50%).iTS12</v>
      </c>
      <c r="H49" t="str">
        <f t="shared" si="2"/>
        <v>b 2 deg (50%).iTS12</v>
      </c>
      <c r="I49" t="str">
        <f t="shared" si="6"/>
        <v>b 2 deg (50%)</v>
      </c>
      <c r="J49" t="str">
        <f t="shared" si="3"/>
        <v>iTS12</v>
      </c>
      <c r="O49">
        <f t="shared" si="7"/>
        <v>4</v>
      </c>
      <c r="Q49" t="str">
        <f t="shared" si="4"/>
        <v>iTS12</v>
      </c>
    </row>
    <row r="50" spans="1:17">
      <c r="A50">
        <f t="shared" si="5"/>
        <v>9</v>
      </c>
      <c r="B50" t="str">
        <f t="shared" si="0"/>
        <v>vstacks_ts_12~0005</v>
      </c>
      <c r="C50" t="str">
        <f t="shared" si="1"/>
        <v>a 3 deg.iTS12</v>
      </c>
      <c r="H50" t="str">
        <f t="shared" si="2"/>
        <v>a 3 deg.iTS12</v>
      </c>
      <c r="I50" t="str">
        <f t="shared" si="6"/>
        <v>a 3 deg</v>
      </c>
      <c r="J50" t="str">
        <f t="shared" si="3"/>
        <v>iTS12</v>
      </c>
      <c r="O50">
        <f t="shared" si="7"/>
        <v>5</v>
      </c>
      <c r="Q50" t="str">
        <f t="shared" si="4"/>
        <v>iTS12</v>
      </c>
    </row>
    <row r="51" spans="1:17">
      <c r="A51">
        <f t="shared" si="5"/>
        <v>10</v>
      </c>
      <c r="B51" t="str">
        <f t="shared" si="0"/>
        <v>vstacks_ts_annual~0001</v>
      </c>
      <c r="C51" t="str">
        <f t="shared" si="1"/>
        <v>e 1.5 deg no OS.jAnn</v>
      </c>
      <c r="H51" t="str">
        <f t="shared" si="2"/>
        <v>e 1.5 deg no OS.jAnn</v>
      </c>
      <c r="I51" t="str">
        <f t="shared" si="6"/>
        <v>e 1.5 deg no OS</v>
      </c>
      <c r="J51" t="str">
        <f t="shared" si="3"/>
        <v>jAnn</v>
      </c>
      <c r="O51">
        <f t="shared" si="7"/>
        <v>1</v>
      </c>
      <c r="Q51" t="str">
        <f t="shared" si="4"/>
        <v>jAnn</v>
      </c>
    </row>
    <row r="52" spans="1:17">
      <c r="A52">
        <f t="shared" si="5"/>
        <v>10</v>
      </c>
      <c r="B52" t="str">
        <f t="shared" si="0"/>
        <v>vstacks_ts_annual~0002</v>
      </c>
      <c r="C52" t="str">
        <f t="shared" si="1"/>
        <v>d 1.5 deg OS.jAnn</v>
      </c>
      <c r="H52" t="str">
        <f t="shared" si="2"/>
        <v>d 1.5 deg OS.jAnn</v>
      </c>
      <c r="I52" t="str">
        <f t="shared" si="6"/>
        <v>d 1.5 deg OS</v>
      </c>
      <c r="J52" t="str">
        <f t="shared" si="3"/>
        <v>jAnn</v>
      </c>
      <c r="O52">
        <f t="shared" si="7"/>
        <v>2</v>
      </c>
      <c r="Q52" t="str">
        <f t="shared" si="4"/>
        <v>jAnn</v>
      </c>
    </row>
    <row r="53" spans="1:17">
      <c r="A53">
        <f t="shared" si="5"/>
        <v>10</v>
      </c>
      <c r="B53" t="str">
        <f t="shared" si="0"/>
        <v>vstacks_ts_annual~0003</v>
      </c>
      <c r="C53" t="str">
        <f t="shared" si="1"/>
        <v>c 2 deg (67%).jAnn</v>
      </c>
      <c r="H53" t="str">
        <f t="shared" si="2"/>
        <v>c 2 deg (67%).jAnn</v>
      </c>
      <c r="I53" t="str">
        <f t="shared" si="6"/>
        <v>c 2 deg (67%)</v>
      </c>
      <c r="J53" t="str">
        <f t="shared" si="3"/>
        <v>jAnn</v>
      </c>
      <c r="O53">
        <f t="shared" si="7"/>
        <v>3</v>
      </c>
      <c r="Q53" t="str">
        <f t="shared" si="4"/>
        <v>jAnn</v>
      </c>
    </row>
    <row r="54" spans="1:17">
      <c r="A54">
        <f t="shared" si="5"/>
        <v>10</v>
      </c>
      <c r="B54" t="str">
        <f t="shared" si="0"/>
        <v>vstacks_ts_annual~0004</v>
      </c>
      <c r="C54" t="str">
        <f t="shared" si="1"/>
        <v>b 2 deg (50%).jAnn</v>
      </c>
      <c r="H54" t="str">
        <f t="shared" si="2"/>
        <v>b 2 deg (50%).jAnn</v>
      </c>
      <c r="I54" t="str">
        <f t="shared" si="6"/>
        <v>b 2 deg (50%)</v>
      </c>
      <c r="J54" t="str">
        <f t="shared" si="3"/>
        <v>jAnn</v>
      </c>
      <c r="O54">
        <f t="shared" si="7"/>
        <v>4</v>
      </c>
      <c r="Q54" t="str">
        <f t="shared" si="4"/>
        <v>jAnn</v>
      </c>
    </row>
    <row r="55" spans="1:17">
      <c r="A55">
        <f t="shared" si="5"/>
        <v>10</v>
      </c>
      <c r="B55" t="str">
        <f t="shared" si="0"/>
        <v>vstacks_ts_annual~0005</v>
      </c>
      <c r="C55" t="str">
        <f t="shared" si="1"/>
        <v>a 3 deg.jAnn</v>
      </c>
      <c r="H55" t="str">
        <f t="shared" si="2"/>
        <v>a 3 deg.jAnn</v>
      </c>
      <c r="I55" t="str">
        <f t="shared" si="6"/>
        <v>a 3 deg</v>
      </c>
      <c r="J55" t="str">
        <f t="shared" si="3"/>
        <v>jAnn</v>
      </c>
      <c r="O55">
        <f t="shared" si="7"/>
        <v>5</v>
      </c>
      <c r="Q55" t="str">
        <f t="shared" si="4"/>
        <v>jAnn</v>
      </c>
    </row>
    <row r="56" spans="1:17">
      <c r="A56">
        <f t="shared" si="5"/>
        <v>11</v>
      </c>
      <c r="B56" t="str">
        <f t="shared" si="0"/>
        <v>vstacks_s1_d~0001</v>
      </c>
      <c r="C56" t="str">
        <f t="shared" si="1"/>
        <v>e 1.5 deg no OS.f3d</v>
      </c>
      <c r="H56" t="str">
        <f t="shared" si="2"/>
        <v>e 1.5 deg no OS.f3d</v>
      </c>
      <c r="I56" t="str">
        <f t="shared" si="6"/>
        <v>e 1.5 deg no OS</v>
      </c>
      <c r="J56" t="str">
        <f t="shared" si="3"/>
        <v>f3d</v>
      </c>
      <c r="O56">
        <f t="shared" si="7"/>
        <v>1</v>
      </c>
      <c r="Q56" t="str">
        <f t="shared" si="4"/>
        <v>f3d</v>
      </c>
    </row>
    <row r="57" spans="1:17">
      <c r="A57">
        <f t="shared" si="5"/>
        <v>11</v>
      </c>
      <c r="B57" t="str">
        <f t="shared" si="0"/>
        <v>vstacks_s1_d~0002</v>
      </c>
      <c r="C57" t="str">
        <f t="shared" si="1"/>
        <v>d 1.5 deg OS.f3d</v>
      </c>
      <c r="H57" t="str">
        <f t="shared" si="2"/>
        <v>d 1.5 deg OS.f3d</v>
      </c>
      <c r="I57" t="str">
        <f t="shared" si="6"/>
        <v>d 1.5 deg OS</v>
      </c>
      <c r="J57" t="str">
        <f t="shared" si="3"/>
        <v>f3d</v>
      </c>
      <c r="O57">
        <f t="shared" si="7"/>
        <v>2</v>
      </c>
      <c r="Q57" t="str">
        <f t="shared" si="4"/>
        <v>f3d</v>
      </c>
    </row>
    <row r="58" spans="1:17">
      <c r="A58">
        <f t="shared" si="5"/>
        <v>11</v>
      </c>
      <c r="B58" t="str">
        <f t="shared" si="0"/>
        <v>vstacks_s1_d~0003</v>
      </c>
      <c r="C58" t="str">
        <f t="shared" si="1"/>
        <v>c 2 deg (67%).f3d</v>
      </c>
      <c r="H58" t="str">
        <f t="shared" si="2"/>
        <v>c 2 deg (67%).f3d</v>
      </c>
      <c r="I58" t="str">
        <f t="shared" si="6"/>
        <v>c 2 deg (67%)</v>
      </c>
      <c r="J58" t="str">
        <f t="shared" si="3"/>
        <v>f3d</v>
      </c>
      <c r="O58">
        <f t="shared" si="7"/>
        <v>3</v>
      </c>
      <c r="Q58" t="str">
        <f t="shared" si="4"/>
        <v>f3d</v>
      </c>
    </row>
    <row r="59" spans="1:17">
      <c r="A59">
        <f t="shared" si="5"/>
        <v>11</v>
      </c>
      <c r="B59" t="str">
        <f t="shared" si="0"/>
        <v>vstacks_s1_d~0004</v>
      </c>
      <c r="C59" t="str">
        <f t="shared" si="1"/>
        <v>b 2 deg (50%).f3d</v>
      </c>
      <c r="H59" t="str">
        <f t="shared" si="2"/>
        <v>b 2 deg (50%).f3d</v>
      </c>
      <c r="I59" t="str">
        <f t="shared" si="6"/>
        <v>b 2 deg (50%)</v>
      </c>
      <c r="J59" t="str">
        <f t="shared" si="3"/>
        <v>f3d</v>
      </c>
      <c r="O59">
        <f t="shared" si="7"/>
        <v>4</v>
      </c>
      <c r="Q59" t="str">
        <f t="shared" si="4"/>
        <v>f3d</v>
      </c>
    </row>
    <row r="60" spans="1:17">
      <c r="A60">
        <f t="shared" si="5"/>
        <v>11</v>
      </c>
      <c r="B60" t="str">
        <f t="shared" si="0"/>
        <v>vstacks_s1_d~0005</v>
      </c>
      <c r="C60" t="str">
        <f t="shared" si="1"/>
        <v>a 3 deg.f3d</v>
      </c>
      <c r="H60" t="str">
        <f t="shared" si="2"/>
        <v>a 3 deg.f3d</v>
      </c>
      <c r="I60" t="str">
        <f t="shared" si="6"/>
        <v>a 3 deg</v>
      </c>
      <c r="J60" t="str">
        <f t="shared" si="3"/>
        <v>f3d</v>
      </c>
      <c r="O60">
        <f t="shared" si="7"/>
        <v>5</v>
      </c>
      <c r="Q60" t="str">
        <f t="shared" si="4"/>
        <v>f3d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>
      <selection activeCell="A12" sqref="A12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37</v>
      </c>
    </row>
    <row r="2" spans="2:24">
      <c r="I2" t="s">
        <v>260</v>
      </c>
      <c r="J2" t="s">
        <v>124</v>
      </c>
    </row>
    <row r="4" spans="2:24">
      <c r="B4" t="s">
        <v>62</v>
      </c>
      <c r="H4" t="s">
        <v>63</v>
      </c>
      <c r="O4" t="s">
        <v>295</v>
      </c>
    </row>
    <row r="5" spans="2:24"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  <c r="N5" t="s">
        <v>296</v>
      </c>
      <c r="O5" t="s">
        <v>297</v>
      </c>
      <c r="P5" t="s">
        <v>298</v>
      </c>
      <c r="Q5" t="s">
        <v>124</v>
      </c>
      <c r="R5" t="s">
        <v>299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250</v>
      </c>
      <c r="N6">
        <v>5</v>
      </c>
      <c r="O6" t="s">
        <v>300</v>
      </c>
      <c r="P6">
        <v>1</v>
      </c>
      <c r="Q6" t="s">
        <v>238</v>
      </c>
      <c r="R6" t="s">
        <v>284</v>
      </c>
      <c r="T6" t="s">
        <v>238</v>
      </c>
      <c r="U6" t="s">
        <v>378</v>
      </c>
      <c r="W6" t="s">
        <v>284</v>
      </c>
      <c r="X6" t="s">
        <v>258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251</v>
      </c>
      <c r="N7">
        <v>5</v>
      </c>
      <c r="O7" t="s">
        <v>301</v>
      </c>
      <c r="P7">
        <v>2</v>
      </c>
      <c r="Q7" t="s">
        <v>238</v>
      </c>
      <c r="R7" t="s">
        <v>285</v>
      </c>
      <c r="T7" t="s">
        <v>306</v>
      </c>
      <c r="U7" t="s">
        <v>379</v>
      </c>
      <c r="W7" t="s">
        <v>285</v>
      </c>
      <c r="X7" t="s">
        <v>257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252</v>
      </c>
      <c r="N8">
        <v>5</v>
      </c>
      <c r="O8" t="s">
        <v>302</v>
      </c>
      <c r="P8">
        <v>3</v>
      </c>
      <c r="Q8" t="s">
        <v>238</v>
      </c>
      <c r="R8" t="s">
        <v>286</v>
      </c>
      <c r="T8" t="s">
        <v>312</v>
      </c>
      <c r="U8" t="s">
        <v>380</v>
      </c>
      <c r="W8" t="s">
        <v>286</v>
      </c>
      <c r="X8" t="s">
        <v>256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253</v>
      </c>
      <c r="N9">
        <v>5</v>
      </c>
      <c r="O9" t="s">
        <v>303</v>
      </c>
      <c r="P9">
        <v>4</v>
      </c>
      <c r="Q9" t="s">
        <v>238</v>
      </c>
      <c r="R9" t="s">
        <v>287</v>
      </c>
      <c r="T9" t="s">
        <v>318</v>
      </c>
      <c r="U9" t="s">
        <v>381</v>
      </c>
      <c r="W9" t="s">
        <v>287</v>
      </c>
      <c r="X9" t="s">
        <v>255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254</v>
      </c>
      <c r="N10">
        <v>5</v>
      </c>
      <c r="O10" t="s">
        <v>304</v>
      </c>
      <c r="P10">
        <v>5</v>
      </c>
      <c r="Q10" t="s">
        <v>238</v>
      </c>
      <c r="R10" t="s">
        <v>288</v>
      </c>
      <c r="T10" t="s">
        <v>324</v>
      </c>
      <c r="U10" t="s">
        <v>382</v>
      </c>
      <c r="W10" t="s">
        <v>288</v>
      </c>
      <c r="X10" t="s">
        <v>259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305</v>
      </c>
      <c r="P11">
        <v>6</v>
      </c>
      <c r="Q11" t="s">
        <v>306</v>
      </c>
      <c r="R11" t="s">
        <v>284</v>
      </c>
      <c r="T11" t="s">
        <v>330</v>
      </c>
      <c r="U11" t="s">
        <v>383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307</v>
      </c>
      <c r="P12">
        <v>7</v>
      </c>
      <c r="Q12" t="s">
        <v>306</v>
      </c>
      <c r="R12" t="s">
        <v>285</v>
      </c>
      <c r="T12" t="s">
        <v>336</v>
      </c>
      <c r="U12" t="s">
        <v>386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308</v>
      </c>
      <c r="P13">
        <v>8</v>
      </c>
      <c r="Q13" t="s">
        <v>306</v>
      </c>
      <c r="R13" t="s">
        <v>286</v>
      </c>
      <c r="T13" t="s">
        <v>342</v>
      </c>
      <c r="U13" t="s">
        <v>384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309</v>
      </c>
      <c r="P14">
        <v>9</v>
      </c>
      <c r="Q14" t="s">
        <v>306</v>
      </c>
      <c r="R14" t="s">
        <v>287</v>
      </c>
      <c r="T14" t="s">
        <v>348</v>
      </c>
      <c r="U14" t="s">
        <v>385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310</v>
      </c>
      <c r="P15">
        <v>10</v>
      </c>
      <c r="Q15" t="s">
        <v>306</v>
      </c>
      <c r="R15" t="s">
        <v>288</v>
      </c>
      <c r="T15" t="s">
        <v>230</v>
      </c>
      <c r="U15" t="s">
        <v>244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311</v>
      </c>
      <c r="P16">
        <v>11</v>
      </c>
      <c r="Q16" t="s">
        <v>312</v>
      </c>
      <c r="R16" t="s">
        <v>284</v>
      </c>
      <c r="T16" t="s">
        <v>231</v>
      </c>
      <c r="U16" t="s">
        <v>241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313</v>
      </c>
      <c r="P17">
        <v>12</v>
      </c>
      <c r="Q17" t="s">
        <v>312</v>
      </c>
      <c r="R17" t="s">
        <v>285</v>
      </c>
      <c r="T17" t="s">
        <v>237</v>
      </c>
      <c r="U17" t="s">
        <v>243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314</v>
      </c>
      <c r="P18">
        <v>13</v>
      </c>
      <c r="Q18" t="s">
        <v>312</v>
      </c>
      <c r="R18" t="s">
        <v>286</v>
      </c>
      <c r="T18" t="s">
        <v>232</v>
      </c>
      <c r="U18" t="s">
        <v>242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315</v>
      </c>
      <c r="P19">
        <v>14</v>
      </c>
      <c r="Q19" t="s">
        <v>312</v>
      </c>
      <c r="R19" t="s">
        <v>287</v>
      </c>
      <c r="T19" t="s">
        <v>233</v>
      </c>
      <c r="U19" t="s">
        <v>240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316</v>
      </c>
      <c r="P20">
        <v>15</v>
      </c>
      <c r="Q20" t="s">
        <v>312</v>
      </c>
      <c r="R20" t="s">
        <v>288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317</v>
      </c>
      <c r="P21">
        <v>16</v>
      </c>
      <c r="Q21" t="s">
        <v>318</v>
      </c>
      <c r="R21" t="s">
        <v>284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319</v>
      </c>
      <c r="P22">
        <v>17</v>
      </c>
      <c r="Q22" t="s">
        <v>318</v>
      </c>
      <c r="R22" t="s">
        <v>285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320</v>
      </c>
      <c r="P23">
        <v>18</v>
      </c>
      <c r="Q23" t="s">
        <v>318</v>
      </c>
      <c r="R23" t="s">
        <v>286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321</v>
      </c>
      <c r="P24">
        <v>19</v>
      </c>
      <c r="Q24" t="s">
        <v>318</v>
      </c>
      <c r="R24" t="s">
        <v>287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322</v>
      </c>
      <c r="P25">
        <v>20</v>
      </c>
      <c r="Q25" t="s">
        <v>318</v>
      </c>
      <c r="R25" t="s">
        <v>288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323</v>
      </c>
      <c r="P26">
        <v>21</v>
      </c>
      <c r="Q26" t="s">
        <v>324</v>
      </c>
      <c r="R26" t="s">
        <v>284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325</v>
      </c>
      <c r="P27">
        <v>22</v>
      </c>
      <c r="Q27" t="s">
        <v>324</v>
      </c>
      <c r="R27" t="s">
        <v>285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326</v>
      </c>
      <c r="P28">
        <v>23</v>
      </c>
      <c r="Q28" t="s">
        <v>324</v>
      </c>
      <c r="R28" t="s">
        <v>286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327</v>
      </c>
      <c r="P29">
        <v>24</v>
      </c>
      <c r="Q29" t="s">
        <v>324</v>
      </c>
      <c r="R29" t="s">
        <v>287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328</v>
      </c>
      <c r="P30">
        <v>25</v>
      </c>
      <c r="Q30" t="s">
        <v>324</v>
      </c>
      <c r="R30" t="s">
        <v>288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329</v>
      </c>
      <c r="P31">
        <v>26</v>
      </c>
      <c r="Q31" t="s">
        <v>330</v>
      </c>
      <c r="R31" t="s">
        <v>284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331</v>
      </c>
      <c r="P32">
        <v>27</v>
      </c>
      <c r="Q32" t="s">
        <v>330</v>
      </c>
      <c r="R32" t="s">
        <v>285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332</v>
      </c>
      <c r="P33">
        <v>28</v>
      </c>
      <c r="Q33" t="s">
        <v>330</v>
      </c>
      <c r="R33" t="s">
        <v>286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333</v>
      </c>
      <c r="P34">
        <v>29</v>
      </c>
      <c r="Q34" t="s">
        <v>330</v>
      </c>
      <c r="R34" t="s">
        <v>287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334</v>
      </c>
      <c r="P35">
        <v>30</v>
      </c>
      <c r="Q35" t="s">
        <v>330</v>
      </c>
      <c r="R35" t="s">
        <v>288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335</v>
      </c>
      <c r="P36">
        <v>31</v>
      </c>
      <c r="Q36" t="s">
        <v>336</v>
      </c>
      <c r="R36" t="s">
        <v>284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337</v>
      </c>
      <c r="P37">
        <v>32</v>
      </c>
      <c r="Q37" t="s">
        <v>336</v>
      </c>
      <c r="R37" t="s">
        <v>285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338</v>
      </c>
      <c r="P38">
        <v>33</v>
      </c>
      <c r="Q38" t="s">
        <v>336</v>
      </c>
      <c r="R38" t="s">
        <v>286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339</v>
      </c>
      <c r="P39">
        <v>34</v>
      </c>
      <c r="Q39" t="s">
        <v>336</v>
      </c>
      <c r="R39" t="s">
        <v>287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340</v>
      </c>
      <c r="P40">
        <v>35</v>
      </c>
      <c r="Q40" t="s">
        <v>336</v>
      </c>
      <c r="R40" t="s">
        <v>288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341</v>
      </c>
      <c r="P41">
        <v>36</v>
      </c>
      <c r="Q41" t="s">
        <v>342</v>
      </c>
      <c r="R41" t="s">
        <v>284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343</v>
      </c>
      <c r="P42">
        <v>37</v>
      </c>
      <c r="Q42" t="s">
        <v>342</v>
      </c>
      <c r="R42" t="s">
        <v>285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344</v>
      </c>
      <c r="P43">
        <v>38</v>
      </c>
      <c r="Q43" t="s">
        <v>342</v>
      </c>
      <c r="R43" t="s">
        <v>286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345</v>
      </c>
      <c r="P44">
        <v>39</v>
      </c>
      <c r="Q44" t="s">
        <v>342</v>
      </c>
      <c r="R44" t="s">
        <v>287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346</v>
      </c>
      <c r="P45">
        <v>40</v>
      </c>
      <c r="Q45" t="s">
        <v>342</v>
      </c>
      <c r="R45" t="s">
        <v>288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347</v>
      </c>
      <c r="P46">
        <v>41</v>
      </c>
      <c r="Q46" t="s">
        <v>348</v>
      </c>
      <c r="R46" t="s">
        <v>284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349</v>
      </c>
      <c r="P47">
        <v>42</v>
      </c>
      <c r="Q47" t="s">
        <v>348</v>
      </c>
      <c r="R47" t="s">
        <v>285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350</v>
      </c>
      <c r="P48">
        <v>43</v>
      </c>
      <c r="Q48" t="s">
        <v>348</v>
      </c>
      <c r="R48" t="s">
        <v>286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351</v>
      </c>
      <c r="P49">
        <v>44</v>
      </c>
      <c r="Q49" t="s">
        <v>348</v>
      </c>
      <c r="R49" t="s">
        <v>287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352</v>
      </c>
      <c r="P50">
        <v>45</v>
      </c>
      <c r="Q50" t="s">
        <v>348</v>
      </c>
      <c r="R50" t="s">
        <v>288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353</v>
      </c>
      <c r="P51">
        <v>46</v>
      </c>
      <c r="Q51" t="s">
        <v>230</v>
      </c>
      <c r="R51" t="s">
        <v>284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354</v>
      </c>
      <c r="P52">
        <v>47</v>
      </c>
      <c r="Q52" t="s">
        <v>230</v>
      </c>
      <c r="R52" t="s">
        <v>285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355</v>
      </c>
      <c r="P53">
        <v>48</v>
      </c>
      <c r="Q53" t="s">
        <v>230</v>
      </c>
      <c r="R53" t="s">
        <v>286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356</v>
      </c>
      <c r="P54">
        <v>49</v>
      </c>
      <c r="Q54" t="s">
        <v>230</v>
      </c>
      <c r="R54" t="s">
        <v>287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357</v>
      </c>
      <c r="P55">
        <v>50</v>
      </c>
      <c r="Q55" t="s">
        <v>230</v>
      </c>
      <c r="R55" t="s">
        <v>288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358</v>
      </c>
      <c r="P56">
        <v>51</v>
      </c>
      <c r="Q56" t="s">
        <v>231</v>
      </c>
      <c r="R56" t="s">
        <v>284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359</v>
      </c>
      <c r="P57">
        <v>52</v>
      </c>
      <c r="Q57" t="s">
        <v>231</v>
      </c>
      <c r="R57" t="s">
        <v>285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360</v>
      </c>
      <c r="P58">
        <v>53</v>
      </c>
      <c r="Q58" t="s">
        <v>231</v>
      </c>
      <c r="R58" t="s">
        <v>286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361</v>
      </c>
      <c r="P59">
        <v>54</v>
      </c>
      <c r="Q59" t="s">
        <v>231</v>
      </c>
      <c r="R59" t="s">
        <v>287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362</v>
      </c>
      <c r="P60">
        <v>55</v>
      </c>
      <c r="Q60" t="s">
        <v>231</v>
      </c>
      <c r="R60" t="s">
        <v>288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363</v>
      </c>
      <c r="P61">
        <v>56</v>
      </c>
      <c r="Q61" t="s">
        <v>237</v>
      </c>
      <c r="R61" t="s">
        <v>284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364</v>
      </c>
      <c r="P62">
        <v>57</v>
      </c>
      <c r="Q62" t="s">
        <v>237</v>
      </c>
      <c r="R62" t="s">
        <v>285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365</v>
      </c>
      <c r="P63">
        <v>58</v>
      </c>
      <c r="Q63" t="s">
        <v>237</v>
      </c>
      <c r="R63" t="s">
        <v>286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366</v>
      </c>
      <c r="P64">
        <v>59</v>
      </c>
      <c r="Q64" t="s">
        <v>237</v>
      </c>
      <c r="R64" t="s">
        <v>287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367</v>
      </c>
      <c r="P65">
        <v>60</v>
      </c>
      <c r="Q65" t="s">
        <v>237</v>
      </c>
      <c r="R65" t="s">
        <v>288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368</v>
      </c>
      <c r="P66">
        <v>61</v>
      </c>
      <c r="Q66" t="s">
        <v>232</v>
      </c>
      <c r="R66" t="s">
        <v>284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369</v>
      </c>
      <c r="P67">
        <v>62</v>
      </c>
      <c r="Q67" t="s">
        <v>232</v>
      </c>
      <c r="R67" t="s">
        <v>285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370</v>
      </c>
      <c r="P68">
        <v>63</v>
      </c>
      <c r="Q68" t="s">
        <v>232</v>
      </c>
      <c r="R68" t="s">
        <v>286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371</v>
      </c>
      <c r="P69">
        <v>64</v>
      </c>
      <c r="Q69" t="s">
        <v>232</v>
      </c>
      <c r="R69" t="s">
        <v>287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372</v>
      </c>
      <c r="P70">
        <v>65</v>
      </c>
      <c r="Q70" t="s">
        <v>232</v>
      </c>
      <c r="R70" t="s">
        <v>288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373</v>
      </c>
      <c r="P71">
        <v>66</v>
      </c>
      <c r="Q71" t="s">
        <v>233</v>
      </c>
      <c r="R71" t="s">
        <v>284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374</v>
      </c>
      <c r="P72">
        <v>67</v>
      </c>
      <c r="Q72" t="s">
        <v>233</v>
      </c>
      <c r="R72" t="s">
        <v>285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375</v>
      </c>
      <c r="P73">
        <v>68</v>
      </c>
      <c r="Q73" t="s">
        <v>233</v>
      </c>
      <c r="R73" t="s">
        <v>286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376</v>
      </c>
      <c r="P74">
        <v>69</v>
      </c>
      <c r="Q74" t="s">
        <v>233</v>
      </c>
      <c r="R74" t="s">
        <v>287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377</v>
      </c>
      <c r="P75">
        <v>70</v>
      </c>
      <c r="Q75" t="s">
        <v>233</v>
      </c>
      <c r="R75" t="s">
        <v>288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8703E-96EB-46F4-A765-E9919C0F8F56}">
  <dimension ref="B9:D298"/>
  <sheetViews>
    <sheetView tabSelected="1" workbookViewId="0"/>
  </sheetViews>
  <sheetFormatPr defaultRowHeight="14.25"/>
  <sheetData>
    <row r="9" spans="2:4">
      <c r="B9" t="s">
        <v>735</v>
      </c>
    </row>
    <row r="10" spans="2:4">
      <c r="B10" t="s">
        <v>736</v>
      </c>
      <c r="C10" t="s">
        <v>737</v>
      </c>
      <c r="D10" t="s">
        <v>738</v>
      </c>
    </row>
    <row r="11" spans="2:4">
      <c r="B11" t="s">
        <v>400</v>
      </c>
      <c r="C11">
        <v>36.623159551188849</v>
      </c>
      <c r="D11">
        <v>138.80177043536111</v>
      </c>
    </row>
    <row r="12" spans="2:4">
      <c r="B12" t="s">
        <v>401</v>
      </c>
      <c r="C12">
        <v>34.16492140881175</v>
      </c>
      <c r="D12">
        <v>133.95401090047395</v>
      </c>
    </row>
    <row r="13" spans="2:4">
      <c r="B13" t="s">
        <v>402</v>
      </c>
      <c r="C13">
        <v>34.302173069560816</v>
      </c>
      <c r="D13">
        <v>133.86250228190178</v>
      </c>
    </row>
    <row r="14" spans="2:4">
      <c r="B14" t="s">
        <v>403</v>
      </c>
      <c r="C14">
        <v>37.316218892491598</v>
      </c>
      <c r="D14">
        <v>141.02183643624105</v>
      </c>
    </row>
    <row r="15" spans="2:4">
      <c r="B15" t="s">
        <v>404</v>
      </c>
      <c r="C15">
        <v>37.141850931652939</v>
      </c>
      <c r="D15">
        <v>140.72295560659705</v>
      </c>
    </row>
    <row r="16" spans="2:4">
      <c r="B16" t="s">
        <v>405</v>
      </c>
      <c r="C16">
        <v>36.65527049556583</v>
      </c>
      <c r="D16">
        <v>139.91772358683002</v>
      </c>
    </row>
    <row r="17" spans="2:4">
      <c r="B17" t="s">
        <v>406</v>
      </c>
      <c r="C17">
        <v>35.865258454640866</v>
      </c>
      <c r="D17">
        <v>140.45810292549854</v>
      </c>
    </row>
    <row r="18" spans="2:4">
      <c r="B18" t="s">
        <v>407</v>
      </c>
      <c r="C18">
        <v>38.604776865796879</v>
      </c>
      <c r="D18">
        <v>140.84893075302352</v>
      </c>
    </row>
    <row r="19" spans="2:4">
      <c r="B19" t="s">
        <v>408</v>
      </c>
      <c r="C19">
        <v>37.359425564472978</v>
      </c>
      <c r="D19">
        <v>140.96068542100087</v>
      </c>
    </row>
    <row r="20" spans="2:4">
      <c r="B20" t="s">
        <v>409</v>
      </c>
      <c r="C20">
        <v>34.402512992032868</v>
      </c>
      <c r="D20">
        <v>135.58694108806569</v>
      </c>
    </row>
    <row r="21" spans="2:4">
      <c r="B21" t="s">
        <v>410</v>
      </c>
      <c r="C21">
        <v>34.213923715840174</v>
      </c>
      <c r="D21">
        <v>135.50211531023922</v>
      </c>
    </row>
    <row r="22" spans="2:4">
      <c r="B22" t="s">
        <v>411</v>
      </c>
      <c r="C22">
        <v>34.984222780255479</v>
      </c>
      <c r="D22">
        <v>135.3461014713138</v>
      </c>
    </row>
    <row r="23" spans="2:4">
      <c r="B23" t="s">
        <v>412</v>
      </c>
      <c r="C23">
        <v>35.07143216942076</v>
      </c>
      <c r="D23">
        <v>137.70854060707654</v>
      </c>
    </row>
    <row r="24" spans="2:4">
      <c r="B24" t="s">
        <v>413</v>
      </c>
      <c r="C24">
        <v>35.962037835496112</v>
      </c>
      <c r="D24">
        <v>139.4364465197805</v>
      </c>
    </row>
    <row r="25" spans="2:4">
      <c r="B25" t="s">
        <v>414</v>
      </c>
      <c r="C25">
        <v>36.167130274968521</v>
      </c>
      <c r="D25">
        <v>139.90353088187334</v>
      </c>
    </row>
    <row r="26" spans="2:4">
      <c r="B26" t="s">
        <v>415</v>
      </c>
      <c r="C26">
        <v>35.928728165249211</v>
      </c>
      <c r="D26">
        <v>139.37072375217352</v>
      </c>
    </row>
    <row r="27" spans="2:4">
      <c r="B27" t="s">
        <v>416</v>
      </c>
      <c r="C27">
        <v>35.851788162102174</v>
      </c>
      <c r="D27">
        <v>139.23954260184681</v>
      </c>
    </row>
    <row r="28" spans="2:4">
      <c r="B28" t="s">
        <v>417</v>
      </c>
      <c r="C28">
        <v>35.162272886797354</v>
      </c>
      <c r="D28">
        <v>137.72908932599771</v>
      </c>
    </row>
    <row r="29" spans="2:4">
      <c r="B29" t="s">
        <v>418</v>
      </c>
      <c r="C29">
        <v>35.71470374426972</v>
      </c>
      <c r="D29">
        <v>139.22338930422998</v>
      </c>
    </row>
    <row r="30" spans="2:4">
      <c r="B30" t="s">
        <v>419</v>
      </c>
      <c r="C30">
        <v>35.400444620287395</v>
      </c>
      <c r="D30">
        <v>139.22566862063019</v>
      </c>
    </row>
    <row r="31" spans="2:4">
      <c r="B31" t="s">
        <v>420</v>
      </c>
      <c r="C31">
        <v>35.590726684810875</v>
      </c>
      <c r="D31">
        <v>138.79989115700727</v>
      </c>
    </row>
    <row r="32" spans="2:4">
      <c r="B32" t="s">
        <v>421</v>
      </c>
      <c r="C32">
        <v>35.372238518852974</v>
      </c>
      <c r="D32">
        <v>138.96317390902462</v>
      </c>
    </row>
    <row r="33" spans="2:4">
      <c r="B33" t="s">
        <v>422</v>
      </c>
      <c r="C33">
        <v>35.499051212291768</v>
      </c>
      <c r="D33">
        <v>140.16653208165212</v>
      </c>
    </row>
    <row r="34" spans="2:4">
      <c r="B34" t="s">
        <v>423</v>
      </c>
      <c r="C34">
        <v>37.535340448744797</v>
      </c>
      <c r="D34">
        <v>140.9495383195725</v>
      </c>
    </row>
    <row r="35" spans="2:4">
      <c r="B35" t="s">
        <v>424</v>
      </c>
      <c r="C35">
        <v>34.734669337370775</v>
      </c>
      <c r="D35">
        <v>135.71481347221845</v>
      </c>
    </row>
    <row r="36" spans="2:4">
      <c r="B36" t="s">
        <v>425</v>
      </c>
      <c r="C36">
        <v>34.865486852490449</v>
      </c>
      <c r="D36">
        <v>135.89763769563652</v>
      </c>
    </row>
    <row r="37" spans="2:4">
      <c r="B37" t="s">
        <v>426</v>
      </c>
      <c r="C37">
        <v>35.527092198043391</v>
      </c>
      <c r="D37">
        <v>136.93748324308584</v>
      </c>
    </row>
    <row r="38" spans="2:4">
      <c r="B38" t="s">
        <v>427</v>
      </c>
      <c r="C38">
        <v>35.781310478950395</v>
      </c>
      <c r="D38">
        <v>140.06957983959583</v>
      </c>
    </row>
    <row r="39" spans="2:4">
      <c r="B39" t="s">
        <v>428</v>
      </c>
      <c r="C39">
        <v>36.52251279266028</v>
      </c>
      <c r="D39">
        <v>140.15286635448939</v>
      </c>
    </row>
    <row r="40" spans="2:4">
      <c r="B40" t="s">
        <v>429</v>
      </c>
      <c r="C40">
        <v>36.712761848859408</v>
      </c>
      <c r="D40">
        <v>139.83246221583255</v>
      </c>
    </row>
    <row r="41" spans="2:4">
      <c r="B41" t="s">
        <v>430</v>
      </c>
      <c r="C41">
        <v>34.96965036789733</v>
      </c>
      <c r="D41">
        <v>135.61912454072566</v>
      </c>
    </row>
    <row r="42" spans="2:4">
      <c r="B42" t="s">
        <v>431</v>
      </c>
      <c r="C42">
        <v>34.448778413299458</v>
      </c>
      <c r="D42">
        <v>135.90243240056623</v>
      </c>
    </row>
    <row r="43" spans="2:4">
      <c r="B43" t="s">
        <v>432</v>
      </c>
      <c r="C43">
        <v>35.105965944995894</v>
      </c>
      <c r="D43">
        <v>137.26239319012302</v>
      </c>
    </row>
    <row r="44" spans="2:4">
      <c r="B44" t="s">
        <v>433</v>
      </c>
      <c r="C44">
        <v>36.499195713422203</v>
      </c>
      <c r="D44">
        <v>136.82594005142843</v>
      </c>
    </row>
    <row r="45" spans="2:4">
      <c r="B45" t="s">
        <v>434</v>
      </c>
      <c r="C45">
        <v>36.500393255821443</v>
      </c>
      <c r="D45">
        <v>136.7170002183575</v>
      </c>
    </row>
    <row r="46" spans="2:4">
      <c r="B46" t="s">
        <v>435</v>
      </c>
      <c r="C46">
        <v>34.5973116203552</v>
      </c>
      <c r="D46">
        <v>135.64795104006993</v>
      </c>
    </row>
    <row r="47" spans="2:4">
      <c r="B47" t="s">
        <v>436</v>
      </c>
      <c r="C47">
        <v>36.547838660667693</v>
      </c>
      <c r="D47">
        <v>138.83246934123443</v>
      </c>
    </row>
    <row r="48" spans="2:4">
      <c r="B48" t="s">
        <v>437</v>
      </c>
      <c r="C48">
        <v>34.890777361936721</v>
      </c>
      <c r="D48">
        <v>137.45239068692709</v>
      </c>
    </row>
    <row r="49" spans="2:4">
      <c r="B49" t="s">
        <v>438</v>
      </c>
      <c r="C49">
        <v>35.635668447344635</v>
      </c>
      <c r="D49">
        <v>136.96265986651665</v>
      </c>
    </row>
    <row r="50" spans="2:4">
      <c r="B50" t="s">
        <v>439</v>
      </c>
      <c r="C50">
        <v>35.193003060430279</v>
      </c>
      <c r="D50">
        <v>136.51456115331234</v>
      </c>
    </row>
    <row r="51" spans="2:4">
      <c r="B51" t="s">
        <v>440</v>
      </c>
      <c r="C51">
        <v>35.203342007191587</v>
      </c>
      <c r="D51">
        <v>136.45106186446196</v>
      </c>
    </row>
    <row r="52" spans="2:4">
      <c r="B52" t="s">
        <v>441</v>
      </c>
      <c r="C52">
        <v>35.095109605490656</v>
      </c>
      <c r="D52">
        <v>136.29336601111871</v>
      </c>
    </row>
    <row r="53" spans="2:4">
      <c r="B53" t="s">
        <v>442</v>
      </c>
      <c r="C53">
        <v>34.931631944821412</v>
      </c>
      <c r="D53">
        <v>135.11013357438321</v>
      </c>
    </row>
    <row r="54" spans="2:4">
      <c r="B54" t="s">
        <v>443</v>
      </c>
      <c r="C54">
        <v>35.210233689303443</v>
      </c>
      <c r="D54">
        <v>137.29809780148221</v>
      </c>
    </row>
    <row r="55" spans="2:4">
      <c r="B55" t="s">
        <v>444</v>
      </c>
      <c r="C55">
        <v>34.488899953033631</v>
      </c>
      <c r="D55">
        <v>132.70939419496085</v>
      </c>
    </row>
    <row r="56" spans="2:4">
      <c r="B56" t="s">
        <v>445</v>
      </c>
      <c r="C56">
        <v>33.944279016269924</v>
      </c>
      <c r="D56">
        <v>133.39500139141035</v>
      </c>
    </row>
    <row r="57" spans="2:4">
      <c r="B57" t="s">
        <v>446</v>
      </c>
      <c r="C57">
        <v>33.491618269579163</v>
      </c>
      <c r="D57">
        <v>130.62404746626811</v>
      </c>
    </row>
    <row r="58" spans="2:4">
      <c r="B58" t="s">
        <v>447</v>
      </c>
      <c r="C58">
        <v>33.470083483004061</v>
      </c>
      <c r="D58">
        <v>130.36472007060911</v>
      </c>
    </row>
    <row r="59" spans="2:4">
      <c r="B59" t="s">
        <v>448</v>
      </c>
      <c r="C59">
        <v>33.79201549752927</v>
      </c>
      <c r="D59">
        <v>132.92821331235666</v>
      </c>
    </row>
    <row r="60" spans="2:4">
      <c r="B60" t="s">
        <v>449</v>
      </c>
      <c r="C60">
        <v>39.90505248701556</v>
      </c>
      <c r="D60">
        <v>141.17616155822515</v>
      </c>
    </row>
    <row r="61" spans="2:4">
      <c r="B61" t="s">
        <v>450</v>
      </c>
      <c r="C61">
        <v>33.350251889794762</v>
      </c>
      <c r="D61">
        <v>129.92909232659014</v>
      </c>
    </row>
    <row r="62" spans="2:4">
      <c r="B62" t="s">
        <v>451</v>
      </c>
      <c r="C62">
        <v>33.515582068392803</v>
      </c>
      <c r="D62">
        <v>129.83491441267549</v>
      </c>
    </row>
    <row r="63" spans="2:4">
      <c r="B63" t="s">
        <v>452</v>
      </c>
      <c r="C63">
        <v>33.809905742139442</v>
      </c>
      <c r="D63">
        <v>130.80444891114544</v>
      </c>
    </row>
    <row r="64" spans="2:4">
      <c r="B64" t="s">
        <v>453</v>
      </c>
      <c r="C64">
        <v>35.584257599900546</v>
      </c>
      <c r="D64">
        <v>136.72358330816681</v>
      </c>
    </row>
    <row r="65" spans="2:4">
      <c r="B65" t="s">
        <v>454</v>
      </c>
      <c r="C65">
        <v>34.412363937355089</v>
      </c>
      <c r="D65">
        <v>132.25764638741936</v>
      </c>
    </row>
    <row r="66" spans="2:4">
      <c r="B66" t="s">
        <v>455</v>
      </c>
      <c r="C66">
        <v>36.031277392158273</v>
      </c>
      <c r="D66">
        <v>138.93642749968816</v>
      </c>
    </row>
    <row r="67" spans="2:4">
      <c r="B67" t="s">
        <v>456</v>
      </c>
      <c r="C67">
        <v>33.607991608822481</v>
      </c>
      <c r="D67">
        <v>131.01563614443441</v>
      </c>
    </row>
    <row r="68" spans="2:4">
      <c r="B68" t="s">
        <v>457</v>
      </c>
      <c r="C68">
        <v>34.163080826303833</v>
      </c>
      <c r="D68">
        <v>131.0932403187953</v>
      </c>
    </row>
    <row r="69" spans="2:4">
      <c r="B69" t="s">
        <v>458</v>
      </c>
      <c r="C69">
        <v>35.710010548181799</v>
      </c>
      <c r="D69">
        <v>137.99699148650129</v>
      </c>
    </row>
    <row r="70" spans="2:4">
      <c r="B70" t="s">
        <v>459</v>
      </c>
      <c r="C70">
        <v>36.063822401692441</v>
      </c>
      <c r="D70">
        <v>137.98740065939847</v>
      </c>
    </row>
    <row r="71" spans="2:4">
      <c r="B71" t="s">
        <v>460</v>
      </c>
      <c r="C71">
        <v>34.808204237724084</v>
      </c>
      <c r="D71">
        <v>138.06316947909724</v>
      </c>
    </row>
    <row r="72" spans="2:4">
      <c r="B72" t="s">
        <v>461</v>
      </c>
      <c r="C72">
        <v>35.463760116184766</v>
      </c>
      <c r="D72">
        <v>139.98010146039354</v>
      </c>
    </row>
    <row r="73" spans="2:4">
      <c r="B73" t="s">
        <v>462</v>
      </c>
      <c r="C73">
        <v>31.957566960028267</v>
      </c>
      <c r="D73">
        <v>130.65571883093563</v>
      </c>
    </row>
    <row r="74" spans="2:4">
      <c r="B74" t="s">
        <v>463</v>
      </c>
      <c r="C74">
        <v>32.614196415120603</v>
      </c>
      <c r="D74">
        <v>130.79932246595934</v>
      </c>
    </row>
    <row r="75" spans="2:4">
      <c r="B75" t="s">
        <v>464</v>
      </c>
      <c r="C75">
        <v>33.13401562004119</v>
      </c>
      <c r="D75">
        <v>131.72943865137833</v>
      </c>
    </row>
    <row r="76" spans="2:4">
      <c r="B76" t="s">
        <v>465</v>
      </c>
      <c r="C76">
        <v>32.250790927091856</v>
      </c>
      <c r="D76">
        <v>131.38565953692876</v>
      </c>
    </row>
    <row r="77" spans="2:4">
      <c r="B77" t="s">
        <v>466</v>
      </c>
      <c r="C77">
        <v>31.921816379278063</v>
      </c>
      <c r="D77">
        <v>131.1942495227193</v>
      </c>
    </row>
    <row r="78" spans="2:4">
      <c r="B78" t="s">
        <v>467</v>
      </c>
      <c r="C78">
        <v>35.063269231517701</v>
      </c>
      <c r="D78">
        <v>134.6016239057528</v>
      </c>
    </row>
    <row r="79" spans="2:4">
      <c r="B79" t="s">
        <v>468</v>
      </c>
      <c r="C79">
        <v>34.887992263344749</v>
      </c>
      <c r="D79">
        <v>134.02522903294857</v>
      </c>
    </row>
    <row r="80" spans="2:4">
      <c r="B80" t="s">
        <v>469</v>
      </c>
      <c r="C80">
        <v>34.861843414722763</v>
      </c>
      <c r="D80">
        <v>134.42591403567502</v>
      </c>
    </row>
    <row r="81" spans="2:4">
      <c r="B81" t="s">
        <v>470</v>
      </c>
      <c r="C81">
        <v>34.803558863629867</v>
      </c>
      <c r="D81">
        <v>133.38849243239446</v>
      </c>
    </row>
    <row r="82" spans="2:4">
      <c r="B82" t="s">
        <v>471</v>
      </c>
      <c r="C82">
        <v>35.295973542322862</v>
      </c>
      <c r="D82">
        <v>133.40586917675526</v>
      </c>
    </row>
    <row r="83" spans="2:4">
      <c r="B83" t="s">
        <v>472</v>
      </c>
      <c r="C83">
        <v>34.457906539847727</v>
      </c>
      <c r="D83">
        <v>133.78319068983876</v>
      </c>
    </row>
    <row r="84" spans="2:4">
      <c r="B84" t="s">
        <v>473</v>
      </c>
      <c r="C84">
        <v>34.200093958841528</v>
      </c>
      <c r="D84">
        <v>131.82627354738659</v>
      </c>
    </row>
    <row r="85" spans="2:4">
      <c r="B85" t="s">
        <v>474</v>
      </c>
      <c r="C85">
        <v>36.57931508910017</v>
      </c>
      <c r="D85">
        <v>139.22353939760555</v>
      </c>
    </row>
    <row r="86" spans="2:4">
      <c r="B86" t="s">
        <v>475</v>
      </c>
      <c r="C86">
        <v>37.381807329228366</v>
      </c>
      <c r="D86">
        <v>140.80525197784883</v>
      </c>
    </row>
    <row r="87" spans="2:4">
      <c r="B87" t="s">
        <v>476</v>
      </c>
      <c r="C87">
        <v>34.211616497136646</v>
      </c>
      <c r="D87">
        <v>135.33715318384688</v>
      </c>
    </row>
    <row r="88" spans="2:4">
      <c r="B88" t="s">
        <v>477</v>
      </c>
      <c r="C88">
        <v>34.000763351330342</v>
      </c>
      <c r="D88">
        <v>134.40861283503324</v>
      </c>
    </row>
    <row r="89" spans="2:4">
      <c r="B89" t="s">
        <v>478</v>
      </c>
      <c r="C89">
        <v>36.219906325405837</v>
      </c>
      <c r="D89">
        <v>139.21300372758429</v>
      </c>
    </row>
    <row r="90" spans="2:4">
      <c r="B90" t="s">
        <v>479</v>
      </c>
      <c r="C90">
        <v>35.343898881203259</v>
      </c>
      <c r="D90">
        <v>139.83661319523603</v>
      </c>
    </row>
    <row r="91" spans="2:4">
      <c r="B91" t="s">
        <v>480</v>
      </c>
      <c r="C91">
        <v>35.343352324848951</v>
      </c>
      <c r="D91">
        <v>140.02788035567903</v>
      </c>
    </row>
    <row r="92" spans="2:4">
      <c r="B92" t="s">
        <v>481</v>
      </c>
      <c r="C92">
        <v>35.996020957962997</v>
      </c>
      <c r="D92">
        <v>136.41546992363067</v>
      </c>
    </row>
    <row r="93" spans="2:4">
      <c r="B93" t="s">
        <v>482</v>
      </c>
      <c r="C93">
        <v>36.137503274067335</v>
      </c>
      <c r="D93">
        <v>137.88397061557541</v>
      </c>
    </row>
    <row r="94" spans="2:4">
      <c r="B94" t="s">
        <v>483</v>
      </c>
      <c r="C94">
        <v>34.697486518391401</v>
      </c>
      <c r="D94">
        <v>131.97979992173993</v>
      </c>
    </row>
    <row r="95" spans="2:4">
      <c r="B95" t="s">
        <v>484</v>
      </c>
      <c r="C95">
        <v>35.470241157388045</v>
      </c>
      <c r="D95">
        <v>133.11610242421423</v>
      </c>
    </row>
    <row r="96" spans="2:4">
      <c r="B96" t="s">
        <v>485</v>
      </c>
      <c r="C96">
        <v>34.990387052647066</v>
      </c>
      <c r="D96">
        <v>135.48469961836187</v>
      </c>
    </row>
    <row r="97" spans="2:4">
      <c r="B97" t="s">
        <v>486</v>
      </c>
      <c r="C97">
        <v>32.909226897681798</v>
      </c>
      <c r="D97">
        <v>130.90270499954008</v>
      </c>
    </row>
    <row r="98" spans="2:4">
      <c r="B98" t="s">
        <v>487</v>
      </c>
      <c r="C98">
        <v>35.136785367773712</v>
      </c>
      <c r="D98">
        <v>135.64462162700926</v>
      </c>
    </row>
    <row r="99" spans="2:4">
      <c r="B99" t="s">
        <v>488</v>
      </c>
      <c r="C99">
        <v>34.863332048008239</v>
      </c>
      <c r="D99">
        <v>138.04906886461768</v>
      </c>
    </row>
    <row r="100" spans="2:4">
      <c r="B100" t="s">
        <v>489</v>
      </c>
      <c r="C100">
        <v>36.326085164714421</v>
      </c>
      <c r="D100">
        <v>139.30483820209852</v>
      </c>
    </row>
    <row r="101" spans="2:4">
      <c r="B101" t="s">
        <v>490</v>
      </c>
      <c r="C101">
        <v>38.254801587089091</v>
      </c>
      <c r="D101">
        <v>140.64403184405094</v>
      </c>
    </row>
    <row r="102" spans="2:4">
      <c r="B102" t="s">
        <v>491</v>
      </c>
      <c r="C102">
        <v>40.78296544539743</v>
      </c>
      <c r="D102">
        <v>141.17318529712139</v>
      </c>
    </row>
    <row r="103" spans="2:4">
      <c r="B103" t="s">
        <v>492</v>
      </c>
      <c r="C103">
        <v>33.827824780612865</v>
      </c>
      <c r="D103">
        <v>134.63656431903473</v>
      </c>
    </row>
    <row r="104" spans="2:4">
      <c r="B104" t="s">
        <v>493</v>
      </c>
      <c r="C104">
        <v>38.352304032247361</v>
      </c>
      <c r="D104">
        <v>140.75152492552408</v>
      </c>
    </row>
    <row r="105" spans="2:4">
      <c r="B105" t="s">
        <v>494</v>
      </c>
      <c r="C105">
        <v>35.735051436097457</v>
      </c>
      <c r="D105">
        <v>136.6608688257156</v>
      </c>
    </row>
    <row r="106" spans="2:4">
      <c r="B106" t="s">
        <v>495</v>
      </c>
      <c r="C106">
        <v>37.85105814374495</v>
      </c>
      <c r="D106">
        <v>140.94904314929377</v>
      </c>
    </row>
    <row r="107" spans="2:4">
      <c r="B107" t="s">
        <v>496</v>
      </c>
      <c r="C107">
        <v>37.844730745516557</v>
      </c>
      <c r="D107">
        <v>140.94113293098712</v>
      </c>
    </row>
    <row r="108" spans="2:4">
      <c r="B108" t="s">
        <v>497</v>
      </c>
      <c r="C108">
        <v>35.751901182366495</v>
      </c>
      <c r="D108">
        <v>136.02064253754861</v>
      </c>
    </row>
    <row r="109" spans="2:4">
      <c r="B109" t="s">
        <v>498</v>
      </c>
      <c r="C109">
        <v>36.070189422281686</v>
      </c>
      <c r="D109">
        <v>137.05971491227285</v>
      </c>
    </row>
    <row r="110" spans="2:4">
      <c r="B110" t="s">
        <v>499</v>
      </c>
      <c r="C110">
        <v>41.187613246344768</v>
      </c>
      <c r="D110">
        <v>141.38653983141012</v>
      </c>
    </row>
    <row r="111" spans="2:4">
      <c r="B111" t="s">
        <v>500</v>
      </c>
      <c r="C111">
        <v>37.344902507375927</v>
      </c>
      <c r="D111">
        <v>139.90848727441983</v>
      </c>
    </row>
    <row r="112" spans="2:4">
      <c r="B112" t="s">
        <v>501</v>
      </c>
      <c r="C112">
        <v>33.488989843085079</v>
      </c>
      <c r="D112">
        <v>132.31197455192955</v>
      </c>
    </row>
    <row r="113" spans="2:4">
      <c r="B113" t="s">
        <v>502</v>
      </c>
      <c r="C113">
        <v>33.860371739222863</v>
      </c>
      <c r="D113">
        <v>135.15440900189861</v>
      </c>
    </row>
    <row r="114" spans="2:4">
      <c r="B114" t="s">
        <v>503</v>
      </c>
      <c r="C114">
        <v>34.112988242957435</v>
      </c>
      <c r="D114">
        <v>135.82246848008975</v>
      </c>
    </row>
    <row r="115" spans="2:4">
      <c r="B115" t="s">
        <v>504</v>
      </c>
      <c r="C115">
        <v>35.647882725800528</v>
      </c>
      <c r="D115">
        <v>139.79080912025844</v>
      </c>
    </row>
    <row r="116" spans="2:4">
      <c r="B116" t="s">
        <v>505</v>
      </c>
      <c r="C116">
        <v>35.556434741181334</v>
      </c>
      <c r="D116">
        <v>135.9722405327953</v>
      </c>
    </row>
    <row r="117" spans="2:4">
      <c r="B117" t="s">
        <v>506</v>
      </c>
      <c r="C117">
        <v>35.351099606986459</v>
      </c>
      <c r="D117">
        <v>135.26635354845138</v>
      </c>
    </row>
    <row r="118" spans="2:4">
      <c r="B118" t="s">
        <v>507</v>
      </c>
      <c r="C118">
        <v>35.930809236247349</v>
      </c>
      <c r="D118">
        <v>139.91058845823864</v>
      </c>
    </row>
    <row r="119" spans="2:4">
      <c r="B119" t="s">
        <v>508</v>
      </c>
      <c r="C119">
        <v>36.106697327015418</v>
      </c>
      <c r="D119">
        <v>139.83263097329305</v>
      </c>
    </row>
    <row r="120" spans="2:4">
      <c r="B120" t="s">
        <v>509</v>
      </c>
      <c r="C120">
        <v>36.995998879309816</v>
      </c>
      <c r="D120">
        <v>136.83804195925802</v>
      </c>
    </row>
    <row r="121" spans="2:4">
      <c r="B121" t="s">
        <v>510</v>
      </c>
      <c r="C121">
        <v>37.425338985543583</v>
      </c>
      <c r="D121">
        <v>138.59820514421614</v>
      </c>
    </row>
    <row r="122" spans="2:4">
      <c r="B122" t="s">
        <v>511</v>
      </c>
      <c r="C122">
        <v>36.833393683160601</v>
      </c>
      <c r="D122">
        <v>138.74669119999999</v>
      </c>
    </row>
    <row r="123" spans="2:4">
      <c r="B123" t="s">
        <v>512</v>
      </c>
      <c r="C123">
        <v>37.025403708186893</v>
      </c>
      <c r="D123">
        <v>138.74501577195321</v>
      </c>
    </row>
    <row r="124" spans="2:4">
      <c r="B124" t="s">
        <v>513</v>
      </c>
      <c r="C124">
        <v>36.371120610978807</v>
      </c>
      <c r="D124">
        <v>139.38204658642061</v>
      </c>
    </row>
    <row r="125" spans="2:4">
      <c r="B125" t="s">
        <v>514</v>
      </c>
      <c r="C125">
        <v>37.237118883574631</v>
      </c>
      <c r="D125">
        <v>141.00975359999998</v>
      </c>
    </row>
    <row r="126" spans="2:4">
      <c r="B126" t="s">
        <v>515</v>
      </c>
      <c r="C126">
        <v>35.708267733884668</v>
      </c>
      <c r="D126">
        <v>138.9077149736554</v>
      </c>
    </row>
    <row r="127" spans="2:4">
      <c r="B127" t="s">
        <v>516</v>
      </c>
      <c r="C127">
        <v>34.838968568013591</v>
      </c>
      <c r="D127">
        <v>135.91735309240229</v>
      </c>
    </row>
    <row r="128" spans="2:4">
      <c r="B128" t="s">
        <v>517</v>
      </c>
      <c r="C128">
        <v>35.539462784211032</v>
      </c>
      <c r="D128">
        <v>135.65658974924909</v>
      </c>
    </row>
    <row r="129" spans="2:4">
      <c r="B129" t="s">
        <v>518</v>
      </c>
      <c r="C129">
        <v>35.10344718137253</v>
      </c>
      <c r="D129">
        <v>136.29851369999997</v>
      </c>
    </row>
    <row r="130" spans="2:4">
      <c r="B130" t="s">
        <v>519</v>
      </c>
      <c r="C130">
        <v>35.202859981475441</v>
      </c>
      <c r="D130">
        <v>136.43987240000001</v>
      </c>
    </row>
    <row r="131" spans="2:4">
      <c r="B131" t="s">
        <v>520</v>
      </c>
      <c r="C131">
        <v>35.515618181799375</v>
      </c>
      <c r="D131">
        <v>136.1105518</v>
      </c>
    </row>
    <row r="132" spans="2:4">
      <c r="B132" t="s">
        <v>521</v>
      </c>
      <c r="C132">
        <v>34.961593435279937</v>
      </c>
      <c r="D132">
        <v>135.09373984404087</v>
      </c>
    </row>
    <row r="133" spans="2:4">
      <c r="B133" t="s">
        <v>522</v>
      </c>
      <c r="C133">
        <v>35.53899968060265</v>
      </c>
      <c r="D133">
        <v>132.99172771294303</v>
      </c>
    </row>
    <row r="134" spans="2:4">
      <c r="B134" t="s">
        <v>523</v>
      </c>
      <c r="C134">
        <v>35.315672781592291</v>
      </c>
      <c r="D134">
        <v>140.02967839999999</v>
      </c>
    </row>
    <row r="135" spans="2:4">
      <c r="B135" t="s">
        <v>524</v>
      </c>
      <c r="C135">
        <v>33.348565879568348</v>
      </c>
      <c r="D135">
        <v>129.68433039999996</v>
      </c>
    </row>
    <row r="136" spans="2:4">
      <c r="B136" t="s">
        <v>525</v>
      </c>
      <c r="C136">
        <v>37.842662384191179</v>
      </c>
      <c r="D136">
        <v>140.75025629999996</v>
      </c>
    </row>
    <row r="137" spans="2:4">
      <c r="B137" t="s">
        <v>526</v>
      </c>
      <c r="C137">
        <v>33.393767779614286</v>
      </c>
      <c r="D137">
        <v>129.9236435</v>
      </c>
    </row>
    <row r="138" spans="2:4">
      <c r="B138" t="s">
        <v>527</v>
      </c>
      <c r="C138">
        <v>35.675360981964779</v>
      </c>
      <c r="D138">
        <v>136.65407619999999</v>
      </c>
    </row>
    <row r="139" spans="2:4">
      <c r="B139" t="s">
        <v>528</v>
      </c>
      <c r="C139">
        <v>35.633574681921566</v>
      </c>
      <c r="D139">
        <v>136.6633563</v>
      </c>
    </row>
    <row r="140" spans="2:4">
      <c r="B140" t="s">
        <v>529</v>
      </c>
      <c r="C140">
        <v>35.650100581938673</v>
      </c>
      <c r="D140">
        <v>136.65658429999999</v>
      </c>
    </row>
    <row r="141" spans="2:4">
      <c r="B141" t="s">
        <v>530</v>
      </c>
      <c r="C141">
        <v>35.706360981996944</v>
      </c>
      <c r="D141">
        <v>136.6639787</v>
      </c>
    </row>
    <row r="142" spans="2:4">
      <c r="B142" t="s">
        <v>531</v>
      </c>
      <c r="C142">
        <v>41.508651564773203</v>
      </c>
      <c r="D142">
        <v>140.91210482362231</v>
      </c>
    </row>
    <row r="143" spans="2:4">
      <c r="B143" t="s">
        <v>532</v>
      </c>
      <c r="C143">
        <v>32.484738478698453</v>
      </c>
      <c r="D143">
        <v>130.0443314</v>
      </c>
    </row>
    <row r="144" spans="2:4">
      <c r="B144" t="s">
        <v>533</v>
      </c>
      <c r="C144">
        <v>32.465651478679419</v>
      </c>
      <c r="D144">
        <v>130.0722404</v>
      </c>
    </row>
    <row r="145" spans="2:4">
      <c r="B145" t="s">
        <v>534</v>
      </c>
      <c r="C145">
        <v>36.716571783040472</v>
      </c>
      <c r="D145">
        <v>139.82014500000002</v>
      </c>
    </row>
    <row r="146" spans="2:4">
      <c r="B146" t="s">
        <v>535</v>
      </c>
      <c r="C146">
        <v>37.012263983344255</v>
      </c>
      <c r="D146">
        <v>139.66736009999997</v>
      </c>
    </row>
    <row r="147" spans="2:4">
      <c r="B147" t="s">
        <v>536</v>
      </c>
      <c r="C147">
        <v>36.831030068493966</v>
      </c>
      <c r="D147">
        <v>139.67164638616484</v>
      </c>
    </row>
    <row r="148" spans="2:4">
      <c r="B148" t="s">
        <v>537</v>
      </c>
      <c r="C148">
        <v>34.656600980925262</v>
      </c>
      <c r="D148">
        <v>134.14717879997406</v>
      </c>
    </row>
    <row r="149" spans="2:4">
      <c r="B149" t="s">
        <v>538</v>
      </c>
      <c r="C149">
        <v>35.208514496067693</v>
      </c>
      <c r="D149">
        <v>134.18795782269976</v>
      </c>
    </row>
    <row r="150" spans="2:4">
      <c r="B150" t="s">
        <v>539</v>
      </c>
      <c r="C150">
        <v>40.755782887038599</v>
      </c>
      <c r="D150">
        <v>141.1459764</v>
      </c>
    </row>
    <row r="151" spans="2:4">
      <c r="B151" t="s">
        <v>540</v>
      </c>
      <c r="C151">
        <v>36.459874082775926</v>
      </c>
      <c r="D151">
        <v>136.85355660000005</v>
      </c>
    </row>
    <row r="152" spans="2:4">
      <c r="B152" t="s">
        <v>541</v>
      </c>
      <c r="C152">
        <v>36.993515983324997</v>
      </c>
      <c r="D152">
        <v>139.86426240000003</v>
      </c>
    </row>
    <row r="153" spans="2:4">
      <c r="B153" t="s">
        <v>542</v>
      </c>
      <c r="C153">
        <v>36.845897183173513</v>
      </c>
      <c r="D153">
        <v>138.76684369999998</v>
      </c>
    </row>
    <row r="154" spans="2:4">
      <c r="B154" t="s">
        <v>543</v>
      </c>
      <c r="C154">
        <v>35.539115781823647</v>
      </c>
      <c r="D154">
        <v>135.97127599999999</v>
      </c>
    </row>
    <row r="155" spans="2:4">
      <c r="B155" t="s">
        <v>544</v>
      </c>
      <c r="C155">
        <v>35.533805881818225</v>
      </c>
      <c r="D155">
        <v>135.98637149999996</v>
      </c>
    </row>
    <row r="156" spans="2:4">
      <c r="B156" t="s">
        <v>545</v>
      </c>
      <c r="C156">
        <v>35.283431681558874</v>
      </c>
      <c r="D156">
        <v>135.31301980000001</v>
      </c>
    </row>
    <row r="157" spans="2:4">
      <c r="B157" t="s">
        <v>546</v>
      </c>
      <c r="C157">
        <v>35.08315948135143</v>
      </c>
      <c r="D157">
        <v>135.36116000000004</v>
      </c>
    </row>
    <row r="158" spans="2:4">
      <c r="B158" t="s">
        <v>547</v>
      </c>
      <c r="C158">
        <v>35.52070181861027</v>
      </c>
      <c r="D158">
        <v>135.50414703991692</v>
      </c>
    </row>
    <row r="159" spans="2:4">
      <c r="B159" t="s">
        <v>548</v>
      </c>
      <c r="C159">
        <v>35.48131578176384</v>
      </c>
      <c r="D159">
        <v>135.46966040000004</v>
      </c>
    </row>
    <row r="160" spans="2:4">
      <c r="B160" t="s">
        <v>549</v>
      </c>
      <c r="C160">
        <v>33.860734580091119</v>
      </c>
      <c r="D160">
        <v>134.65037140000004</v>
      </c>
    </row>
    <row r="161" spans="2:4">
      <c r="B161" t="s">
        <v>550</v>
      </c>
      <c r="C161">
        <v>36.033951482335901</v>
      </c>
      <c r="D161">
        <v>138.70539420000003</v>
      </c>
    </row>
    <row r="162" spans="2:4">
      <c r="B162" t="s">
        <v>551</v>
      </c>
      <c r="C162">
        <v>35.128425766214498</v>
      </c>
      <c r="D162">
        <v>134.71815123527378</v>
      </c>
    </row>
    <row r="163" spans="2:4">
      <c r="B163" t="s">
        <v>552</v>
      </c>
      <c r="C163">
        <v>34.624290259299336</v>
      </c>
      <c r="D163">
        <v>138.14599129416126</v>
      </c>
    </row>
    <row r="164" spans="2:4">
      <c r="B164" t="s">
        <v>553</v>
      </c>
      <c r="C164">
        <v>32.318128478532813</v>
      </c>
      <c r="D164">
        <v>131.35489939999999</v>
      </c>
    </row>
    <row r="165" spans="2:4">
      <c r="B165" t="s">
        <v>554</v>
      </c>
      <c r="C165">
        <v>36.079947782383513</v>
      </c>
      <c r="D165">
        <v>137.04902529999998</v>
      </c>
    </row>
    <row r="166" spans="2:4">
      <c r="B166" t="s">
        <v>555</v>
      </c>
      <c r="C166">
        <v>35.236783699163318</v>
      </c>
      <c r="D166">
        <v>134.85631707609716</v>
      </c>
    </row>
    <row r="167" spans="2:4">
      <c r="B167" t="s">
        <v>556</v>
      </c>
      <c r="C167">
        <v>36.527150382845349</v>
      </c>
      <c r="D167">
        <v>138.96215179999999</v>
      </c>
    </row>
    <row r="168" spans="2:4">
      <c r="B168" t="s">
        <v>557</v>
      </c>
      <c r="C168">
        <v>36.531049382849403</v>
      </c>
      <c r="D168">
        <v>138.94781469999998</v>
      </c>
    </row>
    <row r="169" spans="2:4">
      <c r="B169" t="s">
        <v>558</v>
      </c>
      <c r="C169">
        <v>33.860709380091059</v>
      </c>
      <c r="D169">
        <v>135.1978422</v>
      </c>
    </row>
    <row r="170" spans="2:4">
      <c r="B170" t="s">
        <v>559</v>
      </c>
      <c r="C170">
        <v>34.973205081237758</v>
      </c>
      <c r="D170">
        <v>134.56571169999998</v>
      </c>
    </row>
    <row r="171" spans="2:4">
      <c r="B171" t="s">
        <v>560</v>
      </c>
      <c r="C171">
        <v>31.831554494509291</v>
      </c>
      <c r="D171">
        <v>130.18954854445479</v>
      </c>
    </row>
    <row r="172" spans="2:4">
      <c r="B172" t="s">
        <v>561</v>
      </c>
      <c r="C172">
        <v>37.06119413998394</v>
      </c>
      <c r="D172">
        <v>136.7293475498264</v>
      </c>
    </row>
    <row r="173" spans="2:4">
      <c r="B173" t="s">
        <v>562</v>
      </c>
      <c r="C173">
        <v>35.690483081980481</v>
      </c>
      <c r="D173">
        <v>139.9691358</v>
      </c>
    </row>
    <row r="174" spans="2:4">
      <c r="B174" t="s">
        <v>563</v>
      </c>
      <c r="C174">
        <v>35.691145203332042</v>
      </c>
      <c r="D174">
        <v>139.95336681437402</v>
      </c>
    </row>
    <row r="175" spans="2:4">
      <c r="B175" t="s">
        <v>564</v>
      </c>
      <c r="C175">
        <v>35.673833481963186</v>
      </c>
      <c r="D175">
        <v>139.92874660000001</v>
      </c>
    </row>
    <row r="176" spans="2:4">
      <c r="B176" t="s">
        <v>565</v>
      </c>
      <c r="C176">
        <v>35.637957981926078</v>
      </c>
      <c r="D176">
        <v>139.88276669999999</v>
      </c>
    </row>
    <row r="177" spans="2:4">
      <c r="B177" t="s">
        <v>566</v>
      </c>
      <c r="C177">
        <v>35.643357481931645</v>
      </c>
      <c r="D177">
        <v>139.8673253</v>
      </c>
    </row>
    <row r="178" spans="2:4">
      <c r="B178" t="s">
        <v>567</v>
      </c>
      <c r="C178">
        <v>35.647114881935543</v>
      </c>
      <c r="D178">
        <v>139.85114659999999</v>
      </c>
    </row>
    <row r="179" spans="2:4">
      <c r="B179" t="s">
        <v>568</v>
      </c>
      <c r="C179">
        <v>35.647820481936307</v>
      </c>
      <c r="D179">
        <v>139.84061359999998</v>
      </c>
    </row>
    <row r="180" spans="2:4">
      <c r="B180" t="s">
        <v>569</v>
      </c>
      <c r="C180">
        <v>35.642827600842622</v>
      </c>
      <c r="D180">
        <v>139.80703298771471</v>
      </c>
    </row>
    <row r="181" spans="2:4">
      <c r="B181" t="s">
        <v>570</v>
      </c>
      <c r="C181">
        <v>35.524235781808308</v>
      </c>
      <c r="D181">
        <v>135.34489300000001</v>
      </c>
    </row>
    <row r="182" spans="2:4">
      <c r="B182" t="s">
        <v>571</v>
      </c>
      <c r="C182">
        <v>36.081367082384993</v>
      </c>
      <c r="D182">
        <v>138.62571410000004</v>
      </c>
    </row>
    <row r="183" spans="2:4">
      <c r="B183" t="s">
        <v>572</v>
      </c>
      <c r="C183">
        <v>43.234266159817281</v>
      </c>
      <c r="D183">
        <v>141.45121793661826</v>
      </c>
    </row>
    <row r="184" spans="2:4">
      <c r="B184" t="s">
        <v>573</v>
      </c>
      <c r="C184">
        <v>41.916289110672011</v>
      </c>
      <c r="D184">
        <v>140.58515938711835</v>
      </c>
    </row>
    <row r="185" spans="2:4">
      <c r="B185" t="s">
        <v>574</v>
      </c>
      <c r="C185">
        <v>42.749349494630721</v>
      </c>
      <c r="D185">
        <v>141.03539173232843</v>
      </c>
    </row>
    <row r="186" spans="2:4">
      <c r="B186" t="s">
        <v>575</v>
      </c>
      <c r="C186">
        <v>43.103426189125337</v>
      </c>
      <c r="D186">
        <v>141.05492399999997</v>
      </c>
    </row>
    <row r="187" spans="2:4">
      <c r="B187" t="s">
        <v>576</v>
      </c>
      <c r="C187">
        <v>43.058029756113321</v>
      </c>
      <c r="D187">
        <v>141.2221878926961</v>
      </c>
    </row>
    <row r="188" spans="2:4">
      <c r="B188" t="s">
        <v>577</v>
      </c>
      <c r="C188">
        <v>41.888040971612753</v>
      </c>
      <c r="D188">
        <v>140.60642612495218</v>
      </c>
    </row>
    <row r="189" spans="2:4">
      <c r="B189" t="s">
        <v>578</v>
      </c>
      <c r="C189">
        <v>42.612540162775971</v>
      </c>
      <c r="D189">
        <v>141.80450293753924</v>
      </c>
    </row>
    <row r="190" spans="2:4">
      <c r="B190" t="s">
        <v>579</v>
      </c>
      <c r="C190">
        <v>42.714095832936565</v>
      </c>
      <c r="D190">
        <v>141.78185613570739</v>
      </c>
    </row>
    <row r="191" spans="2:4">
      <c r="B191" t="s">
        <v>580</v>
      </c>
      <c r="C191">
        <v>43.039701541285162</v>
      </c>
      <c r="D191">
        <v>140.5164523543362</v>
      </c>
    </row>
    <row r="192" spans="2:4">
      <c r="B192" t="s">
        <v>581</v>
      </c>
      <c r="C192">
        <v>43.054394789084093</v>
      </c>
      <c r="D192">
        <v>141.1341659</v>
      </c>
    </row>
    <row r="193" spans="2:4">
      <c r="B193" t="s">
        <v>582</v>
      </c>
      <c r="C193">
        <v>41.3361912214217</v>
      </c>
      <c r="D193">
        <v>140.82133755355883</v>
      </c>
    </row>
    <row r="194" spans="2:4">
      <c r="B194" t="s">
        <v>583</v>
      </c>
      <c r="C194">
        <v>40.045024127788608</v>
      </c>
      <c r="D194">
        <v>140.08826559663316</v>
      </c>
    </row>
    <row r="195" spans="2:4">
      <c r="B195" t="s">
        <v>584</v>
      </c>
      <c r="C195">
        <v>42.76546822805534</v>
      </c>
      <c r="D195">
        <v>142.3661927191954</v>
      </c>
    </row>
    <row r="196" spans="2:4">
      <c r="B196" t="s">
        <v>585</v>
      </c>
      <c r="C196">
        <v>42.492460260496109</v>
      </c>
      <c r="D196">
        <v>140.46889911272919</v>
      </c>
    </row>
    <row r="197" spans="2:4">
      <c r="B197" t="s">
        <v>586</v>
      </c>
      <c r="C197">
        <v>44.41957532562013</v>
      </c>
      <c r="D197">
        <v>141.45572674705218</v>
      </c>
    </row>
    <row r="198" spans="2:4">
      <c r="B198" t="s">
        <v>587</v>
      </c>
      <c r="C198">
        <v>44.390376612512185</v>
      </c>
      <c r="D198">
        <v>142.60916164431279</v>
      </c>
    </row>
    <row r="199" spans="2:4">
      <c r="B199" t="s">
        <v>588</v>
      </c>
      <c r="C199">
        <v>43.969915143757859</v>
      </c>
      <c r="D199">
        <v>144.34572196185522</v>
      </c>
    </row>
    <row r="200" spans="2:4">
      <c r="B200" t="s">
        <v>589</v>
      </c>
      <c r="C200">
        <v>43.147679382638273</v>
      </c>
      <c r="D200">
        <v>145.02240376824813</v>
      </c>
    </row>
    <row r="201" spans="2:4">
      <c r="B201" t="s">
        <v>590</v>
      </c>
      <c r="C201">
        <v>42.877883273520922</v>
      </c>
      <c r="D201">
        <v>143.64084508019593</v>
      </c>
    </row>
    <row r="202" spans="2:4">
      <c r="B202" t="s">
        <v>591</v>
      </c>
      <c r="C202">
        <v>33.659849545344365</v>
      </c>
      <c r="D202">
        <v>129.68428282334222</v>
      </c>
    </row>
    <row r="203" spans="2:4">
      <c r="B203" t="s">
        <v>592</v>
      </c>
      <c r="C203">
        <v>30.737058363239601</v>
      </c>
      <c r="D203">
        <v>130.61472030713247</v>
      </c>
    </row>
    <row r="204" spans="2:4">
      <c r="B204" t="s">
        <v>593</v>
      </c>
      <c r="C204">
        <v>32.431931356412775</v>
      </c>
      <c r="D204">
        <v>130.39458183486042</v>
      </c>
    </row>
    <row r="205" spans="2:4">
      <c r="B205" t="s">
        <v>594</v>
      </c>
      <c r="C205">
        <v>35.233660181862305</v>
      </c>
      <c r="D205">
        <v>137.47317236567724</v>
      </c>
    </row>
    <row r="206" spans="2:4">
      <c r="B206" t="s">
        <v>595</v>
      </c>
      <c r="C206">
        <v>34.484226545425187</v>
      </c>
      <c r="D206">
        <v>135.60916461195606</v>
      </c>
    </row>
    <row r="207" spans="2:4">
      <c r="B207" t="s">
        <v>596</v>
      </c>
      <c r="C207">
        <v>31.546446690591694</v>
      </c>
      <c r="D207">
        <v>131.40418241459082</v>
      </c>
    </row>
    <row r="208" spans="2:4">
      <c r="B208" t="s">
        <v>597</v>
      </c>
      <c r="C208">
        <v>33.276315860814783</v>
      </c>
      <c r="D208">
        <v>132.4954976807833</v>
      </c>
    </row>
    <row r="209" spans="2:4">
      <c r="B209" t="s">
        <v>598</v>
      </c>
      <c r="C209">
        <v>35.49060885721218</v>
      </c>
      <c r="D209">
        <v>133.84305642513195</v>
      </c>
    </row>
    <row r="210" spans="2:4">
      <c r="B210" t="s">
        <v>599</v>
      </c>
      <c r="C210">
        <v>34.334339818137771</v>
      </c>
      <c r="D210">
        <v>131.79891346832002</v>
      </c>
    </row>
    <row r="211" spans="2:4">
      <c r="B211" t="s">
        <v>600</v>
      </c>
      <c r="C211">
        <v>34.424271854510224</v>
      </c>
      <c r="D211">
        <v>133.6245445918176</v>
      </c>
    </row>
    <row r="212" spans="2:4">
      <c r="B212" t="s">
        <v>601</v>
      </c>
      <c r="C212">
        <v>28.263927362997119</v>
      </c>
      <c r="D212">
        <v>129.33184438251254</v>
      </c>
    </row>
    <row r="213" spans="2:4">
      <c r="B213" t="s">
        <v>602</v>
      </c>
      <c r="C213">
        <v>26.853629519883636</v>
      </c>
      <c r="D213">
        <v>127.98617033570848</v>
      </c>
    </row>
    <row r="214" spans="2:4">
      <c r="B214" t="s">
        <v>603</v>
      </c>
      <c r="C214">
        <v>24.81653263538637</v>
      </c>
      <c r="D214">
        <v>124.47994184709124</v>
      </c>
    </row>
    <row r="215" spans="2:4">
      <c r="B215" t="s">
        <v>604</v>
      </c>
      <c r="C215">
        <v>25.790796362754623</v>
      </c>
      <c r="D215">
        <v>138.21329309141947</v>
      </c>
    </row>
    <row r="216" spans="2:4">
      <c r="B216" t="s">
        <v>605</v>
      </c>
      <c r="C216">
        <v>34.896415045465609</v>
      </c>
      <c r="D216">
        <v>139.44682763432323</v>
      </c>
    </row>
    <row r="217" spans="2:4">
      <c r="B217" t="s">
        <v>606</v>
      </c>
      <c r="C217">
        <v>36.357810636517982</v>
      </c>
      <c r="D217">
        <v>140.55700872293659</v>
      </c>
    </row>
    <row r="218" spans="2:4">
      <c r="B218" t="s">
        <v>607</v>
      </c>
      <c r="C218">
        <v>36.492708691076665</v>
      </c>
      <c r="D218">
        <v>139.29880348917476</v>
      </c>
    </row>
    <row r="219" spans="2:4">
      <c r="B219" t="s">
        <v>608</v>
      </c>
      <c r="C219">
        <v>39.834029734760925</v>
      </c>
      <c r="D219">
        <v>141.47741526648781</v>
      </c>
    </row>
    <row r="220" spans="2:4">
      <c r="B220" t="s">
        <v>609</v>
      </c>
      <c r="C220">
        <v>38.156451363967072</v>
      </c>
      <c r="D220">
        <v>140.92706908580772</v>
      </c>
    </row>
    <row r="221" spans="2:4">
      <c r="B221" t="s">
        <v>610</v>
      </c>
      <c r="C221">
        <v>38.060095610710867</v>
      </c>
      <c r="D221">
        <v>139.23536456982546</v>
      </c>
    </row>
    <row r="222" spans="2:4">
      <c r="B222" t="s">
        <v>611</v>
      </c>
      <c r="C222">
        <v>37.63184781846109</v>
      </c>
      <c r="D222">
        <v>136.89752291232216</v>
      </c>
    </row>
    <row r="223" spans="2:4">
      <c r="B223" t="s">
        <v>612</v>
      </c>
      <c r="C223">
        <v>36.651819216966402</v>
      </c>
      <c r="D223">
        <v>137.30237527512134</v>
      </c>
    </row>
    <row r="224" spans="2:4">
      <c r="B224" t="s">
        <v>613</v>
      </c>
      <c r="C224">
        <v>30.121733903849123</v>
      </c>
      <c r="D224">
        <v>130.00704223757569</v>
      </c>
    </row>
    <row r="225" spans="2:4">
      <c r="B225" t="s">
        <v>614</v>
      </c>
      <c r="C225">
        <v>26.94706540182904</v>
      </c>
      <c r="D225">
        <v>128.38026059227252</v>
      </c>
    </row>
    <row r="226" spans="2:4">
      <c r="B226" t="s">
        <v>615</v>
      </c>
      <c r="C226">
        <v>25.565966271823491</v>
      </c>
      <c r="D226">
        <v>141.91389672013071</v>
      </c>
    </row>
    <row r="227" spans="2:4">
      <c r="B227" t="s">
        <v>616</v>
      </c>
      <c r="C227">
        <v>24.95571316786755</v>
      </c>
      <c r="D227">
        <v>124.3977062108977</v>
      </c>
    </row>
    <row r="228" spans="2:4">
      <c r="B228" t="s">
        <v>617</v>
      </c>
      <c r="C228">
        <v>34.141628311625354</v>
      </c>
      <c r="D228">
        <v>132.9032205829196</v>
      </c>
    </row>
    <row r="229" spans="2:4">
      <c r="B229" t="s">
        <v>618</v>
      </c>
      <c r="C229">
        <v>32.715563163433593</v>
      </c>
      <c r="D229">
        <v>130.76274445228088</v>
      </c>
    </row>
    <row r="230" spans="2:4">
      <c r="B230" t="s">
        <v>619</v>
      </c>
      <c r="C230">
        <v>34.604135927255129</v>
      </c>
      <c r="D230">
        <v>137.12778269366419</v>
      </c>
    </row>
    <row r="231" spans="2:4">
      <c r="B231" t="s">
        <v>620</v>
      </c>
      <c r="C231">
        <v>34.873932036372494</v>
      </c>
      <c r="D231">
        <v>136.43700334963813</v>
      </c>
    </row>
    <row r="232" spans="2:4">
      <c r="B232" t="s">
        <v>621</v>
      </c>
      <c r="C232">
        <v>36.282867272874277</v>
      </c>
      <c r="D232">
        <v>137.06199418470931</v>
      </c>
    </row>
    <row r="233" spans="2:4">
      <c r="B233" t="s">
        <v>622</v>
      </c>
      <c r="C233">
        <v>33.8846796362755</v>
      </c>
      <c r="D233">
        <v>133.86228034008627</v>
      </c>
    </row>
    <row r="234" spans="2:4">
      <c r="B234" t="s">
        <v>623</v>
      </c>
      <c r="C234">
        <v>35.554846026049646</v>
      </c>
      <c r="D234">
        <v>134.93561559170385</v>
      </c>
    </row>
    <row r="235" spans="2:4">
      <c r="B235" t="s">
        <v>624</v>
      </c>
      <c r="C235">
        <v>36.132980545586847</v>
      </c>
      <c r="D235">
        <v>139.69353454290396</v>
      </c>
    </row>
    <row r="236" spans="2:4">
      <c r="B236" t="s">
        <v>625</v>
      </c>
      <c r="C236">
        <v>35.627112840991792</v>
      </c>
      <c r="D236">
        <v>140.06359490577509</v>
      </c>
    </row>
    <row r="237" spans="2:4">
      <c r="B237" t="s">
        <v>626</v>
      </c>
      <c r="C237">
        <v>35.233660181862312</v>
      </c>
      <c r="D237">
        <v>138.46000000000024</v>
      </c>
    </row>
    <row r="238" spans="2:4">
      <c r="B238" t="s">
        <v>627</v>
      </c>
      <c r="C238">
        <v>34.199441763579088</v>
      </c>
      <c r="D238">
        <v>139.39748625260708</v>
      </c>
    </row>
    <row r="239" spans="2:4">
      <c r="B239" t="s">
        <v>628</v>
      </c>
      <c r="C239">
        <v>35.458490272793441</v>
      </c>
      <c r="D239">
        <v>132.53903419406228</v>
      </c>
    </row>
    <row r="240" spans="2:4">
      <c r="B240" t="s">
        <v>629</v>
      </c>
      <c r="C240">
        <v>37.144715954776963</v>
      </c>
      <c r="D240">
        <v>136.91808182137055</v>
      </c>
    </row>
    <row r="241" spans="2:4">
      <c r="B241" t="s">
        <v>630</v>
      </c>
      <c r="C241">
        <v>32.821846479146494</v>
      </c>
      <c r="D241">
        <v>133.32401072136466</v>
      </c>
    </row>
    <row r="242" spans="2:4">
      <c r="B242" t="s">
        <v>631</v>
      </c>
      <c r="C242">
        <v>33.19948316867584</v>
      </c>
      <c r="D242">
        <v>129.73127461545283</v>
      </c>
    </row>
    <row r="243" spans="2:4">
      <c r="B243" t="s">
        <v>632</v>
      </c>
      <c r="C243">
        <v>38.217768661493743</v>
      </c>
      <c r="D243">
        <v>138.93098591638167</v>
      </c>
    </row>
    <row r="244" spans="2:4">
      <c r="B244" t="s">
        <v>633</v>
      </c>
      <c r="C244">
        <v>37.706791182104801</v>
      </c>
      <c r="D244">
        <v>141.07509323095616</v>
      </c>
    </row>
    <row r="245" spans="2:4">
      <c r="B245" t="s">
        <v>634</v>
      </c>
      <c r="C245">
        <v>36.762504800194037</v>
      </c>
      <c r="D245">
        <v>139.59485177947167</v>
      </c>
    </row>
    <row r="246" spans="2:4">
      <c r="B246" t="s">
        <v>635</v>
      </c>
      <c r="C246">
        <v>37.781734545748513</v>
      </c>
      <c r="D246">
        <v>139.85800581529114</v>
      </c>
    </row>
    <row r="247" spans="2:4">
      <c r="B247" t="s">
        <v>636</v>
      </c>
      <c r="C247">
        <v>39.321480016973858</v>
      </c>
      <c r="D247">
        <v>140.77007378034725</v>
      </c>
    </row>
    <row r="248" spans="2:4">
      <c r="B248" t="s">
        <v>637</v>
      </c>
      <c r="C248">
        <v>42.806884297437385</v>
      </c>
      <c r="D248">
        <v>141.06989940130185</v>
      </c>
    </row>
    <row r="249" spans="2:4">
      <c r="B249" t="s">
        <v>638</v>
      </c>
      <c r="C249">
        <v>41.817969987702703</v>
      </c>
      <c r="D249">
        <v>140.68036217722695</v>
      </c>
    </row>
    <row r="250" spans="2:4">
      <c r="B250" t="s">
        <v>639</v>
      </c>
      <c r="C250">
        <v>40.206372781280358</v>
      </c>
      <c r="D250">
        <v>140.91255691471474</v>
      </c>
    </row>
    <row r="251" spans="2:4">
      <c r="B251" t="s">
        <v>640</v>
      </c>
      <c r="C251">
        <v>43.777203637245456</v>
      </c>
      <c r="D251">
        <v>142.51304206954109</v>
      </c>
    </row>
    <row r="252" spans="2:4">
      <c r="B252" t="s">
        <v>641</v>
      </c>
      <c r="C252">
        <v>42.990298318986483</v>
      </c>
      <c r="D252">
        <v>143.20910799017963</v>
      </c>
    </row>
    <row r="253" spans="2:4">
      <c r="B253" t="s">
        <v>642</v>
      </c>
      <c r="C253">
        <v>44.717402199321107</v>
      </c>
      <c r="D253">
        <v>142.1157478271513</v>
      </c>
    </row>
    <row r="254" spans="2:4">
      <c r="B254" t="s">
        <v>643</v>
      </c>
      <c r="C254">
        <v>43.456017793058123</v>
      </c>
      <c r="D254">
        <v>144.55718502635301</v>
      </c>
    </row>
    <row r="255" spans="2:4">
      <c r="B255" t="s">
        <v>644</v>
      </c>
      <c r="C255">
        <v>24.647167147537104</v>
      </c>
      <c r="D255">
        <v>123.76139220881444</v>
      </c>
    </row>
    <row r="256" spans="2:4">
      <c r="B256" t="s">
        <v>645</v>
      </c>
      <c r="C256">
        <v>24.824182694243067</v>
      </c>
      <c r="D256">
        <v>125.78405903139652</v>
      </c>
    </row>
    <row r="257" spans="2:4">
      <c r="B257" t="s">
        <v>646</v>
      </c>
      <c r="C257">
        <v>28.634538418324308</v>
      </c>
      <c r="D257">
        <v>127.63432198477828</v>
      </c>
    </row>
    <row r="258" spans="2:4">
      <c r="B258" t="s">
        <v>647</v>
      </c>
      <c r="C258">
        <v>28.342112352341974</v>
      </c>
      <c r="D258">
        <v>129.46919173555284</v>
      </c>
    </row>
    <row r="259" spans="2:4">
      <c r="B259" t="s">
        <v>648</v>
      </c>
      <c r="C259">
        <v>25.511898266503003</v>
      </c>
      <c r="D259">
        <v>131.76893620506388</v>
      </c>
    </row>
    <row r="260" spans="2:4">
      <c r="B260" t="s">
        <v>649</v>
      </c>
      <c r="C260">
        <v>27.760199175814339</v>
      </c>
      <c r="D260">
        <v>125.88103620782169</v>
      </c>
    </row>
    <row r="261" spans="2:4">
      <c r="B261" t="s">
        <v>650</v>
      </c>
      <c r="C261">
        <v>26.606723057124174</v>
      </c>
      <c r="D261">
        <v>127.32485168540629</v>
      </c>
    </row>
    <row r="262" spans="2:4">
      <c r="B262" t="s">
        <v>651</v>
      </c>
      <c r="C262">
        <v>31.550192137224879</v>
      </c>
      <c r="D262">
        <v>131.70164591938115</v>
      </c>
    </row>
    <row r="263" spans="2:4">
      <c r="B263" t="s">
        <v>652</v>
      </c>
      <c r="C263">
        <v>33.006234630874133</v>
      </c>
      <c r="D263">
        <v>134.62653033705877</v>
      </c>
    </row>
    <row r="264" spans="2:4">
      <c r="B264" t="s">
        <v>653</v>
      </c>
      <c r="C264">
        <v>33.380951449092692</v>
      </c>
      <c r="D264">
        <v>133.88858020407105</v>
      </c>
    </row>
    <row r="265" spans="2:4">
      <c r="B265" t="s">
        <v>654</v>
      </c>
      <c r="C265">
        <v>30.285214043194767</v>
      </c>
      <c r="D265">
        <v>129.93915805207479</v>
      </c>
    </row>
    <row r="266" spans="2:4">
      <c r="B266" t="s">
        <v>655</v>
      </c>
      <c r="C266">
        <v>31.935615150249681</v>
      </c>
      <c r="D266">
        <v>129.11096992059461</v>
      </c>
    </row>
    <row r="267" spans="2:4">
      <c r="B267" t="s">
        <v>656</v>
      </c>
      <c r="C267">
        <v>34.055441721886098</v>
      </c>
      <c r="D267">
        <v>130.59135620561543</v>
      </c>
    </row>
    <row r="268" spans="2:4">
      <c r="B268" t="s">
        <v>657</v>
      </c>
      <c r="C268">
        <v>33.409055210459087</v>
      </c>
      <c r="D268">
        <v>128.79554670645661</v>
      </c>
    </row>
    <row r="269" spans="2:4">
      <c r="B269" t="s">
        <v>658</v>
      </c>
      <c r="C269">
        <v>43.198532086418936</v>
      </c>
      <c r="D269">
        <v>140.92789175632942</v>
      </c>
    </row>
    <row r="270" spans="2:4">
      <c r="B270" t="s">
        <v>659</v>
      </c>
      <c r="C270">
        <v>41.449853601398999</v>
      </c>
      <c r="D270">
        <v>142.07930331134563</v>
      </c>
    </row>
    <row r="271" spans="2:4">
      <c r="B271" t="s">
        <v>660</v>
      </c>
      <c r="C271">
        <v>41.382257626347794</v>
      </c>
      <c r="D271">
        <v>140.21980443639964</v>
      </c>
    </row>
    <row r="272" spans="2:4">
      <c r="B272" t="s">
        <v>661</v>
      </c>
      <c r="C272">
        <v>42.767607745467593</v>
      </c>
      <c r="D272">
        <v>144.72231619899657</v>
      </c>
    </row>
    <row r="273" spans="2:4">
      <c r="B273" t="s">
        <v>662</v>
      </c>
      <c r="C273">
        <v>43.947965722856047</v>
      </c>
      <c r="D273">
        <v>144.48680019910688</v>
      </c>
    </row>
    <row r="274" spans="2:4">
      <c r="B274" t="s">
        <v>663</v>
      </c>
      <c r="C274">
        <v>44.697399359293172</v>
      </c>
      <c r="D274">
        <v>144.6438108657</v>
      </c>
    </row>
    <row r="275" spans="2:4">
      <c r="B275" t="s">
        <v>664</v>
      </c>
      <c r="C275">
        <v>44.62245599564946</v>
      </c>
      <c r="D275">
        <v>140.22939558571642</v>
      </c>
    </row>
    <row r="276" spans="2:4">
      <c r="B276" t="s">
        <v>665</v>
      </c>
      <c r="C276">
        <v>45.521776359374002</v>
      </c>
      <c r="D276">
        <v>141.89612420032034</v>
      </c>
    </row>
    <row r="277" spans="2:4">
      <c r="B277" t="s">
        <v>666</v>
      </c>
      <c r="C277">
        <v>44.959701132046163</v>
      </c>
      <c r="D277">
        <v>143.19146219971361</v>
      </c>
    </row>
    <row r="278" spans="2:4">
      <c r="B278" t="s">
        <v>667</v>
      </c>
      <c r="C278">
        <v>39.345561508501049</v>
      </c>
      <c r="D278">
        <v>139.05607831929763</v>
      </c>
    </row>
    <row r="279" spans="2:4">
      <c r="B279" t="s">
        <v>668</v>
      </c>
      <c r="C279">
        <v>37.877553267715399</v>
      </c>
      <c r="D279">
        <v>138.12786820208541</v>
      </c>
    </row>
    <row r="280" spans="2:4">
      <c r="B280" t="s">
        <v>669</v>
      </c>
      <c r="C280">
        <v>37.315478040387561</v>
      </c>
      <c r="D280">
        <v>136.59701420280243</v>
      </c>
    </row>
    <row r="281" spans="2:4">
      <c r="B281" t="s">
        <v>670</v>
      </c>
      <c r="C281">
        <v>38.597009558695028</v>
      </c>
      <c r="D281">
        <v>136.66766900276934</v>
      </c>
    </row>
    <row r="282" spans="2:4">
      <c r="B282" t="s">
        <v>671</v>
      </c>
      <c r="C282">
        <v>34.920172840852004</v>
      </c>
      <c r="D282">
        <v>130.06597435970772</v>
      </c>
    </row>
    <row r="283" spans="2:4">
      <c r="B283" t="s">
        <v>672</v>
      </c>
      <c r="C283">
        <v>35.577368491266093</v>
      </c>
      <c r="D283">
        <v>132.02256882032972</v>
      </c>
    </row>
    <row r="284" spans="2:4">
      <c r="B284" t="s">
        <v>673</v>
      </c>
      <c r="C284">
        <v>37.592768485869293</v>
      </c>
      <c r="D284">
        <v>133.24483647103926</v>
      </c>
    </row>
    <row r="285" spans="2:4">
      <c r="B285" t="s">
        <v>674</v>
      </c>
      <c r="C285">
        <v>36.303742631197451</v>
      </c>
      <c r="D285">
        <v>135.77270820318856</v>
      </c>
    </row>
    <row r="286" spans="2:4">
      <c r="B286" t="s">
        <v>675</v>
      </c>
      <c r="C286">
        <v>36.327408956558621</v>
      </c>
      <c r="D286">
        <v>134.24805199337632</v>
      </c>
    </row>
    <row r="287" spans="2:4">
      <c r="B287" t="s">
        <v>676</v>
      </c>
      <c r="C287">
        <v>26.989353149764732</v>
      </c>
      <c r="D287">
        <v>141.88490915270651</v>
      </c>
    </row>
    <row r="288" spans="2:4">
      <c r="B288" t="s">
        <v>677</v>
      </c>
      <c r="C288">
        <v>23.983053648171296</v>
      </c>
      <c r="D288">
        <v>153.43640819491492</v>
      </c>
    </row>
    <row r="289" spans="2:4">
      <c r="B289" t="s">
        <v>678</v>
      </c>
      <c r="C289">
        <v>24.741052240453403</v>
      </c>
      <c r="D289">
        <v>141.39144705769962</v>
      </c>
    </row>
    <row r="290" spans="2:4">
      <c r="B290" t="s">
        <v>679</v>
      </c>
      <c r="C290">
        <v>22.863899417758542</v>
      </c>
      <c r="D290">
        <v>141.18957620065129</v>
      </c>
    </row>
    <row r="291" spans="2:4">
      <c r="B291" t="s">
        <v>680</v>
      </c>
      <c r="C291">
        <v>32.219329312615159</v>
      </c>
      <c r="D291">
        <v>139.3839535348304</v>
      </c>
    </row>
    <row r="292" spans="2:4">
      <c r="B292" t="s">
        <v>681</v>
      </c>
      <c r="C292">
        <v>30.682990357919081</v>
      </c>
      <c r="D292">
        <v>139.59984320139591</v>
      </c>
    </row>
    <row r="293" spans="2:4">
      <c r="B293" t="s">
        <v>682</v>
      </c>
      <c r="C293">
        <v>33.830611630954962</v>
      </c>
      <c r="D293">
        <v>139.54096420142352</v>
      </c>
    </row>
    <row r="294" spans="2:4">
      <c r="B294" t="s">
        <v>683</v>
      </c>
      <c r="C294">
        <v>34.205328449173521</v>
      </c>
      <c r="D294">
        <v>137.73534153560257</v>
      </c>
    </row>
    <row r="295" spans="2:4">
      <c r="B295" t="s">
        <v>684</v>
      </c>
      <c r="C295">
        <v>37.877553267715399</v>
      </c>
      <c r="D295">
        <v>142.22584660016591</v>
      </c>
    </row>
    <row r="296" spans="2:4">
      <c r="B296" t="s">
        <v>685</v>
      </c>
      <c r="C296">
        <v>39.001703722371083</v>
      </c>
      <c r="D296">
        <v>141.99033060027622</v>
      </c>
    </row>
    <row r="297" spans="2:4">
      <c r="B297" t="s">
        <v>686</v>
      </c>
      <c r="C297">
        <v>36.528572722128587</v>
      </c>
      <c r="D297">
        <v>141.18957620065129</v>
      </c>
    </row>
    <row r="298" spans="2:4">
      <c r="B298" t="s">
        <v>687</v>
      </c>
      <c r="C298">
        <v>35.254535540185486</v>
      </c>
      <c r="D298">
        <v>140.24751220109255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9DC9C-53BB-4AD0-B66F-8E82670D1693}">
  <dimension ref="B9:H298"/>
  <sheetViews>
    <sheetView workbookViewId="0"/>
  </sheetViews>
  <sheetFormatPr defaultRowHeight="14.25"/>
  <sheetData>
    <row r="9" spans="2:8">
      <c r="B9" t="s">
        <v>64</v>
      </c>
      <c r="F9" t="s">
        <v>64</v>
      </c>
    </row>
    <row r="10" spans="2:8">
      <c r="B10" t="s">
        <v>53</v>
      </c>
      <c r="C10" t="s">
        <v>55</v>
      </c>
      <c r="D10" t="s">
        <v>65</v>
      </c>
      <c r="F10" t="s">
        <v>65</v>
      </c>
      <c r="G10" t="s">
        <v>53</v>
      </c>
      <c r="H10" t="s">
        <v>55</v>
      </c>
    </row>
    <row r="11" spans="2:8">
      <c r="B11" t="s">
        <v>399</v>
      </c>
      <c r="C11" t="s">
        <v>400</v>
      </c>
      <c r="D11" t="s">
        <v>400</v>
      </c>
      <c r="F11" t="s">
        <v>400</v>
      </c>
      <c r="G11" t="s">
        <v>688</v>
      </c>
      <c r="H11" t="s">
        <v>689</v>
      </c>
    </row>
    <row r="12" spans="2:8">
      <c r="B12" t="s">
        <v>399</v>
      </c>
      <c r="C12" t="s">
        <v>401</v>
      </c>
      <c r="D12" t="s">
        <v>401</v>
      </c>
      <c r="F12" t="s">
        <v>401</v>
      </c>
      <c r="G12" t="s">
        <v>688</v>
      </c>
      <c r="H12" t="s">
        <v>690</v>
      </c>
    </row>
    <row r="13" spans="2:8">
      <c r="B13" t="s">
        <v>399</v>
      </c>
      <c r="C13" t="s">
        <v>402</v>
      </c>
      <c r="D13" t="s">
        <v>402</v>
      </c>
      <c r="F13" t="s">
        <v>402</v>
      </c>
      <c r="G13" t="s">
        <v>688</v>
      </c>
      <c r="H13" t="s">
        <v>690</v>
      </c>
    </row>
    <row r="14" spans="2:8">
      <c r="B14" t="s">
        <v>399</v>
      </c>
      <c r="C14" t="s">
        <v>403</v>
      </c>
      <c r="D14" t="s">
        <v>403</v>
      </c>
      <c r="F14" t="s">
        <v>403</v>
      </c>
      <c r="G14" t="s">
        <v>688</v>
      </c>
      <c r="H14" t="s">
        <v>691</v>
      </c>
    </row>
    <row r="15" spans="2:8">
      <c r="B15" t="s">
        <v>399</v>
      </c>
      <c r="C15" t="s">
        <v>404</v>
      </c>
      <c r="D15" t="s">
        <v>404</v>
      </c>
      <c r="F15" t="s">
        <v>404</v>
      </c>
      <c r="G15" t="s">
        <v>688</v>
      </c>
      <c r="H15" t="s">
        <v>691</v>
      </c>
    </row>
    <row r="16" spans="2:8">
      <c r="B16" t="s">
        <v>399</v>
      </c>
      <c r="C16" t="s">
        <v>405</v>
      </c>
      <c r="D16" t="s">
        <v>405</v>
      </c>
      <c r="F16" t="s">
        <v>405</v>
      </c>
      <c r="G16" t="s">
        <v>688</v>
      </c>
      <c r="H16" t="s">
        <v>692</v>
      </c>
    </row>
    <row r="17" spans="2:8">
      <c r="B17" t="s">
        <v>399</v>
      </c>
      <c r="C17" t="s">
        <v>406</v>
      </c>
      <c r="D17" t="s">
        <v>406</v>
      </c>
      <c r="F17" t="s">
        <v>406</v>
      </c>
      <c r="G17" t="s">
        <v>688</v>
      </c>
      <c r="H17" t="s">
        <v>693</v>
      </c>
    </row>
    <row r="18" spans="2:8">
      <c r="B18" t="s">
        <v>399</v>
      </c>
      <c r="C18" t="s">
        <v>407</v>
      </c>
      <c r="D18" t="s">
        <v>407</v>
      </c>
      <c r="F18" t="s">
        <v>407</v>
      </c>
      <c r="G18" t="s">
        <v>688</v>
      </c>
      <c r="H18" t="s">
        <v>694</v>
      </c>
    </row>
    <row r="19" spans="2:8">
      <c r="B19" t="s">
        <v>399</v>
      </c>
      <c r="C19" t="s">
        <v>408</v>
      </c>
      <c r="D19" t="s">
        <v>408</v>
      </c>
      <c r="F19" t="s">
        <v>408</v>
      </c>
      <c r="G19" t="s">
        <v>688</v>
      </c>
      <c r="H19" t="s">
        <v>691</v>
      </c>
    </row>
    <row r="20" spans="2:8">
      <c r="B20" t="s">
        <v>399</v>
      </c>
      <c r="C20" t="s">
        <v>409</v>
      </c>
      <c r="D20" t="s">
        <v>409</v>
      </c>
      <c r="F20" t="s">
        <v>409</v>
      </c>
      <c r="G20" t="s">
        <v>688</v>
      </c>
      <c r="H20" t="s">
        <v>695</v>
      </c>
    </row>
    <row r="21" spans="2:8">
      <c r="B21" t="s">
        <v>399</v>
      </c>
      <c r="C21" t="s">
        <v>410</v>
      </c>
      <c r="D21" t="s">
        <v>410</v>
      </c>
      <c r="F21" t="s">
        <v>410</v>
      </c>
      <c r="G21" t="s">
        <v>688</v>
      </c>
      <c r="H21" t="s">
        <v>696</v>
      </c>
    </row>
    <row r="22" spans="2:8">
      <c r="B22" t="s">
        <v>399</v>
      </c>
      <c r="C22" t="s">
        <v>411</v>
      </c>
      <c r="D22" t="s">
        <v>411</v>
      </c>
      <c r="F22" t="s">
        <v>411</v>
      </c>
      <c r="G22" t="s">
        <v>688</v>
      </c>
      <c r="H22" t="s">
        <v>697</v>
      </c>
    </row>
    <row r="23" spans="2:8">
      <c r="B23" t="s">
        <v>399</v>
      </c>
      <c r="C23" t="s">
        <v>412</v>
      </c>
      <c r="D23" t="s">
        <v>412</v>
      </c>
      <c r="F23" t="s">
        <v>412</v>
      </c>
      <c r="G23" t="s">
        <v>688</v>
      </c>
      <c r="H23" t="s">
        <v>698</v>
      </c>
    </row>
    <row r="24" spans="2:8">
      <c r="B24" t="s">
        <v>399</v>
      </c>
      <c r="C24" t="s">
        <v>413</v>
      </c>
      <c r="D24" t="s">
        <v>413</v>
      </c>
      <c r="F24" t="s">
        <v>413</v>
      </c>
      <c r="G24" t="s">
        <v>688</v>
      </c>
      <c r="H24" t="s">
        <v>699</v>
      </c>
    </row>
    <row r="25" spans="2:8">
      <c r="B25" t="s">
        <v>399</v>
      </c>
      <c r="C25" t="s">
        <v>414</v>
      </c>
      <c r="D25" t="s">
        <v>414</v>
      </c>
      <c r="F25" t="s">
        <v>414</v>
      </c>
      <c r="G25" t="s">
        <v>688</v>
      </c>
      <c r="H25" t="s">
        <v>700</v>
      </c>
    </row>
    <row r="26" spans="2:8">
      <c r="B26" t="s">
        <v>399</v>
      </c>
      <c r="C26" t="s">
        <v>415</v>
      </c>
      <c r="D26" t="s">
        <v>415</v>
      </c>
      <c r="F26" t="s">
        <v>415</v>
      </c>
      <c r="G26" t="s">
        <v>688</v>
      </c>
      <c r="H26" t="s">
        <v>699</v>
      </c>
    </row>
    <row r="27" spans="2:8">
      <c r="B27" t="s">
        <v>399</v>
      </c>
      <c r="C27" t="s">
        <v>416</v>
      </c>
      <c r="D27" t="s">
        <v>416</v>
      </c>
      <c r="F27" t="s">
        <v>416</v>
      </c>
      <c r="G27" t="s">
        <v>688</v>
      </c>
      <c r="H27" t="s">
        <v>699</v>
      </c>
    </row>
    <row r="28" spans="2:8">
      <c r="B28" t="s">
        <v>399</v>
      </c>
      <c r="C28" t="s">
        <v>417</v>
      </c>
      <c r="D28" t="s">
        <v>417</v>
      </c>
      <c r="F28" t="s">
        <v>417</v>
      </c>
      <c r="G28" t="s">
        <v>688</v>
      </c>
      <c r="H28" t="s">
        <v>698</v>
      </c>
    </row>
    <row r="29" spans="2:8">
      <c r="B29" t="s">
        <v>399</v>
      </c>
      <c r="C29" t="s">
        <v>418</v>
      </c>
      <c r="D29" t="s">
        <v>418</v>
      </c>
      <c r="F29" t="s">
        <v>418</v>
      </c>
      <c r="G29" t="s">
        <v>688</v>
      </c>
      <c r="H29" t="s">
        <v>701</v>
      </c>
    </row>
    <row r="30" spans="2:8">
      <c r="B30" t="s">
        <v>399</v>
      </c>
      <c r="C30" t="s">
        <v>419</v>
      </c>
      <c r="D30" t="s">
        <v>419</v>
      </c>
      <c r="F30" t="s">
        <v>419</v>
      </c>
      <c r="G30" t="s">
        <v>688</v>
      </c>
      <c r="H30" t="s">
        <v>702</v>
      </c>
    </row>
    <row r="31" spans="2:8">
      <c r="B31" t="s">
        <v>399</v>
      </c>
      <c r="C31" t="s">
        <v>420</v>
      </c>
      <c r="D31" t="s">
        <v>420</v>
      </c>
      <c r="F31" t="s">
        <v>420</v>
      </c>
      <c r="G31" t="s">
        <v>688</v>
      </c>
      <c r="H31" t="s">
        <v>703</v>
      </c>
    </row>
    <row r="32" spans="2:8">
      <c r="B32" t="s">
        <v>399</v>
      </c>
      <c r="C32" t="s">
        <v>421</v>
      </c>
      <c r="D32" t="s">
        <v>421</v>
      </c>
      <c r="F32" t="s">
        <v>421</v>
      </c>
      <c r="G32" t="s">
        <v>688</v>
      </c>
      <c r="H32" t="s">
        <v>704</v>
      </c>
    </row>
    <row r="33" spans="2:8">
      <c r="B33" t="s">
        <v>399</v>
      </c>
      <c r="C33" t="s">
        <v>422</v>
      </c>
      <c r="D33" t="s">
        <v>422</v>
      </c>
      <c r="F33" t="s">
        <v>422</v>
      </c>
      <c r="G33" t="s">
        <v>688</v>
      </c>
      <c r="H33" t="s">
        <v>693</v>
      </c>
    </row>
    <row r="34" spans="2:8">
      <c r="B34" t="s">
        <v>399</v>
      </c>
      <c r="C34" t="s">
        <v>423</v>
      </c>
      <c r="D34" t="s">
        <v>423</v>
      </c>
      <c r="F34" t="s">
        <v>423</v>
      </c>
      <c r="G34" t="s">
        <v>688</v>
      </c>
      <c r="H34" t="s">
        <v>691</v>
      </c>
    </row>
    <row r="35" spans="2:8">
      <c r="B35" t="s">
        <v>399</v>
      </c>
      <c r="C35" t="s">
        <v>424</v>
      </c>
      <c r="D35" t="s">
        <v>424</v>
      </c>
      <c r="F35" t="s">
        <v>424</v>
      </c>
      <c r="G35" t="s">
        <v>688</v>
      </c>
      <c r="H35" t="s">
        <v>705</v>
      </c>
    </row>
    <row r="36" spans="2:8">
      <c r="B36" t="s">
        <v>399</v>
      </c>
      <c r="C36" t="s">
        <v>425</v>
      </c>
      <c r="D36" t="s">
        <v>425</v>
      </c>
      <c r="F36" t="s">
        <v>425</v>
      </c>
      <c r="G36" t="s">
        <v>688</v>
      </c>
      <c r="H36" t="s">
        <v>706</v>
      </c>
    </row>
    <row r="37" spans="2:8">
      <c r="B37" t="s">
        <v>399</v>
      </c>
      <c r="C37" t="s">
        <v>426</v>
      </c>
      <c r="D37" t="s">
        <v>426</v>
      </c>
      <c r="F37" t="s">
        <v>426</v>
      </c>
      <c r="G37" t="s">
        <v>688</v>
      </c>
      <c r="H37" t="s">
        <v>707</v>
      </c>
    </row>
    <row r="38" spans="2:8">
      <c r="B38" t="s">
        <v>399</v>
      </c>
      <c r="C38" t="s">
        <v>427</v>
      </c>
      <c r="D38" t="s">
        <v>427</v>
      </c>
      <c r="F38" t="s">
        <v>427</v>
      </c>
      <c r="G38" t="s">
        <v>688</v>
      </c>
      <c r="H38" t="s">
        <v>693</v>
      </c>
    </row>
    <row r="39" spans="2:8">
      <c r="B39" t="s">
        <v>399</v>
      </c>
      <c r="C39" t="s">
        <v>428</v>
      </c>
      <c r="D39" t="s">
        <v>428</v>
      </c>
      <c r="F39" t="s">
        <v>428</v>
      </c>
      <c r="G39" t="s">
        <v>688</v>
      </c>
      <c r="H39" t="s">
        <v>692</v>
      </c>
    </row>
    <row r="40" spans="2:8">
      <c r="B40" t="s">
        <v>399</v>
      </c>
      <c r="C40" t="s">
        <v>429</v>
      </c>
      <c r="D40" t="s">
        <v>429</v>
      </c>
      <c r="F40" t="s">
        <v>429</v>
      </c>
      <c r="G40" t="s">
        <v>688</v>
      </c>
      <c r="H40" t="s">
        <v>692</v>
      </c>
    </row>
    <row r="41" spans="2:8">
      <c r="B41" t="s">
        <v>399</v>
      </c>
      <c r="C41" t="s">
        <v>430</v>
      </c>
      <c r="D41" t="s">
        <v>430</v>
      </c>
      <c r="F41" t="s">
        <v>430</v>
      </c>
      <c r="G41" t="s">
        <v>688</v>
      </c>
      <c r="H41" t="s">
        <v>708</v>
      </c>
    </row>
    <row r="42" spans="2:8">
      <c r="B42" t="s">
        <v>399</v>
      </c>
      <c r="C42" t="s">
        <v>431</v>
      </c>
      <c r="D42" t="s">
        <v>431</v>
      </c>
      <c r="F42" t="s">
        <v>431</v>
      </c>
      <c r="G42" t="s">
        <v>688</v>
      </c>
      <c r="H42" t="s">
        <v>705</v>
      </c>
    </row>
    <row r="43" spans="2:8">
      <c r="B43" t="s">
        <v>399</v>
      </c>
      <c r="C43" t="s">
        <v>432</v>
      </c>
      <c r="D43" t="s">
        <v>432</v>
      </c>
      <c r="F43" t="s">
        <v>432</v>
      </c>
      <c r="G43" t="s">
        <v>688</v>
      </c>
      <c r="H43" t="s">
        <v>698</v>
      </c>
    </row>
    <row r="44" spans="2:8">
      <c r="B44" t="s">
        <v>399</v>
      </c>
      <c r="C44" t="s">
        <v>433</v>
      </c>
      <c r="D44" t="s">
        <v>433</v>
      </c>
      <c r="F44" t="s">
        <v>433</v>
      </c>
      <c r="G44" t="s">
        <v>688</v>
      </c>
      <c r="H44" t="s">
        <v>709</v>
      </c>
    </row>
    <row r="45" spans="2:8">
      <c r="B45" t="s">
        <v>399</v>
      </c>
      <c r="C45" t="s">
        <v>434</v>
      </c>
      <c r="D45" t="s">
        <v>434</v>
      </c>
      <c r="F45" t="s">
        <v>434</v>
      </c>
      <c r="G45" t="s">
        <v>688</v>
      </c>
      <c r="H45" t="s">
        <v>710</v>
      </c>
    </row>
    <row r="46" spans="2:8">
      <c r="B46" t="s">
        <v>399</v>
      </c>
      <c r="C46" t="s">
        <v>435</v>
      </c>
      <c r="D46" t="s">
        <v>435</v>
      </c>
      <c r="F46" t="s">
        <v>435</v>
      </c>
      <c r="G46" t="s">
        <v>688</v>
      </c>
      <c r="H46" t="s">
        <v>705</v>
      </c>
    </row>
    <row r="47" spans="2:8">
      <c r="B47" t="s">
        <v>399</v>
      </c>
      <c r="C47" t="s">
        <v>436</v>
      </c>
      <c r="D47" t="s">
        <v>436</v>
      </c>
      <c r="F47" t="s">
        <v>436</v>
      </c>
      <c r="G47" t="s">
        <v>688</v>
      </c>
      <c r="H47" t="s">
        <v>689</v>
      </c>
    </row>
    <row r="48" spans="2:8">
      <c r="B48" t="s">
        <v>399</v>
      </c>
      <c r="C48" t="s">
        <v>437</v>
      </c>
      <c r="D48" t="s">
        <v>437</v>
      </c>
      <c r="F48" t="s">
        <v>437</v>
      </c>
      <c r="G48" t="s">
        <v>688</v>
      </c>
      <c r="H48" t="s">
        <v>698</v>
      </c>
    </row>
    <row r="49" spans="2:8">
      <c r="B49" t="s">
        <v>399</v>
      </c>
      <c r="C49" t="s">
        <v>438</v>
      </c>
      <c r="D49" t="s">
        <v>438</v>
      </c>
      <c r="F49" t="s">
        <v>438</v>
      </c>
      <c r="G49" t="s">
        <v>688</v>
      </c>
      <c r="H49" t="s">
        <v>707</v>
      </c>
    </row>
    <row r="50" spans="2:8">
      <c r="B50" t="s">
        <v>399</v>
      </c>
      <c r="C50" t="s">
        <v>439</v>
      </c>
      <c r="D50" t="s">
        <v>439</v>
      </c>
      <c r="F50" t="s">
        <v>439</v>
      </c>
      <c r="G50" t="s">
        <v>688</v>
      </c>
      <c r="H50" t="s">
        <v>711</v>
      </c>
    </row>
    <row r="51" spans="2:8">
      <c r="B51" t="s">
        <v>399</v>
      </c>
      <c r="C51" t="s">
        <v>440</v>
      </c>
      <c r="D51" t="s">
        <v>440</v>
      </c>
      <c r="F51" t="s">
        <v>440</v>
      </c>
      <c r="G51" t="s">
        <v>688</v>
      </c>
      <c r="H51" t="s">
        <v>711</v>
      </c>
    </row>
    <row r="52" spans="2:8">
      <c r="B52" t="s">
        <v>399</v>
      </c>
      <c r="C52" t="s">
        <v>441</v>
      </c>
      <c r="D52" t="s">
        <v>441</v>
      </c>
      <c r="F52" t="s">
        <v>441</v>
      </c>
      <c r="G52" t="s">
        <v>688</v>
      </c>
      <c r="H52" t="s">
        <v>706</v>
      </c>
    </row>
    <row r="53" spans="2:8">
      <c r="B53" t="s">
        <v>399</v>
      </c>
      <c r="C53" t="s">
        <v>442</v>
      </c>
      <c r="D53" t="s">
        <v>442</v>
      </c>
      <c r="F53" t="s">
        <v>442</v>
      </c>
      <c r="G53" t="s">
        <v>688</v>
      </c>
      <c r="H53" t="s">
        <v>697</v>
      </c>
    </row>
    <row r="54" spans="2:8">
      <c r="B54" t="s">
        <v>399</v>
      </c>
      <c r="C54" t="s">
        <v>443</v>
      </c>
      <c r="D54" t="s">
        <v>443</v>
      </c>
      <c r="F54" t="s">
        <v>443</v>
      </c>
      <c r="G54" t="s">
        <v>688</v>
      </c>
      <c r="H54" t="s">
        <v>698</v>
      </c>
    </row>
    <row r="55" spans="2:8">
      <c r="B55" t="s">
        <v>399</v>
      </c>
      <c r="C55" t="s">
        <v>444</v>
      </c>
      <c r="D55" t="s">
        <v>444</v>
      </c>
      <c r="F55" t="s">
        <v>444</v>
      </c>
      <c r="G55" t="s">
        <v>688</v>
      </c>
      <c r="H55" t="s">
        <v>712</v>
      </c>
    </row>
    <row r="56" spans="2:8">
      <c r="B56" t="s">
        <v>399</v>
      </c>
      <c r="C56" t="s">
        <v>445</v>
      </c>
      <c r="D56" t="s">
        <v>445</v>
      </c>
      <c r="F56" t="s">
        <v>445</v>
      </c>
      <c r="G56" t="s">
        <v>688</v>
      </c>
      <c r="H56" t="s">
        <v>713</v>
      </c>
    </row>
    <row r="57" spans="2:8">
      <c r="B57" t="s">
        <v>399</v>
      </c>
      <c r="C57" t="s">
        <v>446</v>
      </c>
      <c r="D57" t="s">
        <v>446</v>
      </c>
      <c r="F57" t="s">
        <v>446</v>
      </c>
      <c r="G57" t="s">
        <v>688</v>
      </c>
      <c r="H57" t="s">
        <v>714</v>
      </c>
    </row>
    <row r="58" spans="2:8">
      <c r="B58" t="s">
        <v>399</v>
      </c>
      <c r="C58" t="s">
        <v>447</v>
      </c>
      <c r="D58" t="s">
        <v>447</v>
      </c>
      <c r="F58" t="s">
        <v>447</v>
      </c>
      <c r="G58" t="s">
        <v>688</v>
      </c>
      <c r="H58" t="s">
        <v>714</v>
      </c>
    </row>
    <row r="59" spans="2:8">
      <c r="B59" t="s">
        <v>399</v>
      </c>
      <c r="C59" t="s">
        <v>448</v>
      </c>
      <c r="D59" t="s">
        <v>448</v>
      </c>
      <c r="F59" t="s">
        <v>448</v>
      </c>
      <c r="G59" t="s">
        <v>688</v>
      </c>
      <c r="H59" t="s">
        <v>713</v>
      </c>
    </row>
    <row r="60" spans="2:8">
      <c r="B60" t="s">
        <v>399</v>
      </c>
      <c r="C60" t="s">
        <v>449</v>
      </c>
      <c r="D60" t="s">
        <v>449</v>
      </c>
      <c r="F60" t="s">
        <v>449</v>
      </c>
      <c r="G60" t="s">
        <v>688</v>
      </c>
      <c r="H60" t="s">
        <v>715</v>
      </c>
    </row>
    <row r="61" spans="2:8">
      <c r="B61" t="s">
        <v>399</v>
      </c>
      <c r="C61" t="s">
        <v>450</v>
      </c>
      <c r="D61" t="s">
        <v>450</v>
      </c>
      <c r="F61" t="s">
        <v>450</v>
      </c>
      <c r="G61" t="s">
        <v>688</v>
      </c>
      <c r="H61" t="s">
        <v>716</v>
      </c>
    </row>
    <row r="62" spans="2:8">
      <c r="B62" t="s">
        <v>399</v>
      </c>
      <c r="C62" t="s">
        <v>451</v>
      </c>
      <c r="D62" t="s">
        <v>451</v>
      </c>
      <c r="F62" t="s">
        <v>451</v>
      </c>
      <c r="G62" t="s">
        <v>688</v>
      </c>
      <c r="H62" t="s">
        <v>717</v>
      </c>
    </row>
    <row r="63" spans="2:8">
      <c r="B63" t="s">
        <v>399</v>
      </c>
      <c r="C63" t="s">
        <v>452</v>
      </c>
      <c r="D63" t="s">
        <v>452</v>
      </c>
      <c r="F63" t="s">
        <v>452</v>
      </c>
      <c r="G63" t="s">
        <v>688</v>
      </c>
      <c r="H63" t="s">
        <v>714</v>
      </c>
    </row>
    <row r="64" spans="2:8">
      <c r="B64" t="s">
        <v>399</v>
      </c>
      <c r="C64" t="s">
        <v>453</v>
      </c>
      <c r="D64" t="s">
        <v>453</v>
      </c>
      <c r="F64" t="s">
        <v>453</v>
      </c>
      <c r="G64" t="s">
        <v>688</v>
      </c>
      <c r="H64" t="s">
        <v>707</v>
      </c>
    </row>
    <row r="65" spans="2:8">
      <c r="B65" t="s">
        <v>399</v>
      </c>
      <c r="C65" t="s">
        <v>454</v>
      </c>
      <c r="D65" t="s">
        <v>454</v>
      </c>
      <c r="F65" t="s">
        <v>454</v>
      </c>
      <c r="G65" t="s">
        <v>688</v>
      </c>
      <c r="H65" t="s">
        <v>712</v>
      </c>
    </row>
    <row r="66" spans="2:8">
      <c r="B66" t="s">
        <v>399</v>
      </c>
      <c r="C66" t="s">
        <v>455</v>
      </c>
      <c r="D66" t="s">
        <v>455</v>
      </c>
      <c r="F66" t="s">
        <v>455</v>
      </c>
      <c r="G66" t="s">
        <v>688</v>
      </c>
      <c r="H66" t="s">
        <v>699</v>
      </c>
    </row>
    <row r="67" spans="2:8">
      <c r="B67" t="s">
        <v>399</v>
      </c>
      <c r="C67" t="s">
        <v>456</v>
      </c>
      <c r="D67" t="s">
        <v>456</v>
      </c>
      <c r="F67" t="s">
        <v>456</v>
      </c>
      <c r="G67" t="s">
        <v>688</v>
      </c>
      <c r="H67" t="s">
        <v>714</v>
      </c>
    </row>
    <row r="68" spans="2:8">
      <c r="B68" t="s">
        <v>399</v>
      </c>
      <c r="C68" t="s">
        <v>457</v>
      </c>
      <c r="D68" t="s">
        <v>457</v>
      </c>
      <c r="F68" t="s">
        <v>457</v>
      </c>
      <c r="G68" t="s">
        <v>688</v>
      </c>
      <c r="H68" t="s">
        <v>718</v>
      </c>
    </row>
    <row r="69" spans="2:8">
      <c r="B69" t="s">
        <v>399</v>
      </c>
      <c r="C69" t="s">
        <v>458</v>
      </c>
      <c r="D69" t="s">
        <v>458</v>
      </c>
      <c r="F69" t="s">
        <v>458</v>
      </c>
      <c r="G69" t="s">
        <v>688</v>
      </c>
      <c r="H69" t="s">
        <v>719</v>
      </c>
    </row>
    <row r="70" spans="2:8">
      <c r="B70" t="s">
        <v>399</v>
      </c>
      <c r="C70" t="s">
        <v>459</v>
      </c>
      <c r="D70" t="s">
        <v>459</v>
      </c>
      <c r="F70" t="s">
        <v>459</v>
      </c>
      <c r="G70" t="s">
        <v>688</v>
      </c>
      <c r="H70" t="s">
        <v>719</v>
      </c>
    </row>
    <row r="71" spans="2:8">
      <c r="B71" t="s">
        <v>399</v>
      </c>
      <c r="C71" t="s">
        <v>460</v>
      </c>
      <c r="D71" t="s">
        <v>460</v>
      </c>
      <c r="F71" t="s">
        <v>460</v>
      </c>
      <c r="G71" t="s">
        <v>688</v>
      </c>
      <c r="H71" t="s">
        <v>704</v>
      </c>
    </row>
    <row r="72" spans="2:8">
      <c r="B72" t="s">
        <v>399</v>
      </c>
      <c r="C72" t="s">
        <v>461</v>
      </c>
      <c r="D72" t="s">
        <v>461</v>
      </c>
      <c r="F72" t="s">
        <v>461</v>
      </c>
      <c r="G72" t="s">
        <v>688</v>
      </c>
      <c r="H72" t="s">
        <v>717</v>
      </c>
    </row>
    <row r="73" spans="2:8">
      <c r="B73" t="s">
        <v>399</v>
      </c>
      <c r="C73" t="s">
        <v>462</v>
      </c>
      <c r="D73" t="s">
        <v>462</v>
      </c>
      <c r="F73" t="s">
        <v>462</v>
      </c>
      <c r="G73" t="s">
        <v>688</v>
      </c>
      <c r="H73" t="s">
        <v>720</v>
      </c>
    </row>
    <row r="74" spans="2:8">
      <c r="B74" t="s">
        <v>399</v>
      </c>
      <c r="C74" t="s">
        <v>463</v>
      </c>
      <c r="D74" t="s">
        <v>463</v>
      </c>
      <c r="F74" t="s">
        <v>463</v>
      </c>
      <c r="G74" t="s">
        <v>688</v>
      </c>
      <c r="H74" t="s">
        <v>721</v>
      </c>
    </row>
    <row r="75" spans="2:8">
      <c r="B75" t="s">
        <v>399</v>
      </c>
      <c r="C75" t="s">
        <v>464</v>
      </c>
      <c r="D75" t="s">
        <v>464</v>
      </c>
      <c r="F75" t="s">
        <v>464</v>
      </c>
      <c r="G75" t="s">
        <v>688</v>
      </c>
      <c r="H75" t="s">
        <v>722</v>
      </c>
    </row>
    <row r="76" spans="2:8">
      <c r="B76" t="s">
        <v>399</v>
      </c>
      <c r="C76" t="s">
        <v>465</v>
      </c>
      <c r="D76" t="s">
        <v>465</v>
      </c>
      <c r="F76" t="s">
        <v>465</v>
      </c>
      <c r="G76" t="s">
        <v>688</v>
      </c>
      <c r="H76" t="s">
        <v>723</v>
      </c>
    </row>
    <row r="77" spans="2:8">
      <c r="B77" t="s">
        <v>399</v>
      </c>
      <c r="C77" t="s">
        <v>466</v>
      </c>
      <c r="D77" t="s">
        <v>466</v>
      </c>
      <c r="F77" t="s">
        <v>466</v>
      </c>
      <c r="G77" t="s">
        <v>688</v>
      </c>
      <c r="H77" t="s">
        <v>723</v>
      </c>
    </row>
    <row r="78" spans="2:8">
      <c r="B78" t="s">
        <v>399</v>
      </c>
      <c r="C78" t="s">
        <v>467</v>
      </c>
      <c r="D78" t="s">
        <v>467</v>
      </c>
      <c r="F78" t="s">
        <v>467</v>
      </c>
      <c r="G78" t="s">
        <v>688</v>
      </c>
      <c r="H78" t="s">
        <v>697</v>
      </c>
    </row>
    <row r="79" spans="2:8">
      <c r="B79" t="s">
        <v>399</v>
      </c>
      <c r="C79" t="s">
        <v>468</v>
      </c>
      <c r="D79" t="s">
        <v>468</v>
      </c>
      <c r="F79" t="s">
        <v>468</v>
      </c>
      <c r="G79" t="s">
        <v>688</v>
      </c>
      <c r="H79" t="s">
        <v>724</v>
      </c>
    </row>
    <row r="80" spans="2:8">
      <c r="B80" t="s">
        <v>399</v>
      </c>
      <c r="C80" t="s">
        <v>469</v>
      </c>
      <c r="D80" t="s">
        <v>469</v>
      </c>
      <c r="F80" t="s">
        <v>469</v>
      </c>
      <c r="G80" t="s">
        <v>688</v>
      </c>
      <c r="H80" t="s">
        <v>697</v>
      </c>
    </row>
    <row r="81" spans="2:8">
      <c r="B81" t="s">
        <v>399</v>
      </c>
      <c r="C81" t="s">
        <v>470</v>
      </c>
      <c r="D81" t="s">
        <v>470</v>
      </c>
      <c r="F81" t="s">
        <v>470</v>
      </c>
      <c r="G81" t="s">
        <v>688</v>
      </c>
      <c r="H81" t="s">
        <v>724</v>
      </c>
    </row>
    <row r="82" spans="2:8">
      <c r="B82" t="s">
        <v>399</v>
      </c>
      <c r="C82" t="s">
        <v>471</v>
      </c>
      <c r="D82" t="s">
        <v>471</v>
      </c>
      <c r="F82" t="s">
        <v>471</v>
      </c>
      <c r="G82" t="s">
        <v>688</v>
      </c>
      <c r="H82" t="s">
        <v>725</v>
      </c>
    </row>
    <row r="83" spans="2:8">
      <c r="B83" t="s">
        <v>399</v>
      </c>
      <c r="C83" t="s">
        <v>472</v>
      </c>
      <c r="D83" t="s">
        <v>472</v>
      </c>
      <c r="F83" t="s">
        <v>472</v>
      </c>
      <c r="G83" t="s">
        <v>688</v>
      </c>
      <c r="H83" t="s">
        <v>717</v>
      </c>
    </row>
    <row r="84" spans="2:8">
      <c r="B84" t="s">
        <v>399</v>
      </c>
      <c r="C84" t="s">
        <v>473</v>
      </c>
      <c r="D84" t="s">
        <v>473</v>
      </c>
      <c r="F84" t="s">
        <v>473</v>
      </c>
      <c r="G84" t="s">
        <v>688</v>
      </c>
      <c r="H84" t="s">
        <v>718</v>
      </c>
    </row>
    <row r="85" spans="2:8">
      <c r="B85" t="s">
        <v>399</v>
      </c>
      <c r="C85" t="s">
        <v>474</v>
      </c>
      <c r="D85" t="s">
        <v>474</v>
      </c>
      <c r="F85" t="s">
        <v>474</v>
      </c>
      <c r="G85" t="s">
        <v>688</v>
      </c>
      <c r="H85" t="s">
        <v>689</v>
      </c>
    </row>
    <row r="86" spans="2:8">
      <c r="B86" t="s">
        <v>399</v>
      </c>
      <c r="C86" t="s">
        <v>475</v>
      </c>
      <c r="D86" t="s">
        <v>475</v>
      </c>
      <c r="F86" t="s">
        <v>475</v>
      </c>
      <c r="G86" t="s">
        <v>688</v>
      </c>
      <c r="H86" t="s">
        <v>691</v>
      </c>
    </row>
    <row r="87" spans="2:8">
      <c r="B87" t="s">
        <v>399</v>
      </c>
      <c r="C87" t="s">
        <v>476</v>
      </c>
      <c r="D87" t="s">
        <v>476</v>
      </c>
      <c r="F87" t="s">
        <v>476</v>
      </c>
      <c r="G87" t="s">
        <v>688</v>
      </c>
      <c r="H87" t="s">
        <v>696</v>
      </c>
    </row>
    <row r="88" spans="2:8">
      <c r="B88" t="s">
        <v>399</v>
      </c>
      <c r="C88" t="s">
        <v>477</v>
      </c>
      <c r="D88" t="s">
        <v>477</v>
      </c>
      <c r="F88" t="s">
        <v>477</v>
      </c>
      <c r="G88" t="s">
        <v>688</v>
      </c>
      <c r="H88" t="s">
        <v>726</v>
      </c>
    </row>
    <row r="89" spans="2:8">
      <c r="B89" t="s">
        <v>399</v>
      </c>
      <c r="C89" t="s">
        <v>478</v>
      </c>
      <c r="D89" t="s">
        <v>478</v>
      </c>
      <c r="F89" t="s">
        <v>478</v>
      </c>
      <c r="G89" t="s">
        <v>688</v>
      </c>
      <c r="H89" t="s">
        <v>699</v>
      </c>
    </row>
    <row r="90" spans="2:8">
      <c r="B90" t="s">
        <v>399</v>
      </c>
      <c r="C90" t="s">
        <v>479</v>
      </c>
      <c r="D90" t="s">
        <v>479</v>
      </c>
      <c r="F90" t="s">
        <v>479</v>
      </c>
      <c r="G90" t="s">
        <v>688</v>
      </c>
      <c r="H90" t="s">
        <v>693</v>
      </c>
    </row>
    <row r="91" spans="2:8">
      <c r="B91" t="s">
        <v>399</v>
      </c>
      <c r="C91" t="s">
        <v>480</v>
      </c>
      <c r="D91" t="s">
        <v>480</v>
      </c>
      <c r="F91" t="s">
        <v>480</v>
      </c>
      <c r="G91" t="s">
        <v>688</v>
      </c>
      <c r="H91" t="s">
        <v>693</v>
      </c>
    </row>
    <row r="92" spans="2:8">
      <c r="B92" t="s">
        <v>399</v>
      </c>
      <c r="C92" t="s">
        <v>481</v>
      </c>
      <c r="D92" t="s">
        <v>481</v>
      </c>
      <c r="F92" t="s">
        <v>481</v>
      </c>
      <c r="G92" t="s">
        <v>688</v>
      </c>
      <c r="H92" t="s">
        <v>727</v>
      </c>
    </row>
    <row r="93" spans="2:8">
      <c r="B93" t="s">
        <v>399</v>
      </c>
      <c r="C93" t="s">
        <v>482</v>
      </c>
      <c r="D93" t="s">
        <v>482</v>
      </c>
      <c r="F93" t="s">
        <v>482</v>
      </c>
      <c r="G93" t="s">
        <v>688</v>
      </c>
      <c r="H93" t="s">
        <v>719</v>
      </c>
    </row>
    <row r="94" spans="2:8">
      <c r="B94" t="s">
        <v>399</v>
      </c>
      <c r="C94" t="s">
        <v>483</v>
      </c>
      <c r="D94" t="s">
        <v>483</v>
      </c>
      <c r="F94" t="s">
        <v>483</v>
      </c>
      <c r="G94" t="s">
        <v>688</v>
      </c>
      <c r="H94" t="s">
        <v>728</v>
      </c>
    </row>
    <row r="95" spans="2:8">
      <c r="B95" t="s">
        <v>399</v>
      </c>
      <c r="C95" t="s">
        <v>484</v>
      </c>
      <c r="D95" t="s">
        <v>484</v>
      </c>
      <c r="F95" t="s">
        <v>484</v>
      </c>
      <c r="G95" t="s">
        <v>688</v>
      </c>
      <c r="H95" t="s">
        <v>728</v>
      </c>
    </row>
    <row r="96" spans="2:8">
      <c r="B96" t="s">
        <v>399</v>
      </c>
      <c r="C96" t="s">
        <v>485</v>
      </c>
      <c r="D96" t="s">
        <v>485</v>
      </c>
      <c r="F96" t="s">
        <v>485</v>
      </c>
      <c r="G96" t="s">
        <v>688</v>
      </c>
      <c r="H96" t="s">
        <v>708</v>
      </c>
    </row>
    <row r="97" spans="2:8">
      <c r="B97" t="s">
        <v>399</v>
      </c>
      <c r="C97" t="s">
        <v>486</v>
      </c>
      <c r="D97" t="s">
        <v>486</v>
      </c>
      <c r="F97" t="s">
        <v>486</v>
      </c>
      <c r="G97" t="s">
        <v>688</v>
      </c>
      <c r="H97" t="s">
        <v>721</v>
      </c>
    </row>
    <row r="98" spans="2:8">
      <c r="B98" t="s">
        <v>399</v>
      </c>
      <c r="C98" t="s">
        <v>487</v>
      </c>
      <c r="D98" t="s">
        <v>487</v>
      </c>
      <c r="F98" t="s">
        <v>487</v>
      </c>
      <c r="G98" t="s">
        <v>688</v>
      </c>
      <c r="H98" t="s">
        <v>708</v>
      </c>
    </row>
    <row r="99" spans="2:8">
      <c r="B99" t="s">
        <v>399</v>
      </c>
      <c r="C99" t="s">
        <v>488</v>
      </c>
      <c r="D99" t="s">
        <v>488</v>
      </c>
      <c r="F99" t="s">
        <v>488</v>
      </c>
      <c r="G99" t="s">
        <v>688</v>
      </c>
      <c r="H99" t="s">
        <v>704</v>
      </c>
    </row>
    <row r="100" spans="2:8">
      <c r="B100" t="s">
        <v>399</v>
      </c>
      <c r="C100" t="s">
        <v>489</v>
      </c>
      <c r="D100" t="s">
        <v>489</v>
      </c>
      <c r="F100" t="s">
        <v>489</v>
      </c>
      <c r="G100" t="s">
        <v>688</v>
      </c>
      <c r="H100" t="s">
        <v>689</v>
      </c>
    </row>
    <row r="101" spans="2:8">
      <c r="B101" t="s">
        <v>399</v>
      </c>
      <c r="C101" t="s">
        <v>490</v>
      </c>
      <c r="D101" t="s">
        <v>490</v>
      </c>
      <c r="F101" t="s">
        <v>490</v>
      </c>
      <c r="G101" t="s">
        <v>688</v>
      </c>
      <c r="H101" t="s">
        <v>694</v>
      </c>
    </row>
    <row r="102" spans="2:8">
      <c r="B102" t="s">
        <v>399</v>
      </c>
      <c r="C102" t="s">
        <v>491</v>
      </c>
      <c r="D102" t="s">
        <v>491</v>
      </c>
      <c r="F102" t="s">
        <v>491</v>
      </c>
      <c r="G102" t="s">
        <v>688</v>
      </c>
      <c r="H102" t="s">
        <v>729</v>
      </c>
    </row>
    <row r="103" spans="2:8">
      <c r="B103" t="s">
        <v>399</v>
      </c>
      <c r="C103" t="s">
        <v>492</v>
      </c>
      <c r="D103" t="s">
        <v>492</v>
      </c>
      <c r="F103" t="s">
        <v>492</v>
      </c>
      <c r="G103" t="s">
        <v>688</v>
      </c>
      <c r="H103" t="s">
        <v>726</v>
      </c>
    </row>
    <row r="104" spans="2:8">
      <c r="B104" t="s">
        <v>399</v>
      </c>
      <c r="C104" t="s">
        <v>493</v>
      </c>
      <c r="D104" t="s">
        <v>493</v>
      </c>
      <c r="F104" t="s">
        <v>493</v>
      </c>
      <c r="G104" t="s">
        <v>688</v>
      </c>
      <c r="H104" t="s">
        <v>694</v>
      </c>
    </row>
    <row r="105" spans="2:8">
      <c r="B105" t="s">
        <v>399</v>
      </c>
      <c r="C105" t="s">
        <v>494</v>
      </c>
      <c r="D105" t="s">
        <v>494</v>
      </c>
      <c r="F105" t="s">
        <v>494</v>
      </c>
      <c r="G105" t="s">
        <v>688</v>
      </c>
      <c r="H105" t="s">
        <v>707</v>
      </c>
    </row>
    <row r="106" spans="2:8">
      <c r="B106" t="s">
        <v>399</v>
      </c>
      <c r="C106" t="s">
        <v>495</v>
      </c>
      <c r="D106" t="s">
        <v>495</v>
      </c>
      <c r="F106" t="s">
        <v>495</v>
      </c>
      <c r="G106" t="s">
        <v>688</v>
      </c>
      <c r="H106" t="s">
        <v>691</v>
      </c>
    </row>
    <row r="107" spans="2:8">
      <c r="B107" t="s">
        <v>399</v>
      </c>
      <c r="C107" t="s">
        <v>496</v>
      </c>
      <c r="D107" t="s">
        <v>496</v>
      </c>
      <c r="F107" t="s">
        <v>496</v>
      </c>
      <c r="G107" t="s">
        <v>688</v>
      </c>
      <c r="H107" t="s">
        <v>691</v>
      </c>
    </row>
    <row r="108" spans="2:8">
      <c r="B108" t="s">
        <v>399</v>
      </c>
      <c r="C108" t="s">
        <v>497</v>
      </c>
      <c r="D108" t="s">
        <v>497</v>
      </c>
      <c r="F108" t="s">
        <v>497</v>
      </c>
      <c r="G108" t="s">
        <v>688</v>
      </c>
      <c r="H108" t="s">
        <v>727</v>
      </c>
    </row>
    <row r="109" spans="2:8">
      <c r="B109" t="s">
        <v>399</v>
      </c>
      <c r="C109" t="s">
        <v>498</v>
      </c>
      <c r="D109" t="s">
        <v>498</v>
      </c>
      <c r="F109" t="s">
        <v>498</v>
      </c>
      <c r="G109" t="s">
        <v>688</v>
      </c>
      <c r="H109" t="s">
        <v>707</v>
      </c>
    </row>
    <row r="110" spans="2:8">
      <c r="B110" t="s">
        <v>399</v>
      </c>
      <c r="C110" t="s">
        <v>499</v>
      </c>
      <c r="D110" t="s">
        <v>499</v>
      </c>
      <c r="F110" t="s">
        <v>499</v>
      </c>
      <c r="G110" t="s">
        <v>688</v>
      </c>
      <c r="H110" t="s">
        <v>729</v>
      </c>
    </row>
    <row r="111" spans="2:8">
      <c r="B111" t="s">
        <v>399</v>
      </c>
      <c r="C111" t="s">
        <v>500</v>
      </c>
      <c r="D111" t="s">
        <v>500</v>
      </c>
      <c r="F111" t="s">
        <v>500</v>
      </c>
      <c r="G111" t="s">
        <v>688</v>
      </c>
      <c r="H111" t="s">
        <v>691</v>
      </c>
    </row>
    <row r="112" spans="2:8">
      <c r="B112" t="s">
        <v>399</v>
      </c>
      <c r="C112" t="s">
        <v>501</v>
      </c>
      <c r="D112" t="s">
        <v>501</v>
      </c>
      <c r="F112" t="s">
        <v>501</v>
      </c>
      <c r="G112" t="s">
        <v>688</v>
      </c>
      <c r="H112" t="s">
        <v>713</v>
      </c>
    </row>
    <row r="113" spans="2:8">
      <c r="B113" t="s">
        <v>399</v>
      </c>
      <c r="C113" t="s">
        <v>502</v>
      </c>
      <c r="D113" t="s">
        <v>502</v>
      </c>
      <c r="F113" t="s">
        <v>502</v>
      </c>
      <c r="G113" t="s">
        <v>688</v>
      </c>
      <c r="H113" t="s">
        <v>717</v>
      </c>
    </row>
    <row r="114" spans="2:8">
      <c r="B114" t="s">
        <v>399</v>
      </c>
      <c r="C114" t="s">
        <v>503</v>
      </c>
      <c r="D114" t="s">
        <v>503</v>
      </c>
      <c r="F114" t="s">
        <v>503</v>
      </c>
      <c r="G114" t="s">
        <v>688</v>
      </c>
      <c r="H114" t="s">
        <v>705</v>
      </c>
    </row>
    <row r="115" spans="2:8">
      <c r="B115" t="s">
        <v>399</v>
      </c>
      <c r="C115" t="s">
        <v>504</v>
      </c>
      <c r="D115" t="s">
        <v>504</v>
      </c>
      <c r="F115" t="s">
        <v>504</v>
      </c>
      <c r="G115" t="s">
        <v>688</v>
      </c>
      <c r="H115" t="s">
        <v>701</v>
      </c>
    </row>
    <row r="116" spans="2:8">
      <c r="B116" t="s">
        <v>399</v>
      </c>
      <c r="C116" t="s">
        <v>505</v>
      </c>
      <c r="D116" t="s">
        <v>505</v>
      </c>
      <c r="F116" t="s">
        <v>505</v>
      </c>
      <c r="G116" t="s">
        <v>688</v>
      </c>
      <c r="H116" t="s">
        <v>727</v>
      </c>
    </row>
    <row r="117" spans="2:8">
      <c r="B117" t="s">
        <v>399</v>
      </c>
      <c r="C117" t="s">
        <v>506</v>
      </c>
      <c r="D117" t="s">
        <v>506</v>
      </c>
      <c r="F117" t="s">
        <v>506</v>
      </c>
      <c r="G117" t="s">
        <v>688</v>
      </c>
      <c r="H117" t="s">
        <v>708</v>
      </c>
    </row>
    <row r="118" spans="2:8">
      <c r="B118" t="s">
        <v>399</v>
      </c>
      <c r="C118" t="s">
        <v>507</v>
      </c>
      <c r="D118" t="s">
        <v>507</v>
      </c>
      <c r="F118" t="s">
        <v>507</v>
      </c>
      <c r="G118" t="s">
        <v>688</v>
      </c>
      <c r="H118" t="s">
        <v>693</v>
      </c>
    </row>
    <row r="119" spans="2:8">
      <c r="B119" t="s">
        <v>399</v>
      </c>
      <c r="C119" t="s">
        <v>508</v>
      </c>
      <c r="D119" t="s">
        <v>508</v>
      </c>
      <c r="F119" t="s">
        <v>508</v>
      </c>
      <c r="G119" t="s">
        <v>688</v>
      </c>
      <c r="H119" t="s">
        <v>700</v>
      </c>
    </row>
    <row r="120" spans="2:8">
      <c r="B120" t="s">
        <v>399</v>
      </c>
      <c r="C120" t="s">
        <v>509</v>
      </c>
      <c r="D120" t="s">
        <v>509</v>
      </c>
      <c r="F120" t="s">
        <v>509</v>
      </c>
      <c r="G120" t="s">
        <v>688</v>
      </c>
      <c r="H120" t="s">
        <v>710</v>
      </c>
    </row>
    <row r="121" spans="2:8">
      <c r="B121" t="s">
        <v>399</v>
      </c>
      <c r="C121" t="s">
        <v>510</v>
      </c>
      <c r="D121" t="s">
        <v>510</v>
      </c>
      <c r="F121" t="s">
        <v>510</v>
      </c>
      <c r="G121" t="s">
        <v>688</v>
      </c>
      <c r="H121" t="s">
        <v>730</v>
      </c>
    </row>
    <row r="122" spans="2:8">
      <c r="B122" t="s">
        <v>399</v>
      </c>
      <c r="C122" t="s">
        <v>511</v>
      </c>
      <c r="D122" t="s">
        <v>511</v>
      </c>
      <c r="F122" t="s">
        <v>511</v>
      </c>
      <c r="G122" t="s">
        <v>688</v>
      </c>
      <c r="H122" t="s">
        <v>730</v>
      </c>
    </row>
    <row r="123" spans="2:8">
      <c r="B123" t="s">
        <v>399</v>
      </c>
      <c r="C123" t="s">
        <v>512</v>
      </c>
      <c r="D123" t="s">
        <v>512</v>
      </c>
      <c r="F123" t="s">
        <v>512</v>
      </c>
      <c r="G123" t="s">
        <v>688</v>
      </c>
      <c r="H123" t="s">
        <v>730</v>
      </c>
    </row>
    <row r="124" spans="2:8">
      <c r="B124" t="s">
        <v>399</v>
      </c>
      <c r="C124" t="s">
        <v>513</v>
      </c>
      <c r="D124" t="s">
        <v>513</v>
      </c>
      <c r="F124" t="s">
        <v>513</v>
      </c>
      <c r="G124" t="s">
        <v>688</v>
      </c>
      <c r="H124" t="s">
        <v>692</v>
      </c>
    </row>
    <row r="125" spans="2:8">
      <c r="B125" t="s">
        <v>399</v>
      </c>
      <c r="C125" t="s">
        <v>514</v>
      </c>
      <c r="D125" t="s">
        <v>514</v>
      </c>
      <c r="F125" t="s">
        <v>514</v>
      </c>
      <c r="G125" t="s">
        <v>688</v>
      </c>
      <c r="H125" t="s">
        <v>691</v>
      </c>
    </row>
    <row r="126" spans="2:8">
      <c r="B126" t="s">
        <v>399</v>
      </c>
      <c r="C126" t="s">
        <v>515</v>
      </c>
      <c r="D126" t="s">
        <v>515</v>
      </c>
      <c r="F126" t="s">
        <v>515</v>
      </c>
      <c r="G126" t="s">
        <v>688</v>
      </c>
      <c r="H126" t="s">
        <v>703</v>
      </c>
    </row>
    <row r="127" spans="2:8">
      <c r="B127" t="s">
        <v>399</v>
      </c>
      <c r="C127" t="s">
        <v>516</v>
      </c>
      <c r="D127" t="s">
        <v>516</v>
      </c>
      <c r="F127" t="s">
        <v>516</v>
      </c>
      <c r="G127" t="s">
        <v>688</v>
      </c>
      <c r="H127" t="s">
        <v>708</v>
      </c>
    </row>
    <row r="128" spans="2:8">
      <c r="B128" t="s">
        <v>399</v>
      </c>
      <c r="C128" t="s">
        <v>517</v>
      </c>
      <c r="D128" t="s">
        <v>517</v>
      </c>
      <c r="F128" t="s">
        <v>517</v>
      </c>
      <c r="G128" t="s">
        <v>688</v>
      </c>
      <c r="H128" t="s">
        <v>727</v>
      </c>
    </row>
    <row r="129" spans="2:8">
      <c r="B129" t="s">
        <v>399</v>
      </c>
      <c r="C129" t="s">
        <v>518</v>
      </c>
      <c r="D129" t="s">
        <v>518</v>
      </c>
      <c r="F129" t="s">
        <v>518</v>
      </c>
      <c r="G129" t="s">
        <v>688</v>
      </c>
      <c r="H129" t="s">
        <v>706</v>
      </c>
    </row>
    <row r="130" spans="2:8">
      <c r="B130" t="s">
        <v>399</v>
      </c>
      <c r="C130" t="s">
        <v>519</v>
      </c>
      <c r="D130" t="s">
        <v>519</v>
      </c>
      <c r="F130" t="s">
        <v>519</v>
      </c>
      <c r="G130" t="s">
        <v>688</v>
      </c>
      <c r="H130" t="s">
        <v>711</v>
      </c>
    </row>
    <row r="131" spans="2:8">
      <c r="B131" t="s">
        <v>399</v>
      </c>
      <c r="C131" t="s">
        <v>520</v>
      </c>
      <c r="D131" t="s">
        <v>520</v>
      </c>
      <c r="F131" t="s">
        <v>520</v>
      </c>
      <c r="G131" t="s">
        <v>688</v>
      </c>
      <c r="H131" t="s">
        <v>706</v>
      </c>
    </row>
    <row r="132" spans="2:8">
      <c r="B132" t="s">
        <v>399</v>
      </c>
      <c r="C132" t="s">
        <v>521</v>
      </c>
      <c r="D132" t="s">
        <v>521</v>
      </c>
      <c r="F132" t="s">
        <v>521</v>
      </c>
      <c r="G132" t="s">
        <v>688</v>
      </c>
      <c r="H132" t="s">
        <v>697</v>
      </c>
    </row>
    <row r="133" spans="2:8">
      <c r="B133" t="s">
        <v>399</v>
      </c>
      <c r="C133" t="s">
        <v>522</v>
      </c>
      <c r="D133" t="s">
        <v>522</v>
      </c>
      <c r="F133" t="s">
        <v>522</v>
      </c>
      <c r="G133" t="s">
        <v>688</v>
      </c>
      <c r="H133" t="s">
        <v>728</v>
      </c>
    </row>
    <row r="134" spans="2:8">
      <c r="B134" t="s">
        <v>399</v>
      </c>
      <c r="C134" t="s">
        <v>523</v>
      </c>
      <c r="D134" t="s">
        <v>523</v>
      </c>
      <c r="F134" t="s">
        <v>523</v>
      </c>
      <c r="G134" t="s">
        <v>688</v>
      </c>
      <c r="H134" t="s">
        <v>693</v>
      </c>
    </row>
    <row r="135" spans="2:8">
      <c r="B135" t="s">
        <v>399</v>
      </c>
      <c r="C135" t="s">
        <v>524</v>
      </c>
      <c r="D135" t="s">
        <v>524</v>
      </c>
      <c r="F135" t="s">
        <v>524</v>
      </c>
      <c r="G135" t="s">
        <v>688</v>
      </c>
      <c r="H135" t="s">
        <v>731</v>
      </c>
    </row>
    <row r="136" spans="2:8">
      <c r="B136" t="s">
        <v>399</v>
      </c>
      <c r="C136" t="s">
        <v>525</v>
      </c>
      <c r="D136" t="s">
        <v>525</v>
      </c>
      <c r="F136" t="s">
        <v>525</v>
      </c>
      <c r="G136" t="s">
        <v>688</v>
      </c>
      <c r="H136" t="s">
        <v>694</v>
      </c>
    </row>
    <row r="137" spans="2:8">
      <c r="B137" t="s">
        <v>399</v>
      </c>
      <c r="C137" t="s">
        <v>526</v>
      </c>
      <c r="D137" t="s">
        <v>526</v>
      </c>
      <c r="F137" t="s">
        <v>526</v>
      </c>
      <c r="G137" t="s">
        <v>688</v>
      </c>
      <c r="H137" t="s">
        <v>716</v>
      </c>
    </row>
    <row r="138" spans="2:8">
      <c r="B138" t="s">
        <v>399</v>
      </c>
      <c r="C138" t="s">
        <v>527</v>
      </c>
      <c r="D138" t="s">
        <v>527</v>
      </c>
      <c r="F138" t="s">
        <v>527</v>
      </c>
      <c r="G138" t="s">
        <v>688</v>
      </c>
      <c r="H138" t="s">
        <v>707</v>
      </c>
    </row>
    <row r="139" spans="2:8">
      <c r="B139" t="s">
        <v>399</v>
      </c>
      <c r="C139" t="s">
        <v>528</v>
      </c>
      <c r="D139" t="s">
        <v>528</v>
      </c>
      <c r="F139" t="s">
        <v>528</v>
      </c>
      <c r="G139" t="s">
        <v>688</v>
      </c>
      <c r="H139" t="s">
        <v>707</v>
      </c>
    </row>
    <row r="140" spans="2:8">
      <c r="B140" t="s">
        <v>399</v>
      </c>
      <c r="C140" t="s">
        <v>529</v>
      </c>
      <c r="D140" t="s">
        <v>529</v>
      </c>
      <c r="F140" t="s">
        <v>529</v>
      </c>
      <c r="G140" t="s">
        <v>688</v>
      </c>
      <c r="H140" t="s">
        <v>707</v>
      </c>
    </row>
    <row r="141" spans="2:8">
      <c r="B141" t="s">
        <v>399</v>
      </c>
      <c r="C141" t="s">
        <v>530</v>
      </c>
      <c r="D141" t="s">
        <v>530</v>
      </c>
      <c r="F141" t="s">
        <v>530</v>
      </c>
      <c r="G141" t="s">
        <v>688</v>
      </c>
      <c r="H141" t="s">
        <v>707</v>
      </c>
    </row>
    <row r="142" spans="2:8">
      <c r="B142" t="s">
        <v>399</v>
      </c>
      <c r="C142" t="s">
        <v>531</v>
      </c>
      <c r="D142" t="s">
        <v>531</v>
      </c>
      <c r="F142" t="s">
        <v>531</v>
      </c>
      <c r="G142" t="s">
        <v>688</v>
      </c>
      <c r="H142" t="s">
        <v>729</v>
      </c>
    </row>
    <row r="143" spans="2:8">
      <c r="B143" t="s">
        <v>399</v>
      </c>
      <c r="C143" t="s">
        <v>532</v>
      </c>
      <c r="D143" t="s">
        <v>532</v>
      </c>
      <c r="F143" t="s">
        <v>532</v>
      </c>
      <c r="G143" t="s">
        <v>688</v>
      </c>
      <c r="H143" t="s">
        <v>721</v>
      </c>
    </row>
    <row r="144" spans="2:8">
      <c r="B144" t="s">
        <v>399</v>
      </c>
      <c r="C144" t="s">
        <v>533</v>
      </c>
      <c r="D144" t="s">
        <v>533</v>
      </c>
      <c r="F144" t="s">
        <v>533</v>
      </c>
      <c r="G144" t="s">
        <v>688</v>
      </c>
      <c r="H144" t="s">
        <v>721</v>
      </c>
    </row>
    <row r="145" spans="2:8">
      <c r="B145" t="s">
        <v>399</v>
      </c>
      <c r="C145" t="s">
        <v>534</v>
      </c>
      <c r="D145" t="s">
        <v>534</v>
      </c>
      <c r="F145" t="s">
        <v>534</v>
      </c>
      <c r="G145" t="s">
        <v>688</v>
      </c>
      <c r="H145" t="s">
        <v>692</v>
      </c>
    </row>
    <row r="146" spans="2:8">
      <c r="B146" t="s">
        <v>399</v>
      </c>
      <c r="C146" t="s">
        <v>535</v>
      </c>
      <c r="D146" t="s">
        <v>535</v>
      </c>
      <c r="F146" t="s">
        <v>535</v>
      </c>
      <c r="G146" t="s">
        <v>688</v>
      </c>
      <c r="H146" t="s">
        <v>692</v>
      </c>
    </row>
    <row r="147" spans="2:8">
      <c r="B147" t="s">
        <v>399</v>
      </c>
      <c r="C147" t="s">
        <v>536</v>
      </c>
      <c r="D147" t="s">
        <v>536</v>
      </c>
      <c r="F147" t="s">
        <v>536</v>
      </c>
      <c r="G147" t="s">
        <v>688</v>
      </c>
      <c r="H147" t="s">
        <v>692</v>
      </c>
    </row>
    <row r="148" spans="2:8">
      <c r="B148" t="s">
        <v>399</v>
      </c>
      <c r="C148" t="s">
        <v>537</v>
      </c>
      <c r="D148" t="s">
        <v>537</v>
      </c>
      <c r="F148" t="s">
        <v>537</v>
      </c>
      <c r="G148" t="s">
        <v>688</v>
      </c>
      <c r="H148" t="s">
        <v>724</v>
      </c>
    </row>
    <row r="149" spans="2:8">
      <c r="B149" t="s">
        <v>399</v>
      </c>
      <c r="C149" t="s">
        <v>538</v>
      </c>
      <c r="D149" t="s">
        <v>538</v>
      </c>
      <c r="F149" t="s">
        <v>538</v>
      </c>
      <c r="G149" t="s">
        <v>688</v>
      </c>
      <c r="H149" t="s">
        <v>725</v>
      </c>
    </row>
    <row r="150" spans="2:8">
      <c r="B150" t="s">
        <v>399</v>
      </c>
      <c r="C150" t="s">
        <v>539</v>
      </c>
      <c r="D150" t="s">
        <v>539</v>
      </c>
      <c r="F150" t="s">
        <v>539</v>
      </c>
      <c r="G150" t="s">
        <v>688</v>
      </c>
      <c r="H150" t="s">
        <v>729</v>
      </c>
    </row>
    <row r="151" spans="2:8">
      <c r="B151" t="s">
        <v>399</v>
      </c>
      <c r="C151" t="s">
        <v>540</v>
      </c>
      <c r="D151" t="s">
        <v>540</v>
      </c>
      <c r="F151" t="s">
        <v>540</v>
      </c>
      <c r="G151" t="s">
        <v>688</v>
      </c>
      <c r="H151" t="s">
        <v>709</v>
      </c>
    </row>
    <row r="152" spans="2:8">
      <c r="B152" t="s">
        <v>399</v>
      </c>
      <c r="C152" t="s">
        <v>541</v>
      </c>
      <c r="D152" t="s">
        <v>541</v>
      </c>
      <c r="F152" t="s">
        <v>541</v>
      </c>
      <c r="G152" t="s">
        <v>688</v>
      </c>
      <c r="H152" t="s">
        <v>692</v>
      </c>
    </row>
    <row r="153" spans="2:8">
      <c r="B153" t="s">
        <v>399</v>
      </c>
      <c r="C153" t="s">
        <v>542</v>
      </c>
      <c r="D153" t="s">
        <v>542</v>
      </c>
      <c r="F153" t="s">
        <v>542</v>
      </c>
      <c r="G153" t="s">
        <v>688</v>
      </c>
      <c r="H153" t="s">
        <v>730</v>
      </c>
    </row>
    <row r="154" spans="2:8">
      <c r="B154" t="s">
        <v>399</v>
      </c>
      <c r="C154" t="s">
        <v>543</v>
      </c>
      <c r="D154" t="s">
        <v>543</v>
      </c>
      <c r="F154" t="s">
        <v>543</v>
      </c>
      <c r="G154" t="s">
        <v>688</v>
      </c>
      <c r="H154" t="s">
        <v>727</v>
      </c>
    </row>
    <row r="155" spans="2:8">
      <c r="B155" t="s">
        <v>399</v>
      </c>
      <c r="C155" t="s">
        <v>544</v>
      </c>
      <c r="D155" t="s">
        <v>544</v>
      </c>
      <c r="F155" t="s">
        <v>544</v>
      </c>
      <c r="G155" t="s">
        <v>688</v>
      </c>
      <c r="H155" t="s">
        <v>727</v>
      </c>
    </row>
    <row r="156" spans="2:8">
      <c r="B156" t="s">
        <v>399</v>
      </c>
      <c r="C156" t="s">
        <v>545</v>
      </c>
      <c r="D156" t="s">
        <v>545</v>
      </c>
      <c r="F156" t="s">
        <v>545</v>
      </c>
      <c r="G156" t="s">
        <v>688</v>
      </c>
      <c r="H156" t="s">
        <v>708</v>
      </c>
    </row>
    <row r="157" spans="2:8">
      <c r="B157" t="s">
        <v>399</v>
      </c>
      <c r="C157" t="s">
        <v>546</v>
      </c>
      <c r="D157" t="s">
        <v>546</v>
      </c>
      <c r="F157" t="s">
        <v>546</v>
      </c>
      <c r="G157" t="s">
        <v>688</v>
      </c>
      <c r="H157" t="s">
        <v>697</v>
      </c>
    </row>
    <row r="158" spans="2:8">
      <c r="B158" t="s">
        <v>399</v>
      </c>
      <c r="C158" t="s">
        <v>547</v>
      </c>
      <c r="D158" t="s">
        <v>547</v>
      </c>
      <c r="F158" t="s">
        <v>547</v>
      </c>
      <c r="G158" t="s">
        <v>688</v>
      </c>
      <c r="H158" t="s">
        <v>727</v>
      </c>
    </row>
    <row r="159" spans="2:8">
      <c r="B159" t="s">
        <v>399</v>
      </c>
      <c r="C159" t="s">
        <v>548</v>
      </c>
      <c r="D159" t="s">
        <v>548</v>
      </c>
      <c r="F159" t="s">
        <v>548</v>
      </c>
      <c r="G159" t="s">
        <v>688</v>
      </c>
      <c r="H159" t="s">
        <v>727</v>
      </c>
    </row>
    <row r="160" spans="2:8">
      <c r="B160" t="s">
        <v>399</v>
      </c>
      <c r="C160" t="s">
        <v>549</v>
      </c>
      <c r="D160" t="s">
        <v>549</v>
      </c>
      <c r="F160" t="s">
        <v>549</v>
      </c>
      <c r="G160" t="s">
        <v>688</v>
      </c>
      <c r="H160" t="s">
        <v>726</v>
      </c>
    </row>
    <row r="161" spans="2:8">
      <c r="B161" t="s">
        <v>399</v>
      </c>
      <c r="C161" t="s">
        <v>550</v>
      </c>
      <c r="D161" t="s">
        <v>550</v>
      </c>
      <c r="F161" t="s">
        <v>550</v>
      </c>
      <c r="G161" t="s">
        <v>688</v>
      </c>
      <c r="H161" t="s">
        <v>689</v>
      </c>
    </row>
    <row r="162" spans="2:8">
      <c r="B162" t="s">
        <v>399</v>
      </c>
      <c r="C162" t="s">
        <v>551</v>
      </c>
      <c r="D162" t="s">
        <v>551</v>
      </c>
      <c r="F162" t="s">
        <v>551</v>
      </c>
      <c r="G162" t="s">
        <v>688</v>
      </c>
      <c r="H162" t="s">
        <v>697</v>
      </c>
    </row>
    <row r="163" spans="2:8">
      <c r="B163" t="s">
        <v>399</v>
      </c>
      <c r="C163" t="s">
        <v>552</v>
      </c>
      <c r="D163" t="s">
        <v>552</v>
      </c>
      <c r="F163" t="s">
        <v>552</v>
      </c>
      <c r="G163" t="s">
        <v>688</v>
      </c>
      <c r="H163" t="s">
        <v>704</v>
      </c>
    </row>
    <row r="164" spans="2:8">
      <c r="B164" t="s">
        <v>399</v>
      </c>
      <c r="C164" t="s">
        <v>553</v>
      </c>
      <c r="D164" t="s">
        <v>553</v>
      </c>
      <c r="F164" t="s">
        <v>553</v>
      </c>
      <c r="G164" t="s">
        <v>688</v>
      </c>
      <c r="H164" t="s">
        <v>723</v>
      </c>
    </row>
    <row r="165" spans="2:8">
      <c r="B165" t="s">
        <v>399</v>
      </c>
      <c r="C165" t="s">
        <v>554</v>
      </c>
      <c r="D165" t="s">
        <v>554</v>
      </c>
      <c r="F165" t="s">
        <v>554</v>
      </c>
      <c r="G165" t="s">
        <v>688</v>
      </c>
      <c r="H165" t="s">
        <v>707</v>
      </c>
    </row>
    <row r="166" spans="2:8">
      <c r="B166" t="s">
        <v>399</v>
      </c>
      <c r="C166" t="s">
        <v>555</v>
      </c>
      <c r="D166" t="s">
        <v>555</v>
      </c>
      <c r="F166" t="s">
        <v>555</v>
      </c>
      <c r="G166" t="s">
        <v>688</v>
      </c>
      <c r="H166" t="s">
        <v>697</v>
      </c>
    </row>
    <row r="167" spans="2:8">
      <c r="B167" t="s">
        <v>399</v>
      </c>
      <c r="C167" t="s">
        <v>556</v>
      </c>
      <c r="D167" t="s">
        <v>556</v>
      </c>
      <c r="F167" t="s">
        <v>556</v>
      </c>
      <c r="G167" t="s">
        <v>688</v>
      </c>
      <c r="H167" t="s">
        <v>689</v>
      </c>
    </row>
    <row r="168" spans="2:8">
      <c r="B168" t="s">
        <v>399</v>
      </c>
      <c r="C168" t="s">
        <v>557</v>
      </c>
      <c r="D168" t="s">
        <v>557</v>
      </c>
      <c r="F168" t="s">
        <v>557</v>
      </c>
      <c r="G168" t="s">
        <v>688</v>
      </c>
      <c r="H168" t="s">
        <v>689</v>
      </c>
    </row>
    <row r="169" spans="2:8">
      <c r="B169" t="s">
        <v>399</v>
      </c>
      <c r="C169" t="s">
        <v>558</v>
      </c>
      <c r="D169" t="s">
        <v>558</v>
      </c>
      <c r="F169" t="s">
        <v>558</v>
      </c>
      <c r="G169" t="s">
        <v>688</v>
      </c>
      <c r="H169" t="s">
        <v>696</v>
      </c>
    </row>
    <row r="170" spans="2:8">
      <c r="B170" t="s">
        <v>399</v>
      </c>
      <c r="C170" t="s">
        <v>559</v>
      </c>
      <c r="D170" t="s">
        <v>559</v>
      </c>
      <c r="F170" t="s">
        <v>559</v>
      </c>
      <c r="G170" t="s">
        <v>688</v>
      </c>
      <c r="H170" t="s">
        <v>697</v>
      </c>
    </row>
    <row r="171" spans="2:8">
      <c r="B171" t="s">
        <v>399</v>
      </c>
      <c r="C171" t="s">
        <v>560</v>
      </c>
      <c r="D171" t="s">
        <v>560</v>
      </c>
      <c r="F171" t="s">
        <v>560</v>
      </c>
      <c r="G171" t="s">
        <v>688</v>
      </c>
      <c r="H171" t="s">
        <v>720</v>
      </c>
    </row>
    <row r="172" spans="2:8">
      <c r="B172" t="s">
        <v>399</v>
      </c>
      <c r="C172" t="s">
        <v>561</v>
      </c>
      <c r="D172" t="s">
        <v>561</v>
      </c>
      <c r="F172" t="s">
        <v>561</v>
      </c>
      <c r="G172" t="s">
        <v>688</v>
      </c>
      <c r="H172" t="s">
        <v>710</v>
      </c>
    </row>
    <row r="173" spans="2:8">
      <c r="B173" t="s">
        <v>399</v>
      </c>
      <c r="C173" t="s">
        <v>562</v>
      </c>
      <c r="D173" t="s">
        <v>562</v>
      </c>
      <c r="F173" t="s">
        <v>562</v>
      </c>
      <c r="G173" t="s">
        <v>688</v>
      </c>
      <c r="H173" t="s">
        <v>693</v>
      </c>
    </row>
    <row r="174" spans="2:8">
      <c r="B174" t="s">
        <v>399</v>
      </c>
      <c r="C174" t="s">
        <v>563</v>
      </c>
      <c r="D174" t="s">
        <v>563</v>
      </c>
      <c r="F174" t="s">
        <v>563</v>
      </c>
      <c r="G174" t="s">
        <v>688</v>
      </c>
      <c r="H174" t="s">
        <v>693</v>
      </c>
    </row>
    <row r="175" spans="2:8">
      <c r="B175" t="s">
        <v>399</v>
      </c>
      <c r="C175" t="s">
        <v>564</v>
      </c>
      <c r="D175" t="s">
        <v>564</v>
      </c>
      <c r="F175" t="s">
        <v>564</v>
      </c>
      <c r="G175" t="s">
        <v>688</v>
      </c>
      <c r="H175" t="s">
        <v>693</v>
      </c>
    </row>
    <row r="176" spans="2:8">
      <c r="B176" t="s">
        <v>399</v>
      </c>
      <c r="C176" t="s">
        <v>565</v>
      </c>
      <c r="D176" t="s">
        <v>565</v>
      </c>
      <c r="F176" t="s">
        <v>565</v>
      </c>
      <c r="G176" t="s">
        <v>688</v>
      </c>
      <c r="H176" t="s">
        <v>693</v>
      </c>
    </row>
    <row r="177" spans="2:8">
      <c r="B177" t="s">
        <v>399</v>
      </c>
      <c r="C177" t="s">
        <v>566</v>
      </c>
      <c r="D177" t="s">
        <v>566</v>
      </c>
      <c r="F177" t="s">
        <v>566</v>
      </c>
      <c r="G177" t="s">
        <v>688</v>
      </c>
      <c r="H177" t="s">
        <v>701</v>
      </c>
    </row>
    <row r="178" spans="2:8">
      <c r="B178" t="s">
        <v>399</v>
      </c>
      <c r="C178" t="s">
        <v>567</v>
      </c>
      <c r="D178" t="s">
        <v>567</v>
      </c>
      <c r="F178" t="s">
        <v>567</v>
      </c>
      <c r="G178" t="s">
        <v>688</v>
      </c>
      <c r="H178" t="s">
        <v>701</v>
      </c>
    </row>
    <row r="179" spans="2:8">
      <c r="B179" t="s">
        <v>399</v>
      </c>
      <c r="C179" t="s">
        <v>568</v>
      </c>
      <c r="D179" t="s">
        <v>568</v>
      </c>
      <c r="F179" t="s">
        <v>568</v>
      </c>
      <c r="G179" t="s">
        <v>688</v>
      </c>
      <c r="H179" t="s">
        <v>701</v>
      </c>
    </row>
    <row r="180" spans="2:8">
      <c r="B180" t="s">
        <v>399</v>
      </c>
      <c r="C180" t="s">
        <v>569</v>
      </c>
      <c r="D180" t="s">
        <v>569</v>
      </c>
      <c r="F180" t="s">
        <v>569</v>
      </c>
      <c r="G180" t="s">
        <v>688</v>
      </c>
      <c r="H180" t="s">
        <v>701</v>
      </c>
    </row>
    <row r="181" spans="2:8">
      <c r="B181" t="s">
        <v>399</v>
      </c>
      <c r="C181" t="s">
        <v>570</v>
      </c>
      <c r="D181" t="s">
        <v>570</v>
      </c>
      <c r="F181" t="s">
        <v>570</v>
      </c>
      <c r="G181" t="s">
        <v>688</v>
      </c>
      <c r="H181" t="s">
        <v>708</v>
      </c>
    </row>
    <row r="182" spans="2:8">
      <c r="B182" t="s">
        <v>399</v>
      </c>
      <c r="C182" t="s">
        <v>571</v>
      </c>
      <c r="D182" t="s">
        <v>571</v>
      </c>
      <c r="F182" t="s">
        <v>571</v>
      </c>
      <c r="G182" t="s">
        <v>688</v>
      </c>
      <c r="H182" t="s">
        <v>689</v>
      </c>
    </row>
    <row r="183" spans="2:8">
      <c r="B183" t="s">
        <v>399</v>
      </c>
      <c r="C183" t="s">
        <v>572</v>
      </c>
      <c r="D183" t="s">
        <v>572</v>
      </c>
      <c r="F183" t="s">
        <v>572</v>
      </c>
      <c r="G183" t="s">
        <v>688</v>
      </c>
      <c r="H183" t="s">
        <v>732</v>
      </c>
    </row>
    <row r="184" spans="2:8">
      <c r="B184" t="s">
        <v>399</v>
      </c>
      <c r="C184" t="s">
        <v>573</v>
      </c>
      <c r="D184" t="s">
        <v>573</v>
      </c>
      <c r="F184" t="s">
        <v>573</v>
      </c>
      <c r="G184" t="s">
        <v>688</v>
      </c>
      <c r="H184" t="s">
        <v>732</v>
      </c>
    </row>
    <row r="185" spans="2:8">
      <c r="B185" t="s">
        <v>399</v>
      </c>
      <c r="C185" t="s">
        <v>574</v>
      </c>
      <c r="D185" t="s">
        <v>574</v>
      </c>
      <c r="F185" t="s">
        <v>574</v>
      </c>
      <c r="G185" t="s">
        <v>688</v>
      </c>
      <c r="H185" t="s">
        <v>732</v>
      </c>
    </row>
    <row r="186" spans="2:8">
      <c r="B186" t="s">
        <v>399</v>
      </c>
      <c r="C186" t="s">
        <v>575</v>
      </c>
      <c r="D186" t="s">
        <v>575</v>
      </c>
      <c r="F186" t="s">
        <v>575</v>
      </c>
      <c r="G186" t="s">
        <v>688</v>
      </c>
      <c r="H186" t="s">
        <v>732</v>
      </c>
    </row>
    <row r="187" spans="2:8">
      <c r="B187" t="s">
        <v>399</v>
      </c>
      <c r="C187" t="s">
        <v>576</v>
      </c>
      <c r="D187" t="s">
        <v>576</v>
      </c>
      <c r="F187" t="s">
        <v>576</v>
      </c>
      <c r="G187" t="s">
        <v>688</v>
      </c>
      <c r="H187" t="s">
        <v>732</v>
      </c>
    </row>
    <row r="188" spans="2:8">
      <c r="B188" t="s">
        <v>399</v>
      </c>
      <c r="C188" t="s">
        <v>577</v>
      </c>
      <c r="D188" t="s">
        <v>577</v>
      </c>
      <c r="F188" t="s">
        <v>577</v>
      </c>
      <c r="G188" t="s">
        <v>688</v>
      </c>
      <c r="H188" t="s">
        <v>732</v>
      </c>
    </row>
    <row r="189" spans="2:8">
      <c r="B189" t="s">
        <v>399</v>
      </c>
      <c r="C189" t="s">
        <v>578</v>
      </c>
      <c r="D189" t="s">
        <v>578</v>
      </c>
      <c r="F189" t="s">
        <v>578</v>
      </c>
      <c r="G189" t="s">
        <v>688</v>
      </c>
      <c r="H189" t="s">
        <v>732</v>
      </c>
    </row>
    <row r="190" spans="2:8">
      <c r="B190" t="s">
        <v>399</v>
      </c>
      <c r="C190" t="s">
        <v>579</v>
      </c>
      <c r="D190" t="s">
        <v>579</v>
      </c>
      <c r="F190" t="s">
        <v>579</v>
      </c>
      <c r="G190" t="s">
        <v>688</v>
      </c>
      <c r="H190" t="s">
        <v>732</v>
      </c>
    </row>
    <row r="191" spans="2:8">
      <c r="B191" t="s">
        <v>399</v>
      </c>
      <c r="C191" t="s">
        <v>580</v>
      </c>
      <c r="D191" t="s">
        <v>580</v>
      </c>
      <c r="F191" t="s">
        <v>580</v>
      </c>
      <c r="G191" t="s">
        <v>688</v>
      </c>
      <c r="H191" t="s">
        <v>732</v>
      </c>
    </row>
    <row r="192" spans="2:8">
      <c r="B192" t="s">
        <v>399</v>
      </c>
      <c r="C192" t="s">
        <v>581</v>
      </c>
      <c r="D192" t="s">
        <v>581</v>
      </c>
      <c r="F192" t="s">
        <v>581</v>
      </c>
      <c r="G192" t="s">
        <v>688</v>
      </c>
      <c r="H192" t="s">
        <v>732</v>
      </c>
    </row>
    <row r="193" spans="2:8">
      <c r="B193" t="s">
        <v>399</v>
      </c>
      <c r="C193" t="s">
        <v>582</v>
      </c>
      <c r="D193" t="s">
        <v>582</v>
      </c>
      <c r="F193" t="s">
        <v>582</v>
      </c>
      <c r="G193" t="s">
        <v>688</v>
      </c>
      <c r="H193" t="s">
        <v>729</v>
      </c>
    </row>
    <row r="194" spans="2:8">
      <c r="B194" t="s">
        <v>399</v>
      </c>
      <c r="C194" t="s">
        <v>583</v>
      </c>
      <c r="D194" t="s">
        <v>583</v>
      </c>
      <c r="F194" t="s">
        <v>583</v>
      </c>
      <c r="G194" t="s">
        <v>688</v>
      </c>
      <c r="H194" t="s">
        <v>733</v>
      </c>
    </row>
    <row r="195" spans="2:8">
      <c r="B195" t="s">
        <v>399</v>
      </c>
      <c r="C195" t="s">
        <v>584</v>
      </c>
      <c r="D195" t="s">
        <v>584</v>
      </c>
      <c r="F195" t="s">
        <v>584</v>
      </c>
      <c r="G195" t="s">
        <v>688</v>
      </c>
      <c r="H195" t="s">
        <v>732</v>
      </c>
    </row>
    <row r="196" spans="2:8">
      <c r="B196" t="s">
        <v>399</v>
      </c>
      <c r="C196" t="s">
        <v>585</v>
      </c>
      <c r="D196" t="s">
        <v>585</v>
      </c>
      <c r="F196" t="s">
        <v>585</v>
      </c>
      <c r="G196" t="s">
        <v>688</v>
      </c>
      <c r="H196" t="s">
        <v>717</v>
      </c>
    </row>
    <row r="197" spans="2:8">
      <c r="B197" t="s">
        <v>399</v>
      </c>
      <c r="C197" t="s">
        <v>586</v>
      </c>
      <c r="D197" t="s">
        <v>586</v>
      </c>
      <c r="F197" t="s">
        <v>586</v>
      </c>
      <c r="G197" t="s">
        <v>688</v>
      </c>
      <c r="H197" t="s">
        <v>717</v>
      </c>
    </row>
    <row r="198" spans="2:8">
      <c r="B198" t="s">
        <v>399</v>
      </c>
      <c r="C198" t="s">
        <v>587</v>
      </c>
      <c r="D198" t="s">
        <v>587</v>
      </c>
      <c r="F198" t="s">
        <v>587</v>
      </c>
      <c r="G198" t="s">
        <v>688</v>
      </c>
      <c r="H198" t="s">
        <v>732</v>
      </c>
    </row>
    <row r="199" spans="2:8">
      <c r="B199" t="s">
        <v>399</v>
      </c>
      <c r="C199" t="s">
        <v>588</v>
      </c>
      <c r="D199" t="s">
        <v>588</v>
      </c>
      <c r="F199" t="s">
        <v>588</v>
      </c>
      <c r="G199" t="s">
        <v>688</v>
      </c>
      <c r="H199" t="s">
        <v>732</v>
      </c>
    </row>
    <row r="200" spans="2:8">
      <c r="B200" t="s">
        <v>399</v>
      </c>
      <c r="C200" t="s">
        <v>589</v>
      </c>
      <c r="D200" t="s">
        <v>589</v>
      </c>
      <c r="F200" t="s">
        <v>589</v>
      </c>
      <c r="G200" t="s">
        <v>688</v>
      </c>
      <c r="H200" t="s">
        <v>732</v>
      </c>
    </row>
    <row r="201" spans="2:8">
      <c r="B201" t="s">
        <v>399</v>
      </c>
      <c r="C201" t="s">
        <v>590</v>
      </c>
      <c r="D201" t="s">
        <v>590</v>
      </c>
      <c r="F201" t="s">
        <v>590</v>
      </c>
      <c r="G201" t="s">
        <v>688</v>
      </c>
      <c r="H201" t="s">
        <v>732</v>
      </c>
    </row>
    <row r="202" spans="2:8">
      <c r="B202" t="s">
        <v>399</v>
      </c>
      <c r="C202" t="s">
        <v>591</v>
      </c>
      <c r="D202" t="s">
        <v>591</v>
      </c>
      <c r="F202" t="s">
        <v>591</v>
      </c>
      <c r="G202" t="s">
        <v>688</v>
      </c>
      <c r="H202" t="s">
        <v>717</v>
      </c>
    </row>
    <row r="203" spans="2:8">
      <c r="B203" t="s">
        <v>399</v>
      </c>
      <c r="C203" t="s">
        <v>592</v>
      </c>
      <c r="D203" t="s">
        <v>592</v>
      </c>
      <c r="F203" t="s">
        <v>592</v>
      </c>
      <c r="G203" t="s">
        <v>688</v>
      </c>
      <c r="H203" t="s">
        <v>717</v>
      </c>
    </row>
    <row r="204" spans="2:8">
      <c r="B204" t="s">
        <v>399</v>
      </c>
      <c r="C204" t="s">
        <v>593</v>
      </c>
      <c r="D204" t="s">
        <v>593</v>
      </c>
      <c r="F204" t="s">
        <v>593</v>
      </c>
      <c r="G204" t="s">
        <v>688</v>
      </c>
      <c r="H204" t="s">
        <v>721</v>
      </c>
    </row>
    <row r="205" spans="2:8">
      <c r="B205" t="s">
        <v>399</v>
      </c>
      <c r="C205" t="s">
        <v>594</v>
      </c>
      <c r="D205" t="s">
        <v>594</v>
      </c>
      <c r="F205" t="s">
        <v>594</v>
      </c>
      <c r="G205" t="s">
        <v>688</v>
      </c>
      <c r="H205" t="s">
        <v>698</v>
      </c>
    </row>
    <row r="206" spans="2:8">
      <c r="B206" t="s">
        <v>399</v>
      </c>
      <c r="C206" t="s">
        <v>595</v>
      </c>
      <c r="D206" t="s">
        <v>595</v>
      </c>
      <c r="F206" t="s">
        <v>595</v>
      </c>
      <c r="G206" t="s">
        <v>688</v>
      </c>
      <c r="H206" t="s">
        <v>695</v>
      </c>
    </row>
    <row r="207" spans="2:8">
      <c r="B207" t="s">
        <v>399</v>
      </c>
      <c r="C207" t="s">
        <v>596</v>
      </c>
      <c r="D207" t="s">
        <v>596</v>
      </c>
      <c r="F207" t="s">
        <v>596</v>
      </c>
      <c r="G207" t="s">
        <v>688</v>
      </c>
      <c r="H207" t="s">
        <v>717</v>
      </c>
    </row>
    <row r="208" spans="2:8">
      <c r="B208" t="s">
        <v>399</v>
      </c>
      <c r="C208" t="s">
        <v>597</v>
      </c>
      <c r="D208" t="s">
        <v>597</v>
      </c>
      <c r="F208" t="s">
        <v>597</v>
      </c>
      <c r="G208" t="s">
        <v>688</v>
      </c>
      <c r="H208" t="s">
        <v>713</v>
      </c>
    </row>
    <row r="209" spans="2:8">
      <c r="B209" t="s">
        <v>399</v>
      </c>
      <c r="C209" t="s">
        <v>598</v>
      </c>
      <c r="D209" t="s">
        <v>598</v>
      </c>
      <c r="F209" t="s">
        <v>598</v>
      </c>
      <c r="G209" t="s">
        <v>688</v>
      </c>
      <c r="H209" t="s">
        <v>725</v>
      </c>
    </row>
    <row r="210" spans="2:8">
      <c r="B210" t="s">
        <v>399</v>
      </c>
      <c r="C210" t="s">
        <v>599</v>
      </c>
      <c r="D210" t="s">
        <v>599</v>
      </c>
      <c r="F210" t="s">
        <v>599</v>
      </c>
      <c r="G210" t="s">
        <v>688</v>
      </c>
      <c r="H210" t="s">
        <v>728</v>
      </c>
    </row>
    <row r="211" spans="2:8">
      <c r="B211" t="s">
        <v>399</v>
      </c>
      <c r="C211" t="s">
        <v>600</v>
      </c>
      <c r="D211" t="s">
        <v>600</v>
      </c>
      <c r="F211" t="s">
        <v>600</v>
      </c>
      <c r="G211" t="s">
        <v>688</v>
      </c>
      <c r="H211" t="s">
        <v>717</v>
      </c>
    </row>
    <row r="212" spans="2:8">
      <c r="B212" t="s">
        <v>399</v>
      </c>
      <c r="C212" t="s">
        <v>601</v>
      </c>
      <c r="D212" t="s">
        <v>601</v>
      </c>
      <c r="F212" t="s">
        <v>601</v>
      </c>
      <c r="G212" t="s">
        <v>688</v>
      </c>
      <c r="H212" t="s">
        <v>734</v>
      </c>
    </row>
    <row r="213" spans="2:8">
      <c r="B213" t="s">
        <v>399</v>
      </c>
      <c r="C213" t="s">
        <v>602</v>
      </c>
      <c r="D213" t="s">
        <v>602</v>
      </c>
      <c r="F213" t="s">
        <v>602</v>
      </c>
      <c r="G213" t="s">
        <v>688</v>
      </c>
      <c r="H213" t="s">
        <v>717</v>
      </c>
    </row>
    <row r="214" spans="2:8">
      <c r="B214" t="s">
        <v>399</v>
      </c>
      <c r="C214" t="s">
        <v>603</v>
      </c>
      <c r="D214" t="s">
        <v>603</v>
      </c>
      <c r="F214" t="s">
        <v>603</v>
      </c>
      <c r="G214" t="s">
        <v>688</v>
      </c>
      <c r="H214" t="s">
        <v>717</v>
      </c>
    </row>
    <row r="215" spans="2:8">
      <c r="B215" t="s">
        <v>399</v>
      </c>
      <c r="C215" t="s">
        <v>604</v>
      </c>
      <c r="D215" t="s">
        <v>604</v>
      </c>
      <c r="F215" t="s">
        <v>604</v>
      </c>
      <c r="G215" t="s">
        <v>688</v>
      </c>
      <c r="H215" t="s">
        <v>717</v>
      </c>
    </row>
    <row r="216" spans="2:8">
      <c r="B216" t="s">
        <v>399</v>
      </c>
      <c r="C216" t="s">
        <v>605</v>
      </c>
      <c r="D216" t="s">
        <v>605</v>
      </c>
      <c r="F216" t="s">
        <v>605</v>
      </c>
      <c r="G216" t="s">
        <v>688</v>
      </c>
      <c r="H216" t="s">
        <v>717</v>
      </c>
    </row>
    <row r="217" spans="2:8">
      <c r="B217" t="s">
        <v>399</v>
      </c>
      <c r="C217" t="s">
        <v>606</v>
      </c>
      <c r="D217" t="s">
        <v>606</v>
      </c>
      <c r="F217" t="s">
        <v>606</v>
      </c>
      <c r="G217" t="s">
        <v>688</v>
      </c>
      <c r="H217" t="s">
        <v>700</v>
      </c>
    </row>
    <row r="218" spans="2:8">
      <c r="B218" t="s">
        <v>399</v>
      </c>
      <c r="C218" t="s">
        <v>607</v>
      </c>
      <c r="D218" t="s">
        <v>607</v>
      </c>
      <c r="F218" t="s">
        <v>607</v>
      </c>
      <c r="G218" t="s">
        <v>688</v>
      </c>
      <c r="H218" t="s">
        <v>689</v>
      </c>
    </row>
    <row r="219" spans="2:8">
      <c r="B219" t="s">
        <v>399</v>
      </c>
      <c r="C219" t="s">
        <v>608</v>
      </c>
      <c r="D219" t="s">
        <v>608</v>
      </c>
      <c r="F219" t="s">
        <v>608</v>
      </c>
      <c r="G219" t="s">
        <v>688</v>
      </c>
      <c r="H219" t="s">
        <v>715</v>
      </c>
    </row>
    <row r="220" spans="2:8">
      <c r="B220" t="s">
        <v>399</v>
      </c>
      <c r="C220" t="s">
        <v>609</v>
      </c>
      <c r="D220" t="s">
        <v>609</v>
      </c>
      <c r="F220" t="s">
        <v>609</v>
      </c>
      <c r="G220" t="s">
        <v>688</v>
      </c>
      <c r="H220" t="s">
        <v>694</v>
      </c>
    </row>
    <row r="221" spans="2:8">
      <c r="B221" t="s">
        <v>399</v>
      </c>
      <c r="C221" t="s">
        <v>610</v>
      </c>
      <c r="D221" t="s">
        <v>610</v>
      </c>
      <c r="F221" t="s">
        <v>610</v>
      </c>
      <c r="G221" t="s">
        <v>688</v>
      </c>
      <c r="H221" t="s">
        <v>717</v>
      </c>
    </row>
    <row r="222" spans="2:8">
      <c r="B222" t="s">
        <v>399</v>
      </c>
      <c r="C222" t="s">
        <v>611</v>
      </c>
      <c r="D222" t="s">
        <v>611</v>
      </c>
      <c r="F222" t="s">
        <v>611</v>
      </c>
      <c r="G222" t="s">
        <v>688</v>
      </c>
      <c r="H222" t="s">
        <v>717</v>
      </c>
    </row>
    <row r="223" spans="2:8">
      <c r="B223" t="s">
        <v>399</v>
      </c>
      <c r="C223" t="s">
        <v>612</v>
      </c>
      <c r="D223" t="s">
        <v>612</v>
      </c>
      <c r="F223" t="s">
        <v>612</v>
      </c>
      <c r="G223" t="s">
        <v>688</v>
      </c>
      <c r="H223" t="s">
        <v>709</v>
      </c>
    </row>
    <row r="224" spans="2:8">
      <c r="B224" t="s">
        <v>399</v>
      </c>
      <c r="C224" t="s">
        <v>613</v>
      </c>
      <c r="D224" t="s">
        <v>613</v>
      </c>
      <c r="F224" t="s">
        <v>613</v>
      </c>
      <c r="G224" t="s">
        <v>688</v>
      </c>
      <c r="H224" t="s">
        <v>717</v>
      </c>
    </row>
    <row r="225" spans="2:8">
      <c r="B225" t="s">
        <v>399</v>
      </c>
      <c r="C225" t="s">
        <v>614</v>
      </c>
      <c r="D225" t="s">
        <v>614</v>
      </c>
      <c r="F225" t="s">
        <v>614</v>
      </c>
      <c r="G225" t="s">
        <v>688</v>
      </c>
      <c r="H225" t="s">
        <v>717</v>
      </c>
    </row>
    <row r="226" spans="2:8">
      <c r="B226" t="s">
        <v>399</v>
      </c>
      <c r="C226" t="s">
        <v>615</v>
      </c>
      <c r="D226" t="s">
        <v>615</v>
      </c>
      <c r="F226" t="s">
        <v>615</v>
      </c>
      <c r="G226" t="s">
        <v>688</v>
      </c>
      <c r="H226" t="s">
        <v>717</v>
      </c>
    </row>
    <row r="227" spans="2:8">
      <c r="B227" t="s">
        <v>399</v>
      </c>
      <c r="C227" t="s">
        <v>616</v>
      </c>
      <c r="D227" t="s">
        <v>616</v>
      </c>
      <c r="F227" t="s">
        <v>616</v>
      </c>
      <c r="G227" t="s">
        <v>688</v>
      </c>
      <c r="H227" t="s">
        <v>717</v>
      </c>
    </row>
    <row r="228" spans="2:8">
      <c r="B228" t="s">
        <v>399</v>
      </c>
      <c r="C228" t="s">
        <v>617</v>
      </c>
      <c r="D228" t="s">
        <v>617</v>
      </c>
      <c r="F228" t="s">
        <v>617</v>
      </c>
      <c r="G228" t="s">
        <v>688</v>
      </c>
      <c r="H228" t="s">
        <v>717</v>
      </c>
    </row>
    <row r="229" spans="2:8">
      <c r="B229" t="s">
        <v>399</v>
      </c>
      <c r="C229" t="s">
        <v>618</v>
      </c>
      <c r="D229" t="s">
        <v>618</v>
      </c>
      <c r="F229" t="s">
        <v>618</v>
      </c>
      <c r="G229" t="s">
        <v>688</v>
      </c>
      <c r="H229" t="s">
        <v>721</v>
      </c>
    </row>
    <row r="230" spans="2:8">
      <c r="B230" t="s">
        <v>399</v>
      </c>
      <c r="C230" t="s">
        <v>619</v>
      </c>
      <c r="D230" t="s">
        <v>619</v>
      </c>
      <c r="F230" t="s">
        <v>619</v>
      </c>
      <c r="G230" t="s">
        <v>688</v>
      </c>
      <c r="H230" t="s">
        <v>698</v>
      </c>
    </row>
    <row r="231" spans="2:8">
      <c r="B231" t="s">
        <v>399</v>
      </c>
      <c r="C231" t="s">
        <v>620</v>
      </c>
      <c r="D231" t="s">
        <v>620</v>
      </c>
      <c r="F231" t="s">
        <v>620</v>
      </c>
      <c r="G231" t="s">
        <v>688</v>
      </c>
      <c r="H231" t="s">
        <v>711</v>
      </c>
    </row>
    <row r="232" spans="2:8">
      <c r="B232" t="s">
        <v>399</v>
      </c>
      <c r="C232" t="s">
        <v>621</v>
      </c>
      <c r="D232" t="s">
        <v>621</v>
      </c>
      <c r="F232" t="s">
        <v>621</v>
      </c>
      <c r="G232" t="s">
        <v>688</v>
      </c>
      <c r="H232" t="s">
        <v>707</v>
      </c>
    </row>
    <row r="233" spans="2:8">
      <c r="B233" t="s">
        <v>399</v>
      </c>
      <c r="C233" t="s">
        <v>622</v>
      </c>
      <c r="D233" t="s">
        <v>622</v>
      </c>
      <c r="F233" t="s">
        <v>622</v>
      </c>
      <c r="G233" t="s">
        <v>688</v>
      </c>
      <c r="H233" t="s">
        <v>726</v>
      </c>
    </row>
    <row r="234" spans="2:8">
      <c r="B234" t="s">
        <v>399</v>
      </c>
      <c r="C234" t="s">
        <v>623</v>
      </c>
      <c r="D234" t="s">
        <v>623</v>
      </c>
      <c r="F234" t="s">
        <v>623</v>
      </c>
      <c r="G234" t="s">
        <v>688</v>
      </c>
      <c r="H234" t="s">
        <v>708</v>
      </c>
    </row>
    <row r="235" spans="2:8">
      <c r="B235" t="s">
        <v>399</v>
      </c>
      <c r="C235" t="s">
        <v>624</v>
      </c>
      <c r="D235" t="s">
        <v>624</v>
      </c>
      <c r="F235" t="s">
        <v>624</v>
      </c>
      <c r="G235" t="s">
        <v>688</v>
      </c>
      <c r="H235" t="s">
        <v>700</v>
      </c>
    </row>
    <row r="236" spans="2:8">
      <c r="B236" t="s">
        <v>399</v>
      </c>
      <c r="C236" t="s">
        <v>625</v>
      </c>
      <c r="D236" t="s">
        <v>625</v>
      </c>
      <c r="F236" t="s">
        <v>625</v>
      </c>
      <c r="G236" t="s">
        <v>688</v>
      </c>
      <c r="H236" t="s">
        <v>693</v>
      </c>
    </row>
    <row r="237" spans="2:8">
      <c r="B237" t="s">
        <v>399</v>
      </c>
      <c r="C237" t="s">
        <v>626</v>
      </c>
      <c r="D237" t="s">
        <v>626</v>
      </c>
      <c r="F237" t="s">
        <v>626</v>
      </c>
      <c r="G237" t="s">
        <v>688</v>
      </c>
      <c r="H237" t="s">
        <v>703</v>
      </c>
    </row>
    <row r="238" spans="2:8">
      <c r="B238" t="s">
        <v>399</v>
      </c>
      <c r="C238" t="s">
        <v>627</v>
      </c>
      <c r="D238" t="s">
        <v>627</v>
      </c>
      <c r="F238" t="s">
        <v>627</v>
      </c>
      <c r="G238" t="s">
        <v>688</v>
      </c>
      <c r="H238" t="s">
        <v>717</v>
      </c>
    </row>
    <row r="239" spans="2:8">
      <c r="B239" t="s">
        <v>399</v>
      </c>
      <c r="C239" t="s">
        <v>628</v>
      </c>
      <c r="D239" t="s">
        <v>628</v>
      </c>
      <c r="F239" t="s">
        <v>628</v>
      </c>
      <c r="G239" t="s">
        <v>688</v>
      </c>
      <c r="H239" t="s">
        <v>717</v>
      </c>
    </row>
    <row r="240" spans="2:8">
      <c r="B240" t="s">
        <v>399</v>
      </c>
      <c r="C240" t="s">
        <v>629</v>
      </c>
      <c r="D240" t="s">
        <v>629</v>
      </c>
      <c r="F240" t="s">
        <v>629</v>
      </c>
      <c r="G240" t="s">
        <v>688</v>
      </c>
      <c r="H240" t="s">
        <v>710</v>
      </c>
    </row>
    <row r="241" spans="2:8">
      <c r="B241" t="s">
        <v>399</v>
      </c>
      <c r="C241" t="s">
        <v>630</v>
      </c>
      <c r="D241" t="s">
        <v>630</v>
      </c>
      <c r="F241" t="s">
        <v>630</v>
      </c>
      <c r="G241" t="s">
        <v>688</v>
      </c>
      <c r="H241" t="s">
        <v>717</v>
      </c>
    </row>
    <row r="242" spans="2:8">
      <c r="B242" t="s">
        <v>399</v>
      </c>
      <c r="C242" t="s">
        <v>631</v>
      </c>
      <c r="D242" t="s">
        <v>631</v>
      </c>
      <c r="F242" t="s">
        <v>631</v>
      </c>
      <c r="G242" t="s">
        <v>688</v>
      </c>
      <c r="H242" t="s">
        <v>731</v>
      </c>
    </row>
    <row r="243" spans="2:8">
      <c r="B243" t="s">
        <v>399</v>
      </c>
      <c r="C243" t="s">
        <v>632</v>
      </c>
      <c r="D243" t="s">
        <v>632</v>
      </c>
      <c r="F243" t="s">
        <v>632</v>
      </c>
      <c r="G243" t="s">
        <v>688</v>
      </c>
      <c r="H243" t="s">
        <v>717</v>
      </c>
    </row>
    <row r="244" spans="2:8">
      <c r="B244" t="s">
        <v>399</v>
      </c>
      <c r="C244" t="s">
        <v>633</v>
      </c>
      <c r="D244" t="s">
        <v>633</v>
      </c>
      <c r="F244" t="s">
        <v>633</v>
      </c>
      <c r="G244" t="s">
        <v>688</v>
      </c>
      <c r="H244" t="s">
        <v>717</v>
      </c>
    </row>
    <row r="245" spans="2:8">
      <c r="B245" t="s">
        <v>399</v>
      </c>
      <c r="C245" t="s">
        <v>634</v>
      </c>
      <c r="D245" t="s">
        <v>634</v>
      </c>
      <c r="F245" t="s">
        <v>634</v>
      </c>
      <c r="G245" t="s">
        <v>688</v>
      </c>
      <c r="H245" t="s">
        <v>692</v>
      </c>
    </row>
    <row r="246" spans="2:8">
      <c r="B246" t="s">
        <v>399</v>
      </c>
      <c r="C246" t="s">
        <v>635</v>
      </c>
      <c r="D246" t="s">
        <v>635</v>
      </c>
      <c r="F246" t="s">
        <v>635</v>
      </c>
      <c r="G246" t="s">
        <v>688</v>
      </c>
      <c r="H246" t="s">
        <v>691</v>
      </c>
    </row>
    <row r="247" spans="2:8">
      <c r="B247" t="s">
        <v>399</v>
      </c>
      <c r="C247" t="s">
        <v>636</v>
      </c>
      <c r="D247" t="s">
        <v>636</v>
      </c>
      <c r="F247" t="s">
        <v>636</v>
      </c>
      <c r="G247" t="s">
        <v>688</v>
      </c>
      <c r="H247" t="s">
        <v>715</v>
      </c>
    </row>
    <row r="248" spans="2:8">
      <c r="B248" t="s">
        <v>399</v>
      </c>
      <c r="C248" t="s">
        <v>637</v>
      </c>
      <c r="D248" t="s">
        <v>637</v>
      </c>
      <c r="F248" t="s">
        <v>637</v>
      </c>
      <c r="G248" t="s">
        <v>688</v>
      </c>
      <c r="H248" t="s">
        <v>732</v>
      </c>
    </row>
    <row r="249" spans="2:8">
      <c r="B249" t="s">
        <v>399</v>
      </c>
      <c r="C249" t="s">
        <v>638</v>
      </c>
      <c r="D249" t="s">
        <v>638</v>
      </c>
      <c r="F249" t="s">
        <v>638</v>
      </c>
      <c r="G249" t="s">
        <v>688</v>
      </c>
      <c r="H249" t="s">
        <v>717</v>
      </c>
    </row>
    <row r="250" spans="2:8">
      <c r="B250" t="s">
        <v>399</v>
      </c>
      <c r="C250" t="s">
        <v>639</v>
      </c>
      <c r="D250" t="s">
        <v>639</v>
      </c>
      <c r="F250" t="s">
        <v>639</v>
      </c>
      <c r="G250" t="s">
        <v>688</v>
      </c>
      <c r="H250" t="s">
        <v>715</v>
      </c>
    </row>
    <row r="251" spans="2:8">
      <c r="B251" t="s">
        <v>399</v>
      </c>
      <c r="C251" t="s">
        <v>640</v>
      </c>
      <c r="D251" t="s">
        <v>640</v>
      </c>
      <c r="F251" t="s">
        <v>640</v>
      </c>
      <c r="G251" t="s">
        <v>688</v>
      </c>
      <c r="H251" t="s">
        <v>732</v>
      </c>
    </row>
    <row r="252" spans="2:8">
      <c r="B252" t="s">
        <v>399</v>
      </c>
      <c r="C252" t="s">
        <v>641</v>
      </c>
      <c r="D252" t="s">
        <v>641</v>
      </c>
      <c r="F252" t="s">
        <v>641</v>
      </c>
      <c r="G252" t="s">
        <v>688</v>
      </c>
      <c r="H252" t="s">
        <v>732</v>
      </c>
    </row>
    <row r="253" spans="2:8">
      <c r="B253" t="s">
        <v>399</v>
      </c>
      <c r="C253" t="s">
        <v>642</v>
      </c>
      <c r="D253" t="s">
        <v>642</v>
      </c>
      <c r="F253" t="s">
        <v>642</v>
      </c>
      <c r="G253" t="s">
        <v>688</v>
      </c>
      <c r="H253" t="s">
        <v>732</v>
      </c>
    </row>
    <row r="254" spans="2:8">
      <c r="B254" t="s">
        <v>399</v>
      </c>
      <c r="C254" t="s">
        <v>643</v>
      </c>
      <c r="D254" t="s">
        <v>643</v>
      </c>
      <c r="F254" t="s">
        <v>643</v>
      </c>
      <c r="G254" t="s">
        <v>688</v>
      </c>
      <c r="H254" t="s">
        <v>732</v>
      </c>
    </row>
    <row r="255" spans="2:8">
      <c r="B255" t="s">
        <v>399</v>
      </c>
      <c r="C255" t="s">
        <v>644</v>
      </c>
      <c r="D255" t="s">
        <v>644</v>
      </c>
      <c r="F255" t="s">
        <v>644</v>
      </c>
      <c r="G255" t="s">
        <v>688</v>
      </c>
      <c r="H255" t="s">
        <v>717</v>
      </c>
    </row>
    <row r="256" spans="2:8">
      <c r="B256" t="s">
        <v>399</v>
      </c>
      <c r="C256" t="s">
        <v>645</v>
      </c>
      <c r="D256" t="s">
        <v>645</v>
      </c>
      <c r="F256" t="s">
        <v>645</v>
      </c>
      <c r="G256" t="s">
        <v>688</v>
      </c>
      <c r="H256" t="s">
        <v>717</v>
      </c>
    </row>
    <row r="257" spans="2:8">
      <c r="B257" t="s">
        <v>399</v>
      </c>
      <c r="C257" t="s">
        <v>646</v>
      </c>
      <c r="D257" t="s">
        <v>646</v>
      </c>
      <c r="F257" t="s">
        <v>646</v>
      </c>
      <c r="G257" t="s">
        <v>688</v>
      </c>
      <c r="H257" t="s">
        <v>717</v>
      </c>
    </row>
    <row r="258" spans="2:8">
      <c r="B258" t="s">
        <v>399</v>
      </c>
      <c r="C258" t="s">
        <v>647</v>
      </c>
      <c r="D258" t="s">
        <v>647</v>
      </c>
      <c r="F258" t="s">
        <v>647</v>
      </c>
      <c r="G258" t="s">
        <v>688</v>
      </c>
      <c r="H258" t="s">
        <v>734</v>
      </c>
    </row>
    <row r="259" spans="2:8">
      <c r="B259" t="s">
        <v>399</v>
      </c>
      <c r="C259" t="s">
        <v>648</v>
      </c>
      <c r="D259" t="s">
        <v>648</v>
      </c>
      <c r="F259" t="s">
        <v>648</v>
      </c>
      <c r="G259" t="s">
        <v>688</v>
      </c>
      <c r="H259" t="s">
        <v>717</v>
      </c>
    </row>
    <row r="260" spans="2:8">
      <c r="B260" t="s">
        <v>399</v>
      </c>
      <c r="C260" t="s">
        <v>649</v>
      </c>
      <c r="D260" t="s">
        <v>649</v>
      </c>
      <c r="F260" t="s">
        <v>649</v>
      </c>
      <c r="G260" t="s">
        <v>688</v>
      </c>
      <c r="H260" t="s">
        <v>717</v>
      </c>
    </row>
    <row r="261" spans="2:8">
      <c r="B261" t="s">
        <v>399</v>
      </c>
      <c r="C261" t="s">
        <v>650</v>
      </c>
      <c r="D261" t="s">
        <v>650</v>
      </c>
      <c r="F261" t="s">
        <v>650</v>
      </c>
      <c r="G261" t="s">
        <v>688</v>
      </c>
      <c r="H261" t="s">
        <v>717</v>
      </c>
    </row>
    <row r="262" spans="2:8">
      <c r="B262" t="s">
        <v>399</v>
      </c>
      <c r="C262" t="s">
        <v>651</v>
      </c>
      <c r="D262" t="s">
        <v>651</v>
      </c>
      <c r="F262" t="s">
        <v>651</v>
      </c>
      <c r="G262" t="s">
        <v>688</v>
      </c>
      <c r="H262" t="s">
        <v>717</v>
      </c>
    </row>
    <row r="263" spans="2:8">
      <c r="B263" t="s">
        <v>399</v>
      </c>
      <c r="C263" t="s">
        <v>652</v>
      </c>
      <c r="D263" t="s">
        <v>652</v>
      </c>
      <c r="F263" t="s">
        <v>652</v>
      </c>
      <c r="G263" t="s">
        <v>688</v>
      </c>
      <c r="H263" t="s">
        <v>717</v>
      </c>
    </row>
    <row r="264" spans="2:8">
      <c r="B264" t="s">
        <v>399</v>
      </c>
      <c r="C264" t="s">
        <v>653</v>
      </c>
      <c r="D264" t="s">
        <v>653</v>
      </c>
      <c r="F264" t="s">
        <v>653</v>
      </c>
      <c r="G264" t="s">
        <v>688</v>
      </c>
      <c r="H264" t="s">
        <v>717</v>
      </c>
    </row>
    <row r="265" spans="2:8">
      <c r="B265" t="s">
        <v>399</v>
      </c>
      <c r="C265" t="s">
        <v>654</v>
      </c>
      <c r="D265" t="s">
        <v>654</v>
      </c>
      <c r="F265" t="s">
        <v>654</v>
      </c>
      <c r="G265" t="s">
        <v>688</v>
      </c>
      <c r="H265" t="s">
        <v>717</v>
      </c>
    </row>
    <row r="266" spans="2:8">
      <c r="B266" t="s">
        <v>399</v>
      </c>
      <c r="C266" t="s">
        <v>655</v>
      </c>
      <c r="D266" t="s">
        <v>655</v>
      </c>
      <c r="F266" t="s">
        <v>655</v>
      </c>
      <c r="G266" t="s">
        <v>688</v>
      </c>
      <c r="H266" t="s">
        <v>717</v>
      </c>
    </row>
    <row r="267" spans="2:8">
      <c r="B267" t="s">
        <v>399</v>
      </c>
      <c r="C267" t="s">
        <v>656</v>
      </c>
      <c r="D267" t="s">
        <v>656</v>
      </c>
      <c r="F267" t="s">
        <v>656</v>
      </c>
      <c r="G267" t="s">
        <v>688</v>
      </c>
      <c r="H267" t="s">
        <v>717</v>
      </c>
    </row>
    <row r="268" spans="2:8">
      <c r="B268" t="s">
        <v>399</v>
      </c>
      <c r="C268" t="s">
        <v>657</v>
      </c>
      <c r="D268" t="s">
        <v>657</v>
      </c>
      <c r="F268" t="s">
        <v>657</v>
      </c>
      <c r="G268" t="s">
        <v>688</v>
      </c>
      <c r="H268" t="s">
        <v>717</v>
      </c>
    </row>
    <row r="269" spans="2:8">
      <c r="B269" t="s">
        <v>399</v>
      </c>
      <c r="C269" t="s">
        <v>658</v>
      </c>
      <c r="D269" t="s">
        <v>658</v>
      </c>
      <c r="F269" t="s">
        <v>658</v>
      </c>
      <c r="G269" t="s">
        <v>688</v>
      </c>
      <c r="H269" t="s">
        <v>732</v>
      </c>
    </row>
    <row r="270" spans="2:8">
      <c r="B270" t="s">
        <v>399</v>
      </c>
      <c r="C270" t="s">
        <v>659</v>
      </c>
      <c r="D270" t="s">
        <v>659</v>
      </c>
      <c r="F270" t="s">
        <v>659</v>
      </c>
      <c r="G270" t="s">
        <v>688</v>
      </c>
      <c r="H270" t="s">
        <v>717</v>
      </c>
    </row>
    <row r="271" spans="2:8">
      <c r="B271" t="s">
        <v>399</v>
      </c>
      <c r="C271" t="s">
        <v>660</v>
      </c>
      <c r="D271" t="s">
        <v>660</v>
      </c>
      <c r="F271" t="s">
        <v>660</v>
      </c>
      <c r="G271" t="s">
        <v>688</v>
      </c>
      <c r="H271" t="s">
        <v>717</v>
      </c>
    </row>
    <row r="272" spans="2:8">
      <c r="B272" t="s">
        <v>399</v>
      </c>
      <c r="C272" t="s">
        <v>661</v>
      </c>
      <c r="D272" t="s">
        <v>661</v>
      </c>
      <c r="F272" t="s">
        <v>661</v>
      </c>
      <c r="G272" t="s">
        <v>688</v>
      </c>
      <c r="H272" t="s">
        <v>717</v>
      </c>
    </row>
    <row r="273" spans="2:8">
      <c r="B273" t="s">
        <v>399</v>
      </c>
      <c r="C273" t="s">
        <v>662</v>
      </c>
      <c r="D273" t="s">
        <v>662</v>
      </c>
      <c r="F273" t="s">
        <v>662</v>
      </c>
      <c r="G273" t="s">
        <v>688</v>
      </c>
      <c r="H273" t="s">
        <v>717</v>
      </c>
    </row>
    <row r="274" spans="2:8">
      <c r="B274" t="s">
        <v>399</v>
      </c>
      <c r="C274" t="s">
        <v>663</v>
      </c>
      <c r="D274" t="s">
        <v>663</v>
      </c>
      <c r="F274" t="s">
        <v>663</v>
      </c>
      <c r="G274" t="s">
        <v>688</v>
      </c>
      <c r="H274" t="s">
        <v>717</v>
      </c>
    </row>
    <row r="275" spans="2:8">
      <c r="B275" t="s">
        <v>399</v>
      </c>
      <c r="C275" t="s">
        <v>664</v>
      </c>
      <c r="D275" t="s">
        <v>664</v>
      </c>
      <c r="F275" t="s">
        <v>664</v>
      </c>
      <c r="G275" t="s">
        <v>688</v>
      </c>
      <c r="H275" t="s">
        <v>717</v>
      </c>
    </row>
    <row r="276" spans="2:8">
      <c r="B276" t="s">
        <v>399</v>
      </c>
      <c r="C276" t="s">
        <v>665</v>
      </c>
      <c r="D276" t="s">
        <v>665</v>
      </c>
      <c r="F276" t="s">
        <v>665</v>
      </c>
      <c r="G276" t="s">
        <v>688</v>
      </c>
      <c r="H276" t="s">
        <v>717</v>
      </c>
    </row>
    <row r="277" spans="2:8">
      <c r="B277" t="s">
        <v>399</v>
      </c>
      <c r="C277" t="s">
        <v>666</v>
      </c>
      <c r="D277" t="s">
        <v>666</v>
      </c>
      <c r="F277" t="s">
        <v>666</v>
      </c>
      <c r="G277" t="s">
        <v>688</v>
      </c>
      <c r="H277" t="s">
        <v>717</v>
      </c>
    </row>
    <row r="278" spans="2:8">
      <c r="B278" t="s">
        <v>399</v>
      </c>
      <c r="C278" t="s">
        <v>667</v>
      </c>
      <c r="D278" t="s">
        <v>667</v>
      </c>
      <c r="F278" t="s">
        <v>667</v>
      </c>
      <c r="G278" t="s">
        <v>688</v>
      </c>
      <c r="H278" t="s">
        <v>717</v>
      </c>
    </row>
    <row r="279" spans="2:8">
      <c r="B279" t="s">
        <v>399</v>
      </c>
      <c r="C279" t="s">
        <v>668</v>
      </c>
      <c r="D279" t="s">
        <v>668</v>
      </c>
      <c r="F279" t="s">
        <v>668</v>
      </c>
      <c r="G279" t="s">
        <v>688</v>
      </c>
      <c r="H279" t="s">
        <v>717</v>
      </c>
    </row>
    <row r="280" spans="2:8">
      <c r="B280" t="s">
        <v>399</v>
      </c>
      <c r="C280" t="s">
        <v>669</v>
      </c>
      <c r="D280" t="s">
        <v>669</v>
      </c>
      <c r="F280" t="s">
        <v>669</v>
      </c>
      <c r="G280" t="s">
        <v>688</v>
      </c>
      <c r="H280" t="s">
        <v>717</v>
      </c>
    </row>
    <row r="281" spans="2:8">
      <c r="B281" t="s">
        <v>399</v>
      </c>
      <c r="C281" t="s">
        <v>670</v>
      </c>
      <c r="D281" t="s">
        <v>670</v>
      </c>
      <c r="F281" t="s">
        <v>670</v>
      </c>
      <c r="G281" t="s">
        <v>688</v>
      </c>
      <c r="H281" t="s">
        <v>717</v>
      </c>
    </row>
    <row r="282" spans="2:8">
      <c r="B282" t="s">
        <v>399</v>
      </c>
      <c r="C282" t="s">
        <v>671</v>
      </c>
      <c r="D282" t="s">
        <v>671</v>
      </c>
      <c r="F282" t="s">
        <v>671</v>
      </c>
      <c r="G282" t="s">
        <v>688</v>
      </c>
      <c r="H282" t="s">
        <v>717</v>
      </c>
    </row>
    <row r="283" spans="2:8">
      <c r="B283" t="s">
        <v>399</v>
      </c>
      <c r="C283" t="s">
        <v>672</v>
      </c>
      <c r="D283" t="s">
        <v>672</v>
      </c>
      <c r="F283" t="s">
        <v>672</v>
      </c>
      <c r="G283" t="s">
        <v>688</v>
      </c>
      <c r="H283" t="s">
        <v>717</v>
      </c>
    </row>
    <row r="284" spans="2:8">
      <c r="B284" t="s">
        <v>399</v>
      </c>
      <c r="C284" t="s">
        <v>673</v>
      </c>
      <c r="D284" t="s">
        <v>673</v>
      </c>
      <c r="F284" t="s">
        <v>673</v>
      </c>
      <c r="G284" t="s">
        <v>688</v>
      </c>
      <c r="H284" t="s">
        <v>717</v>
      </c>
    </row>
    <row r="285" spans="2:8">
      <c r="B285" t="s">
        <v>399</v>
      </c>
      <c r="C285" t="s">
        <v>674</v>
      </c>
      <c r="D285" t="s">
        <v>674</v>
      </c>
      <c r="F285" t="s">
        <v>674</v>
      </c>
      <c r="G285" t="s">
        <v>688</v>
      </c>
      <c r="H285" t="s">
        <v>717</v>
      </c>
    </row>
    <row r="286" spans="2:8">
      <c r="B286" t="s">
        <v>399</v>
      </c>
      <c r="C286" t="s">
        <v>675</v>
      </c>
      <c r="D286" t="s">
        <v>675</v>
      </c>
      <c r="F286" t="s">
        <v>675</v>
      </c>
      <c r="G286" t="s">
        <v>688</v>
      </c>
      <c r="H286" t="s">
        <v>717</v>
      </c>
    </row>
    <row r="287" spans="2:8">
      <c r="B287" t="s">
        <v>399</v>
      </c>
      <c r="C287" t="s">
        <v>676</v>
      </c>
      <c r="D287" t="s">
        <v>676</v>
      </c>
      <c r="F287" t="s">
        <v>676</v>
      </c>
      <c r="G287" t="s">
        <v>688</v>
      </c>
      <c r="H287" t="s">
        <v>717</v>
      </c>
    </row>
    <row r="288" spans="2:8">
      <c r="B288" t="s">
        <v>399</v>
      </c>
      <c r="C288" t="s">
        <v>677</v>
      </c>
      <c r="D288" t="s">
        <v>677</v>
      </c>
      <c r="F288" t="s">
        <v>677</v>
      </c>
      <c r="G288" t="s">
        <v>688</v>
      </c>
      <c r="H288" t="s">
        <v>717</v>
      </c>
    </row>
    <row r="289" spans="2:8">
      <c r="B289" t="s">
        <v>399</v>
      </c>
      <c r="C289" t="s">
        <v>678</v>
      </c>
      <c r="D289" t="s">
        <v>678</v>
      </c>
      <c r="F289" t="s">
        <v>678</v>
      </c>
      <c r="G289" t="s">
        <v>688</v>
      </c>
      <c r="H289" t="s">
        <v>717</v>
      </c>
    </row>
    <row r="290" spans="2:8">
      <c r="B290" t="s">
        <v>399</v>
      </c>
      <c r="C290" t="s">
        <v>679</v>
      </c>
      <c r="D290" t="s">
        <v>679</v>
      </c>
      <c r="F290" t="s">
        <v>679</v>
      </c>
      <c r="G290" t="s">
        <v>688</v>
      </c>
      <c r="H290" t="s">
        <v>717</v>
      </c>
    </row>
    <row r="291" spans="2:8">
      <c r="B291" t="s">
        <v>399</v>
      </c>
      <c r="C291" t="s">
        <v>680</v>
      </c>
      <c r="D291" t="s">
        <v>680</v>
      </c>
      <c r="F291" t="s">
        <v>680</v>
      </c>
      <c r="G291" t="s">
        <v>688</v>
      </c>
      <c r="H291" t="s">
        <v>717</v>
      </c>
    </row>
    <row r="292" spans="2:8">
      <c r="B292" t="s">
        <v>399</v>
      </c>
      <c r="C292" t="s">
        <v>681</v>
      </c>
      <c r="D292" t="s">
        <v>681</v>
      </c>
      <c r="F292" t="s">
        <v>681</v>
      </c>
      <c r="G292" t="s">
        <v>688</v>
      </c>
      <c r="H292" t="s">
        <v>717</v>
      </c>
    </row>
    <row r="293" spans="2:8">
      <c r="B293" t="s">
        <v>399</v>
      </c>
      <c r="C293" t="s">
        <v>682</v>
      </c>
      <c r="D293" t="s">
        <v>682</v>
      </c>
      <c r="F293" t="s">
        <v>682</v>
      </c>
      <c r="G293" t="s">
        <v>688</v>
      </c>
      <c r="H293" t="s">
        <v>717</v>
      </c>
    </row>
    <row r="294" spans="2:8">
      <c r="B294" t="s">
        <v>399</v>
      </c>
      <c r="C294" t="s">
        <v>683</v>
      </c>
      <c r="D294" t="s">
        <v>683</v>
      </c>
      <c r="F294" t="s">
        <v>683</v>
      </c>
      <c r="G294" t="s">
        <v>688</v>
      </c>
      <c r="H294" t="s">
        <v>717</v>
      </c>
    </row>
    <row r="295" spans="2:8">
      <c r="B295" t="s">
        <v>399</v>
      </c>
      <c r="C295" t="s">
        <v>684</v>
      </c>
      <c r="D295" t="s">
        <v>684</v>
      </c>
      <c r="F295" t="s">
        <v>684</v>
      </c>
      <c r="G295" t="s">
        <v>688</v>
      </c>
      <c r="H295" t="s">
        <v>717</v>
      </c>
    </row>
    <row r="296" spans="2:8">
      <c r="B296" t="s">
        <v>399</v>
      </c>
      <c r="C296" t="s">
        <v>685</v>
      </c>
      <c r="D296" t="s">
        <v>685</v>
      </c>
      <c r="F296" t="s">
        <v>685</v>
      </c>
      <c r="G296" t="s">
        <v>688</v>
      </c>
      <c r="H296" t="s">
        <v>717</v>
      </c>
    </row>
    <row r="297" spans="2:8">
      <c r="B297" t="s">
        <v>399</v>
      </c>
      <c r="C297" t="s">
        <v>686</v>
      </c>
      <c r="D297" t="s">
        <v>686</v>
      </c>
      <c r="F297" t="s">
        <v>686</v>
      </c>
      <c r="G297" t="s">
        <v>688</v>
      </c>
      <c r="H297" t="s">
        <v>717</v>
      </c>
    </row>
    <row r="298" spans="2:8">
      <c r="B298" t="s">
        <v>399</v>
      </c>
      <c r="C298" t="s">
        <v>687</v>
      </c>
      <c r="D298" t="s">
        <v>687</v>
      </c>
      <c r="F298" t="s">
        <v>687</v>
      </c>
      <c r="G298" t="s">
        <v>688</v>
      </c>
      <c r="H298" t="s">
        <v>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18"/>
  <sheetViews>
    <sheetView zoomScaleNormal="100" workbookViewId="0">
      <pane ySplit="2" topLeftCell="A3" activePane="bottomLeft" state="frozen"/>
      <selection pane="bottomLeft" activeCell="B18" sqref="A18:N18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21</v>
      </c>
    </row>
    <row r="2" spans="1:21" ht="15" thickTop="1" thickBot="1">
      <c r="A2" s="6" t="s">
        <v>11</v>
      </c>
      <c r="B2" s="6" t="s">
        <v>22</v>
      </c>
      <c r="C2" s="6" t="s">
        <v>12</v>
      </c>
      <c r="D2" s="6" t="s">
        <v>13</v>
      </c>
      <c r="E2" s="6" t="s">
        <v>17</v>
      </c>
      <c r="F2" s="6" t="s">
        <v>18</v>
      </c>
      <c r="G2" s="6" t="s">
        <v>19</v>
      </c>
      <c r="H2" s="6" t="s">
        <v>14</v>
      </c>
      <c r="I2" s="6" t="s">
        <v>15</v>
      </c>
      <c r="J2" s="6" t="s">
        <v>16</v>
      </c>
      <c r="K2" s="6" t="s">
        <v>0</v>
      </c>
      <c r="L2" s="6" t="s">
        <v>6</v>
      </c>
      <c r="M2" s="6" t="s">
        <v>23</v>
      </c>
      <c r="N2" s="6" t="s">
        <v>2</v>
      </c>
      <c r="O2" s="6" t="s">
        <v>1</v>
      </c>
      <c r="P2" s="6" t="s">
        <v>10</v>
      </c>
      <c r="Q2" s="6" t="s">
        <v>58</v>
      </c>
      <c r="R2" s="6" t="s">
        <v>59</v>
      </c>
    </row>
    <row r="3" spans="1:21">
      <c r="A3" t="s">
        <v>7</v>
      </c>
      <c r="C3" t="s">
        <v>115</v>
      </c>
      <c r="D3" s="2" t="s">
        <v>157</v>
      </c>
      <c r="K3" t="s">
        <v>8</v>
      </c>
      <c r="N3" t="s">
        <v>70</v>
      </c>
    </row>
    <row r="4" spans="1:21">
      <c r="A4" t="s">
        <v>36</v>
      </c>
      <c r="C4" t="s">
        <v>115</v>
      </c>
      <c r="D4" s="2" t="s">
        <v>157</v>
      </c>
      <c r="K4" t="s">
        <v>8</v>
      </c>
      <c r="N4" t="s">
        <v>79</v>
      </c>
      <c r="T4" s="8" t="s">
        <v>43</v>
      </c>
      <c r="U4" s="8"/>
    </row>
    <row r="5" spans="1:21">
      <c r="A5" t="s">
        <v>5</v>
      </c>
      <c r="C5" t="s">
        <v>116</v>
      </c>
      <c r="D5" s="2" t="s">
        <v>157</v>
      </c>
      <c r="I5" t="s">
        <v>387</v>
      </c>
      <c r="K5" t="s">
        <v>80</v>
      </c>
      <c r="N5" t="s">
        <v>81</v>
      </c>
      <c r="T5" s="3" t="s">
        <v>44</v>
      </c>
      <c r="U5" s="3" t="s">
        <v>52</v>
      </c>
    </row>
    <row r="6" spans="1:21">
      <c r="A6" t="s">
        <v>60</v>
      </c>
      <c r="C6" t="s">
        <v>143</v>
      </c>
      <c r="D6" s="2"/>
      <c r="H6" t="s">
        <v>26</v>
      </c>
      <c r="I6" s="2" t="s">
        <v>99</v>
      </c>
      <c r="K6" t="s">
        <v>86</v>
      </c>
      <c r="N6" t="s">
        <v>42</v>
      </c>
      <c r="Q6" t="s">
        <v>118</v>
      </c>
      <c r="T6" s="3"/>
      <c r="U6" s="3"/>
    </row>
    <row r="7" spans="1:21">
      <c r="A7" t="s">
        <v>5</v>
      </c>
      <c r="I7" s="2" t="s">
        <v>125</v>
      </c>
      <c r="K7" t="s">
        <v>127</v>
      </c>
      <c r="N7" t="s">
        <v>129</v>
      </c>
      <c r="T7" s="3"/>
      <c r="U7" s="3"/>
    </row>
    <row r="8" spans="1:21">
      <c r="A8" t="s">
        <v>5</v>
      </c>
      <c r="I8" s="2" t="s">
        <v>126</v>
      </c>
      <c r="K8" t="s">
        <v>128</v>
      </c>
      <c r="N8" t="s">
        <v>130</v>
      </c>
      <c r="T8" s="3"/>
      <c r="U8" s="3"/>
    </row>
    <row r="9" spans="1:21">
      <c r="A9" t="s">
        <v>30</v>
      </c>
      <c r="C9" t="s">
        <v>115</v>
      </c>
      <c r="D9" s="2" t="s">
        <v>117</v>
      </c>
      <c r="K9" t="s">
        <v>291</v>
      </c>
      <c r="N9" t="s">
        <v>82</v>
      </c>
    </row>
    <row r="10" spans="1:21">
      <c r="A10" s="4" t="s">
        <v>29</v>
      </c>
      <c r="B10" s="4" t="s">
        <v>56</v>
      </c>
      <c r="H10" t="s">
        <v>26</v>
      </c>
      <c r="K10" t="s">
        <v>83</v>
      </c>
      <c r="N10" t="s">
        <v>45</v>
      </c>
      <c r="P10" t="s">
        <v>46</v>
      </c>
      <c r="Q10" t="s">
        <v>47</v>
      </c>
    </row>
    <row r="11" spans="1:21">
      <c r="A11" s="4" t="s">
        <v>29</v>
      </c>
      <c r="B11" s="4" t="s">
        <v>56</v>
      </c>
      <c r="I11" t="s">
        <v>139</v>
      </c>
      <c r="K11" t="s">
        <v>140</v>
      </c>
      <c r="N11" t="s">
        <v>141</v>
      </c>
    </row>
    <row r="12" spans="1:21">
      <c r="A12" t="s">
        <v>48</v>
      </c>
      <c r="K12" t="s">
        <v>84</v>
      </c>
      <c r="N12" t="s">
        <v>49</v>
      </c>
      <c r="P12" t="s">
        <v>51</v>
      </c>
      <c r="Q12" t="s">
        <v>50</v>
      </c>
    </row>
    <row r="13" spans="1:21">
      <c r="A13" s="4" t="s">
        <v>57</v>
      </c>
      <c r="B13" s="4" t="s">
        <v>36</v>
      </c>
      <c r="K13" t="s">
        <v>83</v>
      </c>
      <c r="N13" t="s">
        <v>61</v>
      </c>
      <c r="Q13" t="s">
        <v>44</v>
      </c>
    </row>
    <row r="14" spans="1:21">
      <c r="A14" s="4" t="s">
        <v>289</v>
      </c>
      <c r="K14" t="s">
        <v>291</v>
      </c>
      <c r="N14" t="s">
        <v>292</v>
      </c>
      <c r="Q14" t="s">
        <v>50</v>
      </c>
    </row>
    <row r="15" spans="1:21">
      <c r="A15" s="4" t="s">
        <v>290</v>
      </c>
      <c r="K15" t="s">
        <v>291</v>
      </c>
      <c r="N15" t="s">
        <v>293</v>
      </c>
      <c r="Q15" t="s">
        <v>50</v>
      </c>
    </row>
    <row r="16" spans="1:21">
      <c r="A16" t="s">
        <v>7</v>
      </c>
      <c r="C16" t="s">
        <v>388</v>
      </c>
      <c r="D16" t="s">
        <v>389</v>
      </c>
      <c r="K16" t="s">
        <v>8</v>
      </c>
      <c r="N16" t="s">
        <v>390</v>
      </c>
    </row>
    <row r="17" spans="1:14">
      <c r="A17" t="s">
        <v>36</v>
      </c>
      <c r="C17" t="s">
        <v>388</v>
      </c>
      <c r="D17" t="s">
        <v>389</v>
      </c>
      <c r="K17" t="s">
        <v>8</v>
      </c>
      <c r="N17" t="s">
        <v>391</v>
      </c>
    </row>
    <row r="18" spans="1:14">
      <c r="A18" s="4" t="s">
        <v>161</v>
      </c>
      <c r="D18" t="s">
        <v>397</v>
      </c>
      <c r="I18" t="s">
        <v>398</v>
      </c>
      <c r="K18" t="s">
        <v>80</v>
      </c>
      <c r="N18" t="s">
        <v>162</v>
      </c>
    </row>
  </sheetData>
  <mergeCells count="1">
    <mergeCell ref="T4:U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103</v>
      </c>
    </row>
    <row r="2" spans="3:11">
      <c r="C2" t="s">
        <v>104</v>
      </c>
      <c r="D2" t="s">
        <v>105</v>
      </c>
      <c r="E2" s="1" t="s">
        <v>2</v>
      </c>
      <c r="F2" t="s">
        <v>0</v>
      </c>
      <c r="G2" t="s">
        <v>58</v>
      </c>
      <c r="H2" t="s">
        <v>106</v>
      </c>
      <c r="I2" t="s">
        <v>107</v>
      </c>
      <c r="J2" t="s">
        <v>108</v>
      </c>
      <c r="K2" t="s">
        <v>10</v>
      </c>
    </row>
    <row r="3" spans="3:11">
      <c r="C3" t="s">
        <v>81</v>
      </c>
      <c r="D3" t="s">
        <v>70</v>
      </c>
      <c r="E3" s="7" t="s">
        <v>109</v>
      </c>
      <c r="F3" t="s">
        <v>110</v>
      </c>
      <c r="G3" t="s">
        <v>44</v>
      </c>
      <c r="I3" t="s">
        <v>111</v>
      </c>
      <c r="J3" t="s">
        <v>44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294</v>
      </c>
    </row>
    <row r="4" spans="1:19" ht="15" thickTop="1" thickBot="1">
      <c r="A4" s="6" t="s">
        <v>11</v>
      </c>
      <c r="B4" s="6" t="s">
        <v>12</v>
      </c>
      <c r="C4" s="6" t="s">
        <v>13</v>
      </c>
      <c r="D4" s="6" t="s">
        <v>17</v>
      </c>
      <c r="E4" s="6" t="s">
        <v>18</v>
      </c>
      <c r="F4" s="6" t="s">
        <v>19</v>
      </c>
      <c r="G4" s="6" t="s">
        <v>14</v>
      </c>
      <c r="H4" s="6" t="s">
        <v>15</v>
      </c>
      <c r="I4" s="6" t="s">
        <v>16</v>
      </c>
      <c r="J4" s="6" t="s">
        <v>0</v>
      </c>
      <c r="K4" s="6" t="s">
        <v>6</v>
      </c>
      <c r="L4" s="6" t="s">
        <v>23</v>
      </c>
      <c r="M4" s="6" t="s">
        <v>2</v>
      </c>
      <c r="N4" s="6" t="s">
        <v>1</v>
      </c>
      <c r="O4" s="6" t="s">
        <v>10</v>
      </c>
      <c r="P4" s="6" t="s">
        <v>58</v>
      </c>
      <c r="Q4" s="6" t="s">
        <v>106</v>
      </c>
      <c r="R4" s="6" t="s">
        <v>158</v>
      </c>
      <c r="S4" s="6" t="s">
        <v>159</v>
      </c>
    </row>
    <row r="5" spans="1:19">
      <c r="A5" t="s">
        <v>5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160</v>
      </c>
      <c r="M5" t="s">
        <v>192</v>
      </c>
      <c r="S5">
        <v>-1</v>
      </c>
    </row>
    <row r="6" spans="1:19">
      <c r="A6" t="s">
        <v>161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160</v>
      </c>
      <c r="M6" t="s">
        <v>193</v>
      </c>
      <c r="S6">
        <v>-1</v>
      </c>
    </row>
    <row r="10" spans="1:19" ht="17.25" thickBot="1">
      <c r="A10" s="5" t="s">
        <v>264</v>
      </c>
    </row>
    <row r="11" spans="1:19" ht="15" thickTop="1" thickBot="1">
      <c r="A11" s="6" t="s">
        <v>11</v>
      </c>
      <c r="B11" s="6" t="s">
        <v>12</v>
      </c>
      <c r="C11" s="6" t="s">
        <v>13</v>
      </c>
      <c r="D11" s="6" t="s">
        <v>17</v>
      </c>
      <c r="E11" s="6" t="s">
        <v>18</v>
      </c>
      <c r="F11" s="6" t="s">
        <v>19</v>
      </c>
      <c r="G11" s="6" t="s">
        <v>14</v>
      </c>
      <c r="H11" s="6" t="s">
        <v>15</v>
      </c>
      <c r="I11" s="6" t="s">
        <v>16</v>
      </c>
      <c r="J11" s="6" t="s">
        <v>0</v>
      </c>
      <c r="K11" s="6" t="s">
        <v>6</v>
      </c>
      <c r="L11" s="6" t="s">
        <v>23</v>
      </c>
      <c r="M11" s="6" t="s">
        <v>2</v>
      </c>
      <c r="N11" s="6" t="s">
        <v>1</v>
      </c>
      <c r="O11" s="6" t="s">
        <v>10</v>
      </c>
      <c r="P11" s="6" t="s">
        <v>58</v>
      </c>
      <c r="Q11" s="6" t="s">
        <v>106</v>
      </c>
      <c r="R11" s="6" t="s">
        <v>158</v>
      </c>
      <c r="S11" s="6" t="s">
        <v>159</v>
      </c>
    </row>
    <row r="12" spans="1:19">
      <c r="A12" t="s">
        <v>120</v>
      </c>
      <c r="B12" s="4" t="s">
        <v>278</v>
      </c>
    </row>
    <row r="13" spans="1:19">
      <c r="A13" t="s">
        <v>5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160</v>
      </c>
      <c r="M13" t="s">
        <v>273</v>
      </c>
      <c r="S13">
        <v>-1</v>
      </c>
    </row>
    <row r="14" spans="1:19">
      <c r="A14" t="s">
        <v>161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160</v>
      </c>
      <c r="M14" t="s">
        <v>274</v>
      </c>
      <c r="S14">
        <v>-1</v>
      </c>
    </row>
    <row r="15" spans="1:19">
      <c r="A15" t="s">
        <v>120</v>
      </c>
      <c r="B15" s="4" t="s">
        <v>275</v>
      </c>
    </row>
    <row r="16" spans="1:19">
      <c r="A16" t="s">
        <v>5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160</v>
      </c>
      <c r="M16" t="s">
        <v>281</v>
      </c>
      <c r="S16">
        <v>-1</v>
      </c>
    </row>
    <row r="17" spans="1:19">
      <c r="A17" t="s">
        <v>161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160</v>
      </c>
      <c r="M17" t="s">
        <v>282</v>
      </c>
      <c r="S17">
        <v>-1</v>
      </c>
    </row>
    <row r="18" spans="1:19">
      <c r="A18" t="s">
        <v>120</v>
      </c>
      <c r="B18" s="4" t="s">
        <v>276</v>
      </c>
    </row>
    <row r="19" spans="1:19">
      <c r="A19" t="s">
        <v>5</v>
      </c>
      <c r="F19" t="str">
        <f>H19</f>
        <v>hydrogen</v>
      </c>
      <c r="H19" t="s">
        <v>185</v>
      </c>
      <c r="J19" t="s">
        <v>160</v>
      </c>
      <c r="M19" t="s">
        <v>273</v>
      </c>
      <c r="S19">
        <v>-1</v>
      </c>
    </row>
    <row r="20" spans="1:19">
      <c r="A20" t="s">
        <v>161</v>
      </c>
      <c r="F20" t="s">
        <v>185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160</v>
      </c>
      <c r="M20" t="s">
        <v>283</v>
      </c>
      <c r="S20">
        <v>-1</v>
      </c>
    </row>
    <row r="23" spans="1:19">
      <c r="A23" t="s">
        <v>161</v>
      </c>
      <c r="E23" t="s">
        <v>185</v>
      </c>
      <c r="H23" t="s">
        <v>185</v>
      </c>
      <c r="J23" t="s">
        <v>160</v>
      </c>
      <c r="M23" t="s">
        <v>277</v>
      </c>
      <c r="S23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24</v>
      </c>
    </row>
    <row r="2" spans="1:3">
      <c r="A2" t="s">
        <v>25</v>
      </c>
      <c r="B2" t="s">
        <v>1</v>
      </c>
      <c r="C2" t="s">
        <v>10</v>
      </c>
    </row>
    <row r="3" spans="1:3">
      <c r="A3" t="s">
        <v>87</v>
      </c>
      <c r="B3" t="str">
        <f>A3</f>
        <v>CCGT</v>
      </c>
    </row>
    <row r="4" spans="1:3">
      <c r="A4" t="s">
        <v>88</v>
      </c>
      <c r="B4" t="str">
        <f t="shared" ref="B4:B47" si="0">A4</f>
        <v>Int Comb</v>
      </c>
    </row>
    <row r="5" spans="1:3">
      <c r="A5" t="s">
        <v>89</v>
      </c>
      <c r="B5" t="str">
        <f t="shared" si="0"/>
        <v>Gas_Oil Steam</v>
      </c>
    </row>
    <row r="6" spans="1:3">
      <c r="A6" t="s">
        <v>90</v>
      </c>
      <c r="B6" t="str">
        <f t="shared" si="0"/>
        <v>OCGT (Peaker)</v>
      </c>
    </row>
    <row r="7" spans="1:3">
      <c r="A7" t="s">
        <v>91</v>
      </c>
      <c r="B7" t="str">
        <f t="shared" si="0"/>
        <v>Subcritical Coal</v>
      </c>
    </row>
    <row r="8" spans="1:3">
      <c r="A8" t="s">
        <v>92</v>
      </c>
      <c r="B8" t="str">
        <f t="shared" si="0"/>
        <v>Supercritical Coal</v>
      </c>
    </row>
    <row r="9" spans="1:3">
      <c r="A9" t="s">
        <v>93</v>
      </c>
      <c r="B9" t="str">
        <f t="shared" si="0"/>
        <v>IGCC</v>
      </c>
    </row>
    <row r="10" spans="1:3">
      <c r="A10" t="s">
        <v>195</v>
      </c>
      <c r="B10" t="str">
        <f t="shared" si="0"/>
        <v>Bio Power</v>
      </c>
    </row>
    <row r="11" spans="1:3">
      <c r="A11" t="s">
        <v>196</v>
      </c>
      <c r="B11" t="str">
        <f t="shared" si="0"/>
        <v>Solar Util</v>
      </c>
    </row>
    <row r="12" spans="1:3">
      <c r="A12" t="s">
        <v>94</v>
      </c>
      <c r="B12" t="s">
        <v>279</v>
      </c>
    </row>
    <row r="13" spans="1:3">
      <c r="A13" t="s">
        <v>95</v>
      </c>
      <c r="B13" t="s">
        <v>280</v>
      </c>
    </row>
    <row r="14" spans="1:3">
      <c r="A14" t="s">
        <v>197</v>
      </c>
      <c r="B14" t="str">
        <f t="shared" si="0"/>
        <v>Geothermal P</v>
      </c>
    </row>
    <row r="15" spans="1:3">
      <c r="A15" t="s">
        <v>201</v>
      </c>
      <c r="B15" t="str">
        <f t="shared" si="0"/>
        <v>Hydro Dam</v>
      </c>
    </row>
    <row r="16" spans="1:3">
      <c r="A16" t="s">
        <v>198</v>
      </c>
      <c r="B16" t="str">
        <f t="shared" si="0"/>
        <v>Hydro RoR</v>
      </c>
    </row>
    <row r="17" spans="1:2">
      <c r="A17" t="s">
        <v>199</v>
      </c>
      <c r="B17" t="str">
        <f t="shared" si="0"/>
        <v>Nuclear P</v>
      </c>
    </row>
    <row r="18" spans="1:2">
      <c r="A18" t="s">
        <v>200</v>
      </c>
      <c r="B18" t="str">
        <f t="shared" si="0"/>
        <v>Nuclear SMR</v>
      </c>
    </row>
    <row r="19" spans="1:2">
      <c r="A19" t="s">
        <v>96</v>
      </c>
      <c r="B19" t="str">
        <f t="shared" si="0"/>
        <v>Hydro pumped stg</v>
      </c>
    </row>
    <row r="20" spans="1:2">
      <c r="A20" t="s">
        <v>97</v>
      </c>
      <c r="B20" t="str">
        <f t="shared" si="0"/>
        <v>Util Batt Stg</v>
      </c>
    </row>
    <row r="21" spans="1:2">
      <c r="A21" t="s">
        <v>98</v>
      </c>
      <c r="B21" t="str">
        <f t="shared" si="0"/>
        <v>EV Batt</v>
      </c>
    </row>
    <row r="22" spans="1:2">
      <c r="A22" t="s">
        <v>162</v>
      </c>
      <c r="B22" t="str">
        <f t="shared" si="0"/>
        <v>Demand</v>
      </c>
    </row>
    <row r="23" spans="1:2">
      <c r="A23" t="s">
        <v>228</v>
      </c>
      <c r="B23" t="str">
        <f t="shared" si="0"/>
        <v>Transformers Dn</v>
      </c>
    </row>
    <row r="24" spans="1:2">
      <c r="A24" t="s">
        <v>229</v>
      </c>
      <c r="B24" t="str">
        <f t="shared" si="0"/>
        <v>Transformers Up</v>
      </c>
    </row>
    <row r="25" spans="1:2">
      <c r="A25" t="s">
        <v>205</v>
      </c>
      <c r="B25" t="str">
        <f t="shared" si="0"/>
        <v>Grid-220V</v>
      </c>
    </row>
    <row r="26" spans="1:2">
      <c r="A26" t="s">
        <v>206</v>
      </c>
      <c r="B26" t="str">
        <f t="shared" si="0"/>
        <v>Grid-400V</v>
      </c>
    </row>
    <row r="27" spans="1:2">
      <c r="A27" t="s">
        <v>207</v>
      </c>
      <c r="B27" t="str">
        <f t="shared" si="0"/>
        <v>Grid-380V</v>
      </c>
    </row>
    <row r="28" spans="1:2">
      <c r="A28" t="s">
        <v>208</v>
      </c>
      <c r="B28" t="str">
        <f t="shared" si="0"/>
        <v>Grid-225V</v>
      </c>
    </row>
    <row r="29" spans="1:2">
      <c r="A29" t="s">
        <v>209</v>
      </c>
      <c r="B29" t="str">
        <f t="shared" si="0"/>
        <v>Grid-330V</v>
      </c>
    </row>
    <row r="30" spans="1:2">
      <c r="A30" t="s">
        <v>210</v>
      </c>
      <c r="B30" t="str">
        <f t="shared" si="0"/>
        <v>Grid-275V</v>
      </c>
    </row>
    <row r="31" spans="1:2">
      <c r="A31" t="s">
        <v>211</v>
      </c>
      <c r="B31" t="str">
        <f t="shared" si="0"/>
        <v>Grid-420V</v>
      </c>
    </row>
    <row r="32" spans="1:2">
      <c r="A32" t="s">
        <v>212</v>
      </c>
      <c r="B32" t="str">
        <f t="shared" si="0"/>
        <v>Grid-300V</v>
      </c>
    </row>
    <row r="33" spans="1:2">
      <c r="A33" t="s">
        <v>213</v>
      </c>
      <c r="B33" t="str">
        <f t="shared" si="0"/>
        <v>Grid-500V</v>
      </c>
    </row>
    <row r="34" spans="1:2">
      <c r="A34" t="s">
        <v>214</v>
      </c>
      <c r="B34" t="str">
        <f t="shared" si="0"/>
        <v>Grid-750V</v>
      </c>
    </row>
    <row r="35" spans="1:2">
      <c r="A35" t="s">
        <v>215</v>
      </c>
      <c r="B35" t="str">
        <f t="shared" si="0"/>
        <v>Grid-450V</v>
      </c>
    </row>
    <row r="36" spans="1:2">
      <c r="A36" t="s">
        <v>216</v>
      </c>
      <c r="B36" t="str">
        <f t="shared" si="0"/>
        <v>Grid-515V</v>
      </c>
    </row>
    <row r="37" spans="1:2">
      <c r="A37" t="s">
        <v>217</v>
      </c>
      <c r="B37" t="str">
        <f t="shared" si="0"/>
        <v>Grid-525V</v>
      </c>
    </row>
    <row r="38" spans="1:2">
      <c r="A38" t="s">
        <v>218</v>
      </c>
      <c r="B38" t="str">
        <f t="shared" si="0"/>
        <v>Grid-320V</v>
      </c>
    </row>
    <row r="39" spans="1:2">
      <c r="A39" t="s">
        <v>219</v>
      </c>
      <c r="B39" t="str">
        <f t="shared" si="0"/>
        <v>Grid-150V</v>
      </c>
    </row>
    <row r="40" spans="1:2">
      <c r="A40" t="s">
        <v>220</v>
      </c>
      <c r="B40" t="str">
        <f t="shared" si="0"/>
        <v>Grid-270V</v>
      </c>
    </row>
    <row r="41" spans="1:2">
      <c r="A41" t="s">
        <v>221</v>
      </c>
      <c r="B41" t="str">
        <f t="shared" si="0"/>
        <v>Grid-350V</v>
      </c>
    </row>
    <row r="42" spans="1:2">
      <c r="A42" t="s">
        <v>222</v>
      </c>
      <c r="B42" t="str">
        <f t="shared" si="0"/>
        <v>Grid-250V</v>
      </c>
    </row>
    <row r="43" spans="1:2">
      <c r="A43" t="s">
        <v>223</v>
      </c>
      <c r="B43" t="str">
        <f t="shared" si="0"/>
        <v>Grid-200V</v>
      </c>
    </row>
    <row r="44" spans="1:2">
      <c r="A44" t="s">
        <v>224</v>
      </c>
      <c r="B44" t="str">
        <f t="shared" si="0"/>
        <v>Grid-236V</v>
      </c>
    </row>
    <row r="45" spans="1:2">
      <c r="A45" t="s">
        <v>225</v>
      </c>
      <c r="B45" t="str">
        <f t="shared" si="0"/>
        <v>Grid-600V</v>
      </c>
    </row>
    <row r="46" spans="1:2">
      <c r="A46" t="s">
        <v>226</v>
      </c>
      <c r="B46" t="str">
        <f t="shared" si="0"/>
        <v>Aggregators</v>
      </c>
    </row>
    <row r="47" spans="1:2">
      <c r="A47" t="s">
        <v>227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71</v>
      </c>
    </row>
    <row r="2" spans="1:3">
      <c r="A2" t="s">
        <v>72</v>
      </c>
      <c r="B2" t="s">
        <v>1</v>
      </c>
      <c r="C2" t="s">
        <v>10</v>
      </c>
    </row>
    <row r="3" spans="1:3">
      <c r="A3" t="s">
        <v>163</v>
      </c>
      <c r="B3" t="str">
        <f>A3</f>
        <v>Elec-220V</v>
      </c>
    </row>
    <row r="4" spans="1:3">
      <c r="A4" t="s">
        <v>164</v>
      </c>
      <c r="B4" t="str">
        <f t="shared" ref="B4:B23" si="0">A4</f>
        <v>Elec-400V</v>
      </c>
    </row>
    <row r="5" spans="1:3">
      <c r="A5" t="s">
        <v>165</v>
      </c>
      <c r="B5" t="str">
        <f t="shared" si="0"/>
        <v>Elec-380V</v>
      </c>
    </row>
    <row r="6" spans="1:3">
      <c r="A6" t="s">
        <v>166</v>
      </c>
      <c r="B6" t="str">
        <f t="shared" si="0"/>
        <v>Elec-225V</v>
      </c>
    </row>
    <row r="7" spans="1:3">
      <c r="A7" t="s">
        <v>167</v>
      </c>
      <c r="B7" t="str">
        <f t="shared" si="0"/>
        <v>Elec-330V</v>
      </c>
    </row>
    <row r="8" spans="1:3">
      <c r="A8" t="s">
        <v>168</v>
      </c>
      <c r="B8" t="str">
        <f t="shared" si="0"/>
        <v>Elec-275V</v>
      </c>
    </row>
    <row r="9" spans="1:3">
      <c r="A9" t="s">
        <v>169</v>
      </c>
      <c r="B9" t="str">
        <f t="shared" si="0"/>
        <v>Elec-420V</v>
      </c>
    </row>
    <row r="10" spans="1:3">
      <c r="A10" t="s">
        <v>170</v>
      </c>
      <c r="B10" t="str">
        <f t="shared" si="0"/>
        <v>Elec-300V</v>
      </c>
    </row>
    <row r="11" spans="1:3">
      <c r="A11" t="s">
        <v>171</v>
      </c>
      <c r="B11" t="str">
        <f t="shared" si="0"/>
        <v>Elec-500V</v>
      </c>
    </row>
    <row r="12" spans="1:3">
      <c r="A12" t="s">
        <v>172</v>
      </c>
      <c r="B12" t="str">
        <f t="shared" si="0"/>
        <v>Elec-750V</v>
      </c>
    </row>
    <row r="13" spans="1:3">
      <c r="A13" t="s">
        <v>173</v>
      </c>
      <c r="B13" t="str">
        <f t="shared" si="0"/>
        <v>Elec-450V</v>
      </c>
    </row>
    <row r="14" spans="1:3">
      <c r="A14" t="s">
        <v>174</v>
      </c>
      <c r="B14" t="str">
        <f t="shared" si="0"/>
        <v>Elec-515V</v>
      </c>
    </row>
    <row r="15" spans="1:3">
      <c r="A15" t="s">
        <v>175</v>
      </c>
      <c r="B15" t="str">
        <f t="shared" si="0"/>
        <v>Elec-525V</v>
      </c>
    </row>
    <row r="16" spans="1:3">
      <c r="A16" t="s">
        <v>176</v>
      </c>
      <c r="B16" t="str">
        <f t="shared" si="0"/>
        <v>Elec-320V</v>
      </c>
    </row>
    <row r="17" spans="1:2">
      <c r="A17" t="s">
        <v>177</v>
      </c>
      <c r="B17" t="str">
        <f t="shared" si="0"/>
        <v>Elec-150V</v>
      </c>
    </row>
    <row r="18" spans="1:2">
      <c r="A18" t="s">
        <v>178</v>
      </c>
      <c r="B18" t="str">
        <f t="shared" si="0"/>
        <v>Elec-270V</v>
      </c>
    </row>
    <row r="19" spans="1:2">
      <c r="A19" t="s">
        <v>179</v>
      </c>
      <c r="B19" t="str">
        <f t="shared" si="0"/>
        <v>Elec-350V</v>
      </c>
    </row>
    <row r="20" spans="1:2">
      <c r="A20" t="s">
        <v>180</v>
      </c>
      <c r="B20" t="str">
        <f t="shared" si="0"/>
        <v>Elec-250V</v>
      </c>
    </row>
    <row r="21" spans="1:2">
      <c r="A21" t="s">
        <v>181</v>
      </c>
      <c r="B21" t="str">
        <f t="shared" si="0"/>
        <v>Elec-200V</v>
      </c>
    </row>
    <row r="22" spans="1:2">
      <c r="A22" t="s">
        <v>182</v>
      </c>
      <c r="B22" t="str">
        <f t="shared" si="0"/>
        <v>Elec-236V</v>
      </c>
    </row>
    <row r="23" spans="1:2">
      <c r="A23" t="s">
        <v>183</v>
      </c>
      <c r="B23" t="str">
        <f t="shared" si="0"/>
        <v>Elec-600V</v>
      </c>
    </row>
    <row r="24" spans="1:2">
      <c r="A24" t="s">
        <v>202</v>
      </c>
      <c r="B24" t="s">
        <v>275</v>
      </c>
    </row>
    <row r="25" spans="1:2">
      <c r="A25" t="s">
        <v>203</v>
      </c>
      <c r="B25" t="s">
        <v>275</v>
      </c>
    </row>
    <row r="26" spans="1:2">
      <c r="A26" t="s">
        <v>185</v>
      </c>
      <c r="B26" t="str">
        <f t="shared" ref="B26" si="1">A26</f>
        <v>hydrogen</v>
      </c>
    </row>
    <row r="27" spans="1:2">
      <c r="A27" t="s">
        <v>187</v>
      </c>
      <c r="B27" t="s">
        <v>275</v>
      </c>
    </row>
    <row r="28" spans="1:2">
      <c r="A28" t="s">
        <v>188</v>
      </c>
      <c r="B28" t="str">
        <f t="shared" ref="B28:B35" si="2">A28</f>
        <v>buildings</v>
      </c>
    </row>
    <row r="29" spans="1:2">
      <c r="A29" t="s">
        <v>189</v>
      </c>
      <c r="B29" t="str">
        <f t="shared" si="2"/>
        <v>industry</v>
      </c>
    </row>
    <row r="30" spans="1:2">
      <c r="A30" t="s">
        <v>190</v>
      </c>
      <c r="B30" t="str">
        <f t="shared" si="2"/>
        <v>transport</v>
      </c>
    </row>
    <row r="31" spans="1:2">
      <c r="A31" t="s">
        <v>191</v>
      </c>
      <c r="B31" t="str">
        <f t="shared" si="2"/>
        <v>EVs</v>
      </c>
    </row>
    <row r="32" spans="1:2">
      <c r="A32" s="7" t="s">
        <v>194</v>
      </c>
      <c r="B32" s="7" t="str">
        <f t="shared" si="2"/>
        <v>fossil</v>
      </c>
    </row>
    <row r="33" spans="1:2">
      <c r="A33" s="7" t="s">
        <v>204</v>
      </c>
      <c r="B33" s="7" t="str">
        <f t="shared" si="2"/>
        <v>renewable</v>
      </c>
    </row>
    <row r="34" spans="1:2">
      <c r="A34" s="7" t="s">
        <v>184</v>
      </c>
      <c r="B34" s="7" t="str">
        <f t="shared" si="2"/>
        <v>bioenergy</v>
      </c>
    </row>
    <row r="35" spans="1:2">
      <c r="A35" s="7" t="s">
        <v>186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27</v>
      </c>
    </row>
    <row r="2" spans="1:3">
      <c r="A2" t="s">
        <v>28</v>
      </c>
      <c r="B2" t="s">
        <v>1</v>
      </c>
      <c r="C2" t="s">
        <v>10</v>
      </c>
    </row>
    <row r="3" spans="1:3">
      <c r="A3" t="s">
        <v>184</v>
      </c>
      <c r="B3" t="str">
        <f>A3</f>
        <v>bioenergy</v>
      </c>
    </row>
    <row r="4" spans="1:3">
      <c r="A4" t="s">
        <v>136</v>
      </c>
      <c r="B4" t="str">
        <f t="shared" ref="B4:B11" si="0">A4</f>
        <v>coal</v>
      </c>
    </row>
    <row r="5" spans="1:3">
      <c r="A5" t="s">
        <v>137</v>
      </c>
      <c r="B5" t="str">
        <f t="shared" si="0"/>
        <v>gas</v>
      </c>
    </row>
    <row r="6" spans="1:3">
      <c r="A6" t="s">
        <v>265</v>
      </c>
      <c r="B6" t="str">
        <f t="shared" si="0"/>
        <v>geothermal</v>
      </c>
    </row>
    <row r="7" spans="1:3">
      <c r="A7" t="s">
        <v>266</v>
      </c>
      <c r="B7" t="str">
        <f t="shared" si="0"/>
        <v>hydro</v>
      </c>
    </row>
    <row r="8" spans="1:3">
      <c r="A8" t="s">
        <v>185</v>
      </c>
      <c r="B8" t="str">
        <f t="shared" si="0"/>
        <v>hydrogen</v>
      </c>
    </row>
    <row r="9" spans="1:3">
      <c r="A9" t="s">
        <v>186</v>
      </c>
      <c r="B9" t="str">
        <f t="shared" si="0"/>
        <v>nuclear</v>
      </c>
    </row>
    <row r="10" spans="1:3">
      <c r="A10" t="s">
        <v>267</v>
      </c>
      <c r="B10" t="str">
        <f t="shared" si="0"/>
        <v>oil</v>
      </c>
    </row>
    <row r="11" spans="1:3">
      <c r="A11" t="s">
        <v>268</v>
      </c>
      <c r="B11" t="str">
        <f t="shared" si="0"/>
        <v>solar</v>
      </c>
    </row>
    <row r="12" spans="1:3">
      <c r="A12" t="s">
        <v>269</v>
      </c>
      <c r="B12" t="s">
        <v>271</v>
      </c>
    </row>
    <row r="13" spans="1:3">
      <c r="A13" t="s">
        <v>270</v>
      </c>
      <c r="B13" t="s">
        <v>272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10"/>
  <sheetViews>
    <sheetView workbookViewId="0">
      <selection activeCell="A2" sqref="A2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156</v>
      </c>
    </row>
    <row r="2" spans="1:3">
      <c r="A2" t="s">
        <v>53</v>
      </c>
      <c r="B2" t="s">
        <v>54</v>
      </c>
      <c r="C2" t="s">
        <v>55</v>
      </c>
    </row>
    <row r="3" spans="1:3">
      <c r="A3" t="s">
        <v>148</v>
      </c>
      <c r="B3" t="s">
        <v>145</v>
      </c>
      <c r="C3" t="s">
        <v>146</v>
      </c>
    </row>
    <row r="4" spans="1:3">
      <c r="A4" t="s">
        <v>148</v>
      </c>
      <c r="B4" t="s">
        <v>144</v>
      </c>
      <c r="C4" t="s">
        <v>147</v>
      </c>
    </row>
    <row r="5" spans="1:3">
      <c r="A5" t="s">
        <v>149</v>
      </c>
      <c r="B5" t="s">
        <v>150</v>
      </c>
      <c r="C5" t="str">
        <f>LEFT(B5,2)</f>
        <v>S1</v>
      </c>
    </row>
    <row r="6" spans="1:3">
      <c r="A6" t="s">
        <v>149</v>
      </c>
      <c r="B6" t="s">
        <v>151</v>
      </c>
      <c r="C6" t="str">
        <f t="shared" ref="C6:C10" si="0">LEFT(B6,2)</f>
        <v>S2</v>
      </c>
    </row>
    <row r="7" spans="1:3">
      <c r="A7" t="s">
        <v>149</v>
      </c>
      <c r="B7" t="s">
        <v>152</v>
      </c>
      <c r="C7" t="str">
        <f t="shared" si="0"/>
        <v>S3</v>
      </c>
    </row>
    <row r="8" spans="1:3">
      <c r="A8" t="s">
        <v>149</v>
      </c>
      <c r="B8" t="s">
        <v>153</v>
      </c>
      <c r="C8" t="str">
        <f t="shared" si="0"/>
        <v>S4</v>
      </c>
    </row>
    <row r="9" spans="1:3">
      <c r="A9" t="s">
        <v>149</v>
      </c>
      <c r="B9" t="s">
        <v>154</v>
      </c>
      <c r="C9" t="str">
        <f t="shared" si="0"/>
        <v>S5</v>
      </c>
    </row>
    <row r="10" spans="1:3">
      <c r="A10" t="s">
        <v>149</v>
      </c>
      <c r="B10" t="s">
        <v>155</v>
      </c>
      <c r="C10" t="str">
        <f t="shared" si="0"/>
        <v>S6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59"/>
  <sheetViews>
    <sheetView workbookViewId="0">
      <pane ySplit="2" topLeftCell="A39" activePane="bottomLeft" state="frozen"/>
      <selection pane="bottomLeft" activeCell="A56" sqref="A56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64</v>
      </c>
    </row>
    <row r="2" spans="1:7" ht="15" thickTop="1" thickBot="1">
      <c r="A2" s="6" t="s">
        <v>53</v>
      </c>
      <c r="B2" s="6" t="s">
        <v>54</v>
      </c>
      <c r="C2" s="6" t="s">
        <v>55</v>
      </c>
      <c r="D2" s="6" t="s">
        <v>65</v>
      </c>
      <c r="E2" s="6" t="s">
        <v>66</v>
      </c>
      <c r="F2" s="6" t="s">
        <v>67</v>
      </c>
      <c r="G2" s="6" t="s">
        <v>68</v>
      </c>
    </row>
    <row r="3" spans="1:7">
      <c r="A3" t="s">
        <v>119</v>
      </c>
      <c r="B3" t="s">
        <v>120</v>
      </c>
      <c r="C3" t="s">
        <v>121</v>
      </c>
    </row>
    <row r="4" spans="1:7">
      <c r="A4" t="s">
        <v>119</v>
      </c>
      <c r="B4" t="s">
        <v>122</v>
      </c>
      <c r="C4" t="s">
        <v>123</v>
      </c>
    </row>
    <row r="5" spans="1:7">
      <c r="A5" t="s">
        <v>69</v>
      </c>
      <c r="C5" t="str">
        <f>D5</f>
        <v>CCGT</v>
      </c>
      <c r="D5" t="s">
        <v>87</v>
      </c>
    </row>
    <row r="6" spans="1:7">
      <c r="A6" t="s">
        <v>69</v>
      </c>
      <c r="C6" t="str">
        <f t="shared" ref="C6:C49" si="0">D6</f>
        <v>Int Comb</v>
      </c>
      <c r="D6" t="s">
        <v>88</v>
      </c>
    </row>
    <row r="7" spans="1:7">
      <c r="A7" t="s">
        <v>69</v>
      </c>
      <c r="C7" t="str">
        <f t="shared" si="0"/>
        <v>Gas_Oil Steam</v>
      </c>
      <c r="D7" t="s">
        <v>89</v>
      </c>
    </row>
    <row r="8" spans="1:7">
      <c r="A8" t="s">
        <v>69</v>
      </c>
      <c r="C8" t="str">
        <f t="shared" si="0"/>
        <v>OCGT (Peaker)</v>
      </c>
      <c r="D8" t="s">
        <v>90</v>
      </c>
    </row>
    <row r="9" spans="1:7">
      <c r="A9" t="s">
        <v>69</v>
      </c>
      <c r="C9" t="str">
        <f t="shared" si="0"/>
        <v>Subcritical Coal</v>
      </c>
      <c r="D9" t="s">
        <v>91</v>
      </c>
    </row>
    <row r="10" spans="1:7">
      <c r="A10" t="s">
        <v>69</v>
      </c>
      <c r="C10" t="str">
        <f t="shared" si="0"/>
        <v>Supercritical Coal</v>
      </c>
      <c r="D10" t="s">
        <v>92</v>
      </c>
    </row>
    <row r="11" spans="1:7">
      <c r="A11" t="s">
        <v>69</v>
      </c>
      <c r="C11" t="str">
        <f t="shared" si="0"/>
        <v>IGCC</v>
      </c>
      <c r="D11" t="s">
        <v>93</v>
      </c>
    </row>
    <row r="12" spans="1:7">
      <c r="A12" t="s">
        <v>69</v>
      </c>
      <c r="C12" t="str">
        <f t="shared" si="0"/>
        <v>Bio Power</v>
      </c>
      <c r="D12" t="s">
        <v>195</v>
      </c>
    </row>
    <row r="13" spans="1:7">
      <c r="A13" t="s">
        <v>69</v>
      </c>
      <c r="C13" t="str">
        <f t="shared" si="0"/>
        <v>Solar Util</v>
      </c>
      <c r="D13" t="s">
        <v>196</v>
      </c>
    </row>
    <row r="14" spans="1:7">
      <c r="A14" t="s">
        <v>69</v>
      </c>
      <c r="C14" t="str">
        <f t="shared" si="0"/>
        <v>Wind onshore</v>
      </c>
      <c r="D14" t="s">
        <v>94</v>
      </c>
    </row>
    <row r="15" spans="1:7">
      <c r="A15" t="s">
        <v>69</v>
      </c>
      <c r="C15" t="str">
        <f t="shared" si="0"/>
        <v>Wind offshore</v>
      </c>
      <c r="D15" t="s">
        <v>95</v>
      </c>
    </row>
    <row r="16" spans="1:7">
      <c r="A16" t="s">
        <v>69</v>
      </c>
      <c r="C16" t="str">
        <f t="shared" si="0"/>
        <v>Geothermal P</v>
      </c>
      <c r="D16" t="s">
        <v>197</v>
      </c>
    </row>
    <row r="17" spans="1:4">
      <c r="A17" t="s">
        <v>69</v>
      </c>
      <c r="C17" t="str">
        <f t="shared" si="0"/>
        <v>Hydro Dam</v>
      </c>
      <c r="D17" t="s">
        <v>201</v>
      </c>
    </row>
    <row r="18" spans="1:4">
      <c r="A18" t="s">
        <v>69</v>
      </c>
      <c r="C18" t="str">
        <f t="shared" si="0"/>
        <v>Hydro RoR</v>
      </c>
      <c r="D18" t="s">
        <v>198</v>
      </c>
    </row>
    <row r="19" spans="1:4">
      <c r="A19" t="s">
        <v>69</v>
      </c>
      <c r="C19" t="str">
        <f t="shared" si="0"/>
        <v>Nuclear P</v>
      </c>
      <c r="D19" t="s">
        <v>199</v>
      </c>
    </row>
    <row r="20" spans="1:4">
      <c r="A20" t="s">
        <v>69</v>
      </c>
      <c r="C20" t="str">
        <f t="shared" si="0"/>
        <v>Nuclear SMR</v>
      </c>
      <c r="D20" t="s">
        <v>200</v>
      </c>
    </row>
    <row r="21" spans="1:4">
      <c r="A21" t="s">
        <v>69</v>
      </c>
      <c r="C21" t="str">
        <f t="shared" si="0"/>
        <v>Hydro pumped stg</v>
      </c>
      <c r="D21" t="s">
        <v>96</v>
      </c>
    </row>
    <row r="22" spans="1:4">
      <c r="A22" t="s">
        <v>69</v>
      </c>
      <c r="C22" t="str">
        <f t="shared" si="0"/>
        <v>Util Batt Stg</v>
      </c>
      <c r="D22" t="s">
        <v>97</v>
      </c>
    </row>
    <row r="23" spans="1:4">
      <c r="A23" t="s">
        <v>69</v>
      </c>
      <c r="C23" t="str">
        <f t="shared" si="0"/>
        <v>EV Batt</v>
      </c>
      <c r="D23" t="s">
        <v>98</v>
      </c>
    </row>
    <row r="24" spans="1:4">
      <c r="A24" t="s">
        <v>69</v>
      </c>
      <c r="C24" t="str">
        <f t="shared" si="0"/>
        <v>Demand</v>
      </c>
      <c r="D24" t="s">
        <v>162</v>
      </c>
    </row>
    <row r="25" spans="1:4">
      <c r="A25" t="s">
        <v>69</v>
      </c>
      <c r="C25" t="str">
        <f t="shared" si="0"/>
        <v>Transformers Dn</v>
      </c>
      <c r="D25" t="s">
        <v>228</v>
      </c>
    </row>
    <row r="26" spans="1:4">
      <c r="A26" t="s">
        <v>69</v>
      </c>
      <c r="C26" t="str">
        <f t="shared" si="0"/>
        <v>Transformers Up</v>
      </c>
      <c r="D26" t="s">
        <v>229</v>
      </c>
    </row>
    <row r="27" spans="1:4">
      <c r="A27" t="s">
        <v>69</v>
      </c>
      <c r="C27" t="str">
        <f t="shared" si="0"/>
        <v>Grid-220V</v>
      </c>
      <c r="D27" t="s">
        <v>205</v>
      </c>
    </row>
    <row r="28" spans="1:4">
      <c r="A28" t="s">
        <v>69</v>
      </c>
      <c r="C28" t="str">
        <f t="shared" si="0"/>
        <v>Grid-400V</v>
      </c>
      <c r="D28" t="s">
        <v>206</v>
      </c>
    </row>
    <row r="29" spans="1:4">
      <c r="A29" t="s">
        <v>69</v>
      </c>
      <c r="C29" t="str">
        <f t="shared" si="0"/>
        <v>Grid-380V</v>
      </c>
      <c r="D29" t="s">
        <v>207</v>
      </c>
    </row>
    <row r="30" spans="1:4">
      <c r="A30" t="s">
        <v>69</v>
      </c>
      <c r="C30" t="str">
        <f t="shared" si="0"/>
        <v>Grid-225V</v>
      </c>
      <c r="D30" t="s">
        <v>208</v>
      </c>
    </row>
    <row r="31" spans="1:4">
      <c r="A31" t="s">
        <v>69</v>
      </c>
      <c r="C31" t="str">
        <f t="shared" si="0"/>
        <v>Grid-330V</v>
      </c>
      <c r="D31" t="s">
        <v>209</v>
      </c>
    </row>
    <row r="32" spans="1:4">
      <c r="A32" t="s">
        <v>69</v>
      </c>
      <c r="C32" t="str">
        <f t="shared" si="0"/>
        <v>Grid-275V</v>
      </c>
      <c r="D32" t="s">
        <v>210</v>
      </c>
    </row>
    <row r="33" spans="1:4">
      <c r="A33" t="s">
        <v>69</v>
      </c>
      <c r="C33" t="str">
        <f t="shared" si="0"/>
        <v>Grid-420V</v>
      </c>
      <c r="D33" t="s">
        <v>211</v>
      </c>
    </row>
    <row r="34" spans="1:4">
      <c r="A34" t="s">
        <v>69</v>
      </c>
      <c r="C34" t="str">
        <f t="shared" si="0"/>
        <v>Grid-300V</v>
      </c>
      <c r="D34" t="s">
        <v>212</v>
      </c>
    </row>
    <row r="35" spans="1:4">
      <c r="A35" t="s">
        <v>69</v>
      </c>
      <c r="C35" t="str">
        <f t="shared" si="0"/>
        <v>Grid-500V</v>
      </c>
      <c r="D35" t="s">
        <v>213</v>
      </c>
    </row>
    <row r="36" spans="1:4">
      <c r="A36" t="s">
        <v>69</v>
      </c>
      <c r="C36" t="str">
        <f t="shared" si="0"/>
        <v>Grid-750V</v>
      </c>
      <c r="D36" t="s">
        <v>214</v>
      </c>
    </row>
    <row r="37" spans="1:4">
      <c r="A37" t="s">
        <v>69</v>
      </c>
      <c r="C37" t="str">
        <f t="shared" si="0"/>
        <v>Grid-450V</v>
      </c>
      <c r="D37" t="s">
        <v>215</v>
      </c>
    </row>
    <row r="38" spans="1:4">
      <c r="A38" t="s">
        <v>69</v>
      </c>
      <c r="C38" t="str">
        <f t="shared" si="0"/>
        <v>Grid-515V</v>
      </c>
      <c r="D38" t="s">
        <v>216</v>
      </c>
    </row>
    <row r="39" spans="1:4">
      <c r="A39" t="s">
        <v>69</v>
      </c>
      <c r="C39" t="str">
        <f t="shared" si="0"/>
        <v>Grid-525V</v>
      </c>
      <c r="D39" t="s">
        <v>217</v>
      </c>
    </row>
    <row r="40" spans="1:4">
      <c r="A40" t="s">
        <v>69</v>
      </c>
      <c r="C40" t="str">
        <f t="shared" si="0"/>
        <v>Grid-320V</v>
      </c>
      <c r="D40" t="s">
        <v>218</v>
      </c>
    </row>
    <row r="41" spans="1:4">
      <c r="A41" t="s">
        <v>69</v>
      </c>
      <c r="C41" t="str">
        <f t="shared" si="0"/>
        <v>Grid-150V</v>
      </c>
      <c r="D41" t="s">
        <v>219</v>
      </c>
    </row>
    <row r="42" spans="1:4">
      <c r="A42" t="s">
        <v>69</v>
      </c>
      <c r="C42" t="str">
        <f t="shared" si="0"/>
        <v>Grid-270V</v>
      </c>
      <c r="D42" t="s">
        <v>220</v>
      </c>
    </row>
    <row r="43" spans="1:4">
      <c r="A43" t="s">
        <v>69</v>
      </c>
      <c r="C43" t="str">
        <f t="shared" si="0"/>
        <v>Grid-350V</v>
      </c>
      <c r="D43" t="s">
        <v>221</v>
      </c>
    </row>
    <row r="44" spans="1:4">
      <c r="A44" t="s">
        <v>69</v>
      </c>
      <c r="C44" t="str">
        <f t="shared" si="0"/>
        <v>Grid-250V</v>
      </c>
      <c r="D44" t="s">
        <v>222</v>
      </c>
    </row>
    <row r="45" spans="1:4">
      <c r="A45" t="s">
        <v>69</v>
      </c>
      <c r="C45" t="str">
        <f t="shared" si="0"/>
        <v>Grid-200V</v>
      </c>
      <c r="D45" t="s">
        <v>223</v>
      </c>
    </row>
    <row r="46" spans="1:4">
      <c r="A46" t="s">
        <v>69</v>
      </c>
      <c r="C46" t="str">
        <f t="shared" si="0"/>
        <v>Grid-236V</v>
      </c>
      <c r="D46" t="s">
        <v>224</v>
      </c>
    </row>
    <row r="47" spans="1:4">
      <c r="A47" t="s">
        <v>69</v>
      </c>
      <c r="C47" t="str">
        <f t="shared" si="0"/>
        <v>Grid-600V</v>
      </c>
      <c r="D47" t="s">
        <v>225</v>
      </c>
    </row>
    <row r="48" spans="1:4">
      <c r="A48" t="s">
        <v>69</v>
      </c>
      <c r="C48" t="str">
        <f t="shared" si="0"/>
        <v>Aggregators</v>
      </c>
      <c r="D48" t="s">
        <v>226</v>
      </c>
    </row>
    <row r="49" spans="1:5">
      <c r="A49" t="s">
        <v>69</v>
      </c>
      <c r="C49" t="str">
        <f t="shared" si="0"/>
        <v>DUMMY_IMP</v>
      </c>
      <c r="D49" t="s">
        <v>227</v>
      </c>
    </row>
    <row r="50" spans="1:5">
      <c r="A50" t="s">
        <v>69</v>
      </c>
      <c r="B50" t="s">
        <v>261</v>
      </c>
      <c r="C50" t="s">
        <v>132</v>
      </c>
      <c r="E50" t="s">
        <v>136</v>
      </c>
    </row>
    <row r="51" spans="1:5">
      <c r="A51" t="s">
        <v>69</v>
      </c>
      <c r="B51" t="s">
        <v>261</v>
      </c>
      <c r="C51" t="s">
        <v>133</v>
      </c>
      <c r="E51" t="s">
        <v>137</v>
      </c>
    </row>
    <row r="52" spans="1:5">
      <c r="A52" t="s">
        <v>69</v>
      </c>
      <c r="B52" t="s">
        <v>138</v>
      </c>
      <c r="C52" t="s">
        <v>134</v>
      </c>
      <c r="E52" t="s">
        <v>136</v>
      </c>
    </row>
    <row r="53" spans="1:5">
      <c r="A53" t="s">
        <v>69</v>
      </c>
      <c r="B53" t="s">
        <v>138</v>
      </c>
      <c r="C53" t="s">
        <v>135</v>
      </c>
      <c r="E53" t="s">
        <v>137</v>
      </c>
    </row>
    <row r="54" spans="1:5">
      <c r="A54" t="s">
        <v>69</v>
      </c>
      <c r="B54" t="s">
        <v>100</v>
      </c>
      <c r="C54" t="s">
        <v>3</v>
      </c>
    </row>
    <row r="55" spans="1:5">
      <c r="A55" t="s">
        <v>69</v>
      </c>
      <c r="B55" t="s">
        <v>101</v>
      </c>
      <c r="C55" t="s">
        <v>102</v>
      </c>
    </row>
    <row r="56" spans="1:5">
      <c r="A56" t="s">
        <v>69</v>
      </c>
      <c r="B56" t="s">
        <v>113</v>
      </c>
      <c r="C56" t="s">
        <v>114</v>
      </c>
    </row>
    <row r="57" spans="1:5">
      <c r="A57" t="s">
        <v>392</v>
      </c>
      <c r="B57" t="s">
        <v>393</v>
      </c>
      <c r="C57" t="s">
        <v>394</v>
      </c>
    </row>
    <row r="58" spans="1:5">
      <c r="A58" t="s">
        <v>392</v>
      </c>
      <c r="B58" t="s">
        <v>395</v>
      </c>
      <c r="C58" t="s">
        <v>98</v>
      </c>
    </row>
    <row r="59" spans="1:5">
      <c r="A59" t="s">
        <v>392</v>
      </c>
      <c r="B59" t="s">
        <v>396</v>
      </c>
      <c r="C59" t="s">
        <v>276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73</v>
      </c>
    </row>
    <row r="2" spans="1:8">
      <c r="A2" t="s">
        <v>53</v>
      </c>
      <c r="B2" t="s">
        <v>54</v>
      </c>
      <c r="C2" t="s">
        <v>55</v>
      </c>
      <c r="D2" t="s">
        <v>74</v>
      </c>
      <c r="E2" t="s">
        <v>75</v>
      </c>
      <c r="F2" t="s">
        <v>77</v>
      </c>
      <c r="G2" t="s">
        <v>76</v>
      </c>
      <c r="H2" t="s">
        <v>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3"/>
  <sheetViews>
    <sheetView workbookViewId="0"/>
  </sheetViews>
  <sheetFormatPr defaultRowHeight="14.25"/>
  <cols>
    <col min="4" max="4" width="10.86328125" bestFit="1" customWidth="1"/>
  </cols>
  <sheetData>
    <row r="1" spans="1:7">
      <c r="A1" t="s">
        <v>38</v>
      </c>
    </row>
    <row r="2" spans="1:7">
      <c r="A2" t="s">
        <v>32</v>
      </c>
      <c r="B2" t="s">
        <v>9</v>
      </c>
      <c r="C2" t="s">
        <v>39</v>
      </c>
      <c r="D2" t="s">
        <v>4</v>
      </c>
      <c r="E2" t="s">
        <v>0</v>
      </c>
      <c r="F2" t="s">
        <v>40</v>
      </c>
      <c r="G2" t="s">
        <v>41</v>
      </c>
    </row>
    <row r="3" spans="1:7">
      <c r="F3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D8" sqref="D8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31</v>
      </c>
    </row>
    <row r="2" spans="1:4">
      <c r="A2" t="s">
        <v>32</v>
      </c>
      <c r="B2" s="1" t="s">
        <v>33</v>
      </c>
      <c r="C2" s="1" t="s">
        <v>34</v>
      </c>
      <c r="D2" s="1" t="s">
        <v>35</v>
      </c>
    </row>
    <row r="3" spans="1:4">
      <c r="A3" t="s">
        <v>85</v>
      </c>
      <c r="B3" t="s">
        <v>86</v>
      </c>
      <c r="C3" t="s">
        <v>8</v>
      </c>
      <c r="D3">
        <f>1/8.76</f>
        <v>0.11415525114155252</v>
      </c>
    </row>
    <row r="4" spans="1:4">
      <c r="A4" t="s">
        <v>85</v>
      </c>
      <c r="B4" t="s">
        <v>110</v>
      </c>
      <c r="C4" t="s">
        <v>112</v>
      </c>
      <c r="D4">
        <f>1/8.76*100</f>
        <v>11.415525114155251</v>
      </c>
    </row>
    <row r="5" spans="1:4">
      <c r="A5" t="s">
        <v>85</v>
      </c>
      <c r="B5" t="s">
        <v>127</v>
      </c>
      <c r="C5" t="s">
        <v>131</v>
      </c>
      <c r="D5">
        <v>1E-3</v>
      </c>
    </row>
    <row r="6" spans="1:4">
      <c r="A6" t="s">
        <v>85</v>
      </c>
      <c r="B6" t="s">
        <v>128</v>
      </c>
      <c r="C6" t="s">
        <v>131</v>
      </c>
      <c r="D6">
        <v>-1E-3</v>
      </c>
    </row>
    <row r="7" spans="1:4">
      <c r="A7" t="s">
        <v>85</v>
      </c>
      <c r="B7" t="s">
        <v>140</v>
      </c>
      <c r="C7" t="s">
        <v>142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ScenMap_OLD</vt:lpstr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2025-09-19T06:47:13Z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