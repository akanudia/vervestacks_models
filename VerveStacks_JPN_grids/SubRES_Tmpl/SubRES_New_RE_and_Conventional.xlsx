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JPN_grids\SubRES_Tmpl\"/>
    </mc:Choice>
  </mc:AlternateContent>
  <xr:revisionPtr revIDLastSave="0" documentId="8_{416C9313-4C1C-471E-9DEF-0AB426E4BE42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misc" sheetId="7" r:id="rId1"/>
    <sheet name="ELC_Storage" sheetId="9" r:id="rId2"/>
    <sheet name="EV Battery" sheetId="10" r:id="rId3"/>
    <sheet name="H2 prod" sheetId="11" r:id="rId4"/>
    <sheet name="solar" sheetId="12" r:id="rId5"/>
    <sheet name="wind" sheetId="13" r:id="rId6"/>
    <sheet name="conventional" sheetId="14" r:id="rId7"/>
    <sheet name="grid_transformers" sheetId="15" r:id="rId8"/>
  </sheets>
  <externalReferences>
    <externalReference r:id="rId9"/>
  </externalReferences>
  <definedNames>
    <definedName name="FuelList">[1]ELC_Lists!$K$4:$K$113</definedName>
    <definedName name="HHV_Coal">[1]Costs!#REF!</definedName>
    <definedName name="HHV_H2">[1]Costs!#REF!</definedName>
    <definedName name="HHV_NG">[1]Costs!#REF!</definedName>
    <definedName name="LHV_Coal">[1]Costs!#REF!</definedName>
    <definedName name="LHV_H2">[1]Costs!#REF!</definedName>
    <definedName name="LHV_NG">[1]Costs!#REF!</definedName>
    <definedName name="SectorList">[1]ELC_Lists!$N$4:$N$15</definedName>
    <definedName name="TechnologyList">[1]ELC_Lists!$H$4:$H$16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5" i="7" l="1"/>
  <c r="J17" i="7"/>
  <c r="J16" i="7"/>
  <c r="J14" i="7"/>
  <c r="J11" i="7"/>
  <c r="O17" i="7"/>
  <c r="J7" i="7"/>
  <c r="N29" i="11"/>
  <c r="N28" i="11"/>
  <c r="L29" i="11"/>
  <c r="L28" i="11"/>
  <c r="J29" i="11"/>
  <c r="J28" i="11"/>
  <c r="V29" i="11"/>
  <c r="U29" i="11"/>
  <c r="T29" i="11"/>
  <c r="H29" i="11"/>
  <c r="G29" i="11"/>
  <c r="F29" i="11"/>
  <c r="D29" i="11"/>
  <c r="C29" i="11"/>
  <c r="V28" i="11"/>
  <c r="U28" i="11"/>
  <c r="T28" i="11"/>
  <c r="H28" i="11"/>
  <c r="G28" i="11"/>
  <c r="F28" i="11"/>
  <c r="D28" i="11"/>
  <c r="C28" i="11"/>
  <c r="I27" i="11"/>
  <c r="E27" i="11"/>
  <c r="D27" i="11"/>
  <c r="C27" i="11"/>
  <c r="H3" i="11"/>
  <c r="H27" i="11" s="1"/>
  <c r="G3" i="11"/>
  <c r="G27" i="11" s="1"/>
  <c r="F3" i="11"/>
  <c r="F27" i="11" s="1"/>
  <c r="N27" i="11"/>
  <c r="K2" i="11"/>
  <c r="M2" i="11" s="1"/>
  <c r="M27" i="11" s="1"/>
  <c r="L27" i="11" l="1"/>
  <c r="K27" i="11"/>
  <c r="L5" i="10" l="1"/>
  <c r="F8" i="10" l="1"/>
  <c r="G8" i="10"/>
  <c r="J19" i="7" l="1"/>
  <c r="J18" i="7"/>
  <c r="S5" i="10"/>
  <c r="T22" i="9"/>
  <c r="S22" i="9"/>
  <c r="R22" i="9"/>
  <c r="Q22" i="9"/>
  <c r="P22" i="9"/>
  <c r="O22" i="9"/>
  <c r="N22" i="9"/>
  <c r="T21" i="9"/>
  <c r="S21" i="9"/>
  <c r="R21" i="9"/>
  <c r="Q21" i="9"/>
  <c r="P21" i="9"/>
  <c r="O21" i="9"/>
  <c r="N21" i="9"/>
  <c r="U19" i="9"/>
  <c r="N19" i="9"/>
  <c r="V18" i="9"/>
  <c r="N18" i="9"/>
  <c r="T14" i="9"/>
  <c r="S14" i="9"/>
  <c r="R14" i="9"/>
  <c r="Q14" i="9"/>
  <c r="P14" i="9"/>
  <c r="O14" i="9"/>
  <c r="N14" i="9"/>
  <c r="T13" i="9"/>
  <c r="S13" i="9"/>
  <c r="R13" i="9"/>
  <c r="Q13" i="9"/>
  <c r="P13" i="9"/>
  <c r="O13" i="9"/>
  <c r="N13" i="9"/>
  <c r="U11" i="9"/>
  <c r="N11" i="9"/>
  <c r="V10" i="9"/>
  <c r="N10" i="9"/>
  <c r="T9" i="9"/>
  <c r="S9" i="9"/>
  <c r="R9" i="9"/>
  <c r="Q9" i="9"/>
  <c r="P9" i="9"/>
  <c r="O9" i="9"/>
  <c r="N9" i="9"/>
  <c r="O16" i="7"/>
  <c r="O15" i="7"/>
  <c r="O10" i="7"/>
  <c r="O14" i="7"/>
  <c r="O12" i="7"/>
  <c r="O11" i="7"/>
  <c r="O9" i="7"/>
  <c r="O8" i="7"/>
  <c r="O13" i="7"/>
  <c r="J8" i="7"/>
  <c r="J6" i="7"/>
  <c r="J5" i="7"/>
  <c r="J4" i="7"/>
</calcChain>
</file>

<file path=xl/sharedStrings.xml><?xml version="1.0" encoding="utf-8"?>
<sst xmlns="http://schemas.openxmlformats.org/spreadsheetml/2006/main" count="2896" uniqueCount="848">
  <si>
    <t>~FI_Process</t>
  </si>
  <si>
    <t>TechName</t>
  </si>
  <si>
    <t>Comm-IN</t>
  </si>
  <si>
    <t>Comm-OUT</t>
  </si>
  <si>
    <t>EFF</t>
  </si>
  <si>
    <t>Cap2ACT</t>
  </si>
  <si>
    <t>Sets</t>
  </si>
  <si>
    <t>TechDesc</t>
  </si>
  <si>
    <t>TCap</t>
  </si>
  <si>
    <t>TAct</t>
  </si>
  <si>
    <t>GW</t>
  </si>
  <si>
    <t>Tslvl</t>
  </si>
  <si>
    <t>Process</t>
  </si>
  <si>
    <t>ElcAgg_Solar</t>
  </si>
  <si>
    <t>DAYNITE</t>
  </si>
  <si>
    <t>ELC,ELCCurt</t>
  </si>
  <si>
    <t>ElcAgg_Wind</t>
  </si>
  <si>
    <t>ELE</t>
  </si>
  <si>
    <t>ANNUAL</t>
  </si>
  <si>
    <t>ELC</t>
  </si>
  <si>
    <t>DMD</t>
  </si>
  <si>
    <t>TWh</t>
  </si>
  <si>
    <t>elc_buildings,elc_industry,elc_transport</t>
  </si>
  <si>
    <t>~FI_Comm</t>
  </si>
  <si>
    <t>Commodity</t>
  </si>
  <si>
    <t>Unit</t>
  </si>
  <si>
    <t>NRG</t>
  </si>
  <si>
    <t>solar</t>
  </si>
  <si>
    <t>hydro</t>
  </si>
  <si>
    <t>IMP</t>
  </si>
  <si>
    <t>flo_cost</t>
  </si>
  <si>
    <t>bioenergy</t>
  </si>
  <si>
    <t>coal</t>
  </si>
  <si>
    <t>gas</t>
  </si>
  <si>
    <t>geothermal</t>
  </si>
  <si>
    <t>hydrogen</t>
  </si>
  <si>
    <t>nuclear</t>
  </si>
  <si>
    <t>oil</t>
  </si>
  <si>
    <t>Csets</t>
  </si>
  <si>
    <t>CommName</t>
  </si>
  <si>
    <t>CommDesc</t>
  </si>
  <si>
    <t>LimType</t>
  </si>
  <si>
    <t>CTSLvl</t>
  </si>
  <si>
    <t>PeakTS</t>
  </si>
  <si>
    <t>Ctype</t>
  </si>
  <si>
    <t>ENV</t>
  </si>
  <si>
    <t>AuxStoIN</t>
  </si>
  <si>
    <t>Aux commodity for storage charging</t>
  </si>
  <si>
    <t>TBTU</t>
  </si>
  <si>
    <t>AuxStoOUT</t>
  </si>
  <si>
    <t>Aux commodity for storage discharging</t>
  </si>
  <si>
    <t>~FI_T: USD21</t>
  </si>
  <si>
    <t>Tact</t>
  </si>
  <si>
    <t>Tcap</t>
  </si>
  <si>
    <t>attribute</t>
  </si>
  <si>
    <t>CommGrp</t>
  </si>
  <si>
    <t>time_slice</t>
  </si>
  <si>
    <t>Comm-OUT-A</t>
  </si>
  <si>
    <t>LIFE</t>
  </si>
  <si>
    <t>ELE,STG</t>
  </si>
  <si>
    <t>EN_STG8hbNREL</t>
  </si>
  <si>
    <t>8 hour battery - NREL</t>
  </si>
  <si>
    <t>EN_STG4hbNREL</t>
  </si>
  <si>
    <t>FLO_FUNC</t>
  </si>
  <si>
    <t>4 hour battery - NREL</t>
  </si>
  <si>
    <t>NCAP_AFC</t>
  </si>
  <si>
    <t>ACT</t>
  </si>
  <si>
    <t>NCAP_COST</t>
  </si>
  <si>
    <t>NCAP_FOM</t>
  </si>
  <si>
    <t>NCAP_PKCNT</t>
  </si>
  <si>
    <t>PRC_CAPACT</t>
  </si>
  <si>
    <t>STG_EFF</t>
  </si>
  <si>
    <t>Utility-scale battery storage cost projections from NREL ATB 2024</t>
  </si>
  <si>
    <t>Includes $100 grid connection cost</t>
  </si>
  <si>
    <t>(2022$)</t>
  </si>
  <si>
    <t>4Hr Battery Storage</t>
  </si>
  <si>
    <t>CAPEX</t>
  </si>
  <si>
    <t>Advanced</t>
  </si>
  <si>
    <t>Conservative</t>
  </si>
  <si>
    <t>Moderate</t>
  </si>
  <si>
    <t>Fixed O&amp;M</t>
  </si>
  <si>
    <t>8Hr Battery Storage</t>
  </si>
  <si>
    <r>
      <t xml:space="preserve">Roundtrip </t>
    </r>
    <r>
      <rPr>
        <b/>
        <sz val="12"/>
        <color theme="1"/>
        <rFont val="Calibri"/>
        <family val="2"/>
        <scheme val="minor"/>
      </rPr>
      <t>EFF</t>
    </r>
    <r>
      <rPr>
        <sz val="12"/>
        <color theme="1"/>
        <rFont val="Calibri"/>
        <family val="2"/>
        <scheme val="minor"/>
      </rPr>
      <t>:</t>
    </r>
  </si>
  <si>
    <r>
      <rPr>
        <b/>
        <sz val="12"/>
        <color theme="1"/>
        <rFont val="Calibri"/>
        <family val="2"/>
        <scheme val="minor"/>
      </rPr>
      <t>CF</t>
    </r>
    <r>
      <rPr>
        <sz val="12"/>
        <color theme="1"/>
        <rFont val="Calibri"/>
        <family val="2"/>
        <scheme val="minor"/>
      </rPr>
      <t xml:space="preserve"> is duration/24 - assume one cycle per day</t>
    </r>
  </si>
  <si>
    <r>
      <rPr>
        <b/>
        <sz val="12"/>
        <color theme="1"/>
        <rFont val="Calibri"/>
        <family val="2"/>
        <scheme val="minor"/>
      </rPr>
      <t>VAROM</t>
    </r>
    <r>
      <rPr>
        <sz val="12"/>
        <color theme="1"/>
        <rFont val="Calibri"/>
        <family val="2"/>
        <scheme val="minor"/>
      </rPr>
      <t xml:space="preserve"> = 0</t>
    </r>
  </si>
  <si>
    <t>~FI_T: FX</t>
  </si>
  <si>
    <t>commodity</t>
  </si>
  <si>
    <t>Attribute</t>
  </si>
  <si>
    <t>S_EFF</t>
  </si>
  <si>
    <t>AFC~DAYNITE~UP</t>
  </si>
  <si>
    <t>CAP2ACT</t>
  </si>
  <si>
    <t>Peak</t>
  </si>
  <si>
    <t>PrimaryCG</t>
  </si>
  <si>
    <t>Vintage</t>
  </si>
  <si>
    <t>Car battery - 6kw/60Kwh - with V2G (optional)</t>
  </si>
  <si>
    <t>elc_roadtransport</t>
  </si>
  <si>
    <t>STG</t>
  </si>
  <si>
    <t>EXP</t>
  </si>
  <si>
    <t>Trd_electricity import</t>
  </si>
  <si>
    <t>Trd_electricity export</t>
  </si>
  <si>
    <t>$/GJ</t>
  </si>
  <si>
    <t>invcost</t>
  </si>
  <si>
    <t>~FI_T: USD21~FX~ACT_BND</t>
  </si>
  <si>
    <t>ev_battery</t>
  </si>
  <si>
    <t>e_demand</t>
  </si>
  <si>
    <t>life</t>
  </si>
  <si>
    <t>Demand sectors</t>
  </si>
  <si>
    <t>generic fuel supply</t>
  </si>
  <si>
    <t>XXX</t>
  </si>
  <si>
    <t>Investment cost per unit of capacity (EUR/kW-output)</t>
  </si>
  <si>
    <t>Fixed O&amp;M costs
(EUR/kW-output)</t>
  </si>
  <si>
    <t>Heatrate
(input over output ratio)</t>
  </si>
  <si>
    <t> Conversion technologies</t>
  </si>
  <si>
    <t>fixom</t>
  </si>
  <si>
    <t>input~GASNGA</t>
  </si>
  <si>
    <t>Ultimate</t>
  </si>
  <si>
    <t>2015
Heat</t>
  </si>
  <si>
    <t>2015
Electricity</t>
  </si>
  <si>
    <t>2030
Heat</t>
  </si>
  <si>
    <t>2030
Electricity</t>
  </si>
  <si>
    <t>Ultimate
Heat</t>
  </si>
  <si>
    <t>Ultimate
Electricity</t>
  </si>
  <si>
    <t>Hydrogen from natural gas steam reforming centralised - Large scale  (per 1 kW or 1 MWh H2 HHV)</t>
  </si>
  <si>
    <t>Hydrogen from natural gas steam reforming centralised - Large scale with CCU  (per 1 kW or 1 MWh H2 HHV)</t>
  </si>
  <si>
    <t>Hydrogen from natural gas steam reforming de-centralised - Medium scale  (per 1 kW or 1 MWh H2 HHV)</t>
  </si>
  <si>
    <t>Hydrogen from low temperature water electrolysis PEM centralised - Large scale  (per 1 kW or 1 MWh H2 HHV)</t>
  </si>
  <si>
    <t>Hydrogen from low temperature water electrolysis PEM de-centralised at a refuelling station  (per 1 kW or 1 MWh H2 HHV)</t>
  </si>
  <si>
    <t>Hydrogen from low temperature water electrolysis - Alkaline centralised, large scale  (per 1 kW or 1 MWh H2 HHV)</t>
  </si>
  <si>
    <t>Hydrogen from low temperature water electrolysis Alkaline de-centralised at a refuelling station  (per 1 kW or 1 MWh H2 HHV)</t>
  </si>
  <si>
    <t>Hydrogen from high temperature water electrolysis SOEC centralised  (per 1 kW or 1 MWh H2 HHV)</t>
  </si>
  <si>
    <t>Hydrogen from high temperature water electrolysis SOEC de-centralised at a refuelling station  (per 1 kW or 1 MWh H2 HHV)</t>
  </si>
  <si>
    <t>Methanation  (per 1 kW or 1 MWh CH4 HHV)</t>
  </si>
  <si>
    <t>CH4 Liquefaction plant  (per 1 kW or 1 MWh gas HHV)</t>
  </si>
  <si>
    <t>Gas Liquefaction plant  (per 1 kW or 1 MWh gas HHV)</t>
  </si>
  <si>
    <t>Regasification Plant including LNG storage  (per 1 kW or 1 MWh gas HHV)</t>
  </si>
  <si>
    <t>Power to liquid via the methanol route  (per 1 kW or 1 MWh CH4 HHV)</t>
  </si>
  <si>
    <t>Power to liquid via the Fischer Tropsch route  (per 1 kW or 1 MWh CH4 HHV)</t>
  </si>
  <si>
    <t>Power to liquid via High temperature co-electrolysis and Fischer Tropsch  (per 1 kW or 1 MWh CH4 HHV)</t>
  </si>
  <si>
    <t>Capture CO2 from air (Absorption technology)  (per 1 tCO2)</t>
  </si>
  <si>
    <t>Capture CO2 from air (Adsorption technology)  (per 1 tCO2)</t>
  </si>
  <si>
    <t>CO2 Liquefaction plant  (per 1 ton CO2)</t>
  </si>
  <si>
    <t>~FI_T: EUR15</t>
  </si>
  <si>
    <t>Cap2Act</t>
  </si>
  <si>
    <t>Yes</t>
  </si>
  <si>
    <t>H2prd_Elc_PEM</t>
  </si>
  <si>
    <t>H2prd_Elc_ALK</t>
  </si>
  <si>
    <t>efficiency</t>
  </si>
  <si>
    <t>h_demand</t>
  </si>
  <si>
    <t>Hydrogen demand</t>
  </si>
  <si>
    <t>hydrogen_allsect</t>
  </si>
  <si>
    <t>windon</t>
  </si>
  <si>
    <t>windoff</t>
  </si>
  <si>
    <t>fossil_supply</t>
  </si>
  <si>
    <t>hydro and geothermal</t>
  </si>
  <si>
    <t>renewable</t>
  </si>
  <si>
    <t>nuclear_fuel</t>
  </si>
  <si>
    <t>Nuclear fuel supply</t>
  </si>
  <si>
    <t>solar_potential</t>
  </si>
  <si>
    <t>winon_potential</t>
  </si>
  <si>
    <t>winoff_potential</t>
  </si>
  <si>
    <t>solar potential</t>
  </si>
  <si>
    <t>wind onshore potential</t>
  </si>
  <si>
    <t>wnid offshore potential</t>
  </si>
  <si>
    <t>~fi_process</t>
  </si>
  <si>
    <t>set</t>
  </si>
  <si>
    <t>process</t>
  </si>
  <si>
    <t>description</t>
  </si>
  <si>
    <t>capacity_unit</t>
  </si>
  <si>
    <t>activity_unit</t>
  </si>
  <si>
    <t>timeslicelevel</t>
  </si>
  <si>
    <t>vintage</t>
  </si>
  <si>
    <t>ele</t>
  </si>
  <si>
    <t>e_spv_001</t>
  </si>
  <si>
    <t>solar resource in cluster 1</t>
  </si>
  <si>
    <t>annual</t>
  </si>
  <si>
    <t>no</t>
  </si>
  <si>
    <t>e_spv_002</t>
  </si>
  <si>
    <t>solar resource in cluster 2</t>
  </si>
  <si>
    <t>e_spv_003</t>
  </si>
  <si>
    <t>solar resource in cluster 3</t>
  </si>
  <si>
    <t>e_spv_004</t>
  </si>
  <si>
    <t>solar resource in cluster 4</t>
  </si>
  <si>
    <t>e_spv_005</t>
  </si>
  <si>
    <t>solar resource in cluster 5</t>
  </si>
  <si>
    <t>e_spv_006</t>
  </si>
  <si>
    <t>solar resource in cluster 6</t>
  </si>
  <si>
    <t>e_spv_007</t>
  </si>
  <si>
    <t>solar resource in cluster 7</t>
  </si>
  <si>
    <t>e_spv_008</t>
  </si>
  <si>
    <t>solar resource in cluster 8</t>
  </si>
  <si>
    <t>e_spv_009</t>
  </si>
  <si>
    <t>solar resource in cluster 9</t>
  </si>
  <si>
    <t>e_spv_010</t>
  </si>
  <si>
    <t>solar resource in cluster 10</t>
  </si>
  <si>
    <t>e_spv_011</t>
  </si>
  <si>
    <t>solar resource in cluster 11</t>
  </si>
  <si>
    <t>e_spv_012</t>
  </si>
  <si>
    <t>solar resource in cluster 12</t>
  </si>
  <si>
    <t>e_spv_013</t>
  </si>
  <si>
    <t>solar resource in cluster 13</t>
  </si>
  <si>
    <t>e_spv_014</t>
  </si>
  <si>
    <t>solar resource in cluster 14</t>
  </si>
  <si>
    <t>e_spv_015</t>
  </si>
  <si>
    <t>solar resource in cluster 15</t>
  </si>
  <si>
    <t>e_spv_016</t>
  </si>
  <si>
    <t>solar resource in cluster 16</t>
  </si>
  <si>
    <t>e_spv_017</t>
  </si>
  <si>
    <t>solar resource in cluster 17</t>
  </si>
  <si>
    <t>e_spv_018</t>
  </si>
  <si>
    <t>solar resource in cluster 18</t>
  </si>
  <si>
    <t>e_spv_019</t>
  </si>
  <si>
    <t>solar resource in cluster 19</t>
  </si>
  <si>
    <t>e_spv_020</t>
  </si>
  <si>
    <t>solar resource in cluster 20</t>
  </si>
  <si>
    <t>e_spv_021</t>
  </si>
  <si>
    <t>solar resource in cluster 21</t>
  </si>
  <si>
    <t>e_spv_022</t>
  </si>
  <si>
    <t>solar resource in cluster 22</t>
  </si>
  <si>
    <t>e_spv_023</t>
  </si>
  <si>
    <t>solar resource in cluster 23</t>
  </si>
  <si>
    <t>e_spv_024</t>
  </si>
  <si>
    <t>solar resource in cluster 24</t>
  </si>
  <si>
    <t>e_spv_025</t>
  </si>
  <si>
    <t>solar resource in cluster 25</t>
  </si>
  <si>
    <t>e_spv_026</t>
  </si>
  <si>
    <t>solar resource in cluster 26</t>
  </si>
  <si>
    <t>e_spv_027</t>
  </si>
  <si>
    <t>solar resource in cluster 27</t>
  </si>
  <si>
    <t>e_spv_028</t>
  </si>
  <si>
    <t>solar resource in cluster 28</t>
  </si>
  <si>
    <t>e_spv_029</t>
  </si>
  <si>
    <t>solar resource in cluster 29</t>
  </si>
  <si>
    <t>e_spv_030</t>
  </si>
  <si>
    <t>solar resource in cluster 30</t>
  </si>
  <si>
    <t>~fi_t</t>
  </si>
  <si>
    <t>comm-out</t>
  </si>
  <si>
    <t>cap_bnd</t>
  </si>
  <si>
    <t>af~fx</t>
  </si>
  <si>
    <t>elc_spv_001</t>
  </si>
  <si>
    <t>elc_spv_002</t>
  </si>
  <si>
    <t>elc_spv_003</t>
  </si>
  <si>
    <t>elc_spv_004</t>
  </si>
  <si>
    <t>elc_spv_005</t>
  </si>
  <si>
    <t>elc_spv_006</t>
  </si>
  <si>
    <t>elc_spv_007</t>
  </si>
  <si>
    <t>elc_spv_008</t>
  </si>
  <si>
    <t>elc_spv_009</t>
  </si>
  <si>
    <t>elc_spv_010</t>
  </si>
  <si>
    <t>elc_spv_011</t>
  </si>
  <si>
    <t>elc_spv_012</t>
  </si>
  <si>
    <t>elc_spv_013</t>
  </si>
  <si>
    <t>elc_spv_014</t>
  </si>
  <si>
    <t>elc_spv_015</t>
  </si>
  <si>
    <t>elc_spv_016</t>
  </si>
  <si>
    <t>elc_spv_017</t>
  </si>
  <si>
    <t>elc_spv_018</t>
  </si>
  <si>
    <t>elc_spv_019</t>
  </si>
  <si>
    <t>elc_spv_020</t>
  </si>
  <si>
    <t>elc_spv_021</t>
  </si>
  <si>
    <t>elc_spv_022</t>
  </si>
  <si>
    <t>elc_spv_023</t>
  </si>
  <si>
    <t>elc_spv_024</t>
  </si>
  <si>
    <t>elc_spv_025</t>
  </si>
  <si>
    <t>elc_spv_026</t>
  </si>
  <si>
    <t>elc_spv_027</t>
  </si>
  <si>
    <t>elc_spv_028</t>
  </si>
  <si>
    <t>elc_spv_029</t>
  </si>
  <si>
    <t>elc_spv_030</t>
  </si>
  <si>
    <t>primarycg</t>
  </si>
  <si>
    <t>pre</t>
  </si>
  <si>
    <t>distr_solelc_spv_021</t>
  </si>
  <si>
    <t>connecting solar to buses in cluster 21</t>
  </si>
  <si>
    <t>NRGI</t>
  </si>
  <si>
    <t>daynite</t>
  </si>
  <si>
    <t>distr_solelc_spv_029</t>
  </si>
  <si>
    <t>connecting solar to buses in cluster 29</t>
  </si>
  <si>
    <t>distr_solelc_spv_015</t>
  </si>
  <si>
    <t>connecting solar to buses in cluster 15</t>
  </si>
  <si>
    <t>distr_solelc_spv_016</t>
  </si>
  <si>
    <t>connecting solar to buses in cluster 16</t>
  </si>
  <si>
    <t>distr_solelc_spv_012</t>
  </si>
  <si>
    <t>connecting solar to buses in cluster 12</t>
  </si>
  <si>
    <t>distr_solelc_spv_013</t>
  </si>
  <si>
    <t>connecting solar to buses in cluster 13</t>
  </si>
  <si>
    <t>distr_solelc_spv_026</t>
  </si>
  <si>
    <t>connecting solar to buses in cluster 26</t>
  </si>
  <si>
    <t>distr_solelc_spv_011</t>
  </si>
  <si>
    <t>connecting solar to buses in cluster 11</t>
  </si>
  <si>
    <t>distr_solelc_spv_008</t>
  </si>
  <si>
    <t>connecting solar to buses in cluster 8</t>
  </si>
  <si>
    <t>distr_solelc_spv_014</t>
  </si>
  <si>
    <t>connecting solar to buses in cluster 14</t>
  </si>
  <si>
    <t>distr_solelc_spv_020</t>
  </si>
  <si>
    <t>connecting solar to buses in cluster 20</t>
  </si>
  <si>
    <t>distr_solelc_spv_004</t>
  </si>
  <si>
    <t>connecting solar to buses in cluster 4</t>
  </si>
  <si>
    <t>distr_solelc_spv_006</t>
  </si>
  <si>
    <t>connecting solar to buses in cluster 6</t>
  </si>
  <si>
    <t>distr_solelc_spv_017</t>
  </si>
  <si>
    <t>connecting solar to buses in cluster 17</t>
  </si>
  <si>
    <t>distr_solelc_spv_025</t>
  </si>
  <si>
    <t>connecting solar to buses in cluster 25</t>
  </si>
  <si>
    <t>distr_solelc_spv_028</t>
  </si>
  <si>
    <t>connecting solar to buses in cluster 28</t>
  </si>
  <si>
    <t>distr_solelc_spv_024</t>
  </si>
  <si>
    <t>connecting solar to buses in cluster 24</t>
  </si>
  <si>
    <t>distr_solelc_spv_030</t>
  </si>
  <si>
    <t>connecting solar to buses in cluster 30</t>
  </si>
  <si>
    <t>distr_solelc_spv_019</t>
  </si>
  <si>
    <t>connecting solar to buses in cluster 19</t>
  </si>
  <si>
    <t>distr_solelc_spv_022</t>
  </si>
  <si>
    <t>connecting solar to buses in cluster 22</t>
  </si>
  <si>
    <t>distr_solelc_spv_001</t>
  </si>
  <si>
    <t>connecting solar to buses in cluster 1</t>
  </si>
  <si>
    <t>distr_solelc_spv_005</t>
  </si>
  <si>
    <t>connecting solar to buses in cluster 5</t>
  </si>
  <si>
    <t>distr_solelc_spv_018</t>
  </si>
  <si>
    <t>connecting solar to buses in cluster 18</t>
  </si>
  <si>
    <t>distr_solelc_spv_027</t>
  </si>
  <si>
    <t>connecting solar to buses in cluster 27</t>
  </si>
  <si>
    <t>distr_solelc_spv_002</t>
  </si>
  <si>
    <t>connecting solar to buses in cluster 2</t>
  </si>
  <si>
    <t>distr_solelc_spv_009</t>
  </si>
  <si>
    <t>connecting solar to buses in cluster 9</t>
  </si>
  <si>
    <t>distr_solelc_spv_007</t>
  </si>
  <si>
    <t>connecting solar to buses in cluster 7</t>
  </si>
  <si>
    <t>distr_solelc_spv_003</t>
  </si>
  <si>
    <t>connecting solar to buses in cluster 3</t>
  </si>
  <si>
    <t>distr_solelc_spv_010</t>
  </si>
  <si>
    <t>connecting solar to buses in cluster 10</t>
  </si>
  <si>
    <t>distr_solelc_spv_023</t>
  </si>
  <si>
    <t>connecting solar to buses in cluster 23</t>
  </si>
  <si>
    <t>comm-in</t>
  </si>
  <si>
    <t>ncap_cost~USD21_alt</t>
  </si>
  <si>
    <t>e_JP219-500,e_w150065045-500,e_w149843487-500,e_w145079972-500,e_w315461259-500,e_r2269992-500,e_JP132-500</t>
  </si>
  <si>
    <t>e_w106076988-500,e_w174636874-500,e_JP10-500,e_w714627759-500</t>
  </si>
  <si>
    <t>e_w179863079-275</t>
  </si>
  <si>
    <t>e_JP6-275</t>
  </si>
  <si>
    <t>e_JP7-275,e_JP6-275</t>
  </si>
  <si>
    <t>e_JP116-500,e_JP122-500,e_w315618377-500,e_w256682313-500,e_JP74-500,e_JP25-500,e_w975217734-500,e_JP57-500,e_r17013811-500,e_w315662839-500,e_JP28-500</t>
  </si>
  <si>
    <t>e_w317416612-500,e_JP117-500,e_w242103481-500,e_w317511904-500,e_w242253537-500,e_JP137-500,e_JP135-500,e_JP120-500</t>
  </si>
  <si>
    <t>e_w216956620-500,e_w216953915-500</t>
  </si>
  <si>
    <t>e_JP6-275,e_w179863079-275</t>
  </si>
  <si>
    <t>e_JP306-500,e_w215451416-500</t>
  </si>
  <si>
    <t>e_w169031998-500,e_w170537514-500,e_JP96-500,e_w170247312-500,e_w170850727-500,e_w170366035-500,e_w116559939-500,e_w142662111-500,e_w209429410-500,e_w315662839-500,e_w210090094-500,e_w459476442-500,e_w209726348-500</t>
  </si>
  <si>
    <t>e_JP4-275,e_JP3-275,e_JP1-275</t>
  </si>
  <si>
    <t>e_JP25-500,e_r17013811-500</t>
  </si>
  <si>
    <t>e_w106076988-500,e_w174636874-500,e_JP10-500</t>
  </si>
  <si>
    <t>e_JP21-500,e_w1030329139-500,e_w659138214-500,e_w106076988-500</t>
  </si>
  <si>
    <t>e_w1030329139-500,e_w659138214-500,e_w253566674-500,e_JP19-500,e_w785319805-500,e_w106076988-500,e_w104173570-500,e_w901872431-500</t>
  </si>
  <si>
    <t>e_w168727982-500,e_w132913106-500,e_w168839127-500,e_w105298089-500,e_w104391636-500,e_JP23-500</t>
  </si>
  <si>
    <t>e_JP306-500</t>
  </si>
  <si>
    <t>e_JP306-500,e_JP292-500,e_JP294-500,e_w172601929-500,e_w215451416-500,e_w216502300-500,e_w405626236-500,e_w172144358-500</t>
  </si>
  <si>
    <t>e_w801582512-275,e_JP4-275,e_JP5-275,e_JP9-500</t>
  </si>
  <si>
    <t>e_JP9-500,e_JP8-275,e_w1028554758-500</t>
  </si>
  <si>
    <t>e_JP296-500,e_w405626236-500,e_w201293312-500,e_w216778426-500,e_w1037299172-500,e_w172907196-500,e_w171066843-500,e_w722673849-500</t>
  </si>
  <si>
    <t>e_w87538349-500,e_w102958903-500,e_w241822623-500,e_w307942220-500,e_JP218-500,e_JP248-500,e_JP175-500,e_JP249-500,e_w291678103-500,e_w170605907-500,e_w1038584990-500,e_w109834508-500,e_w161727149-500,e_w421647841-500,e_w169031998-500,e_w170589736-500,e_JP156-500</t>
  </si>
  <si>
    <t>e_JP269-500,e_w186510275-500,e_w185029969-500,e_w172601929-500,e_w187988970-500,e_w204258596-500</t>
  </si>
  <si>
    <t>e_w204258596-500,e_w242253500-500,e_w317416612-500,e_w193544791-500,e_w170974371-500,e_w171066843-500,e_w241828221-500</t>
  </si>
  <si>
    <t>e_w150035494-500,e_JP73-500,e_w66098469-500,e_w315434358-500,e_w250540807-500,e_r15580570-500,e_JP41-500,e_JP29-500,e_JP30-500</t>
  </si>
  <si>
    <t>distr_wonelc_won_023</t>
  </si>
  <si>
    <t>connecting wind onshore to buses in cluster 23</t>
  </si>
  <si>
    <t>distr_wonelc_won_024</t>
  </si>
  <si>
    <t>connecting wind onshore to buses in cluster 24</t>
  </si>
  <si>
    <t>distr_wonelc_won_013</t>
  </si>
  <si>
    <t>connecting wind onshore to buses in cluster 13</t>
  </si>
  <si>
    <t>distr_wonelc_won_019</t>
  </si>
  <si>
    <t>connecting wind onshore to buses in cluster 19</t>
  </si>
  <si>
    <t>distr_wonelc_won_018</t>
  </si>
  <si>
    <t>connecting wind onshore to buses in cluster 18</t>
  </si>
  <si>
    <t>distr_wonelc_won_011</t>
  </si>
  <si>
    <t>connecting wind onshore to buses in cluster 11</t>
  </si>
  <si>
    <t>distr_wonelc_won_021</t>
  </si>
  <si>
    <t>connecting wind onshore to buses in cluster 21</t>
  </si>
  <si>
    <t>distr_wonelc_won_010</t>
  </si>
  <si>
    <t>connecting wind onshore to buses in cluster 10</t>
  </si>
  <si>
    <t>distr_wonelc_won_001</t>
  </si>
  <si>
    <t>connecting wind onshore to buses in cluster 1</t>
  </si>
  <si>
    <t>distr_wonelc_won_002</t>
  </si>
  <si>
    <t>connecting wind onshore to buses in cluster 2</t>
  </si>
  <si>
    <t>distr_wonelc_won_006</t>
  </si>
  <si>
    <t>connecting wind onshore to buses in cluster 6</t>
  </si>
  <si>
    <t>distr_wonelc_won_016</t>
  </si>
  <si>
    <t>connecting wind onshore to buses in cluster 16</t>
  </si>
  <si>
    <t>distr_wonelc_won_004</t>
  </si>
  <si>
    <t>connecting wind onshore to buses in cluster 4</t>
  </si>
  <si>
    <t>distr_wonelc_won_003</t>
  </si>
  <si>
    <t>connecting wind onshore to buses in cluster 3</t>
  </si>
  <si>
    <t>distr_wonelc_won_008</t>
  </si>
  <si>
    <t>connecting wind onshore to buses in cluster 8</t>
  </si>
  <si>
    <t>distr_wonelc_won_017</t>
  </si>
  <si>
    <t>connecting wind onshore to buses in cluster 17</t>
  </si>
  <si>
    <t>distr_wonelc_won_020</t>
  </si>
  <si>
    <t>connecting wind onshore to buses in cluster 20</t>
  </si>
  <si>
    <t>distr_wonelc_won_012</t>
  </si>
  <si>
    <t>connecting wind onshore to buses in cluster 12</t>
  </si>
  <si>
    <t>distr_wonelc_won_015</t>
  </si>
  <si>
    <t>connecting wind onshore to buses in cluster 15</t>
  </si>
  <si>
    <t>distr_wonelc_won_009</t>
  </si>
  <si>
    <t>connecting wind onshore to buses in cluster 9</t>
  </si>
  <si>
    <t>distr_wonelc_won_022</t>
  </si>
  <si>
    <t>connecting wind onshore to buses in cluster 22</t>
  </si>
  <si>
    <t>distr_wonelc_won_025</t>
  </si>
  <si>
    <t>connecting wind onshore to buses in cluster 25</t>
  </si>
  <si>
    <t>distr_wonelc_won_030</t>
  </si>
  <si>
    <t>connecting wind onshore to buses in cluster 30</t>
  </si>
  <si>
    <t>distr_wonelc_won_007</t>
  </si>
  <si>
    <t>connecting wind onshore to buses in cluster 7</t>
  </si>
  <si>
    <t>distr_wonelc_won_026</t>
  </si>
  <si>
    <t>connecting wind onshore to buses in cluster 26</t>
  </si>
  <si>
    <t>distr_wonelc_won_027</t>
  </si>
  <si>
    <t>connecting wind onshore to buses in cluster 27</t>
  </si>
  <si>
    <t>distr_wonelc_won_028</t>
  </si>
  <si>
    <t>connecting wind onshore to buses in cluster 28</t>
  </si>
  <si>
    <t>distr_wonelc_won_031</t>
  </si>
  <si>
    <t>connecting wind onshore to buses in cluster 31</t>
  </si>
  <si>
    <t>distr_wonelc_won_005</t>
  </si>
  <si>
    <t>connecting wind onshore to buses in cluster 5</t>
  </si>
  <si>
    <t>distr_wonelc_won_014</t>
  </si>
  <si>
    <t>connecting wind onshore to buses in cluster 14</t>
  </si>
  <si>
    <t>distr_wonelc_won_029</t>
  </si>
  <si>
    <t>connecting wind onshore to buses in cluster 29</t>
  </si>
  <si>
    <t>elc_won_023</t>
  </si>
  <si>
    <t>e_JP21-500,e_w1030329139-500,e_w659138214-500</t>
  </si>
  <si>
    <t>elc_won_024</t>
  </si>
  <si>
    <t>e_w106076988-500,e_w785319805-500,e_w174636874-500</t>
  </si>
  <si>
    <t>elc_won_013</t>
  </si>
  <si>
    <t>e_w149843487-500,e_w315461259-500,e_r2269992-500,e_JP132-500,e_w168727982-500,e_w132913106-500,e_w105298089-500</t>
  </si>
  <si>
    <t>elc_won_019</t>
  </si>
  <si>
    <t>e_JP292-500,e_JP269-500,e_w186510275-500,e_JP306-500,e_w185029969-500,e_w172601929-500,e_w187988970-500,e_w204258596-500</t>
  </si>
  <si>
    <t>elc_won_018</t>
  </si>
  <si>
    <t>e_w216956620-500,e_w216953915-500,e_JP296-500,e_w1037299172-500,e_w172907196-500,e_w722673849-500,e_JP249-500,e_w1038584990-500</t>
  </si>
  <si>
    <t>elc_won_011</t>
  </si>
  <si>
    <t>e_w242103481-500,e_w242253537-500,e_JP137-500,e_JP135-500,e_JP120-500,e_w421647841-500,e_JP116-500,e_w1029010255-500,e_JP122-500,e_w315618377-500</t>
  </si>
  <si>
    <t>elc_won_021</t>
  </si>
  <si>
    <t>e_w168839127-500,e_w104391636-500,e_w253566674-500,e_JP19-500,e_JP23-500,e_w104173570-500,e_w901872431-500,e_w106076988-500</t>
  </si>
  <si>
    <t>elc_won_010</t>
  </si>
  <si>
    <t>e_w216778426-500,e_w1037299172-500,e_w307942220-500,e_JP248-500,e_JP175-500,e_JP249-500,e_w291678103-500,e_w170605907-500</t>
  </si>
  <si>
    <t>elc_won_001</t>
  </si>
  <si>
    <t>elc_won_002</t>
  </si>
  <si>
    <t>e_JP306-500,e_w215451416-500,e_w216956620-500</t>
  </si>
  <si>
    <t>elc_won_006</t>
  </si>
  <si>
    <t>e_w215451416-500,e_JP296-500,e_w405626236-500</t>
  </si>
  <si>
    <t>elc_won_016</t>
  </si>
  <si>
    <t>e_w204258596-500,e_w317416612-500,e_JP117-500,e_w317511904-500</t>
  </si>
  <si>
    <t>elc_won_004</t>
  </si>
  <si>
    <t>e_w1037299172-500,e_w172907196-500,e_w170974371-500,e_w171066843-500,e_w241828221-500,e_w87538349-500,e_w102958903-500,e_w241822623-500,e_JP218-500</t>
  </si>
  <si>
    <t>elc_won_003</t>
  </si>
  <si>
    <t>e_w201293312-500,e_w204258596-500,e_w242253500-500,e_w193544791-500,e_w317416612-500,e_w170974371-500</t>
  </si>
  <si>
    <t>elc_won_008</t>
  </si>
  <si>
    <t>e_w1038584990-500,e_w109834508-500,e_w161727149-500,e_w169031998-500,e_w170589736-500,e_JP156-500,e_w170537514-500,e_JP96-500,e_w170850727-500,e_w142662111-500</t>
  </si>
  <si>
    <t>elc_won_017</t>
  </si>
  <si>
    <t>e_w256682313-500,e_JP25-500,e_r17013811-500</t>
  </si>
  <si>
    <t>elc_won_020</t>
  </si>
  <si>
    <t>e_JP21-500,e_w659138214-500,e_w106076988-500</t>
  </si>
  <si>
    <t>elc_won_012</t>
  </si>
  <si>
    <t>e_w145079972-500,e_r15580570-500,e_w168839127-500</t>
  </si>
  <si>
    <t>elc_won_015</t>
  </si>
  <si>
    <t>e_w210090094-500,e_JP219-500,e_w150065045-500,e_w149843487-500,e_w315461259-500,e_JP132-500</t>
  </si>
  <si>
    <t>elc_won_009</t>
  </si>
  <si>
    <t>e_JP74-500,e_w975217734-500,e_JP57-500</t>
  </si>
  <si>
    <t>elc_won_022</t>
  </si>
  <si>
    <t>e_w315434358-500,e_w250540807-500,e_JP41-500,e_JP29-500,e_JP30-500</t>
  </si>
  <si>
    <t>elc_won_025</t>
  </si>
  <si>
    <t>e_w801582512-275,e_JP5-275,e_JP4-275,e_JP9-500,e_JP3-275,e_JP1-275,e_JP7-275,e_JP6-275,e_w179863079-275</t>
  </si>
  <si>
    <t>elc_won_030</t>
  </si>
  <si>
    <t>elc_won_007</t>
  </si>
  <si>
    <t>e_w169031998-500,e_w170537514-500,e_w170247312-500,e_w116559939-500</t>
  </si>
  <si>
    <t>elc_won_026</t>
  </si>
  <si>
    <t>e_w801582512-275,e_JP4-275,e_JP8-275,e_JP9-500,e_w1028554758-500,e_w179863079-275,e_JP7-275</t>
  </si>
  <si>
    <t>elc_won_027</t>
  </si>
  <si>
    <t>e_w174636874-500,e_JP10-500,e_JP9-500,e_w714627759-500</t>
  </si>
  <si>
    <t>elc_won_028</t>
  </si>
  <si>
    <t>e_w179863079-275,e_JP6-275</t>
  </si>
  <si>
    <t>elc_won_031</t>
  </si>
  <si>
    <t>elc_won_005</t>
  </si>
  <si>
    <t>e_JP294-500,e_w172601929-500,e_w216502300-500,e_w405626236-500,e_w172144358-500</t>
  </si>
  <si>
    <t>elc_won_014</t>
  </si>
  <si>
    <t>e_w459476442-500,e_w150065045-500</t>
  </si>
  <si>
    <t>elc_won_029</t>
  </si>
  <si>
    <t>distr_wofelc_wof_006</t>
  </si>
  <si>
    <t>connecting wind offshore to buses in cluster 6</t>
  </si>
  <si>
    <t>distr_wofelc_wof_017</t>
  </si>
  <si>
    <t>connecting wind offshore to buses in cluster 17</t>
  </si>
  <si>
    <t>distr_wofelc_wof_020</t>
  </si>
  <si>
    <t>connecting wind offshore to buses in cluster 20</t>
  </si>
  <si>
    <t>distr_wofelc_wof_044</t>
  </si>
  <si>
    <t>connecting wind offshore to buses in cluster 44</t>
  </si>
  <si>
    <t>distr_wofelc_wof_031</t>
  </si>
  <si>
    <t>connecting wind offshore to buses in cluster 31</t>
  </si>
  <si>
    <t>distr_wofelc_wof_039</t>
  </si>
  <si>
    <t>connecting wind offshore to buses in cluster 39</t>
  </si>
  <si>
    <t>distr_wofelc_wof_023</t>
  </si>
  <si>
    <t>connecting wind offshore to buses in cluster 23</t>
  </si>
  <si>
    <t>distr_wofelc_wof_001</t>
  </si>
  <si>
    <t>connecting wind offshore to buses in cluster 1</t>
  </si>
  <si>
    <t>distr_wofelc_wof_002</t>
  </si>
  <si>
    <t>connecting wind offshore to buses in cluster 2</t>
  </si>
  <si>
    <t>distr_wofelc_wof_003</t>
  </si>
  <si>
    <t>connecting wind offshore to buses in cluster 3</t>
  </si>
  <si>
    <t>distr_wofelc_wof_008</t>
  </si>
  <si>
    <t>connecting wind offshore to buses in cluster 8</t>
  </si>
  <si>
    <t>distr_wofelc_wof_027</t>
  </si>
  <si>
    <t>connecting wind offshore to buses in cluster 27</t>
  </si>
  <si>
    <t>distr_wofelc_wof_018</t>
  </si>
  <si>
    <t>connecting wind offshore to buses in cluster 18</t>
  </si>
  <si>
    <t>distr_wofelc_wof_010</t>
  </si>
  <si>
    <t>connecting wind offshore to buses in cluster 10</t>
  </si>
  <si>
    <t>distr_wofelc_wof_025</t>
  </si>
  <si>
    <t>connecting wind offshore to buses in cluster 25</t>
  </si>
  <si>
    <t>distr_wofelc_wof_022</t>
  </si>
  <si>
    <t>connecting wind offshore to buses in cluster 22</t>
  </si>
  <si>
    <t>distr_wofelc_wof_028</t>
  </si>
  <si>
    <t>connecting wind offshore to buses in cluster 28</t>
  </si>
  <si>
    <t>distr_wofelc_wof_026</t>
  </si>
  <si>
    <t>connecting wind offshore to buses in cluster 26</t>
  </si>
  <si>
    <t>distr_wofelc_wof_024</t>
  </si>
  <si>
    <t>connecting wind offshore to buses in cluster 24</t>
  </si>
  <si>
    <t>distr_wofelc_wof_014</t>
  </si>
  <si>
    <t>connecting wind offshore to buses in cluster 14</t>
  </si>
  <si>
    <t>distr_wofelc_wof_042</t>
  </si>
  <si>
    <t>connecting wind offshore to buses in cluster 42</t>
  </si>
  <si>
    <t>distr_wofelc_wof_035</t>
  </si>
  <si>
    <t>connecting wind offshore to buses in cluster 35</t>
  </si>
  <si>
    <t>distr_wofelc_wof_013</t>
  </si>
  <si>
    <t>connecting wind offshore to buses in cluster 13</t>
  </si>
  <si>
    <t>distr_wofelc_wof_004</t>
  </si>
  <si>
    <t>connecting wind offshore to buses in cluster 4</t>
  </si>
  <si>
    <t>distr_wofelc_wof_033</t>
  </si>
  <si>
    <t>connecting wind offshore to buses in cluster 33</t>
  </si>
  <si>
    <t>distr_wofelc_wof_040</t>
  </si>
  <si>
    <t>connecting wind offshore to buses in cluster 40</t>
  </si>
  <si>
    <t>distr_wofelc_wof_015</t>
  </si>
  <si>
    <t>connecting wind offshore to buses in cluster 15</t>
  </si>
  <si>
    <t>distr_wofelc_wof_036</t>
  </si>
  <si>
    <t>connecting wind offshore to buses in cluster 36</t>
  </si>
  <si>
    <t>distr_wofelc_wof_029</t>
  </si>
  <si>
    <t>connecting wind offshore to buses in cluster 29</t>
  </si>
  <si>
    <t>distr_wofelc_wof_011</t>
  </si>
  <si>
    <t>connecting wind offshore to buses in cluster 11</t>
  </si>
  <si>
    <t>distr_wofelc_wof_037</t>
  </si>
  <si>
    <t>connecting wind offshore to buses in cluster 37</t>
  </si>
  <si>
    <t>distr_wofelc_wof_012</t>
  </si>
  <si>
    <t>connecting wind offshore to buses in cluster 12</t>
  </si>
  <si>
    <t>distr_wofelc_wof_009</t>
  </si>
  <si>
    <t>connecting wind offshore to buses in cluster 9</t>
  </si>
  <si>
    <t>distr_wofelc_wof_032</t>
  </si>
  <si>
    <t>connecting wind offshore to buses in cluster 32</t>
  </si>
  <si>
    <t>distr_wofelc_wof_038</t>
  </si>
  <si>
    <t>connecting wind offshore to buses in cluster 38</t>
  </si>
  <si>
    <t>distr_wofelc_wof_016</t>
  </si>
  <si>
    <t>connecting wind offshore to buses in cluster 16</t>
  </si>
  <si>
    <t>distr_wofelc_wof_034</t>
  </si>
  <si>
    <t>connecting wind offshore to buses in cluster 34</t>
  </si>
  <si>
    <t>distr_wofelc_wof_043</t>
  </si>
  <si>
    <t>connecting wind offshore to buses in cluster 43</t>
  </si>
  <si>
    <t>distr_wofelc_wof_019</t>
  </si>
  <si>
    <t>connecting wind offshore to buses in cluster 19</t>
  </si>
  <si>
    <t>distr_wofelc_wof_007</t>
  </si>
  <si>
    <t>connecting wind offshore to buses in cluster 7</t>
  </si>
  <si>
    <t>distr_wofelc_wof_030</t>
  </si>
  <si>
    <t>connecting wind offshore to buses in cluster 30</t>
  </si>
  <si>
    <t>distr_wofelc_wof_021</t>
  </si>
  <si>
    <t>connecting wind offshore to buses in cluster 21</t>
  </si>
  <si>
    <t>distr_wofelc_wof_041</t>
  </si>
  <si>
    <t>connecting wind offshore to buses in cluster 41</t>
  </si>
  <si>
    <t>distr_wofelc_wof_005</t>
  </si>
  <si>
    <t>connecting wind offshore to buses in cluster 5</t>
  </si>
  <si>
    <t>elc_wof_006</t>
  </si>
  <si>
    <t>elc_wof_017</t>
  </si>
  <si>
    <t>e_w1028554758-500,e_JP9-500,e_JP5-275,e_JP7-275,e_w714627759-500</t>
  </si>
  <si>
    <t>elc_wof_020</t>
  </si>
  <si>
    <t>elc_wof_044</t>
  </si>
  <si>
    <t>e_w149843487-500,e_w315461259-500,e_JP132-500,e_w151379730-500,e_w168727982-500,e_w105298089-500</t>
  </si>
  <si>
    <t>elc_wof_031</t>
  </si>
  <si>
    <t>e_JP117-500</t>
  </si>
  <si>
    <t>elc_wof_039</t>
  </si>
  <si>
    <t>e_w170247312-500,e_JP219-500</t>
  </si>
  <si>
    <t>elc_wof_023</t>
  </si>
  <si>
    <t>elc_wof_001</t>
  </si>
  <si>
    <t>elc_wof_002</t>
  </si>
  <si>
    <t>elc_wof_003</t>
  </si>
  <si>
    <t>elc_wof_008</t>
  </si>
  <si>
    <t>e_w216778426-500,e_w1037299172-500</t>
  </si>
  <si>
    <t>elc_wof_027</t>
  </si>
  <si>
    <t>e_JP25-500,e_w256682313-500,e_r17013811-500</t>
  </si>
  <si>
    <t>elc_wof_018</t>
  </si>
  <si>
    <t>e_JP8-275,e_w801582512-275,e_JP9-500,e_JP10-500,e_w714627759-500</t>
  </si>
  <si>
    <t>elc_wof_010</t>
  </si>
  <si>
    <t>elc_wof_025</t>
  </si>
  <si>
    <t>e_JP21-500,e_w174636874-500,e_w659138214-500,e_w106076988-500,e_JP10-500</t>
  </si>
  <si>
    <t>elc_wof_022</t>
  </si>
  <si>
    <t>e_JP4-275,e_JP1-275,e_w179863079-275</t>
  </si>
  <si>
    <t>elc_wof_028</t>
  </si>
  <si>
    <t>e_JP25-500,e_JP21-500</t>
  </si>
  <si>
    <t>elc_wof_026</t>
  </si>
  <si>
    <t>e_r17013811-500,e_JP21-500</t>
  </si>
  <si>
    <t>elc_wof_024</t>
  </si>
  <si>
    <t>elc_wof_014</t>
  </si>
  <si>
    <t>e_w186510275-500,e_w187988970-500,e_w204258596-500</t>
  </si>
  <si>
    <t>elc_wof_042</t>
  </si>
  <si>
    <t>e_w156208858-500,e_w901872431-500,e_w106076988-500,e_w174636874-500</t>
  </si>
  <si>
    <t>elc_wof_035</t>
  </si>
  <si>
    <t>e_JP132-500,e_w105298089-500</t>
  </si>
  <si>
    <t>elc_wof_013</t>
  </si>
  <si>
    <t>e_JP292-500,e_JP269-500,e_JP306-500</t>
  </si>
  <si>
    <t>elc_wof_004</t>
  </si>
  <si>
    <t>elc_wof_033</t>
  </si>
  <si>
    <t>e_w317511904-500,e_JP117-500,e_w242103481-500,e_w242253537-500,e_JP137-500,e_JP120-500,e_JP25-500</t>
  </si>
  <si>
    <t>elc_wof_040</t>
  </si>
  <si>
    <t>e_JP219-500,e_w149843487-500,e_JP132-500,e_w315461259-500</t>
  </si>
  <si>
    <t>elc_wof_015</t>
  </si>
  <si>
    <t>e_JP269-500,e_JP292-500,e_w186510275-500</t>
  </si>
  <si>
    <t>elc_wof_036</t>
  </si>
  <si>
    <t>e_JP219-500</t>
  </si>
  <si>
    <t>elc_wof_029</t>
  </si>
  <si>
    <t>e_w186510275-500,e_w204258596-500,e_w317416612-500</t>
  </si>
  <si>
    <t>elc_wof_011</t>
  </si>
  <si>
    <t>e_w1037299172-500,e_w172907196-500,e_w171066843-500,e_w722673849-500,e_w1037516198-500,e_JP249-500,e_w1038584990-500</t>
  </si>
  <si>
    <t>elc_wof_037</t>
  </si>
  <si>
    <t>e_w216956620-500,e_JP219-500</t>
  </si>
  <si>
    <t>elc_wof_012</t>
  </si>
  <si>
    <t>e_JP306-500,e_w216956620-500,e_w215451416-500</t>
  </si>
  <si>
    <t>elc_wof_009</t>
  </si>
  <si>
    <t>e_w722673849-500,e_w1037516198-500,e_w291678103-500,e_w1038584990-500</t>
  </si>
  <si>
    <t>elc_wof_032</t>
  </si>
  <si>
    <t>e_JP121-500,e_w1029010255-500,e_w315618377-500,e_w256682313-500</t>
  </si>
  <si>
    <t>elc_wof_038</t>
  </si>
  <si>
    <t>elc_wof_016</t>
  </si>
  <si>
    <t>e_JP4-275,e_w179863079-275,e_JP7-275</t>
  </si>
  <si>
    <t>elc_wof_034</t>
  </si>
  <si>
    <t>e_JP219-500,e_JP132-500</t>
  </si>
  <si>
    <t>elc_wof_043</t>
  </si>
  <si>
    <t>e_w105298089-500,e_JP23-500,e_w104173570-500</t>
  </si>
  <si>
    <t>elc_wof_019</t>
  </si>
  <si>
    <t>elc_wof_007</t>
  </si>
  <si>
    <t>elc_wof_030</t>
  </si>
  <si>
    <t>e_w317416612-500,e_JP117-500</t>
  </si>
  <si>
    <t>elc_wof_021</t>
  </si>
  <si>
    <t>elc_wof_041</t>
  </si>
  <si>
    <t>e_w156208858-500,e_w901872431-500,e_w104173570-500,e_w106076988-500</t>
  </si>
  <si>
    <t>elc_wof_005</t>
  </si>
  <si>
    <t>e_JP306-500,e_w216956620-500</t>
  </si>
  <si>
    <t>e_won_001</t>
  </si>
  <si>
    <t>wind resource in cluster 1</t>
  </si>
  <si>
    <t>e_won_002</t>
  </si>
  <si>
    <t>wind resource in cluster 2</t>
  </si>
  <si>
    <t>e_won_003</t>
  </si>
  <si>
    <t>wind resource in cluster 3</t>
  </si>
  <si>
    <t>e_won_004</t>
  </si>
  <si>
    <t>wind resource in cluster 4</t>
  </si>
  <si>
    <t>e_won_005</t>
  </si>
  <si>
    <t>wind resource in cluster 5</t>
  </si>
  <si>
    <t>e_won_006</t>
  </si>
  <si>
    <t>wind resource in cluster 6</t>
  </si>
  <si>
    <t>e_won_007</t>
  </si>
  <si>
    <t>wind resource in cluster 7</t>
  </si>
  <si>
    <t>e_won_008</t>
  </si>
  <si>
    <t>wind resource in cluster 8</t>
  </si>
  <si>
    <t>e_won_009</t>
  </si>
  <si>
    <t>wind resource in cluster 9</t>
  </si>
  <si>
    <t>e_won_010</t>
  </si>
  <si>
    <t>wind resource in cluster 10</t>
  </si>
  <si>
    <t>e_won_011</t>
  </si>
  <si>
    <t>wind resource in cluster 11</t>
  </si>
  <si>
    <t>e_won_012</t>
  </si>
  <si>
    <t>wind resource in cluster 12</t>
  </si>
  <si>
    <t>e_won_013</t>
  </si>
  <si>
    <t>wind resource in cluster 13</t>
  </si>
  <si>
    <t>e_won_014</t>
  </si>
  <si>
    <t>wind resource in cluster 14</t>
  </si>
  <si>
    <t>e_won_015</t>
  </si>
  <si>
    <t>wind resource in cluster 15</t>
  </si>
  <si>
    <t>e_won_016</t>
  </si>
  <si>
    <t>wind resource in cluster 16</t>
  </si>
  <si>
    <t>e_won_017</t>
  </si>
  <si>
    <t>wind resource in cluster 17</t>
  </si>
  <si>
    <t>e_won_018</t>
  </si>
  <si>
    <t>wind resource in cluster 18</t>
  </si>
  <si>
    <t>e_won_019</t>
  </si>
  <si>
    <t>wind resource in cluster 19</t>
  </si>
  <si>
    <t>e_won_020</t>
  </si>
  <si>
    <t>wind resource in cluster 20</t>
  </si>
  <si>
    <t>e_won_021</t>
  </si>
  <si>
    <t>wind resource in cluster 21</t>
  </si>
  <si>
    <t>e_won_022</t>
  </si>
  <si>
    <t>wind resource in cluster 22</t>
  </si>
  <si>
    <t>e_won_023</t>
  </si>
  <si>
    <t>wind resource in cluster 23</t>
  </si>
  <si>
    <t>e_won_024</t>
  </si>
  <si>
    <t>wind resource in cluster 24</t>
  </si>
  <si>
    <t>e_won_025</t>
  </si>
  <si>
    <t>wind resource in cluster 25</t>
  </si>
  <si>
    <t>e_won_026</t>
  </si>
  <si>
    <t>wind resource in cluster 26</t>
  </si>
  <si>
    <t>e_won_027</t>
  </si>
  <si>
    <t>wind resource in cluster 27</t>
  </si>
  <si>
    <t>e_won_028</t>
  </si>
  <si>
    <t>wind resource in cluster 28</t>
  </si>
  <si>
    <t>e_won_029</t>
  </si>
  <si>
    <t>wind resource in cluster 29</t>
  </si>
  <si>
    <t>e_won_030</t>
  </si>
  <si>
    <t>wind resource in cluster 30</t>
  </si>
  <si>
    <t>e_won_031</t>
  </si>
  <si>
    <t>wind resource in cluster 31</t>
  </si>
  <si>
    <t>e_wof_001</t>
  </si>
  <si>
    <t>wind offshore resource in cluster 1</t>
  </si>
  <si>
    <t>e_wof_002</t>
  </si>
  <si>
    <t>wind offshore resource in cluster 2</t>
  </si>
  <si>
    <t>e_wof_003</t>
  </si>
  <si>
    <t>wind offshore resource in cluster 3</t>
  </si>
  <si>
    <t>e_wof_004</t>
  </si>
  <si>
    <t>wind offshore resource in cluster 4</t>
  </si>
  <si>
    <t>e_wof_005</t>
  </si>
  <si>
    <t>wind offshore resource in cluster 5</t>
  </si>
  <si>
    <t>e_wof_006</t>
  </si>
  <si>
    <t>wind offshore resource in cluster 6</t>
  </si>
  <si>
    <t>e_wof_007</t>
  </si>
  <si>
    <t>wind offshore resource in cluster 7</t>
  </si>
  <si>
    <t>e_wof_008</t>
  </si>
  <si>
    <t>wind offshore resource in cluster 8</t>
  </si>
  <si>
    <t>e_wof_009</t>
  </si>
  <si>
    <t>wind offshore resource in cluster 9</t>
  </si>
  <si>
    <t>e_wof_010</t>
  </si>
  <si>
    <t>wind offshore resource in cluster 10</t>
  </si>
  <si>
    <t>e_wof_011</t>
  </si>
  <si>
    <t>wind offshore resource in cluster 11</t>
  </si>
  <si>
    <t>e_wof_012</t>
  </si>
  <si>
    <t>wind offshore resource in cluster 12</t>
  </si>
  <si>
    <t>e_wof_013</t>
  </si>
  <si>
    <t>wind offshore resource in cluster 13</t>
  </si>
  <si>
    <t>e_wof_014</t>
  </si>
  <si>
    <t>wind offshore resource in cluster 14</t>
  </si>
  <si>
    <t>e_wof_015</t>
  </si>
  <si>
    <t>wind offshore resource in cluster 15</t>
  </si>
  <si>
    <t>e_wof_016</t>
  </si>
  <si>
    <t>wind offshore resource in cluster 16</t>
  </si>
  <si>
    <t>e_wof_017</t>
  </si>
  <si>
    <t>wind offshore resource in cluster 17</t>
  </si>
  <si>
    <t>e_wof_018</t>
  </si>
  <si>
    <t>wind offshore resource in cluster 18</t>
  </si>
  <si>
    <t>e_wof_019</t>
  </si>
  <si>
    <t>wind offshore resource in cluster 19</t>
  </si>
  <si>
    <t>e_wof_020</t>
  </si>
  <si>
    <t>wind offshore resource in cluster 20</t>
  </si>
  <si>
    <t>e_wof_021</t>
  </si>
  <si>
    <t>wind offshore resource in cluster 21</t>
  </si>
  <si>
    <t>e_wof_022</t>
  </si>
  <si>
    <t>wind offshore resource in cluster 22</t>
  </si>
  <si>
    <t>e_wof_023</t>
  </si>
  <si>
    <t>wind offshore resource in cluster 23</t>
  </si>
  <si>
    <t>e_wof_024</t>
  </si>
  <si>
    <t>wind offshore resource in cluster 24</t>
  </si>
  <si>
    <t>e_wof_025</t>
  </si>
  <si>
    <t>wind offshore resource in cluster 25</t>
  </si>
  <si>
    <t>e_wof_026</t>
  </si>
  <si>
    <t>wind offshore resource in cluster 26</t>
  </si>
  <si>
    <t>e_wof_027</t>
  </si>
  <si>
    <t>wind offshore resource in cluster 27</t>
  </si>
  <si>
    <t>e_wof_028</t>
  </si>
  <si>
    <t>wind offshore resource in cluster 28</t>
  </si>
  <si>
    <t>e_wof_029</t>
  </si>
  <si>
    <t>wind offshore resource in cluster 29</t>
  </si>
  <si>
    <t>e_wof_030</t>
  </si>
  <si>
    <t>wind offshore resource in cluster 30</t>
  </si>
  <si>
    <t>e_wof_031</t>
  </si>
  <si>
    <t>wind offshore resource in cluster 31</t>
  </si>
  <si>
    <t>e_wof_032</t>
  </si>
  <si>
    <t>wind offshore resource in cluster 32</t>
  </si>
  <si>
    <t>e_wof_033</t>
  </si>
  <si>
    <t>wind offshore resource in cluster 33</t>
  </si>
  <si>
    <t>e_wof_034</t>
  </si>
  <si>
    <t>wind offshore resource in cluster 34</t>
  </si>
  <si>
    <t>e_wof_035</t>
  </si>
  <si>
    <t>wind offshore resource in cluster 35</t>
  </si>
  <si>
    <t>e_wof_036</t>
  </si>
  <si>
    <t>wind offshore resource in cluster 36</t>
  </si>
  <si>
    <t>e_wof_037</t>
  </si>
  <si>
    <t>wind offshore resource in cluster 37</t>
  </si>
  <si>
    <t>e_wof_038</t>
  </si>
  <si>
    <t>wind offshore resource in cluster 38</t>
  </si>
  <si>
    <t>e_wof_039</t>
  </si>
  <si>
    <t>wind offshore resource in cluster 39</t>
  </si>
  <si>
    <t>e_wof_040</t>
  </si>
  <si>
    <t>wind offshore resource in cluster 40</t>
  </si>
  <si>
    <t>e_wof_041</t>
  </si>
  <si>
    <t>wind offshore resource in cluster 41</t>
  </si>
  <si>
    <t>e_wof_042</t>
  </si>
  <si>
    <t>wind offshore resource in cluster 42</t>
  </si>
  <si>
    <t>e_wof_043</t>
  </si>
  <si>
    <t>wind offshore resource in cluster 43</t>
  </si>
  <si>
    <t>e_wof_044</t>
  </si>
  <si>
    <t>wind offshore resource in cluster 44</t>
  </si>
  <si>
    <t>Bioenergy + CCUS</t>
  </si>
  <si>
    <t>ncap_af</t>
  </si>
  <si>
    <t>ncap_cost</t>
  </si>
  <si>
    <t>ncap_fom</t>
  </si>
  <si>
    <t>ncap_iled</t>
  </si>
  <si>
    <t>Bioenergy - Large scale unit</t>
  </si>
  <si>
    <t>CCGT</t>
  </si>
  <si>
    <t>CCGT + CCS</t>
  </si>
  <si>
    <t>Coal + CCS</t>
  </si>
  <si>
    <t>Gas turbine</t>
  </si>
  <si>
    <t>Hydropower - large-scale unit</t>
  </si>
  <si>
    <t>IGCC</t>
  </si>
  <si>
    <t>IGCC + CCS</t>
  </si>
  <si>
    <t>Nuclear large</t>
  </si>
  <si>
    <t>Oxyfuel + CCS</t>
  </si>
  <si>
    <t>Solar photovoltaics - Large scale unit</t>
  </si>
  <si>
    <t>Steam Coal - SUBCRITICAL</t>
  </si>
  <si>
    <t>Steam Coal - SUPERCRITICAL</t>
  </si>
  <si>
    <t>Steam Coal - ULTRASUPERCRITICAL</t>
  </si>
  <si>
    <t>Wind offshore</t>
  </si>
  <si>
    <t>unknown</t>
  </si>
  <si>
    <t>Wind onshore</t>
  </si>
  <si>
    <t>yes</t>
  </si>
  <si>
    <t>stepdown_JP28_1000to500</t>
  </si>
  <si>
    <t>e_JP28-1000</t>
  </si>
  <si>
    <t>e_JP28-500</t>
  </si>
  <si>
    <t>stepup_JP28_500to1000</t>
  </si>
  <si>
    <t>stepdown_w150035494_1000to500</t>
  </si>
  <si>
    <t>e_w150035494-1000</t>
  </si>
  <si>
    <t>e_w150035494-500</t>
  </si>
  <si>
    <t>stepup_w150035494_500to1000</t>
  </si>
  <si>
    <t>stepdown_w250540807_1000to500</t>
  </si>
  <si>
    <t>e_w250540807-1000</t>
  </si>
  <si>
    <t>e_w250540807-500</t>
  </si>
  <si>
    <t>stepup_w250540807_500to1000</t>
  </si>
  <si>
    <t>stepdown_w253566674_1000to500</t>
  </si>
  <si>
    <t>e_w253566674-1000</t>
  </si>
  <si>
    <t>e_w253566674-500</t>
  </si>
  <si>
    <t>stepup_w253566674_500to1000</t>
  </si>
  <si>
    <t>stepdown_w66098469_1000to500</t>
  </si>
  <si>
    <t>e_w66098469-1000</t>
  </si>
  <si>
    <t>e_w66098469-500</t>
  </si>
  <si>
    <t>stepup_w66098469_500to1000</t>
  </si>
  <si>
    <t>activityunit</t>
  </si>
  <si>
    <t>capacityunit</t>
  </si>
  <si>
    <t>Transformer: e_JP28-1000 → e_JP28-500</t>
  </si>
  <si>
    <t>Transformer: e_JP28-500 → e_JP28-1000</t>
  </si>
  <si>
    <t>Transformer: e_w150035494-1000 → e_w150035494-500</t>
  </si>
  <si>
    <t>Transformer: e_w150035494-500 → e_w150035494-1000</t>
  </si>
  <si>
    <t>Transformer: e_w250540807-1000 → e_w250540807-500</t>
  </si>
  <si>
    <t>Transformer: e_w250540807-500 → e_w250540807-1000</t>
  </si>
  <si>
    <t>Transformer: e_w253566674-1000 → e_w253566674-500</t>
  </si>
  <si>
    <t>Transformer: e_w253566674-500 → e_w253566674-1000</t>
  </si>
  <si>
    <t>Transformer: e_w66098469-1000 → e_w66098469-500</t>
  </si>
  <si>
    <t>Transformer: e_w66098469-500 → e_w66098469-1000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</si>
</sst>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\Te\x\t"/>
    <numFmt numFmtId="165" formatCode="&quot;$&quot;#,##0"/>
    <numFmt numFmtId="166" formatCode="0.0%"/>
    <numFmt numFmtId="167" formatCode="_-* #,##0.00_-;\-* #,##0.00_-;_-* &quot;-&quot;??_-;_-@_-"/>
    <numFmt numFmtId="168" formatCode="0.0"/>
    <numFmt numFmtId="169" formatCode="0.000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0"/>
      <name val="STKFLOW - 14 of 38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  <charset val="161"/>
      <scheme val="minor"/>
    </font>
    <font>
      <b/>
      <i/>
      <sz val="11"/>
      <color theme="1"/>
      <name val="游ゴシック"/>
    </font>
    <font>
      <b/>
      <sz val="13"/>
      <color theme="3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DBDBDB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indexed="64"/>
      </top>
      <bottom/>
      <diagonal/>
    </border>
    <border>
      <left style="thin">
        <color theme="1" tint="0.499984740745262"/>
      </left>
      <right/>
      <top style="thin">
        <color indexed="64"/>
      </top>
      <bottom/>
      <diagonal/>
    </border>
    <border>
      <left/>
      <right style="thin">
        <color theme="1" tint="0.499984740745262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theme="0" tint="-0.24994659260841701"/>
      </left>
      <right/>
      <top style="thin">
        <color indexed="64"/>
      </top>
      <bottom/>
      <diagonal/>
    </border>
    <border>
      <left/>
      <right style="thin">
        <color theme="0" tint="-0.24994659260841701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1" tint="0.499984740745262"/>
      </left>
      <right/>
      <top/>
      <bottom style="thin">
        <color indexed="64"/>
      </bottom>
      <diagonal/>
    </border>
    <border>
      <left/>
      <right style="thin">
        <color theme="1" tint="0.499984740745262"/>
      </right>
      <top/>
      <bottom style="thin">
        <color indexed="64"/>
      </bottom>
      <diagonal/>
    </border>
    <border>
      <left style="thin">
        <color theme="0" tint="-0.24994659260841701"/>
      </left>
      <right/>
      <top/>
      <bottom style="thin">
        <color indexed="64"/>
      </bottom>
      <diagonal/>
    </border>
    <border>
      <left/>
      <right style="thin">
        <color theme="0" tint="-0.24994659260841701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9">
    <xf numFmtId="0" fontId="0" fillId="0" borderId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4" fillId="0" borderId="0"/>
    <xf numFmtId="0" fontId="5" fillId="3" borderId="0" applyNumberFormat="0" applyBorder="0" applyAlignment="0" applyProtection="0"/>
    <xf numFmtId="0" fontId="6" fillId="4" borderId="0" applyNumberFormat="0" applyBorder="0" applyAlignment="0" applyProtection="0"/>
    <xf numFmtId="0" fontId="7" fillId="0" borderId="0"/>
    <xf numFmtId="0" fontId="8" fillId="0" borderId="0"/>
    <xf numFmtId="9" fontId="8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5" fillId="0" borderId="3" applyNumberFormat="0" applyFill="0" applyAlignment="0" applyProtection="0"/>
    <xf numFmtId="0" fontId="2" fillId="0" borderId="0" applyNumberFormat="0" applyFill="0" applyBorder="0" applyAlignment="0" applyProtection="0"/>
    <xf numFmtId="0" fontId="16" fillId="2" borderId="0" applyNumberFormat="0" applyBorder="0" applyAlignment="0" applyProtection="0"/>
  </cellStyleXfs>
  <cellXfs count="153">
    <xf numFmtId="0" fontId="0" fillId="0" borderId="0" xfId="0"/>
    <xf numFmtId="0" fontId="1" fillId="0" borderId="0" xfId="0" applyFont="1"/>
    <xf numFmtId="0" fontId="2" fillId="0" borderId="1" xfId="1"/>
    <xf numFmtId="164" fontId="0" fillId="0" borderId="0" xfId="0" applyNumberFormat="1"/>
    <xf numFmtId="2" fontId="0" fillId="0" borderId="0" xfId="0" applyNumberFormat="1"/>
    <xf numFmtId="164" fontId="7" fillId="0" borderId="0" xfId="6" applyNumberFormat="1"/>
    <xf numFmtId="0" fontId="7" fillId="0" borderId="0" xfId="6"/>
    <xf numFmtId="0" fontId="1" fillId="0" borderId="0" xfId="6" applyFont="1"/>
    <xf numFmtId="164" fontId="1" fillId="0" borderId="0" xfId="6" applyNumberFormat="1" applyFont="1"/>
    <xf numFmtId="2" fontId="7" fillId="0" borderId="0" xfId="6" applyNumberFormat="1"/>
    <xf numFmtId="0" fontId="9" fillId="0" borderId="0" xfId="7" applyFont="1"/>
    <xf numFmtId="0" fontId="8" fillId="0" borderId="0" xfId="7"/>
    <xf numFmtId="0" fontId="6" fillId="4" borderId="0" xfId="5"/>
    <xf numFmtId="0" fontId="9" fillId="5" borderId="0" xfId="7" applyFont="1" applyFill="1"/>
    <xf numFmtId="0" fontId="8" fillId="5" borderId="0" xfId="7" applyFill="1"/>
    <xf numFmtId="0" fontId="10" fillId="5" borderId="0" xfId="7" applyFont="1" applyFill="1"/>
    <xf numFmtId="165" fontId="11" fillId="5" borderId="0" xfId="7" applyNumberFormat="1" applyFont="1" applyFill="1"/>
    <xf numFmtId="1" fontId="8" fillId="5" borderId="0" xfId="7" applyNumberFormat="1" applyFill="1"/>
    <xf numFmtId="165" fontId="11" fillId="5" borderId="2" xfId="7" applyNumberFormat="1" applyFont="1" applyFill="1" applyBorder="1"/>
    <xf numFmtId="166" fontId="12" fillId="0" borderId="0" xfId="8" applyNumberFormat="1" applyFont="1"/>
    <xf numFmtId="0" fontId="4" fillId="0" borderId="0" xfId="15" applyAlignment="1">
      <alignment vertical="center"/>
    </xf>
    <xf numFmtId="0" fontId="1" fillId="0" borderId="0" xfId="15" applyFont="1" applyAlignment="1">
      <alignment vertical="center"/>
    </xf>
    <xf numFmtId="0" fontId="14" fillId="0" borderId="0" xfId="15" applyFont="1" applyAlignment="1">
      <alignment vertical="center"/>
    </xf>
    <xf numFmtId="0" fontId="1" fillId="0" borderId="0" xfId="15" applyFont="1" applyAlignment="1">
      <alignment horizontal="left"/>
    </xf>
    <xf numFmtId="0" fontId="6" fillId="4" borderId="0" xfId="5" applyAlignment="1">
      <alignment vertical="center"/>
    </xf>
    <xf numFmtId="0" fontId="6" fillId="4" borderId="0" xfId="5" applyAlignment="1">
      <alignment horizontal="right"/>
    </xf>
    <xf numFmtId="0" fontId="4" fillId="0" borderId="0" xfId="15"/>
    <xf numFmtId="0" fontId="18" fillId="6" borderId="0" xfId="0" applyFont="1" applyFill="1" applyAlignment="1">
      <alignment horizontal="center" vertical="center"/>
    </xf>
    <xf numFmtId="0" fontId="16" fillId="2" borderId="0" xfId="18" applyBorder="1" applyAlignment="1">
      <alignment horizontal="left" vertical="center"/>
    </xf>
    <xf numFmtId="0" fontId="18" fillId="6" borderId="0" xfId="0" applyFont="1" applyFill="1" applyAlignment="1">
      <alignment horizontal="left" vertical="center" wrapText="1"/>
    </xf>
    <xf numFmtId="0" fontId="18" fillId="6" borderId="8" xfId="0" applyFont="1" applyFill="1" applyBorder="1" applyAlignment="1">
      <alignment horizontal="left" vertical="center" wrapText="1"/>
    </xf>
    <xf numFmtId="0" fontId="18" fillId="6" borderId="9" xfId="0" applyFont="1" applyFill="1" applyBorder="1" applyAlignment="1">
      <alignment horizontal="left" vertical="center" wrapText="1"/>
    </xf>
    <xf numFmtId="0" fontId="18" fillId="6" borderId="10" xfId="0" applyFont="1" applyFill="1" applyBorder="1" applyAlignment="1">
      <alignment horizontal="left" vertical="center" wrapText="1"/>
    </xf>
    <xf numFmtId="0" fontId="18" fillId="6" borderId="11" xfId="0" applyFont="1" applyFill="1" applyBorder="1" applyAlignment="1">
      <alignment horizontal="left" vertical="center" wrapText="1"/>
    </xf>
    <xf numFmtId="0" fontId="19" fillId="7" borderId="0" xfId="0" applyFont="1" applyFill="1" applyAlignment="1">
      <alignment vertical="center"/>
    </xf>
    <xf numFmtId="168" fontId="19" fillId="7" borderId="8" xfId="0" applyNumberFormat="1" applyFont="1" applyFill="1" applyBorder="1" applyAlignment="1">
      <alignment vertical="center"/>
    </xf>
    <xf numFmtId="168" fontId="19" fillId="7" borderId="0" xfId="0" applyNumberFormat="1" applyFont="1" applyFill="1" applyAlignment="1">
      <alignment vertical="center"/>
    </xf>
    <xf numFmtId="168" fontId="19" fillId="7" borderId="9" xfId="0" applyNumberFormat="1" applyFont="1" applyFill="1" applyBorder="1" applyAlignment="1">
      <alignment vertical="center"/>
    </xf>
    <xf numFmtId="2" fontId="19" fillId="7" borderId="0" xfId="0" applyNumberFormat="1" applyFont="1" applyFill="1" applyAlignment="1">
      <alignment vertical="center"/>
    </xf>
    <xf numFmtId="2" fontId="19" fillId="7" borderId="10" xfId="0" applyNumberFormat="1" applyFont="1" applyFill="1" applyBorder="1" applyAlignment="1">
      <alignment vertical="center"/>
    </xf>
    <xf numFmtId="2" fontId="19" fillId="7" borderId="11" xfId="0" applyNumberFormat="1" applyFont="1" applyFill="1" applyBorder="1" applyAlignment="1">
      <alignment vertical="center"/>
    </xf>
    <xf numFmtId="0" fontId="19" fillId="7" borderId="12" xfId="0" applyFont="1" applyFill="1" applyBorder="1" applyAlignment="1">
      <alignment horizontal="left" vertical="center"/>
    </xf>
    <xf numFmtId="0" fontId="19" fillId="7" borderId="0" xfId="0" applyFont="1" applyFill="1" applyAlignment="1">
      <alignment horizontal="left" vertical="center"/>
    </xf>
    <xf numFmtId="0" fontId="19" fillId="8" borderId="0" xfId="0" applyFont="1" applyFill="1" applyAlignment="1">
      <alignment vertical="center"/>
    </xf>
    <xf numFmtId="168" fontId="19" fillId="8" borderId="8" xfId="0" applyNumberFormat="1" applyFont="1" applyFill="1" applyBorder="1" applyAlignment="1">
      <alignment vertical="center"/>
    </xf>
    <xf numFmtId="168" fontId="19" fillId="8" borderId="0" xfId="0" applyNumberFormat="1" applyFont="1" applyFill="1" applyAlignment="1">
      <alignment vertical="center"/>
    </xf>
    <xf numFmtId="168" fontId="19" fillId="8" borderId="9" xfId="0" applyNumberFormat="1" applyFont="1" applyFill="1" applyBorder="1" applyAlignment="1">
      <alignment vertical="center"/>
    </xf>
    <xf numFmtId="2" fontId="19" fillId="8" borderId="0" xfId="0" applyNumberFormat="1" applyFont="1" applyFill="1" applyAlignment="1">
      <alignment vertical="center"/>
    </xf>
    <xf numFmtId="2" fontId="19" fillId="8" borderId="10" xfId="0" applyNumberFormat="1" applyFont="1" applyFill="1" applyBorder="1" applyAlignment="1">
      <alignment vertical="center"/>
    </xf>
    <xf numFmtId="2" fontId="19" fillId="8" borderId="11" xfId="0" applyNumberFormat="1" applyFont="1" applyFill="1" applyBorder="1" applyAlignment="1">
      <alignment vertical="center"/>
    </xf>
    <xf numFmtId="0" fontId="19" fillId="8" borderId="12" xfId="0" applyFont="1" applyFill="1" applyBorder="1" applyAlignment="1">
      <alignment horizontal="left" vertical="center"/>
    </xf>
    <xf numFmtId="0" fontId="19" fillId="8" borderId="0" xfId="0" applyFont="1" applyFill="1" applyAlignment="1">
      <alignment horizontal="left" vertical="center"/>
    </xf>
    <xf numFmtId="1" fontId="19" fillId="8" borderId="0" xfId="0" applyNumberFormat="1" applyFont="1" applyFill="1" applyAlignment="1">
      <alignment vertical="center"/>
    </xf>
    <xf numFmtId="1" fontId="19" fillId="7" borderId="0" xfId="0" applyNumberFormat="1" applyFont="1" applyFill="1" applyAlignment="1">
      <alignment vertical="center"/>
    </xf>
    <xf numFmtId="0" fontId="20" fillId="9" borderId="0" xfId="0" applyFont="1" applyFill="1" applyAlignment="1">
      <alignment vertical="center"/>
    </xf>
    <xf numFmtId="168" fontId="20" fillId="9" borderId="8" xfId="0" applyNumberFormat="1" applyFont="1" applyFill="1" applyBorder="1" applyAlignment="1">
      <alignment vertical="center"/>
    </xf>
    <xf numFmtId="168" fontId="20" fillId="9" borderId="0" xfId="0" applyNumberFormat="1" applyFont="1" applyFill="1" applyAlignment="1">
      <alignment vertical="center"/>
    </xf>
    <xf numFmtId="168" fontId="20" fillId="9" borderId="9" xfId="0" applyNumberFormat="1" applyFont="1" applyFill="1" applyBorder="1" applyAlignment="1">
      <alignment vertical="center"/>
    </xf>
    <xf numFmtId="169" fontId="20" fillId="9" borderId="8" xfId="0" applyNumberFormat="1" applyFont="1" applyFill="1" applyBorder="1" applyAlignment="1">
      <alignment vertical="center"/>
    </xf>
    <xf numFmtId="169" fontId="20" fillId="9" borderId="0" xfId="0" applyNumberFormat="1" applyFont="1" applyFill="1" applyAlignment="1">
      <alignment vertical="center"/>
    </xf>
    <xf numFmtId="169" fontId="20" fillId="9" borderId="10" xfId="0" applyNumberFormat="1" applyFont="1" applyFill="1" applyBorder="1" applyAlignment="1">
      <alignment vertical="center"/>
    </xf>
    <xf numFmtId="169" fontId="20" fillId="9" borderId="11" xfId="0" applyNumberFormat="1" applyFont="1" applyFill="1" applyBorder="1" applyAlignment="1">
      <alignment vertical="center"/>
    </xf>
    <xf numFmtId="0" fontId="20" fillId="9" borderId="12" xfId="0" applyFont="1" applyFill="1" applyBorder="1" applyAlignment="1">
      <alignment horizontal="left" vertical="center"/>
    </xf>
    <xf numFmtId="0" fontId="20" fillId="9" borderId="0" xfId="0" applyFont="1" applyFill="1" applyAlignment="1">
      <alignment horizontal="left" vertical="center"/>
    </xf>
    <xf numFmtId="0" fontId="19" fillId="10" borderId="0" xfId="0" applyFont="1" applyFill="1" applyAlignment="1">
      <alignment vertical="center"/>
    </xf>
    <xf numFmtId="168" fontId="19" fillId="10" borderId="8" xfId="0" applyNumberFormat="1" applyFont="1" applyFill="1" applyBorder="1" applyAlignment="1">
      <alignment vertical="center"/>
    </xf>
    <xf numFmtId="168" fontId="19" fillId="10" borderId="0" xfId="0" applyNumberFormat="1" applyFont="1" applyFill="1" applyAlignment="1">
      <alignment vertical="center"/>
    </xf>
    <xf numFmtId="168" fontId="19" fillId="10" borderId="9" xfId="0" applyNumberFormat="1" applyFont="1" applyFill="1" applyBorder="1" applyAlignment="1">
      <alignment vertical="center"/>
    </xf>
    <xf numFmtId="169" fontId="19" fillId="10" borderId="8" xfId="0" applyNumberFormat="1" applyFont="1" applyFill="1" applyBorder="1" applyAlignment="1">
      <alignment vertical="center"/>
    </xf>
    <xf numFmtId="169" fontId="19" fillId="10" borderId="0" xfId="0" applyNumberFormat="1" applyFont="1" applyFill="1" applyAlignment="1">
      <alignment vertical="center"/>
    </xf>
    <xf numFmtId="169" fontId="19" fillId="10" borderId="10" xfId="0" applyNumberFormat="1" applyFont="1" applyFill="1" applyBorder="1" applyAlignment="1">
      <alignment vertical="center"/>
    </xf>
    <xf numFmtId="169" fontId="19" fillId="10" borderId="11" xfId="0" applyNumberFormat="1" applyFont="1" applyFill="1" applyBorder="1" applyAlignment="1">
      <alignment vertical="center"/>
    </xf>
    <xf numFmtId="0" fontId="19" fillId="10" borderId="12" xfId="0" applyFont="1" applyFill="1" applyBorder="1" applyAlignment="1">
      <alignment horizontal="left" vertical="center"/>
    </xf>
    <xf numFmtId="0" fontId="19" fillId="10" borderId="0" xfId="0" applyFont="1" applyFill="1" applyAlignment="1">
      <alignment horizontal="left" vertical="center"/>
    </xf>
    <xf numFmtId="0" fontId="19" fillId="11" borderId="0" xfId="0" applyFont="1" applyFill="1" applyAlignment="1">
      <alignment vertical="center"/>
    </xf>
    <xf numFmtId="168" fontId="19" fillId="11" borderId="8" xfId="0" applyNumberFormat="1" applyFont="1" applyFill="1" applyBorder="1" applyAlignment="1">
      <alignment vertical="center"/>
    </xf>
    <xf numFmtId="168" fontId="19" fillId="11" borderId="0" xfId="0" applyNumberFormat="1" applyFont="1" applyFill="1" applyAlignment="1">
      <alignment vertical="center"/>
    </xf>
    <xf numFmtId="168" fontId="19" fillId="11" borderId="9" xfId="0" applyNumberFormat="1" applyFont="1" applyFill="1" applyBorder="1" applyAlignment="1">
      <alignment vertical="center"/>
    </xf>
    <xf numFmtId="169" fontId="19" fillId="11" borderId="8" xfId="0" applyNumberFormat="1" applyFont="1" applyFill="1" applyBorder="1" applyAlignment="1">
      <alignment vertical="center"/>
    </xf>
    <xf numFmtId="169" fontId="19" fillId="11" borderId="0" xfId="0" applyNumberFormat="1" applyFont="1" applyFill="1" applyAlignment="1">
      <alignment vertical="center"/>
    </xf>
    <xf numFmtId="169" fontId="19" fillId="11" borderId="10" xfId="0" applyNumberFormat="1" applyFont="1" applyFill="1" applyBorder="1" applyAlignment="1">
      <alignment vertical="center"/>
    </xf>
    <xf numFmtId="169" fontId="19" fillId="11" borderId="11" xfId="0" applyNumberFormat="1" applyFont="1" applyFill="1" applyBorder="1" applyAlignment="1">
      <alignment vertical="center"/>
    </xf>
    <xf numFmtId="0" fontId="19" fillId="11" borderId="12" xfId="0" applyFont="1" applyFill="1" applyBorder="1" applyAlignment="1">
      <alignment horizontal="left" vertical="center"/>
    </xf>
    <xf numFmtId="0" fontId="19" fillId="11" borderId="0" xfId="0" applyFont="1" applyFill="1" applyAlignment="1">
      <alignment horizontal="left" vertical="center"/>
    </xf>
    <xf numFmtId="0" fontId="19" fillId="12" borderId="4" xfId="0" applyFont="1" applyFill="1" applyBorder="1" applyAlignment="1">
      <alignment vertical="center"/>
    </xf>
    <xf numFmtId="168" fontId="19" fillId="12" borderId="5" xfId="0" applyNumberFormat="1" applyFont="1" applyFill="1" applyBorder="1" applyAlignment="1">
      <alignment vertical="center"/>
    </xf>
    <xf numFmtId="168" fontId="19" fillId="12" borderId="4" xfId="0" applyNumberFormat="1" applyFont="1" applyFill="1" applyBorder="1" applyAlignment="1">
      <alignment vertical="center"/>
    </xf>
    <xf numFmtId="168" fontId="19" fillId="12" borderId="6" xfId="0" applyNumberFormat="1" applyFont="1" applyFill="1" applyBorder="1" applyAlignment="1">
      <alignment vertical="center"/>
    </xf>
    <xf numFmtId="169" fontId="20" fillId="12" borderId="5" xfId="0" applyNumberFormat="1" applyFont="1" applyFill="1" applyBorder="1" applyAlignment="1">
      <alignment vertical="center"/>
    </xf>
    <xf numFmtId="169" fontId="20" fillId="12" borderId="4" xfId="0" applyNumberFormat="1" applyFont="1" applyFill="1" applyBorder="1" applyAlignment="1">
      <alignment vertical="center"/>
    </xf>
    <xf numFmtId="169" fontId="20" fillId="12" borderId="13" xfId="0" applyNumberFormat="1" applyFont="1" applyFill="1" applyBorder="1" applyAlignment="1">
      <alignment vertical="center"/>
    </xf>
    <xf numFmtId="169" fontId="20" fillId="12" borderId="14" xfId="0" applyNumberFormat="1" applyFont="1" applyFill="1" applyBorder="1" applyAlignment="1">
      <alignment vertical="center"/>
    </xf>
    <xf numFmtId="0" fontId="19" fillId="12" borderId="7" xfId="0" applyFont="1" applyFill="1" applyBorder="1" applyAlignment="1">
      <alignment horizontal="left" vertical="center"/>
    </xf>
    <xf numFmtId="0" fontId="19" fillId="12" borderId="0" xfId="0" applyFont="1" applyFill="1" applyAlignment="1">
      <alignment horizontal="left" vertical="center"/>
    </xf>
    <xf numFmtId="0" fontId="19" fillId="13" borderId="0" xfId="0" applyFont="1" applyFill="1" applyAlignment="1">
      <alignment vertical="center"/>
    </xf>
    <xf numFmtId="0" fontId="19" fillId="14" borderId="0" xfId="0" applyFont="1" applyFill="1" applyAlignment="1">
      <alignment vertical="center"/>
    </xf>
    <xf numFmtId="168" fontId="19" fillId="14" borderId="8" xfId="0" applyNumberFormat="1" applyFont="1" applyFill="1" applyBorder="1" applyAlignment="1">
      <alignment vertical="center"/>
    </xf>
    <xf numFmtId="168" fontId="19" fillId="14" borderId="0" xfId="0" applyNumberFormat="1" applyFont="1" applyFill="1" applyAlignment="1">
      <alignment vertical="center"/>
    </xf>
    <xf numFmtId="168" fontId="19" fillId="14" borderId="9" xfId="0" applyNumberFormat="1" applyFont="1" applyFill="1" applyBorder="1" applyAlignment="1">
      <alignment vertical="center"/>
    </xf>
    <xf numFmtId="169" fontId="20" fillId="14" borderId="8" xfId="0" applyNumberFormat="1" applyFont="1" applyFill="1" applyBorder="1" applyAlignment="1">
      <alignment vertical="center"/>
    </xf>
    <xf numFmtId="169" fontId="20" fillId="14" borderId="0" xfId="0" applyNumberFormat="1" applyFont="1" applyFill="1" applyAlignment="1">
      <alignment vertical="center"/>
    </xf>
    <xf numFmtId="169" fontId="20" fillId="14" borderId="10" xfId="0" applyNumberFormat="1" applyFont="1" applyFill="1" applyBorder="1" applyAlignment="1">
      <alignment vertical="center"/>
    </xf>
    <xf numFmtId="169" fontId="20" fillId="14" borderId="11" xfId="0" applyNumberFormat="1" applyFont="1" applyFill="1" applyBorder="1" applyAlignment="1">
      <alignment vertical="center"/>
    </xf>
    <xf numFmtId="0" fontId="19" fillId="13" borderId="12" xfId="0" applyFont="1" applyFill="1" applyBorder="1" applyAlignment="1">
      <alignment horizontal="left" vertical="center"/>
    </xf>
    <xf numFmtId="0" fontId="19" fillId="13" borderId="0" xfId="0" applyFont="1" applyFill="1" applyAlignment="1">
      <alignment horizontal="left" vertical="center"/>
    </xf>
    <xf numFmtId="0" fontId="19" fillId="12" borderId="15" xfId="0" applyFont="1" applyFill="1" applyBorder="1" applyAlignment="1">
      <alignment vertical="center"/>
    </xf>
    <xf numFmtId="168" fontId="19" fillId="12" borderId="16" xfId="0" applyNumberFormat="1" applyFont="1" applyFill="1" applyBorder="1" applyAlignment="1">
      <alignment vertical="center"/>
    </xf>
    <xf numFmtId="168" fontId="19" fillId="12" borderId="15" xfId="0" applyNumberFormat="1" applyFont="1" applyFill="1" applyBorder="1" applyAlignment="1">
      <alignment vertical="center"/>
    </xf>
    <xf numFmtId="168" fontId="19" fillId="12" borderId="17" xfId="0" applyNumberFormat="1" applyFont="1" applyFill="1" applyBorder="1" applyAlignment="1">
      <alignment vertical="center"/>
    </xf>
    <xf numFmtId="169" fontId="20" fillId="12" borderId="16" xfId="0" applyNumberFormat="1" applyFont="1" applyFill="1" applyBorder="1" applyAlignment="1">
      <alignment vertical="center"/>
    </xf>
    <xf numFmtId="169" fontId="20" fillId="12" borderId="15" xfId="0" applyNumberFormat="1" applyFont="1" applyFill="1" applyBorder="1" applyAlignment="1">
      <alignment vertical="center"/>
    </xf>
    <xf numFmtId="169" fontId="20" fillId="12" borderId="18" xfId="0" applyNumberFormat="1" applyFont="1" applyFill="1" applyBorder="1" applyAlignment="1">
      <alignment vertical="center"/>
    </xf>
    <xf numFmtId="169" fontId="20" fillId="12" borderId="19" xfId="0" applyNumberFormat="1" applyFont="1" applyFill="1" applyBorder="1" applyAlignment="1">
      <alignment vertical="center"/>
    </xf>
    <xf numFmtId="0" fontId="19" fillId="12" borderId="20" xfId="0" applyFont="1" applyFill="1" applyBorder="1" applyAlignment="1">
      <alignment horizontal="left" vertical="center"/>
    </xf>
    <xf numFmtId="1" fontId="19" fillId="15" borderId="0" xfId="0" applyNumberFormat="1" applyFont="1" applyFill="1" applyAlignment="1">
      <alignment vertical="center"/>
    </xf>
    <xf numFmtId="168" fontId="19" fillId="15" borderId="8" xfId="0" applyNumberFormat="1" applyFont="1" applyFill="1" applyBorder="1" applyAlignment="1">
      <alignment vertical="center"/>
    </xf>
    <xf numFmtId="168" fontId="19" fillId="15" borderId="0" xfId="0" applyNumberFormat="1" applyFont="1" applyFill="1" applyAlignment="1">
      <alignment vertical="center"/>
    </xf>
    <xf numFmtId="168" fontId="19" fillId="15" borderId="9" xfId="0" applyNumberFormat="1" applyFont="1" applyFill="1" applyBorder="1" applyAlignment="1">
      <alignment vertical="center"/>
    </xf>
    <xf numFmtId="169" fontId="19" fillId="15" borderId="8" xfId="0" applyNumberFormat="1" applyFont="1" applyFill="1" applyBorder="1" applyAlignment="1">
      <alignment vertical="center"/>
    </xf>
    <xf numFmtId="169" fontId="19" fillId="15" borderId="0" xfId="0" applyNumberFormat="1" applyFont="1" applyFill="1" applyAlignment="1">
      <alignment vertical="center"/>
    </xf>
    <xf numFmtId="169" fontId="19" fillId="15" borderId="10" xfId="0" applyNumberFormat="1" applyFont="1" applyFill="1" applyBorder="1" applyAlignment="1">
      <alignment vertical="center"/>
    </xf>
    <xf numFmtId="169" fontId="19" fillId="15" borderId="11" xfId="0" applyNumberFormat="1" applyFont="1" applyFill="1" applyBorder="1" applyAlignment="1">
      <alignment vertical="center"/>
    </xf>
    <xf numFmtId="0" fontId="19" fillId="15" borderId="12" xfId="0" applyFont="1" applyFill="1" applyBorder="1" applyAlignment="1">
      <alignment horizontal="left" vertical="center"/>
    </xf>
    <xf numFmtId="0" fontId="19" fillId="15" borderId="0" xfId="0" applyFont="1" applyFill="1" applyAlignment="1">
      <alignment horizontal="left" vertical="center"/>
    </xf>
    <xf numFmtId="1" fontId="19" fillId="16" borderId="0" xfId="0" applyNumberFormat="1" applyFont="1" applyFill="1" applyAlignment="1">
      <alignment vertical="center"/>
    </xf>
    <xf numFmtId="168" fontId="19" fillId="16" borderId="8" xfId="0" applyNumberFormat="1" applyFont="1" applyFill="1" applyBorder="1" applyAlignment="1">
      <alignment vertical="center"/>
    </xf>
    <xf numFmtId="168" fontId="19" fillId="16" borderId="0" xfId="0" applyNumberFormat="1" applyFont="1" applyFill="1" applyAlignment="1">
      <alignment vertical="center"/>
    </xf>
    <xf numFmtId="168" fontId="19" fillId="16" borderId="9" xfId="0" applyNumberFormat="1" applyFont="1" applyFill="1" applyBorder="1" applyAlignment="1">
      <alignment vertical="center"/>
    </xf>
    <xf numFmtId="169" fontId="19" fillId="16" borderId="8" xfId="0" applyNumberFormat="1" applyFont="1" applyFill="1" applyBorder="1" applyAlignment="1">
      <alignment vertical="center"/>
    </xf>
    <xf numFmtId="169" fontId="19" fillId="16" borderId="0" xfId="0" applyNumberFormat="1" applyFont="1" applyFill="1" applyAlignment="1">
      <alignment vertical="center"/>
    </xf>
    <xf numFmtId="169" fontId="19" fillId="16" borderId="10" xfId="0" applyNumberFormat="1" applyFont="1" applyFill="1" applyBorder="1" applyAlignment="1">
      <alignment vertical="center"/>
    </xf>
    <xf numFmtId="169" fontId="19" fillId="16" borderId="11" xfId="0" applyNumberFormat="1" applyFont="1" applyFill="1" applyBorder="1" applyAlignment="1">
      <alignment vertical="center"/>
    </xf>
    <xf numFmtId="0" fontId="19" fillId="16" borderId="12" xfId="0" applyFont="1" applyFill="1" applyBorder="1" applyAlignment="1">
      <alignment horizontal="left" vertical="center"/>
    </xf>
    <xf numFmtId="0" fontId="19" fillId="16" borderId="0" xfId="0" applyFont="1" applyFill="1" applyAlignment="1">
      <alignment horizontal="left" vertical="center"/>
    </xf>
    <xf numFmtId="0" fontId="19" fillId="15" borderId="15" xfId="0" applyFont="1" applyFill="1" applyBorder="1" applyAlignment="1">
      <alignment vertical="center"/>
    </xf>
    <xf numFmtId="168" fontId="19" fillId="15" borderId="16" xfId="0" applyNumberFormat="1" applyFont="1" applyFill="1" applyBorder="1" applyAlignment="1">
      <alignment vertical="center"/>
    </xf>
    <xf numFmtId="168" fontId="19" fillId="15" borderId="15" xfId="0" applyNumberFormat="1" applyFont="1" applyFill="1" applyBorder="1" applyAlignment="1">
      <alignment vertical="center"/>
    </xf>
    <xf numFmtId="168" fontId="19" fillId="15" borderId="17" xfId="0" applyNumberFormat="1" applyFont="1" applyFill="1" applyBorder="1" applyAlignment="1">
      <alignment vertical="center"/>
    </xf>
    <xf numFmtId="169" fontId="19" fillId="15" borderId="16" xfId="0" applyNumberFormat="1" applyFont="1" applyFill="1" applyBorder="1" applyAlignment="1">
      <alignment vertical="center"/>
    </xf>
    <xf numFmtId="169" fontId="19" fillId="15" borderId="15" xfId="0" applyNumberFormat="1" applyFont="1" applyFill="1" applyBorder="1" applyAlignment="1">
      <alignment vertical="center"/>
    </xf>
    <xf numFmtId="169" fontId="19" fillId="15" borderId="18" xfId="0" applyNumberFormat="1" applyFont="1" applyFill="1" applyBorder="1" applyAlignment="1">
      <alignment vertical="center"/>
    </xf>
    <xf numFmtId="169" fontId="19" fillId="15" borderId="19" xfId="0" applyNumberFormat="1" applyFont="1" applyFill="1" applyBorder="1" applyAlignment="1">
      <alignment vertical="center"/>
    </xf>
    <xf numFmtId="0" fontId="19" fillId="15" borderId="20" xfId="0" applyFont="1" applyFill="1" applyBorder="1" applyAlignment="1">
      <alignment horizontal="left" vertical="center"/>
    </xf>
    <xf numFmtId="0" fontId="15" fillId="0" borderId="3" xfId="16"/>
    <xf numFmtId="0" fontId="2" fillId="0" borderId="0" xfId="17"/>
    <xf numFmtId="1" fontId="0" fillId="0" borderId="0" xfId="0" applyNumberFormat="1"/>
    <xf numFmtId="1" fontId="17" fillId="0" borderId="0" xfId="0" applyNumberFormat="1" applyFont="1"/>
    <xf numFmtId="0" fontId="18" fillId="6" borderId="4" xfId="0" applyFont="1" applyFill="1" applyBorder="1" applyAlignment="1">
      <alignment horizontal="center" vertical="center" wrapText="1"/>
    </xf>
    <xf numFmtId="0" fontId="18" fillId="6" borderId="5" xfId="0" applyFont="1" applyFill="1" applyBorder="1" applyAlignment="1">
      <alignment horizontal="center" vertical="center" wrapText="1"/>
    </xf>
    <xf numFmtId="0" fontId="18" fillId="6" borderId="6" xfId="0" applyFont="1" applyFill="1" applyBorder="1" applyAlignment="1">
      <alignment horizontal="center" vertical="center" wrapText="1"/>
    </xf>
    <xf numFmtId="0" fontId="18" fillId="6" borderId="7" xfId="0" applyFont="1" applyFill="1" applyBorder="1" applyAlignment="1">
      <alignment horizontal="center" vertical="center"/>
    </xf>
    <xf numFmtId="0" fontId="18" fillId="6" borderId="0" xfId="0" applyFont="1" applyFill="1" applyAlignment="1">
      <alignment horizontal="center" vertical="center"/>
    </xf>
    <xf numFmtId="0" fontId="18" fillId="6" borderId="12" xfId="0" applyFont="1" applyFill="1" applyBorder="1" applyAlignment="1">
      <alignment horizontal="center" vertical="center"/>
    </xf>
  </cellXfs>
  <cellStyles count="19">
    <cellStyle name="20% - Accent3 3 2" xfId="4" xr:uid="{ABC4988B-8BA7-47D0-A9D6-448C999748B6}"/>
    <cellStyle name="Comma 2" xfId="9" xr:uid="{DF4BF3A2-D7A3-47EF-AC54-A7FAB7C9E75A}"/>
    <cellStyle name="Good" xfId="5" builtinId="26"/>
    <cellStyle name="Heading 2" xfId="16" builtinId="17"/>
    <cellStyle name="Heading 3" xfId="1" builtinId="18"/>
    <cellStyle name="Heading 4" xfId="17" builtinId="19"/>
    <cellStyle name="Neutral" xfId="18" builtinId="28"/>
    <cellStyle name="Neutral 2" xfId="2" xr:uid="{3BCEFBE8-9934-4FD3-8457-D9BAD006E4B1}"/>
    <cellStyle name="Normal" xfId="0" builtinId="0"/>
    <cellStyle name="Normal 10" xfId="15" xr:uid="{9E72CD5A-5E8E-4F4A-BAA7-54C5D99D2714}"/>
    <cellStyle name="Normal 2" xfId="11" xr:uid="{BA9D4942-E3CF-409B-BCDE-38EDFD9D6F29}"/>
    <cellStyle name="Normal 3" xfId="3" xr:uid="{5030BCE0-FC65-47A7-9892-47CF2F6D47AC}"/>
    <cellStyle name="Normal 3 2" xfId="6" xr:uid="{9B8EF505-F528-4131-8F0F-83EBFBF25AE1}"/>
    <cellStyle name="Normal 4" xfId="7" xr:uid="{C9EADCC0-E05D-4CAA-AD1B-687D16D77867}"/>
    <cellStyle name="Normal 4 2" xfId="12" xr:uid="{91361594-6ABA-41C3-AAFC-59E0F69BF033}"/>
    <cellStyle name="Normal 5" xfId="13" xr:uid="{249A49C2-5C59-4012-BA96-9AABBBDE472F}"/>
    <cellStyle name="Normal 5 2" xfId="14" xr:uid="{23F20049-36C2-4A53-BDCA-3499D1C90EE1}"/>
    <cellStyle name="Normal 6" xfId="10" xr:uid="{7F616784-26AC-4FA4-9A32-4DE4FFE70B6B}"/>
    <cellStyle name="Percent 4" xfId="8" xr:uid="{CACF3872-4D05-4235-AEE5-387E165BA7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VEDA/Veda/Veda_models/Tiam_framework_Kapsarc/SubRes_Tmpl/SubRES_H2-Productio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ELC_Lists"/>
      <sheetName val="Costs"/>
      <sheetName val="Costs-China"/>
      <sheetName val="ELC_Efficiency"/>
      <sheetName val="Emissions"/>
      <sheetName val="Constraints"/>
      <sheetName val="Lifetime"/>
      <sheetName val="Sector Delivery Mark-Ups"/>
      <sheetName val="TRA_SectFuel"/>
      <sheetName val="Costs (Optimistic)"/>
      <sheetName val="Efficiency (Optimistic)"/>
    </sheetNames>
    <sheetDataSet>
      <sheetData sheetId="0" refreshError="1"/>
      <sheetData sheetId="1">
        <row r="4">
          <cell r="H4" t="str">
            <v>Natural Gas with CCS</v>
          </cell>
          <cell r="K4" t="str">
            <v>Coal</v>
          </cell>
          <cell r="N4" t="str">
            <v>Residential</v>
          </cell>
        </row>
        <row r="5">
          <cell r="H5" t="str">
            <v>Electrolysis</v>
          </cell>
          <cell r="K5" t="str">
            <v>Gas</v>
          </cell>
          <cell r="N5" t="str">
            <v>Commercial</v>
          </cell>
        </row>
        <row r="6">
          <cell r="H6" t="str">
            <v>Coal Gasification with CCS</v>
          </cell>
          <cell r="K6" t="str">
            <v>Petcoke</v>
          </cell>
          <cell r="N6" t="str">
            <v>Industry</v>
          </cell>
        </row>
        <row r="7">
          <cell r="H7" t="str">
            <v>Biomass with CCS</v>
          </cell>
          <cell r="K7" t="str">
            <v>Biomass</v>
          </cell>
        </row>
        <row r="8">
          <cell r="K8" t="str">
            <v>HFO</v>
          </cell>
        </row>
        <row r="9">
          <cell r="K9" t="str">
            <v>Diesel</v>
          </cell>
        </row>
        <row r="10">
          <cell r="K10" t="str">
            <v>Waste</v>
          </cell>
        </row>
        <row r="11">
          <cell r="K11" t="str">
            <v>Electricity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C1C47-C7B1-48B4-9602-2B825216B37E}">
  <dimension ref="B2:V19"/>
  <sheetViews>
    <sheetView workbookViewId="0">
      <selection activeCell="G9" sqref="G9"/>
    </sheetView>
  </sheetViews>
  <sheetFormatPr defaultRowHeight="14.25"/>
  <cols>
    <col min="2" max="2" width="10.1328125" bestFit="1" customWidth="1"/>
    <col min="3" max="3" width="17.9296875" bestFit="1" customWidth="1"/>
    <col min="4" max="4" width="8.06640625" bestFit="1" customWidth="1"/>
    <col min="5" max="5" width="4.3984375" bestFit="1" customWidth="1"/>
    <col min="6" max="6" width="4.59765625" bestFit="1" customWidth="1"/>
    <col min="7" max="7" width="7.59765625" bestFit="1" customWidth="1"/>
    <col min="10" max="10" width="17.9296875" bestFit="1" customWidth="1"/>
    <col min="11" max="11" width="8.1328125" bestFit="1" customWidth="1"/>
    <col min="12" max="12" width="32.19921875" bestFit="1" customWidth="1"/>
    <col min="13" max="13" width="3.3984375" bestFit="1" customWidth="1"/>
    <col min="14" max="14" width="7.73046875" bestFit="1" customWidth="1"/>
    <col min="15" max="15" width="6.9296875" bestFit="1" customWidth="1"/>
    <col min="17" max="17" width="3.73046875" bestFit="1" customWidth="1"/>
    <col min="22" max="22" width="4.265625" bestFit="1" customWidth="1"/>
  </cols>
  <sheetData>
    <row r="2" spans="2:22" ht="14.65" thickBot="1">
      <c r="B2" s="2" t="s">
        <v>0</v>
      </c>
      <c r="L2" s="2" t="s">
        <v>102</v>
      </c>
      <c r="N2" s="1"/>
      <c r="O2" s="1"/>
      <c r="P2" s="1"/>
      <c r="Q2" s="1"/>
    </row>
    <row r="3" spans="2:22">
      <c r="B3" s="1" t="s">
        <v>6</v>
      </c>
      <c r="C3" s="1" t="s">
        <v>1</v>
      </c>
      <c r="D3" s="1" t="s">
        <v>7</v>
      </c>
      <c r="E3" s="1" t="s">
        <v>9</v>
      </c>
      <c r="F3" s="1" t="s">
        <v>8</v>
      </c>
      <c r="G3" s="1" t="s">
        <v>11</v>
      </c>
      <c r="J3" s="1" t="s">
        <v>12</v>
      </c>
      <c r="K3" s="1" t="s">
        <v>2</v>
      </c>
      <c r="L3" s="1" t="s">
        <v>3</v>
      </c>
      <c r="M3" t="s">
        <v>4</v>
      </c>
      <c r="N3" t="s">
        <v>5</v>
      </c>
      <c r="O3" s="1" t="s">
        <v>30</v>
      </c>
      <c r="P3" s="1">
        <v>2022</v>
      </c>
      <c r="Q3" s="1">
        <v>0</v>
      </c>
      <c r="R3" t="s">
        <v>101</v>
      </c>
      <c r="S3" t="s">
        <v>105</v>
      </c>
    </row>
    <row r="4" spans="2:22">
      <c r="B4" s="1" t="s">
        <v>17</v>
      </c>
      <c r="C4" s="1" t="s">
        <v>13</v>
      </c>
      <c r="E4" s="1" t="s">
        <v>21</v>
      </c>
      <c r="F4" t="s">
        <v>10</v>
      </c>
      <c r="G4" t="s">
        <v>14</v>
      </c>
      <c r="J4" s="1" t="str">
        <f>C4</f>
        <v>ElcAgg_Solar</v>
      </c>
      <c r="L4" s="1" t="s">
        <v>15</v>
      </c>
      <c r="M4" s="1">
        <v>1</v>
      </c>
      <c r="N4" s="1">
        <v>8.76</v>
      </c>
      <c r="O4" s="1"/>
      <c r="P4" s="1"/>
      <c r="Q4" s="1"/>
    </row>
    <row r="5" spans="2:22">
      <c r="B5" s="1" t="s">
        <v>17</v>
      </c>
      <c r="C5" s="1" t="s">
        <v>16</v>
      </c>
      <c r="E5" s="1" t="s">
        <v>21</v>
      </c>
      <c r="F5" t="s">
        <v>10</v>
      </c>
      <c r="G5" t="s">
        <v>14</v>
      </c>
      <c r="H5" s="1"/>
      <c r="I5" s="1"/>
      <c r="J5" s="1" t="str">
        <f>C5</f>
        <v>ElcAgg_Wind</v>
      </c>
      <c r="L5" s="1" t="s">
        <v>15</v>
      </c>
      <c r="M5" s="1">
        <v>1</v>
      </c>
      <c r="N5" s="1">
        <v>8.76</v>
      </c>
      <c r="O5" s="1"/>
      <c r="P5" s="1"/>
      <c r="Q5" s="1"/>
    </row>
    <row r="6" spans="2:22">
      <c r="B6" t="s">
        <v>20</v>
      </c>
      <c r="C6" t="s">
        <v>104</v>
      </c>
      <c r="D6" s="1" t="s">
        <v>106</v>
      </c>
      <c r="E6" s="1" t="s">
        <v>21</v>
      </c>
      <c r="F6" t="s">
        <v>10</v>
      </c>
      <c r="G6" s="1"/>
      <c r="H6" s="1"/>
      <c r="I6" s="1"/>
      <c r="J6" s="1" t="str">
        <f>C6</f>
        <v>e_demand</v>
      </c>
      <c r="K6" s="1" t="s">
        <v>19</v>
      </c>
      <c r="L6" t="s">
        <v>22</v>
      </c>
      <c r="M6" s="1">
        <v>1</v>
      </c>
      <c r="N6" s="1">
        <v>8.76</v>
      </c>
      <c r="O6" s="1"/>
      <c r="P6" s="1"/>
      <c r="Q6" s="1"/>
      <c r="V6" t="s">
        <v>100</v>
      </c>
    </row>
    <row r="7" spans="2:22">
      <c r="B7" t="s">
        <v>20</v>
      </c>
      <c r="C7" t="s">
        <v>147</v>
      </c>
      <c r="D7" s="1" t="s">
        <v>148</v>
      </c>
      <c r="E7" s="1" t="s">
        <v>21</v>
      </c>
      <c r="F7" t="s">
        <v>10</v>
      </c>
      <c r="G7" s="1"/>
      <c r="H7" s="1"/>
      <c r="I7" s="1"/>
      <c r="J7" s="1" t="str">
        <f>C7</f>
        <v>h_demand</v>
      </c>
      <c r="K7" s="1" t="s">
        <v>35</v>
      </c>
      <c r="L7" t="s">
        <v>149</v>
      </c>
      <c r="M7" s="1">
        <v>1</v>
      </c>
      <c r="N7" s="1">
        <v>8.76</v>
      </c>
      <c r="O7" s="1"/>
      <c r="P7" s="1"/>
      <c r="Q7" s="1"/>
    </row>
    <row r="8" spans="2:22">
      <c r="B8" t="s">
        <v>29</v>
      </c>
      <c r="C8" t="s">
        <v>98</v>
      </c>
      <c r="D8" s="1"/>
      <c r="E8" s="1" t="s">
        <v>21</v>
      </c>
      <c r="F8" t="s">
        <v>10</v>
      </c>
      <c r="G8" t="s">
        <v>14</v>
      </c>
      <c r="H8" s="1"/>
      <c r="I8" s="1"/>
      <c r="J8" s="1" t="str">
        <f>C10</f>
        <v>fossil_supply</v>
      </c>
      <c r="K8" s="1"/>
      <c r="L8" s="1" t="s">
        <v>32</v>
      </c>
      <c r="M8" s="1"/>
      <c r="N8" s="1"/>
      <c r="O8" s="1">
        <f t="shared" ref="O8:O12" si="0">V8*3.6</f>
        <v>7.2</v>
      </c>
      <c r="P8" s="1"/>
      <c r="V8" s="1">
        <v>2</v>
      </c>
    </row>
    <row r="9" spans="2:22">
      <c r="B9" t="s">
        <v>97</v>
      </c>
      <c r="C9" t="s">
        <v>99</v>
      </c>
      <c r="D9" s="1"/>
      <c r="E9" s="1" t="s">
        <v>21</v>
      </c>
      <c r="F9" t="s">
        <v>10</v>
      </c>
      <c r="G9" t="s">
        <v>14</v>
      </c>
      <c r="H9" s="1"/>
      <c r="I9" s="1"/>
      <c r="K9" s="1"/>
      <c r="L9" s="1" t="s">
        <v>33</v>
      </c>
      <c r="M9" s="1"/>
      <c r="N9" s="1"/>
      <c r="O9" s="1">
        <f t="shared" si="0"/>
        <v>18</v>
      </c>
      <c r="P9" s="1"/>
      <c r="V9" s="1">
        <v>5</v>
      </c>
    </row>
    <row r="10" spans="2:22">
      <c r="B10" s="1" t="s">
        <v>29</v>
      </c>
      <c r="C10" s="1" t="s">
        <v>152</v>
      </c>
      <c r="D10" s="1" t="s">
        <v>107</v>
      </c>
      <c r="E10" s="1" t="s">
        <v>21</v>
      </c>
      <c r="F10" t="s">
        <v>10</v>
      </c>
      <c r="G10" s="1"/>
      <c r="H10" s="1"/>
      <c r="I10" s="1"/>
      <c r="K10" s="1"/>
      <c r="L10" s="1" t="s">
        <v>37</v>
      </c>
      <c r="M10" s="1"/>
      <c r="N10" s="1"/>
      <c r="O10" s="1">
        <f>V10*3.6</f>
        <v>36</v>
      </c>
      <c r="P10" s="1"/>
      <c r="V10">
        <v>10</v>
      </c>
    </row>
    <row r="11" spans="2:22">
      <c r="B11" s="1" t="s">
        <v>29</v>
      </c>
      <c r="C11" s="1" t="s">
        <v>154</v>
      </c>
      <c r="D11" s="1" t="s">
        <v>153</v>
      </c>
      <c r="E11" s="1" t="s">
        <v>21</v>
      </c>
      <c r="F11" t="s">
        <v>10</v>
      </c>
      <c r="G11" s="1"/>
      <c r="H11" s="1"/>
      <c r="I11" s="1"/>
      <c r="J11" s="1" t="str">
        <f>C11</f>
        <v>renewable</v>
      </c>
      <c r="K11" s="1"/>
      <c r="L11" s="1" t="s">
        <v>34</v>
      </c>
      <c r="M11" s="1"/>
      <c r="N11" s="1"/>
      <c r="O11" s="1">
        <f t="shared" si="0"/>
        <v>0.36000000000000004</v>
      </c>
      <c r="P11" s="1"/>
      <c r="V11">
        <v>0.1</v>
      </c>
    </row>
    <row r="12" spans="2:22">
      <c r="B12" s="1" t="s">
        <v>29</v>
      </c>
      <c r="C12" s="1" t="s">
        <v>155</v>
      </c>
      <c r="D12" s="1" t="s">
        <v>156</v>
      </c>
      <c r="E12" s="1" t="s">
        <v>21</v>
      </c>
      <c r="F12" t="s">
        <v>10</v>
      </c>
      <c r="G12" s="1"/>
      <c r="H12" s="1"/>
      <c r="I12" s="1"/>
      <c r="K12" s="1"/>
      <c r="L12" s="1" t="s">
        <v>28</v>
      </c>
      <c r="M12" s="1"/>
      <c r="N12" s="1"/>
      <c r="O12" s="1">
        <f t="shared" si="0"/>
        <v>0.36000000000000004</v>
      </c>
      <c r="P12" s="1"/>
      <c r="V12">
        <v>0.1</v>
      </c>
    </row>
    <row r="13" spans="2:22">
      <c r="B13" s="1" t="s">
        <v>29</v>
      </c>
      <c r="C13" s="1" t="s">
        <v>157</v>
      </c>
      <c r="D13" s="1" t="s">
        <v>160</v>
      </c>
      <c r="E13" s="1" t="s">
        <v>21</v>
      </c>
      <c r="F13" t="s">
        <v>10</v>
      </c>
      <c r="G13" s="1"/>
      <c r="H13" s="1"/>
      <c r="I13" s="1"/>
      <c r="L13" s="1" t="s">
        <v>31</v>
      </c>
      <c r="M13" s="1"/>
      <c r="N13" s="1"/>
      <c r="O13" s="1">
        <f>V13*3.6</f>
        <v>25.2</v>
      </c>
      <c r="P13" s="1"/>
      <c r="V13" s="1">
        <v>7</v>
      </c>
    </row>
    <row r="14" spans="2:22">
      <c r="B14" s="1" t="s">
        <v>29</v>
      </c>
      <c r="C14" t="s">
        <v>158</v>
      </c>
      <c r="D14" t="s">
        <v>161</v>
      </c>
      <c r="E14" s="1" t="s">
        <v>21</v>
      </c>
      <c r="F14" t="s">
        <v>10</v>
      </c>
      <c r="G14" s="1"/>
      <c r="H14" s="1"/>
      <c r="I14" s="1"/>
      <c r="J14" s="1" t="str">
        <f>C12</f>
        <v>nuclear_fuel</v>
      </c>
      <c r="K14" s="1"/>
      <c r="L14" s="1" t="s">
        <v>36</v>
      </c>
      <c r="M14" s="1"/>
      <c r="N14" s="1"/>
      <c r="O14" s="1">
        <f>V14*3.6</f>
        <v>0.36000000000000004</v>
      </c>
      <c r="P14" s="1"/>
      <c r="V14">
        <v>0.1</v>
      </c>
    </row>
    <row r="15" spans="2:22">
      <c r="B15" s="1" t="s">
        <v>29</v>
      </c>
      <c r="C15" t="s">
        <v>159</v>
      </c>
      <c r="D15" t="s">
        <v>162</v>
      </c>
      <c r="E15" s="1" t="s">
        <v>21</v>
      </c>
      <c r="F15" t="s">
        <v>10</v>
      </c>
      <c r="G15" s="1"/>
      <c r="H15" s="1"/>
      <c r="I15" s="1"/>
      <c r="J15" s="1" t="str">
        <f>C13</f>
        <v>solar_potential</v>
      </c>
      <c r="K15" s="1"/>
      <c r="L15" s="1" t="s">
        <v>27</v>
      </c>
      <c r="M15" s="1"/>
      <c r="N15" s="1"/>
      <c r="O15" s="1">
        <f>V15*3.6</f>
        <v>0.36000000000000004</v>
      </c>
      <c r="P15" s="1"/>
      <c r="V15">
        <v>0.1</v>
      </c>
    </row>
    <row r="16" spans="2:22">
      <c r="B16" s="1"/>
      <c r="C16" s="1"/>
      <c r="D16" s="1"/>
      <c r="E16" s="1"/>
      <c r="F16" s="1"/>
      <c r="G16" s="1"/>
      <c r="H16" s="1"/>
      <c r="I16" s="1"/>
      <c r="J16" s="1" t="str">
        <f>C14</f>
        <v>winon_potential</v>
      </c>
      <c r="K16" s="1"/>
      <c r="L16" s="1" t="s">
        <v>150</v>
      </c>
      <c r="M16" s="1"/>
      <c r="N16" s="1"/>
      <c r="O16" s="1">
        <f>V16*3.6</f>
        <v>0.36000000000000004</v>
      </c>
      <c r="P16" s="1"/>
      <c r="V16">
        <v>0.1</v>
      </c>
    </row>
    <row r="17" spans="2:22">
      <c r="B17" s="1"/>
      <c r="C17" s="1"/>
      <c r="D17" s="1"/>
      <c r="E17" s="1"/>
      <c r="F17" s="1"/>
      <c r="G17" s="1"/>
      <c r="H17" s="1"/>
      <c r="I17" s="1"/>
      <c r="J17" s="1" t="str">
        <f>C15</f>
        <v>winoff_potential</v>
      </c>
      <c r="K17" s="1"/>
      <c r="L17" s="1" t="s">
        <v>151</v>
      </c>
      <c r="M17" s="1"/>
      <c r="N17" s="1"/>
      <c r="O17" s="1">
        <f t="shared" ref="O17" si="1">V17*3.6</f>
        <v>0.36000000000000004</v>
      </c>
      <c r="P17" s="1"/>
      <c r="V17">
        <v>0.1</v>
      </c>
    </row>
    <row r="18" spans="2:22">
      <c r="J18" t="str">
        <f>C8</f>
        <v>Trd_electricity import</v>
      </c>
      <c r="L18" t="s">
        <v>19</v>
      </c>
      <c r="P18">
        <v>0</v>
      </c>
      <c r="Q18">
        <v>3</v>
      </c>
      <c r="R18">
        <v>1000</v>
      </c>
      <c r="S18">
        <v>50</v>
      </c>
    </row>
    <row r="19" spans="2:22">
      <c r="J19" t="str">
        <f>C9</f>
        <v>Trd_electricity export</v>
      </c>
      <c r="K19" t="s">
        <v>19</v>
      </c>
      <c r="P19">
        <v>0</v>
      </c>
      <c r="Q19">
        <v>3</v>
      </c>
      <c r="R19">
        <v>1000</v>
      </c>
      <c r="S19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6D8AA-F8A9-4BBE-94C7-C767CA3BCC03}">
  <dimension ref="B2:W61"/>
  <sheetViews>
    <sheetView workbookViewId="0">
      <selection activeCell="H23" sqref="H23"/>
    </sheetView>
  </sheetViews>
  <sheetFormatPr defaultColWidth="8.86328125" defaultRowHeight="14.25"/>
  <cols>
    <col min="2" max="2" width="18.86328125" bestFit="1" customWidth="1"/>
    <col min="3" max="3" width="17.59765625" bestFit="1" customWidth="1"/>
    <col min="4" max="4" width="26" customWidth="1"/>
    <col min="5" max="5" width="11.1328125" bestFit="1" customWidth="1"/>
    <col min="6" max="6" width="13.265625" bestFit="1" customWidth="1"/>
    <col min="7" max="7" width="12.1328125" bestFit="1" customWidth="1"/>
    <col min="8" max="8" width="10.265625" bestFit="1" customWidth="1"/>
    <col min="9" max="9" width="16.265625" bestFit="1" customWidth="1"/>
    <col min="10" max="10" width="19.265625" bestFit="1" customWidth="1"/>
    <col min="11" max="11" width="8.86328125" bestFit="1" customWidth="1"/>
    <col min="12" max="12" width="14.265625" bestFit="1" customWidth="1"/>
    <col min="13" max="13" width="9.1328125" bestFit="1" customWidth="1"/>
    <col min="14" max="14" width="13" bestFit="1" customWidth="1"/>
    <col min="15" max="15" width="7.59765625" bestFit="1" customWidth="1"/>
    <col min="16" max="17" width="9" bestFit="1" customWidth="1"/>
    <col min="18" max="18" width="7.59765625" bestFit="1" customWidth="1"/>
    <col min="19" max="20" width="9" bestFit="1" customWidth="1"/>
    <col min="21" max="21" width="10.33203125" bestFit="1" customWidth="1"/>
    <col min="22" max="22" width="12.1328125" bestFit="1" customWidth="1"/>
    <col min="23" max="23" width="3.796875" bestFit="1" customWidth="1"/>
  </cols>
  <sheetData>
    <row r="2" spans="2:23">
      <c r="B2" s="3" t="s">
        <v>23</v>
      </c>
      <c r="C2" s="3"/>
      <c r="D2" s="3"/>
      <c r="E2" s="3"/>
      <c r="F2" s="3"/>
      <c r="G2" s="3"/>
      <c r="H2" s="3"/>
      <c r="I2" s="3"/>
    </row>
    <row r="3" spans="2:23">
      <c r="B3" s="3" t="s">
        <v>38</v>
      </c>
      <c r="C3" s="3" t="s">
        <v>39</v>
      </c>
      <c r="D3" s="3" t="s">
        <v>40</v>
      </c>
      <c r="E3" s="3" t="s">
        <v>25</v>
      </c>
      <c r="F3" s="3" t="s">
        <v>41</v>
      </c>
      <c r="G3" s="3" t="s">
        <v>42</v>
      </c>
      <c r="H3" s="3" t="s">
        <v>43</v>
      </c>
      <c r="I3" s="3" t="s">
        <v>44</v>
      </c>
    </row>
    <row r="4" spans="2:23">
      <c r="B4" s="3" t="s">
        <v>45</v>
      </c>
      <c r="C4" s="3" t="s">
        <v>46</v>
      </c>
      <c r="D4" s="3" t="s">
        <v>47</v>
      </c>
      <c r="E4" s="3" t="s">
        <v>48</v>
      </c>
      <c r="F4" s="3"/>
      <c r="G4" s="5" t="s">
        <v>14</v>
      </c>
      <c r="H4" s="3"/>
      <c r="I4" s="3"/>
    </row>
    <row r="5" spans="2:23">
      <c r="C5" s="3" t="s">
        <v>49</v>
      </c>
      <c r="D5" s="3" t="s">
        <v>50</v>
      </c>
      <c r="E5" s="3" t="s">
        <v>48</v>
      </c>
      <c r="F5" s="3"/>
      <c r="G5" s="5" t="s">
        <v>14</v>
      </c>
    </row>
    <row r="8" spans="2:23">
      <c r="B8" s="5" t="s">
        <v>0</v>
      </c>
      <c r="C8" s="5"/>
      <c r="D8" s="5"/>
      <c r="E8" s="5"/>
      <c r="F8" s="5"/>
      <c r="G8" s="5"/>
      <c r="H8" s="6"/>
      <c r="I8" s="6"/>
      <c r="J8" s="6"/>
      <c r="K8" s="6"/>
      <c r="L8" s="6"/>
      <c r="M8" s="7" t="s">
        <v>51</v>
      </c>
      <c r="O8" s="6"/>
      <c r="P8" s="6"/>
      <c r="Q8" s="6"/>
      <c r="R8" s="6"/>
      <c r="S8" s="6"/>
      <c r="T8" s="6"/>
      <c r="U8" s="6"/>
      <c r="V8" s="6"/>
      <c r="W8" s="6"/>
    </row>
    <row r="9" spans="2:23">
      <c r="B9" s="5" t="s">
        <v>6</v>
      </c>
      <c r="C9" s="5" t="s">
        <v>1</v>
      </c>
      <c r="D9" s="5" t="s">
        <v>7</v>
      </c>
      <c r="E9" s="5" t="s">
        <v>52</v>
      </c>
      <c r="F9" s="5" t="s">
        <v>53</v>
      </c>
      <c r="G9" s="5" t="s">
        <v>11</v>
      </c>
      <c r="H9" s="6"/>
      <c r="I9" s="6" t="s">
        <v>1</v>
      </c>
      <c r="J9" s="6" t="s">
        <v>54</v>
      </c>
      <c r="K9" s="6" t="s">
        <v>55</v>
      </c>
      <c r="L9" s="6" t="s">
        <v>24</v>
      </c>
      <c r="M9" s="7" t="s">
        <v>56</v>
      </c>
      <c r="N9" s="6">
        <f>J35</f>
        <v>2020</v>
      </c>
      <c r="O9" s="6">
        <f t="shared" ref="O9:T9" si="0">K35</f>
        <v>2025</v>
      </c>
      <c r="P9" s="6">
        <f t="shared" si="0"/>
        <v>2030</v>
      </c>
      <c r="Q9" s="6">
        <f t="shared" si="0"/>
        <v>2035</v>
      </c>
      <c r="R9" s="6">
        <f t="shared" si="0"/>
        <v>2040</v>
      </c>
      <c r="S9" s="6">
        <f t="shared" si="0"/>
        <v>2045</v>
      </c>
      <c r="T9" s="6">
        <f t="shared" si="0"/>
        <v>2050</v>
      </c>
      <c r="U9" s="6" t="s">
        <v>3</v>
      </c>
      <c r="V9" s="6" t="s">
        <v>57</v>
      </c>
      <c r="W9" t="s">
        <v>58</v>
      </c>
    </row>
    <row r="10" spans="2:23">
      <c r="B10" s="5" t="s">
        <v>59</v>
      </c>
      <c r="C10" s="5" t="s">
        <v>60</v>
      </c>
      <c r="D10" s="8" t="s">
        <v>61</v>
      </c>
      <c r="E10" s="5" t="s">
        <v>48</v>
      </c>
      <c r="F10" s="5" t="s">
        <v>10</v>
      </c>
      <c r="G10" s="5" t="s">
        <v>14</v>
      </c>
      <c r="H10" s="6"/>
      <c r="I10" s="6" t="s">
        <v>62</v>
      </c>
      <c r="J10" s="6" t="s">
        <v>63</v>
      </c>
      <c r="K10" s="3" t="s">
        <v>49</v>
      </c>
      <c r="L10" s="3" t="s">
        <v>19</v>
      </c>
      <c r="M10" s="6" t="s">
        <v>18</v>
      </c>
      <c r="N10" s="9">
        <f>1/N17</f>
        <v>1.1764705882352942</v>
      </c>
      <c r="O10" s="9"/>
      <c r="P10" s="9"/>
      <c r="Q10" s="9"/>
      <c r="R10" s="9"/>
      <c r="S10" s="9"/>
      <c r="T10" s="9"/>
      <c r="U10" s="6"/>
      <c r="V10" s="5" t="str">
        <f>K10</f>
        <v>AuxStoOUT</v>
      </c>
      <c r="W10">
        <v>20</v>
      </c>
    </row>
    <row r="11" spans="2:23">
      <c r="B11" s="5"/>
      <c r="C11" s="7" t="s">
        <v>62</v>
      </c>
      <c r="D11" s="7" t="s">
        <v>64</v>
      </c>
      <c r="E11" s="5" t="s">
        <v>48</v>
      </c>
      <c r="F11" s="5" t="s">
        <v>10</v>
      </c>
      <c r="G11" s="5" t="s">
        <v>14</v>
      </c>
      <c r="H11" s="6"/>
      <c r="I11" s="6" t="s">
        <v>62</v>
      </c>
      <c r="J11" s="6" t="s">
        <v>65</v>
      </c>
      <c r="K11" s="6" t="s">
        <v>66</v>
      </c>
      <c r="L11" s="6" t="s">
        <v>19</v>
      </c>
      <c r="M11" s="6" t="s">
        <v>14</v>
      </c>
      <c r="N11" s="9">
        <f>4/24</f>
        <v>0.16666666666666666</v>
      </c>
      <c r="O11" s="4"/>
      <c r="P11" s="4"/>
      <c r="Q11" s="4"/>
      <c r="R11" s="4"/>
      <c r="S11" s="4"/>
      <c r="T11" s="4"/>
      <c r="U11" s="5" t="str">
        <f>L11</f>
        <v>ELC</v>
      </c>
    </row>
    <row r="12" spans="2:23">
      <c r="B12" s="5"/>
      <c r="C12" s="5"/>
      <c r="D12" s="5"/>
      <c r="E12" s="5"/>
      <c r="F12" s="5"/>
      <c r="G12" s="5"/>
      <c r="H12" s="6"/>
      <c r="I12" s="6" t="s">
        <v>62</v>
      </c>
      <c r="J12" s="6" t="s">
        <v>65</v>
      </c>
      <c r="K12" s="6" t="s">
        <v>26</v>
      </c>
      <c r="L12" s="6"/>
      <c r="M12" s="7" t="s">
        <v>14</v>
      </c>
      <c r="N12" s="9">
        <v>1</v>
      </c>
      <c r="O12" s="9"/>
      <c r="P12" s="9"/>
      <c r="Q12" s="9"/>
      <c r="R12" s="9"/>
      <c r="S12" s="9"/>
      <c r="T12" s="9"/>
      <c r="U12" s="6"/>
      <c r="V12" s="6"/>
    </row>
    <row r="13" spans="2:23">
      <c r="B13" s="5"/>
      <c r="C13" s="5"/>
      <c r="D13" s="5"/>
      <c r="E13" s="5"/>
      <c r="F13" s="5"/>
      <c r="G13" s="5"/>
      <c r="H13" s="6"/>
      <c r="I13" s="6" t="s">
        <v>62</v>
      </c>
      <c r="J13" s="6" t="s">
        <v>67</v>
      </c>
      <c r="K13" s="6"/>
      <c r="L13" s="6"/>
      <c r="M13" s="7"/>
      <c r="N13" s="9">
        <f>J40</f>
        <v>1363</v>
      </c>
      <c r="O13" s="9">
        <f t="shared" ref="O13:T13" si="1">K40</f>
        <v>956</v>
      </c>
      <c r="P13" s="9">
        <f t="shared" si="1"/>
        <v>784</v>
      </c>
      <c r="Q13" s="9">
        <f t="shared" si="1"/>
        <v>735</v>
      </c>
      <c r="R13" s="9">
        <f t="shared" si="1"/>
        <v>686</v>
      </c>
      <c r="S13" s="9">
        <f t="shared" si="1"/>
        <v>637</v>
      </c>
      <c r="T13" s="9">
        <f t="shared" si="1"/>
        <v>588</v>
      </c>
      <c r="U13" s="6"/>
      <c r="V13" s="6"/>
    </row>
    <row r="14" spans="2:23">
      <c r="I14" t="s">
        <v>62</v>
      </c>
      <c r="J14" t="s">
        <v>68</v>
      </c>
      <c r="N14" s="4">
        <f>J44</f>
        <v>34</v>
      </c>
      <c r="O14" s="4">
        <f t="shared" ref="O14:T14" si="2">K44</f>
        <v>24</v>
      </c>
      <c r="P14" s="4">
        <f t="shared" si="2"/>
        <v>20</v>
      </c>
      <c r="Q14" s="4">
        <f t="shared" si="2"/>
        <v>18</v>
      </c>
      <c r="R14" s="4">
        <f t="shared" si="2"/>
        <v>17</v>
      </c>
      <c r="S14" s="4">
        <f t="shared" si="2"/>
        <v>16</v>
      </c>
      <c r="T14" s="4">
        <f t="shared" si="2"/>
        <v>15</v>
      </c>
    </row>
    <row r="15" spans="2:23">
      <c r="I15" t="s">
        <v>62</v>
      </c>
      <c r="J15" t="s">
        <v>69</v>
      </c>
      <c r="M15" t="s">
        <v>18</v>
      </c>
      <c r="N15" s="4">
        <v>1</v>
      </c>
      <c r="O15" s="4"/>
      <c r="P15" s="4"/>
      <c r="Q15" s="4"/>
      <c r="R15" s="4"/>
      <c r="S15" s="4"/>
      <c r="T15" s="4"/>
    </row>
    <row r="16" spans="2:23">
      <c r="I16" t="s">
        <v>62</v>
      </c>
      <c r="J16" t="s">
        <v>70</v>
      </c>
      <c r="N16" s="9">
        <v>31.536000000000001</v>
      </c>
      <c r="O16" s="4"/>
      <c r="P16" s="4"/>
      <c r="Q16" s="4"/>
      <c r="R16" s="4"/>
      <c r="S16" s="4"/>
      <c r="T16" s="4"/>
    </row>
    <row r="17" spans="9:23">
      <c r="I17" t="s">
        <v>62</v>
      </c>
      <c r="J17" t="s">
        <v>71</v>
      </c>
      <c r="N17" s="4">
        <v>0.85</v>
      </c>
      <c r="O17" s="4"/>
      <c r="P17" s="4"/>
      <c r="Q17" s="4"/>
      <c r="R17" s="4"/>
      <c r="S17" s="4"/>
      <c r="T17" s="4"/>
    </row>
    <row r="18" spans="9:23">
      <c r="I18" t="s">
        <v>60</v>
      </c>
      <c r="J18" t="s">
        <v>63</v>
      </c>
      <c r="K18" s="3" t="s">
        <v>49</v>
      </c>
      <c r="L18" s="3" t="s">
        <v>19</v>
      </c>
      <c r="M18" t="s">
        <v>18</v>
      </c>
      <c r="N18" s="9">
        <f>1/N25</f>
        <v>1.1764705882352942</v>
      </c>
      <c r="O18" s="4"/>
      <c r="P18" s="4"/>
      <c r="Q18" s="4"/>
      <c r="R18" s="4"/>
      <c r="S18" s="4"/>
      <c r="T18" s="4"/>
      <c r="U18" s="6"/>
      <c r="V18" s="5" t="str">
        <f>K18</f>
        <v>AuxStoOUT</v>
      </c>
      <c r="W18">
        <v>20</v>
      </c>
    </row>
    <row r="19" spans="9:23">
      <c r="I19" t="s">
        <v>60</v>
      </c>
      <c r="J19" t="s">
        <v>65</v>
      </c>
      <c r="K19" t="s">
        <v>66</v>
      </c>
      <c r="L19" t="s">
        <v>19</v>
      </c>
      <c r="M19" t="s">
        <v>14</v>
      </c>
      <c r="N19" s="4">
        <f>8/24</f>
        <v>0.33333333333333331</v>
      </c>
      <c r="O19" s="4"/>
      <c r="P19" s="4"/>
      <c r="Q19" s="4"/>
      <c r="R19" s="4"/>
      <c r="S19" s="4"/>
      <c r="T19" s="4"/>
      <c r="U19" s="5" t="str">
        <f>L19</f>
        <v>ELC</v>
      </c>
    </row>
    <row r="20" spans="9:23">
      <c r="I20" t="s">
        <v>60</v>
      </c>
      <c r="J20" t="s">
        <v>65</v>
      </c>
      <c r="K20" t="s">
        <v>26</v>
      </c>
      <c r="M20" t="s">
        <v>14</v>
      </c>
      <c r="N20" s="4">
        <v>1</v>
      </c>
      <c r="O20" s="4"/>
      <c r="P20" s="4"/>
      <c r="Q20" s="4"/>
      <c r="R20" s="4"/>
      <c r="S20" s="4"/>
      <c r="T20" s="4"/>
    </row>
    <row r="21" spans="9:23">
      <c r="I21" t="s">
        <v>60</v>
      </c>
      <c r="J21" t="s">
        <v>67</v>
      </c>
      <c r="N21" s="4">
        <f>J49</f>
        <v>2470</v>
      </c>
      <c r="O21" s="4">
        <f t="shared" ref="O21:T21" si="3">K49</f>
        <v>1714</v>
      </c>
      <c r="P21" s="4">
        <f t="shared" si="3"/>
        <v>1371</v>
      </c>
      <c r="Q21" s="4">
        <f t="shared" si="3"/>
        <v>1277</v>
      </c>
      <c r="R21" s="4">
        <f t="shared" si="3"/>
        <v>1183</v>
      </c>
      <c r="S21" s="4">
        <f t="shared" si="3"/>
        <v>1089</v>
      </c>
      <c r="T21" s="4">
        <f t="shared" si="3"/>
        <v>995</v>
      </c>
    </row>
    <row r="22" spans="9:23">
      <c r="I22" t="s">
        <v>60</v>
      </c>
      <c r="J22" t="s">
        <v>68</v>
      </c>
      <c r="N22" s="4">
        <f>J53</f>
        <v>62</v>
      </c>
      <c r="O22" s="4">
        <f t="shared" ref="O22:T22" si="4">K53</f>
        <v>43</v>
      </c>
      <c r="P22" s="4">
        <f t="shared" si="4"/>
        <v>34</v>
      </c>
      <c r="Q22" s="4">
        <f t="shared" si="4"/>
        <v>32</v>
      </c>
      <c r="R22" s="4">
        <f t="shared" si="4"/>
        <v>30</v>
      </c>
      <c r="S22" s="4">
        <f t="shared" si="4"/>
        <v>27</v>
      </c>
      <c r="T22" s="4">
        <f t="shared" si="4"/>
        <v>25</v>
      </c>
    </row>
    <row r="23" spans="9:23">
      <c r="I23" t="s">
        <v>60</v>
      </c>
      <c r="J23" t="s">
        <v>69</v>
      </c>
      <c r="M23" t="s">
        <v>18</v>
      </c>
      <c r="N23" s="4">
        <v>1</v>
      </c>
      <c r="O23" s="4"/>
      <c r="P23" s="4"/>
      <c r="Q23" s="4"/>
      <c r="R23" s="4"/>
      <c r="S23" s="4"/>
      <c r="T23" s="4"/>
    </row>
    <row r="24" spans="9:23">
      <c r="I24" t="s">
        <v>60</v>
      </c>
      <c r="J24" t="s">
        <v>70</v>
      </c>
      <c r="N24" s="9">
        <v>31.536000000000001</v>
      </c>
      <c r="O24" s="4"/>
      <c r="P24" s="4"/>
      <c r="Q24" s="4"/>
      <c r="R24" s="4"/>
      <c r="S24" s="4"/>
      <c r="T24" s="4"/>
    </row>
    <row r="25" spans="9:23">
      <c r="I25" t="s">
        <v>60</v>
      </c>
      <c r="J25" t="s">
        <v>71</v>
      </c>
      <c r="N25" s="4">
        <v>0.85</v>
      </c>
      <c r="O25" s="4"/>
      <c r="P25" s="4"/>
      <c r="Q25" s="4"/>
      <c r="R25" s="4"/>
      <c r="S25" s="4"/>
      <c r="T25" s="4"/>
    </row>
    <row r="31" spans="9:23" ht="15.75">
      <c r="I31" s="10" t="s">
        <v>72</v>
      </c>
      <c r="J31" s="11"/>
      <c r="K31" s="11"/>
      <c r="L31" s="11"/>
      <c r="M31" s="11"/>
      <c r="N31" s="11"/>
      <c r="O31" s="11"/>
      <c r="P31" s="11"/>
    </row>
    <row r="32" spans="9:23" ht="15.75">
      <c r="I32" s="10" t="s">
        <v>73</v>
      </c>
      <c r="J32" s="11"/>
      <c r="K32" s="11"/>
      <c r="L32" s="11"/>
      <c r="M32" s="11"/>
      <c r="N32" s="11"/>
      <c r="O32" s="11"/>
      <c r="P32" s="11"/>
    </row>
    <row r="33" spans="9:16">
      <c r="I33" s="12"/>
      <c r="J33" s="12"/>
      <c r="K33" s="12"/>
      <c r="L33" s="12"/>
      <c r="M33" s="12"/>
      <c r="N33" s="12"/>
      <c r="O33" s="12"/>
      <c r="P33" s="12"/>
    </row>
    <row r="34" spans="9:16" ht="15.75">
      <c r="I34" s="13" t="s">
        <v>74</v>
      </c>
      <c r="J34" s="14"/>
      <c r="K34" s="14"/>
      <c r="L34" s="14"/>
      <c r="M34" s="14"/>
      <c r="N34" s="14"/>
      <c r="O34" s="14"/>
      <c r="P34" s="14"/>
    </row>
    <row r="35" spans="9:16" ht="15.75">
      <c r="I35" s="14"/>
      <c r="J35" s="14">
        <v>2020</v>
      </c>
      <c r="K35" s="14">
        <v>2025</v>
      </c>
      <c r="L35" s="14">
        <v>2030</v>
      </c>
      <c r="M35" s="14">
        <v>2035</v>
      </c>
      <c r="N35" s="14">
        <v>2040</v>
      </c>
      <c r="O35" s="14">
        <v>2045</v>
      </c>
      <c r="P35" s="14">
        <v>2050</v>
      </c>
    </row>
    <row r="36" spans="9:16" ht="15.75">
      <c r="I36" s="15" t="s">
        <v>75</v>
      </c>
      <c r="J36" s="14"/>
      <c r="K36" s="14"/>
      <c r="L36" s="14"/>
      <c r="M36" s="14"/>
      <c r="N36" s="14"/>
      <c r="O36" s="14"/>
      <c r="P36" s="14"/>
    </row>
    <row r="37" spans="9:16" ht="15.75">
      <c r="I37" s="13" t="s">
        <v>76</v>
      </c>
      <c r="J37" s="14"/>
      <c r="K37" s="14"/>
      <c r="L37" s="14"/>
      <c r="M37" s="14"/>
      <c r="N37" s="14"/>
      <c r="O37" s="14"/>
      <c r="P37" s="14"/>
    </row>
    <row r="38" spans="9:16" ht="15.75">
      <c r="I38" s="14" t="s">
        <v>77</v>
      </c>
      <c r="J38" s="16">
        <v>1363</v>
      </c>
      <c r="K38" s="16">
        <v>839</v>
      </c>
      <c r="L38" s="16">
        <v>566</v>
      </c>
      <c r="M38" s="16">
        <v>512</v>
      </c>
      <c r="N38" s="16">
        <v>454</v>
      </c>
      <c r="O38" s="16">
        <v>400</v>
      </c>
      <c r="P38" s="16">
        <v>346</v>
      </c>
    </row>
    <row r="39" spans="9:16" ht="15.75">
      <c r="I39" s="14" t="s">
        <v>78</v>
      </c>
      <c r="J39" s="16">
        <v>1363</v>
      </c>
      <c r="K39" s="16">
        <v>1167</v>
      </c>
      <c r="L39" s="16">
        <v>981</v>
      </c>
      <c r="M39" s="16">
        <v>981</v>
      </c>
      <c r="N39" s="16">
        <v>981</v>
      </c>
      <c r="O39" s="16">
        <v>981</v>
      </c>
      <c r="P39" s="16">
        <v>981</v>
      </c>
    </row>
    <row r="40" spans="9:16" ht="15.75">
      <c r="I40" s="14" t="s">
        <v>79</v>
      </c>
      <c r="J40" s="16">
        <v>1363</v>
      </c>
      <c r="K40" s="16">
        <v>956</v>
      </c>
      <c r="L40" s="16">
        <v>784</v>
      </c>
      <c r="M40" s="16">
        <v>735</v>
      </c>
      <c r="N40" s="16">
        <v>686</v>
      </c>
      <c r="O40" s="16">
        <v>637</v>
      </c>
      <c r="P40" s="16">
        <v>588</v>
      </c>
    </row>
    <row r="41" spans="9:16" ht="15.75">
      <c r="I41" s="13" t="s">
        <v>80</v>
      </c>
      <c r="J41" s="17"/>
      <c r="K41" s="17"/>
      <c r="L41" s="17"/>
      <c r="M41" s="17"/>
      <c r="N41" s="17"/>
      <c r="O41" s="17"/>
      <c r="P41" s="17"/>
    </row>
    <row r="42" spans="9:16" ht="15.75">
      <c r="I42" s="14" t="s">
        <v>77</v>
      </c>
      <c r="J42" s="18">
        <v>34</v>
      </c>
      <c r="K42" s="18">
        <v>21</v>
      </c>
      <c r="L42" s="18">
        <v>14</v>
      </c>
      <c r="M42" s="18">
        <v>13</v>
      </c>
      <c r="N42" s="18">
        <v>11</v>
      </c>
      <c r="O42" s="18">
        <v>10</v>
      </c>
      <c r="P42" s="18">
        <v>9</v>
      </c>
    </row>
    <row r="43" spans="9:16" ht="15.75">
      <c r="I43" s="14" t="s">
        <v>78</v>
      </c>
      <c r="J43" s="18">
        <v>34</v>
      </c>
      <c r="K43" s="18">
        <v>29</v>
      </c>
      <c r="L43" s="18">
        <v>25</v>
      </c>
      <c r="M43" s="18">
        <v>25</v>
      </c>
      <c r="N43" s="18">
        <v>25</v>
      </c>
      <c r="O43" s="18">
        <v>25</v>
      </c>
      <c r="P43" s="18">
        <v>25</v>
      </c>
    </row>
    <row r="44" spans="9:16" ht="15.75">
      <c r="I44" s="14" t="s">
        <v>79</v>
      </c>
      <c r="J44" s="18">
        <v>34</v>
      </c>
      <c r="K44" s="18">
        <v>24</v>
      </c>
      <c r="L44" s="18">
        <v>20</v>
      </c>
      <c r="M44" s="18">
        <v>18</v>
      </c>
      <c r="N44" s="18">
        <v>17</v>
      </c>
      <c r="O44" s="18">
        <v>16</v>
      </c>
      <c r="P44" s="18">
        <v>15</v>
      </c>
    </row>
    <row r="45" spans="9:16" ht="15.75">
      <c r="I45" s="15" t="s">
        <v>81</v>
      </c>
      <c r="J45" s="17"/>
      <c r="K45" s="17"/>
      <c r="L45" s="17"/>
      <c r="M45" s="17"/>
      <c r="N45" s="17"/>
      <c r="O45" s="17"/>
      <c r="P45" s="17"/>
    </row>
    <row r="46" spans="9:16" ht="15.75">
      <c r="I46" s="13" t="s">
        <v>76</v>
      </c>
      <c r="J46" s="17"/>
      <c r="K46" s="17"/>
      <c r="L46" s="17"/>
      <c r="M46" s="17"/>
      <c r="N46" s="17"/>
      <c r="O46" s="17"/>
      <c r="P46" s="17"/>
    </row>
    <row r="47" spans="9:16" ht="15.75">
      <c r="I47" s="14" t="s">
        <v>77</v>
      </c>
      <c r="J47" s="16">
        <v>2470</v>
      </c>
      <c r="K47" s="16">
        <v>1518</v>
      </c>
      <c r="L47" s="16">
        <v>1024</v>
      </c>
      <c r="M47" s="16">
        <v>927</v>
      </c>
      <c r="N47" s="16">
        <v>822</v>
      </c>
      <c r="O47" s="16">
        <v>724</v>
      </c>
      <c r="P47" s="16">
        <v>626</v>
      </c>
    </row>
    <row r="48" spans="9:16" ht="15.75">
      <c r="I48" s="14" t="s">
        <v>78</v>
      </c>
      <c r="J48" s="16">
        <v>2470</v>
      </c>
      <c r="K48" s="16">
        <v>2111</v>
      </c>
      <c r="L48" s="16">
        <v>1754</v>
      </c>
      <c r="M48" s="16">
        <v>1754</v>
      </c>
      <c r="N48" s="16">
        <v>1754</v>
      </c>
      <c r="O48" s="16">
        <v>1754</v>
      </c>
      <c r="P48" s="16">
        <v>1754</v>
      </c>
    </row>
    <row r="49" spans="9:16" ht="15.75">
      <c r="I49" s="14" t="s">
        <v>79</v>
      </c>
      <c r="J49" s="16">
        <v>2470</v>
      </c>
      <c r="K49" s="16">
        <v>1714</v>
      </c>
      <c r="L49" s="16">
        <v>1371</v>
      </c>
      <c r="M49" s="16">
        <v>1277</v>
      </c>
      <c r="N49" s="16">
        <v>1183</v>
      </c>
      <c r="O49" s="16">
        <v>1089</v>
      </c>
      <c r="P49" s="16">
        <v>995</v>
      </c>
    </row>
    <row r="50" spans="9:16" ht="15.75">
      <c r="I50" s="13" t="s">
        <v>80</v>
      </c>
      <c r="J50" s="17"/>
      <c r="K50" s="17"/>
      <c r="L50" s="17"/>
      <c r="M50" s="17"/>
      <c r="N50" s="17"/>
      <c r="O50" s="17"/>
      <c r="P50" s="17"/>
    </row>
    <row r="51" spans="9:16" ht="15.75">
      <c r="I51" s="14" t="s">
        <v>77</v>
      </c>
      <c r="J51" s="18">
        <v>62</v>
      </c>
      <c r="K51" s="18">
        <v>38</v>
      </c>
      <c r="L51" s="18">
        <v>26</v>
      </c>
      <c r="M51" s="18">
        <v>23</v>
      </c>
      <c r="N51" s="18">
        <v>21</v>
      </c>
      <c r="O51" s="18">
        <v>18</v>
      </c>
      <c r="P51" s="18">
        <v>16</v>
      </c>
    </row>
    <row r="52" spans="9:16" ht="15.75">
      <c r="I52" s="14" t="s">
        <v>78</v>
      </c>
      <c r="J52" s="18">
        <v>62</v>
      </c>
      <c r="K52" s="18">
        <v>53</v>
      </c>
      <c r="L52" s="18">
        <v>44</v>
      </c>
      <c r="M52" s="18">
        <v>44</v>
      </c>
      <c r="N52" s="18">
        <v>44</v>
      </c>
      <c r="O52" s="18">
        <v>44</v>
      </c>
      <c r="P52" s="18">
        <v>44</v>
      </c>
    </row>
    <row r="53" spans="9:16" ht="15.75">
      <c r="I53" s="14" t="s">
        <v>79</v>
      </c>
      <c r="J53" s="18">
        <v>62</v>
      </c>
      <c r="K53" s="18">
        <v>43</v>
      </c>
      <c r="L53" s="18">
        <v>34</v>
      </c>
      <c r="M53" s="18">
        <v>32</v>
      </c>
      <c r="N53" s="18">
        <v>30</v>
      </c>
      <c r="O53" s="18">
        <v>27</v>
      </c>
      <c r="P53" s="18">
        <v>25</v>
      </c>
    </row>
    <row r="54" spans="9:16">
      <c r="I54" s="12"/>
      <c r="J54" s="12"/>
      <c r="K54" s="12"/>
      <c r="L54" s="12"/>
      <c r="M54" s="12"/>
      <c r="N54" s="12"/>
      <c r="O54" s="12"/>
      <c r="P54" s="12"/>
    </row>
    <row r="55" spans="9:16" ht="15.75">
      <c r="I55" s="11" t="s">
        <v>82</v>
      </c>
      <c r="J55" s="11">
        <v>0.85</v>
      </c>
      <c r="K55" s="11"/>
      <c r="L55" s="11"/>
      <c r="M55" s="11"/>
      <c r="N55" s="11"/>
      <c r="O55" s="11"/>
      <c r="P55" s="11"/>
    </row>
    <row r="56" spans="9:16" ht="15.75">
      <c r="I56" s="11" t="s">
        <v>83</v>
      </c>
      <c r="J56" s="11"/>
      <c r="K56" s="11"/>
      <c r="L56" s="11"/>
      <c r="M56" s="11"/>
      <c r="N56" s="11"/>
      <c r="O56" s="11"/>
      <c r="P56" s="11"/>
    </row>
    <row r="57" spans="9:16" ht="15.75">
      <c r="I57" s="11" t="s">
        <v>84</v>
      </c>
      <c r="J57" s="11"/>
      <c r="K57" s="11"/>
      <c r="L57" s="11"/>
      <c r="M57" s="19"/>
      <c r="N57" s="11"/>
      <c r="O57" s="11"/>
      <c r="P57" s="11"/>
    </row>
    <row r="58" spans="9:16" ht="15.75">
      <c r="I58" s="11"/>
      <c r="J58" s="11"/>
      <c r="K58" s="11"/>
      <c r="L58" s="11"/>
      <c r="M58" s="19"/>
      <c r="N58" s="11"/>
      <c r="O58" s="11"/>
      <c r="P58" s="11"/>
    </row>
    <row r="59" spans="9:16" ht="15.75">
      <c r="I59" s="11"/>
      <c r="J59" s="19"/>
      <c r="K59" s="11"/>
      <c r="L59" s="11"/>
      <c r="M59" s="19"/>
      <c r="N59" s="11"/>
      <c r="O59" s="11"/>
      <c r="P59" s="11"/>
    </row>
    <row r="60" spans="9:16" ht="15.75">
      <c r="I60" s="11"/>
      <c r="J60" s="19"/>
      <c r="K60" s="11"/>
      <c r="L60" s="11"/>
      <c r="M60" s="11"/>
      <c r="N60" s="11"/>
      <c r="O60" s="11"/>
      <c r="P60" s="11"/>
    </row>
    <row r="61" spans="9:16" ht="15.75">
      <c r="I61" s="11"/>
      <c r="J61" s="19"/>
      <c r="K61" s="11"/>
      <c r="L61" s="11"/>
      <c r="M61" s="11"/>
      <c r="N61" s="11"/>
      <c r="O61" s="11"/>
      <c r="P61" s="1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EA90E-43F0-4F26-A089-D51219939B11}">
  <dimension ref="B3:Y8"/>
  <sheetViews>
    <sheetView workbookViewId="0">
      <selection activeCell="B5" sqref="B5"/>
    </sheetView>
  </sheetViews>
  <sheetFormatPr defaultRowHeight="14.25"/>
  <cols>
    <col min="2" max="2" width="11.53125" bestFit="1" customWidth="1"/>
    <col min="3" max="3" width="8.1328125" bestFit="1" customWidth="1"/>
    <col min="4" max="4" width="14.86328125" bestFit="1" customWidth="1"/>
    <col min="5" max="5" width="11.59765625" bestFit="1" customWidth="1"/>
    <col min="6" max="6" width="14.86328125" bestFit="1" customWidth="1"/>
    <col min="7" max="7" width="9.59765625" bestFit="1" customWidth="1"/>
    <col min="8" max="8" width="9" bestFit="1" customWidth="1"/>
    <col min="9" max="9" width="4.73046875" bestFit="1" customWidth="1"/>
    <col min="10" max="10" width="1.73046875" bestFit="1" customWidth="1"/>
    <col min="11" max="11" width="6.73046875" bestFit="1" customWidth="1"/>
    <col min="12" max="12" width="14.796875" bestFit="1" customWidth="1"/>
    <col min="13" max="13" width="3.796875" bestFit="1" customWidth="1"/>
    <col min="14" max="14" width="6.265625" bestFit="1" customWidth="1"/>
    <col min="15" max="15" width="7.9296875" bestFit="1" customWidth="1"/>
    <col min="16" max="16" width="4.46484375" bestFit="1" customWidth="1"/>
    <col min="18" max="18" width="9.796875" bestFit="1" customWidth="1"/>
    <col min="19" max="19" width="11.53125" bestFit="1" customWidth="1"/>
    <col min="20" max="20" width="37.9296875" bestFit="1" customWidth="1"/>
    <col min="21" max="21" width="4.06640625" bestFit="1" customWidth="1"/>
    <col min="22" max="22" width="4.3984375" bestFit="1" customWidth="1"/>
    <col min="23" max="23" width="7.59765625" bestFit="1" customWidth="1"/>
    <col min="25" max="25" width="6.73046875" bestFit="1" customWidth="1"/>
  </cols>
  <sheetData>
    <row r="3" spans="2:25">
      <c r="B3" s="23"/>
      <c r="C3" s="23"/>
      <c r="D3" s="23"/>
      <c r="E3" s="23"/>
      <c r="F3" s="23"/>
      <c r="G3" s="23"/>
      <c r="H3" s="23" t="s">
        <v>85</v>
      </c>
      <c r="I3" s="23"/>
      <c r="J3" s="23"/>
      <c r="K3" s="23"/>
      <c r="L3" s="23"/>
      <c r="M3" s="23"/>
      <c r="N3" s="23"/>
      <c r="O3" s="23"/>
      <c r="P3" s="23"/>
      <c r="Q3" s="23"/>
      <c r="R3" s="23" t="s">
        <v>0</v>
      </c>
      <c r="S3" s="23"/>
      <c r="T3" s="23"/>
      <c r="U3" s="23"/>
      <c r="V3" s="23"/>
      <c r="W3" s="23"/>
      <c r="X3" s="23"/>
      <c r="Y3" s="23"/>
    </row>
    <row r="4" spans="2:25">
      <c r="B4" s="23" t="s">
        <v>1</v>
      </c>
      <c r="C4" t="s">
        <v>2</v>
      </c>
      <c r="D4" t="s">
        <v>3</v>
      </c>
      <c r="E4" t="s">
        <v>57</v>
      </c>
      <c r="F4" t="s">
        <v>55</v>
      </c>
      <c r="G4" t="s">
        <v>86</v>
      </c>
      <c r="H4" t="s">
        <v>87</v>
      </c>
      <c r="I4">
        <v>2030</v>
      </c>
      <c r="J4">
        <v>0</v>
      </c>
      <c r="K4" s="23" t="s">
        <v>88</v>
      </c>
      <c r="L4" s="23" t="s">
        <v>89</v>
      </c>
      <c r="M4" s="23" t="s">
        <v>58</v>
      </c>
      <c r="N4" s="23" t="s">
        <v>101</v>
      </c>
      <c r="O4" s="23" t="s">
        <v>90</v>
      </c>
      <c r="P4" s="23" t="s">
        <v>91</v>
      </c>
      <c r="Q4" s="23"/>
      <c r="R4" s="23" t="s">
        <v>6</v>
      </c>
      <c r="S4" s="23" t="s">
        <v>1</v>
      </c>
      <c r="T4" s="23" t="s">
        <v>7</v>
      </c>
      <c r="U4" s="23" t="s">
        <v>52</v>
      </c>
      <c r="V4" s="23" t="s">
        <v>53</v>
      </c>
      <c r="W4" s="23" t="s">
        <v>11</v>
      </c>
      <c r="X4" s="23" t="s">
        <v>92</v>
      </c>
      <c r="Y4" s="23" t="s">
        <v>93</v>
      </c>
    </row>
    <row r="5" spans="2:25">
      <c r="B5" t="s">
        <v>103</v>
      </c>
      <c r="C5" t="s">
        <v>19</v>
      </c>
      <c r="F5" t="s">
        <v>26</v>
      </c>
      <c r="K5" s="23">
        <v>0.90249999999999997</v>
      </c>
      <c r="L5" s="25">
        <f>24/6</f>
        <v>4</v>
      </c>
      <c r="M5" s="23">
        <v>10</v>
      </c>
      <c r="N5" s="23">
        <v>150</v>
      </c>
      <c r="O5" s="25">
        <v>1</v>
      </c>
      <c r="P5" s="23">
        <v>1</v>
      </c>
      <c r="Q5" s="23"/>
      <c r="R5" s="23" t="s">
        <v>96</v>
      </c>
      <c r="S5" s="23" t="str">
        <f>B5</f>
        <v>ev_battery</v>
      </c>
      <c r="T5" s="23" t="s">
        <v>94</v>
      </c>
      <c r="U5" s="23" t="s">
        <v>21</v>
      </c>
      <c r="V5" s="23" t="s">
        <v>21</v>
      </c>
      <c r="W5" s="23" t="s">
        <v>14</v>
      </c>
      <c r="X5" s="23"/>
      <c r="Y5" s="23"/>
    </row>
    <row r="6" spans="2:25">
      <c r="B6" s="23"/>
      <c r="F6" t="s">
        <v>66</v>
      </c>
      <c r="K6" s="23"/>
      <c r="L6" s="24">
        <v>1</v>
      </c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</row>
    <row r="7" spans="2:25">
      <c r="B7" s="23"/>
      <c r="D7" t="s">
        <v>95</v>
      </c>
      <c r="E7" t="s">
        <v>46</v>
      </c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</row>
    <row r="8" spans="2:25" ht="17.649999999999999">
      <c r="B8" s="20"/>
      <c r="E8" s="26"/>
      <c r="F8" t="str">
        <f>C5</f>
        <v>ELC</v>
      </c>
      <c r="G8" t="str">
        <f>E7</f>
        <v>AuxStoIN</v>
      </c>
      <c r="H8" t="s">
        <v>63</v>
      </c>
      <c r="I8">
        <v>1</v>
      </c>
      <c r="J8">
        <v>3</v>
      </c>
      <c r="K8" s="21"/>
      <c r="L8" s="21"/>
      <c r="M8" s="21"/>
      <c r="N8" s="21"/>
      <c r="O8" s="21"/>
      <c r="P8" s="21"/>
      <c r="Q8" s="20"/>
      <c r="R8" s="20"/>
      <c r="S8" s="20"/>
      <c r="T8" s="20"/>
      <c r="U8" s="20"/>
      <c r="V8" s="20"/>
      <c r="W8" s="22"/>
      <c r="X8" s="22"/>
      <c r="Y8" s="2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64BB3-8019-4461-A511-24783E2ADCDE}">
  <dimension ref="A1:Z29"/>
  <sheetViews>
    <sheetView zoomScale="85" zoomScaleNormal="85" workbookViewId="0">
      <selection activeCell="A28" sqref="A28"/>
    </sheetView>
  </sheetViews>
  <sheetFormatPr defaultRowHeight="14.25"/>
  <cols>
    <col min="1" max="1" width="11.1328125" bestFit="1" customWidth="1"/>
    <col min="2" max="2" width="11.1328125" customWidth="1"/>
    <col min="3" max="5" width="14" bestFit="1" customWidth="1"/>
    <col min="6" max="8" width="11.86328125" bestFit="1" customWidth="1"/>
    <col min="9" max="9" width="20.265625" bestFit="1" customWidth="1"/>
    <col min="10" max="10" width="15.59765625" bestFit="1" customWidth="1"/>
    <col min="11" max="11" width="20.265625" bestFit="1" customWidth="1"/>
    <col min="12" max="12" width="15.59765625" bestFit="1" customWidth="1"/>
    <col min="13" max="13" width="20.265625" bestFit="1" customWidth="1"/>
    <col min="14" max="14" width="15.59765625" bestFit="1" customWidth="1"/>
    <col min="15" max="15" width="18.86328125" customWidth="1"/>
    <col min="16" max="16" width="4.3984375" bestFit="1" customWidth="1"/>
    <col min="17" max="17" width="8.1328125" bestFit="1" customWidth="1"/>
    <col min="18" max="18" width="5.9296875" bestFit="1" customWidth="1"/>
    <col min="21" max="21" width="18.1328125" bestFit="1" customWidth="1"/>
    <col min="22" max="22" width="24" customWidth="1"/>
    <col min="23" max="23" width="4.53125" bestFit="1" customWidth="1"/>
    <col min="24" max="24" width="4.19921875" bestFit="1" customWidth="1"/>
    <col min="25" max="25" width="7.6640625" bestFit="1" customWidth="1"/>
    <col min="26" max="26" width="7.1328125" bestFit="1" customWidth="1"/>
  </cols>
  <sheetData>
    <row r="1" spans="1:18" ht="33.75" customHeight="1">
      <c r="A1" t="s">
        <v>108</v>
      </c>
      <c r="C1" s="147" t="s">
        <v>109</v>
      </c>
      <c r="D1" s="147"/>
      <c r="E1" s="147"/>
      <c r="F1" s="148" t="s">
        <v>110</v>
      </c>
      <c r="G1" s="147"/>
      <c r="H1" s="149"/>
      <c r="I1" s="147" t="s">
        <v>111</v>
      </c>
      <c r="J1" s="147"/>
      <c r="K1" s="147"/>
      <c r="L1" s="147"/>
      <c r="M1" s="147"/>
      <c r="N1" s="147"/>
      <c r="O1" s="150" t="s">
        <v>112</v>
      </c>
      <c r="P1" s="27"/>
      <c r="Q1" s="27"/>
      <c r="R1" s="27"/>
    </row>
    <row r="2" spans="1:18">
      <c r="C2" s="28" t="s">
        <v>101</v>
      </c>
      <c r="D2" s="28" t="s">
        <v>101</v>
      </c>
      <c r="E2" s="28" t="s">
        <v>101</v>
      </c>
      <c r="F2" s="28" t="s">
        <v>113</v>
      </c>
      <c r="G2" s="28" t="s">
        <v>113</v>
      </c>
      <c r="H2" s="28" t="s">
        <v>113</v>
      </c>
      <c r="I2" s="28" t="s">
        <v>114</v>
      </c>
      <c r="J2" s="28" t="s">
        <v>146</v>
      </c>
      <c r="K2" s="28" t="str">
        <f>I2</f>
        <v>input~GASNGA</v>
      </c>
      <c r="L2" s="28" t="s">
        <v>146</v>
      </c>
      <c r="M2" s="28" t="str">
        <f>K2</f>
        <v>input~GASNGA</v>
      </c>
      <c r="N2" s="28" t="s">
        <v>146</v>
      </c>
      <c r="O2" s="151"/>
      <c r="P2" s="27"/>
      <c r="Q2" s="27"/>
      <c r="R2" s="27"/>
    </row>
    <row r="3" spans="1:18">
      <c r="C3" s="28">
        <v>2020</v>
      </c>
      <c r="D3" s="28">
        <v>2030</v>
      </c>
      <c r="E3" s="28">
        <v>2050</v>
      </c>
      <c r="F3" s="28">
        <f>C3</f>
        <v>2020</v>
      </c>
      <c r="G3" s="28">
        <f t="shared" ref="G3:H3" si="0">D3</f>
        <v>2030</v>
      </c>
      <c r="H3" s="28">
        <f t="shared" si="0"/>
        <v>2050</v>
      </c>
      <c r="I3" s="28">
        <v>2015</v>
      </c>
      <c r="J3" s="28">
        <v>2015</v>
      </c>
      <c r="K3" s="28">
        <v>2030</v>
      </c>
      <c r="L3" s="28">
        <v>2030</v>
      </c>
      <c r="M3" s="28">
        <v>2050</v>
      </c>
      <c r="N3" s="28">
        <v>2050</v>
      </c>
      <c r="O3" s="151"/>
      <c r="P3" s="27"/>
      <c r="Q3" s="27"/>
      <c r="R3" s="27"/>
    </row>
    <row r="4" spans="1:18" ht="26.25">
      <c r="C4" s="29">
        <v>2020</v>
      </c>
      <c r="D4" s="29">
        <v>2030</v>
      </c>
      <c r="E4" s="29" t="s">
        <v>115</v>
      </c>
      <c r="F4" s="30">
        <v>2015</v>
      </c>
      <c r="G4" s="29">
        <v>2030</v>
      </c>
      <c r="H4" s="31" t="s">
        <v>115</v>
      </c>
      <c r="I4" s="29" t="s">
        <v>116</v>
      </c>
      <c r="J4" s="29" t="s">
        <v>117</v>
      </c>
      <c r="K4" s="32" t="s">
        <v>118</v>
      </c>
      <c r="L4" s="33" t="s">
        <v>119</v>
      </c>
      <c r="M4" s="29" t="s">
        <v>120</v>
      </c>
      <c r="N4" s="29" t="s">
        <v>121</v>
      </c>
      <c r="O4" s="152"/>
      <c r="P4" s="27"/>
      <c r="Q4" s="27"/>
      <c r="R4" s="27"/>
    </row>
    <row r="5" spans="1:18">
      <c r="C5" s="34">
        <v>550</v>
      </c>
      <c r="D5" s="34">
        <v>500</v>
      </c>
      <c r="E5" s="34">
        <v>450</v>
      </c>
      <c r="F5" s="35">
        <v>22</v>
      </c>
      <c r="G5" s="36">
        <v>20</v>
      </c>
      <c r="H5" s="37">
        <v>18</v>
      </c>
      <c r="I5" s="38">
        <v>1.33</v>
      </c>
      <c r="J5" s="38">
        <v>9.4E-2</v>
      </c>
      <c r="K5" s="39">
        <v>1.3</v>
      </c>
      <c r="L5" s="40">
        <v>9.4E-2</v>
      </c>
      <c r="M5" s="38">
        <v>1.28</v>
      </c>
      <c r="N5" s="38">
        <v>9.4E-2</v>
      </c>
      <c r="O5" s="41" t="s">
        <v>122</v>
      </c>
      <c r="P5" s="42"/>
      <c r="Q5" s="42"/>
      <c r="R5" s="42"/>
    </row>
    <row r="6" spans="1:18">
      <c r="C6" s="43">
        <v>900</v>
      </c>
      <c r="D6" s="43">
        <v>850</v>
      </c>
      <c r="E6" s="43">
        <v>800</v>
      </c>
      <c r="F6" s="44">
        <v>36</v>
      </c>
      <c r="G6" s="45">
        <v>34</v>
      </c>
      <c r="H6" s="46">
        <v>32</v>
      </c>
      <c r="I6" s="47">
        <v>1.33</v>
      </c>
      <c r="J6" s="47">
        <v>1.0940000000000001</v>
      </c>
      <c r="K6" s="48">
        <v>1.3</v>
      </c>
      <c r="L6" s="49">
        <v>1.0940000000000001</v>
      </c>
      <c r="M6" s="47">
        <v>1.28</v>
      </c>
      <c r="N6" s="47">
        <v>1.0940000000000001</v>
      </c>
      <c r="O6" s="50" t="s">
        <v>123</v>
      </c>
      <c r="P6" s="51"/>
      <c r="Q6" s="51"/>
      <c r="R6" s="51"/>
    </row>
    <row r="7" spans="1:18">
      <c r="C7" s="34">
        <v>1978</v>
      </c>
      <c r="D7" s="34">
        <v>1598</v>
      </c>
      <c r="E7" s="34">
        <v>1450</v>
      </c>
      <c r="F7" s="35">
        <v>57</v>
      </c>
      <c r="G7" s="36">
        <v>31</v>
      </c>
      <c r="H7" s="37">
        <v>28</v>
      </c>
      <c r="I7" s="38">
        <v>1.53</v>
      </c>
      <c r="J7" s="38">
        <v>9.4E-2</v>
      </c>
      <c r="K7" s="39">
        <v>1.47</v>
      </c>
      <c r="L7" s="40">
        <v>9.4E-2</v>
      </c>
      <c r="M7" s="38">
        <v>1.43</v>
      </c>
      <c r="N7" s="38">
        <v>9.4E-2</v>
      </c>
      <c r="O7" s="41" t="s">
        <v>124</v>
      </c>
      <c r="P7" s="42"/>
      <c r="Q7" s="42"/>
      <c r="R7" s="42"/>
    </row>
    <row r="8" spans="1:18">
      <c r="C8" s="52">
        <v>1609.9999999999998</v>
      </c>
      <c r="D8" s="52">
        <v>740</v>
      </c>
      <c r="E8" s="52">
        <v>200</v>
      </c>
      <c r="F8" s="44">
        <v>49.000000000000007</v>
      </c>
      <c r="G8" s="45">
        <v>15</v>
      </c>
      <c r="H8" s="46">
        <v>10</v>
      </c>
      <c r="I8" s="47">
        <v>0</v>
      </c>
      <c r="J8" s="47">
        <v>1.39</v>
      </c>
      <c r="K8" s="48">
        <v>0</v>
      </c>
      <c r="L8" s="49">
        <v>1.19</v>
      </c>
      <c r="M8" s="47">
        <v>0</v>
      </c>
      <c r="N8" s="47">
        <v>1.17</v>
      </c>
      <c r="O8" s="50" t="s">
        <v>125</v>
      </c>
      <c r="P8" s="51"/>
      <c r="Q8" s="51"/>
      <c r="R8" s="51"/>
    </row>
    <row r="9" spans="1:18">
      <c r="C9" s="53">
        <v>2530</v>
      </c>
      <c r="D9" s="53">
        <v>1175</v>
      </c>
      <c r="E9" s="53">
        <v>350</v>
      </c>
      <c r="F9" s="35">
        <v>77.000000000000014</v>
      </c>
      <c r="G9" s="36">
        <v>34</v>
      </c>
      <c r="H9" s="37">
        <v>18</v>
      </c>
      <c r="I9" s="38">
        <v>0</v>
      </c>
      <c r="J9" s="38">
        <v>1.5</v>
      </c>
      <c r="K9" s="39">
        <v>0</v>
      </c>
      <c r="L9" s="40">
        <v>1.25</v>
      </c>
      <c r="M9" s="38">
        <v>0</v>
      </c>
      <c r="N9" s="38">
        <v>1.19</v>
      </c>
      <c r="O9" s="41" t="s">
        <v>126</v>
      </c>
      <c r="P9" s="42"/>
      <c r="Q9" s="42"/>
      <c r="R9" s="42"/>
    </row>
    <row r="10" spans="1:18">
      <c r="C10" s="52">
        <v>1265</v>
      </c>
      <c r="D10" s="52">
        <v>600</v>
      </c>
      <c r="E10" s="52">
        <v>180</v>
      </c>
      <c r="F10" s="44">
        <v>28</v>
      </c>
      <c r="G10" s="45">
        <v>14</v>
      </c>
      <c r="H10" s="46">
        <v>9</v>
      </c>
      <c r="I10" s="47">
        <v>0</v>
      </c>
      <c r="J10" s="47">
        <v>1.3952</v>
      </c>
      <c r="K10" s="48">
        <v>0</v>
      </c>
      <c r="L10" s="49">
        <v>1.268</v>
      </c>
      <c r="M10" s="47">
        <v>0</v>
      </c>
      <c r="N10" s="47">
        <v>1.18</v>
      </c>
      <c r="O10" s="50" t="s">
        <v>127</v>
      </c>
      <c r="P10" s="51"/>
      <c r="Q10" s="51"/>
      <c r="R10" s="51"/>
    </row>
    <row r="11" spans="1:18">
      <c r="C11" s="53">
        <v>1897.4999999999998</v>
      </c>
      <c r="D11" s="53">
        <v>715</v>
      </c>
      <c r="E11" s="53">
        <v>300</v>
      </c>
      <c r="F11" s="35">
        <v>41</v>
      </c>
      <c r="G11" s="36">
        <v>17</v>
      </c>
      <c r="H11" s="37">
        <v>15</v>
      </c>
      <c r="I11" s="38">
        <v>0</v>
      </c>
      <c r="J11" s="38">
        <v>1.3952</v>
      </c>
      <c r="K11" s="39">
        <v>0</v>
      </c>
      <c r="L11" s="40">
        <v>1.268</v>
      </c>
      <c r="M11" s="38">
        <v>0</v>
      </c>
      <c r="N11" s="38">
        <v>1.2</v>
      </c>
      <c r="O11" s="41" t="s">
        <v>128</v>
      </c>
      <c r="P11" s="42"/>
      <c r="Q11" s="42"/>
      <c r="R11" s="42"/>
    </row>
    <row r="12" spans="1:18">
      <c r="C12" s="52">
        <v>3332.088235294118</v>
      </c>
      <c r="D12" s="52">
        <v>1421.3921568627452</v>
      </c>
      <c r="E12" s="52">
        <v>600</v>
      </c>
      <c r="F12" s="44">
        <v>55.825000000000003</v>
      </c>
      <c r="G12" s="45">
        <v>36.18</v>
      </c>
      <c r="H12" s="46">
        <v>39</v>
      </c>
      <c r="I12" s="47">
        <v>1.996667038759689</v>
      </c>
      <c r="J12" s="47">
        <v>0.83711999999999998</v>
      </c>
      <c r="K12" s="48">
        <v>1.4556272790939169</v>
      </c>
      <c r="L12" s="49">
        <v>0.76080000000000003</v>
      </c>
      <c r="M12" s="47">
        <v>0.33333333333333337</v>
      </c>
      <c r="N12" s="47">
        <v>0.70799999999999996</v>
      </c>
      <c r="O12" s="50" t="s">
        <v>129</v>
      </c>
      <c r="P12" s="51"/>
      <c r="Q12" s="51"/>
      <c r="R12" s="51"/>
    </row>
    <row r="13" spans="1:18">
      <c r="C13" s="53">
        <v>5331.3411764705888</v>
      </c>
      <c r="D13" s="53">
        <v>2920.8941176470589</v>
      </c>
      <c r="E13" s="53">
        <v>1100</v>
      </c>
      <c r="F13" s="35">
        <v>94.902500000000003</v>
      </c>
      <c r="G13" s="36">
        <v>63.314999999999998</v>
      </c>
      <c r="H13" s="37">
        <v>48.75</v>
      </c>
      <c r="I13" s="38">
        <v>1.996667038759689</v>
      </c>
      <c r="J13" s="38">
        <v>0.83711999999999998</v>
      </c>
      <c r="K13" s="39">
        <v>1.4556272790939169</v>
      </c>
      <c r="L13" s="40">
        <v>0.76080000000000003</v>
      </c>
      <c r="M13" s="38">
        <v>0.33333333333333337</v>
      </c>
      <c r="N13" s="38">
        <v>0.72</v>
      </c>
      <c r="O13" s="41" t="s">
        <v>130</v>
      </c>
      <c r="P13" s="42"/>
      <c r="Q13" s="42"/>
      <c r="R13" s="42"/>
    </row>
    <row r="14" spans="1:18">
      <c r="C14" s="54">
        <v>1200</v>
      </c>
      <c r="D14" s="54">
        <v>733</v>
      </c>
      <c r="E14" s="54">
        <v>263</v>
      </c>
      <c r="F14" s="55">
        <v>42</v>
      </c>
      <c r="G14" s="56">
        <v>22</v>
      </c>
      <c r="H14" s="57">
        <v>9</v>
      </c>
      <c r="I14" s="58">
        <v>0</v>
      </c>
      <c r="J14" s="59">
        <v>0.01</v>
      </c>
      <c r="K14" s="60">
        <v>0</v>
      </c>
      <c r="L14" s="61">
        <v>0.01</v>
      </c>
      <c r="M14" s="59">
        <v>0</v>
      </c>
      <c r="N14" s="59">
        <v>0.01</v>
      </c>
      <c r="O14" s="62" t="s">
        <v>131</v>
      </c>
      <c r="P14" s="63"/>
      <c r="Q14" s="63"/>
      <c r="R14" s="63"/>
    </row>
    <row r="15" spans="1:18">
      <c r="C15" s="64">
        <v>450</v>
      </c>
      <c r="D15" s="64">
        <v>450</v>
      </c>
      <c r="E15" s="64">
        <v>450</v>
      </c>
      <c r="F15" s="65">
        <v>18</v>
      </c>
      <c r="G15" s="66">
        <v>18</v>
      </c>
      <c r="H15" s="67">
        <v>18</v>
      </c>
      <c r="I15" s="68">
        <v>0.26582278481012644</v>
      </c>
      <c r="J15" s="69">
        <v>0.06</v>
      </c>
      <c r="K15" s="70">
        <v>0.26582278481012644</v>
      </c>
      <c r="L15" s="71">
        <v>0.06</v>
      </c>
      <c r="M15" s="69">
        <v>0.26582278481012644</v>
      </c>
      <c r="N15" s="69">
        <v>0.06</v>
      </c>
      <c r="O15" s="72" t="s">
        <v>132</v>
      </c>
      <c r="P15" s="73"/>
      <c r="Q15" s="73"/>
      <c r="R15" s="73"/>
    </row>
    <row r="16" spans="1:18">
      <c r="C16" s="74">
        <v>200</v>
      </c>
      <c r="D16" s="74">
        <v>200</v>
      </c>
      <c r="E16" s="74">
        <v>200</v>
      </c>
      <c r="F16" s="75">
        <v>20</v>
      </c>
      <c r="G16" s="76">
        <v>20</v>
      </c>
      <c r="H16" s="77">
        <v>20</v>
      </c>
      <c r="I16" s="78">
        <v>1.2999999999999999E-2</v>
      </c>
      <c r="J16" s="79">
        <v>3.5999999999999997E-2</v>
      </c>
      <c r="K16" s="80">
        <v>1.2999999999999999E-2</v>
      </c>
      <c r="L16" s="81">
        <v>3.5999999999999997E-2</v>
      </c>
      <c r="M16" s="79">
        <v>1.2999999999999999E-2</v>
      </c>
      <c r="N16" s="79">
        <v>3.5999999999999997E-2</v>
      </c>
      <c r="O16" s="82" t="s">
        <v>133</v>
      </c>
      <c r="P16" s="83"/>
      <c r="Q16" s="83"/>
      <c r="R16" s="83"/>
    </row>
    <row r="17" spans="1:26">
      <c r="C17" s="64">
        <v>175</v>
      </c>
      <c r="D17" s="64">
        <v>175</v>
      </c>
      <c r="E17" s="64">
        <v>175</v>
      </c>
      <c r="F17" s="65">
        <v>5</v>
      </c>
      <c r="G17" s="66">
        <v>5</v>
      </c>
      <c r="H17" s="67">
        <v>5</v>
      </c>
      <c r="I17" s="68">
        <v>1.4E-2</v>
      </c>
      <c r="J17" s="69">
        <v>0</v>
      </c>
      <c r="K17" s="70">
        <v>1.4E-2</v>
      </c>
      <c r="L17" s="71">
        <v>0</v>
      </c>
      <c r="M17" s="69">
        <v>1.4E-2</v>
      </c>
      <c r="N17" s="69">
        <v>0</v>
      </c>
      <c r="O17" s="72" t="s">
        <v>134</v>
      </c>
      <c r="P17" s="73"/>
      <c r="Q17" s="73"/>
      <c r="R17" s="73"/>
    </row>
    <row r="18" spans="1:26">
      <c r="C18" s="84">
        <v>1000</v>
      </c>
      <c r="D18" s="84">
        <v>720</v>
      </c>
      <c r="E18" s="84">
        <v>364</v>
      </c>
      <c r="F18" s="85">
        <v>50</v>
      </c>
      <c r="G18" s="86">
        <v>31</v>
      </c>
      <c r="H18" s="87">
        <v>18</v>
      </c>
      <c r="I18" s="88">
        <v>0.2389</v>
      </c>
      <c r="J18" s="89">
        <v>3.056E-2</v>
      </c>
      <c r="K18" s="90">
        <v>0.2389</v>
      </c>
      <c r="L18" s="91">
        <v>3.056E-2</v>
      </c>
      <c r="M18" s="89">
        <v>0.2389</v>
      </c>
      <c r="N18" s="89">
        <v>3.056E-2</v>
      </c>
      <c r="O18" s="92" t="s">
        <v>135</v>
      </c>
      <c r="P18" s="93"/>
      <c r="Q18" s="93"/>
      <c r="R18" s="93"/>
    </row>
    <row r="19" spans="1:26">
      <c r="C19" s="94">
        <v>1556</v>
      </c>
      <c r="D19" s="94">
        <v>1143</v>
      </c>
      <c r="E19" s="95">
        <v>673</v>
      </c>
      <c r="F19" s="96">
        <v>54</v>
      </c>
      <c r="G19" s="97">
        <v>40</v>
      </c>
      <c r="H19" s="98">
        <v>24</v>
      </c>
      <c r="I19" s="99">
        <v>3.5000000000000003E-2</v>
      </c>
      <c r="J19" s="100">
        <v>0.02</v>
      </c>
      <c r="K19" s="101">
        <v>3.5000000000000003E-2</v>
      </c>
      <c r="L19" s="102">
        <v>0.02</v>
      </c>
      <c r="M19" s="100">
        <v>3.5000000000000003E-2</v>
      </c>
      <c r="N19" s="100">
        <v>0.02</v>
      </c>
      <c r="O19" s="103" t="s">
        <v>136</v>
      </c>
      <c r="P19" s="104"/>
      <c r="Q19" s="104"/>
      <c r="R19" s="104"/>
    </row>
    <row r="20" spans="1:26">
      <c r="C20" s="105">
        <v>2332</v>
      </c>
      <c r="D20" s="105">
        <v>1511</v>
      </c>
      <c r="E20" s="105">
        <v>965</v>
      </c>
      <c r="F20" s="106">
        <v>163</v>
      </c>
      <c r="G20" s="107">
        <v>106</v>
      </c>
      <c r="H20" s="108">
        <v>68</v>
      </c>
      <c r="I20" s="109">
        <v>0.46326666666666666</v>
      </c>
      <c r="J20" s="110">
        <v>1.9188104089219331</v>
      </c>
      <c r="K20" s="111">
        <v>0.39244195142277988</v>
      </c>
      <c r="L20" s="112">
        <v>1.6009812088633062</v>
      </c>
      <c r="M20" s="110">
        <v>0.37890902062421039</v>
      </c>
      <c r="N20" s="110">
        <v>1.5694083453910281</v>
      </c>
      <c r="O20" s="113" t="s">
        <v>137</v>
      </c>
      <c r="P20" s="93"/>
      <c r="Q20" s="93"/>
      <c r="R20" s="93"/>
    </row>
    <row r="21" spans="1:26">
      <c r="C21" s="114">
        <v>769.8768197088466</v>
      </c>
      <c r="D21" s="114">
        <v>648.04446103438272</v>
      </c>
      <c r="E21" s="114">
        <v>518.29059243801294</v>
      </c>
      <c r="F21" s="115">
        <v>26.945688689809632</v>
      </c>
      <c r="G21" s="116">
        <v>22.681556136203398</v>
      </c>
      <c r="H21" s="117">
        <v>18.140170735330454</v>
      </c>
      <c r="I21" s="118">
        <v>2.7777777777777777</v>
      </c>
      <c r="J21" s="119">
        <v>2.2222222222222223</v>
      </c>
      <c r="K21" s="120">
        <v>1.6666666666666665</v>
      </c>
      <c r="L21" s="121">
        <v>1.3888888888888888</v>
      </c>
      <c r="M21" s="119">
        <v>1.1388888888888888</v>
      </c>
      <c r="N21" s="119">
        <v>0.3</v>
      </c>
      <c r="O21" s="122" t="s">
        <v>138</v>
      </c>
      <c r="P21" s="123"/>
      <c r="Q21" s="123"/>
      <c r="R21" s="123"/>
    </row>
    <row r="22" spans="1:26">
      <c r="C22" s="124">
        <v>1259.7984322508398</v>
      </c>
      <c r="D22" s="124">
        <v>894.30135622744808</v>
      </c>
      <c r="E22" s="124">
        <v>495</v>
      </c>
      <c r="F22" s="125">
        <v>44.092945128779398</v>
      </c>
      <c r="G22" s="126">
        <v>31.300547467960687</v>
      </c>
      <c r="H22" s="127">
        <v>17.325000000000003</v>
      </c>
      <c r="I22" s="128">
        <v>2</v>
      </c>
      <c r="J22" s="129">
        <v>0.3</v>
      </c>
      <c r="K22" s="130">
        <v>1.8055555555555556</v>
      </c>
      <c r="L22" s="131">
        <v>0.3</v>
      </c>
      <c r="M22" s="129">
        <v>1.5</v>
      </c>
      <c r="N22" s="129">
        <v>0.3</v>
      </c>
      <c r="O22" s="132" t="s">
        <v>139</v>
      </c>
      <c r="P22" s="133"/>
      <c r="Q22" s="133"/>
      <c r="R22" s="133"/>
    </row>
    <row r="23" spans="1:26">
      <c r="C23" s="134">
        <v>174</v>
      </c>
      <c r="D23" s="134">
        <v>174</v>
      </c>
      <c r="E23" s="134">
        <v>174</v>
      </c>
      <c r="F23" s="135">
        <v>3</v>
      </c>
      <c r="G23" s="136">
        <v>3</v>
      </c>
      <c r="H23" s="137">
        <v>3</v>
      </c>
      <c r="I23" s="138">
        <v>0</v>
      </c>
      <c r="J23" s="139">
        <v>0.20588235294117646</v>
      </c>
      <c r="K23" s="140">
        <v>0</v>
      </c>
      <c r="L23" s="141">
        <v>0.20588235294117646</v>
      </c>
      <c r="M23" s="139">
        <v>0</v>
      </c>
      <c r="N23" s="139">
        <v>0.20588235294117646</v>
      </c>
      <c r="O23" s="142" t="s">
        <v>140</v>
      </c>
      <c r="P23" s="123"/>
      <c r="Q23" s="123"/>
      <c r="R23" s="123"/>
    </row>
    <row r="26" spans="1:26" ht="17.25" thickBot="1">
      <c r="C26" s="143" t="s">
        <v>141</v>
      </c>
      <c r="T26" s="143" t="s">
        <v>0</v>
      </c>
    </row>
    <row r="27" spans="1:26" ht="14.65" thickTop="1">
      <c r="A27" s="144" t="s">
        <v>3</v>
      </c>
      <c r="B27" s="144" t="s">
        <v>2</v>
      </c>
      <c r="C27" s="144" t="str">
        <f>C2&amp;"~"&amp;C3</f>
        <v>invcost~2020</v>
      </c>
      <c r="D27" s="144" t="str">
        <f t="shared" ref="D27:N27" si="1">D2&amp;"~"&amp;D3</f>
        <v>invcost~2030</v>
      </c>
      <c r="E27" s="144" t="str">
        <f t="shared" si="1"/>
        <v>invcost~2050</v>
      </c>
      <c r="F27" s="144" t="str">
        <f t="shared" si="1"/>
        <v>fixom~2020</v>
      </c>
      <c r="G27" s="144" t="str">
        <f t="shared" si="1"/>
        <v>fixom~2030</v>
      </c>
      <c r="H27" s="144" t="str">
        <f t="shared" si="1"/>
        <v>fixom~2050</v>
      </c>
      <c r="I27" s="144" t="str">
        <f t="shared" si="1"/>
        <v>input~GASNGA~2015</v>
      </c>
      <c r="J27" s="144" t="s">
        <v>146</v>
      </c>
      <c r="K27" s="144" t="str">
        <f t="shared" si="1"/>
        <v>input~GASNGA~2030</v>
      </c>
      <c r="L27" s="144" t="str">
        <f t="shared" si="1"/>
        <v>efficiency~2030</v>
      </c>
      <c r="M27" s="144" t="str">
        <f t="shared" si="1"/>
        <v>input~GASNGA~2050</v>
      </c>
      <c r="N27" s="144" t="str">
        <f t="shared" si="1"/>
        <v>efficiency~2050</v>
      </c>
      <c r="O27" s="144" t="s">
        <v>1</v>
      </c>
      <c r="P27" s="144" t="s">
        <v>58</v>
      </c>
      <c r="Q27" s="144" t="s">
        <v>142</v>
      </c>
      <c r="T27" s="144" t="s">
        <v>6</v>
      </c>
      <c r="U27" s="144" t="s">
        <v>1</v>
      </c>
      <c r="V27" s="144" t="s">
        <v>7</v>
      </c>
      <c r="W27" s="144" t="s">
        <v>53</v>
      </c>
      <c r="X27" s="144" t="s">
        <v>52</v>
      </c>
      <c r="Y27" s="144" t="s">
        <v>11</v>
      </c>
      <c r="Z27" s="144" t="s">
        <v>93</v>
      </c>
    </row>
    <row r="28" spans="1:26">
      <c r="A28" t="s">
        <v>35</v>
      </c>
      <c r="B28" t="s">
        <v>15</v>
      </c>
      <c r="C28" s="145">
        <f>C8</f>
        <v>1609.9999999999998</v>
      </c>
      <c r="D28" s="145">
        <f>D8</f>
        <v>740</v>
      </c>
      <c r="E28" s="146">
        <v>450</v>
      </c>
      <c r="F28" s="145">
        <f>F8</f>
        <v>49.000000000000007</v>
      </c>
      <c r="G28" s="145">
        <f>G8</f>
        <v>15</v>
      </c>
      <c r="H28" s="145">
        <f>H8</f>
        <v>10</v>
      </c>
      <c r="I28" s="4"/>
      <c r="J28" s="4">
        <f>1/J8</f>
        <v>0.71942446043165476</v>
      </c>
      <c r="K28" s="4"/>
      <c r="L28" s="4">
        <f>1/L8</f>
        <v>0.84033613445378152</v>
      </c>
      <c r="M28" s="4"/>
      <c r="N28" s="4">
        <f>1/N8</f>
        <v>0.85470085470085477</v>
      </c>
      <c r="O28" t="s">
        <v>144</v>
      </c>
      <c r="P28">
        <v>25</v>
      </c>
      <c r="Q28">
        <v>8.76</v>
      </c>
      <c r="T28" t="str">
        <f t="shared" ref="T28:T29" si="2">IF(O28="","*","PRE")</f>
        <v>PRE</v>
      </c>
      <c r="U28" t="str">
        <f t="shared" ref="U28:U29" si="3">O28</f>
        <v>H2prd_Elc_PEM</v>
      </c>
      <c r="V28" t="str">
        <f>O8</f>
        <v>Hydrogen from low temperature water electrolysis PEM centralised - Large scale  (per 1 kW or 1 MWh H2 HHV)</v>
      </c>
      <c r="W28" t="s">
        <v>10</v>
      </c>
      <c r="X28" t="s">
        <v>21</v>
      </c>
      <c r="Y28" t="s">
        <v>14</v>
      </c>
      <c r="Z28" t="s">
        <v>143</v>
      </c>
    </row>
    <row r="29" spans="1:26">
      <c r="A29" t="s">
        <v>35</v>
      </c>
      <c r="B29" t="s">
        <v>15</v>
      </c>
      <c r="C29" s="145">
        <f>C10</f>
        <v>1265</v>
      </c>
      <c r="D29" s="145">
        <f>D10</f>
        <v>600</v>
      </c>
      <c r="E29" s="146">
        <v>350</v>
      </c>
      <c r="F29" s="145">
        <f>F10</f>
        <v>28</v>
      </c>
      <c r="G29" s="145">
        <f>G10</f>
        <v>14</v>
      </c>
      <c r="H29" s="145">
        <f>H10</f>
        <v>9</v>
      </c>
      <c r="I29" s="4"/>
      <c r="J29" s="4">
        <f>1/J10</f>
        <v>0.71674311926605505</v>
      </c>
      <c r="K29" s="4"/>
      <c r="L29" s="4">
        <f>1/L10</f>
        <v>0.78864353312302837</v>
      </c>
      <c r="M29" s="4"/>
      <c r="N29" s="4">
        <f>1/N10</f>
        <v>0.84745762711864414</v>
      </c>
      <c r="O29" t="s">
        <v>145</v>
      </c>
      <c r="P29">
        <v>25</v>
      </c>
      <c r="Q29">
        <v>8.76</v>
      </c>
      <c r="T29" t="str">
        <f t="shared" si="2"/>
        <v>PRE</v>
      </c>
      <c r="U29" t="str">
        <f t="shared" si="3"/>
        <v>H2prd_Elc_ALK</v>
      </c>
      <c r="V29" t="str">
        <f>O10</f>
        <v>Hydrogen from low temperature water electrolysis - Alkaline centralised, large scale  (per 1 kW or 1 MWh H2 HHV)</v>
      </c>
      <c r="W29" t="s">
        <v>10</v>
      </c>
      <c r="X29" t="s">
        <v>21</v>
      </c>
      <c r="Y29" t="s">
        <v>14</v>
      </c>
      <c r="Z29" t="s">
        <v>143</v>
      </c>
    </row>
  </sheetData>
  <mergeCells count="4">
    <mergeCell ref="C1:E1"/>
    <mergeCell ref="F1:H1"/>
    <mergeCell ref="I1:N1"/>
    <mergeCell ref="O1:O4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29663-C7A7-4BF1-B9E9-B62E1261A5FF}">
  <dimension ref="B9:BD54"/>
  <sheetViews>
    <sheetView workbookViewId="0"/>
  </sheetViews>
  <sheetFormatPr defaultRowHeight="14.25"/>
  <sheetData>
    <row r="9" spans="2:56">
      <c r="B9" t="s">
        <v>163</v>
      </c>
      <c r="J9" t="s">
        <v>234</v>
      </c>
      <c r="O9" t="s">
        <v>163</v>
      </c>
      <c r="X9" t="s">
        <v>234</v>
      </c>
      <c r="AD9" t="s">
        <v>163</v>
      </c>
      <c r="AL9" t="s">
        <v>234</v>
      </c>
      <c r="AR9" t="s">
        <v>163</v>
      </c>
      <c r="AZ9" t="s">
        <v>234</v>
      </c>
    </row>
    <row r="10" spans="2:56">
      <c r="B10" t="s">
        <v>164</v>
      </c>
      <c r="C10" t="s">
        <v>165</v>
      </c>
      <c r="D10" t="s">
        <v>166</v>
      </c>
      <c r="E10" t="s">
        <v>167</v>
      </c>
      <c r="F10" t="s">
        <v>168</v>
      </c>
      <c r="G10" t="s">
        <v>169</v>
      </c>
      <c r="H10" t="s">
        <v>170</v>
      </c>
      <c r="J10" t="s">
        <v>165</v>
      </c>
      <c r="K10" t="s">
        <v>235</v>
      </c>
      <c r="L10" t="s">
        <v>236</v>
      </c>
      <c r="M10" t="s">
        <v>237</v>
      </c>
      <c r="O10" t="s">
        <v>164</v>
      </c>
      <c r="P10" t="s">
        <v>165</v>
      </c>
      <c r="Q10" t="s">
        <v>166</v>
      </c>
      <c r="R10" t="s">
        <v>167</v>
      </c>
      <c r="S10" t="s">
        <v>168</v>
      </c>
      <c r="T10" t="s">
        <v>268</v>
      </c>
      <c r="U10" t="s">
        <v>169</v>
      </c>
      <c r="V10" t="s">
        <v>170</v>
      </c>
      <c r="X10" t="s">
        <v>165</v>
      </c>
      <c r="Y10" t="s">
        <v>332</v>
      </c>
      <c r="Z10" t="s">
        <v>235</v>
      </c>
      <c r="AA10" t="s">
        <v>146</v>
      </c>
      <c r="AB10" t="s">
        <v>333</v>
      </c>
      <c r="AD10" t="s">
        <v>164</v>
      </c>
      <c r="AE10" t="s">
        <v>165</v>
      </c>
      <c r="AF10" t="s">
        <v>166</v>
      </c>
      <c r="AG10" t="s">
        <v>167</v>
      </c>
      <c r="AH10" t="s">
        <v>168</v>
      </c>
      <c r="AI10" t="s">
        <v>169</v>
      </c>
      <c r="AJ10" t="s">
        <v>170</v>
      </c>
      <c r="AL10" t="s">
        <v>165</v>
      </c>
      <c r="AM10" t="s">
        <v>332</v>
      </c>
      <c r="AN10" t="s">
        <v>235</v>
      </c>
      <c r="AO10" t="s">
        <v>146</v>
      </c>
      <c r="AP10" t="s">
        <v>333</v>
      </c>
      <c r="AR10" t="s">
        <v>164</v>
      </c>
      <c r="AS10" t="s">
        <v>165</v>
      </c>
      <c r="AT10" t="s">
        <v>166</v>
      </c>
      <c r="AU10" t="s">
        <v>167</v>
      </c>
      <c r="AV10" t="s">
        <v>168</v>
      </c>
      <c r="AW10" t="s">
        <v>169</v>
      </c>
      <c r="AX10" t="s">
        <v>170</v>
      </c>
      <c r="AZ10" t="s">
        <v>165</v>
      </c>
      <c r="BA10" t="s">
        <v>332</v>
      </c>
      <c r="BB10" t="s">
        <v>235</v>
      </c>
      <c r="BC10" t="s">
        <v>146</v>
      </c>
      <c r="BD10" t="s">
        <v>333</v>
      </c>
    </row>
    <row r="11" spans="2:56">
      <c r="B11" t="s">
        <v>171</v>
      </c>
      <c r="C11" t="s">
        <v>172</v>
      </c>
      <c r="D11" t="s">
        <v>173</v>
      </c>
      <c r="E11" t="s">
        <v>10</v>
      </c>
      <c r="F11" t="s">
        <v>21</v>
      </c>
      <c r="G11" t="s">
        <v>174</v>
      </c>
      <c r="H11" t="s">
        <v>175</v>
      </c>
      <c r="J11" t="s">
        <v>172</v>
      </c>
      <c r="K11" t="s">
        <v>238</v>
      </c>
      <c r="L11">
        <v>0.11366418204482304</v>
      </c>
      <c r="M11">
        <v>0.18364651891835679</v>
      </c>
      <c r="O11" t="s">
        <v>269</v>
      </c>
      <c r="P11" t="s">
        <v>270</v>
      </c>
      <c r="Q11" t="s">
        <v>271</v>
      </c>
      <c r="R11" t="s">
        <v>10</v>
      </c>
      <c r="S11" t="s">
        <v>21</v>
      </c>
      <c r="T11" t="s">
        <v>272</v>
      </c>
      <c r="U11" t="s">
        <v>273</v>
      </c>
      <c r="V11" t="s">
        <v>175</v>
      </c>
      <c r="X11" t="s">
        <v>270</v>
      </c>
      <c r="Y11" t="s">
        <v>258</v>
      </c>
      <c r="Z11" t="s">
        <v>334</v>
      </c>
      <c r="AA11">
        <v>0.99900168239190124</v>
      </c>
      <c r="AB11">
        <v>18.302489481810518</v>
      </c>
      <c r="AD11" t="s">
        <v>269</v>
      </c>
      <c r="AE11" t="s">
        <v>360</v>
      </c>
      <c r="AF11" t="s">
        <v>361</v>
      </c>
      <c r="AG11" t="s">
        <v>10</v>
      </c>
      <c r="AH11" t="s">
        <v>21</v>
      </c>
      <c r="AI11" t="s">
        <v>273</v>
      </c>
      <c r="AJ11" t="s">
        <v>175</v>
      </c>
      <c r="AL11" t="s">
        <v>360</v>
      </c>
      <c r="AM11" t="s">
        <v>422</v>
      </c>
      <c r="AN11" t="s">
        <v>423</v>
      </c>
      <c r="AO11">
        <v>0.99693456929731861</v>
      </c>
      <c r="AP11">
        <v>56.199562882493169</v>
      </c>
      <c r="AR11" t="s">
        <v>269</v>
      </c>
      <c r="AS11" t="s">
        <v>480</v>
      </c>
      <c r="AT11" t="s">
        <v>481</v>
      </c>
      <c r="AU11" t="s">
        <v>10</v>
      </c>
      <c r="AV11" t="s">
        <v>21</v>
      </c>
      <c r="AW11" t="s">
        <v>273</v>
      </c>
      <c r="AX11" t="s">
        <v>175</v>
      </c>
      <c r="AZ11" t="s">
        <v>480</v>
      </c>
      <c r="BA11" t="s">
        <v>568</v>
      </c>
      <c r="BB11" t="s">
        <v>351</v>
      </c>
      <c r="BC11">
        <v>0.95957195194316591</v>
      </c>
      <c r="BD11">
        <v>741.18088104195795</v>
      </c>
    </row>
    <row r="12" spans="2:56">
      <c r="B12" t="s">
        <v>171</v>
      </c>
      <c r="C12" t="s">
        <v>176</v>
      </c>
      <c r="D12" t="s">
        <v>177</v>
      </c>
      <c r="E12" t="s">
        <v>10</v>
      </c>
      <c r="F12" t="s">
        <v>21</v>
      </c>
      <c r="G12" t="s">
        <v>174</v>
      </c>
      <c r="H12" t="s">
        <v>175</v>
      </c>
      <c r="J12" t="s">
        <v>176</v>
      </c>
      <c r="K12" t="s">
        <v>239</v>
      </c>
      <c r="L12">
        <v>0.97318340167635442</v>
      </c>
      <c r="M12">
        <v>0.18544472860493169</v>
      </c>
      <c r="O12" t="s">
        <v>269</v>
      </c>
      <c r="P12" t="s">
        <v>274</v>
      </c>
      <c r="Q12" t="s">
        <v>275</v>
      </c>
      <c r="R12" t="s">
        <v>10</v>
      </c>
      <c r="S12" t="s">
        <v>21</v>
      </c>
      <c r="T12" t="s">
        <v>272</v>
      </c>
      <c r="U12" t="s">
        <v>273</v>
      </c>
      <c r="V12" t="s">
        <v>175</v>
      </c>
      <c r="X12" t="s">
        <v>274</v>
      </c>
      <c r="Y12" t="s">
        <v>266</v>
      </c>
      <c r="Z12" t="s">
        <v>335</v>
      </c>
      <c r="AA12">
        <v>0.9972084849335241</v>
      </c>
      <c r="AB12">
        <v>51.177776218725121</v>
      </c>
      <c r="AD12" t="s">
        <v>269</v>
      </c>
      <c r="AE12" t="s">
        <v>362</v>
      </c>
      <c r="AF12" t="s">
        <v>363</v>
      </c>
      <c r="AG12" t="s">
        <v>10</v>
      </c>
      <c r="AH12" t="s">
        <v>21</v>
      </c>
      <c r="AI12" t="s">
        <v>273</v>
      </c>
      <c r="AJ12" t="s">
        <v>175</v>
      </c>
      <c r="AL12" t="s">
        <v>362</v>
      </c>
      <c r="AM12" t="s">
        <v>424</v>
      </c>
      <c r="AN12" t="s">
        <v>425</v>
      </c>
      <c r="AO12">
        <v>0.99682717865030179</v>
      </c>
      <c r="AP12">
        <v>58.168391411134159</v>
      </c>
      <c r="AR12" t="s">
        <v>269</v>
      </c>
      <c r="AS12" t="s">
        <v>482</v>
      </c>
      <c r="AT12" t="s">
        <v>483</v>
      </c>
      <c r="AU12" t="s">
        <v>10</v>
      </c>
      <c r="AV12" t="s">
        <v>21</v>
      </c>
      <c r="AW12" t="s">
        <v>273</v>
      </c>
      <c r="AX12" t="s">
        <v>175</v>
      </c>
      <c r="AZ12" t="s">
        <v>482</v>
      </c>
      <c r="BA12" t="s">
        <v>569</v>
      </c>
      <c r="BB12" t="s">
        <v>570</v>
      </c>
      <c r="BC12">
        <v>0.99504061303190972</v>
      </c>
      <c r="BD12">
        <v>90.922094414988095</v>
      </c>
    </row>
    <row r="13" spans="2:56">
      <c r="B13" t="s">
        <v>171</v>
      </c>
      <c r="C13" t="s">
        <v>178</v>
      </c>
      <c r="D13" t="s">
        <v>179</v>
      </c>
      <c r="E13" t="s">
        <v>10</v>
      </c>
      <c r="F13" t="s">
        <v>21</v>
      </c>
      <c r="G13" t="s">
        <v>174</v>
      </c>
      <c r="H13" t="s">
        <v>175</v>
      </c>
      <c r="J13" t="s">
        <v>178</v>
      </c>
      <c r="K13" t="s">
        <v>240</v>
      </c>
      <c r="L13">
        <v>3.1156738745546861</v>
      </c>
      <c r="M13">
        <v>0.1844401710515986</v>
      </c>
      <c r="O13" t="s">
        <v>269</v>
      </c>
      <c r="P13" t="s">
        <v>276</v>
      </c>
      <c r="Q13" t="s">
        <v>277</v>
      </c>
      <c r="R13" t="s">
        <v>10</v>
      </c>
      <c r="S13" t="s">
        <v>21</v>
      </c>
      <c r="T13" t="s">
        <v>272</v>
      </c>
      <c r="U13" t="s">
        <v>273</v>
      </c>
      <c r="V13" t="s">
        <v>175</v>
      </c>
      <c r="X13" t="s">
        <v>276</v>
      </c>
      <c r="Y13" t="s">
        <v>252</v>
      </c>
      <c r="Z13" t="s">
        <v>336</v>
      </c>
      <c r="AA13">
        <v>0.99330431978332978</v>
      </c>
      <c r="AB13">
        <v>122.75413730562111</v>
      </c>
      <c r="AD13" t="s">
        <v>269</v>
      </c>
      <c r="AE13" t="s">
        <v>364</v>
      </c>
      <c r="AF13" t="s">
        <v>365</v>
      </c>
      <c r="AG13" t="s">
        <v>10</v>
      </c>
      <c r="AH13" t="s">
        <v>21</v>
      </c>
      <c r="AI13" t="s">
        <v>273</v>
      </c>
      <c r="AJ13" t="s">
        <v>175</v>
      </c>
      <c r="AL13" t="s">
        <v>364</v>
      </c>
      <c r="AM13" t="s">
        <v>426</v>
      </c>
      <c r="AN13" t="s">
        <v>427</v>
      </c>
      <c r="AO13">
        <v>0.99863922747017897</v>
      </c>
      <c r="AP13">
        <v>24.947496380053089</v>
      </c>
      <c r="AR13" t="s">
        <v>269</v>
      </c>
      <c r="AS13" t="s">
        <v>484</v>
      </c>
      <c r="AT13" t="s">
        <v>485</v>
      </c>
      <c r="AU13" t="s">
        <v>10</v>
      </c>
      <c r="AV13" t="s">
        <v>21</v>
      </c>
      <c r="AW13" t="s">
        <v>273</v>
      </c>
      <c r="AX13" t="s">
        <v>175</v>
      </c>
      <c r="AZ13" t="s">
        <v>484</v>
      </c>
      <c r="BA13" t="s">
        <v>571</v>
      </c>
      <c r="BB13" t="s">
        <v>337</v>
      </c>
      <c r="BC13">
        <v>0.97902641975794957</v>
      </c>
      <c r="BD13">
        <v>384.51563777092457</v>
      </c>
    </row>
    <row r="14" spans="2:56">
      <c r="B14" t="s">
        <v>171</v>
      </c>
      <c r="C14" t="s">
        <v>180</v>
      </c>
      <c r="D14" t="s">
        <v>181</v>
      </c>
      <c r="E14" t="s">
        <v>10</v>
      </c>
      <c r="F14" t="s">
        <v>21</v>
      </c>
      <c r="G14" t="s">
        <v>174</v>
      </c>
      <c r="H14" t="s">
        <v>175</v>
      </c>
      <c r="J14" t="s">
        <v>180</v>
      </c>
      <c r="K14" t="s">
        <v>241</v>
      </c>
      <c r="L14">
        <v>1.0095122884700507</v>
      </c>
      <c r="M14">
        <v>0.18575864794618849</v>
      </c>
      <c r="O14" t="s">
        <v>269</v>
      </c>
      <c r="P14" t="s">
        <v>278</v>
      </c>
      <c r="Q14" t="s">
        <v>279</v>
      </c>
      <c r="R14" t="s">
        <v>10</v>
      </c>
      <c r="S14" t="s">
        <v>21</v>
      </c>
      <c r="T14" t="s">
        <v>272</v>
      </c>
      <c r="U14" t="s">
        <v>273</v>
      </c>
      <c r="V14" t="s">
        <v>175</v>
      </c>
      <c r="X14" t="s">
        <v>278</v>
      </c>
      <c r="Y14" t="s">
        <v>253</v>
      </c>
      <c r="Z14" t="s">
        <v>336</v>
      </c>
      <c r="AA14">
        <v>0.98747001291015246</v>
      </c>
      <c r="AB14">
        <v>229.71642998053829</v>
      </c>
      <c r="AD14" t="s">
        <v>269</v>
      </c>
      <c r="AE14" t="s">
        <v>366</v>
      </c>
      <c r="AF14" t="s">
        <v>367</v>
      </c>
      <c r="AG14" t="s">
        <v>10</v>
      </c>
      <c r="AH14" t="s">
        <v>21</v>
      </c>
      <c r="AI14" t="s">
        <v>273</v>
      </c>
      <c r="AJ14" t="s">
        <v>175</v>
      </c>
      <c r="AL14" t="s">
        <v>366</v>
      </c>
      <c r="AM14" t="s">
        <v>428</v>
      </c>
      <c r="AN14" t="s">
        <v>429</v>
      </c>
      <c r="AO14">
        <v>0.99762356494824644</v>
      </c>
      <c r="AP14">
        <v>43.567975948815601</v>
      </c>
      <c r="AR14" t="s">
        <v>269</v>
      </c>
      <c r="AS14" t="s">
        <v>486</v>
      </c>
      <c r="AT14" t="s">
        <v>487</v>
      </c>
      <c r="AU14" t="s">
        <v>10</v>
      </c>
      <c r="AV14" t="s">
        <v>21</v>
      </c>
      <c r="AW14" t="s">
        <v>273</v>
      </c>
      <c r="AX14" t="s">
        <v>175</v>
      </c>
      <c r="AZ14" t="s">
        <v>486</v>
      </c>
      <c r="BA14" t="s">
        <v>572</v>
      </c>
      <c r="BB14" t="s">
        <v>573</v>
      </c>
      <c r="BC14">
        <v>0.99623532634854861</v>
      </c>
      <c r="BD14">
        <v>69.01901694327529</v>
      </c>
    </row>
    <row r="15" spans="2:56">
      <c r="B15" t="s">
        <v>171</v>
      </c>
      <c r="C15" t="s">
        <v>182</v>
      </c>
      <c r="D15" t="s">
        <v>183</v>
      </c>
      <c r="E15" t="s">
        <v>10</v>
      </c>
      <c r="F15" t="s">
        <v>21</v>
      </c>
      <c r="G15" t="s">
        <v>174</v>
      </c>
      <c r="H15" t="s">
        <v>175</v>
      </c>
      <c r="J15" t="s">
        <v>182</v>
      </c>
      <c r="K15" t="s">
        <v>242</v>
      </c>
      <c r="L15">
        <v>9.6014343718961292</v>
      </c>
      <c r="M15">
        <v>0.1799742763899051</v>
      </c>
      <c r="O15" t="s">
        <v>269</v>
      </c>
      <c r="P15" t="s">
        <v>280</v>
      </c>
      <c r="Q15" t="s">
        <v>281</v>
      </c>
      <c r="R15" t="s">
        <v>10</v>
      </c>
      <c r="S15" t="s">
        <v>21</v>
      </c>
      <c r="T15" t="s">
        <v>272</v>
      </c>
      <c r="U15" t="s">
        <v>273</v>
      </c>
      <c r="V15" t="s">
        <v>175</v>
      </c>
      <c r="X15" t="s">
        <v>280</v>
      </c>
      <c r="Y15" t="s">
        <v>249</v>
      </c>
      <c r="Z15" t="s">
        <v>337</v>
      </c>
      <c r="AA15">
        <v>0.98179245618315802</v>
      </c>
      <c r="AB15">
        <v>333.80496997543548</v>
      </c>
      <c r="AD15" t="s">
        <v>269</v>
      </c>
      <c r="AE15" t="s">
        <v>368</v>
      </c>
      <c r="AF15" t="s">
        <v>369</v>
      </c>
      <c r="AG15" t="s">
        <v>10</v>
      </c>
      <c r="AH15" t="s">
        <v>21</v>
      </c>
      <c r="AI15" t="s">
        <v>273</v>
      </c>
      <c r="AJ15" t="s">
        <v>175</v>
      </c>
      <c r="AL15" t="s">
        <v>368</v>
      </c>
      <c r="AM15" t="s">
        <v>430</v>
      </c>
      <c r="AN15" t="s">
        <v>431</v>
      </c>
      <c r="AO15">
        <v>0.99669176136177262</v>
      </c>
      <c r="AP15">
        <v>60.651041700835236</v>
      </c>
      <c r="AR15" t="s">
        <v>269</v>
      </c>
      <c r="AS15" t="s">
        <v>488</v>
      </c>
      <c r="AT15" t="s">
        <v>489</v>
      </c>
      <c r="AU15" t="s">
        <v>10</v>
      </c>
      <c r="AV15" t="s">
        <v>21</v>
      </c>
      <c r="AW15" t="s">
        <v>273</v>
      </c>
      <c r="AX15" t="s">
        <v>175</v>
      </c>
      <c r="AZ15" t="s">
        <v>488</v>
      </c>
      <c r="BA15" t="s">
        <v>574</v>
      </c>
      <c r="BB15" t="s">
        <v>575</v>
      </c>
      <c r="BC15">
        <v>0.98779966071713954</v>
      </c>
      <c r="BD15">
        <v>223.67288685244134</v>
      </c>
    </row>
    <row r="16" spans="2:56">
      <c r="B16" t="s">
        <v>171</v>
      </c>
      <c r="C16" t="s">
        <v>184</v>
      </c>
      <c r="D16" t="s">
        <v>185</v>
      </c>
      <c r="E16" t="s">
        <v>10</v>
      </c>
      <c r="F16" t="s">
        <v>21</v>
      </c>
      <c r="G16" t="s">
        <v>174</v>
      </c>
      <c r="H16" t="s">
        <v>175</v>
      </c>
      <c r="J16" t="s">
        <v>184</v>
      </c>
      <c r="K16" t="s">
        <v>243</v>
      </c>
      <c r="L16">
        <v>11.664406830498095</v>
      </c>
      <c r="M16">
        <v>0.20214793379564561</v>
      </c>
      <c r="O16" t="s">
        <v>269</v>
      </c>
      <c r="P16" t="s">
        <v>282</v>
      </c>
      <c r="Q16" t="s">
        <v>283</v>
      </c>
      <c r="R16" t="s">
        <v>10</v>
      </c>
      <c r="S16" t="s">
        <v>21</v>
      </c>
      <c r="T16" t="s">
        <v>272</v>
      </c>
      <c r="U16" t="s">
        <v>273</v>
      </c>
      <c r="V16" t="s">
        <v>175</v>
      </c>
      <c r="X16" t="s">
        <v>282</v>
      </c>
      <c r="Y16" t="s">
        <v>250</v>
      </c>
      <c r="Z16" t="s">
        <v>338</v>
      </c>
      <c r="AA16">
        <v>0.97905685820454003</v>
      </c>
      <c r="AB16">
        <v>383.95759958343297</v>
      </c>
      <c r="AD16" t="s">
        <v>269</v>
      </c>
      <c r="AE16" t="s">
        <v>370</v>
      </c>
      <c r="AF16" t="s">
        <v>371</v>
      </c>
      <c r="AG16" t="s">
        <v>10</v>
      </c>
      <c r="AH16" t="s">
        <v>21</v>
      </c>
      <c r="AI16" t="s">
        <v>273</v>
      </c>
      <c r="AJ16" t="s">
        <v>175</v>
      </c>
      <c r="AL16" t="s">
        <v>370</v>
      </c>
      <c r="AM16" t="s">
        <v>432</v>
      </c>
      <c r="AN16" t="s">
        <v>433</v>
      </c>
      <c r="AO16">
        <v>0.99870022163576544</v>
      </c>
      <c r="AP16">
        <v>23.829270010966344</v>
      </c>
      <c r="AR16" t="s">
        <v>269</v>
      </c>
      <c r="AS16" t="s">
        <v>490</v>
      </c>
      <c r="AT16" t="s">
        <v>491</v>
      </c>
      <c r="AU16" t="s">
        <v>10</v>
      </c>
      <c r="AV16" t="s">
        <v>21</v>
      </c>
      <c r="AW16" t="s">
        <v>273</v>
      </c>
      <c r="AX16" t="s">
        <v>175</v>
      </c>
      <c r="AZ16" t="s">
        <v>490</v>
      </c>
      <c r="BA16" t="s">
        <v>576</v>
      </c>
      <c r="BB16" t="s">
        <v>577</v>
      </c>
      <c r="BC16">
        <v>0.99681267676383467</v>
      </c>
      <c r="BD16">
        <v>58.434259329697142</v>
      </c>
    </row>
    <row r="17" spans="2:56">
      <c r="B17" t="s">
        <v>171</v>
      </c>
      <c r="C17" t="s">
        <v>186</v>
      </c>
      <c r="D17" t="s">
        <v>187</v>
      </c>
      <c r="E17" t="s">
        <v>10</v>
      </c>
      <c r="F17" t="s">
        <v>21</v>
      </c>
      <c r="G17" t="s">
        <v>174</v>
      </c>
      <c r="H17" t="s">
        <v>175</v>
      </c>
      <c r="J17" t="s">
        <v>186</v>
      </c>
      <c r="K17" t="s">
        <v>244</v>
      </c>
      <c r="L17">
        <v>14.461703445844719</v>
      </c>
      <c r="M17">
        <v>0.19470252899995741</v>
      </c>
      <c r="O17" t="s">
        <v>269</v>
      </c>
      <c r="P17" t="s">
        <v>284</v>
      </c>
      <c r="Q17" t="s">
        <v>285</v>
      </c>
      <c r="R17" t="s">
        <v>10</v>
      </c>
      <c r="S17" t="s">
        <v>21</v>
      </c>
      <c r="T17" t="s">
        <v>272</v>
      </c>
      <c r="U17" t="s">
        <v>273</v>
      </c>
      <c r="V17" t="s">
        <v>175</v>
      </c>
      <c r="X17" t="s">
        <v>284</v>
      </c>
      <c r="Y17" t="s">
        <v>263</v>
      </c>
      <c r="Z17" t="s">
        <v>339</v>
      </c>
      <c r="AA17">
        <v>0.9981216016103206</v>
      </c>
      <c r="AB17">
        <v>34.437303810788691</v>
      </c>
      <c r="AD17" t="s">
        <v>269</v>
      </c>
      <c r="AE17" t="s">
        <v>372</v>
      </c>
      <c r="AF17" t="s">
        <v>373</v>
      </c>
      <c r="AG17" t="s">
        <v>10</v>
      </c>
      <c r="AH17" t="s">
        <v>21</v>
      </c>
      <c r="AI17" t="s">
        <v>273</v>
      </c>
      <c r="AJ17" t="s">
        <v>175</v>
      </c>
      <c r="AL17" t="s">
        <v>372</v>
      </c>
      <c r="AM17" t="s">
        <v>434</v>
      </c>
      <c r="AN17" t="s">
        <v>435</v>
      </c>
      <c r="AO17">
        <v>0.99807466477127271</v>
      </c>
      <c r="AP17">
        <v>35.297812526667357</v>
      </c>
      <c r="AR17" t="s">
        <v>269</v>
      </c>
      <c r="AS17" t="s">
        <v>492</v>
      </c>
      <c r="AT17" t="s">
        <v>493</v>
      </c>
      <c r="AU17" t="s">
        <v>10</v>
      </c>
      <c r="AV17" t="s">
        <v>21</v>
      </c>
      <c r="AW17" t="s">
        <v>273</v>
      </c>
      <c r="AX17" t="s">
        <v>175</v>
      </c>
      <c r="AZ17" t="s">
        <v>492</v>
      </c>
      <c r="BA17" t="s">
        <v>578</v>
      </c>
      <c r="BB17" t="s">
        <v>336</v>
      </c>
      <c r="BC17">
        <v>0.98355967005268352</v>
      </c>
      <c r="BD17">
        <v>301.40604903413595</v>
      </c>
    </row>
    <row r="18" spans="2:56">
      <c r="B18" t="s">
        <v>171</v>
      </c>
      <c r="C18" t="s">
        <v>188</v>
      </c>
      <c r="D18" t="s">
        <v>189</v>
      </c>
      <c r="E18" t="s">
        <v>10</v>
      </c>
      <c r="F18" t="s">
        <v>21</v>
      </c>
      <c r="G18" t="s">
        <v>174</v>
      </c>
      <c r="H18" t="s">
        <v>175</v>
      </c>
      <c r="J18" t="s">
        <v>188</v>
      </c>
      <c r="K18" t="s">
        <v>245</v>
      </c>
      <c r="L18">
        <v>2.0672282720381219</v>
      </c>
      <c r="M18">
        <v>0.1897242685700597</v>
      </c>
      <c r="O18" t="s">
        <v>269</v>
      </c>
      <c r="P18" t="s">
        <v>286</v>
      </c>
      <c r="Q18" t="s">
        <v>287</v>
      </c>
      <c r="R18" t="s">
        <v>10</v>
      </c>
      <c r="S18" t="s">
        <v>21</v>
      </c>
      <c r="T18" t="s">
        <v>272</v>
      </c>
      <c r="U18" t="s">
        <v>273</v>
      </c>
      <c r="V18" t="s">
        <v>175</v>
      </c>
      <c r="X18" t="s">
        <v>286</v>
      </c>
      <c r="Y18" t="s">
        <v>248</v>
      </c>
      <c r="Z18" t="s">
        <v>340</v>
      </c>
      <c r="AA18">
        <v>0.99809166649408687</v>
      </c>
      <c r="AB18">
        <v>34.986114275074357</v>
      </c>
      <c r="AD18" t="s">
        <v>269</v>
      </c>
      <c r="AE18" t="s">
        <v>374</v>
      </c>
      <c r="AF18" t="s">
        <v>375</v>
      </c>
      <c r="AG18" t="s">
        <v>10</v>
      </c>
      <c r="AH18" t="s">
        <v>21</v>
      </c>
      <c r="AI18" t="s">
        <v>273</v>
      </c>
      <c r="AJ18" t="s">
        <v>175</v>
      </c>
      <c r="AL18" t="s">
        <v>374</v>
      </c>
      <c r="AM18" t="s">
        <v>436</v>
      </c>
      <c r="AN18" t="s">
        <v>437</v>
      </c>
      <c r="AO18">
        <v>0.99869589057011365</v>
      </c>
      <c r="AP18">
        <v>23.908672881248773</v>
      </c>
      <c r="AR18" t="s">
        <v>269</v>
      </c>
      <c r="AS18" t="s">
        <v>494</v>
      </c>
      <c r="AT18" t="s">
        <v>495</v>
      </c>
      <c r="AU18" t="s">
        <v>10</v>
      </c>
      <c r="AV18" t="s">
        <v>21</v>
      </c>
      <c r="AW18" t="s">
        <v>273</v>
      </c>
      <c r="AX18" t="s">
        <v>175</v>
      </c>
      <c r="AZ18" t="s">
        <v>494</v>
      </c>
      <c r="BA18" t="s">
        <v>579</v>
      </c>
      <c r="BB18" t="s">
        <v>351</v>
      </c>
      <c r="BC18">
        <v>0.934538160869965</v>
      </c>
      <c r="BD18">
        <v>1200.1337173839754</v>
      </c>
    </row>
    <row r="19" spans="2:56">
      <c r="B19" t="s">
        <v>171</v>
      </c>
      <c r="C19" t="s">
        <v>190</v>
      </c>
      <c r="D19" t="s">
        <v>191</v>
      </c>
      <c r="E19" t="s">
        <v>10</v>
      </c>
      <c r="F19" t="s">
        <v>21</v>
      </c>
      <c r="G19" t="s">
        <v>174</v>
      </c>
      <c r="H19" t="s">
        <v>175</v>
      </c>
      <c r="J19" t="s">
        <v>190</v>
      </c>
      <c r="K19" t="s">
        <v>246</v>
      </c>
      <c r="L19">
        <v>5.3002505298606302</v>
      </c>
      <c r="M19">
        <v>0.19067081479710349</v>
      </c>
      <c r="O19" t="s">
        <v>269</v>
      </c>
      <c r="P19" t="s">
        <v>288</v>
      </c>
      <c r="Q19" t="s">
        <v>289</v>
      </c>
      <c r="R19" t="s">
        <v>10</v>
      </c>
      <c r="S19" t="s">
        <v>21</v>
      </c>
      <c r="T19" t="s">
        <v>272</v>
      </c>
      <c r="U19" t="s">
        <v>273</v>
      </c>
      <c r="V19" t="s">
        <v>175</v>
      </c>
      <c r="X19" t="s">
        <v>288</v>
      </c>
      <c r="Y19" t="s">
        <v>245</v>
      </c>
      <c r="Z19" t="s">
        <v>341</v>
      </c>
      <c r="AA19">
        <v>0.99838604658336239</v>
      </c>
      <c r="AB19">
        <v>29.589145971689483</v>
      </c>
      <c r="AD19" t="s">
        <v>269</v>
      </c>
      <c r="AE19" t="s">
        <v>376</v>
      </c>
      <c r="AF19" t="s">
        <v>377</v>
      </c>
      <c r="AG19" t="s">
        <v>10</v>
      </c>
      <c r="AH19" t="s">
        <v>21</v>
      </c>
      <c r="AI19" t="s">
        <v>273</v>
      </c>
      <c r="AJ19" t="s">
        <v>175</v>
      </c>
      <c r="AL19" t="s">
        <v>376</v>
      </c>
      <c r="AM19" t="s">
        <v>438</v>
      </c>
      <c r="AN19" t="s">
        <v>351</v>
      </c>
      <c r="AO19">
        <v>0.96316479569784719</v>
      </c>
      <c r="AP19">
        <v>675.31207887280175</v>
      </c>
      <c r="AR19" t="s">
        <v>269</v>
      </c>
      <c r="AS19" t="s">
        <v>496</v>
      </c>
      <c r="AT19" t="s">
        <v>497</v>
      </c>
      <c r="AU19" t="s">
        <v>10</v>
      </c>
      <c r="AV19" t="s">
        <v>21</v>
      </c>
      <c r="AW19" t="s">
        <v>273</v>
      </c>
      <c r="AX19" t="s">
        <v>175</v>
      </c>
      <c r="AZ19" t="s">
        <v>496</v>
      </c>
      <c r="BA19" t="s">
        <v>580</v>
      </c>
      <c r="BB19" t="s">
        <v>351</v>
      </c>
      <c r="BC19">
        <v>0.94616153753972931</v>
      </c>
      <c r="BD19">
        <v>987.03847843829612</v>
      </c>
    </row>
    <row r="20" spans="2:56">
      <c r="B20" t="s">
        <v>171</v>
      </c>
      <c r="C20" t="s">
        <v>192</v>
      </c>
      <c r="D20" t="s">
        <v>193</v>
      </c>
      <c r="E20" t="s">
        <v>10</v>
      </c>
      <c r="F20" t="s">
        <v>21</v>
      </c>
      <c r="G20" t="s">
        <v>174</v>
      </c>
      <c r="H20" t="s">
        <v>175</v>
      </c>
      <c r="J20" t="s">
        <v>192</v>
      </c>
      <c r="K20" t="s">
        <v>247</v>
      </c>
      <c r="L20">
        <v>5.4312183602439497</v>
      </c>
      <c r="M20">
        <v>0.18738924720585981</v>
      </c>
      <c r="O20" t="s">
        <v>269</v>
      </c>
      <c r="P20" t="s">
        <v>290</v>
      </c>
      <c r="Q20" t="s">
        <v>291</v>
      </c>
      <c r="R20" t="s">
        <v>10</v>
      </c>
      <c r="S20" t="s">
        <v>21</v>
      </c>
      <c r="T20" t="s">
        <v>272</v>
      </c>
      <c r="U20" t="s">
        <v>273</v>
      </c>
      <c r="V20" t="s">
        <v>175</v>
      </c>
      <c r="X20" t="s">
        <v>290</v>
      </c>
      <c r="Y20" t="s">
        <v>251</v>
      </c>
      <c r="Z20" t="s">
        <v>338</v>
      </c>
      <c r="AA20">
        <v>0.98833720780868572</v>
      </c>
      <c r="AB20">
        <v>213.8178568407609</v>
      </c>
      <c r="AD20" t="s">
        <v>269</v>
      </c>
      <c r="AE20" t="s">
        <v>378</v>
      </c>
      <c r="AF20" t="s">
        <v>379</v>
      </c>
      <c r="AG20" t="s">
        <v>10</v>
      </c>
      <c r="AH20" t="s">
        <v>21</v>
      </c>
      <c r="AI20" t="s">
        <v>273</v>
      </c>
      <c r="AJ20" t="s">
        <v>175</v>
      </c>
      <c r="AL20" t="s">
        <v>378</v>
      </c>
      <c r="AM20" t="s">
        <v>439</v>
      </c>
      <c r="AN20" t="s">
        <v>440</v>
      </c>
      <c r="AO20">
        <v>0.98803293835245021</v>
      </c>
      <c r="AP20">
        <v>219.39613020507949</v>
      </c>
      <c r="AR20" t="s">
        <v>269</v>
      </c>
      <c r="AS20" t="s">
        <v>498</v>
      </c>
      <c r="AT20" t="s">
        <v>499</v>
      </c>
      <c r="AU20" t="s">
        <v>10</v>
      </c>
      <c r="AV20" t="s">
        <v>21</v>
      </c>
      <c r="AW20" t="s">
        <v>273</v>
      </c>
      <c r="AX20" t="s">
        <v>175</v>
      </c>
      <c r="AZ20" t="s">
        <v>498</v>
      </c>
      <c r="BA20" t="s">
        <v>581</v>
      </c>
      <c r="BB20" t="s">
        <v>351</v>
      </c>
      <c r="BC20">
        <v>0.97218956380622079</v>
      </c>
      <c r="BD20">
        <v>509.85799688595205</v>
      </c>
    </row>
    <row r="21" spans="2:56">
      <c r="B21" t="s">
        <v>171</v>
      </c>
      <c r="C21" t="s">
        <v>194</v>
      </c>
      <c r="D21" t="s">
        <v>195</v>
      </c>
      <c r="E21" t="s">
        <v>10</v>
      </c>
      <c r="F21" t="s">
        <v>21</v>
      </c>
      <c r="G21" t="s">
        <v>174</v>
      </c>
      <c r="H21" t="s">
        <v>175</v>
      </c>
      <c r="J21" t="s">
        <v>194</v>
      </c>
      <c r="K21" t="s">
        <v>248</v>
      </c>
      <c r="L21">
        <v>3.834874392856122</v>
      </c>
      <c r="M21">
        <v>0.18539287912319011</v>
      </c>
      <c r="O21" t="s">
        <v>269</v>
      </c>
      <c r="P21" t="s">
        <v>292</v>
      </c>
      <c r="Q21" t="s">
        <v>293</v>
      </c>
      <c r="R21" t="s">
        <v>10</v>
      </c>
      <c r="S21" t="s">
        <v>21</v>
      </c>
      <c r="T21" t="s">
        <v>272</v>
      </c>
      <c r="U21" t="s">
        <v>273</v>
      </c>
      <c r="V21" t="s">
        <v>175</v>
      </c>
      <c r="X21" t="s">
        <v>292</v>
      </c>
      <c r="Y21" t="s">
        <v>257</v>
      </c>
      <c r="Z21" t="s">
        <v>342</v>
      </c>
      <c r="AA21">
        <v>0.99584872767215238</v>
      </c>
      <c r="AB21">
        <v>76.106659343873247</v>
      </c>
      <c r="AD21" t="s">
        <v>269</v>
      </c>
      <c r="AE21" t="s">
        <v>380</v>
      </c>
      <c r="AF21" t="s">
        <v>381</v>
      </c>
      <c r="AG21" t="s">
        <v>10</v>
      </c>
      <c r="AH21" t="s">
        <v>21</v>
      </c>
      <c r="AI21" t="s">
        <v>273</v>
      </c>
      <c r="AJ21" t="s">
        <v>175</v>
      </c>
      <c r="AL21" t="s">
        <v>380</v>
      </c>
      <c r="AM21" t="s">
        <v>441</v>
      </c>
      <c r="AN21" t="s">
        <v>442</v>
      </c>
      <c r="AO21">
        <v>0.99796586165341161</v>
      </c>
      <c r="AP21">
        <v>37.292536354119903</v>
      </c>
      <c r="AR21" t="s">
        <v>269</v>
      </c>
      <c r="AS21" t="s">
        <v>500</v>
      </c>
      <c r="AT21" t="s">
        <v>501</v>
      </c>
      <c r="AU21" t="s">
        <v>10</v>
      </c>
      <c r="AV21" t="s">
        <v>21</v>
      </c>
      <c r="AW21" t="s">
        <v>273</v>
      </c>
      <c r="AX21" t="s">
        <v>175</v>
      </c>
      <c r="AZ21" t="s">
        <v>500</v>
      </c>
      <c r="BA21" t="s">
        <v>582</v>
      </c>
      <c r="BB21" t="s">
        <v>583</v>
      </c>
      <c r="BC21">
        <v>0.99560371543286275</v>
      </c>
      <c r="BD21">
        <v>80.598550397515965</v>
      </c>
    </row>
    <row r="22" spans="2:56">
      <c r="B22" t="s">
        <v>171</v>
      </c>
      <c r="C22" t="s">
        <v>196</v>
      </c>
      <c r="D22" t="s">
        <v>197</v>
      </c>
      <c r="E22" t="s">
        <v>10</v>
      </c>
      <c r="F22" t="s">
        <v>21</v>
      </c>
      <c r="G22" t="s">
        <v>174</v>
      </c>
      <c r="H22" t="s">
        <v>175</v>
      </c>
      <c r="J22" t="s">
        <v>196</v>
      </c>
      <c r="K22" t="s">
        <v>249</v>
      </c>
      <c r="L22">
        <v>4.9429022151581998</v>
      </c>
      <c r="M22">
        <v>0.17623300047483759</v>
      </c>
      <c r="O22" t="s">
        <v>269</v>
      </c>
      <c r="P22" t="s">
        <v>294</v>
      </c>
      <c r="Q22" t="s">
        <v>295</v>
      </c>
      <c r="R22" t="s">
        <v>10</v>
      </c>
      <c r="S22" t="s">
        <v>21</v>
      </c>
      <c r="T22" t="s">
        <v>272</v>
      </c>
      <c r="U22" t="s">
        <v>273</v>
      </c>
      <c r="V22" t="s">
        <v>175</v>
      </c>
      <c r="X22" t="s">
        <v>294</v>
      </c>
      <c r="Y22" t="s">
        <v>241</v>
      </c>
      <c r="Z22" t="s">
        <v>343</v>
      </c>
      <c r="AA22">
        <v>0.99391268208184824</v>
      </c>
      <c r="AB22">
        <v>111.60082849944791</v>
      </c>
      <c r="AD22" t="s">
        <v>269</v>
      </c>
      <c r="AE22" t="s">
        <v>382</v>
      </c>
      <c r="AF22" t="s">
        <v>383</v>
      </c>
      <c r="AG22" t="s">
        <v>10</v>
      </c>
      <c r="AH22" t="s">
        <v>21</v>
      </c>
      <c r="AI22" t="s">
        <v>273</v>
      </c>
      <c r="AJ22" t="s">
        <v>175</v>
      </c>
      <c r="AL22" t="s">
        <v>382</v>
      </c>
      <c r="AM22" t="s">
        <v>443</v>
      </c>
      <c r="AN22" t="s">
        <v>444</v>
      </c>
      <c r="AO22">
        <v>0.99750949182367343</v>
      </c>
      <c r="AP22">
        <v>45.659316565986806</v>
      </c>
      <c r="AR22" t="s">
        <v>269</v>
      </c>
      <c r="AS22" t="s">
        <v>502</v>
      </c>
      <c r="AT22" t="s">
        <v>503</v>
      </c>
      <c r="AU22" t="s">
        <v>10</v>
      </c>
      <c r="AV22" t="s">
        <v>21</v>
      </c>
      <c r="AW22" t="s">
        <v>273</v>
      </c>
      <c r="AX22" t="s">
        <v>175</v>
      </c>
      <c r="AZ22" t="s">
        <v>502</v>
      </c>
      <c r="BA22" t="s">
        <v>584</v>
      </c>
      <c r="BB22" t="s">
        <v>585</v>
      </c>
      <c r="BC22">
        <v>0.99637036284424008</v>
      </c>
      <c r="BD22">
        <v>66.543347855598327</v>
      </c>
    </row>
    <row r="23" spans="2:56">
      <c r="B23" t="s">
        <v>171</v>
      </c>
      <c r="C23" t="s">
        <v>198</v>
      </c>
      <c r="D23" t="s">
        <v>199</v>
      </c>
      <c r="E23" t="s">
        <v>10</v>
      </c>
      <c r="F23" t="s">
        <v>21</v>
      </c>
      <c r="G23" t="s">
        <v>174</v>
      </c>
      <c r="H23" t="s">
        <v>175</v>
      </c>
      <c r="J23" t="s">
        <v>198</v>
      </c>
      <c r="K23" t="s">
        <v>250</v>
      </c>
      <c r="L23">
        <v>6.0583925239792951</v>
      </c>
      <c r="M23">
        <v>0.17190415393703271</v>
      </c>
      <c r="O23" t="s">
        <v>269</v>
      </c>
      <c r="P23" t="s">
        <v>296</v>
      </c>
      <c r="Q23" t="s">
        <v>297</v>
      </c>
      <c r="R23" t="s">
        <v>10</v>
      </c>
      <c r="S23" t="s">
        <v>21</v>
      </c>
      <c r="T23" t="s">
        <v>272</v>
      </c>
      <c r="U23" t="s">
        <v>273</v>
      </c>
      <c r="V23" t="s">
        <v>175</v>
      </c>
      <c r="X23" t="s">
        <v>296</v>
      </c>
      <c r="Y23" t="s">
        <v>243</v>
      </c>
      <c r="Z23" t="s">
        <v>344</v>
      </c>
      <c r="AA23">
        <v>0.9982812149336332</v>
      </c>
      <c r="AB23">
        <v>31.51105955005805</v>
      </c>
      <c r="AD23" t="s">
        <v>269</v>
      </c>
      <c r="AE23" t="s">
        <v>384</v>
      </c>
      <c r="AF23" t="s">
        <v>385</v>
      </c>
      <c r="AG23" t="s">
        <v>10</v>
      </c>
      <c r="AH23" t="s">
        <v>21</v>
      </c>
      <c r="AI23" t="s">
        <v>273</v>
      </c>
      <c r="AJ23" t="s">
        <v>175</v>
      </c>
      <c r="AL23" t="s">
        <v>384</v>
      </c>
      <c r="AM23" t="s">
        <v>445</v>
      </c>
      <c r="AN23" t="s">
        <v>446</v>
      </c>
      <c r="AO23">
        <v>0.99829313447340673</v>
      </c>
      <c r="AP23">
        <v>31.292534654209355</v>
      </c>
      <c r="AR23" t="s">
        <v>269</v>
      </c>
      <c r="AS23" t="s">
        <v>504</v>
      </c>
      <c r="AT23" t="s">
        <v>505</v>
      </c>
      <c r="AU23" t="s">
        <v>10</v>
      </c>
      <c r="AV23" t="s">
        <v>21</v>
      </c>
      <c r="AW23" t="s">
        <v>273</v>
      </c>
      <c r="AX23" t="s">
        <v>175</v>
      </c>
      <c r="AZ23" t="s">
        <v>504</v>
      </c>
      <c r="BA23" t="s">
        <v>586</v>
      </c>
      <c r="BB23" t="s">
        <v>587</v>
      </c>
      <c r="BC23">
        <v>0.99519319222421976</v>
      </c>
      <c r="BD23">
        <v>88.124809222638589</v>
      </c>
    </row>
    <row r="24" spans="2:56">
      <c r="B24" t="s">
        <v>171</v>
      </c>
      <c r="C24" t="s">
        <v>200</v>
      </c>
      <c r="D24" t="s">
        <v>201</v>
      </c>
      <c r="E24" t="s">
        <v>10</v>
      </c>
      <c r="F24" t="s">
        <v>21</v>
      </c>
      <c r="G24" t="s">
        <v>174</v>
      </c>
      <c r="H24" t="s">
        <v>175</v>
      </c>
      <c r="J24" t="s">
        <v>200</v>
      </c>
      <c r="K24" t="s">
        <v>251</v>
      </c>
      <c r="L24">
        <v>8.8562728829669233</v>
      </c>
      <c r="M24">
        <v>0.17852540925562671</v>
      </c>
      <c r="O24" t="s">
        <v>269</v>
      </c>
      <c r="P24" t="s">
        <v>298</v>
      </c>
      <c r="Q24" t="s">
        <v>299</v>
      </c>
      <c r="R24" t="s">
        <v>10</v>
      </c>
      <c r="S24" t="s">
        <v>21</v>
      </c>
      <c r="T24" t="s">
        <v>272</v>
      </c>
      <c r="U24" t="s">
        <v>273</v>
      </c>
      <c r="V24" t="s">
        <v>175</v>
      </c>
      <c r="X24" t="s">
        <v>298</v>
      </c>
      <c r="Y24" t="s">
        <v>254</v>
      </c>
      <c r="Z24" t="s">
        <v>345</v>
      </c>
      <c r="AA24">
        <v>0.99842179107660034</v>
      </c>
      <c r="AB24">
        <v>28.933830262326332</v>
      </c>
      <c r="AD24" t="s">
        <v>269</v>
      </c>
      <c r="AE24" t="s">
        <v>386</v>
      </c>
      <c r="AF24" t="s">
        <v>387</v>
      </c>
      <c r="AG24" t="s">
        <v>10</v>
      </c>
      <c r="AH24" t="s">
        <v>21</v>
      </c>
      <c r="AI24" t="s">
        <v>273</v>
      </c>
      <c r="AJ24" t="s">
        <v>175</v>
      </c>
      <c r="AL24" t="s">
        <v>386</v>
      </c>
      <c r="AM24" t="s">
        <v>447</v>
      </c>
      <c r="AN24" t="s">
        <v>448</v>
      </c>
      <c r="AO24">
        <v>0.99825141294351905</v>
      </c>
      <c r="AP24">
        <v>32.057429368817139</v>
      </c>
      <c r="AR24" t="s">
        <v>269</v>
      </c>
      <c r="AS24" t="s">
        <v>506</v>
      </c>
      <c r="AT24" t="s">
        <v>507</v>
      </c>
      <c r="AU24" t="s">
        <v>10</v>
      </c>
      <c r="AV24" t="s">
        <v>21</v>
      </c>
      <c r="AW24" t="s">
        <v>273</v>
      </c>
      <c r="AX24" t="s">
        <v>175</v>
      </c>
      <c r="AZ24" t="s">
        <v>506</v>
      </c>
      <c r="BA24" t="s">
        <v>588</v>
      </c>
      <c r="BB24" t="s">
        <v>341</v>
      </c>
      <c r="BC24">
        <v>0.99536692897647694</v>
      </c>
      <c r="BD24">
        <v>84.939635431255269</v>
      </c>
    </row>
    <row r="25" spans="2:56">
      <c r="B25" t="s">
        <v>171</v>
      </c>
      <c r="C25" t="s">
        <v>202</v>
      </c>
      <c r="D25" t="s">
        <v>203</v>
      </c>
      <c r="E25" t="s">
        <v>10</v>
      </c>
      <c r="F25" t="s">
        <v>21</v>
      </c>
      <c r="G25" t="s">
        <v>174</v>
      </c>
      <c r="H25" t="s">
        <v>175</v>
      </c>
      <c r="J25" t="s">
        <v>202</v>
      </c>
      <c r="K25" t="s">
        <v>252</v>
      </c>
      <c r="L25">
        <v>4.3208918481969629</v>
      </c>
      <c r="M25">
        <v>0.16806418344217069</v>
      </c>
      <c r="O25" t="s">
        <v>269</v>
      </c>
      <c r="P25" t="s">
        <v>300</v>
      </c>
      <c r="Q25" t="s">
        <v>301</v>
      </c>
      <c r="R25" t="s">
        <v>10</v>
      </c>
      <c r="S25" t="s">
        <v>21</v>
      </c>
      <c r="T25" t="s">
        <v>272</v>
      </c>
      <c r="U25" t="s">
        <v>273</v>
      </c>
      <c r="V25" t="s">
        <v>175</v>
      </c>
      <c r="X25" t="s">
        <v>300</v>
      </c>
      <c r="Y25" t="s">
        <v>262</v>
      </c>
      <c r="Z25" t="s">
        <v>346</v>
      </c>
      <c r="AA25">
        <v>0.99621285878087551</v>
      </c>
      <c r="AB25">
        <v>69.43092235061502</v>
      </c>
      <c r="AD25" t="s">
        <v>269</v>
      </c>
      <c r="AE25" t="s">
        <v>388</v>
      </c>
      <c r="AF25" t="s">
        <v>389</v>
      </c>
      <c r="AG25" t="s">
        <v>10</v>
      </c>
      <c r="AH25" t="s">
        <v>21</v>
      </c>
      <c r="AI25" t="s">
        <v>273</v>
      </c>
      <c r="AJ25" t="s">
        <v>175</v>
      </c>
      <c r="AL25" t="s">
        <v>388</v>
      </c>
      <c r="AM25" t="s">
        <v>449</v>
      </c>
      <c r="AN25" t="s">
        <v>450</v>
      </c>
      <c r="AO25">
        <v>0.99869874972548245</v>
      </c>
      <c r="AP25">
        <v>23.856255032822389</v>
      </c>
      <c r="AR25" t="s">
        <v>269</v>
      </c>
      <c r="AS25" t="s">
        <v>508</v>
      </c>
      <c r="AT25" t="s">
        <v>509</v>
      </c>
      <c r="AU25" t="s">
        <v>10</v>
      </c>
      <c r="AV25" t="s">
        <v>21</v>
      </c>
      <c r="AW25" t="s">
        <v>273</v>
      </c>
      <c r="AX25" t="s">
        <v>175</v>
      </c>
      <c r="AZ25" t="s">
        <v>508</v>
      </c>
      <c r="BA25" t="s">
        <v>589</v>
      </c>
      <c r="BB25" t="s">
        <v>590</v>
      </c>
      <c r="BC25">
        <v>0.99015836110796274</v>
      </c>
      <c r="BD25">
        <v>180.43004635401576</v>
      </c>
    </row>
    <row r="26" spans="2:56">
      <c r="B26" t="s">
        <v>171</v>
      </c>
      <c r="C26" t="s">
        <v>204</v>
      </c>
      <c r="D26" t="s">
        <v>205</v>
      </c>
      <c r="E26" t="s">
        <v>10</v>
      </c>
      <c r="F26" t="s">
        <v>21</v>
      </c>
      <c r="G26" t="s">
        <v>174</v>
      </c>
      <c r="H26" t="s">
        <v>175</v>
      </c>
      <c r="J26" t="s">
        <v>204</v>
      </c>
      <c r="K26" t="s">
        <v>253</v>
      </c>
      <c r="L26">
        <v>5.5367431845089312</v>
      </c>
      <c r="M26">
        <v>0.171550105755013</v>
      </c>
      <c r="O26" t="s">
        <v>269</v>
      </c>
      <c r="P26" t="s">
        <v>302</v>
      </c>
      <c r="Q26" t="s">
        <v>303</v>
      </c>
      <c r="R26" t="s">
        <v>10</v>
      </c>
      <c r="S26" t="s">
        <v>21</v>
      </c>
      <c r="T26" t="s">
        <v>272</v>
      </c>
      <c r="U26" t="s">
        <v>273</v>
      </c>
      <c r="V26" t="s">
        <v>175</v>
      </c>
      <c r="X26" t="s">
        <v>302</v>
      </c>
      <c r="Y26" t="s">
        <v>265</v>
      </c>
      <c r="Z26" t="s">
        <v>347</v>
      </c>
      <c r="AA26">
        <v>0.99410594174368461</v>
      </c>
      <c r="AB26">
        <v>108.05773469911641</v>
      </c>
      <c r="AD26" t="s">
        <v>269</v>
      </c>
      <c r="AE26" t="s">
        <v>390</v>
      </c>
      <c r="AF26" t="s">
        <v>391</v>
      </c>
      <c r="AG26" t="s">
        <v>10</v>
      </c>
      <c r="AH26" t="s">
        <v>21</v>
      </c>
      <c r="AI26" t="s">
        <v>273</v>
      </c>
      <c r="AJ26" t="s">
        <v>175</v>
      </c>
      <c r="AL26" t="s">
        <v>390</v>
      </c>
      <c r="AM26" t="s">
        <v>451</v>
      </c>
      <c r="AN26" t="s">
        <v>452</v>
      </c>
      <c r="AO26">
        <v>0.99804155179341392</v>
      </c>
      <c r="AP26">
        <v>35.904883787411507</v>
      </c>
      <c r="AR26" t="s">
        <v>269</v>
      </c>
      <c r="AS26" t="s">
        <v>510</v>
      </c>
      <c r="AT26" t="s">
        <v>511</v>
      </c>
      <c r="AU26" t="s">
        <v>10</v>
      </c>
      <c r="AV26" t="s">
        <v>21</v>
      </c>
      <c r="AW26" t="s">
        <v>273</v>
      </c>
      <c r="AX26" t="s">
        <v>175</v>
      </c>
      <c r="AZ26" t="s">
        <v>510</v>
      </c>
      <c r="BA26" t="s">
        <v>591</v>
      </c>
      <c r="BB26" t="s">
        <v>592</v>
      </c>
      <c r="BC26">
        <v>0.98841501119699848</v>
      </c>
      <c r="BD26">
        <v>212.39146138836088</v>
      </c>
    </row>
    <row r="27" spans="2:56">
      <c r="B27" t="s">
        <v>171</v>
      </c>
      <c r="C27" t="s">
        <v>206</v>
      </c>
      <c r="D27" t="s">
        <v>207</v>
      </c>
      <c r="E27" t="s">
        <v>10</v>
      </c>
      <c r="F27" t="s">
        <v>21</v>
      </c>
      <c r="G27" t="s">
        <v>174</v>
      </c>
      <c r="H27" t="s">
        <v>175</v>
      </c>
      <c r="J27" t="s">
        <v>206</v>
      </c>
      <c r="K27" t="s">
        <v>254</v>
      </c>
      <c r="L27">
        <v>1.6252291049960685</v>
      </c>
      <c r="M27">
        <v>0.1751335256262764</v>
      </c>
      <c r="O27" t="s">
        <v>269</v>
      </c>
      <c r="P27" t="s">
        <v>304</v>
      </c>
      <c r="Q27" t="s">
        <v>305</v>
      </c>
      <c r="R27" t="s">
        <v>10</v>
      </c>
      <c r="S27" t="s">
        <v>21</v>
      </c>
      <c r="T27" t="s">
        <v>272</v>
      </c>
      <c r="U27" t="s">
        <v>273</v>
      </c>
      <c r="V27" t="s">
        <v>175</v>
      </c>
      <c r="X27" t="s">
        <v>304</v>
      </c>
      <c r="Y27" t="s">
        <v>261</v>
      </c>
      <c r="Z27" t="s">
        <v>348</v>
      </c>
      <c r="AA27">
        <v>0.99628076912917996</v>
      </c>
      <c r="AB27">
        <v>68.185899298368355</v>
      </c>
      <c r="AD27" t="s">
        <v>269</v>
      </c>
      <c r="AE27" t="s">
        <v>392</v>
      </c>
      <c r="AF27" t="s">
        <v>393</v>
      </c>
      <c r="AG27" t="s">
        <v>10</v>
      </c>
      <c r="AH27" t="s">
        <v>21</v>
      </c>
      <c r="AI27" t="s">
        <v>273</v>
      </c>
      <c r="AJ27" t="s">
        <v>175</v>
      </c>
      <c r="AL27" t="s">
        <v>392</v>
      </c>
      <c r="AM27" t="s">
        <v>453</v>
      </c>
      <c r="AN27" t="s">
        <v>454</v>
      </c>
      <c r="AO27">
        <v>0.99508023417818925</v>
      </c>
      <c r="AP27">
        <v>90.195706733197795</v>
      </c>
      <c r="AR27" t="s">
        <v>269</v>
      </c>
      <c r="AS27" t="s">
        <v>512</v>
      </c>
      <c r="AT27" t="s">
        <v>513</v>
      </c>
      <c r="AU27" t="s">
        <v>10</v>
      </c>
      <c r="AV27" t="s">
        <v>21</v>
      </c>
      <c r="AW27" t="s">
        <v>273</v>
      </c>
      <c r="AX27" t="s">
        <v>175</v>
      </c>
      <c r="AZ27" t="s">
        <v>512</v>
      </c>
      <c r="BA27" t="s">
        <v>593</v>
      </c>
      <c r="BB27" t="s">
        <v>594</v>
      </c>
      <c r="BC27">
        <v>0.99114508565756532</v>
      </c>
      <c r="BD27">
        <v>162.34009627796874</v>
      </c>
    </row>
    <row r="28" spans="2:56">
      <c r="B28" t="s">
        <v>171</v>
      </c>
      <c r="C28" t="s">
        <v>208</v>
      </c>
      <c r="D28" t="s">
        <v>209</v>
      </c>
      <c r="E28" t="s">
        <v>10</v>
      </c>
      <c r="F28" t="s">
        <v>21</v>
      </c>
      <c r="G28" t="s">
        <v>174</v>
      </c>
      <c r="H28" t="s">
        <v>175</v>
      </c>
      <c r="J28" t="s">
        <v>208</v>
      </c>
      <c r="K28" t="s">
        <v>255</v>
      </c>
      <c r="L28">
        <v>2.234130084558998</v>
      </c>
      <c r="M28">
        <v>0.17375166762337191</v>
      </c>
      <c r="O28" t="s">
        <v>269</v>
      </c>
      <c r="P28" t="s">
        <v>306</v>
      </c>
      <c r="Q28" t="s">
        <v>307</v>
      </c>
      <c r="R28" t="s">
        <v>10</v>
      </c>
      <c r="S28" t="s">
        <v>21</v>
      </c>
      <c r="T28" t="s">
        <v>272</v>
      </c>
      <c r="U28" t="s">
        <v>273</v>
      </c>
      <c r="V28" t="s">
        <v>175</v>
      </c>
      <c r="X28" t="s">
        <v>306</v>
      </c>
      <c r="Y28" t="s">
        <v>267</v>
      </c>
      <c r="Z28" t="s">
        <v>349</v>
      </c>
      <c r="AA28">
        <v>0.99798824264234642</v>
      </c>
      <c r="AB28">
        <v>36.882218223648351</v>
      </c>
      <c r="AD28" t="s">
        <v>269</v>
      </c>
      <c r="AE28" t="s">
        <v>394</v>
      </c>
      <c r="AF28" t="s">
        <v>395</v>
      </c>
      <c r="AG28" t="s">
        <v>10</v>
      </c>
      <c r="AH28" t="s">
        <v>21</v>
      </c>
      <c r="AI28" t="s">
        <v>273</v>
      </c>
      <c r="AJ28" t="s">
        <v>175</v>
      </c>
      <c r="AL28" t="s">
        <v>394</v>
      </c>
      <c r="AM28" t="s">
        <v>455</v>
      </c>
      <c r="AN28" t="s">
        <v>456</v>
      </c>
      <c r="AO28">
        <v>0.99940622505963084</v>
      </c>
      <c r="AP28">
        <v>10.885873906767051</v>
      </c>
      <c r="AR28" t="s">
        <v>269</v>
      </c>
      <c r="AS28" t="s">
        <v>514</v>
      </c>
      <c r="AT28" t="s">
        <v>515</v>
      </c>
      <c r="AU28" t="s">
        <v>10</v>
      </c>
      <c r="AV28" t="s">
        <v>21</v>
      </c>
      <c r="AW28" t="s">
        <v>273</v>
      </c>
      <c r="AX28" t="s">
        <v>175</v>
      </c>
      <c r="AZ28" t="s">
        <v>514</v>
      </c>
      <c r="BA28" t="s">
        <v>595</v>
      </c>
      <c r="BB28" t="s">
        <v>596</v>
      </c>
      <c r="BC28">
        <v>0.99561586640696276</v>
      </c>
      <c r="BD28">
        <v>80.375782539015233</v>
      </c>
    </row>
    <row r="29" spans="2:56">
      <c r="B29" t="s">
        <v>171</v>
      </c>
      <c r="C29" t="s">
        <v>210</v>
      </c>
      <c r="D29" t="s">
        <v>211</v>
      </c>
      <c r="E29" t="s">
        <v>10</v>
      </c>
      <c r="F29" t="s">
        <v>21</v>
      </c>
      <c r="G29" t="s">
        <v>174</v>
      </c>
      <c r="H29" t="s">
        <v>175</v>
      </c>
      <c r="J29" t="s">
        <v>210</v>
      </c>
      <c r="K29" t="s">
        <v>256</v>
      </c>
      <c r="L29">
        <v>1.9048678669508052</v>
      </c>
      <c r="M29">
        <v>0.1772109867006775</v>
      </c>
      <c r="O29" t="s">
        <v>269</v>
      </c>
      <c r="P29" t="s">
        <v>308</v>
      </c>
      <c r="Q29" t="s">
        <v>309</v>
      </c>
      <c r="R29" t="s">
        <v>10</v>
      </c>
      <c r="S29" t="s">
        <v>21</v>
      </c>
      <c r="T29" t="s">
        <v>272</v>
      </c>
      <c r="U29" t="s">
        <v>273</v>
      </c>
      <c r="V29" t="s">
        <v>175</v>
      </c>
      <c r="X29" t="s">
        <v>308</v>
      </c>
      <c r="Y29" t="s">
        <v>256</v>
      </c>
      <c r="Z29" t="s">
        <v>338</v>
      </c>
      <c r="AA29">
        <v>0.99588023266140191</v>
      </c>
      <c r="AB29">
        <v>75.529067874299102</v>
      </c>
      <c r="AD29" t="s">
        <v>269</v>
      </c>
      <c r="AE29" t="s">
        <v>396</v>
      </c>
      <c r="AF29" t="s">
        <v>397</v>
      </c>
      <c r="AG29" t="s">
        <v>10</v>
      </c>
      <c r="AH29" t="s">
        <v>21</v>
      </c>
      <c r="AI29" t="s">
        <v>273</v>
      </c>
      <c r="AJ29" t="s">
        <v>175</v>
      </c>
      <c r="AL29" t="s">
        <v>396</v>
      </c>
      <c r="AM29" t="s">
        <v>457</v>
      </c>
      <c r="AN29" t="s">
        <v>458</v>
      </c>
      <c r="AO29">
        <v>0.99686124252542985</v>
      </c>
      <c r="AP29">
        <v>57.543887033786262</v>
      </c>
      <c r="AR29" t="s">
        <v>269</v>
      </c>
      <c r="AS29" t="s">
        <v>516</v>
      </c>
      <c r="AT29" t="s">
        <v>517</v>
      </c>
      <c r="AU29" t="s">
        <v>10</v>
      </c>
      <c r="AV29" t="s">
        <v>21</v>
      </c>
      <c r="AW29" t="s">
        <v>273</v>
      </c>
      <c r="AX29" t="s">
        <v>175</v>
      </c>
      <c r="AZ29" t="s">
        <v>516</v>
      </c>
      <c r="BA29" t="s">
        <v>597</v>
      </c>
      <c r="BB29" t="s">
        <v>336</v>
      </c>
      <c r="BC29">
        <v>0.98235584693125277</v>
      </c>
      <c r="BD29">
        <v>323.47613959369914</v>
      </c>
    </row>
    <row r="30" spans="2:56">
      <c r="B30" t="s">
        <v>171</v>
      </c>
      <c r="C30" t="s">
        <v>212</v>
      </c>
      <c r="D30" t="s">
        <v>213</v>
      </c>
      <c r="E30" t="s">
        <v>10</v>
      </c>
      <c r="F30" t="s">
        <v>21</v>
      </c>
      <c r="G30" t="s">
        <v>174</v>
      </c>
      <c r="H30" t="s">
        <v>175</v>
      </c>
      <c r="J30" t="s">
        <v>212</v>
      </c>
      <c r="K30" t="s">
        <v>257</v>
      </c>
      <c r="L30">
        <v>7.8611213374718139</v>
      </c>
      <c r="M30">
        <v>0.17271517508166659</v>
      </c>
      <c r="O30" t="s">
        <v>269</v>
      </c>
      <c r="P30" t="s">
        <v>310</v>
      </c>
      <c r="Q30" t="s">
        <v>311</v>
      </c>
      <c r="R30" t="s">
        <v>10</v>
      </c>
      <c r="S30" t="s">
        <v>21</v>
      </c>
      <c r="T30" t="s">
        <v>272</v>
      </c>
      <c r="U30" t="s">
        <v>273</v>
      </c>
      <c r="V30" t="s">
        <v>175</v>
      </c>
      <c r="X30" t="s">
        <v>310</v>
      </c>
      <c r="Y30" t="s">
        <v>259</v>
      </c>
      <c r="Z30" t="s">
        <v>350</v>
      </c>
      <c r="AA30">
        <v>0.99856748800713691</v>
      </c>
      <c r="AB30">
        <v>26.26271986915707</v>
      </c>
      <c r="AD30" t="s">
        <v>269</v>
      </c>
      <c r="AE30" t="s">
        <v>398</v>
      </c>
      <c r="AF30" t="s">
        <v>399</v>
      </c>
      <c r="AG30" t="s">
        <v>10</v>
      </c>
      <c r="AH30" t="s">
        <v>21</v>
      </c>
      <c r="AI30" t="s">
        <v>273</v>
      </c>
      <c r="AJ30" t="s">
        <v>175</v>
      </c>
      <c r="AL30" t="s">
        <v>398</v>
      </c>
      <c r="AM30" t="s">
        <v>459</v>
      </c>
      <c r="AN30" t="s">
        <v>460</v>
      </c>
      <c r="AO30">
        <v>0.99811838305018963</v>
      </c>
      <c r="AP30">
        <v>34.496310746523356</v>
      </c>
      <c r="AR30" t="s">
        <v>269</v>
      </c>
      <c r="AS30" t="s">
        <v>518</v>
      </c>
      <c r="AT30" t="s">
        <v>519</v>
      </c>
      <c r="AU30" t="s">
        <v>10</v>
      </c>
      <c r="AV30" t="s">
        <v>21</v>
      </c>
      <c r="AW30" t="s">
        <v>273</v>
      </c>
      <c r="AX30" t="s">
        <v>175</v>
      </c>
      <c r="AZ30" t="s">
        <v>518</v>
      </c>
      <c r="BA30" t="s">
        <v>598</v>
      </c>
      <c r="BB30" t="s">
        <v>599</v>
      </c>
      <c r="BC30">
        <v>0.9973402418125219</v>
      </c>
      <c r="BD30">
        <v>48.762233437098502</v>
      </c>
    </row>
    <row r="31" spans="2:56">
      <c r="B31" t="s">
        <v>171</v>
      </c>
      <c r="C31" t="s">
        <v>214</v>
      </c>
      <c r="D31" t="s">
        <v>215</v>
      </c>
      <c r="E31" t="s">
        <v>10</v>
      </c>
      <c r="F31" t="s">
        <v>21</v>
      </c>
      <c r="G31" t="s">
        <v>174</v>
      </c>
      <c r="H31" t="s">
        <v>175</v>
      </c>
      <c r="J31" t="s">
        <v>214</v>
      </c>
      <c r="K31" t="s">
        <v>258</v>
      </c>
      <c r="L31">
        <v>8.2308495959667809</v>
      </c>
      <c r="M31">
        <v>0.1872946834989149</v>
      </c>
      <c r="O31" t="s">
        <v>269</v>
      </c>
      <c r="P31" t="s">
        <v>312</v>
      </c>
      <c r="Q31" t="s">
        <v>313</v>
      </c>
      <c r="R31" t="s">
        <v>10</v>
      </c>
      <c r="S31" t="s">
        <v>21</v>
      </c>
      <c r="T31" t="s">
        <v>272</v>
      </c>
      <c r="U31" t="s">
        <v>273</v>
      </c>
      <c r="V31" t="s">
        <v>175</v>
      </c>
      <c r="X31" t="s">
        <v>312</v>
      </c>
      <c r="Y31" t="s">
        <v>238</v>
      </c>
      <c r="Z31" t="s">
        <v>351</v>
      </c>
      <c r="AA31">
        <v>0.97633688849282452</v>
      </c>
      <c r="AB31">
        <v>433.82371096488447</v>
      </c>
      <c r="AD31" t="s">
        <v>269</v>
      </c>
      <c r="AE31" t="s">
        <v>400</v>
      </c>
      <c r="AF31" t="s">
        <v>401</v>
      </c>
      <c r="AG31" t="s">
        <v>10</v>
      </c>
      <c r="AH31" t="s">
        <v>21</v>
      </c>
      <c r="AI31" t="s">
        <v>273</v>
      </c>
      <c r="AJ31" t="s">
        <v>175</v>
      </c>
      <c r="AL31" t="s">
        <v>400</v>
      </c>
      <c r="AM31" t="s">
        <v>461</v>
      </c>
      <c r="AN31" t="s">
        <v>462</v>
      </c>
      <c r="AO31">
        <v>0.9985928182686985</v>
      </c>
      <c r="AP31">
        <v>25.798331740528162</v>
      </c>
      <c r="AR31" t="s">
        <v>269</v>
      </c>
      <c r="AS31" t="s">
        <v>520</v>
      </c>
      <c r="AT31" t="s">
        <v>521</v>
      </c>
      <c r="AU31" t="s">
        <v>10</v>
      </c>
      <c r="AV31" t="s">
        <v>21</v>
      </c>
      <c r="AW31" t="s">
        <v>273</v>
      </c>
      <c r="AX31" t="s">
        <v>175</v>
      </c>
      <c r="AZ31" t="s">
        <v>520</v>
      </c>
      <c r="BA31" t="s">
        <v>600</v>
      </c>
      <c r="BB31" t="s">
        <v>601</v>
      </c>
      <c r="BC31">
        <v>0.99302778580016682</v>
      </c>
      <c r="BD31">
        <v>127.82392699694152</v>
      </c>
    </row>
    <row r="32" spans="2:56">
      <c r="B32" t="s">
        <v>171</v>
      </c>
      <c r="C32" t="s">
        <v>216</v>
      </c>
      <c r="D32" t="s">
        <v>217</v>
      </c>
      <c r="E32" t="s">
        <v>10</v>
      </c>
      <c r="F32" t="s">
        <v>21</v>
      </c>
      <c r="G32" t="s">
        <v>174</v>
      </c>
      <c r="H32" t="s">
        <v>175</v>
      </c>
      <c r="J32" t="s">
        <v>216</v>
      </c>
      <c r="K32" t="s">
        <v>259</v>
      </c>
      <c r="L32">
        <v>12.207707960945804</v>
      </c>
      <c r="M32">
        <v>0.1885277185926072</v>
      </c>
      <c r="O32" t="s">
        <v>269</v>
      </c>
      <c r="P32" t="s">
        <v>314</v>
      </c>
      <c r="Q32" t="s">
        <v>315</v>
      </c>
      <c r="R32" t="s">
        <v>10</v>
      </c>
      <c r="S32" t="s">
        <v>21</v>
      </c>
      <c r="T32" t="s">
        <v>272</v>
      </c>
      <c r="U32" t="s">
        <v>273</v>
      </c>
      <c r="V32" t="s">
        <v>175</v>
      </c>
      <c r="X32" t="s">
        <v>314</v>
      </c>
      <c r="Y32" t="s">
        <v>242</v>
      </c>
      <c r="Z32" t="s">
        <v>352</v>
      </c>
      <c r="AA32">
        <v>0.99852430677621173</v>
      </c>
      <c r="AB32">
        <v>27.054375769451152</v>
      </c>
      <c r="AD32" t="s">
        <v>269</v>
      </c>
      <c r="AE32" t="s">
        <v>402</v>
      </c>
      <c r="AF32" t="s">
        <v>403</v>
      </c>
      <c r="AG32" t="s">
        <v>10</v>
      </c>
      <c r="AH32" t="s">
        <v>21</v>
      </c>
      <c r="AI32" t="s">
        <v>273</v>
      </c>
      <c r="AJ32" t="s">
        <v>175</v>
      </c>
      <c r="AL32" t="s">
        <v>402</v>
      </c>
      <c r="AM32" t="s">
        <v>463</v>
      </c>
      <c r="AN32" t="s">
        <v>464</v>
      </c>
      <c r="AO32">
        <v>0.99771335854027388</v>
      </c>
      <c r="AP32">
        <v>41.921760094978509</v>
      </c>
      <c r="AR32" t="s">
        <v>269</v>
      </c>
      <c r="AS32" t="s">
        <v>522</v>
      </c>
      <c r="AT32" t="s">
        <v>523</v>
      </c>
      <c r="AU32" t="s">
        <v>10</v>
      </c>
      <c r="AV32" t="s">
        <v>21</v>
      </c>
      <c r="AW32" t="s">
        <v>273</v>
      </c>
      <c r="AX32" t="s">
        <v>175</v>
      </c>
      <c r="AZ32" t="s">
        <v>522</v>
      </c>
      <c r="BA32" t="s">
        <v>602</v>
      </c>
      <c r="BB32" t="s">
        <v>603</v>
      </c>
      <c r="BC32">
        <v>0.88199812838352587</v>
      </c>
      <c r="BD32">
        <v>2163.367646302027</v>
      </c>
    </row>
    <row r="33" spans="2:56">
      <c r="B33" t="s">
        <v>171</v>
      </c>
      <c r="C33" t="s">
        <v>218</v>
      </c>
      <c r="D33" t="s">
        <v>219</v>
      </c>
      <c r="E33" t="s">
        <v>10</v>
      </c>
      <c r="F33" t="s">
        <v>21</v>
      </c>
      <c r="G33" t="s">
        <v>174</v>
      </c>
      <c r="H33" t="s">
        <v>175</v>
      </c>
      <c r="J33" t="s">
        <v>218</v>
      </c>
      <c r="K33" t="s">
        <v>260</v>
      </c>
      <c r="L33">
        <v>11.84836321250885</v>
      </c>
      <c r="M33">
        <v>0.18764376746668049</v>
      </c>
      <c r="O33" t="s">
        <v>269</v>
      </c>
      <c r="P33" t="s">
        <v>316</v>
      </c>
      <c r="Q33" t="s">
        <v>317</v>
      </c>
      <c r="R33" t="s">
        <v>10</v>
      </c>
      <c r="S33" t="s">
        <v>21</v>
      </c>
      <c r="T33" t="s">
        <v>272</v>
      </c>
      <c r="U33" t="s">
        <v>273</v>
      </c>
      <c r="V33" t="s">
        <v>175</v>
      </c>
      <c r="X33" t="s">
        <v>316</v>
      </c>
      <c r="Y33" t="s">
        <v>255</v>
      </c>
      <c r="Z33" t="s">
        <v>353</v>
      </c>
      <c r="AA33">
        <v>0.99690397462165847</v>
      </c>
      <c r="AB33">
        <v>56.760465269594654</v>
      </c>
      <c r="AD33" t="s">
        <v>269</v>
      </c>
      <c r="AE33" t="s">
        <v>404</v>
      </c>
      <c r="AF33" t="s">
        <v>405</v>
      </c>
      <c r="AG33" t="s">
        <v>10</v>
      </c>
      <c r="AH33" t="s">
        <v>21</v>
      </c>
      <c r="AI33" t="s">
        <v>273</v>
      </c>
      <c r="AJ33" t="s">
        <v>175</v>
      </c>
      <c r="AL33" t="s">
        <v>404</v>
      </c>
      <c r="AM33" t="s">
        <v>465</v>
      </c>
      <c r="AN33" t="s">
        <v>336</v>
      </c>
      <c r="AO33">
        <v>0.98814178187791379</v>
      </c>
      <c r="AP33">
        <v>217.40066557158059</v>
      </c>
      <c r="AR33" t="s">
        <v>269</v>
      </c>
      <c r="AS33" t="s">
        <v>524</v>
      </c>
      <c r="AT33" t="s">
        <v>525</v>
      </c>
      <c r="AU33" t="s">
        <v>10</v>
      </c>
      <c r="AV33" t="s">
        <v>21</v>
      </c>
      <c r="AW33" t="s">
        <v>273</v>
      </c>
      <c r="AX33" t="s">
        <v>175</v>
      </c>
      <c r="AZ33" t="s">
        <v>524</v>
      </c>
      <c r="BA33" t="s">
        <v>604</v>
      </c>
      <c r="BB33" t="s">
        <v>605</v>
      </c>
      <c r="BC33">
        <v>0.9924172440074055</v>
      </c>
      <c r="BD33">
        <v>139.01719319756617</v>
      </c>
    </row>
    <row r="34" spans="2:56">
      <c r="B34" t="s">
        <v>171</v>
      </c>
      <c r="C34" t="s">
        <v>220</v>
      </c>
      <c r="D34" t="s">
        <v>221</v>
      </c>
      <c r="E34" t="s">
        <v>10</v>
      </c>
      <c r="F34" t="s">
        <v>21</v>
      </c>
      <c r="G34" t="s">
        <v>174</v>
      </c>
      <c r="H34" t="s">
        <v>175</v>
      </c>
      <c r="J34" t="s">
        <v>220</v>
      </c>
      <c r="K34" t="s">
        <v>261</v>
      </c>
      <c r="L34">
        <v>6.311418285235062</v>
      </c>
      <c r="M34">
        <v>0.1693068332707558</v>
      </c>
      <c r="O34" t="s">
        <v>269</v>
      </c>
      <c r="P34" t="s">
        <v>318</v>
      </c>
      <c r="Q34" t="s">
        <v>319</v>
      </c>
      <c r="R34" t="s">
        <v>10</v>
      </c>
      <c r="S34" t="s">
        <v>21</v>
      </c>
      <c r="T34" t="s">
        <v>272</v>
      </c>
      <c r="U34" t="s">
        <v>273</v>
      </c>
      <c r="V34" t="s">
        <v>175</v>
      </c>
      <c r="X34" t="s">
        <v>318</v>
      </c>
      <c r="Y34" t="s">
        <v>264</v>
      </c>
      <c r="Z34" t="s">
        <v>354</v>
      </c>
      <c r="AA34">
        <v>0.99726055556014181</v>
      </c>
      <c r="AB34">
        <v>50.223148064066145</v>
      </c>
      <c r="AD34" t="s">
        <v>269</v>
      </c>
      <c r="AE34" t="s">
        <v>406</v>
      </c>
      <c r="AF34" t="s">
        <v>407</v>
      </c>
      <c r="AG34" t="s">
        <v>10</v>
      </c>
      <c r="AH34" t="s">
        <v>21</v>
      </c>
      <c r="AI34" t="s">
        <v>273</v>
      </c>
      <c r="AJ34" t="s">
        <v>175</v>
      </c>
      <c r="AL34" t="s">
        <v>406</v>
      </c>
      <c r="AM34" t="s">
        <v>466</v>
      </c>
      <c r="AN34" t="s">
        <v>467</v>
      </c>
      <c r="AO34">
        <v>0.99710631799330929</v>
      </c>
      <c r="AP34">
        <v>53.050836789329388</v>
      </c>
      <c r="AR34" t="s">
        <v>269</v>
      </c>
      <c r="AS34" t="s">
        <v>526</v>
      </c>
      <c r="AT34" t="s">
        <v>527</v>
      </c>
      <c r="AU34" t="s">
        <v>10</v>
      </c>
      <c r="AV34" t="s">
        <v>21</v>
      </c>
      <c r="AW34" t="s">
        <v>273</v>
      </c>
      <c r="AX34" t="s">
        <v>175</v>
      </c>
      <c r="AZ34" t="s">
        <v>526</v>
      </c>
      <c r="BA34" t="s">
        <v>606</v>
      </c>
      <c r="BB34" t="s">
        <v>351</v>
      </c>
      <c r="BC34">
        <v>0.97591598065988894</v>
      </c>
      <c r="BD34">
        <v>441.54035456870389</v>
      </c>
    </row>
    <row r="35" spans="2:56">
      <c r="B35" t="s">
        <v>171</v>
      </c>
      <c r="C35" t="s">
        <v>222</v>
      </c>
      <c r="D35" t="s">
        <v>223</v>
      </c>
      <c r="E35" t="s">
        <v>10</v>
      </c>
      <c r="F35" t="s">
        <v>21</v>
      </c>
      <c r="G35" t="s">
        <v>174</v>
      </c>
      <c r="H35" t="s">
        <v>175</v>
      </c>
      <c r="J35" t="s">
        <v>222</v>
      </c>
      <c r="K35" t="s">
        <v>262</v>
      </c>
      <c r="L35">
        <v>0.59280478309309115</v>
      </c>
      <c r="M35">
        <v>0.18856710274390229</v>
      </c>
      <c r="O35" t="s">
        <v>269</v>
      </c>
      <c r="P35" t="s">
        <v>320</v>
      </c>
      <c r="Q35" t="s">
        <v>321</v>
      </c>
      <c r="R35" t="s">
        <v>10</v>
      </c>
      <c r="S35" t="s">
        <v>21</v>
      </c>
      <c r="T35" t="s">
        <v>272</v>
      </c>
      <c r="U35" t="s">
        <v>273</v>
      </c>
      <c r="V35" t="s">
        <v>175</v>
      </c>
      <c r="X35" t="s">
        <v>320</v>
      </c>
      <c r="Y35" t="s">
        <v>239</v>
      </c>
      <c r="Z35" t="s">
        <v>351</v>
      </c>
      <c r="AA35">
        <v>0.96189283472138964</v>
      </c>
      <c r="AB35">
        <v>698.63136344118936</v>
      </c>
      <c r="AD35" t="s">
        <v>269</v>
      </c>
      <c r="AE35" t="s">
        <v>408</v>
      </c>
      <c r="AF35" t="s">
        <v>409</v>
      </c>
      <c r="AG35" t="s">
        <v>10</v>
      </c>
      <c r="AH35" t="s">
        <v>21</v>
      </c>
      <c r="AI35" t="s">
        <v>273</v>
      </c>
      <c r="AJ35" t="s">
        <v>175</v>
      </c>
      <c r="AL35" t="s">
        <v>408</v>
      </c>
      <c r="AM35" t="s">
        <v>468</v>
      </c>
      <c r="AN35" t="s">
        <v>469</v>
      </c>
      <c r="AO35">
        <v>0.99627181657233566</v>
      </c>
      <c r="AP35">
        <v>68.350029507179471</v>
      </c>
      <c r="AR35" t="s">
        <v>269</v>
      </c>
      <c r="AS35" t="s">
        <v>528</v>
      </c>
      <c r="AT35" t="s">
        <v>529</v>
      </c>
      <c r="AU35" t="s">
        <v>10</v>
      </c>
      <c r="AV35" t="s">
        <v>21</v>
      </c>
      <c r="AW35" t="s">
        <v>273</v>
      </c>
      <c r="AX35" t="s">
        <v>175</v>
      </c>
      <c r="AZ35" t="s">
        <v>528</v>
      </c>
      <c r="BA35" t="s">
        <v>607</v>
      </c>
      <c r="BB35" t="s">
        <v>608</v>
      </c>
      <c r="BC35">
        <v>0.99412039195829205</v>
      </c>
      <c r="BD35">
        <v>107.79281409797902</v>
      </c>
    </row>
    <row r="36" spans="2:56">
      <c r="B36" t="s">
        <v>171</v>
      </c>
      <c r="C36" t="s">
        <v>224</v>
      </c>
      <c r="D36" t="s">
        <v>225</v>
      </c>
      <c r="E36" t="s">
        <v>10</v>
      </c>
      <c r="F36" t="s">
        <v>21</v>
      </c>
      <c r="G36" t="s">
        <v>174</v>
      </c>
      <c r="H36" t="s">
        <v>175</v>
      </c>
      <c r="J36" t="s">
        <v>224</v>
      </c>
      <c r="K36" t="s">
        <v>263</v>
      </c>
      <c r="L36">
        <v>6.8343993671067791</v>
      </c>
      <c r="M36">
        <v>0.18926128293853881</v>
      </c>
      <c r="O36" t="s">
        <v>269</v>
      </c>
      <c r="P36" t="s">
        <v>322</v>
      </c>
      <c r="Q36" t="s">
        <v>323</v>
      </c>
      <c r="R36" t="s">
        <v>10</v>
      </c>
      <c r="S36" t="s">
        <v>21</v>
      </c>
      <c r="T36" t="s">
        <v>272</v>
      </c>
      <c r="U36" t="s">
        <v>273</v>
      </c>
      <c r="V36" t="s">
        <v>175</v>
      </c>
      <c r="X36" t="s">
        <v>322</v>
      </c>
      <c r="Y36" t="s">
        <v>246</v>
      </c>
      <c r="Z36" t="s">
        <v>355</v>
      </c>
      <c r="AA36">
        <v>0.99756610784588629</v>
      </c>
      <c r="AB36">
        <v>44.621356158751233</v>
      </c>
      <c r="AD36" t="s">
        <v>269</v>
      </c>
      <c r="AE36" t="s">
        <v>410</v>
      </c>
      <c r="AF36" t="s">
        <v>411</v>
      </c>
      <c r="AG36" t="s">
        <v>10</v>
      </c>
      <c r="AH36" t="s">
        <v>21</v>
      </c>
      <c r="AI36" t="s">
        <v>273</v>
      </c>
      <c r="AJ36" t="s">
        <v>175</v>
      </c>
      <c r="AL36" t="s">
        <v>410</v>
      </c>
      <c r="AM36" t="s">
        <v>470</v>
      </c>
      <c r="AN36" t="s">
        <v>471</v>
      </c>
      <c r="AO36">
        <v>0.99550555557680764</v>
      </c>
      <c r="AP36">
        <v>82.398147758527074</v>
      </c>
      <c r="AR36" t="s">
        <v>269</v>
      </c>
      <c r="AS36" t="s">
        <v>530</v>
      </c>
      <c r="AT36" t="s">
        <v>531</v>
      </c>
      <c r="AU36" t="s">
        <v>10</v>
      </c>
      <c r="AV36" t="s">
        <v>21</v>
      </c>
      <c r="AW36" t="s">
        <v>273</v>
      </c>
      <c r="AX36" t="s">
        <v>175</v>
      </c>
      <c r="AZ36" t="s">
        <v>530</v>
      </c>
      <c r="BA36" t="s">
        <v>609</v>
      </c>
      <c r="BB36" t="s">
        <v>610</v>
      </c>
      <c r="BC36">
        <v>0.98881218539944515</v>
      </c>
      <c r="BD36">
        <v>205.10993434350485</v>
      </c>
    </row>
    <row r="37" spans="2:56">
      <c r="B37" t="s">
        <v>171</v>
      </c>
      <c r="C37" t="s">
        <v>226</v>
      </c>
      <c r="D37" t="s">
        <v>227</v>
      </c>
      <c r="E37" t="s">
        <v>10</v>
      </c>
      <c r="F37" t="s">
        <v>21</v>
      </c>
      <c r="G37" t="s">
        <v>174</v>
      </c>
      <c r="H37" t="s">
        <v>175</v>
      </c>
      <c r="J37" t="s">
        <v>226</v>
      </c>
      <c r="K37" t="s">
        <v>264</v>
      </c>
      <c r="L37">
        <v>1.8808781416844131</v>
      </c>
      <c r="M37">
        <v>0.17266493010223849</v>
      </c>
      <c r="O37" t="s">
        <v>269</v>
      </c>
      <c r="P37" t="s">
        <v>324</v>
      </c>
      <c r="Q37" t="s">
        <v>325</v>
      </c>
      <c r="R37" t="s">
        <v>10</v>
      </c>
      <c r="S37" t="s">
        <v>21</v>
      </c>
      <c r="T37" t="s">
        <v>272</v>
      </c>
      <c r="U37" t="s">
        <v>273</v>
      </c>
      <c r="V37" t="s">
        <v>175</v>
      </c>
      <c r="X37" t="s">
        <v>324</v>
      </c>
      <c r="Y37" t="s">
        <v>244</v>
      </c>
      <c r="Z37" t="s">
        <v>356</v>
      </c>
      <c r="AA37">
        <v>0.99868063135997165</v>
      </c>
      <c r="AB37">
        <v>24.188425067185491</v>
      </c>
      <c r="AD37" t="s">
        <v>269</v>
      </c>
      <c r="AE37" t="s">
        <v>412</v>
      </c>
      <c r="AF37" t="s">
        <v>413</v>
      </c>
      <c r="AG37" t="s">
        <v>10</v>
      </c>
      <c r="AH37" t="s">
        <v>21</v>
      </c>
      <c r="AI37" t="s">
        <v>273</v>
      </c>
      <c r="AJ37" t="s">
        <v>175</v>
      </c>
      <c r="AL37" t="s">
        <v>412</v>
      </c>
      <c r="AM37" t="s">
        <v>472</v>
      </c>
      <c r="AN37" t="s">
        <v>473</v>
      </c>
      <c r="AO37">
        <v>0.99192535126433146</v>
      </c>
      <c r="AP37">
        <v>148.0352268205892</v>
      </c>
      <c r="AR37" t="s">
        <v>269</v>
      </c>
      <c r="AS37" t="s">
        <v>532</v>
      </c>
      <c r="AT37" t="s">
        <v>533</v>
      </c>
      <c r="AU37" t="s">
        <v>10</v>
      </c>
      <c r="AV37" t="s">
        <v>21</v>
      </c>
      <c r="AW37" t="s">
        <v>273</v>
      </c>
      <c r="AX37" t="s">
        <v>175</v>
      </c>
      <c r="AZ37" t="s">
        <v>532</v>
      </c>
      <c r="BA37" t="s">
        <v>611</v>
      </c>
      <c r="BB37" t="s">
        <v>612</v>
      </c>
      <c r="BC37">
        <v>0.99253849155603513</v>
      </c>
      <c r="BD37">
        <v>136.79432147269009</v>
      </c>
    </row>
    <row r="38" spans="2:56">
      <c r="B38" t="s">
        <v>171</v>
      </c>
      <c r="C38" t="s">
        <v>228</v>
      </c>
      <c r="D38" t="s">
        <v>229</v>
      </c>
      <c r="E38" t="s">
        <v>10</v>
      </c>
      <c r="F38" t="s">
        <v>21</v>
      </c>
      <c r="G38" t="s">
        <v>174</v>
      </c>
      <c r="H38" t="s">
        <v>175</v>
      </c>
      <c r="J38" t="s">
        <v>228</v>
      </c>
      <c r="K38" t="s">
        <v>265</v>
      </c>
      <c r="L38">
        <v>5.819871101459503</v>
      </c>
      <c r="M38">
        <v>0.1668865544761739</v>
      </c>
      <c r="O38" t="s">
        <v>269</v>
      </c>
      <c r="P38" t="s">
        <v>326</v>
      </c>
      <c r="Q38" t="s">
        <v>327</v>
      </c>
      <c r="R38" t="s">
        <v>10</v>
      </c>
      <c r="S38" t="s">
        <v>21</v>
      </c>
      <c r="T38" t="s">
        <v>272</v>
      </c>
      <c r="U38" t="s">
        <v>273</v>
      </c>
      <c r="V38" t="s">
        <v>175</v>
      </c>
      <c r="X38" t="s">
        <v>326</v>
      </c>
      <c r="Y38" t="s">
        <v>240</v>
      </c>
      <c r="Z38" t="s">
        <v>357</v>
      </c>
      <c r="AA38">
        <v>0.9977500892185478</v>
      </c>
      <c r="AB38">
        <v>41.248364326622962</v>
      </c>
      <c r="AD38" t="s">
        <v>269</v>
      </c>
      <c r="AE38" t="s">
        <v>414</v>
      </c>
      <c r="AF38" t="s">
        <v>415</v>
      </c>
      <c r="AG38" t="s">
        <v>10</v>
      </c>
      <c r="AH38" t="s">
        <v>21</v>
      </c>
      <c r="AI38" t="s">
        <v>273</v>
      </c>
      <c r="AJ38" t="s">
        <v>175</v>
      </c>
      <c r="AL38" t="s">
        <v>414</v>
      </c>
      <c r="AM38" t="s">
        <v>474</v>
      </c>
      <c r="AN38" t="s">
        <v>338</v>
      </c>
      <c r="AO38">
        <v>0.98092693557487454</v>
      </c>
      <c r="AP38">
        <v>349.67284779396647</v>
      </c>
      <c r="AR38" t="s">
        <v>269</v>
      </c>
      <c r="AS38" t="s">
        <v>534</v>
      </c>
      <c r="AT38" t="s">
        <v>535</v>
      </c>
      <c r="AU38" t="s">
        <v>10</v>
      </c>
      <c r="AV38" t="s">
        <v>21</v>
      </c>
      <c r="AW38" t="s">
        <v>273</v>
      </c>
      <c r="AX38" t="s">
        <v>175</v>
      </c>
      <c r="AZ38" t="s">
        <v>534</v>
      </c>
      <c r="BA38" t="s">
        <v>613</v>
      </c>
      <c r="BB38" t="s">
        <v>614</v>
      </c>
      <c r="BC38">
        <v>0.93089405249526469</v>
      </c>
      <c r="BD38">
        <v>1266.9423709201483</v>
      </c>
    </row>
    <row r="39" spans="2:56">
      <c r="B39" t="s">
        <v>171</v>
      </c>
      <c r="C39" t="s">
        <v>230</v>
      </c>
      <c r="D39" t="s">
        <v>231</v>
      </c>
      <c r="E39" t="s">
        <v>10</v>
      </c>
      <c r="F39" t="s">
        <v>21</v>
      </c>
      <c r="G39" t="s">
        <v>174</v>
      </c>
      <c r="H39" t="s">
        <v>175</v>
      </c>
      <c r="J39" t="s">
        <v>230</v>
      </c>
      <c r="K39" t="s">
        <v>266</v>
      </c>
      <c r="L39">
        <v>7.4335447943742894</v>
      </c>
      <c r="M39">
        <v>0.17297840533466791</v>
      </c>
      <c r="O39" t="s">
        <v>269</v>
      </c>
      <c r="P39" t="s">
        <v>328</v>
      </c>
      <c r="Q39" t="s">
        <v>329</v>
      </c>
      <c r="R39" t="s">
        <v>10</v>
      </c>
      <c r="S39" t="s">
        <v>21</v>
      </c>
      <c r="T39" t="s">
        <v>272</v>
      </c>
      <c r="U39" t="s">
        <v>273</v>
      </c>
      <c r="V39" t="s">
        <v>175</v>
      </c>
      <c r="X39" t="s">
        <v>328</v>
      </c>
      <c r="Y39" t="s">
        <v>247</v>
      </c>
      <c r="Z39" t="s">
        <v>358</v>
      </c>
      <c r="AA39">
        <v>0.99832720430967758</v>
      </c>
      <c r="AB39">
        <v>30.667920989244074</v>
      </c>
      <c r="AD39" t="s">
        <v>269</v>
      </c>
      <c r="AE39" t="s">
        <v>416</v>
      </c>
      <c r="AF39" t="s">
        <v>417</v>
      </c>
      <c r="AG39" t="s">
        <v>10</v>
      </c>
      <c r="AH39" t="s">
        <v>21</v>
      </c>
      <c r="AI39" t="s">
        <v>273</v>
      </c>
      <c r="AJ39" t="s">
        <v>175</v>
      </c>
      <c r="AL39" t="s">
        <v>416</v>
      </c>
      <c r="AM39" t="s">
        <v>475</v>
      </c>
      <c r="AN39" t="s">
        <v>476</v>
      </c>
      <c r="AO39">
        <v>0.99876671866544076</v>
      </c>
      <c r="AP39">
        <v>22.610157800252374</v>
      </c>
      <c r="AR39" t="s">
        <v>269</v>
      </c>
      <c r="AS39" t="s">
        <v>536</v>
      </c>
      <c r="AT39" t="s">
        <v>537</v>
      </c>
      <c r="AU39" t="s">
        <v>10</v>
      </c>
      <c r="AV39" t="s">
        <v>21</v>
      </c>
      <c r="AW39" t="s">
        <v>273</v>
      </c>
      <c r="AX39" t="s">
        <v>175</v>
      </c>
      <c r="AZ39" t="s">
        <v>536</v>
      </c>
      <c r="BA39" t="s">
        <v>615</v>
      </c>
      <c r="BB39" t="s">
        <v>616</v>
      </c>
      <c r="BC39">
        <v>0.99234935324205875</v>
      </c>
      <c r="BD39">
        <v>140.26185722892211</v>
      </c>
    </row>
    <row r="40" spans="2:56">
      <c r="B40" t="s">
        <v>171</v>
      </c>
      <c r="C40" t="s">
        <v>232</v>
      </c>
      <c r="D40" t="s">
        <v>233</v>
      </c>
      <c r="E40" t="s">
        <v>10</v>
      </c>
      <c r="F40" t="s">
        <v>21</v>
      </c>
      <c r="G40" t="s">
        <v>174</v>
      </c>
      <c r="H40" t="s">
        <v>175</v>
      </c>
      <c r="J40" t="s">
        <v>232</v>
      </c>
      <c r="K40" t="s">
        <v>267</v>
      </c>
      <c r="L40">
        <v>9.4700882153505201</v>
      </c>
      <c r="M40">
        <v>0.17932962385242079</v>
      </c>
      <c r="O40" t="s">
        <v>269</v>
      </c>
      <c r="P40" t="s">
        <v>330</v>
      </c>
      <c r="Q40" t="s">
        <v>331</v>
      </c>
      <c r="R40" t="s">
        <v>10</v>
      </c>
      <c r="S40" t="s">
        <v>21</v>
      </c>
      <c r="T40" t="s">
        <v>272</v>
      </c>
      <c r="U40" t="s">
        <v>273</v>
      </c>
      <c r="V40" t="s">
        <v>175</v>
      </c>
      <c r="X40" t="s">
        <v>330</v>
      </c>
      <c r="Y40" t="s">
        <v>260</v>
      </c>
      <c r="Z40" t="s">
        <v>359</v>
      </c>
      <c r="AA40">
        <v>0.99894650606645485</v>
      </c>
      <c r="AB40">
        <v>19.314055448326833</v>
      </c>
      <c r="AD40" t="s">
        <v>269</v>
      </c>
      <c r="AE40" t="s">
        <v>418</v>
      </c>
      <c r="AF40" t="s">
        <v>419</v>
      </c>
      <c r="AG40" t="s">
        <v>10</v>
      </c>
      <c r="AH40" t="s">
        <v>21</v>
      </c>
      <c r="AI40" t="s">
        <v>273</v>
      </c>
      <c r="AJ40" t="s">
        <v>175</v>
      </c>
      <c r="AL40" t="s">
        <v>418</v>
      </c>
      <c r="AM40" t="s">
        <v>477</v>
      </c>
      <c r="AN40" t="s">
        <v>478</v>
      </c>
      <c r="AO40">
        <v>0.99781438034778358</v>
      </c>
      <c r="AP40">
        <v>40.069693623967019</v>
      </c>
      <c r="AR40" t="s">
        <v>269</v>
      </c>
      <c r="AS40" t="s">
        <v>538</v>
      </c>
      <c r="AT40" t="s">
        <v>539</v>
      </c>
      <c r="AU40" t="s">
        <v>10</v>
      </c>
      <c r="AV40" t="s">
        <v>21</v>
      </c>
      <c r="AW40" t="s">
        <v>273</v>
      </c>
      <c r="AX40" t="s">
        <v>175</v>
      </c>
      <c r="AZ40" t="s">
        <v>538</v>
      </c>
      <c r="BA40" t="s">
        <v>617</v>
      </c>
      <c r="BB40" t="s">
        <v>618</v>
      </c>
      <c r="BC40">
        <v>0.99366677237144974</v>
      </c>
      <c r="BD40">
        <v>116.10917319008783</v>
      </c>
    </row>
    <row r="41" spans="2:56">
      <c r="AD41" t="s">
        <v>269</v>
      </c>
      <c r="AE41" t="s">
        <v>420</v>
      </c>
      <c r="AF41" t="s">
        <v>421</v>
      </c>
      <c r="AG41" t="s">
        <v>10</v>
      </c>
      <c r="AH41" t="s">
        <v>21</v>
      </c>
      <c r="AI41" t="s">
        <v>273</v>
      </c>
      <c r="AJ41" t="s">
        <v>175</v>
      </c>
      <c r="AL41" t="s">
        <v>420</v>
      </c>
      <c r="AM41" t="s">
        <v>479</v>
      </c>
      <c r="AN41" t="s">
        <v>338</v>
      </c>
      <c r="AO41">
        <v>0.98949004263841422</v>
      </c>
      <c r="AP41">
        <v>192.68255162907312</v>
      </c>
      <c r="AR41" t="s">
        <v>269</v>
      </c>
      <c r="AS41" t="s">
        <v>540</v>
      </c>
      <c r="AT41" t="s">
        <v>541</v>
      </c>
      <c r="AU41" t="s">
        <v>10</v>
      </c>
      <c r="AV41" t="s">
        <v>21</v>
      </c>
      <c r="AW41" t="s">
        <v>273</v>
      </c>
      <c r="AX41" t="s">
        <v>175</v>
      </c>
      <c r="AZ41" t="s">
        <v>540</v>
      </c>
      <c r="BA41" t="s">
        <v>619</v>
      </c>
      <c r="BB41" t="s">
        <v>620</v>
      </c>
      <c r="BC41">
        <v>0.9205295464439136</v>
      </c>
      <c r="BD41">
        <v>1456.9583151949184</v>
      </c>
    </row>
    <row r="42" spans="2:56">
      <c r="AR42" t="s">
        <v>269</v>
      </c>
      <c r="AS42" t="s">
        <v>542</v>
      </c>
      <c r="AT42" t="s">
        <v>543</v>
      </c>
      <c r="AU42" t="s">
        <v>10</v>
      </c>
      <c r="AV42" t="s">
        <v>21</v>
      </c>
      <c r="AW42" t="s">
        <v>273</v>
      </c>
      <c r="AX42" t="s">
        <v>175</v>
      </c>
      <c r="AZ42" t="s">
        <v>542</v>
      </c>
      <c r="BA42" t="s">
        <v>621</v>
      </c>
      <c r="BB42" t="s">
        <v>622</v>
      </c>
      <c r="BC42">
        <v>0.98822137145239475</v>
      </c>
      <c r="BD42">
        <v>215.94152337276336</v>
      </c>
    </row>
    <row r="43" spans="2:56">
      <c r="AR43" t="s">
        <v>269</v>
      </c>
      <c r="AS43" t="s">
        <v>544</v>
      </c>
      <c r="AT43" t="s">
        <v>545</v>
      </c>
      <c r="AU43" t="s">
        <v>10</v>
      </c>
      <c r="AV43" t="s">
        <v>21</v>
      </c>
      <c r="AW43" t="s">
        <v>273</v>
      </c>
      <c r="AX43" t="s">
        <v>175</v>
      </c>
      <c r="AZ43" t="s">
        <v>544</v>
      </c>
      <c r="BA43" t="s">
        <v>623</v>
      </c>
      <c r="BB43" t="s">
        <v>624</v>
      </c>
      <c r="BC43">
        <v>0.99768605564493718</v>
      </c>
      <c r="BD43">
        <v>42.422313176151043</v>
      </c>
    </row>
    <row r="44" spans="2:56">
      <c r="AR44" t="s">
        <v>269</v>
      </c>
      <c r="AS44" t="s">
        <v>546</v>
      </c>
      <c r="AT44" t="s">
        <v>547</v>
      </c>
      <c r="AU44" t="s">
        <v>10</v>
      </c>
      <c r="AV44" t="s">
        <v>21</v>
      </c>
      <c r="AW44" t="s">
        <v>273</v>
      </c>
      <c r="AX44" t="s">
        <v>175</v>
      </c>
      <c r="AZ44" t="s">
        <v>546</v>
      </c>
      <c r="BA44" t="s">
        <v>625</v>
      </c>
      <c r="BB44" t="s">
        <v>626</v>
      </c>
      <c r="BC44">
        <v>0.99603667376986049</v>
      </c>
      <c r="BD44">
        <v>72.660980885890424</v>
      </c>
    </row>
    <row r="45" spans="2:56">
      <c r="AR45" t="s">
        <v>269</v>
      </c>
      <c r="AS45" t="s">
        <v>548</v>
      </c>
      <c r="AT45" t="s">
        <v>549</v>
      </c>
      <c r="AU45" t="s">
        <v>10</v>
      </c>
      <c r="AV45" t="s">
        <v>21</v>
      </c>
      <c r="AW45" t="s">
        <v>273</v>
      </c>
      <c r="AX45" t="s">
        <v>175</v>
      </c>
      <c r="AZ45" t="s">
        <v>548</v>
      </c>
      <c r="BA45" t="s">
        <v>627</v>
      </c>
      <c r="BB45" t="s">
        <v>614</v>
      </c>
      <c r="BC45">
        <v>0.97589985979527272</v>
      </c>
      <c r="BD45">
        <v>441.83590375333313</v>
      </c>
    </row>
    <row r="46" spans="2:56">
      <c r="AR46" t="s">
        <v>269</v>
      </c>
      <c r="AS46" t="s">
        <v>550</v>
      </c>
      <c r="AT46" t="s">
        <v>551</v>
      </c>
      <c r="AU46" t="s">
        <v>10</v>
      </c>
      <c r="AV46" t="s">
        <v>21</v>
      </c>
      <c r="AW46" t="s">
        <v>273</v>
      </c>
      <c r="AX46" t="s">
        <v>175</v>
      </c>
      <c r="AZ46" t="s">
        <v>550</v>
      </c>
      <c r="BA46" t="s">
        <v>628</v>
      </c>
      <c r="BB46" t="s">
        <v>629</v>
      </c>
      <c r="BC46">
        <v>0.9966173923071765</v>
      </c>
      <c r="BD46">
        <v>62.014474368430825</v>
      </c>
    </row>
    <row r="47" spans="2:56">
      <c r="AR47" t="s">
        <v>269</v>
      </c>
      <c r="AS47" t="s">
        <v>552</v>
      </c>
      <c r="AT47" t="s">
        <v>553</v>
      </c>
      <c r="AU47" t="s">
        <v>10</v>
      </c>
      <c r="AV47" t="s">
        <v>21</v>
      </c>
      <c r="AW47" t="s">
        <v>273</v>
      </c>
      <c r="AX47" t="s">
        <v>175</v>
      </c>
      <c r="AZ47" t="s">
        <v>552</v>
      </c>
      <c r="BA47" t="s">
        <v>630</v>
      </c>
      <c r="BB47" t="s">
        <v>631</v>
      </c>
      <c r="BC47">
        <v>0.9437657388784082</v>
      </c>
      <c r="BD47">
        <v>1030.9614538958492</v>
      </c>
    </row>
    <row r="48" spans="2:56">
      <c r="AR48" t="s">
        <v>269</v>
      </c>
      <c r="AS48" t="s">
        <v>554</v>
      </c>
      <c r="AT48" t="s">
        <v>555</v>
      </c>
      <c r="AU48" t="s">
        <v>10</v>
      </c>
      <c r="AV48" t="s">
        <v>21</v>
      </c>
      <c r="AW48" t="s">
        <v>273</v>
      </c>
      <c r="AX48" t="s">
        <v>175</v>
      </c>
      <c r="AZ48" t="s">
        <v>554</v>
      </c>
      <c r="BA48" t="s">
        <v>632</v>
      </c>
      <c r="BB48" t="s">
        <v>633</v>
      </c>
      <c r="BC48">
        <v>0.99602290686668338</v>
      </c>
      <c r="BD48">
        <v>72.91337411080552</v>
      </c>
    </row>
    <row r="49" spans="44:56">
      <c r="AR49" t="s">
        <v>269</v>
      </c>
      <c r="AS49" t="s">
        <v>556</v>
      </c>
      <c r="AT49" t="s">
        <v>557</v>
      </c>
      <c r="AU49" t="s">
        <v>10</v>
      </c>
      <c r="AV49" t="s">
        <v>21</v>
      </c>
      <c r="AW49" t="s">
        <v>273</v>
      </c>
      <c r="AX49" t="s">
        <v>175</v>
      </c>
      <c r="AZ49" t="s">
        <v>556</v>
      </c>
      <c r="BA49" t="s">
        <v>634</v>
      </c>
      <c r="BB49" t="s">
        <v>338</v>
      </c>
      <c r="BC49">
        <v>0.98180592470173533</v>
      </c>
      <c r="BD49">
        <v>333.55804713485287</v>
      </c>
    </row>
    <row r="50" spans="44:56">
      <c r="AR50" t="s">
        <v>269</v>
      </c>
      <c r="AS50" t="s">
        <v>558</v>
      </c>
      <c r="AT50" t="s">
        <v>559</v>
      </c>
      <c r="AU50" t="s">
        <v>10</v>
      </c>
      <c r="AV50" t="s">
        <v>21</v>
      </c>
      <c r="AW50" t="s">
        <v>273</v>
      </c>
      <c r="AX50" t="s">
        <v>175</v>
      </c>
      <c r="AZ50" t="s">
        <v>558</v>
      </c>
      <c r="BA50" t="s">
        <v>635</v>
      </c>
      <c r="BB50" t="s">
        <v>351</v>
      </c>
      <c r="BC50">
        <v>0.96140381292129873</v>
      </c>
      <c r="BD50">
        <v>707.59676310952364</v>
      </c>
    </row>
    <row r="51" spans="44:56">
      <c r="AR51" t="s">
        <v>269</v>
      </c>
      <c r="AS51" t="s">
        <v>560</v>
      </c>
      <c r="AT51" t="s">
        <v>561</v>
      </c>
      <c r="AU51" t="s">
        <v>10</v>
      </c>
      <c r="AV51" t="s">
        <v>21</v>
      </c>
      <c r="AW51" t="s">
        <v>273</v>
      </c>
      <c r="AX51" t="s">
        <v>175</v>
      </c>
      <c r="AZ51" t="s">
        <v>560</v>
      </c>
      <c r="BA51" t="s">
        <v>636</v>
      </c>
      <c r="BB51" t="s">
        <v>637</v>
      </c>
      <c r="BC51">
        <v>0.99490784156958001</v>
      </c>
      <c r="BD51">
        <v>93.356237891033686</v>
      </c>
    </row>
    <row r="52" spans="44:56">
      <c r="AR52" t="s">
        <v>269</v>
      </c>
      <c r="AS52" t="s">
        <v>562</v>
      </c>
      <c r="AT52" t="s">
        <v>563</v>
      </c>
      <c r="AU52" t="s">
        <v>10</v>
      </c>
      <c r="AV52" t="s">
        <v>21</v>
      </c>
      <c r="AW52" t="s">
        <v>273</v>
      </c>
      <c r="AX52" t="s">
        <v>175</v>
      </c>
      <c r="AZ52" t="s">
        <v>562</v>
      </c>
      <c r="BA52" t="s">
        <v>638</v>
      </c>
      <c r="BB52" t="s">
        <v>342</v>
      </c>
      <c r="BC52">
        <v>0.97803702976044449</v>
      </c>
      <c r="BD52">
        <v>402.65445439185123</v>
      </c>
    </row>
    <row r="53" spans="44:56">
      <c r="AR53" t="s">
        <v>269</v>
      </c>
      <c r="AS53" t="s">
        <v>564</v>
      </c>
      <c r="AT53" t="s">
        <v>565</v>
      </c>
      <c r="AU53" t="s">
        <v>10</v>
      </c>
      <c r="AV53" t="s">
        <v>21</v>
      </c>
      <c r="AW53" t="s">
        <v>273</v>
      </c>
      <c r="AX53" t="s">
        <v>175</v>
      </c>
      <c r="AZ53" t="s">
        <v>564</v>
      </c>
      <c r="BA53" t="s">
        <v>639</v>
      </c>
      <c r="BB53" t="s">
        <v>640</v>
      </c>
      <c r="BC53">
        <v>0.99284590877035406</v>
      </c>
      <c r="BD53">
        <v>131.158339210175</v>
      </c>
    </row>
    <row r="54" spans="44:56">
      <c r="AR54" t="s">
        <v>269</v>
      </c>
      <c r="AS54" t="s">
        <v>566</v>
      </c>
      <c r="AT54" t="s">
        <v>567</v>
      </c>
      <c r="AU54" t="s">
        <v>10</v>
      </c>
      <c r="AV54" t="s">
        <v>21</v>
      </c>
      <c r="AW54" t="s">
        <v>273</v>
      </c>
      <c r="AX54" t="s">
        <v>175</v>
      </c>
      <c r="AZ54" t="s">
        <v>566</v>
      </c>
      <c r="BA54" t="s">
        <v>641</v>
      </c>
      <c r="BB54" t="s">
        <v>642</v>
      </c>
      <c r="BC54">
        <v>0.95726256957223688</v>
      </c>
      <c r="BD54">
        <v>783.51955784232393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A9C52-0388-4DA6-A56E-7D7C0D09EC73}">
  <dimension ref="B9:Z54"/>
  <sheetViews>
    <sheetView workbookViewId="0"/>
  </sheetViews>
  <sheetFormatPr defaultRowHeight="14.25"/>
  <sheetData>
    <row r="9" spans="2:26">
      <c r="B9" t="s">
        <v>163</v>
      </c>
      <c r="J9" t="s">
        <v>234</v>
      </c>
      <c r="O9" t="s">
        <v>163</v>
      </c>
      <c r="W9" t="s">
        <v>234</v>
      </c>
    </row>
    <row r="10" spans="2:26">
      <c r="B10" t="s">
        <v>164</v>
      </c>
      <c r="C10" t="s">
        <v>165</v>
      </c>
      <c r="D10" t="s">
        <v>166</v>
      </c>
      <c r="E10" t="s">
        <v>167</v>
      </c>
      <c r="F10" t="s">
        <v>168</v>
      </c>
      <c r="G10" t="s">
        <v>169</v>
      </c>
      <c r="H10" t="s">
        <v>170</v>
      </c>
      <c r="J10" t="s">
        <v>165</v>
      </c>
      <c r="K10" t="s">
        <v>235</v>
      </c>
      <c r="L10" t="s">
        <v>236</v>
      </c>
      <c r="M10" t="s">
        <v>237</v>
      </c>
      <c r="O10" t="s">
        <v>164</v>
      </c>
      <c r="P10" t="s">
        <v>165</v>
      </c>
      <c r="Q10" t="s">
        <v>166</v>
      </c>
      <c r="R10" t="s">
        <v>167</v>
      </c>
      <c r="S10" t="s">
        <v>168</v>
      </c>
      <c r="T10" t="s">
        <v>169</v>
      </c>
      <c r="U10" t="s">
        <v>170</v>
      </c>
      <c r="W10" t="s">
        <v>165</v>
      </c>
      <c r="X10" t="s">
        <v>235</v>
      </c>
      <c r="Y10" t="s">
        <v>236</v>
      </c>
      <c r="Z10" t="s">
        <v>237</v>
      </c>
    </row>
    <row r="11" spans="2:26">
      <c r="B11" t="s">
        <v>171</v>
      </c>
      <c r="C11" t="s">
        <v>643</v>
      </c>
      <c r="D11" t="s">
        <v>644</v>
      </c>
      <c r="E11" t="s">
        <v>10</v>
      </c>
      <c r="F11" t="s">
        <v>21</v>
      </c>
      <c r="G11" t="s">
        <v>174</v>
      </c>
      <c r="H11" t="s">
        <v>175</v>
      </c>
      <c r="J11" t="s">
        <v>643</v>
      </c>
      <c r="K11" t="s">
        <v>438</v>
      </c>
      <c r="L11">
        <v>3.1880690460590064</v>
      </c>
      <c r="M11">
        <v>0.47402317390107113</v>
      </c>
      <c r="O11" t="s">
        <v>171</v>
      </c>
      <c r="P11" t="s">
        <v>705</v>
      </c>
      <c r="Q11" t="s">
        <v>706</v>
      </c>
      <c r="R11" t="s">
        <v>10</v>
      </c>
      <c r="S11" t="s">
        <v>21</v>
      </c>
      <c r="T11" t="s">
        <v>174</v>
      </c>
      <c r="U11" t="s">
        <v>175</v>
      </c>
      <c r="W11" t="s">
        <v>705</v>
      </c>
      <c r="X11" t="s">
        <v>579</v>
      </c>
      <c r="Y11">
        <v>32.783999999999999</v>
      </c>
      <c r="Z11">
        <v>0.44411288754139</v>
      </c>
    </row>
    <row r="12" spans="2:26">
      <c r="B12" t="s">
        <v>171</v>
      </c>
      <c r="C12" t="s">
        <v>645</v>
      </c>
      <c r="D12" t="s">
        <v>646</v>
      </c>
      <c r="E12" t="s">
        <v>10</v>
      </c>
      <c r="F12" t="s">
        <v>21</v>
      </c>
      <c r="G12" t="s">
        <v>174</v>
      </c>
      <c r="H12" t="s">
        <v>175</v>
      </c>
      <c r="J12" t="s">
        <v>645</v>
      </c>
      <c r="K12" t="s">
        <v>439</v>
      </c>
      <c r="L12">
        <v>7.0259170694949153</v>
      </c>
      <c r="M12">
        <v>0.44592898473198112</v>
      </c>
      <c r="O12" t="s">
        <v>171</v>
      </c>
      <c r="P12" t="s">
        <v>707</v>
      </c>
      <c r="Q12" t="s">
        <v>708</v>
      </c>
      <c r="R12" t="s">
        <v>10</v>
      </c>
      <c r="S12" t="s">
        <v>21</v>
      </c>
      <c r="T12" t="s">
        <v>174</v>
      </c>
      <c r="U12" t="s">
        <v>175</v>
      </c>
      <c r="W12" t="s">
        <v>707</v>
      </c>
      <c r="X12" t="s">
        <v>580</v>
      </c>
      <c r="Y12">
        <v>36.320999999999998</v>
      </c>
      <c r="Z12">
        <v>0.4267889026322102</v>
      </c>
    </row>
    <row r="13" spans="2:26">
      <c r="B13" t="s">
        <v>171</v>
      </c>
      <c r="C13" t="s">
        <v>647</v>
      </c>
      <c r="D13" t="s">
        <v>648</v>
      </c>
      <c r="E13" t="s">
        <v>10</v>
      </c>
      <c r="F13" t="s">
        <v>21</v>
      </c>
      <c r="G13" t="s">
        <v>174</v>
      </c>
      <c r="H13" t="s">
        <v>175</v>
      </c>
      <c r="J13" t="s">
        <v>647</v>
      </c>
      <c r="K13" t="s">
        <v>447</v>
      </c>
      <c r="L13">
        <v>20.581642188273207</v>
      </c>
      <c r="M13">
        <v>0.19427364827116439</v>
      </c>
      <c r="O13" t="s">
        <v>171</v>
      </c>
      <c r="P13" t="s">
        <v>709</v>
      </c>
      <c r="Q13" t="s">
        <v>710</v>
      </c>
      <c r="R13" t="s">
        <v>10</v>
      </c>
      <c r="S13" t="s">
        <v>21</v>
      </c>
      <c r="T13" t="s">
        <v>174</v>
      </c>
      <c r="U13" t="s">
        <v>175</v>
      </c>
      <c r="W13" t="s">
        <v>709</v>
      </c>
      <c r="X13" t="s">
        <v>581</v>
      </c>
      <c r="Y13">
        <v>43.956000000000003</v>
      </c>
      <c r="Z13">
        <v>0.45005997451255592</v>
      </c>
    </row>
    <row r="14" spans="2:26">
      <c r="B14" t="s">
        <v>171</v>
      </c>
      <c r="C14" t="s">
        <v>649</v>
      </c>
      <c r="D14" t="s">
        <v>650</v>
      </c>
      <c r="E14" t="s">
        <v>10</v>
      </c>
      <c r="F14" t="s">
        <v>21</v>
      </c>
      <c r="G14" t="s">
        <v>174</v>
      </c>
      <c r="H14" t="s">
        <v>175</v>
      </c>
      <c r="J14" t="s">
        <v>649</v>
      </c>
      <c r="K14" t="s">
        <v>445</v>
      </c>
      <c r="L14">
        <v>30.590093860622108</v>
      </c>
      <c r="M14">
        <v>0.1625792625494113</v>
      </c>
      <c r="O14" t="s">
        <v>171</v>
      </c>
      <c r="P14" t="s">
        <v>711</v>
      </c>
      <c r="Q14" t="s">
        <v>712</v>
      </c>
      <c r="R14" t="s">
        <v>10</v>
      </c>
      <c r="S14" t="s">
        <v>21</v>
      </c>
      <c r="T14" t="s">
        <v>174</v>
      </c>
      <c r="U14" t="s">
        <v>175</v>
      </c>
      <c r="W14" t="s">
        <v>711</v>
      </c>
      <c r="X14" t="s">
        <v>606</v>
      </c>
      <c r="Y14">
        <v>62.099249999999998</v>
      </c>
      <c r="Z14">
        <v>0.420776044292479</v>
      </c>
    </row>
    <row r="15" spans="2:26">
      <c r="B15" t="s">
        <v>171</v>
      </c>
      <c r="C15" t="s">
        <v>651</v>
      </c>
      <c r="D15" t="s">
        <v>652</v>
      </c>
      <c r="E15" t="s">
        <v>10</v>
      </c>
      <c r="F15" t="s">
        <v>21</v>
      </c>
      <c r="G15" t="s">
        <v>174</v>
      </c>
      <c r="H15" t="s">
        <v>175</v>
      </c>
      <c r="J15" t="s">
        <v>651</v>
      </c>
      <c r="K15" t="s">
        <v>475</v>
      </c>
      <c r="L15">
        <v>15.304265136698222</v>
      </c>
      <c r="M15">
        <v>0.14555002323779809</v>
      </c>
      <c r="O15" t="s">
        <v>171</v>
      </c>
      <c r="P15" t="s">
        <v>713</v>
      </c>
      <c r="Q15" t="s">
        <v>714</v>
      </c>
      <c r="R15" t="s">
        <v>10</v>
      </c>
      <c r="S15" t="s">
        <v>21</v>
      </c>
      <c r="T15" t="s">
        <v>174</v>
      </c>
      <c r="U15" t="s">
        <v>175</v>
      </c>
      <c r="W15" t="s">
        <v>713</v>
      </c>
      <c r="X15" t="s">
        <v>641</v>
      </c>
      <c r="Y15">
        <v>0.38324999999999998</v>
      </c>
      <c r="Z15">
        <v>0.3586460374519268</v>
      </c>
    </row>
    <row r="16" spans="2:26">
      <c r="B16" t="s">
        <v>171</v>
      </c>
      <c r="C16" t="s">
        <v>653</v>
      </c>
      <c r="D16" t="s">
        <v>654</v>
      </c>
      <c r="E16" t="s">
        <v>10</v>
      </c>
      <c r="F16" t="s">
        <v>21</v>
      </c>
      <c r="G16" t="s">
        <v>174</v>
      </c>
      <c r="H16" t="s">
        <v>175</v>
      </c>
      <c r="J16" t="s">
        <v>653</v>
      </c>
      <c r="K16" t="s">
        <v>441</v>
      </c>
      <c r="L16">
        <v>11.827617201120189</v>
      </c>
      <c r="M16">
        <v>0.1195577407644757</v>
      </c>
      <c r="O16" t="s">
        <v>171</v>
      </c>
      <c r="P16" t="s">
        <v>715</v>
      </c>
      <c r="Q16" t="s">
        <v>716</v>
      </c>
      <c r="R16" t="s">
        <v>10</v>
      </c>
      <c r="S16" t="s">
        <v>21</v>
      </c>
      <c r="T16" t="s">
        <v>174</v>
      </c>
      <c r="U16" t="s">
        <v>175</v>
      </c>
      <c r="W16" t="s">
        <v>715</v>
      </c>
      <c r="X16" t="s">
        <v>568</v>
      </c>
      <c r="Y16">
        <v>56.725499999999997</v>
      </c>
      <c r="Z16">
        <v>0.4678326459120476</v>
      </c>
    </row>
    <row r="17" spans="2:26">
      <c r="B17" t="s">
        <v>171</v>
      </c>
      <c r="C17" t="s">
        <v>655</v>
      </c>
      <c r="D17" t="s">
        <v>656</v>
      </c>
      <c r="E17" t="s">
        <v>10</v>
      </c>
      <c r="F17" t="s">
        <v>21</v>
      </c>
      <c r="G17" t="s">
        <v>174</v>
      </c>
      <c r="H17" t="s">
        <v>175</v>
      </c>
      <c r="J17" t="s">
        <v>655</v>
      </c>
      <c r="K17" t="s">
        <v>466</v>
      </c>
      <c r="L17">
        <v>8.7915989873091043</v>
      </c>
      <c r="M17">
        <v>0.33157900311052629</v>
      </c>
      <c r="O17" t="s">
        <v>171</v>
      </c>
      <c r="P17" t="s">
        <v>717</v>
      </c>
      <c r="Q17" t="s">
        <v>718</v>
      </c>
      <c r="R17" t="s">
        <v>10</v>
      </c>
      <c r="S17" t="s">
        <v>21</v>
      </c>
      <c r="T17" t="s">
        <v>174</v>
      </c>
      <c r="U17" t="s">
        <v>175</v>
      </c>
      <c r="W17" t="s">
        <v>717</v>
      </c>
      <c r="X17" t="s">
        <v>635</v>
      </c>
      <c r="Y17">
        <v>58.03275</v>
      </c>
      <c r="Z17">
        <v>0.41285964472242181</v>
      </c>
    </row>
    <row r="18" spans="2:26">
      <c r="B18" t="s">
        <v>171</v>
      </c>
      <c r="C18" t="s">
        <v>657</v>
      </c>
      <c r="D18" t="s">
        <v>658</v>
      </c>
      <c r="E18" t="s">
        <v>10</v>
      </c>
      <c r="F18" t="s">
        <v>21</v>
      </c>
      <c r="G18" t="s">
        <v>174</v>
      </c>
      <c r="H18" t="s">
        <v>175</v>
      </c>
      <c r="J18" t="s">
        <v>657</v>
      </c>
      <c r="K18" t="s">
        <v>449</v>
      </c>
      <c r="L18">
        <v>26.915511431987859</v>
      </c>
      <c r="M18">
        <v>0.17204244166879709</v>
      </c>
      <c r="O18" t="s">
        <v>171</v>
      </c>
      <c r="P18" t="s">
        <v>719</v>
      </c>
      <c r="Q18" t="s">
        <v>720</v>
      </c>
      <c r="R18" t="s">
        <v>10</v>
      </c>
      <c r="S18" t="s">
        <v>21</v>
      </c>
      <c r="T18" t="s">
        <v>174</v>
      </c>
      <c r="U18" t="s">
        <v>175</v>
      </c>
      <c r="W18" t="s">
        <v>719</v>
      </c>
      <c r="X18" t="s">
        <v>582</v>
      </c>
      <c r="Y18">
        <v>14.47725</v>
      </c>
      <c r="Z18">
        <v>0.31245285574348192</v>
      </c>
    </row>
    <row r="19" spans="2:26">
      <c r="B19" t="s">
        <v>171</v>
      </c>
      <c r="C19" t="s">
        <v>659</v>
      </c>
      <c r="D19" t="s">
        <v>660</v>
      </c>
      <c r="E19" t="s">
        <v>10</v>
      </c>
      <c r="F19" t="s">
        <v>21</v>
      </c>
      <c r="G19" t="s">
        <v>174</v>
      </c>
      <c r="H19" t="s">
        <v>175</v>
      </c>
      <c r="J19" t="s">
        <v>659</v>
      </c>
      <c r="K19" t="s">
        <v>459</v>
      </c>
      <c r="L19">
        <v>7.5025171344716721</v>
      </c>
      <c r="M19">
        <v>0.102078386690078</v>
      </c>
      <c r="O19" t="s">
        <v>171</v>
      </c>
      <c r="P19" t="s">
        <v>721</v>
      </c>
      <c r="Q19" t="s">
        <v>722</v>
      </c>
      <c r="R19" t="s">
        <v>10</v>
      </c>
      <c r="S19" t="s">
        <v>21</v>
      </c>
      <c r="T19" t="s">
        <v>174</v>
      </c>
      <c r="U19" t="s">
        <v>175</v>
      </c>
      <c r="W19" t="s">
        <v>721</v>
      </c>
      <c r="X19" t="s">
        <v>623</v>
      </c>
      <c r="Y19">
        <v>14.000999999999999</v>
      </c>
      <c r="Z19">
        <v>0.30772912233355088</v>
      </c>
    </row>
    <row r="20" spans="2:26">
      <c r="B20" t="s">
        <v>171</v>
      </c>
      <c r="C20" t="s">
        <v>661</v>
      </c>
      <c r="D20" t="s">
        <v>662</v>
      </c>
      <c r="E20" t="s">
        <v>10</v>
      </c>
      <c r="F20" t="s">
        <v>21</v>
      </c>
      <c r="G20" t="s">
        <v>174</v>
      </c>
      <c r="H20" t="s">
        <v>175</v>
      </c>
      <c r="J20" t="s">
        <v>661</v>
      </c>
      <c r="K20" t="s">
        <v>436</v>
      </c>
      <c r="L20">
        <v>21.853336570084423</v>
      </c>
      <c r="M20">
        <v>0.2470260197032213</v>
      </c>
      <c r="O20" t="s">
        <v>171</v>
      </c>
      <c r="P20" t="s">
        <v>723</v>
      </c>
      <c r="Q20" t="s">
        <v>724</v>
      </c>
      <c r="R20" t="s">
        <v>10</v>
      </c>
      <c r="S20" t="s">
        <v>21</v>
      </c>
      <c r="T20" t="s">
        <v>174</v>
      </c>
      <c r="U20" t="s">
        <v>175</v>
      </c>
      <c r="W20" t="s">
        <v>723</v>
      </c>
      <c r="X20" t="s">
        <v>588</v>
      </c>
      <c r="Y20">
        <v>22.079249999999998</v>
      </c>
      <c r="Z20">
        <v>0.3223061905611202</v>
      </c>
    </row>
    <row r="21" spans="2:26">
      <c r="B21" t="s">
        <v>171</v>
      </c>
      <c r="C21" t="s">
        <v>663</v>
      </c>
      <c r="D21" t="s">
        <v>664</v>
      </c>
      <c r="E21" t="s">
        <v>10</v>
      </c>
      <c r="F21" t="s">
        <v>21</v>
      </c>
      <c r="G21" t="s">
        <v>174</v>
      </c>
      <c r="H21" t="s">
        <v>175</v>
      </c>
      <c r="J21" t="s">
        <v>663</v>
      </c>
      <c r="K21" t="s">
        <v>432</v>
      </c>
      <c r="L21">
        <v>40.036304639772588</v>
      </c>
      <c r="M21">
        <v>0.22158847806059459</v>
      </c>
      <c r="O21" t="s">
        <v>171</v>
      </c>
      <c r="P21" t="s">
        <v>725</v>
      </c>
      <c r="Q21" t="s">
        <v>726</v>
      </c>
      <c r="R21" t="s">
        <v>10</v>
      </c>
      <c r="S21" t="s">
        <v>21</v>
      </c>
      <c r="T21" t="s">
        <v>174</v>
      </c>
      <c r="U21" t="s">
        <v>175</v>
      </c>
      <c r="W21" t="s">
        <v>725</v>
      </c>
      <c r="X21" t="s">
        <v>617</v>
      </c>
      <c r="Y21">
        <v>29.961749999999999</v>
      </c>
      <c r="Z21">
        <v>0.33421489525964382</v>
      </c>
    </row>
    <row r="22" spans="2:26">
      <c r="B22" t="s">
        <v>171</v>
      </c>
      <c r="C22" t="s">
        <v>665</v>
      </c>
      <c r="D22" t="s">
        <v>666</v>
      </c>
      <c r="E22" t="s">
        <v>10</v>
      </c>
      <c r="F22" t="s">
        <v>21</v>
      </c>
      <c r="G22" t="s">
        <v>174</v>
      </c>
      <c r="H22" t="s">
        <v>175</v>
      </c>
      <c r="J22" t="s">
        <v>665</v>
      </c>
      <c r="K22" t="s">
        <v>455</v>
      </c>
      <c r="L22">
        <v>7.0903888161806279</v>
      </c>
      <c r="M22">
        <v>0.126349887785319</v>
      </c>
      <c r="O22" t="s">
        <v>171</v>
      </c>
      <c r="P22" t="s">
        <v>727</v>
      </c>
      <c r="Q22" t="s">
        <v>728</v>
      </c>
      <c r="R22" t="s">
        <v>10</v>
      </c>
      <c r="S22" t="s">
        <v>21</v>
      </c>
      <c r="T22" t="s">
        <v>174</v>
      </c>
      <c r="U22" t="s">
        <v>175</v>
      </c>
      <c r="W22" t="s">
        <v>727</v>
      </c>
      <c r="X22" t="s">
        <v>621</v>
      </c>
      <c r="Y22">
        <v>117.89700000000001</v>
      </c>
      <c r="Z22">
        <v>0.4454005763280634</v>
      </c>
    </row>
    <row r="23" spans="2:26">
      <c r="B23" t="s">
        <v>171</v>
      </c>
      <c r="C23" t="s">
        <v>667</v>
      </c>
      <c r="D23" t="s">
        <v>668</v>
      </c>
      <c r="E23" t="s">
        <v>10</v>
      </c>
      <c r="F23" t="s">
        <v>21</v>
      </c>
      <c r="G23" t="s">
        <v>174</v>
      </c>
      <c r="H23" t="s">
        <v>175</v>
      </c>
      <c r="J23" t="s">
        <v>667</v>
      </c>
      <c r="K23" t="s">
        <v>426</v>
      </c>
      <c r="L23">
        <v>16.970662525397827</v>
      </c>
      <c r="M23">
        <v>0.2876476609673595</v>
      </c>
      <c r="O23" t="s">
        <v>171</v>
      </c>
      <c r="P23" t="s">
        <v>729</v>
      </c>
      <c r="Q23" t="s">
        <v>730</v>
      </c>
      <c r="R23" t="s">
        <v>10</v>
      </c>
      <c r="S23" t="s">
        <v>21</v>
      </c>
      <c r="T23" t="s">
        <v>174</v>
      </c>
      <c r="U23" t="s">
        <v>175</v>
      </c>
      <c r="W23" t="s">
        <v>729</v>
      </c>
      <c r="X23" t="s">
        <v>604</v>
      </c>
      <c r="Y23">
        <v>75.481499999999997</v>
      </c>
      <c r="Z23">
        <v>0.39947482218024288</v>
      </c>
    </row>
    <row r="24" spans="2:26">
      <c r="B24" t="s">
        <v>171</v>
      </c>
      <c r="C24" t="s">
        <v>669</v>
      </c>
      <c r="D24" t="s">
        <v>670</v>
      </c>
      <c r="E24" t="s">
        <v>10</v>
      </c>
      <c r="F24" t="s">
        <v>21</v>
      </c>
      <c r="G24" t="s">
        <v>174</v>
      </c>
      <c r="H24" t="s">
        <v>175</v>
      </c>
      <c r="J24" t="s">
        <v>669</v>
      </c>
      <c r="K24" t="s">
        <v>477</v>
      </c>
      <c r="L24">
        <v>2.5242004930684354</v>
      </c>
      <c r="M24">
        <v>9.3541201112904898E-2</v>
      </c>
      <c r="O24" t="s">
        <v>171</v>
      </c>
      <c r="P24" t="s">
        <v>731</v>
      </c>
      <c r="Q24" t="s">
        <v>732</v>
      </c>
      <c r="R24" t="s">
        <v>10</v>
      </c>
      <c r="S24" t="s">
        <v>21</v>
      </c>
      <c r="T24" t="s">
        <v>174</v>
      </c>
      <c r="U24" t="s">
        <v>175</v>
      </c>
      <c r="W24" t="s">
        <v>731</v>
      </c>
      <c r="X24" t="s">
        <v>598</v>
      </c>
      <c r="Y24">
        <v>10.68975</v>
      </c>
      <c r="Z24">
        <v>0.2858957309818449</v>
      </c>
    </row>
    <row r="25" spans="2:26">
      <c r="B25" t="s">
        <v>171</v>
      </c>
      <c r="C25" t="s">
        <v>671</v>
      </c>
      <c r="D25" t="s">
        <v>672</v>
      </c>
      <c r="E25" t="s">
        <v>10</v>
      </c>
      <c r="F25" t="s">
        <v>21</v>
      </c>
      <c r="G25" t="s">
        <v>174</v>
      </c>
      <c r="H25" t="s">
        <v>175</v>
      </c>
      <c r="J25" t="s">
        <v>671</v>
      </c>
      <c r="K25" t="s">
        <v>457</v>
      </c>
      <c r="L25">
        <v>5.5071261071764246</v>
      </c>
      <c r="M25">
        <v>0.34206800892605482</v>
      </c>
      <c r="O25" t="s">
        <v>171</v>
      </c>
      <c r="P25" t="s">
        <v>733</v>
      </c>
      <c r="Q25" t="s">
        <v>734</v>
      </c>
      <c r="R25" t="s">
        <v>10</v>
      </c>
      <c r="S25" t="s">
        <v>21</v>
      </c>
      <c r="T25" t="s">
        <v>174</v>
      </c>
      <c r="U25" t="s">
        <v>175</v>
      </c>
      <c r="W25" t="s">
        <v>733</v>
      </c>
      <c r="X25" t="s">
        <v>611</v>
      </c>
      <c r="Y25">
        <v>82.607249999999993</v>
      </c>
      <c r="Z25">
        <v>0.4138948789420363</v>
      </c>
    </row>
    <row r="26" spans="2:26">
      <c r="B26" t="s">
        <v>171</v>
      </c>
      <c r="C26" t="s">
        <v>673</v>
      </c>
      <c r="D26" t="s">
        <v>674</v>
      </c>
      <c r="E26" t="s">
        <v>10</v>
      </c>
      <c r="F26" t="s">
        <v>21</v>
      </c>
      <c r="G26" t="s">
        <v>174</v>
      </c>
      <c r="H26" t="s">
        <v>175</v>
      </c>
      <c r="J26" t="s">
        <v>673</v>
      </c>
      <c r="K26" t="s">
        <v>443</v>
      </c>
      <c r="L26">
        <v>8.4886449615793467</v>
      </c>
      <c r="M26">
        <v>0.33231574315319728</v>
      </c>
      <c r="O26" t="s">
        <v>171</v>
      </c>
      <c r="P26" t="s">
        <v>735</v>
      </c>
      <c r="Q26" t="s">
        <v>736</v>
      </c>
      <c r="R26" t="s">
        <v>10</v>
      </c>
      <c r="S26" t="s">
        <v>21</v>
      </c>
      <c r="T26" t="s">
        <v>174</v>
      </c>
      <c r="U26" t="s">
        <v>175</v>
      </c>
      <c r="W26" t="s">
        <v>735</v>
      </c>
      <c r="X26" t="s">
        <v>628</v>
      </c>
      <c r="Y26">
        <v>22.785</v>
      </c>
      <c r="Z26">
        <v>0.35144265618738502</v>
      </c>
    </row>
    <row r="27" spans="2:26">
      <c r="B27" t="s">
        <v>171</v>
      </c>
      <c r="C27" t="s">
        <v>675</v>
      </c>
      <c r="D27" t="s">
        <v>676</v>
      </c>
      <c r="E27" t="s">
        <v>10</v>
      </c>
      <c r="F27" t="s">
        <v>21</v>
      </c>
      <c r="G27" t="s">
        <v>174</v>
      </c>
      <c r="H27" t="s">
        <v>175</v>
      </c>
      <c r="J27" t="s">
        <v>675</v>
      </c>
      <c r="K27" t="s">
        <v>451</v>
      </c>
      <c r="L27">
        <v>8.4075540995285696</v>
      </c>
      <c r="M27">
        <v>0.28011366210530497</v>
      </c>
      <c r="O27" t="s">
        <v>171</v>
      </c>
      <c r="P27" t="s">
        <v>737</v>
      </c>
      <c r="Q27" t="s">
        <v>738</v>
      </c>
      <c r="R27" t="s">
        <v>10</v>
      </c>
      <c r="S27" t="s">
        <v>21</v>
      </c>
      <c r="T27" t="s">
        <v>174</v>
      </c>
      <c r="U27" t="s">
        <v>175</v>
      </c>
      <c r="W27" t="s">
        <v>737</v>
      </c>
      <c r="X27" t="s">
        <v>569</v>
      </c>
      <c r="Y27">
        <v>63.731250000000003</v>
      </c>
      <c r="Z27">
        <v>0.4483325413452795</v>
      </c>
    </row>
    <row r="28" spans="2:26">
      <c r="B28" t="s">
        <v>171</v>
      </c>
      <c r="C28" t="s">
        <v>677</v>
      </c>
      <c r="D28" t="s">
        <v>678</v>
      </c>
      <c r="E28" t="s">
        <v>10</v>
      </c>
      <c r="F28" t="s">
        <v>21</v>
      </c>
      <c r="G28" t="s">
        <v>174</v>
      </c>
      <c r="H28" t="s">
        <v>175</v>
      </c>
      <c r="J28" t="s">
        <v>677</v>
      </c>
      <c r="K28" t="s">
        <v>430</v>
      </c>
      <c r="L28">
        <v>15.703622047270191</v>
      </c>
      <c r="M28">
        <v>0.2902999058993756</v>
      </c>
      <c r="O28" t="s">
        <v>171</v>
      </c>
      <c r="P28" t="s">
        <v>739</v>
      </c>
      <c r="Q28" t="s">
        <v>740</v>
      </c>
      <c r="R28" t="s">
        <v>10</v>
      </c>
      <c r="S28" t="s">
        <v>21</v>
      </c>
      <c r="T28" t="s">
        <v>174</v>
      </c>
      <c r="U28" t="s">
        <v>175</v>
      </c>
      <c r="W28" t="s">
        <v>739</v>
      </c>
      <c r="X28" t="s">
        <v>586</v>
      </c>
      <c r="Y28">
        <v>28.239750000000001</v>
      </c>
      <c r="Z28">
        <v>0.39283819950969068</v>
      </c>
    </row>
    <row r="29" spans="2:26">
      <c r="B29" t="s">
        <v>171</v>
      </c>
      <c r="C29" t="s">
        <v>679</v>
      </c>
      <c r="D29" t="s">
        <v>680</v>
      </c>
      <c r="E29" t="s">
        <v>10</v>
      </c>
      <c r="F29" t="s">
        <v>21</v>
      </c>
      <c r="G29" t="s">
        <v>174</v>
      </c>
      <c r="H29" t="s">
        <v>175</v>
      </c>
      <c r="J29" t="s">
        <v>679</v>
      </c>
      <c r="K29" t="s">
        <v>428</v>
      </c>
      <c r="L29">
        <v>24.074478129461852</v>
      </c>
      <c r="M29">
        <v>0.32175887833734967</v>
      </c>
      <c r="O29" t="s">
        <v>171</v>
      </c>
      <c r="P29" t="s">
        <v>741</v>
      </c>
      <c r="Q29" t="s">
        <v>742</v>
      </c>
      <c r="R29" t="s">
        <v>10</v>
      </c>
      <c r="S29" t="s">
        <v>21</v>
      </c>
      <c r="T29" t="s">
        <v>174</v>
      </c>
      <c r="U29" t="s">
        <v>175</v>
      </c>
      <c r="W29" t="s">
        <v>741</v>
      </c>
      <c r="X29" t="s">
        <v>634</v>
      </c>
      <c r="Y29">
        <v>38.15925</v>
      </c>
      <c r="Z29">
        <v>0.42518909184060127</v>
      </c>
    </row>
    <row r="30" spans="2:26">
      <c r="B30" t="s">
        <v>171</v>
      </c>
      <c r="C30" t="s">
        <v>681</v>
      </c>
      <c r="D30" t="s">
        <v>682</v>
      </c>
      <c r="E30" t="s">
        <v>10</v>
      </c>
      <c r="F30" t="s">
        <v>21</v>
      </c>
      <c r="G30" t="s">
        <v>174</v>
      </c>
      <c r="H30" t="s">
        <v>175</v>
      </c>
      <c r="J30" t="s">
        <v>681</v>
      </c>
      <c r="K30" t="s">
        <v>453</v>
      </c>
      <c r="L30">
        <v>12.527007796473459</v>
      </c>
      <c r="M30">
        <v>0.26335249621019208</v>
      </c>
      <c r="O30" t="s">
        <v>171</v>
      </c>
      <c r="P30" t="s">
        <v>743</v>
      </c>
      <c r="Q30" t="s">
        <v>744</v>
      </c>
      <c r="R30" t="s">
        <v>10</v>
      </c>
      <c r="S30" t="s">
        <v>21</v>
      </c>
      <c r="T30" t="s">
        <v>174</v>
      </c>
      <c r="U30" t="s">
        <v>175</v>
      </c>
      <c r="W30" t="s">
        <v>743</v>
      </c>
      <c r="X30" t="s">
        <v>571</v>
      </c>
      <c r="Y30">
        <v>3.38625</v>
      </c>
      <c r="Z30">
        <v>0.27397097122901398</v>
      </c>
    </row>
    <row r="31" spans="2:26">
      <c r="B31" t="s">
        <v>171</v>
      </c>
      <c r="C31" t="s">
        <v>683</v>
      </c>
      <c r="D31" t="s">
        <v>684</v>
      </c>
      <c r="E31" t="s">
        <v>10</v>
      </c>
      <c r="F31" t="s">
        <v>21</v>
      </c>
      <c r="G31" t="s">
        <v>174</v>
      </c>
      <c r="H31" t="s">
        <v>175</v>
      </c>
      <c r="J31" t="s">
        <v>683</v>
      </c>
      <c r="K31" t="s">
        <v>434</v>
      </c>
      <c r="L31">
        <v>22.322239264526591</v>
      </c>
      <c r="M31">
        <v>0.24546553943130331</v>
      </c>
      <c r="O31" t="s">
        <v>171</v>
      </c>
      <c r="P31" t="s">
        <v>745</v>
      </c>
      <c r="Q31" t="s">
        <v>746</v>
      </c>
      <c r="R31" t="s">
        <v>10</v>
      </c>
      <c r="S31" t="s">
        <v>21</v>
      </c>
      <c r="T31" t="s">
        <v>174</v>
      </c>
      <c r="U31" t="s">
        <v>175</v>
      </c>
      <c r="W31" t="s">
        <v>745</v>
      </c>
      <c r="X31" t="s">
        <v>638</v>
      </c>
      <c r="Y31">
        <v>30.597750000000001</v>
      </c>
      <c r="Z31">
        <v>0.45321604354945533</v>
      </c>
    </row>
    <row r="32" spans="2:26">
      <c r="B32" t="s">
        <v>171</v>
      </c>
      <c r="C32" t="s">
        <v>685</v>
      </c>
      <c r="D32" t="s">
        <v>686</v>
      </c>
      <c r="E32" t="s">
        <v>10</v>
      </c>
      <c r="F32" t="s">
        <v>21</v>
      </c>
      <c r="G32" t="s">
        <v>174</v>
      </c>
      <c r="H32" t="s">
        <v>175</v>
      </c>
      <c r="J32" t="s">
        <v>685</v>
      </c>
      <c r="K32" t="s">
        <v>461</v>
      </c>
      <c r="L32">
        <v>13.047413180463023</v>
      </c>
      <c r="M32">
        <v>0.11846842726897321</v>
      </c>
      <c r="O32" t="s">
        <v>171</v>
      </c>
      <c r="P32" t="s">
        <v>747</v>
      </c>
      <c r="Q32" t="s">
        <v>748</v>
      </c>
      <c r="R32" t="s">
        <v>10</v>
      </c>
      <c r="S32" t="s">
        <v>21</v>
      </c>
      <c r="T32" t="s">
        <v>174</v>
      </c>
      <c r="U32" t="s">
        <v>175</v>
      </c>
      <c r="W32" t="s">
        <v>747</v>
      </c>
      <c r="X32" t="s">
        <v>591</v>
      </c>
      <c r="Y32">
        <v>98.024249999999995</v>
      </c>
      <c r="Z32">
        <v>0.48508660660688818</v>
      </c>
    </row>
    <row r="33" spans="2:26">
      <c r="B33" t="s">
        <v>171</v>
      </c>
      <c r="C33" t="s">
        <v>687</v>
      </c>
      <c r="D33" t="s">
        <v>688</v>
      </c>
      <c r="E33" t="s">
        <v>10</v>
      </c>
      <c r="F33" t="s">
        <v>21</v>
      </c>
      <c r="G33" t="s">
        <v>174</v>
      </c>
      <c r="H33" t="s">
        <v>175</v>
      </c>
      <c r="J33" t="s">
        <v>687</v>
      </c>
      <c r="K33" t="s">
        <v>422</v>
      </c>
      <c r="L33">
        <v>23.637816650626842</v>
      </c>
      <c r="M33">
        <v>0.1537391571572389</v>
      </c>
      <c r="O33" t="s">
        <v>171</v>
      </c>
      <c r="P33" t="s">
        <v>749</v>
      </c>
      <c r="Q33" t="s">
        <v>750</v>
      </c>
      <c r="R33" t="s">
        <v>10</v>
      </c>
      <c r="S33" t="s">
        <v>21</v>
      </c>
      <c r="T33" t="s">
        <v>174</v>
      </c>
      <c r="U33" t="s">
        <v>175</v>
      </c>
      <c r="W33" t="s">
        <v>749</v>
      </c>
      <c r="X33" t="s">
        <v>578</v>
      </c>
      <c r="Y33">
        <v>28.459499999999998</v>
      </c>
      <c r="Z33">
        <v>0.46298928100882142</v>
      </c>
    </row>
    <row r="34" spans="2:26">
      <c r="B34" t="s">
        <v>171</v>
      </c>
      <c r="C34" t="s">
        <v>689</v>
      </c>
      <c r="D34" t="s">
        <v>690</v>
      </c>
      <c r="E34" t="s">
        <v>10</v>
      </c>
      <c r="F34" t="s">
        <v>21</v>
      </c>
      <c r="G34" t="s">
        <v>174</v>
      </c>
      <c r="H34" t="s">
        <v>175</v>
      </c>
      <c r="J34" t="s">
        <v>689</v>
      </c>
      <c r="K34" t="s">
        <v>424</v>
      </c>
      <c r="L34">
        <v>50.076680799526407</v>
      </c>
      <c r="M34">
        <v>0.19002505627190239</v>
      </c>
      <c r="O34" t="s">
        <v>171</v>
      </c>
      <c r="P34" t="s">
        <v>751</v>
      </c>
      <c r="Q34" t="s">
        <v>752</v>
      </c>
      <c r="R34" t="s">
        <v>10</v>
      </c>
      <c r="S34" t="s">
        <v>21</v>
      </c>
      <c r="T34" t="s">
        <v>174</v>
      </c>
      <c r="U34" t="s">
        <v>175</v>
      </c>
      <c r="W34" t="s">
        <v>751</v>
      </c>
      <c r="X34" t="s">
        <v>597</v>
      </c>
      <c r="Y34">
        <v>33.609749999999998</v>
      </c>
      <c r="Z34">
        <v>0.397480074831774</v>
      </c>
    </row>
    <row r="35" spans="2:26">
      <c r="B35" t="s">
        <v>171</v>
      </c>
      <c r="C35" t="s">
        <v>691</v>
      </c>
      <c r="D35" t="s">
        <v>692</v>
      </c>
      <c r="E35" t="s">
        <v>10</v>
      </c>
      <c r="F35" t="s">
        <v>21</v>
      </c>
      <c r="G35" t="s">
        <v>174</v>
      </c>
      <c r="H35" t="s">
        <v>175</v>
      </c>
      <c r="J35" t="s">
        <v>691</v>
      </c>
      <c r="K35" t="s">
        <v>463</v>
      </c>
      <c r="L35">
        <v>44.894334115294185</v>
      </c>
      <c r="M35">
        <v>0.26214900595896268</v>
      </c>
      <c r="O35" t="s">
        <v>171</v>
      </c>
      <c r="P35" t="s">
        <v>753</v>
      </c>
      <c r="Q35" t="s">
        <v>754</v>
      </c>
      <c r="R35" t="s">
        <v>10</v>
      </c>
      <c r="S35" t="s">
        <v>21</v>
      </c>
      <c r="T35" t="s">
        <v>174</v>
      </c>
      <c r="U35" t="s">
        <v>175</v>
      </c>
      <c r="W35" t="s">
        <v>753</v>
      </c>
      <c r="X35" t="s">
        <v>589</v>
      </c>
      <c r="Y35">
        <v>58.474499999999999</v>
      </c>
      <c r="Z35">
        <v>0.3742804525886429</v>
      </c>
    </row>
    <row r="36" spans="2:26">
      <c r="B36" t="s">
        <v>171</v>
      </c>
      <c r="C36" t="s">
        <v>693</v>
      </c>
      <c r="D36" t="s">
        <v>694</v>
      </c>
      <c r="E36" t="s">
        <v>10</v>
      </c>
      <c r="F36" t="s">
        <v>21</v>
      </c>
      <c r="G36" t="s">
        <v>174</v>
      </c>
      <c r="H36" t="s">
        <v>175</v>
      </c>
      <c r="J36" t="s">
        <v>693</v>
      </c>
      <c r="K36" t="s">
        <v>468</v>
      </c>
      <c r="L36">
        <v>14.358494358107757</v>
      </c>
      <c r="M36">
        <v>0.48737624583080358</v>
      </c>
      <c r="O36" t="s">
        <v>171</v>
      </c>
      <c r="P36" t="s">
        <v>755</v>
      </c>
      <c r="Q36" t="s">
        <v>756</v>
      </c>
      <c r="R36" t="s">
        <v>10</v>
      </c>
      <c r="S36" t="s">
        <v>21</v>
      </c>
      <c r="T36" t="s">
        <v>174</v>
      </c>
      <c r="U36" t="s">
        <v>175</v>
      </c>
      <c r="W36" t="s">
        <v>755</v>
      </c>
      <c r="X36" t="s">
        <v>595</v>
      </c>
      <c r="Y36">
        <v>18.711749999999999</v>
      </c>
      <c r="Z36">
        <v>0.2850753309410175</v>
      </c>
    </row>
    <row r="37" spans="2:26">
      <c r="B37" t="s">
        <v>171</v>
      </c>
      <c r="C37" t="s">
        <v>695</v>
      </c>
      <c r="D37" t="s">
        <v>696</v>
      </c>
      <c r="E37" t="s">
        <v>10</v>
      </c>
      <c r="F37" t="s">
        <v>21</v>
      </c>
      <c r="G37" t="s">
        <v>174</v>
      </c>
      <c r="H37" t="s">
        <v>175</v>
      </c>
      <c r="J37" t="s">
        <v>695</v>
      </c>
      <c r="K37" t="s">
        <v>470</v>
      </c>
      <c r="L37">
        <v>39.022668784713879</v>
      </c>
      <c r="M37">
        <v>0.30226720130549178</v>
      </c>
      <c r="O37" t="s">
        <v>171</v>
      </c>
      <c r="P37" t="s">
        <v>757</v>
      </c>
      <c r="Q37" t="s">
        <v>758</v>
      </c>
      <c r="R37" t="s">
        <v>10</v>
      </c>
      <c r="S37" t="s">
        <v>21</v>
      </c>
      <c r="T37" t="s">
        <v>174</v>
      </c>
      <c r="U37" t="s">
        <v>175</v>
      </c>
      <c r="W37" t="s">
        <v>757</v>
      </c>
      <c r="X37" t="s">
        <v>584</v>
      </c>
      <c r="Y37">
        <v>29.186250000000001</v>
      </c>
      <c r="Z37">
        <v>0.35239758613659811</v>
      </c>
    </row>
    <row r="38" spans="2:26">
      <c r="B38" t="s">
        <v>171</v>
      </c>
      <c r="C38" t="s">
        <v>697</v>
      </c>
      <c r="D38" t="s">
        <v>698</v>
      </c>
      <c r="E38" t="s">
        <v>10</v>
      </c>
      <c r="F38" t="s">
        <v>21</v>
      </c>
      <c r="G38" t="s">
        <v>174</v>
      </c>
      <c r="H38" t="s">
        <v>175</v>
      </c>
      <c r="J38" t="s">
        <v>697</v>
      </c>
      <c r="K38" t="s">
        <v>472</v>
      </c>
      <c r="L38">
        <v>33.851015501811965</v>
      </c>
      <c r="M38">
        <v>0.17836569756942919</v>
      </c>
      <c r="O38" t="s">
        <v>171</v>
      </c>
      <c r="P38" t="s">
        <v>759</v>
      </c>
      <c r="Q38" t="s">
        <v>760</v>
      </c>
      <c r="R38" t="s">
        <v>10</v>
      </c>
      <c r="S38" t="s">
        <v>21</v>
      </c>
      <c r="T38" t="s">
        <v>174</v>
      </c>
      <c r="U38" t="s">
        <v>175</v>
      </c>
      <c r="W38" t="s">
        <v>759</v>
      </c>
      <c r="X38" t="s">
        <v>593</v>
      </c>
      <c r="Y38">
        <v>14.49</v>
      </c>
      <c r="Z38">
        <v>0.4104874743436856</v>
      </c>
    </row>
    <row r="39" spans="2:26">
      <c r="B39" t="s">
        <v>171</v>
      </c>
      <c r="C39" t="s">
        <v>699</v>
      </c>
      <c r="D39" t="s">
        <v>700</v>
      </c>
      <c r="E39" t="s">
        <v>10</v>
      </c>
      <c r="F39" t="s">
        <v>21</v>
      </c>
      <c r="G39" t="s">
        <v>174</v>
      </c>
      <c r="H39" t="s">
        <v>175</v>
      </c>
      <c r="J39" t="s">
        <v>699</v>
      </c>
      <c r="K39" t="s">
        <v>479</v>
      </c>
      <c r="L39">
        <v>29.76120824924126</v>
      </c>
      <c r="M39">
        <v>0.1835874284667649</v>
      </c>
      <c r="O39" t="s">
        <v>171</v>
      </c>
      <c r="P39" t="s">
        <v>761</v>
      </c>
      <c r="Q39" t="s">
        <v>762</v>
      </c>
      <c r="R39" t="s">
        <v>10</v>
      </c>
      <c r="S39" t="s">
        <v>21</v>
      </c>
      <c r="T39" t="s">
        <v>174</v>
      </c>
      <c r="U39" t="s">
        <v>175</v>
      </c>
      <c r="W39" t="s">
        <v>761</v>
      </c>
      <c r="X39" t="s">
        <v>615</v>
      </c>
      <c r="Y39">
        <v>64.437749999999994</v>
      </c>
      <c r="Z39">
        <v>0.4224374651715968</v>
      </c>
    </row>
    <row r="40" spans="2:26">
      <c r="B40" t="s">
        <v>171</v>
      </c>
      <c r="C40" t="s">
        <v>701</v>
      </c>
      <c r="D40" t="s">
        <v>702</v>
      </c>
      <c r="E40" t="s">
        <v>10</v>
      </c>
      <c r="F40" t="s">
        <v>21</v>
      </c>
      <c r="G40" t="s">
        <v>174</v>
      </c>
      <c r="H40" t="s">
        <v>175</v>
      </c>
      <c r="J40" t="s">
        <v>701</v>
      </c>
      <c r="K40" t="s">
        <v>465</v>
      </c>
      <c r="L40">
        <v>26.081770464705624</v>
      </c>
      <c r="M40">
        <v>0.33938741610056822</v>
      </c>
      <c r="O40" t="s">
        <v>171</v>
      </c>
      <c r="P40" t="s">
        <v>763</v>
      </c>
      <c r="Q40" t="s">
        <v>764</v>
      </c>
      <c r="R40" t="s">
        <v>10</v>
      </c>
      <c r="S40" t="s">
        <v>21</v>
      </c>
      <c r="T40" t="s">
        <v>174</v>
      </c>
      <c r="U40" t="s">
        <v>175</v>
      </c>
      <c r="W40" t="s">
        <v>763</v>
      </c>
      <c r="X40" t="s">
        <v>636</v>
      </c>
      <c r="Y40">
        <v>59.085000000000001</v>
      </c>
      <c r="Z40">
        <v>0.3909895628623698</v>
      </c>
    </row>
    <row r="41" spans="2:26">
      <c r="B41" t="s">
        <v>171</v>
      </c>
      <c r="C41" t="s">
        <v>703</v>
      </c>
      <c r="D41" t="s">
        <v>704</v>
      </c>
      <c r="E41" t="s">
        <v>10</v>
      </c>
      <c r="F41" t="s">
        <v>21</v>
      </c>
      <c r="G41" t="s">
        <v>174</v>
      </c>
      <c r="H41" t="s">
        <v>175</v>
      </c>
      <c r="J41" t="s">
        <v>703</v>
      </c>
      <c r="K41" t="s">
        <v>474</v>
      </c>
      <c r="L41">
        <v>28.326303899090867</v>
      </c>
      <c r="M41">
        <v>0.31672699232591051</v>
      </c>
      <c r="O41" t="s">
        <v>171</v>
      </c>
      <c r="P41" t="s">
        <v>765</v>
      </c>
      <c r="Q41" t="s">
        <v>766</v>
      </c>
      <c r="R41" t="s">
        <v>10</v>
      </c>
      <c r="S41" t="s">
        <v>21</v>
      </c>
      <c r="T41" t="s">
        <v>174</v>
      </c>
      <c r="U41" t="s">
        <v>175</v>
      </c>
      <c r="W41" t="s">
        <v>765</v>
      </c>
      <c r="X41" t="s">
        <v>574</v>
      </c>
      <c r="Y41">
        <v>37.460250000000002</v>
      </c>
      <c r="Z41">
        <v>0.4156656148053956</v>
      </c>
    </row>
    <row r="42" spans="2:26">
      <c r="O42" t="s">
        <v>171</v>
      </c>
      <c r="P42" t="s">
        <v>767</v>
      </c>
      <c r="Q42" t="s">
        <v>768</v>
      </c>
      <c r="R42" t="s">
        <v>10</v>
      </c>
      <c r="S42" t="s">
        <v>21</v>
      </c>
      <c r="T42" t="s">
        <v>174</v>
      </c>
      <c r="U42" t="s">
        <v>175</v>
      </c>
      <c r="W42" t="s">
        <v>767</v>
      </c>
      <c r="X42" t="s">
        <v>625</v>
      </c>
      <c r="Y42">
        <v>27.642749999999999</v>
      </c>
      <c r="Z42">
        <v>0.36206437671723612</v>
      </c>
    </row>
    <row r="43" spans="2:26">
      <c r="O43" t="s">
        <v>171</v>
      </c>
      <c r="P43" t="s">
        <v>769</v>
      </c>
      <c r="Q43" t="s">
        <v>770</v>
      </c>
      <c r="R43" t="s">
        <v>10</v>
      </c>
      <c r="S43" t="s">
        <v>21</v>
      </c>
      <c r="T43" t="s">
        <v>174</v>
      </c>
      <c r="U43" t="s">
        <v>175</v>
      </c>
      <c r="W43" t="s">
        <v>769</v>
      </c>
      <c r="X43" t="s">
        <v>607</v>
      </c>
      <c r="Y43">
        <v>62.597250000000003</v>
      </c>
      <c r="Z43">
        <v>0.36639621425278329</v>
      </c>
    </row>
    <row r="44" spans="2:26">
      <c r="O44" t="s">
        <v>171</v>
      </c>
      <c r="P44" t="s">
        <v>771</v>
      </c>
      <c r="Q44" t="s">
        <v>772</v>
      </c>
      <c r="R44" t="s">
        <v>10</v>
      </c>
      <c r="S44" t="s">
        <v>21</v>
      </c>
      <c r="T44" t="s">
        <v>174</v>
      </c>
      <c r="U44" t="s">
        <v>175</v>
      </c>
      <c r="W44" t="s">
        <v>771</v>
      </c>
      <c r="X44" t="s">
        <v>630</v>
      </c>
      <c r="Y44">
        <v>17.07525</v>
      </c>
      <c r="Z44">
        <v>0.366335622458484</v>
      </c>
    </row>
    <row r="45" spans="2:26">
      <c r="O45" t="s">
        <v>171</v>
      </c>
      <c r="P45" t="s">
        <v>773</v>
      </c>
      <c r="Q45" t="s">
        <v>774</v>
      </c>
      <c r="R45" t="s">
        <v>10</v>
      </c>
      <c r="S45" t="s">
        <v>21</v>
      </c>
      <c r="T45" t="s">
        <v>174</v>
      </c>
      <c r="U45" t="s">
        <v>175</v>
      </c>
      <c r="W45" t="s">
        <v>773</v>
      </c>
      <c r="X45" t="s">
        <v>602</v>
      </c>
      <c r="Y45">
        <v>0.42149999999999999</v>
      </c>
      <c r="Z45">
        <v>0.28906735909449488</v>
      </c>
    </row>
    <row r="46" spans="2:26">
      <c r="O46" t="s">
        <v>171</v>
      </c>
      <c r="P46" t="s">
        <v>775</v>
      </c>
      <c r="Q46" t="s">
        <v>776</v>
      </c>
      <c r="R46" t="s">
        <v>10</v>
      </c>
      <c r="S46" t="s">
        <v>21</v>
      </c>
      <c r="T46" t="s">
        <v>174</v>
      </c>
      <c r="U46" t="s">
        <v>175</v>
      </c>
      <c r="W46" t="s">
        <v>775</v>
      </c>
      <c r="X46" t="s">
        <v>613</v>
      </c>
      <c r="Y46">
        <v>5.7389999999999999</v>
      </c>
      <c r="Z46">
        <v>0.33165266509529728</v>
      </c>
    </row>
    <row r="47" spans="2:26">
      <c r="O47" t="s">
        <v>171</v>
      </c>
      <c r="P47" t="s">
        <v>777</v>
      </c>
      <c r="Q47" t="s">
        <v>778</v>
      </c>
      <c r="R47" t="s">
        <v>10</v>
      </c>
      <c r="S47" t="s">
        <v>21</v>
      </c>
      <c r="T47" t="s">
        <v>174</v>
      </c>
      <c r="U47" t="s">
        <v>175</v>
      </c>
      <c r="W47" t="s">
        <v>777</v>
      </c>
      <c r="X47" t="s">
        <v>619</v>
      </c>
      <c r="Y47">
        <v>1.81725</v>
      </c>
      <c r="Z47">
        <v>0.3242980885897736</v>
      </c>
    </row>
    <row r="48" spans="2:26">
      <c r="O48" t="s">
        <v>171</v>
      </c>
      <c r="P48" t="s">
        <v>779</v>
      </c>
      <c r="Q48" t="s">
        <v>780</v>
      </c>
      <c r="R48" t="s">
        <v>10</v>
      </c>
      <c r="S48" t="s">
        <v>21</v>
      </c>
      <c r="T48" t="s">
        <v>174</v>
      </c>
      <c r="U48" t="s">
        <v>175</v>
      </c>
      <c r="W48" t="s">
        <v>779</v>
      </c>
      <c r="X48" t="s">
        <v>627</v>
      </c>
      <c r="Y48">
        <v>10.709250000000001</v>
      </c>
      <c r="Z48">
        <v>0.50948065857827751</v>
      </c>
    </row>
    <row r="49" spans="15:26">
      <c r="O49" t="s">
        <v>171</v>
      </c>
      <c r="P49" t="s">
        <v>781</v>
      </c>
      <c r="Q49" t="s">
        <v>782</v>
      </c>
      <c r="R49" t="s">
        <v>10</v>
      </c>
      <c r="S49" t="s">
        <v>21</v>
      </c>
      <c r="T49" t="s">
        <v>174</v>
      </c>
      <c r="U49" t="s">
        <v>175</v>
      </c>
      <c r="W49" t="s">
        <v>781</v>
      </c>
      <c r="X49" t="s">
        <v>576</v>
      </c>
      <c r="Y49">
        <v>16.497</v>
      </c>
      <c r="Z49">
        <v>0.45133214213550138</v>
      </c>
    </row>
    <row r="50" spans="15:26">
      <c r="O50" t="s">
        <v>171</v>
      </c>
      <c r="P50" t="s">
        <v>783</v>
      </c>
      <c r="Q50" t="s">
        <v>784</v>
      </c>
      <c r="R50" t="s">
        <v>10</v>
      </c>
      <c r="S50" t="s">
        <v>21</v>
      </c>
      <c r="T50" t="s">
        <v>174</v>
      </c>
      <c r="U50" t="s">
        <v>175</v>
      </c>
      <c r="W50" t="s">
        <v>783</v>
      </c>
      <c r="X50" t="s">
        <v>609</v>
      </c>
      <c r="Y50">
        <v>53.960999999999999</v>
      </c>
      <c r="Z50">
        <v>0.52956978618689865</v>
      </c>
    </row>
    <row r="51" spans="15:26">
      <c r="O51" t="s">
        <v>171</v>
      </c>
      <c r="P51" t="s">
        <v>785</v>
      </c>
      <c r="Q51" t="s">
        <v>786</v>
      </c>
      <c r="R51" t="s">
        <v>10</v>
      </c>
      <c r="S51" t="s">
        <v>21</v>
      </c>
      <c r="T51" t="s">
        <v>174</v>
      </c>
      <c r="U51" t="s">
        <v>175</v>
      </c>
      <c r="W51" t="s">
        <v>785</v>
      </c>
      <c r="X51" t="s">
        <v>639</v>
      </c>
      <c r="Y51">
        <v>33.036000000000001</v>
      </c>
      <c r="Z51">
        <v>0.43414290231109598</v>
      </c>
    </row>
    <row r="52" spans="15:26">
      <c r="O52" t="s">
        <v>171</v>
      </c>
      <c r="P52" t="s">
        <v>787</v>
      </c>
      <c r="Q52" t="s">
        <v>788</v>
      </c>
      <c r="R52" t="s">
        <v>10</v>
      </c>
      <c r="S52" t="s">
        <v>21</v>
      </c>
      <c r="T52" t="s">
        <v>174</v>
      </c>
      <c r="U52" t="s">
        <v>175</v>
      </c>
      <c r="W52" t="s">
        <v>787</v>
      </c>
      <c r="X52" t="s">
        <v>600</v>
      </c>
      <c r="Y52">
        <v>31.234500000000001</v>
      </c>
      <c r="Z52">
        <v>0.35182361384055583</v>
      </c>
    </row>
    <row r="53" spans="15:26">
      <c r="O53" t="s">
        <v>171</v>
      </c>
      <c r="P53" t="s">
        <v>789</v>
      </c>
      <c r="Q53" t="s">
        <v>790</v>
      </c>
      <c r="R53" t="s">
        <v>10</v>
      </c>
      <c r="S53" t="s">
        <v>21</v>
      </c>
      <c r="T53" t="s">
        <v>174</v>
      </c>
      <c r="U53" t="s">
        <v>175</v>
      </c>
      <c r="W53" t="s">
        <v>789</v>
      </c>
      <c r="X53" t="s">
        <v>632</v>
      </c>
      <c r="Y53">
        <v>30.527249999999999</v>
      </c>
      <c r="Z53">
        <v>0.3536163889541305</v>
      </c>
    </row>
    <row r="54" spans="15:26">
      <c r="O54" t="s">
        <v>171</v>
      </c>
      <c r="P54" t="s">
        <v>791</v>
      </c>
      <c r="Q54" t="s">
        <v>792</v>
      </c>
      <c r="R54" t="s">
        <v>10</v>
      </c>
      <c r="S54" t="s">
        <v>21</v>
      </c>
      <c r="T54" t="s">
        <v>174</v>
      </c>
      <c r="U54" t="s">
        <v>175</v>
      </c>
      <c r="W54" t="s">
        <v>791</v>
      </c>
      <c r="X54" t="s">
        <v>572</v>
      </c>
      <c r="Y54">
        <v>17.390999999999998</v>
      </c>
      <c r="Z54">
        <v>0.37382047274922298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EE2E6-6D53-45BB-AB35-97DEF0B63F64}">
  <dimension ref="B9:P73"/>
  <sheetViews>
    <sheetView workbookViewId="0"/>
  </sheetViews>
  <sheetFormatPr defaultRowHeight="14.25"/>
  <sheetData>
    <row r="9" spans="2:16">
      <c r="B9" t="s">
        <v>234</v>
      </c>
      <c r="J9" t="s">
        <v>163</v>
      </c>
    </row>
    <row r="10" spans="2:16">
      <c r="B10" t="s">
        <v>165</v>
      </c>
      <c r="C10" t="s">
        <v>332</v>
      </c>
      <c r="D10" t="s">
        <v>235</v>
      </c>
      <c r="E10">
        <v>2023</v>
      </c>
      <c r="F10">
        <v>2030</v>
      </c>
      <c r="G10">
        <v>2050</v>
      </c>
      <c r="H10" t="s">
        <v>54</v>
      </c>
      <c r="J10" t="s">
        <v>164</v>
      </c>
      <c r="K10" t="s">
        <v>165</v>
      </c>
      <c r="L10" t="s">
        <v>166</v>
      </c>
      <c r="M10" t="s">
        <v>167</v>
      </c>
      <c r="N10" t="s">
        <v>168</v>
      </c>
      <c r="O10" t="s">
        <v>169</v>
      </c>
      <c r="P10" t="s">
        <v>170</v>
      </c>
    </row>
    <row r="11" spans="2:16">
      <c r="B11" t="s">
        <v>793</v>
      </c>
      <c r="C11" t="s">
        <v>31</v>
      </c>
      <c r="D11" t="s">
        <v>19</v>
      </c>
      <c r="E11">
        <v>0.30000000000000004</v>
      </c>
      <c r="F11">
        <v>0.30000000000000004</v>
      </c>
      <c r="G11">
        <v>0.30000000000000004</v>
      </c>
      <c r="H11" t="s">
        <v>146</v>
      </c>
      <c r="J11" t="s">
        <v>171</v>
      </c>
      <c r="K11" t="s">
        <v>793</v>
      </c>
      <c r="M11" t="s">
        <v>10</v>
      </c>
      <c r="N11" t="s">
        <v>21</v>
      </c>
      <c r="O11" t="s">
        <v>273</v>
      </c>
      <c r="P11" t="s">
        <v>815</v>
      </c>
    </row>
    <row r="12" spans="2:16">
      <c r="B12" t="s">
        <v>793</v>
      </c>
      <c r="C12" t="s">
        <v>31</v>
      </c>
      <c r="D12" t="s">
        <v>19</v>
      </c>
      <c r="E12">
        <v>0.60000000000000009</v>
      </c>
      <c r="F12">
        <v>0.60000000000000009</v>
      </c>
      <c r="G12">
        <v>0.60000000000000009</v>
      </c>
      <c r="H12" t="s">
        <v>794</v>
      </c>
      <c r="J12" t="s">
        <v>171</v>
      </c>
      <c r="K12" t="s">
        <v>798</v>
      </c>
      <c r="M12" t="s">
        <v>10</v>
      </c>
      <c r="N12" t="s">
        <v>21</v>
      </c>
      <c r="O12" t="s">
        <v>273</v>
      </c>
      <c r="P12" t="s">
        <v>815</v>
      </c>
    </row>
    <row r="13" spans="2:16">
      <c r="B13" t="s">
        <v>793</v>
      </c>
      <c r="C13" t="s">
        <v>31</v>
      </c>
      <c r="D13" t="s">
        <v>19</v>
      </c>
      <c r="E13">
        <v>5700</v>
      </c>
      <c r="F13">
        <v>5650</v>
      </c>
      <c r="G13">
        <v>5100</v>
      </c>
      <c r="H13" t="s">
        <v>795</v>
      </c>
      <c r="J13" t="s">
        <v>171</v>
      </c>
      <c r="K13" t="s">
        <v>799</v>
      </c>
      <c r="M13" t="s">
        <v>10</v>
      </c>
      <c r="N13" t="s">
        <v>21</v>
      </c>
      <c r="O13" t="s">
        <v>273</v>
      </c>
      <c r="P13" t="s">
        <v>815</v>
      </c>
    </row>
    <row r="14" spans="2:16">
      <c r="B14" t="s">
        <v>793</v>
      </c>
      <c r="C14" t="s">
        <v>31</v>
      </c>
      <c r="D14" t="s">
        <v>19</v>
      </c>
      <c r="E14">
        <v>200</v>
      </c>
      <c r="F14">
        <v>200</v>
      </c>
      <c r="G14">
        <v>175</v>
      </c>
      <c r="H14" t="s">
        <v>796</v>
      </c>
      <c r="J14" t="s">
        <v>171</v>
      </c>
      <c r="K14" t="s">
        <v>800</v>
      </c>
      <c r="M14" t="s">
        <v>10</v>
      </c>
      <c r="N14" t="s">
        <v>21</v>
      </c>
      <c r="O14" t="s">
        <v>273</v>
      </c>
      <c r="P14" t="s">
        <v>815</v>
      </c>
    </row>
    <row r="15" spans="2:16">
      <c r="B15" t="s">
        <v>793</v>
      </c>
      <c r="C15" t="s">
        <v>31</v>
      </c>
      <c r="D15" t="s">
        <v>19</v>
      </c>
      <c r="E15">
        <v>3</v>
      </c>
      <c r="F15">
        <v>3</v>
      </c>
      <c r="G15">
        <v>3</v>
      </c>
      <c r="H15" t="s">
        <v>797</v>
      </c>
      <c r="J15" t="s">
        <v>171</v>
      </c>
      <c r="K15" t="s">
        <v>801</v>
      </c>
      <c r="M15" t="s">
        <v>10</v>
      </c>
      <c r="N15" t="s">
        <v>21</v>
      </c>
      <c r="O15" t="s">
        <v>273</v>
      </c>
      <c r="P15" t="s">
        <v>815</v>
      </c>
    </row>
    <row r="16" spans="2:16">
      <c r="B16" t="s">
        <v>798</v>
      </c>
      <c r="C16" t="s">
        <v>31</v>
      </c>
      <c r="D16" t="s">
        <v>19</v>
      </c>
      <c r="E16">
        <v>0.35000000000000003</v>
      </c>
      <c r="F16">
        <v>0.35000000000000003</v>
      </c>
      <c r="G16">
        <v>0.35000000000000003</v>
      </c>
      <c r="H16" t="s">
        <v>146</v>
      </c>
      <c r="J16" t="s">
        <v>171</v>
      </c>
      <c r="K16" t="s">
        <v>802</v>
      </c>
      <c r="M16" t="s">
        <v>10</v>
      </c>
      <c r="N16" t="s">
        <v>21</v>
      </c>
      <c r="O16" t="s">
        <v>273</v>
      </c>
      <c r="P16" t="s">
        <v>815</v>
      </c>
    </row>
    <row r="17" spans="2:16">
      <c r="B17" t="s">
        <v>798</v>
      </c>
      <c r="C17" t="s">
        <v>31</v>
      </c>
      <c r="D17" t="s">
        <v>19</v>
      </c>
      <c r="E17">
        <v>0.60000000000000009</v>
      </c>
      <c r="F17">
        <v>0.60000000000000009</v>
      </c>
      <c r="G17">
        <v>0.60000000000000009</v>
      </c>
      <c r="H17" t="s">
        <v>794</v>
      </c>
      <c r="J17" t="s">
        <v>171</v>
      </c>
      <c r="K17" t="s">
        <v>803</v>
      </c>
      <c r="M17" t="s">
        <v>10</v>
      </c>
      <c r="N17" t="s">
        <v>21</v>
      </c>
      <c r="O17" t="s">
        <v>273</v>
      </c>
      <c r="P17" t="s">
        <v>815</v>
      </c>
    </row>
    <row r="18" spans="2:16">
      <c r="B18" t="s">
        <v>798</v>
      </c>
      <c r="C18" t="s">
        <v>31</v>
      </c>
      <c r="D18" t="s">
        <v>19</v>
      </c>
      <c r="E18">
        <v>2350</v>
      </c>
      <c r="F18">
        <v>2300</v>
      </c>
      <c r="G18">
        <v>2250</v>
      </c>
      <c r="H18" t="s">
        <v>795</v>
      </c>
      <c r="J18" t="s">
        <v>171</v>
      </c>
      <c r="K18" t="s">
        <v>804</v>
      </c>
      <c r="M18" t="s">
        <v>10</v>
      </c>
      <c r="N18" t="s">
        <v>21</v>
      </c>
      <c r="O18" t="s">
        <v>273</v>
      </c>
      <c r="P18" t="s">
        <v>815</v>
      </c>
    </row>
    <row r="19" spans="2:16">
      <c r="B19" t="s">
        <v>798</v>
      </c>
      <c r="C19" t="s">
        <v>31</v>
      </c>
      <c r="D19" t="s">
        <v>19</v>
      </c>
      <c r="E19">
        <v>80</v>
      </c>
      <c r="F19">
        <v>80</v>
      </c>
      <c r="G19">
        <v>80</v>
      </c>
      <c r="H19" t="s">
        <v>796</v>
      </c>
      <c r="J19" t="s">
        <v>171</v>
      </c>
      <c r="K19" t="s">
        <v>805</v>
      </c>
      <c r="M19" t="s">
        <v>10</v>
      </c>
      <c r="N19" t="s">
        <v>21</v>
      </c>
      <c r="O19" t="s">
        <v>273</v>
      </c>
      <c r="P19" t="s">
        <v>815</v>
      </c>
    </row>
    <row r="20" spans="2:16">
      <c r="B20" t="s">
        <v>798</v>
      </c>
      <c r="C20" t="s">
        <v>31</v>
      </c>
      <c r="D20" t="s">
        <v>19</v>
      </c>
      <c r="E20">
        <v>3</v>
      </c>
      <c r="F20">
        <v>3</v>
      </c>
      <c r="G20">
        <v>3</v>
      </c>
      <c r="H20" t="s">
        <v>797</v>
      </c>
      <c r="J20" t="s">
        <v>171</v>
      </c>
      <c r="K20" t="s">
        <v>806</v>
      </c>
      <c r="M20" t="s">
        <v>10</v>
      </c>
      <c r="N20" t="s">
        <v>21</v>
      </c>
      <c r="O20" t="s">
        <v>273</v>
      </c>
      <c r="P20" t="s">
        <v>815</v>
      </c>
    </row>
    <row r="21" spans="2:16">
      <c r="B21" t="s">
        <v>799</v>
      </c>
      <c r="C21" t="s">
        <v>33</v>
      </c>
      <c r="D21" t="s">
        <v>19</v>
      </c>
      <c r="E21">
        <v>0.59</v>
      </c>
      <c r="F21">
        <v>0.6</v>
      </c>
      <c r="G21">
        <v>0.61</v>
      </c>
      <c r="H21" t="s">
        <v>146</v>
      </c>
      <c r="J21" t="s">
        <v>171</v>
      </c>
      <c r="K21" t="s">
        <v>807</v>
      </c>
      <c r="M21" t="s">
        <v>10</v>
      </c>
      <c r="N21" t="s">
        <v>21</v>
      </c>
      <c r="O21" t="s">
        <v>273</v>
      </c>
      <c r="P21" t="s">
        <v>815</v>
      </c>
    </row>
    <row r="22" spans="2:16">
      <c r="B22" t="s">
        <v>799</v>
      </c>
      <c r="C22" t="s">
        <v>33</v>
      </c>
      <c r="D22" t="s">
        <v>19</v>
      </c>
      <c r="E22">
        <v>1100</v>
      </c>
      <c r="F22">
        <v>1100</v>
      </c>
      <c r="G22">
        <v>1100</v>
      </c>
      <c r="H22" t="s">
        <v>795</v>
      </c>
      <c r="J22" t="s">
        <v>171</v>
      </c>
      <c r="K22" t="s">
        <v>808</v>
      </c>
      <c r="M22" t="s">
        <v>10</v>
      </c>
      <c r="N22" t="s">
        <v>21</v>
      </c>
      <c r="O22" t="s">
        <v>273</v>
      </c>
      <c r="P22" t="s">
        <v>815</v>
      </c>
    </row>
    <row r="23" spans="2:16">
      <c r="B23" t="s">
        <v>799</v>
      </c>
      <c r="C23" t="s">
        <v>33</v>
      </c>
      <c r="D23" t="s">
        <v>19</v>
      </c>
      <c r="E23">
        <v>30</v>
      </c>
      <c r="F23">
        <v>30</v>
      </c>
      <c r="G23">
        <v>30</v>
      </c>
      <c r="H23" t="s">
        <v>796</v>
      </c>
      <c r="J23" t="s">
        <v>171</v>
      </c>
      <c r="K23" t="s">
        <v>809</v>
      </c>
      <c r="M23" t="s">
        <v>10</v>
      </c>
      <c r="N23" t="s">
        <v>21</v>
      </c>
      <c r="O23" t="s">
        <v>273</v>
      </c>
      <c r="P23" t="s">
        <v>815</v>
      </c>
    </row>
    <row r="24" spans="2:16">
      <c r="B24" t="s">
        <v>800</v>
      </c>
      <c r="C24" t="s">
        <v>33</v>
      </c>
      <c r="D24" t="s">
        <v>19</v>
      </c>
      <c r="E24">
        <v>0.51</v>
      </c>
      <c r="F24">
        <v>0.52</v>
      </c>
      <c r="G24">
        <v>0.54</v>
      </c>
      <c r="H24" t="s">
        <v>146</v>
      </c>
      <c r="J24" t="s">
        <v>171</v>
      </c>
      <c r="K24" t="s">
        <v>810</v>
      </c>
      <c r="M24" t="s">
        <v>10</v>
      </c>
      <c r="N24" t="s">
        <v>21</v>
      </c>
      <c r="O24" t="s">
        <v>273</v>
      </c>
      <c r="P24" t="s">
        <v>815</v>
      </c>
    </row>
    <row r="25" spans="2:16">
      <c r="B25" t="s">
        <v>800</v>
      </c>
      <c r="C25" t="s">
        <v>33</v>
      </c>
      <c r="D25" t="s">
        <v>19</v>
      </c>
      <c r="E25">
        <v>3200</v>
      </c>
      <c r="F25">
        <v>3200</v>
      </c>
      <c r="G25">
        <v>2500</v>
      </c>
      <c r="H25" t="s">
        <v>795</v>
      </c>
      <c r="J25" t="s">
        <v>171</v>
      </c>
      <c r="K25" t="s">
        <v>811</v>
      </c>
      <c r="M25" t="s">
        <v>10</v>
      </c>
      <c r="N25" t="s">
        <v>21</v>
      </c>
      <c r="O25" t="s">
        <v>273</v>
      </c>
      <c r="P25" t="s">
        <v>815</v>
      </c>
    </row>
    <row r="26" spans="2:16">
      <c r="B26" t="s">
        <v>800</v>
      </c>
      <c r="C26" t="s">
        <v>33</v>
      </c>
      <c r="D26" t="s">
        <v>19</v>
      </c>
      <c r="E26">
        <v>80</v>
      </c>
      <c r="F26">
        <v>80</v>
      </c>
      <c r="G26">
        <v>65</v>
      </c>
      <c r="H26" t="s">
        <v>796</v>
      </c>
      <c r="J26" t="s">
        <v>171</v>
      </c>
      <c r="K26" t="s">
        <v>812</v>
      </c>
      <c r="M26" t="s">
        <v>10</v>
      </c>
      <c r="N26" t="s">
        <v>21</v>
      </c>
      <c r="O26" t="s">
        <v>273</v>
      </c>
      <c r="P26" t="s">
        <v>815</v>
      </c>
    </row>
    <row r="27" spans="2:16">
      <c r="B27" t="s">
        <v>801</v>
      </c>
      <c r="C27" t="s">
        <v>32</v>
      </c>
      <c r="D27" t="s">
        <v>19</v>
      </c>
      <c r="E27">
        <v>0.37</v>
      </c>
      <c r="F27">
        <v>0.38</v>
      </c>
      <c r="G27">
        <v>0.4</v>
      </c>
      <c r="H27" t="s">
        <v>146</v>
      </c>
      <c r="J27" t="s">
        <v>171</v>
      </c>
      <c r="K27" t="s">
        <v>814</v>
      </c>
      <c r="M27" t="s">
        <v>10</v>
      </c>
      <c r="N27" t="s">
        <v>21</v>
      </c>
      <c r="O27" t="s">
        <v>273</v>
      </c>
      <c r="P27" t="s">
        <v>815</v>
      </c>
    </row>
    <row r="28" spans="2:16">
      <c r="B28" t="s">
        <v>801</v>
      </c>
      <c r="C28" t="s">
        <v>32</v>
      </c>
      <c r="D28" t="s">
        <v>19</v>
      </c>
      <c r="E28">
        <v>5900</v>
      </c>
      <c r="F28">
        <v>5900</v>
      </c>
      <c r="G28">
        <v>4750</v>
      </c>
      <c r="H28" t="s">
        <v>795</v>
      </c>
    </row>
    <row r="29" spans="2:16">
      <c r="B29" t="s">
        <v>801</v>
      </c>
      <c r="C29" t="s">
        <v>32</v>
      </c>
      <c r="D29" t="s">
        <v>19</v>
      </c>
      <c r="E29">
        <v>175</v>
      </c>
      <c r="F29">
        <v>175</v>
      </c>
      <c r="G29">
        <v>140</v>
      </c>
      <c r="H29" t="s">
        <v>796</v>
      </c>
    </row>
    <row r="30" spans="2:16">
      <c r="B30" t="s">
        <v>802</v>
      </c>
      <c r="C30" t="s">
        <v>33</v>
      </c>
      <c r="D30" t="s">
        <v>19</v>
      </c>
      <c r="E30">
        <v>0.4</v>
      </c>
      <c r="F30">
        <v>0.41000000000000003</v>
      </c>
      <c r="G30">
        <v>0.42</v>
      </c>
      <c r="H30" t="s">
        <v>146</v>
      </c>
    </row>
    <row r="31" spans="2:16">
      <c r="B31" t="s">
        <v>802</v>
      </c>
      <c r="C31" t="s">
        <v>33</v>
      </c>
      <c r="D31" t="s">
        <v>19</v>
      </c>
      <c r="E31">
        <v>500</v>
      </c>
      <c r="F31">
        <v>500</v>
      </c>
      <c r="G31">
        <v>500</v>
      </c>
      <c r="H31" t="s">
        <v>795</v>
      </c>
    </row>
    <row r="32" spans="2:16">
      <c r="B32" t="s">
        <v>802</v>
      </c>
      <c r="C32" t="s">
        <v>33</v>
      </c>
      <c r="D32" t="s">
        <v>19</v>
      </c>
      <c r="E32">
        <v>20</v>
      </c>
      <c r="F32">
        <v>20</v>
      </c>
      <c r="G32">
        <v>20</v>
      </c>
      <c r="H32" t="s">
        <v>796</v>
      </c>
    </row>
    <row r="33" spans="2:8">
      <c r="B33" t="s">
        <v>803</v>
      </c>
      <c r="C33" t="s">
        <v>28</v>
      </c>
      <c r="D33" t="s">
        <v>19</v>
      </c>
      <c r="E33">
        <v>1</v>
      </c>
      <c r="F33">
        <v>1</v>
      </c>
      <c r="G33">
        <v>1</v>
      </c>
      <c r="H33" t="s">
        <v>146</v>
      </c>
    </row>
    <row r="34" spans="2:8">
      <c r="B34" t="s">
        <v>803</v>
      </c>
      <c r="C34" t="s">
        <v>28</v>
      </c>
      <c r="D34" t="s">
        <v>19</v>
      </c>
      <c r="E34">
        <v>0.5</v>
      </c>
      <c r="F34">
        <v>0.5</v>
      </c>
      <c r="G34">
        <v>0.5</v>
      </c>
      <c r="H34" t="s">
        <v>794</v>
      </c>
    </row>
    <row r="35" spans="2:8">
      <c r="B35" t="s">
        <v>803</v>
      </c>
      <c r="C35" t="s">
        <v>28</v>
      </c>
      <c r="D35" t="s">
        <v>19</v>
      </c>
      <c r="E35">
        <v>2400</v>
      </c>
      <c r="F35">
        <v>2400</v>
      </c>
      <c r="G35">
        <v>2400</v>
      </c>
      <c r="H35" t="s">
        <v>795</v>
      </c>
    </row>
    <row r="36" spans="2:8">
      <c r="B36" t="s">
        <v>803</v>
      </c>
      <c r="C36" t="s">
        <v>28</v>
      </c>
      <c r="D36" t="s">
        <v>19</v>
      </c>
      <c r="E36">
        <v>60</v>
      </c>
      <c r="F36">
        <v>60</v>
      </c>
      <c r="G36">
        <v>60</v>
      </c>
      <c r="H36" t="s">
        <v>796</v>
      </c>
    </row>
    <row r="37" spans="2:8">
      <c r="B37" t="s">
        <v>803</v>
      </c>
      <c r="C37" t="s">
        <v>28</v>
      </c>
      <c r="D37" t="s">
        <v>19</v>
      </c>
      <c r="E37">
        <v>4</v>
      </c>
      <c r="F37">
        <v>4</v>
      </c>
      <c r="G37">
        <v>4</v>
      </c>
      <c r="H37" t="s">
        <v>797</v>
      </c>
    </row>
    <row r="38" spans="2:8">
      <c r="B38" t="s">
        <v>804</v>
      </c>
      <c r="C38" t="s">
        <v>33</v>
      </c>
      <c r="D38" t="s">
        <v>19</v>
      </c>
      <c r="E38">
        <v>0.45</v>
      </c>
      <c r="F38">
        <v>0.47000000000000003</v>
      </c>
      <c r="G38">
        <v>0.5</v>
      </c>
      <c r="H38" t="s">
        <v>146</v>
      </c>
    </row>
    <row r="39" spans="2:8">
      <c r="B39" t="s">
        <v>804</v>
      </c>
      <c r="C39" t="s">
        <v>33</v>
      </c>
      <c r="D39" t="s">
        <v>19</v>
      </c>
      <c r="E39">
        <v>2900</v>
      </c>
      <c r="F39">
        <v>2750</v>
      </c>
      <c r="G39">
        <v>2700</v>
      </c>
      <c r="H39" t="s">
        <v>795</v>
      </c>
    </row>
    <row r="40" spans="2:8">
      <c r="B40" t="s">
        <v>804</v>
      </c>
      <c r="C40" t="s">
        <v>33</v>
      </c>
      <c r="D40" t="s">
        <v>19</v>
      </c>
      <c r="E40">
        <v>100</v>
      </c>
      <c r="F40">
        <v>95</v>
      </c>
      <c r="G40">
        <v>95</v>
      </c>
      <c r="H40" t="s">
        <v>796</v>
      </c>
    </row>
    <row r="41" spans="2:8">
      <c r="B41" t="s">
        <v>805</v>
      </c>
      <c r="C41" t="s">
        <v>32</v>
      </c>
      <c r="D41" t="s">
        <v>19</v>
      </c>
      <c r="E41">
        <v>0.36</v>
      </c>
      <c r="F41">
        <v>0.38</v>
      </c>
      <c r="G41">
        <v>0.43</v>
      </c>
      <c r="H41" t="s">
        <v>146</v>
      </c>
    </row>
    <row r="42" spans="2:8">
      <c r="B42" t="s">
        <v>805</v>
      </c>
      <c r="C42" t="s">
        <v>32</v>
      </c>
      <c r="D42" t="s">
        <v>19</v>
      </c>
      <c r="E42">
        <v>6250</v>
      </c>
      <c r="F42">
        <v>6100</v>
      </c>
      <c r="G42">
        <v>5500</v>
      </c>
      <c r="H42" t="s">
        <v>795</v>
      </c>
    </row>
    <row r="43" spans="2:8">
      <c r="B43" t="s">
        <v>805</v>
      </c>
      <c r="C43" t="s">
        <v>32</v>
      </c>
      <c r="D43" t="s">
        <v>19</v>
      </c>
      <c r="E43">
        <v>220</v>
      </c>
      <c r="F43">
        <v>215</v>
      </c>
      <c r="G43">
        <v>190</v>
      </c>
      <c r="H43" t="s">
        <v>796</v>
      </c>
    </row>
    <row r="44" spans="2:8">
      <c r="B44" t="s">
        <v>806</v>
      </c>
      <c r="C44" t="s">
        <v>36</v>
      </c>
      <c r="D44" t="s">
        <v>19</v>
      </c>
      <c r="E44">
        <v>0.33</v>
      </c>
      <c r="F44">
        <v>0.33</v>
      </c>
      <c r="G44">
        <v>0.33</v>
      </c>
      <c r="H44" t="s">
        <v>146</v>
      </c>
    </row>
    <row r="45" spans="2:8">
      <c r="B45" t="s">
        <v>806</v>
      </c>
      <c r="C45" t="s">
        <v>36</v>
      </c>
      <c r="D45" t="s">
        <v>19</v>
      </c>
      <c r="E45">
        <v>4200</v>
      </c>
      <c r="F45">
        <v>4000</v>
      </c>
      <c r="G45">
        <v>4000</v>
      </c>
      <c r="H45" t="s">
        <v>795</v>
      </c>
    </row>
    <row r="46" spans="2:8">
      <c r="B46" t="s">
        <v>806</v>
      </c>
      <c r="C46" t="s">
        <v>36</v>
      </c>
      <c r="D46" t="s">
        <v>19</v>
      </c>
      <c r="E46">
        <v>225</v>
      </c>
      <c r="F46">
        <v>225</v>
      </c>
      <c r="G46">
        <v>225</v>
      </c>
      <c r="H46" t="s">
        <v>796</v>
      </c>
    </row>
    <row r="47" spans="2:8">
      <c r="B47" t="s">
        <v>807</v>
      </c>
      <c r="C47" t="s">
        <v>32</v>
      </c>
      <c r="D47" t="s">
        <v>19</v>
      </c>
      <c r="E47">
        <v>0.37</v>
      </c>
      <c r="F47">
        <v>0.38</v>
      </c>
      <c r="G47">
        <v>0.4</v>
      </c>
      <c r="H47" t="s">
        <v>146</v>
      </c>
    </row>
    <row r="48" spans="2:8">
      <c r="B48" t="s">
        <v>807</v>
      </c>
      <c r="C48" t="s">
        <v>32</v>
      </c>
      <c r="D48" t="s">
        <v>19</v>
      </c>
      <c r="E48">
        <v>6100</v>
      </c>
      <c r="F48">
        <v>6100</v>
      </c>
      <c r="G48">
        <v>5500</v>
      </c>
      <c r="H48" t="s">
        <v>795</v>
      </c>
    </row>
    <row r="49" spans="2:8">
      <c r="B49" t="s">
        <v>807</v>
      </c>
      <c r="C49" t="s">
        <v>32</v>
      </c>
      <c r="D49" t="s">
        <v>19</v>
      </c>
      <c r="E49">
        <v>185</v>
      </c>
      <c r="F49">
        <v>185</v>
      </c>
      <c r="G49">
        <v>165</v>
      </c>
      <c r="H49" t="s">
        <v>796</v>
      </c>
    </row>
    <row r="50" spans="2:8">
      <c r="B50" t="s">
        <v>808</v>
      </c>
      <c r="C50" t="s">
        <v>27</v>
      </c>
      <c r="D50" t="s">
        <v>19</v>
      </c>
      <c r="E50">
        <v>1</v>
      </c>
      <c r="F50">
        <v>1</v>
      </c>
      <c r="G50">
        <v>1</v>
      </c>
      <c r="H50" t="s">
        <v>146</v>
      </c>
    </row>
    <row r="51" spans="2:8">
      <c r="B51" t="s">
        <v>808</v>
      </c>
      <c r="C51" t="s">
        <v>27</v>
      </c>
      <c r="D51" t="s">
        <v>19</v>
      </c>
      <c r="E51">
        <v>0.14000000000000001</v>
      </c>
      <c r="F51">
        <v>0.14000000000000001</v>
      </c>
      <c r="G51">
        <v>0.14000000000000001</v>
      </c>
      <c r="H51" t="s">
        <v>794</v>
      </c>
    </row>
    <row r="52" spans="2:8">
      <c r="B52" t="s">
        <v>808</v>
      </c>
      <c r="C52" t="s">
        <v>27</v>
      </c>
      <c r="D52" t="s">
        <v>19</v>
      </c>
      <c r="E52">
        <v>1880</v>
      </c>
      <c r="F52">
        <v>1260</v>
      </c>
      <c r="G52">
        <v>940</v>
      </c>
      <c r="H52" t="s">
        <v>795</v>
      </c>
    </row>
    <row r="53" spans="2:8">
      <c r="B53" t="s">
        <v>808</v>
      </c>
      <c r="C53" t="s">
        <v>27</v>
      </c>
      <c r="D53" t="s">
        <v>19</v>
      </c>
      <c r="E53">
        <v>28</v>
      </c>
      <c r="F53">
        <v>26</v>
      </c>
      <c r="G53">
        <v>24</v>
      </c>
      <c r="H53" t="s">
        <v>796</v>
      </c>
    </row>
    <row r="54" spans="2:8">
      <c r="B54" t="s">
        <v>808</v>
      </c>
      <c r="C54" t="s">
        <v>27</v>
      </c>
      <c r="D54" t="s">
        <v>19</v>
      </c>
      <c r="E54">
        <v>1.5</v>
      </c>
      <c r="F54">
        <v>1.5</v>
      </c>
      <c r="G54">
        <v>1.5</v>
      </c>
      <c r="H54" t="s">
        <v>797</v>
      </c>
    </row>
    <row r="55" spans="2:8">
      <c r="B55" t="s">
        <v>809</v>
      </c>
      <c r="C55" t="s">
        <v>32</v>
      </c>
      <c r="D55" t="s">
        <v>19</v>
      </c>
      <c r="E55">
        <v>0.39</v>
      </c>
      <c r="F55">
        <v>0.39</v>
      </c>
      <c r="G55">
        <v>0.39</v>
      </c>
      <c r="H55" t="s">
        <v>146</v>
      </c>
    </row>
    <row r="56" spans="2:8">
      <c r="B56" t="s">
        <v>809</v>
      </c>
      <c r="C56" t="s">
        <v>32</v>
      </c>
      <c r="D56" t="s">
        <v>19</v>
      </c>
      <c r="E56">
        <v>2100</v>
      </c>
      <c r="F56">
        <v>2100</v>
      </c>
      <c r="G56">
        <v>2100</v>
      </c>
      <c r="H56" t="s">
        <v>795</v>
      </c>
    </row>
    <row r="57" spans="2:8">
      <c r="B57" t="s">
        <v>809</v>
      </c>
      <c r="C57" t="s">
        <v>32</v>
      </c>
      <c r="D57" t="s">
        <v>19</v>
      </c>
      <c r="E57">
        <v>55</v>
      </c>
      <c r="F57">
        <v>55</v>
      </c>
      <c r="G57">
        <v>55</v>
      </c>
      <c r="H57" t="s">
        <v>796</v>
      </c>
    </row>
    <row r="58" spans="2:8">
      <c r="B58" t="s">
        <v>810</v>
      </c>
      <c r="C58" t="s">
        <v>32</v>
      </c>
      <c r="D58" t="s">
        <v>19</v>
      </c>
      <c r="E58">
        <v>0.43</v>
      </c>
      <c r="F58">
        <v>0.43</v>
      </c>
      <c r="G58">
        <v>0.43</v>
      </c>
      <c r="H58" t="s">
        <v>146</v>
      </c>
    </row>
    <row r="59" spans="2:8">
      <c r="B59" t="s">
        <v>810</v>
      </c>
      <c r="C59" t="s">
        <v>32</v>
      </c>
      <c r="D59" t="s">
        <v>19</v>
      </c>
      <c r="E59">
        <v>2400</v>
      </c>
      <c r="F59">
        <v>2400</v>
      </c>
      <c r="G59">
        <v>2400</v>
      </c>
      <c r="H59" t="s">
        <v>795</v>
      </c>
    </row>
    <row r="60" spans="2:8">
      <c r="B60" t="s">
        <v>810</v>
      </c>
      <c r="C60" t="s">
        <v>32</v>
      </c>
      <c r="D60" t="s">
        <v>19</v>
      </c>
      <c r="E60">
        <v>70</v>
      </c>
      <c r="F60">
        <v>70</v>
      </c>
      <c r="G60">
        <v>70</v>
      </c>
      <c r="H60" t="s">
        <v>796</v>
      </c>
    </row>
    <row r="61" spans="2:8">
      <c r="B61" t="s">
        <v>811</v>
      </c>
      <c r="C61" t="s">
        <v>32</v>
      </c>
      <c r="D61" t="s">
        <v>19</v>
      </c>
      <c r="E61">
        <v>0.46</v>
      </c>
      <c r="F61">
        <v>0.47000000000000003</v>
      </c>
      <c r="G61">
        <v>0.48</v>
      </c>
      <c r="H61" t="s">
        <v>146</v>
      </c>
    </row>
    <row r="62" spans="2:8">
      <c r="B62" t="s">
        <v>811</v>
      </c>
      <c r="C62" t="s">
        <v>32</v>
      </c>
      <c r="D62" t="s">
        <v>19</v>
      </c>
      <c r="E62">
        <v>2600</v>
      </c>
      <c r="F62">
        <v>2600</v>
      </c>
      <c r="G62">
        <v>2600</v>
      </c>
      <c r="H62" t="s">
        <v>795</v>
      </c>
    </row>
    <row r="63" spans="2:8">
      <c r="B63" t="s">
        <v>811</v>
      </c>
      <c r="C63" t="s">
        <v>32</v>
      </c>
      <c r="D63" t="s">
        <v>19</v>
      </c>
      <c r="E63">
        <v>80</v>
      </c>
      <c r="F63">
        <v>80</v>
      </c>
      <c r="G63">
        <v>80</v>
      </c>
      <c r="H63" t="s">
        <v>796</v>
      </c>
    </row>
    <row r="64" spans="2:8">
      <c r="B64" t="s">
        <v>812</v>
      </c>
      <c r="C64" t="s">
        <v>813</v>
      </c>
      <c r="D64" t="s">
        <v>19</v>
      </c>
      <c r="E64">
        <v>1</v>
      </c>
      <c r="F64">
        <v>1</v>
      </c>
      <c r="G64">
        <v>1</v>
      </c>
      <c r="H64" t="s">
        <v>146</v>
      </c>
    </row>
    <row r="65" spans="2:8">
      <c r="B65" t="s">
        <v>812</v>
      </c>
      <c r="C65" t="s">
        <v>813</v>
      </c>
      <c r="D65" t="s">
        <v>19</v>
      </c>
      <c r="E65">
        <v>0.41000000000000003</v>
      </c>
      <c r="F65">
        <v>0.44</v>
      </c>
      <c r="G65">
        <v>0.46</v>
      </c>
      <c r="H65" t="s">
        <v>794</v>
      </c>
    </row>
    <row r="66" spans="2:8">
      <c r="B66" t="s">
        <v>812</v>
      </c>
      <c r="C66" t="s">
        <v>813</v>
      </c>
      <c r="D66" t="s">
        <v>19</v>
      </c>
      <c r="E66">
        <v>5520</v>
      </c>
      <c r="F66">
        <v>3820</v>
      </c>
      <c r="G66">
        <v>2760</v>
      </c>
      <c r="H66" t="s">
        <v>795</v>
      </c>
    </row>
    <row r="67" spans="2:8">
      <c r="B67" t="s">
        <v>812</v>
      </c>
      <c r="C67" t="s">
        <v>813</v>
      </c>
      <c r="D67" t="s">
        <v>19</v>
      </c>
      <c r="E67">
        <v>140</v>
      </c>
      <c r="F67">
        <v>105</v>
      </c>
      <c r="G67">
        <v>85</v>
      </c>
      <c r="H67" t="s">
        <v>796</v>
      </c>
    </row>
    <row r="68" spans="2:8">
      <c r="B68" t="s">
        <v>812</v>
      </c>
      <c r="C68" t="s">
        <v>813</v>
      </c>
      <c r="D68" t="s">
        <v>19</v>
      </c>
      <c r="E68">
        <v>3</v>
      </c>
      <c r="F68">
        <v>3</v>
      </c>
      <c r="G68">
        <v>3</v>
      </c>
      <c r="H68" t="s">
        <v>797</v>
      </c>
    </row>
    <row r="69" spans="2:8">
      <c r="B69" t="s">
        <v>814</v>
      </c>
      <c r="C69" t="s">
        <v>813</v>
      </c>
      <c r="D69" t="s">
        <v>19</v>
      </c>
      <c r="E69">
        <v>1</v>
      </c>
      <c r="F69">
        <v>1</v>
      </c>
      <c r="G69">
        <v>1</v>
      </c>
      <c r="H69" t="s">
        <v>146</v>
      </c>
    </row>
    <row r="70" spans="2:8">
      <c r="B70" t="s">
        <v>814</v>
      </c>
      <c r="C70" t="s">
        <v>813</v>
      </c>
      <c r="D70" t="s">
        <v>19</v>
      </c>
      <c r="E70">
        <v>0.26</v>
      </c>
      <c r="F70">
        <v>0.28000000000000003</v>
      </c>
      <c r="G70">
        <v>0.28999999999999998</v>
      </c>
      <c r="H70" t="s">
        <v>794</v>
      </c>
    </row>
    <row r="71" spans="2:8">
      <c r="B71" t="s">
        <v>814</v>
      </c>
      <c r="C71" t="s">
        <v>813</v>
      </c>
      <c r="D71" t="s">
        <v>19</v>
      </c>
      <c r="E71">
        <v>2380</v>
      </c>
      <c r="F71">
        <v>2250</v>
      </c>
      <c r="G71">
        <v>2140</v>
      </c>
      <c r="H71" t="s">
        <v>795</v>
      </c>
    </row>
    <row r="72" spans="2:8">
      <c r="B72" t="s">
        <v>814</v>
      </c>
      <c r="C72" t="s">
        <v>813</v>
      </c>
      <c r="D72" t="s">
        <v>19</v>
      </c>
      <c r="E72">
        <v>60</v>
      </c>
      <c r="F72">
        <v>58</v>
      </c>
      <c r="G72">
        <v>56</v>
      </c>
      <c r="H72" t="s">
        <v>796</v>
      </c>
    </row>
    <row r="73" spans="2:8">
      <c r="B73" t="s">
        <v>814</v>
      </c>
      <c r="C73" t="s">
        <v>813</v>
      </c>
      <c r="D73" t="s">
        <v>19</v>
      </c>
      <c r="E73">
        <v>1.5</v>
      </c>
      <c r="F73">
        <v>1.5</v>
      </c>
      <c r="G73">
        <v>1.5</v>
      </c>
      <c r="H73" t="s">
        <v>797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2CDCE-D23B-4D89-BD99-704A35E76E5B}">
  <dimension ref="B2:M13"/>
  <sheetViews>
    <sheetView tabSelected="1" workbookViewId="0"/>
  </sheetViews>
  <sheetFormatPr defaultRowHeight="14.25"/>
  <sheetData>
    <row r="2" spans="2:13">
      <c r="B2" t="s">
        <v>234</v>
      </c>
      <c r="H2" t="s">
        <v>163</v>
      </c>
    </row>
    <row r="3" spans="2:13">
      <c r="B3" t="s">
        <v>165</v>
      </c>
      <c r="C3" t="s">
        <v>332</v>
      </c>
      <c r="D3" t="s">
        <v>235</v>
      </c>
      <c r="E3" t="s">
        <v>146</v>
      </c>
      <c r="H3" t="s">
        <v>164</v>
      </c>
      <c r="I3" t="s">
        <v>165</v>
      </c>
      <c r="J3" t="s">
        <v>166</v>
      </c>
      <c r="K3" t="s">
        <v>836</v>
      </c>
      <c r="L3" t="s">
        <v>837</v>
      </c>
      <c r="M3" t="s">
        <v>169</v>
      </c>
    </row>
    <row r="4" spans="2:13">
      <c r="B4" t="s">
        <v>816</v>
      </c>
      <c r="C4" t="s">
        <v>817</v>
      </c>
      <c r="D4" t="s">
        <v>818</v>
      </c>
      <c r="E4">
        <v>1</v>
      </c>
      <c r="H4" t="s">
        <v>269</v>
      </c>
      <c r="I4" t="s">
        <v>816</v>
      </c>
      <c r="J4" t="s">
        <v>838</v>
      </c>
      <c r="K4" t="s">
        <v>21</v>
      </c>
      <c r="L4" t="s">
        <v>10</v>
      </c>
      <c r="M4" t="s">
        <v>273</v>
      </c>
    </row>
    <row r="5" spans="2:13">
      <c r="B5" t="s">
        <v>819</v>
      </c>
      <c r="C5" t="s">
        <v>818</v>
      </c>
      <c r="D5" t="s">
        <v>817</v>
      </c>
      <c r="E5">
        <v>1</v>
      </c>
      <c r="H5" t="s">
        <v>269</v>
      </c>
      <c r="I5" t="s">
        <v>819</v>
      </c>
      <c r="J5" t="s">
        <v>839</v>
      </c>
      <c r="K5" t="s">
        <v>21</v>
      </c>
      <c r="L5" t="s">
        <v>10</v>
      </c>
      <c r="M5" t="s">
        <v>273</v>
      </c>
    </row>
    <row r="6" spans="2:13">
      <c r="B6" t="s">
        <v>820</v>
      </c>
      <c r="C6" t="s">
        <v>821</v>
      </c>
      <c r="D6" t="s">
        <v>822</v>
      </c>
      <c r="E6">
        <v>1</v>
      </c>
      <c r="H6" t="s">
        <v>269</v>
      </c>
      <c r="I6" t="s">
        <v>820</v>
      </c>
      <c r="J6" t="s">
        <v>840</v>
      </c>
      <c r="K6" t="s">
        <v>21</v>
      </c>
      <c r="L6" t="s">
        <v>10</v>
      </c>
      <c r="M6" t="s">
        <v>273</v>
      </c>
    </row>
    <row r="7" spans="2:13">
      <c r="B7" t="s">
        <v>823</v>
      </c>
      <c r="C7" t="s">
        <v>822</v>
      </c>
      <c r="D7" t="s">
        <v>821</v>
      </c>
      <c r="E7">
        <v>1</v>
      </c>
      <c r="H7" t="s">
        <v>269</v>
      </c>
      <c r="I7" t="s">
        <v>823</v>
      </c>
      <c r="J7" t="s">
        <v>841</v>
      </c>
      <c r="K7" t="s">
        <v>21</v>
      </c>
      <c r="L7" t="s">
        <v>10</v>
      </c>
      <c r="M7" t="s">
        <v>273</v>
      </c>
    </row>
    <row r="8" spans="2:13">
      <c r="B8" t="s">
        <v>824</v>
      </c>
      <c r="C8" t="s">
        <v>825</v>
      </c>
      <c r="D8" t="s">
        <v>826</v>
      </c>
      <c r="E8">
        <v>1</v>
      </c>
      <c r="H8" t="s">
        <v>269</v>
      </c>
      <c r="I8" t="s">
        <v>824</v>
      </c>
      <c r="J8" t="s">
        <v>842</v>
      </c>
      <c r="K8" t="s">
        <v>21</v>
      </c>
      <c r="L8" t="s">
        <v>10</v>
      </c>
      <c r="M8" t="s">
        <v>273</v>
      </c>
    </row>
    <row r="9" spans="2:13">
      <c r="B9" t="s">
        <v>827</v>
      </c>
      <c r="C9" t="s">
        <v>826</v>
      </c>
      <c r="D9" t="s">
        <v>825</v>
      </c>
      <c r="E9">
        <v>1</v>
      </c>
      <c r="H9" t="s">
        <v>269</v>
      </c>
      <c r="I9" t="s">
        <v>827</v>
      </c>
      <c r="J9" t="s">
        <v>843</v>
      </c>
      <c r="K9" t="s">
        <v>21</v>
      </c>
      <c r="L9" t="s">
        <v>10</v>
      </c>
      <c r="M9" t="s">
        <v>273</v>
      </c>
    </row>
    <row r="10" spans="2:13">
      <c r="B10" t="s">
        <v>828</v>
      </c>
      <c r="C10" t="s">
        <v>829</v>
      </c>
      <c r="D10" t="s">
        <v>830</v>
      </c>
      <c r="E10">
        <v>1</v>
      </c>
      <c r="H10" t="s">
        <v>269</v>
      </c>
      <c r="I10" t="s">
        <v>828</v>
      </c>
      <c r="J10" t="s">
        <v>844</v>
      </c>
      <c r="K10" t="s">
        <v>21</v>
      </c>
      <c r="L10" t="s">
        <v>10</v>
      </c>
      <c r="M10" t="s">
        <v>273</v>
      </c>
    </row>
    <row r="11" spans="2:13">
      <c r="B11" t="s">
        <v>831</v>
      </c>
      <c r="C11" t="s">
        <v>830</v>
      </c>
      <c r="D11" t="s">
        <v>829</v>
      </c>
      <c r="E11">
        <v>1</v>
      </c>
      <c r="H11" t="s">
        <v>269</v>
      </c>
      <c r="I11" t="s">
        <v>831</v>
      </c>
      <c r="J11" t="s">
        <v>845</v>
      </c>
      <c r="K11" t="s">
        <v>21</v>
      </c>
      <c r="L11" t="s">
        <v>10</v>
      </c>
      <c r="M11" t="s">
        <v>273</v>
      </c>
    </row>
    <row r="12" spans="2:13">
      <c r="B12" t="s">
        <v>832</v>
      </c>
      <c r="C12" t="s">
        <v>833</v>
      </c>
      <c r="D12" t="s">
        <v>834</v>
      </c>
      <c r="E12">
        <v>1</v>
      </c>
      <c r="H12" t="s">
        <v>269</v>
      </c>
      <c r="I12" t="s">
        <v>832</v>
      </c>
      <c r="J12" t="s">
        <v>846</v>
      </c>
      <c r="K12" t="s">
        <v>21</v>
      </c>
      <c r="L12" t="s">
        <v>10</v>
      </c>
      <c r="M12" t="s">
        <v>273</v>
      </c>
    </row>
    <row r="13" spans="2:13">
      <c r="B13" t="s">
        <v>835</v>
      </c>
      <c r="C13" t="s">
        <v>834</v>
      </c>
      <c r="D13" t="s">
        <v>833</v>
      </c>
      <c r="E13">
        <v>1</v>
      </c>
      <c r="H13" t="s">
        <v>269</v>
      </c>
      <c r="I13" t="s">
        <v>835</v>
      </c>
      <c r="J13" t="s">
        <v>847</v>
      </c>
      <c r="K13" t="s">
        <v>21</v>
      </c>
      <c r="L13" t="s">
        <v>10</v>
      </c>
      <c r="M13" t="s">
        <v>273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6BFCCA8-CBC8-4420-8192-FBA74C41319B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misc</vt:lpstr>
      <vt:lpstr>ELC_Storage</vt:lpstr>
      <vt:lpstr>EV Battery</vt:lpstr>
      <vt:lpstr>H2 prod</vt:lpstr>
      <vt:lpstr>solar</vt:lpstr>
      <vt:lpstr>wind</vt:lpstr>
      <vt:lpstr>conventional</vt:lpstr>
      <vt:lpstr>grid_transformers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2019-05-06T14:41:57Z</cp:lastPrinted>
  <dcterms:created xsi:type="dcterms:W3CDTF">2016-08-02T11:07:23Z</dcterms:created>
  <dcterms:modified xsi:type="dcterms:W3CDTF">2025-09-26T16:29:56Z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427268445491790</vt:r8>
  </property>
  <property fmtid="{D5CDD505-2E9C-101B-9397-08002B2CF9AE}" pid="3" name="{A44787D4-0540-4523-9961-78E4036D8C6D}">
    <vt:lpwstr>{302D441D-EDB0-49B8-84B4-625F8847A58E}</vt:lpwstr>
  </property>
</Properties>
</file>