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\SuppXLS\"/>
    </mc:Choice>
  </mc:AlternateContent>
  <xr:revisionPtr revIDLastSave="0" documentId="8_{D4AABCB4-957A-4AAD-9C5C-921962487ECA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<sst xmlns="http://schemas.openxmlformats.org/spreadsheetml/2006/main" count="24556" uniqueCount="352">
  <si>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</si>
  <si>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</si>
  <si>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</si>
  <si>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</si>
  <si>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</si>
  <si>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</si>
  <si>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</si>
  <si>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</si>
  <si>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</si>
  <si>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</si>
  <si>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</si>
  <si>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</si>
  <si>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</si>
  <si>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</si>
  <si>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</si>
  <si>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</si>
  <si>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</si>
  <si>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</si>
  <si>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</si>
  <si>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</si>
  <si>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</si>
  <si>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</si>
  <si>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</si>
  <si>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</si>
  <si>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</si>
  <si>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</si>
  <si>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</si>
  <si>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</si>
  <si>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</si>
  <si>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</si>
  <si>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</si>
  <si>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</si>
  <si>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</si>
  <si>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</si>
  <si>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</si>
  <si>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</si>
  <si>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</si>
  <si>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</si>
  <si>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</si>
  <si>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</si>
  <si>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</si>
  <si>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</si>
  <si>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</si>
  <si>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</si>
  <si>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</si>
  <si>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</si>
  <si>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</si>
  <si>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</si>
  <si>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</si>
  <si>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</si>
  <si>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</si>
  <si>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</si>
  <si>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</si>
  <si>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</si>
  <si>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</si>
  <si>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</si>
  <si>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</si>
  <si>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</si>
  <si>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</si>
  <si>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</si>
  <si>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</si>
  <si>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</si>
  <si>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</si>
  <si>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</si>
  <si>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</si>
  <si>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</si>
  <si>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</si>
  <si>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</si>
  <si>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</si>
  <si>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</si>
  <si>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</si>
  <si>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</si>
  <si>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</si>
  <si>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</si>
  <si>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R10PAC_OECD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</si>
  <si>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</si>
  <si>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</si>
  <si>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</si>
  <si>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</si>
  <si>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</si>
  <si>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</si>
  <si>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</si>
  <si>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</si>
  <si>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</si>
  <si>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</si>
  <si>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</si>
  <si>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</si>
  <si>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</si>
  <si>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</si>
  <si>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</si>
  <si>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</si>
  <si>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</si>
  <si>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</si>
  <si>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</si>
  <si>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</si>
  <si>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</si>
  <si>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</si>
  <si>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</si>
  <si>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</si>
  <si>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</si>
  <si>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</si>
  <si>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</si>
  <si>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</si>
  <si>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</si>
  <si>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</si>
  <si>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</si>
  <si>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</si>
  <si>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</si>
  <si>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</si>
  <si>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</si>
  <si>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</si>
  <si>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</si>
  <si>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</si>
  <si>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</si>
  <si>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</si>
  <si>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</si>
  <si>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</si>
  <si>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</si>
  <si>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</si>
  <si>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</si>
  <si>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</si>
  <si>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</si>
  <si>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</si>
  <si>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</si>
  <si>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</si>
  <si>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</si>
  <si>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</si>
  <si>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</si>
  <si>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</si>
  <si>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</si>
  <si>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</si>
  <si>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</si>
  <si>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</si>
  <si>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</si>
  <si>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</si>
  <si>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</si>
  <si>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</si>
  <si>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</si>
  <si>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</si>
  <si>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</si>
  <si>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</si>
  <si>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</si>
  <si>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</si>
  <si>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JPN</t>
  </si>
  <si>
    <t>LNG dependent, imports pellets for co-firing</t>
  </si>
  <si>
    <t>1,2,3,4,5,6,7,8,9,10,11,12,13,14,15,21,22,23,24,25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</si>
  <si>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</si>
  <si>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</si>
  <si>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</si>
  <si>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</si>
  <si>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</si>
  <si>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</si>
  <si>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</si>
  <si>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</si>
  <si>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</si>
  <si>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</si>
  <si>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</si>
  <si>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</si>
  <si>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</si>
  <si>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</si>
  <si>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</si>
  <si>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</si>
  <si>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</si>
  <si>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</si>
  <si>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</si>
  <si>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</si>
  <si>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</si>
  <si>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</si>
  <si>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</si>
  <si>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</si>
  <si>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</si>
  <si>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</si>
  <si>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</si>
  <si>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</si>
  <si>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</si>
  <si>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</si>
  <si>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</si>
  <si>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</si>
  <si>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</si>
  <si>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</si>
  <si>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</si>
  <si>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</si>
  <si>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</si>
  <si>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</si>
  <si>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</si>
  <si>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</si>
  <si>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</si>
  <si>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</si>
  <si>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</si>
  <si>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</si>
  <si>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</si>
  <si>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</si>
  <si>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</si>
  <si>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</si>
  <si>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</si>
  <si>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</si>
  <si>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</si>
  <si>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</si>
  <si>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</si>
  <si>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</si>
  <si>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</si>
  <si>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</si>
  <si>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</si>
  <si>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</si>
  <si>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</si>
  <si>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</si>
  <si>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</si>
  <si>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</si>
  <si>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</si>
  <si>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</si>
  <si>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</si>
  <si>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</si>
  <si>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</si>
  <si>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</si>
  <si>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</si>
  <si>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</si>
  <si>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</si>
  <si>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</si>
  <si>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</si>
  <si>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</si>
  <si>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</si>
  <si>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</si>
  <si>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</si>
  <si>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</si>
  <si>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</si>
  <si>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</si>
  <si>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</si>
  <si>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</si>
  <si>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</si>
  <si>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</si>
  <si>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</si>
  <si>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</si>
  <si>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</si>
  <si>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</si>
  <si>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</si>
  <si>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</si>
  <si>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</si>
  <si>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</si>
  <si>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</si>
  <si>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</si>
  <si>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</si>
  <si>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</si>
  <si>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</si>
  <si>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</si>
  <si>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</si>
  <si>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</si>
  <si>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</si>
  <si>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</si>
  <si>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</si>
  <si>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</si>
  <si>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</si>
  <si>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</si>
  <si>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</si>
  <si>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</si>
  <si>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</si>
  <si>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</si>
  <si>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</si>
  <si>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</si>
  <si>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</si>
  <si>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</si>
  <si>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</si>
  <si>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</si>
  <si>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</si>
  <si>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</si>
  <si>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</si>
  <si>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</si>
  <si>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</si>
  <si>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</si>
  <si>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</si>
  <si>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elc_wof_034</t>
  </si>
  <si>
    <t>elc_wof_035</t>
  </si>
  <si>
    <t>elc_wof_036</t>
  </si>
  <si>
    <t>elc_wof_037</t>
  </si>
  <si>
    <t>elc_wof_038</t>
  </si>
  <si>
    <t>elc_wof_039</t>
  </si>
  <si>
    <t>elc_wof_040</t>
  </si>
  <si>
    <t>elc_wof_041</t>
  </si>
  <si>
    <t>elc_wof_042</t>
  </si>
  <si>
    <t>elc_wof_043</t>
  </si>
  <si>
    <t>elc_wof_044</t>
  </si>
  <si>
    <t>g_yrfr</t>
  </si>
  <si>
    <t>day_night</t>
  </si>
  <si>
    <t>D</t>
  </si>
  <si>
    <t>S01aH02,S04aH02,S02aH02,S03aH02</t>
  </si>
  <si>
    <t>N</t>
  </si>
  <si>
    <t>S01aH01,S04aH01,S04aH03,S01aH03,S02aH01,S02aH03,S03aH01,S03aH03</t>
  </si>
  <si>
    <t>com_pkflx</t>
  </si>
  <si>
    <t>ncap_afs</t>
  </si>
  <si>
    <t>pset_ci</t>
  </si>
  <si>
    <t>hydro</t>
  </si>
  <si>
    <t>S01,S02,S03,S04,S05,S06,S07</t>
  </si>
  <si>
    <t>H04</t>
  </si>
  <si>
    <t>S05</t>
  </si>
  <si>
    <t>H05</t>
  </si>
  <si>
    <t>S06</t>
  </si>
  <si>
    <t>H06</t>
  </si>
  <si>
    <t>S07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</si>
  <si>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</si>
  <si>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</si>
  <si>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</si>
  <si>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</si>
  <si>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</si>
  <si>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</si>
  <si>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</si>
  <si>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</si>
  <si>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</si>
  <si>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</si>
  <si>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</si>
  <si>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</si>
  <si>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</si>
  <si>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</si>
  <si>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</si>
  <si>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</si>
  <si>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</si>
  <si>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</si>
  <si>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</si>
  <si>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</si>
  <si>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</si>
  <si>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</si>
  <si>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</si>
  <si>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</si>
  <si>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</si>
  <si>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</si>
  <si>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</si>
  <si>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</si>
  <si>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</si>
  <si>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</si>
  <si>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S02aH03,S07aH03,S01aH02,S04aH04,S02aH02,S03aH02,S02aH04,S04aH02,S05aH04,S06aH02,S06aH03,S06aH04,S01aH04,S07aH02,S03aH04,S04aH03,S07aH04,S03aH03,S01aH03,S05aH02,S05aH03</t>
  </si>
  <si>
    <t>S01aH01,S04aH01,S04aH06,S01aH05,S03aH06,S06aH05,S03aH01,S02aH06,S03aH05,S05aH05,S07aH05,S01aH06,S07aH01,S02aH05,S05aH01,S07aH06,S02aH01,S05aH06,S06aH06,S04aH05,S06aH01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</si>
  <si>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</si>
  <si>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</si>
  <si>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</si>
  <si>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</si>
  <si>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</si>
  <si>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</si>
  <si>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</si>
  <si>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</si>
  <si>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</si>
  <si>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</si>
  <si>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</si>
  <si>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</si>
  <si>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</si>
  <si>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</si>
  <si>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</si>
  <si>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</si>
  <si>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</si>
  <si>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</si>
  <si>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</si>
  <si>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</si>
  <si>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</si>
  <si>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FaD,WaD,FaP,SaP,RaD,SaD,RaP,WaP</t>
  </si>
  <si>
    <t>RaP,SaN,WaN,FaN,WaP,FaP,SaP,RaN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</si>
</sst>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1008.91</c:v>
                </c:pt>
                <c:pt idx="1">
                  <c:v>998.82089999999994</c:v>
                </c:pt>
                <c:pt idx="2">
                  <c:v>1008.91</c:v>
                </c:pt>
                <c:pt idx="3">
                  <c:v>1018.9991</c:v>
                </c:pt>
                <c:pt idx="4">
                  <c:v>1140.0682999999999</c:v>
                </c:pt>
                <c:pt idx="5">
                  <c:v>1210.692</c:v>
                </c:pt>
                <c:pt idx="6">
                  <c:v>1341.8503000000001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56.33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8"/>
  <sheetViews>
    <sheetView topLeftCell="X1" workbookViewId="0">
      <selection activeCell="AI17" sqref="AI17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120</v>
      </c>
    </row>
    <row r="8" spans="1:38" ht="14.65" thickBot="1" x14ac:dyDescent="0.5">
      <c r="A8" s="4" t="s">
        <v>125</v>
      </c>
      <c r="B8" s="4" t="s">
        <v>121</v>
      </c>
      <c r="C8" s="4" t="s">
        <v>122</v>
      </c>
      <c r="D8" s="4" t="s">
        <v>123</v>
      </c>
      <c r="E8" s="4" t="s">
        <v>124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108</v>
      </c>
      <c r="AI9" t="s">
        <v>141</v>
      </c>
      <c r="AJ9" s="10">
        <v>1</v>
      </c>
      <c r="AK9" t="s">
        <v>0</v>
      </c>
      <c r="AL9" t="s">
        <v>111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133</v>
      </c>
      <c r="AI10" t="s">
        <v>140</v>
      </c>
      <c r="AJ10" s="10">
        <v>1</v>
      </c>
      <c r="AK10" t="s">
        <v>2</v>
      </c>
      <c r="AL10" t="s">
        <v>113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126</v>
      </c>
      <c r="AI11" t="s">
        <v>139</v>
      </c>
      <c r="AJ11" s="10">
        <v>1</v>
      </c>
      <c r="AK11" t="s">
        <v>5</v>
      </c>
      <c r="AL11" t="s">
        <v>115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1008.91</v>
      </c>
      <c r="T12" s="2" t="s">
        <v>57</v>
      </c>
      <c r="AG12">
        <v>4</v>
      </c>
      <c r="AH12" t="s">
        <v>127</v>
      </c>
      <c r="AI12" t="s">
        <v>138</v>
      </c>
      <c r="AJ12" s="10">
        <v>1</v>
      </c>
      <c r="AK12" t="s">
        <v>7</v>
      </c>
      <c r="AL12" t="s">
        <v>117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128</v>
      </c>
      <c r="AI13" t="s">
        <v>137</v>
      </c>
      <c r="AJ13" s="10">
        <v>1</v>
      </c>
      <c r="AK13" t="s">
        <v>9</v>
      </c>
      <c r="AL13" t="s">
        <v>118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1008.91</v>
      </c>
      <c r="U14" s="8">
        <f t="shared" ref="U14:Z14" si="3">$S$12*J15</f>
        <v>998.82089999999994</v>
      </c>
      <c r="V14" s="8">
        <f t="shared" si="3"/>
        <v>1008.91</v>
      </c>
      <c r="W14" s="8">
        <f t="shared" si="3"/>
        <v>1018.9991</v>
      </c>
      <c r="X14" s="8">
        <f t="shared" si="3"/>
        <v>1140.0682999999999</v>
      </c>
      <c r="Y14" s="8">
        <f t="shared" si="3"/>
        <v>1210.692</v>
      </c>
      <c r="Z14" s="8">
        <f t="shared" si="3"/>
        <v>1341.8503000000001</v>
      </c>
      <c r="AG14">
        <v>6</v>
      </c>
      <c r="AH14" t="s">
        <v>129</v>
      </c>
      <c r="AI14" t="s">
        <v>136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0.99</v>
      </c>
      <c r="K15" s="11">
        <f>SUMIFS(ar6_r10!$F$2:$F$999,ar6_r10!$A$2:$A$999,Veda!$E$5,ar6_r10!$C$2:$C$999,Veda!K$17,ar6_r10!$M$2:$M$999,Veda!$G15)</f>
        <v>1</v>
      </c>
      <c r="L15" s="11">
        <f>SUMIFS(ar6_r10!$F$2:$F$999,ar6_r10!$A$2:$A$999,Veda!$E$5,ar6_r10!$C$2:$C$999,Veda!L$17,ar6_r10!$M$2:$M$999,Veda!$G15)</f>
        <v>1.01</v>
      </c>
      <c r="M15" s="11">
        <f>SUMIFS(ar6_r10!$F$2:$F$999,ar6_r10!$A$2:$A$999,Veda!$E$5,ar6_r10!$C$2:$C$999,Veda!M$17,ar6_r10!$M$2:$M$999,Veda!$G15)</f>
        <v>1.1299999999999999</v>
      </c>
      <c r="N15" s="11">
        <f>SUMIFS(ar6_r10!$F$2:$F$999,ar6_r10!$A$2:$A$999,Veda!$E$5,ar6_r10!$C$2:$C$999,Veda!N$17,ar6_r10!$M$2:$M$999,Veda!$G15)</f>
        <v>1.2</v>
      </c>
      <c r="O15" s="11">
        <f>SUMIFS(ar6_r10!$F$2:$F$999,ar6_r10!$A$2:$A$999,Veda!$E$5,ar6_r10!$C$2:$C$999,Veda!O$17,ar6_r10!$M$2:$M$999,Veda!$G15)</f>
        <v>1.33</v>
      </c>
      <c r="AG15">
        <v>7</v>
      </c>
      <c r="AH15" t="s">
        <v>130</v>
      </c>
      <c r="AI15" t="s">
        <v>142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131</v>
      </c>
      <c r="AI16" t="s">
        <v>135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132</v>
      </c>
      <c r="AI17" t="s">
        <v>134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10.189991000000001</v>
      </c>
      <c r="X18" s="6">
        <f t="shared" si="7"/>
        <v>11.400682999999999</v>
      </c>
      <c r="Y18" s="6">
        <f t="shared" si="7"/>
        <v>24.213840000000001</v>
      </c>
      <c r="Z18" s="6">
        <f t="shared" si="7"/>
        <v>40.255509000000004</v>
      </c>
      <c r="AA18" t="s">
        <v>17</v>
      </c>
      <c r="AC18" s="2"/>
      <c r="AG18">
        <v>10</v>
      </c>
      <c r="AH18" t="s">
        <v>103</v>
      </c>
      <c r="AI18" t="s">
        <v>110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0.34</v>
      </c>
      <c r="J19" s="11">
        <f>SUMIFS(ar6_r10!$F$2:$F$999,ar6_r10!$A$2:$A$999,Veda!$E$5,ar6_r10!$C$2:$C$999,Veda!J$17,ar6_r10!$M$2:$M$999,Veda!$G19)</f>
        <v>0.3</v>
      </c>
      <c r="K19" s="11">
        <f>SUMIFS(ar6_r10!$F$2:$F$999,ar6_r10!$A$2:$A$999,Veda!$E$5,ar6_r10!$C$2:$C$999,Veda!K$17,ar6_r10!$M$2:$M$999,Veda!$G19)</f>
        <v>0.28999999999999998</v>
      </c>
      <c r="L19" s="11">
        <f>SUMIFS(ar6_r10!$F$2:$F$999,ar6_r10!$A$2:$A$999,Veda!$E$5,ar6_r10!$C$2:$C$999,Veda!L$17,ar6_r10!$M$2:$M$999,Veda!$G19)</f>
        <v>0.27</v>
      </c>
      <c r="M19" s="11">
        <f>SUMIFS(ar6_r10!$F$2:$F$999,ar6_r10!$A$2:$A$999,Veda!$E$5,ar6_r10!$C$2:$C$999,Veda!M$17,ar6_r10!$M$2:$M$999,Veda!$G19)</f>
        <v>0.28000000000000003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0.28999999999999998</v>
      </c>
      <c r="S19" s="10" t="s">
        <v>19</v>
      </c>
      <c r="T19" s="6">
        <f t="shared" si="7"/>
        <v>343.02940000000001</v>
      </c>
      <c r="U19" s="6">
        <f t="shared" si="7"/>
        <v>299.64626999999996</v>
      </c>
      <c r="V19" s="6">
        <f t="shared" si="7"/>
        <v>292.58389999999997</v>
      </c>
      <c r="W19" s="6">
        <f t="shared" si="7"/>
        <v>275.12975700000004</v>
      </c>
      <c r="X19" s="6">
        <f t="shared" si="7"/>
        <v>319.21912400000002</v>
      </c>
      <c r="Y19" s="6">
        <f t="shared" si="7"/>
        <v>351.10067999999995</v>
      </c>
      <c r="Z19" s="6">
        <f t="shared" si="7"/>
        <v>389.13658699999996</v>
      </c>
      <c r="AA19" t="s">
        <v>17</v>
      </c>
      <c r="AG19">
        <v>11</v>
      </c>
      <c r="AH19" t="s">
        <v>104</v>
      </c>
      <c r="AI19" t="s">
        <v>112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0.64</v>
      </c>
      <c r="J20" s="11">
        <f>SUMIFS(ar6_r10!$F$2:$F$999,ar6_r10!$A$2:$A$999,Veda!$E$5,ar6_r10!$C$2:$C$999,Veda!J$17,ar6_r10!$M$2:$M$999,Veda!$G20)</f>
        <v>0.67</v>
      </c>
      <c r="K20" s="11">
        <f>SUMIFS(ar6_r10!$F$2:$F$999,ar6_r10!$A$2:$A$999,Veda!$E$5,ar6_r10!$C$2:$C$999,Veda!K$17,ar6_r10!$M$2:$M$999,Veda!$G20)</f>
        <v>0.67</v>
      </c>
      <c r="L20" s="11">
        <f>SUMIFS(ar6_r10!$F$2:$F$999,ar6_r10!$A$2:$A$999,Veda!$E$5,ar6_r10!$C$2:$C$999,Veda!L$17,ar6_r10!$M$2:$M$999,Veda!$G20)</f>
        <v>0.65</v>
      </c>
      <c r="M20" s="11">
        <f>SUMIFS(ar6_r10!$F$2:$F$999,ar6_r10!$A$2:$A$999,Veda!$E$5,ar6_r10!$C$2:$C$999,Veda!M$17,ar6_r10!$M$2:$M$999,Veda!$G20)</f>
        <v>0.62</v>
      </c>
      <c r="N20" s="11">
        <f>SUMIFS(ar6_r10!$F$2:$F$999,ar6_r10!$A$2:$A$999,Veda!$E$5,ar6_r10!$C$2:$C$999,Veda!N$17,ar6_r10!$M$2:$M$999,Veda!$G20)</f>
        <v>0.59</v>
      </c>
      <c r="O20" s="11">
        <f>SUMIFS(ar6_r10!$F$2:$F$999,ar6_r10!$A$2:$A$999,Veda!$E$5,ar6_r10!$C$2:$C$999,Veda!O$17,ar6_r10!$M$2:$M$999,Veda!$G20)</f>
        <v>0.57999999999999996</v>
      </c>
      <c r="S20" s="10" t="s">
        <v>22</v>
      </c>
      <c r="T20" s="6">
        <f t="shared" si="7"/>
        <v>645.70240000000001</v>
      </c>
      <c r="U20" s="6">
        <f t="shared" si="7"/>
        <v>669.21000300000003</v>
      </c>
      <c r="V20" s="6">
        <f t="shared" si="7"/>
        <v>675.96969999999999</v>
      </c>
      <c r="W20" s="6">
        <f t="shared" si="7"/>
        <v>662.34941500000002</v>
      </c>
      <c r="X20" s="6">
        <f t="shared" si="7"/>
        <v>706.84234599999991</v>
      </c>
      <c r="Y20" s="6">
        <f t="shared" si="7"/>
        <v>714.30827999999997</v>
      </c>
      <c r="Z20" s="6">
        <f t="shared" si="7"/>
        <v>778.27317399999993</v>
      </c>
      <c r="AA20" t="s">
        <v>17</v>
      </c>
      <c r="AG20">
        <v>12</v>
      </c>
      <c r="AH20" t="s">
        <v>107</v>
      </c>
      <c r="AI20" t="s">
        <v>119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0.02</v>
      </c>
      <c r="J21" s="11">
        <f>SUMIFS(ar6_r10!$F$2:$F$999,ar6_r10!$A$2:$A$999,Veda!$E$5,ar6_r10!$C$2:$C$999,Veda!J$17,ar6_r10!$M$2:$M$999,Veda!$G21)</f>
        <v>0.03</v>
      </c>
      <c r="K21" s="11">
        <f>SUMIFS(ar6_r10!$F$2:$F$999,ar6_r10!$A$2:$A$999,Veda!$E$5,ar6_r10!$C$2:$C$999,Veda!K$17,ar6_r10!$M$2:$M$999,Veda!$G21)</f>
        <v>0.03</v>
      </c>
      <c r="L21" s="11">
        <f>SUMIFS(ar6_r10!$F$2:$F$999,ar6_r10!$A$2:$A$999,Veda!$E$5,ar6_r10!$C$2:$C$999,Veda!L$17,ar6_r10!$M$2:$M$999,Veda!$G21)</f>
        <v>0.05</v>
      </c>
      <c r="M21" s="11">
        <f>SUMIFS(ar6_r10!$F$2:$F$999,ar6_r10!$A$2:$A$999,Veda!$E$5,ar6_r10!$C$2:$C$999,Veda!M$17,ar6_r10!$M$2:$M$999,Veda!$G21)</f>
        <v>0.08</v>
      </c>
      <c r="N21" s="11">
        <f>SUMIFS(ar6_r10!$F$2:$F$999,ar6_r10!$A$2:$A$999,Veda!$E$5,ar6_r10!$C$2:$C$999,Veda!N$17,ar6_r10!$M$2:$M$999,Veda!$G21)</f>
        <v>0.11</v>
      </c>
      <c r="O21" s="11">
        <f>SUMIFS(ar6_r10!$F$2:$F$999,ar6_r10!$A$2:$A$999,Veda!$E$5,ar6_r10!$C$2:$C$999,Veda!O$17,ar6_r10!$M$2:$M$999,Veda!$G21)</f>
        <v>0.12</v>
      </c>
      <c r="S21" s="10" t="s">
        <v>24</v>
      </c>
      <c r="T21" s="6">
        <f>I21*T$14</f>
        <v>20.1782</v>
      </c>
      <c r="U21" s="6">
        <f t="shared" ref="U21:Z21" si="8">T21</f>
        <v>20.1782</v>
      </c>
      <c r="V21" s="6">
        <f t="shared" si="8"/>
        <v>20.1782</v>
      </c>
      <c r="W21" s="6">
        <f t="shared" si="8"/>
        <v>20.1782</v>
      </c>
      <c r="X21" s="6">
        <f t="shared" si="8"/>
        <v>20.1782</v>
      </c>
      <c r="Y21" s="6">
        <f t="shared" si="8"/>
        <v>20.1782</v>
      </c>
      <c r="Z21" s="6">
        <f t="shared" si="8"/>
        <v>20.1782</v>
      </c>
      <c r="AA21" t="s">
        <v>17</v>
      </c>
      <c r="AC21" s="2" t="s">
        <v>20</v>
      </c>
      <c r="AG21">
        <v>13</v>
      </c>
      <c r="AH21" t="s">
        <v>105</v>
      </c>
      <c r="AI21" t="s">
        <v>114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</v>
      </c>
      <c r="U22" s="6">
        <f t="shared" si="9"/>
        <v>9.7864270000000033</v>
      </c>
      <c r="V22" s="6">
        <f t="shared" si="9"/>
        <v>20.178200000000061</v>
      </c>
      <c r="W22" s="6">
        <f t="shared" si="9"/>
        <v>61.341727999999989</v>
      </c>
      <c r="X22" s="6">
        <f t="shared" si="9"/>
        <v>93.828629999999976</v>
      </c>
      <c r="Y22" s="6">
        <f t="shared" si="9"/>
        <v>125.10483999999997</v>
      </c>
      <c r="Z22" s="6">
        <f t="shared" si="9"/>
        <v>154.26233900000011</v>
      </c>
      <c r="AA22" t="s">
        <v>17</v>
      </c>
      <c r="AG22">
        <v>14</v>
      </c>
      <c r="AH22" t="s">
        <v>106</v>
      </c>
      <c r="AI22" t="s">
        <v>116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56.33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5.6329999999999998E-2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0</v>
      </c>
      <c r="S29" t="s">
        <v>35</v>
      </c>
      <c r="T29" s="3">
        <f>-1*Q29</f>
        <v>0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75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1.1299999999999999</v>
      </c>
      <c r="L37" s="11">
        <f>SUMIFS(ar6_r10!$F$2:$F$999,ar6_r10!$A$2:$A$999,Veda!$G$36,ar6_r10!$C$2:$C$999,Veda!L$17,ar6_r10!$M$2:$M$999,Veda!$G37)</f>
        <v>1.1599999999999999</v>
      </c>
      <c r="M37" s="11">
        <f>SUMIFS(ar6_r10!$F$2:$F$999,ar6_r10!$A$2:$A$999,Veda!$G$36,ar6_r10!$C$2:$C$999,Veda!M$17,ar6_r10!$M$2:$M$999,Veda!$G37)</f>
        <v>1.19</v>
      </c>
      <c r="N37" s="11">
        <f>SUMIFS(ar6_r10!$F$2:$F$999,ar6_r10!$A$2:$A$999,Veda!$G$36,ar6_r10!$C$2:$C$999,Veda!N$17,ar6_r10!$M$2:$M$999,Veda!$G37)</f>
        <v>1.27</v>
      </c>
      <c r="O37" s="11">
        <f>SUMIFS(ar6_r10!$F$2:$F$999,ar6_r10!$A$2:$A$999,Veda!$G$36,ar6_r10!$C$2:$C$999,Veda!O$17,ar6_r10!$M$2:$M$999,Veda!$G37)</f>
        <v>1.31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76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1.0900000000000001</v>
      </c>
      <c r="L38" s="11">
        <f>SUMIFS(ar6_r10!$F$2:$F$999,ar6_r10!$A$2:$A$999,Veda!$G$36,ar6_r10!$C$2:$C$999,Veda!L$17,ar6_r10!$M$2:$M$999,Veda!$G38)</f>
        <v>1.18</v>
      </c>
      <c r="M38" s="11">
        <f>SUMIFS(ar6_r10!$F$2:$F$999,ar6_r10!$A$2:$A$999,Veda!$G$36,ar6_r10!$C$2:$C$999,Veda!M$17,ar6_r10!$M$2:$M$999,Veda!$G38)</f>
        <v>1.27</v>
      </c>
      <c r="N38" s="11">
        <f>SUMIFS(ar6_r10!$F$2:$F$999,ar6_r10!$A$2:$A$999,Veda!$G$36,ar6_r10!$C$2:$C$999,Veda!N$17,ar6_r10!$M$2:$M$999,Veda!$G38)</f>
        <v>1.35</v>
      </c>
      <c r="O38" s="11">
        <f>SUMIFS(ar6_r10!$F$2:$F$999,ar6_r10!$A$2:$A$999,Veda!$G$36,ar6_r10!$C$2:$C$999,Veda!O$17,ar6_r10!$M$2:$M$999,Veda!$G38)</f>
        <v>1.41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77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1.04</v>
      </c>
      <c r="K39" s="11">
        <f>SUMIFS(ar6_r10!$F$2:$F$999,ar6_r10!$A$2:$A$999,Veda!$G$36,ar6_r10!$C$2:$C$999,Veda!K$17,ar6_r10!$M$2:$M$999,Veda!$G39)</f>
        <v>1.05</v>
      </c>
      <c r="L39" s="11">
        <f>SUMIFS(ar6_r10!$F$2:$F$999,ar6_r10!$A$2:$A$999,Veda!$G$36,ar6_r10!$C$2:$C$999,Veda!L$17,ar6_r10!$M$2:$M$999,Veda!$G39)</f>
        <v>1.04</v>
      </c>
      <c r="M39" s="11">
        <f>SUMIFS(ar6_r10!$F$2:$F$999,ar6_r10!$A$2:$A$999,Veda!$G$36,ar6_r10!$C$2:$C$999,Veda!M$17,ar6_r10!$M$2:$M$999,Veda!$G39)</f>
        <v>1.04</v>
      </c>
      <c r="N39" s="11">
        <f>SUMIFS(ar6_r10!$F$2:$F$999,ar6_r10!$A$2:$A$999,Veda!$G$36,ar6_r10!$C$2:$C$999,Veda!N$17,ar6_r10!$M$2:$M$999,Veda!$G39)</f>
        <v>1.17</v>
      </c>
      <c r="O39" s="11">
        <f>SUMIFS(ar6_r10!$F$2:$F$999,ar6_r10!$A$2:$A$999,Veda!$G$36,ar6_r10!$C$2:$C$999,Veda!O$17,ar6_r10!$M$2:$M$999,Veda!$G39)</f>
        <v>1.25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78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1.01</v>
      </c>
      <c r="K40" s="11">
        <f>SUMIFS(ar6_r10!$F$2:$F$999,ar6_r10!$A$2:$A$999,Veda!$G$36,ar6_r10!$C$2:$C$999,Veda!K$17,ar6_r10!$M$2:$M$999,Veda!$G40)</f>
        <v>0.99</v>
      </c>
      <c r="L40" s="11">
        <f>SUMIFS(ar6_r10!$F$2:$F$999,ar6_r10!$A$2:$A$999,Veda!$G$36,ar6_r10!$C$2:$C$999,Veda!L$17,ar6_r10!$M$2:$M$999,Veda!$G40)</f>
        <v>0.97</v>
      </c>
      <c r="M40" s="11">
        <f>SUMIFS(ar6_r10!$F$2:$F$999,ar6_r10!$A$2:$A$999,Veda!$G$36,ar6_r10!$C$2:$C$999,Veda!M$17,ar6_r10!$M$2:$M$999,Veda!$G40)</f>
        <v>0.92</v>
      </c>
      <c r="N40" s="11">
        <f>SUMIFS(ar6_r10!$F$2:$F$999,ar6_r10!$A$2:$A$999,Veda!$G$36,ar6_r10!$C$2:$C$999,Veda!N$17,ar6_r10!$M$2:$M$999,Veda!$G40)</f>
        <v>0.95</v>
      </c>
      <c r="O40" s="11">
        <f>SUMIFS(ar6_r10!$F$2:$F$999,ar6_r10!$A$2:$A$999,Veda!$G$36,ar6_r10!$C$2:$C$999,Veda!O$17,ar6_r10!$M$2:$M$999,Veda!$G40)</f>
        <v>1.02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85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109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83</v>
      </c>
      <c r="S44" t="s">
        <v>84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79</v>
      </c>
      <c r="H45" t="str">
        <f>G45</f>
        <v>Gas</v>
      </c>
      <c r="I45">
        <f t="shared" ref="I45:O48" si="12">AVERAGE($R45:$S45)*I37</f>
        <v>41.05</v>
      </c>
      <c r="J45">
        <f t="shared" si="12"/>
        <v>42.281500000000001</v>
      </c>
      <c r="K45">
        <f t="shared" si="12"/>
        <v>46.386499999999991</v>
      </c>
      <c r="L45">
        <f t="shared" si="12"/>
        <v>47.617999999999995</v>
      </c>
      <c r="M45">
        <f t="shared" si="12"/>
        <v>48.849499999999992</v>
      </c>
      <c r="N45">
        <f t="shared" si="12"/>
        <v>52.133499999999998</v>
      </c>
      <c r="O45">
        <f t="shared" si="12"/>
        <v>53.775500000000001</v>
      </c>
      <c r="R45">
        <f>HLOOKUP($G45&amp;"_"&amp;R$44,fuel_prices!$B$10:$I$11,2,FALSE)</f>
        <v>34.200000000000003</v>
      </c>
      <c r="S45">
        <f>HLOOKUP($G45&amp;"_"&amp;S$44,fuel_prices!$B$10:$I$11,2,FALSE)</f>
        <v>47.9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80</v>
      </c>
      <c r="H46" t="str">
        <f t="shared" ref="H46:H48" si="13">G46</f>
        <v>Coal</v>
      </c>
      <c r="I46">
        <f t="shared" si="12"/>
        <v>20.6</v>
      </c>
      <c r="J46">
        <f t="shared" si="12"/>
        <v>21.218000000000004</v>
      </c>
      <c r="K46">
        <f t="shared" si="12"/>
        <v>22.454000000000004</v>
      </c>
      <c r="L46">
        <f t="shared" si="12"/>
        <v>24.308</v>
      </c>
      <c r="M46">
        <f t="shared" si="12"/>
        <v>26.162000000000003</v>
      </c>
      <c r="N46">
        <f t="shared" si="12"/>
        <v>27.810000000000002</v>
      </c>
      <c r="O46">
        <f t="shared" si="12"/>
        <v>29.045999999999999</v>
      </c>
      <c r="R46">
        <f>HLOOKUP($G46&amp;"_"&amp;R$44,fuel_prices!$B$10:$I$11,2,FALSE)</f>
        <v>18.3</v>
      </c>
      <c r="S46">
        <f>HLOOKUP($G46&amp;"_"&amp;S$44,fuel_prices!$B$10:$I$11,2,FALSE)</f>
        <v>22.9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81</v>
      </c>
      <c r="H47" t="str">
        <f t="shared" si="13"/>
        <v>Oil</v>
      </c>
      <c r="I47">
        <f t="shared" si="12"/>
        <v>53</v>
      </c>
      <c r="J47">
        <f t="shared" si="12"/>
        <v>55.120000000000005</v>
      </c>
      <c r="K47">
        <f t="shared" si="12"/>
        <v>55.650000000000006</v>
      </c>
      <c r="L47">
        <f t="shared" si="12"/>
        <v>55.120000000000005</v>
      </c>
      <c r="M47">
        <f t="shared" si="12"/>
        <v>55.120000000000005</v>
      </c>
      <c r="N47">
        <f t="shared" si="12"/>
        <v>62.01</v>
      </c>
      <c r="O47">
        <f t="shared" si="12"/>
        <v>66.25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82</v>
      </c>
      <c r="H48" t="str">
        <f t="shared" si="13"/>
        <v>Bioenergy</v>
      </c>
      <c r="I48">
        <f t="shared" si="12"/>
        <v>32</v>
      </c>
      <c r="J48">
        <f t="shared" si="12"/>
        <v>32.32</v>
      </c>
      <c r="K48">
        <f t="shared" si="12"/>
        <v>31.68</v>
      </c>
      <c r="L48">
        <f t="shared" si="12"/>
        <v>31.04</v>
      </c>
      <c r="M48">
        <f t="shared" si="12"/>
        <v>29.44</v>
      </c>
      <c r="N48">
        <f t="shared" si="12"/>
        <v>30.4</v>
      </c>
      <c r="O48">
        <f t="shared" si="12"/>
        <v>32.64</v>
      </c>
      <c r="R48">
        <f>HLOOKUP($G48&amp;"_"&amp;R$44,fuel_prices!$B$10:$I$11,2,FALSE)</f>
        <v>28</v>
      </c>
      <c r="S48">
        <f>HLOOKUP($G48&amp;"_"&amp;S$44,fuel_prices!$B$10:$I$11,2,FALSE)</f>
        <v>36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34.200000000000003</v>
      </c>
      <c r="C11">
        <v>47.9</v>
      </c>
      <c r="D11">
        <v>18.3</v>
      </c>
      <c r="E11">
        <v>22.9</v>
      </c>
      <c r="F11">
        <v>48</v>
      </c>
      <c r="G11">
        <v>58</v>
      </c>
      <c r="H11">
        <v>28</v>
      </c>
      <c r="I11">
        <v>36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517.57000000000005</v>
      </c>
      <c r="D11">
        <v>535.51</v>
      </c>
      <c r="E11">
        <v>18.57</v>
      </c>
      <c r="F11">
        <v>0</v>
      </c>
      <c r="G11">
        <v>0</v>
      </c>
      <c r="H11">
        <v>0</v>
      </c>
      <c r="I11">
        <v>1053.95</v>
      </c>
    </row>
    <row r="12" spans="1:9" x14ac:dyDescent="0.45">
      <c r="A12" t="s">
        <v>143</v>
      </c>
      <c r="B12">
        <v>2001</v>
      </c>
      <c r="C12">
        <v>498.45</v>
      </c>
      <c r="D12">
        <v>536.29</v>
      </c>
      <c r="E12">
        <v>18.440000000000001</v>
      </c>
      <c r="F12">
        <v>0</v>
      </c>
      <c r="G12">
        <v>0</v>
      </c>
      <c r="H12">
        <v>0</v>
      </c>
      <c r="I12">
        <v>1036.3900000000001</v>
      </c>
    </row>
    <row r="13" spans="1:9" x14ac:dyDescent="0.45">
      <c r="A13" t="s">
        <v>143</v>
      </c>
      <c r="B13">
        <v>2002</v>
      </c>
      <c r="C13">
        <v>504.38</v>
      </c>
      <c r="D13">
        <v>552.51</v>
      </c>
      <c r="E13">
        <v>18.510000000000002</v>
      </c>
      <c r="F13">
        <v>0</v>
      </c>
      <c r="G13">
        <v>0</v>
      </c>
      <c r="H13">
        <v>0</v>
      </c>
      <c r="I13">
        <v>1056.02</v>
      </c>
    </row>
    <row r="14" spans="1:9" x14ac:dyDescent="0.45">
      <c r="A14" t="s">
        <v>143</v>
      </c>
      <c r="B14">
        <v>2003</v>
      </c>
      <c r="C14">
        <v>498.15</v>
      </c>
      <c r="D14">
        <v>553.03</v>
      </c>
      <c r="E14">
        <v>18.3</v>
      </c>
      <c r="F14">
        <v>0</v>
      </c>
      <c r="G14">
        <v>0</v>
      </c>
      <c r="H14">
        <v>0</v>
      </c>
      <c r="I14">
        <v>1048.3900000000001</v>
      </c>
    </row>
    <row r="15" spans="1:9" x14ac:dyDescent="0.45">
      <c r="A15" t="s">
        <v>143</v>
      </c>
      <c r="B15">
        <v>2004</v>
      </c>
      <c r="C15">
        <v>506.65</v>
      </c>
      <c r="D15">
        <v>578.15</v>
      </c>
      <c r="E15">
        <v>18.600000000000001</v>
      </c>
      <c r="F15">
        <v>0</v>
      </c>
      <c r="G15">
        <v>0</v>
      </c>
      <c r="H15">
        <v>0</v>
      </c>
      <c r="I15">
        <v>1077.58</v>
      </c>
    </row>
    <row r="16" spans="1:9" x14ac:dyDescent="0.45">
      <c r="A16" t="s">
        <v>143</v>
      </c>
      <c r="B16">
        <v>2005</v>
      </c>
      <c r="C16">
        <v>511.43</v>
      </c>
      <c r="D16">
        <v>598.39</v>
      </c>
      <c r="E16">
        <v>18.899999999999999</v>
      </c>
      <c r="F16">
        <v>0</v>
      </c>
      <c r="G16">
        <v>0</v>
      </c>
      <c r="H16">
        <v>0</v>
      </c>
      <c r="I16">
        <v>1098.26</v>
      </c>
    </row>
    <row r="17" spans="1:9" x14ac:dyDescent="0.45">
      <c r="A17" t="s">
        <v>143</v>
      </c>
      <c r="B17">
        <v>2006</v>
      </c>
      <c r="C17">
        <v>513.53</v>
      </c>
      <c r="D17">
        <v>599.92999999999995</v>
      </c>
      <c r="E17">
        <v>18.600000000000001</v>
      </c>
      <c r="F17">
        <v>0</v>
      </c>
      <c r="G17">
        <v>0</v>
      </c>
      <c r="H17">
        <v>0</v>
      </c>
      <c r="I17">
        <v>1102.76</v>
      </c>
    </row>
    <row r="18" spans="1:9" x14ac:dyDescent="0.45">
      <c r="A18" t="s">
        <v>143</v>
      </c>
      <c r="B18">
        <v>2007</v>
      </c>
      <c r="C18">
        <v>523.83000000000004</v>
      </c>
      <c r="D18">
        <v>623.69000000000005</v>
      </c>
      <c r="E18">
        <v>18.73</v>
      </c>
      <c r="F18">
        <v>0</v>
      </c>
      <c r="G18">
        <v>0</v>
      </c>
      <c r="H18">
        <v>0</v>
      </c>
      <c r="I18">
        <v>1130.27</v>
      </c>
    </row>
    <row r="19" spans="1:9" x14ac:dyDescent="0.45">
      <c r="A19" t="s">
        <v>143</v>
      </c>
      <c r="B19">
        <v>2008</v>
      </c>
      <c r="C19">
        <v>483.07</v>
      </c>
      <c r="D19">
        <v>624.87</v>
      </c>
      <c r="E19">
        <v>18.62</v>
      </c>
      <c r="F19">
        <v>0</v>
      </c>
      <c r="G19">
        <v>0</v>
      </c>
      <c r="H19">
        <v>0</v>
      </c>
      <c r="I19">
        <v>1100.78</v>
      </c>
    </row>
    <row r="20" spans="1:9" x14ac:dyDescent="0.45">
      <c r="A20" t="s">
        <v>143</v>
      </c>
      <c r="B20">
        <v>2009</v>
      </c>
      <c r="C20">
        <v>462.82</v>
      </c>
      <c r="D20">
        <v>610.58000000000004</v>
      </c>
      <c r="E20">
        <v>18.07</v>
      </c>
      <c r="F20">
        <v>0</v>
      </c>
      <c r="G20">
        <v>0</v>
      </c>
      <c r="H20">
        <v>0</v>
      </c>
      <c r="I20">
        <v>1084.1199999999999</v>
      </c>
    </row>
    <row r="21" spans="1:9" x14ac:dyDescent="0.45">
      <c r="A21" t="s">
        <v>143</v>
      </c>
      <c r="B21">
        <v>2010</v>
      </c>
      <c r="C21">
        <v>482.62</v>
      </c>
      <c r="D21">
        <v>638.07000000000005</v>
      </c>
      <c r="E21">
        <v>18.239999999999998</v>
      </c>
      <c r="F21">
        <v>0</v>
      </c>
      <c r="G21">
        <v>0</v>
      </c>
      <c r="H21">
        <v>0</v>
      </c>
      <c r="I21">
        <v>1162.8499999999999</v>
      </c>
    </row>
    <row r="22" spans="1:9" x14ac:dyDescent="0.45">
      <c r="A22" t="s">
        <v>143</v>
      </c>
      <c r="B22">
        <v>2011</v>
      </c>
      <c r="C22">
        <v>459.11</v>
      </c>
      <c r="D22">
        <v>617.74</v>
      </c>
      <c r="E22">
        <v>17.760000000000002</v>
      </c>
      <c r="F22">
        <v>0</v>
      </c>
      <c r="G22">
        <v>0</v>
      </c>
      <c r="H22">
        <v>0</v>
      </c>
      <c r="I22">
        <v>1102.9100000000001</v>
      </c>
    </row>
    <row r="23" spans="1:9" x14ac:dyDescent="0.45">
      <c r="A23" t="s">
        <v>143</v>
      </c>
      <c r="B23">
        <v>2012</v>
      </c>
      <c r="C23">
        <v>453.27</v>
      </c>
      <c r="D23">
        <v>614.25</v>
      </c>
      <c r="E23">
        <v>17.670000000000002</v>
      </c>
      <c r="F23">
        <v>0</v>
      </c>
      <c r="G23">
        <v>0</v>
      </c>
      <c r="H23">
        <v>0</v>
      </c>
      <c r="I23">
        <v>1090.73</v>
      </c>
    </row>
    <row r="24" spans="1:9" x14ac:dyDescent="0.45">
      <c r="A24" t="s">
        <v>143</v>
      </c>
      <c r="B24">
        <v>2013</v>
      </c>
      <c r="C24">
        <v>460.01</v>
      </c>
      <c r="D24">
        <v>610.19000000000005</v>
      </c>
      <c r="E24">
        <v>17.72</v>
      </c>
      <c r="F24">
        <v>0</v>
      </c>
      <c r="G24">
        <v>0</v>
      </c>
      <c r="H24">
        <v>0</v>
      </c>
      <c r="I24">
        <v>1097.56</v>
      </c>
    </row>
    <row r="25" spans="1:9" x14ac:dyDescent="0.45">
      <c r="A25" t="s">
        <v>143</v>
      </c>
      <c r="B25">
        <v>2014</v>
      </c>
      <c r="C25">
        <v>447.26</v>
      </c>
      <c r="D25">
        <v>600.45000000000005</v>
      </c>
      <c r="E25">
        <v>17.600000000000001</v>
      </c>
      <c r="F25">
        <v>0</v>
      </c>
      <c r="G25">
        <v>0</v>
      </c>
      <c r="H25">
        <v>0</v>
      </c>
      <c r="I25">
        <v>1071.54</v>
      </c>
    </row>
    <row r="26" spans="1:9" x14ac:dyDescent="0.45">
      <c r="A26" t="s">
        <v>143</v>
      </c>
      <c r="B26">
        <v>2015</v>
      </c>
      <c r="C26">
        <v>433.39</v>
      </c>
      <c r="D26">
        <v>586.77</v>
      </c>
      <c r="E26">
        <v>17.55</v>
      </c>
      <c r="F26">
        <v>0</v>
      </c>
      <c r="G26">
        <v>0</v>
      </c>
      <c r="H26">
        <v>0</v>
      </c>
      <c r="I26">
        <v>1053.46</v>
      </c>
    </row>
    <row r="27" spans="1:9" x14ac:dyDescent="0.45">
      <c r="A27" t="s">
        <v>143</v>
      </c>
      <c r="B27">
        <v>2016</v>
      </c>
      <c r="C27">
        <v>447.25</v>
      </c>
      <c r="D27">
        <v>589.76</v>
      </c>
      <c r="E27">
        <v>17.54</v>
      </c>
      <c r="F27">
        <v>0</v>
      </c>
      <c r="G27">
        <v>0</v>
      </c>
      <c r="H27">
        <v>0</v>
      </c>
      <c r="I27">
        <v>1063.4100000000001</v>
      </c>
    </row>
    <row r="28" spans="1:9" x14ac:dyDescent="0.45">
      <c r="A28" t="s">
        <v>143</v>
      </c>
      <c r="B28">
        <v>2017</v>
      </c>
      <c r="C28">
        <v>448.72</v>
      </c>
      <c r="D28">
        <v>600.26</v>
      </c>
      <c r="E28">
        <v>17.5</v>
      </c>
      <c r="F28">
        <v>0</v>
      </c>
      <c r="G28">
        <v>0</v>
      </c>
      <c r="H28">
        <v>0</v>
      </c>
      <c r="I28">
        <v>1072.28</v>
      </c>
    </row>
    <row r="29" spans="1:9" x14ac:dyDescent="0.45">
      <c r="A29" t="s">
        <v>143</v>
      </c>
      <c r="B29">
        <v>2018</v>
      </c>
      <c r="C29">
        <v>449.31</v>
      </c>
      <c r="D29">
        <v>580.35</v>
      </c>
      <c r="E29">
        <v>17.3</v>
      </c>
      <c r="F29">
        <v>0</v>
      </c>
      <c r="G29">
        <v>0</v>
      </c>
      <c r="H29">
        <v>0</v>
      </c>
      <c r="I29">
        <v>1058.44</v>
      </c>
    </row>
    <row r="30" spans="1:9" x14ac:dyDescent="0.45">
      <c r="A30" t="s">
        <v>143</v>
      </c>
      <c r="B30">
        <v>2019</v>
      </c>
      <c r="C30">
        <v>437.33</v>
      </c>
      <c r="D30">
        <v>571.09</v>
      </c>
      <c r="E30">
        <v>17.32</v>
      </c>
      <c r="F30">
        <v>0</v>
      </c>
      <c r="G30">
        <v>0</v>
      </c>
      <c r="H30">
        <v>0</v>
      </c>
      <c r="I30">
        <v>1029.8800000000001</v>
      </c>
    </row>
    <row r="31" spans="1:9" x14ac:dyDescent="0.45">
      <c r="A31" t="s">
        <v>143</v>
      </c>
      <c r="B31">
        <v>2020</v>
      </c>
      <c r="C31">
        <v>421.85</v>
      </c>
      <c r="D31">
        <v>573.16</v>
      </c>
      <c r="E31">
        <v>16.53</v>
      </c>
      <c r="F31">
        <v>0</v>
      </c>
      <c r="G31">
        <v>0</v>
      </c>
      <c r="H31">
        <v>0</v>
      </c>
      <c r="I31">
        <v>1007.26</v>
      </c>
    </row>
    <row r="32" spans="1:9" x14ac:dyDescent="0.45">
      <c r="A32" t="s">
        <v>143</v>
      </c>
      <c r="B32">
        <v>2021</v>
      </c>
      <c r="C32">
        <v>434.46</v>
      </c>
      <c r="D32">
        <v>574.87</v>
      </c>
      <c r="E32">
        <v>16.53</v>
      </c>
      <c r="F32">
        <v>0</v>
      </c>
      <c r="G32">
        <v>0</v>
      </c>
      <c r="H32">
        <v>0</v>
      </c>
      <c r="I32">
        <v>1038.73</v>
      </c>
    </row>
    <row r="33" spans="1:9" x14ac:dyDescent="0.45">
      <c r="A33" t="s">
        <v>143</v>
      </c>
      <c r="B33">
        <v>2022</v>
      </c>
      <c r="C33">
        <v>414.01</v>
      </c>
      <c r="D33">
        <v>571.70000000000005</v>
      </c>
      <c r="E33">
        <v>16.53</v>
      </c>
      <c r="F33">
        <v>0</v>
      </c>
      <c r="G33">
        <v>0</v>
      </c>
      <c r="H33">
        <v>0</v>
      </c>
      <c r="I33">
        <v>1008.91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74</v>
      </c>
      <c r="C11">
        <v>2020</v>
      </c>
      <c r="D11">
        <v>60</v>
      </c>
      <c r="E11">
        <v>0.46</v>
      </c>
      <c r="F11">
        <v>0.28000000000000003</v>
      </c>
      <c r="G11">
        <v>0.84</v>
      </c>
      <c r="H11">
        <v>0</v>
      </c>
      <c r="I11">
        <v>3.32</v>
      </c>
      <c r="J11">
        <v>0</v>
      </c>
      <c r="K11">
        <v>0.28000000000000003</v>
      </c>
      <c r="L11" t="s">
        <v>1</v>
      </c>
      <c r="M11" t="s">
        <v>27</v>
      </c>
    </row>
    <row r="12" spans="1:13" x14ac:dyDescent="0.45">
      <c r="A12" t="s">
        <v>0</v>
      </c>
      <c r="B12" t="s">
        <v>74</v>
      </c>
      <c r="C12">
        <v>2025</v>
      </c>
      <c r="D12">
        <v>60</v>
      </c>
      <c r="E12">
        <v>197.76</v>
      </c>
      <c r="F12">
        <v>174.96</v>
      </c>
      <c r="G12">
        <v>126.47</v>
      </c>
      <c r="H12">
        <v>33.32</v>
      </c>
      <c r="I12">
        <v>626.48</v>
      </c>
      <c r="J12">
        <v>121.06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74</v>
      </c>
      <c r="C13">
        <v>2030</v>
      </c>
      <c r="D13">
        <v>60</v>
      </c>
      <c r="E13">
        <v>261.77999999999997</v>
      </c>
      <c r="F13">
        <v>241.69</v>
      </c>
      <c r="G13">
        <v>129.13</v>
      </c>
      <c r="H13">
        <v>27.52</v>
      </c>
      <c r="I13">
        <v>673.46</v>
      </c>
      <c r="J13">
        <v>173.6</v>
      </c>
      <c r="K13">
        <v>320.88</v>
      </c>
      <c r="L13" t="s">
        <v>1</v>
      </c>
      <c r="M13" t="s">
        <v>27</v>
      </c>
    </row>
    <row r="14" spans="1:13" x14ac:dyDescent="0.45">
      <c r="A14" t="s">
        <v>0</v>
      </c>
      <c r="B14" t="s">
        <v>74</v>
      </c>
      <c r="C14">
        <v>2035</v>
      </c>
      <c r="D14">
        <v>60</v>
      </c>
      <c r="E14">
        <v>354.71</v>
      </c>
      <c r="F14">
        <v>335.39</v>
      </c>
      <c r="G14">
        <v>164.48</v>
      </c>
      <c r="H14">
        <v>92.8</v>
      </c>
      <c r="I14">
        <v>859.53</v>
      </c>
      <c r="J14">
        <v>227.05</v>
      </c>
      <c r="K14">
        <v>451.85</v>
      </c>
      <c r="L14" t="s">
        <v>1</v>
      </c>
      <c r="M14" t="s">
        <v>27</v>
      </c>
    </row>
    <row r="15" spans="1:13" x14ac:dyDescent="0.45">
      <c r="A15" t="s">
        <v>0</v>
      </c>
      <c r="B15" t="s">
        <v>74</v>
      </c>
      <c r="C15">
        <v>2040</v>
      </c>
      <c r="D15">
        <v>60</v>
      </c>
      <c r="E15">
        <v>458.15</v>
      </c>
      <c r="F15">
        <v>407.27</v>
      </c>
      <c r="G15">
        <v>216.6</v>
      </c>
      <c r="H15">
        <v>162.1</v>
      </c>
      <c r="I15">
        <v>1097.01</v>
      </c>
      <c r="J15">
        <v>287.98</v>
      </c>
      <c r="K15">
        <v>574.94000000000005</v>
      </c>
      <c r="L15" t="s">
        <v>1</v>
      </c>
      <c r="M15" t="s">
        <v>27</v>
      </c>
    </row>
    <row r="16" spans="1:13" x14ac:dyDescent="0.45">
      <c r="A16" t="s">
        <v>0</v>
      </c>
      <c r="B16" t="s">
        <v>74</v>
      </c>
      <c r="C16">
        <v>2045</v>
      </c>
      <c r="D16">
        <v>60</v>
      </c>
      <c r="E16">
        <v>551.41</v>
      </c>
      <c r="F16">
        <v>479.16</v>
      </c>
      <c r="G16">
        <v>249.14</v>
      </c>
      <c r="H16">
        <v>190.36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74</v>
      </c>
      <c r="C17">
        <v>2050</v>
      </c>
      <c r="D17">
        <v>60</v>
      </c>
      <c r="E17">
        <v>631.32000000000005</v>
      </c>
      <c r="F17">
        <v>604.24</v>
      </c>
      <c r="G17">
        <v>264.83</v>
      </c>
      <c r="H17">
        <v>194.32</v>
      </c>
      <c r="I17">
        <v>1170.26</v>
      </c>
      <c r="J17">
        <v>409.79</v>
      </c>
      <c r="K17">
        <v>827.36</v>
      </c>
      <c r="L17" t="s">
        <v>1</v>
      </c>
      <c r="M17" t="s">
        <v>27</v>
      </c>
    </row>
    <row r="18" spans="1:13" x14ac:dyDescent="0.45">
      <c r="A18" t="s">
        <v>2</v>
      </c>
      <c r="B18" t="s">
        <v>74</v>
      </c>
      <c r="C18">
        <v>2020</v>
      </c>
      <c r="D18">
        <v>86</v>
      </c>
      <c r="E18">
        <v>0.79</v>
      </c>
      <c r="F18">
        <v>0</v>
      </c>
      <c r="G18">
        <v>1.67</v>
      </c>
      <c r="H18">
        <v>0</v>
      </c>
      <c r="I18">
        <v>11.08</v>
      </c>
      <c r="J18">
        <v>0</v>
      </c>
      <c r="K18">
        <v>0.28000000000000003</v>
      </c>
      <c r="L18" t="s">
        <v>3</v>
      </c>
      <c r="M18" t="s">
        <v>27</v>
      </c>
    </row>
    <row r="19" spans="1:13" x14ac:dyDescent="0.45">
      <c r="A19" t="s">
        <v>2</v>
      </c>
      <c r="B19" t="s">
        <v>74</v>
      </c>
      <c r="C19">
        <v>2025</v>
      </c>
      <c r="D19">
        <v>75</v>
      </c>
      <c r="E19">
        <v>45</v>
      </c>
      <c r="F19">
        <v>24.75</v>
      </c>
      <c r="G19">
        <v>48.96</v>
      </c>
      <c r="H19">
        <v>1.1100000000000001</v>
      </c>
      <c r="I19">
        <v>220.01</v>
      </c>
      <c r="J19">
        <v>10.72</v>
      </c>
      <c r="K19">
        <v>68.180000000000007</v>
      </c>
      <c r="L19" t="s">
        <v>3</v>
      </c>
      <c r="M19" t="s">
        <v>27</v>
      </c>
    </row>
    <row r="20" spans="1:13" x14ac:dyDescent="0.45">
      <c r="A20" t="s">
        <v>2</v>
      </c>
      <c r="B20" t="s">
        <v>74</v>
      </c>
      <c r="C20">
        <v>2030</v>
      </c>
      <c r="D20">
        <v>86</v>
      </c>
      <c r="E20">
        <v>60.99</v>
      </c>
      <c r="F20">
        <v>46.2</v>
      </c>
      <c r="G20">
        <v>58.39</v>
      </c>
      <c r="H20">
        <v>0</v>
      </c>
      <c r="I20">
        <v>293.35000000000002</v>
      </c>
      <c r="J20">
        <v>15.43</v>
      </c>
      <c r="K20">
        <v>90.62</v>
      </c>
      <c r="L20" t="s">
        <v>3</v>
      </c>
      <c r="M20" t="s">
        <v>27</v>
      </c>
    </row>
    <row r="21" spans="1:13" x14ac:dyDescent="0.45">
      <c r="A21" t="s">
        <v>2</v>
      </c>
      <c r="B21" t="s">
        <v>74</v>
      </c>
      <c r="C21">
        <v>2035</v>
      </c>
      <c r="D21">
        <v>75</v>
      </c>
      <c r="E21">
        <v>195.24</v>
      </c>
      <c r="F21">
        <v>129.57</v>
      </c>
      <c r="G21">
        <v>290.37</v>
      </c>
      <c r="H21">
        <v>26.47</v>
      </c>
      <c r="I21">
        <v>2037.12</v>
      </c>
      <c r="J21">
        <v>87.35</v>
      </c>
      <c r="K21">
        <v>200.38</v>
      </c>
      <c r="L21" t="s">
        <v>3</v>
      </c>
      <c r="M21" t="s">
        <v>27</v>
      </c>
    </row>
    <row r="22" spans="1:13" x14ac:dyDescent="0.45">
      <c r="A22" t="s">
        <v>2</v>
      </c>
      <c r="B22" t="s">
        <v>74</v>
      </c>
      <c r="C22">
        <v>2040</v>
      </c>
      <c r="D22">
        <v>86</v>
      </c>
      <c r="E22">
        <v>250.65</v>
      </c>
      <c r="F22">
        <v>172.09</v>
      </c>
      <c r="G22">
        <v>359.95</v>
      </c>
      <c r="H22">
        <v>0</v>
      </c>
      <c r="I22">
        <v>2600</v>
      </c>
      <c r="J22">
        <v>112.15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74</v>
      </c>
      <c r="C23">
        <v>2045</v>
      </c>
      <c r="D23">
        <v>75</v>
      </c>
      <c r="E23">
        <v>297.39999999999998</v>
      </c>
      <c r="F23">
        <v>253.87</v>
      </c>
      <c r="G23">
        <v>189.37</v>
      </c>
      <c r="H23">
        <v>103.36</v>
      </c>
      <c r="I23">
        <v>1213.1199999999999</v>
      </c>
      <c r="J23">
        <v>166.02</v>
      </c>
      <c r="K23">
        <v>347.01</v>
      </c>
      <c r="L23" t="s">
        <v>3</v>
      </c>
      <c r="M23" t="s">
        <v>27</v>
      </c>
    </row>
    <row r="24" spans="1:13" x14ac:dyDescent="0.45">
      <c r="A24" t="s">
        <v>2</v>
      </c>
      <c r="B24" t="s">
        <v>74</v>
      </c>
      <c r="C24">
        <v>2050</v>
      </c>
      <c r="D24">
        <v>86</v>
      </c>
      <c r="E24">
        <v>308.77999999999997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74</v>
      </c>
      <c r="C25">
        <v>2020</v>
      </c>
      <c r="D25">
        <v>188</v>
      </c>
      <c r="E25">
        <v>2.98</v>
      </c>
      <c r="F25">
        <v>0.1</v>
      </c>
      <c r="G25">
        <v>11.31</v>
      </c>
      <c r="H25">
        <v>0</v>
      </c>
      <c r="I25">
        <v>119.5</v>
      </c>
      <c r="J25">
        <v>0</v>
      </c>
      <c r="K25">
        <v>0.41</v>
      </c>
      <c r="L25" t="s">
        <v>6</v>
      </c>
      <c r="M25" t="s">
        <v>27</v>
      </c>
    </row>
    <row r="26" spans="1:13" x14ac:dyDescent="0.45">
      <c r="A26" t="s">
        <v>5</v>
      </c>
      <c r="B26" t="s">
        <v>74</v>
      </c>
      <c r="C26">
        <v>2025</v>
      </c>
      <c r="D26">
        <v>165</v>
      </c>
      <c r="E26">
        <v>52.69</v>
      </c>
      <c r="F26">
        <v>37.94</v>
      </c>
      <c r="G26">
        <v>52.17</v>
      </c>
      <c r="H26">
        <v>1.1100000000000001</v>
      </c>
      <c r="I26">
        <v>260.38</v>
      </c>
      <c r="J26">
        <v>16.88</v>
      </c>
      <c r="K26">
        <v>73.58</v>
      </c>
      <c r="L26" t="s">
        <v>6</v>
      </c>
      <c r="M26" t="s">
        <v>27</v>
      </c>
    </row>
    <row r="27" spans="1:13" x14ac:dyDescent="0.45">
      <c r="A27" t="s">
        <v>5</v>
      </c>
      <c r="B27" t="s">
        <v>74</v>
      </c>
      <c r="C27">
        <v>2030</v>
      </c>
      <c r="D27">
        <v>188</v>
      </c>
      <c r="E27">
        <v>73.2</v>
      </c>
      <c r="F27">
        <v>56.33</v>
      </c>
      <c r="G27">
        <v>59.29</v>
      </c>
      <c r="H27">
        <v>1.1100000000000001</v>
      </c>
      <c r="I27">
        <v>347.18</v>
      </c>
      <c r="J27">
        <v>35.18</v>
      </c>
      <c r="K27">
        <v>92.14</v>
      </c>
      <c r="L27" t="s">
        <v>6</v>
      </c>
      <c r="M27" t="s">
        <v>27</v>
      </c>
    </row>
    <row r="28" spans="1:13" x14ac:dyDescent="0.45">
      <c r="A28" t="s">
        <v>5</v>
      </c>
      <c r="B28" t="s">
        <v>74</v>
      </c>
      <c r="C28">
        <v>2035</v>
      </c>
      <c r="D28">
        <v>165</v>
      </c>
      <c r="E28">
        <v>130.62</v>
      </c>
      <c r="F28">
        <v>104.42</v>
      </c>
      <c r="G28">
        <v>98.52</v>
      </c>
      <c r="H28">
        <v>39.29</v>
      </c>
      <c r="I28">
        <v>960.63</v>
      </c>
      <c r="J28">
        <v>71.63</v>
      </c>
      <c r="K28">
        <v>167.91</v>
      </c>
      <c r="L28" t="s">
        <v>6</v>
      </c>
      <c r="M28" t="s">
        <v>27</v>
      </c>
    </row>
    <row r="29" spans="1:13" x14ac:dyDescent="0.45">
      <c r="A29" t="s">
        <v>5</v>
      </c>
      <c r="B29" t="s">
        <v>74</v>
      </c>
      <c r="C29">
        <v>2040</v>
      </c>
      <c r="D29">
        <v>188</v>
      </c>
      <c r="E29">
        <v>166.72</v>
      </c>
      <c r="F29">
        <v>134.85</v>
      </c>
      <c r="G29">
        <v>119.17</v>
      </c>
      <c r="H29">
        <v>47.96</v>
      </c>
      <c r="I29">
        <v>1226.04</v>
      </c>
      <c r="J29">
        <v>98.06</v>
      </c>
      <c r="K29">
        <v>213.2</v>
      </c>
      <c r="L29" t="s">
        <v>6</v>
      </c>
      <c r="M29" t="s">
        <v>27</v>
      </c>
    </row>
    <row r="30" spans="1:13" x14ac:dyDescent="0.45">
      <c r="A30" t="s">
        <v>5</v>
      </c>
      <c r="B30" t="s">
        <v>74</v>
      </c>
      <c r="C30">
        <v>2045</v>
      </c>
      <c r="D30">
        <v>165</v>
      </c>
      <c r="E30">
        <v>207.97</v>
      </c>
      <c r="F30">
        <v>178.1</v>
      </c>
      <c r="G30">
        <v>150.35</v>
      </c>
      <c r="H30">
        <v>47.73</v>
      </c>
      <c r="I30">
        <v>1564.8</v>
      </c>
      <c r="J30">
        <v>120.68</v>
      </c>
      <c r="K30">
        <v>263.27</v>
      </c>
      <c r="L30" t="s">
        <v>6</v>
      </c>
      <c r="M30" t="s">
        <v>27</v>
      </c>
    </row>
    <row r="31" spans="1:13" x14ac:dyDescent="0.45">
      <c r="A31" t="s">
        <v>5</v>
      </c>
      <c r="B31" t="s">
        <v>74</v>
      </c>
      <c r="C31">
        <v>2050</v>
      </c>
      <c r="D31">
        <v>188</v>
      </c>
      <c r="E31">
        <v>239.6</v>
      </c>
      <c r="F31">
        <v>209.45</v>
      </c>
      <c r="G31">
        <v>124.12</v>
      </c>
      <c r="H31">
        <v>27.36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74</v>
      </c>
      <c r="C32">
        <v>2020</v>
      </c>
      <c r="D32">
        <v>74</v>
      </c>
      <c r="E32">
        <v>1.84</v>
      </c>
      <c r="F32">
        <v>0</v>
      </c>
      <c r="G32">
        <v>5.26</v>
      </c>
      <c r="H32">
        <v>0</v>
      </c>
      <c r="I32">
        <v>26.81</v>
      </c>
      <c r="J32">
        <v>0</v>
      </c>
      <c r="K32">
        <v>0.1</v>
      </c>
      <c r="L32" t="s">
        <v>8</v>
      </c>
      <c r="M32" t="s">
        <v>27</v>
      </c>
    </row>
    <row r="33" spans="1:13" x14ac:dyDescent="0.45">
      <c r="A33" t="s">
        <v>7</v>
      </c>
      <c r="B33" t="s">
        <v>74</v>
      </c>
      <c r="C33">
        <v>2025</v>
      </c>
      <c r="D33">
        <v>68</v>
      </c>
      <c r="E33">
        <v>22.35</v>
      </c>
      <c r="F33">
        <v>17.329999999999998</v>
      </c>
      <c r="G33">
        <v>21.31</v>
      </c>
      <c r="H33">
        <v>0</v>
      </c>
      <c r="I33">
        <v>107.94</v>
      </c>
      <c r="J33">
        <v>10.49</v>
      </c>
      <c r="K33">
        <v>23.89</v>
      </c>
      <c r="L33" t="s">
        <v>8</v>
      </c>
      <c r="M33" t="s">
        <v>27</v>
      </c>
    </row>
    <row r="34" spans="1:13" x14ac:dyDescent="0.45">
      <c r="A34" t="s">
        <v>7</v>
      </c>
      <c r="B34" t="s">
        <v>74</v>
      </c>
      <c r="C34">
        <v>2030</v>
      </c>
      <c r="D34">
        <v>74</v>
      </c>
      <c r="E34">
        <v>43.19</v>
      </c>
      <c r="F34">
        <v>35.18</v>
      </c>
      <c r="G34">
        <v>21.26</v>
      </c>
      <c r="H34">
        <v>0</v>
      </c>
      <c r="I34">
        <v>97.4</v>
      </c>
      <c r="J34">
        <v>32.270000000000003</v>
      </c>
      <c r="K34">
        <v>56.45</v>
      </c>
      <c r="L34" t="s">
        <v>8</v>
      </c>
      <c r="M34" t="s">
        <v>27</v>
      </c>
    </row>
    <row r="35" spans="1:13" x14ac:dyDescent="0.45">
      <c r="A35" t="s">
        <v>7</v>
      </c>
      <c r="B35" t="s">
        <v>74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74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74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74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74</v>
      </c>
      <c r="C39">
        <v>2020</v>
      </c>
      <c r="D39">
        <v>52</v>
      </c>
      <c r="E39">
        <v>0.75</v>
      </c>
      <c r="F39">
        <v>0</v>
      </c>
      <c r="G39">
        <v>1.89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27</v>
      </c>
    </row>
    <row r="40" spans="1:13" x14ac:dyDescent="0.45">
      <c r="A40" t="s">
        <v>9</v>
      </c>
      <c r="B40" t="s">
        <v>74</v>
      </c>
      <c r="C40">
        <v>2025</v>
      </c>
      <c r="D40">
        <v>47</v>
      </c>
      <c r="E40">
        <v>0.55000000000000004</v>
      </c>
      <c r="F40">
        <v>0</v>
      </c>
      <c r="G40">
        <v>1.24</v>
      </c>
      <c r="H40">
        <v>0</v>
      </c>
      <c r="I40">
        <v>5.17</v>
      </c>
      <c r="J40">
        <v>0</v>
      </c>
      <c r="K40">
        <v>0.26</v>
      </c>
      <c r="L40" t="s">
        <v>10</v>
      </c>
      <c r="M40" t="s">
        <v>27</v>
      </c>
    </row>
    <row r="41" spans="1:13" x14ac:dyDescent="0.45">
      <c r="A41" t="s">
        <v>9</v>
      </c>
      <c r="B41" t="s">
        <v>74</v>
      </c>
      <c r="C41">
        <v>2030</v>
      </c>
      <c r="D41">
        <v>52</v>
      </c>
      <c r="E41">
        <v>3.19</v>
      </c>
      <c r="F41">
        <v>0</v>
      </c>
      <c r="G41">
        <v>10.75</v>
      </c>
      <c r="H41">
        <v>0</v>
      </c>
      <c r="I41">
        <v>46.98</v>
      </c>
      <c r="J41">
        <v>0</v>
      </c>
      <c r="K41">
        <v>0.76</v>
      </c>
      <c r="L41" t="s">
        <v>10</v>
      </c>
      <c r="M41" t="s">
        <v>27</v>
      </c>
    </row>
    <row r="42" spans="1:13" x14ac:dyDescent="0.45">
      <c r="A42" t="s">
        <v>9</v>
      </c>
      <c r="B42" t="s">
        <v>74</v>
      </c>
      <c r="C42">
        <v>2035</v>
      </c>
      <c r="D42">
        <v>47</v>
      </c>
      <c r="E42">
        <v>0.83</v>
      </c>
      <c r="F42">
        <v>0</v>
      </c>
      <c r="G42">
        <v>1.35</v>
      </c>
      <c r="H42">
        <v>0</v>
      </c>
      <c r="I42">
        <v>5.82</v>
      </c>
      <c r="J42">
        <v>0</v>
      </c>
      <c r="K42">
        <v>1.19</v>
      </c>
      <c r="L42" t="s">
        <v>10</v>
      </c>
      <c r="M42" t="s">
        <v>27</v>
      </c>
    </row>
    <row r="43" spans="1:13" x14ac:dyDescent="0.45">
      <c r="A43" t="s">
        <v>9</v>
      </c>
      <c r="B43" t="s">
        <v>74</v>
      </c>
      <c r="C43">
        <v>2040</v>
      </c>
      <c r="D43">
        <v>52</v>
      </c>
      <c r="E43">
        <v>0.96</v>
      </c>
      <c r="F43">
        <v>0</v>
      </c>
      <c r="G43">
        <v>1.56</v>
      </c>
      <c r="H43">
        <v>0</v>
      </c>
      <c r="I43">
        <v>6.81</v>
      </c>
      <c r="J43">
        <v>0</v>
      </c>
      <c r="K43">
        <v>1.54</v>
      </c>
      <c r="L43" t="s">
        <v>10</v>
      </c>
      <c r="M43" t="s">
        <v>27</v>
      </c>
    </row>
    <row r="44" spans="1:13" x14ac:dyDescent="0.45">
      <c r="A44" t="s">
        <v>9</v>
      </c>
      <c r="B44" t="s">
        <v>74</v>
      </c>
      <c r="C44">
        <v>2045</v>
      </c>
      <c r="D44">
        <v>47</v>
      </c>
      <c r="E44">
        <v>1.32</v>
      </c>
      <c r="F44">
        <v>0</v>
      </c>
      <c r="G44">
        <v>1.87</v>
      </c>
      <c r="H44">
        <v>0</v>
      </c>
      <c r="I44">
        <v>7.73</v>
      </c>
      <c r="J44">
        <v>0</v>
      </c>
      <c r="K44">
        <v>2.08</v>
      </c>
      <c r="L44" t="s">
        <v>10</v>
      </c>
      <c r="M44" t="s">
        <v>27</v>
      </c>
    </row>
    <row r="45" spans="1:13" x14ac:dyDescent="0.45">
      <c r="A45" t="s">
        <v>9</v>
      </c>
      <c r="B45" t="s">
        <v>74</v>
      </c>
      <c r="C45">
        <v>2050</v>
      </c>
      <c r="D45">
        <v>52</v>
      </c>
      <c r="E45">
        <v>1.44</v>
      </c>
      <c r="F45">
        <v>0</v>
      </c>
      <c r="G45">
        <v>2.12</v>
      </c>
      <c r="H45">
        <v>0</v>
      </c>
      <c r="I45">
        <v>8.75</v>
      </c>
      <c r="J45">
        <v>0</v>
      </c>
      <c r="K45">
        <v>2.68</v>
      </c>
      <c r="L45" t="s">
        <v>10</v>
      </c>
      <c r="M45" t="s">
        <v>27</v>
      </c>
    </row>
    <row r="46" spans="1:13" x14ac:dyDescent="0.45">
      <c r="A46" t="s">
        <v>0</v>
      </c>
      <c r="B46" t="s">
        <v>74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74</v>
      </c>
      <c r="C47">
        <v>2025</v>
      </c>
      <c r="D47">
        <v>64</v>
      </c>
      <c r="E47">
        <v>0.94</v>
      </c>
      <c r="F47">
        <v>0.93</v>
      </c>
      <c r="G47">
        <v>0.11</v>
      </c>
      <c r="H47">
        <v>0.67</v>
      </c>
      <c r="I47">
        <v>1.25</v>
      </c>
      <c r="J47">
        <v>0.9</v>
      </c>
      <c r="K47">
        <v>1.01</v>
      </c>
      <c r="L47" t="s">
        <v>1</v>
      </c>
      <c r="M47" t="s">
        <v>11</v>
      </c>
    </row>
    <row r="48" spans="1:13" x14ac:dyDescent="0.45">
      <c r="A48" t="s">
        <v>0</v>
      </c>
      <c r="B48" t="s">
        <v>74</v>
      </c>
      <c r="C48">
        <v>2030</v>
      </c>
      <c r="D48">
        <v>64</v>
      </c>
      <c r="E48">
        <v>0.98</v>
      </c>
      <c r="F48">
        <v>0.94</v>
      </c>
      <c r="G48">
        <v>0.17</v>
      </c>
      <c r="H48">
        <v>0.73</v>
      </c>
      <c r="I48">
        <v>1.64</v>
      </c>
      <c r="J48">
        <v>0.88</v>
      </c>
      <c r="K48">
        <v>1.05</v>
      </c>
      <c r="L48" t="s">
        <v>1</v>
      </c>
      <c r="M48" t="s">
        <v>11</v>
      </c>
    </row>
    <row r="49" spans="1:13" x14ac:dyDescent="0.45">
      <c r="A49" t="s">
        <v>0</v>
      </c>
      <c r="B49" t="s">
        <v>74</v>
      </c>
      <c r="C49">
        <v>2035</v>
      </c>
      <c r="D49">
        <v>64</v>
      </c>
      <c r="E49">
        <v>1.08</v>
      </c>
      <c r="F49">
        <v>0.99</v>
      </c>
      <c r="G49">
        <v>0.21</v>
      </c>
      <c r="H49">
        <v>0.83</v>
      </c>
      <c r="I49">
        <v>1.88</v>
      </c>
      <c r="J49">
        <v>0.95</v>
      </c>
      <c r="K49">
        <v>1.17</v>
      </c>
      <c r="L49" t="s">
        <v>1</v>
      </c>
      <c r="M49" t="s">
        <v>11</v>
      </c>
    </row>
    <row r="50" spans="1:13" x14ac:dyDescent="0.45">
      <c r="A50" t="s">
        <v>0</v>
      </c>
      <c r="B50" t="s">
        <v>74</v>
      </c>
      <c r="C50">
        <v>2040</v>
      </c>
      <c r="D50">
        <v>64</v>
      </c>
      <c r="E50">
        <v>1.2</v>
      </c>
      <c r="F50">
        <v>1.1100000000000001</v>
      </c>
      <c r="G50">
        <v>0.25</v>
      </c>
      <c r="H50">
        <v>0.84</v>
      </c>
      <c r="I50">
        <v>2.2400000000000002</v>
      </c>
      <c r="J50">
        <v>1.05</v>
      </c>
      <c r="K50">
        <v>1.33</v>
      </c>
      <c r="L50" t="s">
        <v>1</v>
      </c>
      <c r="M50" t="s">
        <v>11</v>
      </c>
    </row>
    <row r="51" spans="1:13" x14ac:dyDescent="0.45">
      <c r="A51" t="s">
        <v>0</v>
      </c>
      <c r="B51" t="s">
        <v>74</v>
      </c>
      <c r="C51">
        <v>2045</v>
      </c>
      <c r="D51">
        <v>64</v>
      </c>
      <c r="E51">
        <v>1.29</v>
      </c>
      <c r="F51">
        <v>1.23</v>
      </c>
      <c r="G51">
        <v>0.26</v>
      </c>
      <c r="H51">
        <v>0.86</v>
      </c>
      <c r="I51">
        <v>2.3199999999999998</v>
      </c>
      <c r="J51">
        <v>1.1299999999999999</v>
      </c>
      <c r="K51">
        <v>1.44</v>
      </c>
      <c r="L51" t="s">
        <v>1</v>
      </c>
      <c r="M51" t="s">
        <v>11</v>
      </c>
    </row>
    <row r="52" spans="1:13" x14ac:dyDescent="0.45">
      <c r="A52" t="s">
        <v>0</v>
      </c>
      <c r="B52" t="s">
        <v>74</v>
      </c>
      <c r="C52">
        <v>2050</v>
      </c>
      <c r="D52">
        <v>64</v>
      </c>
      <c r="E52">
        <v>1.37</v>
      </c>
      <c r="F52">
        <v>1.33</v>
      </c>
      <c r="G52">
        <v>0.27</v>
      </c>
      <c r="H52">
        <v>0.87</v>
      </c>
      <c r="I52">
        <v>2.36</v>
      </c>
      <c r="J52">
        <v>1.18</v>
      </c>
      <c r="K52">
        <v>1.52</v>
      </c>
      <c r="L52" t="s">
        <v>1</v>
      </c>
      <c r="M52" t="s">
        <v>11</v>
      </c>
    </row>
    <row r="53" spans="1:13" x14ac:dyDescent="0.45">
      <c r="A53" t="s">
        <v>2</v>
      </c>
      <c r="B53" t="s">
        <v>74</v>
      </c>
      <c r="C53">
        <v>2020</v>
      </c>
      <c r="D53">
        <v>95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74</v>
      </c>
      <c r="C54">
        <v>2025</v>
      </c>
      <c r="D54">
        <v>84</v>
      </c>
      <c r="E54">
        <v>1</v>
      </c>
      <c r="F54">
        <v>1</v>
      </c>
      <c r="G54">
        <v>0.04</v>
      </c>
      <c r="H54">
        <v>0.84</v>
      </c>
      <c r="I54">
        <v>1.06</v>
      </c>
      <c r="J54">
        <v>0.98</v>
      </c>
      <c r="K54">
        <v>1.02</v>
      </c>
      <c r="L54" t="s">
        <v>3</v>
      </c>
      <c r="M54" t="s">
        <v>11</v>
      </c>
    </row>
    <row r="55" spans="1:13" x14ac:dyDescent="0.45">
      <c r="A55" t="s">
        <v>2</v>
      </c>
      <c r="B55" t="s">
        <v>74</v>
      </c>
      <c r="C55">
        <v>2030</v>
      </c>
      <c r="D55">
        <v>95</v>
      </c>
      <c r="E55">
        <v>1.03</v>
      </c>
      <c r="F55">
        <v>1.03</v>
      </c>
      <c r="G55">
        <v>0.09</v>
      </c>
      <c r="H55">
        <v>0.74</v>
      </c>
      <c r="I55">
        <v>1.25</v>
      </c>
      <c r="J55">
        <v>0.97</v>
      </c>
      <c r="K55">
        <v>1.06</v>
      </c>
      <c r="L55" t="s">
        <v>3</v>
      </c>
      <c r="M55" t="s">
        <v>11</v>
      </c>
    </row>
    <row r="56" spans="1:13" x14ac:dyDescent="0.45">
      <c r="A56" t="s">
        <v>2</v>
      </c>
      <c r="B56" t="s">
        <v>74</v>
      </c>
      <c r="C56">
        <v>2035</v>
      </c>
      <c r="D56">
        <v>84</v>
      </c>
      <c r="E56">
        <v>1.03</v>
      </c>
      <c r="F56">
        <v>1.03</v>
      </c>
      <c r="G56">
        <v>0.1</v>
      </c>
      <c r="H56">
        <v>0.76</v>
      </c>
      <c r="I56">
        <v>1.24</v>
      </c>
      <c r="J56">
        <v>0.96</v>
      </c>
      <c r="K56">
        <v>1.1200000000000001</v>
      </c>
      <c r="L56" t="s">
        <v>3</v>
      </c>
      <c r="M56" t="s">
        <v>11</v>
      </c>
    </row>
    <row r="57" spans="1:13" x14ac:dyDescent="0.45">
      <c r="A57" t="s">
        <v>2</v>
      </c>
      <c r="B57" t="s">
        <v>74</v>
      </c>
      <c r="C57">
        <v>2040</v>
      </c>
      <c r="D57">
        <v>95</v>
      </c>
      <c r="E57">
        <v>1.1599999999999999</v>
      </c>
      <c r="F57">
        <v>1.1499999999999999</v>
      </c>
      <c r="G57">
        <v>0.18</v>
      </c>
      <c r="H57">
        <v>0.81</v>
      </c>
      <c r="I57">
        <v>1.62</v>
      </c>
      <c r="J57">
        <v>1.03</v>
      </c>
      <c r="K57">
        <v>1.28</v>
      </c>
      <c r="L57" t="s">
        <v>3</v>
      </c>
      <c r="M57" t="s">
        <v>11</v>
      </c>
    </row>
    <row r="58" spans="1:13" x14ac:dyDescent="0.45">
      <c r="A58" t="s">
        <v>2</v>
      </c>
      <c r="B58" t="s">
        <v>74</v>
      </c>
      <c r="C58">
        <v>2045</v>
      </c>
      <c r="D58">
        <v>84</v>
      </c>
      <c r="E58">
        <v>1.22</v>
      </c>
      <c r="F58">
        <v>1.2</v>
      </c>
      <c r="G58">
        <v>0.14000000000000001</v>
      </c>
      <c r="H58">
        <v>0.82</v>
      </c>
      <c r="I58">
        <v>1.45</v>
      </c>
      <c r="J58">
        <v>1.1200000000000001</v>
      </c>
      <c r="K58">
        <v>1.37</v>
      </c>
      <c r="L58" t="s">
        <v>3</v>
      </c>
      <c r="M58" t="s">
        <v>11</v>
      </c>
    </row>
    <row r="59" spans="1:13" x14ac:dyDescent="0.45">
      <c r="A59" t="s">
        <v>2</v>
      </c>
      <c r="B59" t="s">
        <v>74</v>
      </c>
      <c r="C59">
        <v>2050</v>
      </c>
      <c r="D59">
        <v>95</v>
      </c>
      <c r="E59">
        <v>1.37</v>
      </c>
      <c r="F59">
        <v>1.35</v>
      </c>
      <c r="G59">
        <v>0.2</v>
      </c>
      <c r="H59">
        <v>0.84</v>
      </c>
      <c r="I59">
        <v>1.94</v>
      </c>
      <c r="J59">
        <v>1.24</v>
      </c>
      <c r="K59">
        <v>1.48</v>
      </c>
      <c r="L59" t="s">
        <v>3</v>
      </c>
      <c r="M59" t="s">
        <v>11</v>
      </c>
    </row>
    <row r="60" spans="1:13" x14ac:dyDescent="0.45">
      <c r="A60" t="s">
        <v>5</v>
      </c>
      <c r="B60" t="s">
        <v>74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74</v>
      </c>
      <c r="C61">
        <v>2025</v>
      </c>
      <c r="D61">
        <v>206</v>
      </c>
      <c r="E61">
        <v>0.98</v>
      </c>
      <c r="F61">
        <v>0.99</v>
      </c>
      <c r="G61">
        <v>7.0000000000000007E-2</v>
      </c>
      <c r="H61">
        <v>0.68</v>
      </c>
      <c r="I61">
        <v>1.31</v>
      </c>
      <c r="J61">
        <v>0.97</v>
      </c>
      <c r="K61">
        <v>1.02</v>
      </c>
      <c r="L61" t="s">
        <v>6</v>
      </c>
      <c r="M61" t="s">
        <v>11</v>
      </c>
    </row>
    <row r="62" spans="1:13" x14ac:dyDescent="0.45">
      <c r="A62" t="s">
        <v>5</v>
      </c>
      <c r="B62" t="s">
        <v>74</v>
      </c>
      <c r="C62">
        <v>2030</v>
      </c>
      <c r="D62">
        <v>229</v>
      </c>
      <c r="E62">
        <v>1</v>
      </c>
      <c r="F62">
        <v>1</v>
      </c>
      <c r="G62">
        <v>0.1</v>
      </c>
      <c r="H62">
        <v>0.76</v>
      </c>
      <c r="I62">
        <v>1.6</v>
      </c>
      <c r="J62">
        <v>0.95</v>
      </c>
      <c r="K62">
        <v>1.06</v>
      </c>
      <c r="L62" t="s">
        <v>6</v>
      </c>
      <c r="M62" t="s">
        <v>11</v>
      </c>
    </row>
    <row r="63" spans="1:13" x14ac:dyDescent="0.45">
      <c r="A63" t="s">
        <v>5</v>
      </c>
      <c r="B63" t="s">
        <v>74</v>
      </c>
      <c r="C63">
        <v>2035</v>
      </c>
      <c r="D63">
        <v>206</v>
      </c>
      <c r="E63">
        <v>1.04</v>
      </c>
      <c r="F63">
        <v>1.01</v>
      </c>
      <c r="G63">
        <v>0.17</v>
      </c>
      <c r="H63">
        <v>0.83</v>
      </c>
      <c r="I63">
        <v>2.2000000000000002</v>
      </c>
      <c r="J63">
        <v>0.93</v>
      </c>
      <c r="K63">
        <v>1.1000000000000001</v>
      </c>
      <c r="L63" t="s">
        <v>6</v>
      </c>
      <c r="M63" t="s">
        <v>11</v>
      </c>
    </row>
    <row r="64" spans="1:13" x14ac:dyDescent="0.45">
      <c r="A64" t="s">
        <v>5</v>
      </c>
      <c r="B64" t="s">
        <v>74</v>
      </c>
      <c r="C64">
        <v>2040</v>
      </c>
      <c r="D64">
        <v>229</v>
      </c>
      <c r="E64">
        <v>1.1399999999999999</v>
      </c>
      <c r="F64">
        <v>1.1299999999999999</v>
      </c>
      <c r="G64">
        <v>0.21</v>
      </c>
      <c r="H64">
        <v>0.84</v>
      </c>
      <c r="I64">
        <v>2.2799999999999998</v>
      </c>
      <c r="J64">
        <v>0.99</v>
      </c>
      <c r="K64">
        <v>1.2</v>
      </c>
      <c r="L64" t="s">
        <v>6</v>
      </c>
      <c r="M64" t="s">
        <v>11</v>
      </c>
    </row>
    <row r="65" spans="1:13" x14ac:dyDescent="0.45">
      <c r="A65" t="s">
        <v>5</v>
      </c>
      <c r="B65" t="s">
        <v>74</v>
      </c>
      <c r="C65">
        <v>2045</v>
      </c>
      <c r="D65">
        <v>206</v>
      </c>
      <c r="E65">
        <v>1.25</v>
      </c>
      <c r="F65">
        <v>1.2</v>
      </c>
      <c r="G65">
        <v>0.24</v>
      </c>
      <c r="H65">
        <v>0.9</v>
      </c>
      <c r="I65">
        <v>2.34</v>
      </c>
      <c r="J65">
        <v>1.1000000000000001</v>
      </c>
      <c r="K65">
        <v>1.33</v>
      </c>
      <c r="L65" t="s">
        <v>6</v>
      </c>
      <c r="M65" t="s">
        <v>11</v>
      </c>
    </row>
    <row r="66" spans="1:13" x14ac:dyDescent="0.45">
      <c r="A66" t="s">
        <v>5</v>
      </c>
      <c r="B66" t="s">
        <v>74</v>
      </c>
      <c r="C66">
        <v>2050</v>
      </c>
      <c r="D66">
        <v>229</v>
      </c>
      <c r="E66">
        <v>1.36</v>
      </c>
      <c r="F66">
        <v>1.33</v>
      </c>
      <c r="G66">
        <v>0.24</v>
      </c>
      <c r="H66">
        <v>0.96</v>
      </c>
      <c r="I66">
        <v>2.38</v>
      </c>
      <c r="J66">
        <v>1.24</v>
      </c>
      <c r="K66">
        <v>1.45</v>
      </c>
      <c r="L66" t="s">
        <v>6</v>
      </c>
      <c r="M66" t="s">
        <v>11</v>
      </c>
    </row>
    <row r="67" spans="1:13" x14ac:dyDescent="0.45">
      <c r="A67" t="s">
        <v>7</v>
      </c>
      <c r="B67" t="s">
        <v>74</v>
      </c>
      <c r="C67">
        <v>2020</v>
      </c>
      <c r="D67">
        <v>97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74</v>
      </c>
      <c r="C68">
        <v>2025</v>
      </c>
      <c r="D68">
        <v>91</v>
      </c>
      <c r="E68">
        <v>0.99</v>
      </c>
      <c r="F68">
        <v>1</v>
      </c>
      <c r="G68">
        <v>0.04</v>
      </c>
      <c r="H68">
        <v>0.83</v>
      </c>
      <c r="I68">
        <v>1.05</v>
      </c>
      <c r="J68">
        <v>0.98</v>
      </c>
      <c r="K68">
        <v>1.01</v>
      </c>
      <c r="L68" t="s">
        <v>8</v>
      </c>
      <c r="M68" t="s">
        <v>11</v>
      </c>
    </row>
    <row r="69" spans="1:13" x14ac:dyDescent="0.45">
      <c r="A69" t="s">
        <v>7</v>
      </c>
      <c r="B69" t="s">
        <v>74</v>
      </c>
      <c r="C69">
        <v>2030</v>
      </c>
      <c r="D69">
        <v>97</v>
      </c>
      <c r="E69">
        <v>1</v>
      </c>
      <c r="F69">
        <v>1</v>
      </c>
      <c r="G69">
        <v>0.06</v>
      </c>
      <c r="H69">
        <v>0.83</v>
      </c>
      <c r="I69">
        <v>1.1299999999999999</v>
      </c>
      <c r="J69">
        <v>0.97</v>
      </c>
      <c r="K69">
        <v>1.03</v>
      </c>
      <c r="L69" t="s">
        <v>8</v>
      </c>
      <c r="M69" t="s">
        <v>11</v>
      </c>
    </row>
    <row r="70" spans="1:13" x14ac:dyDescent="0.45">
      <c r="A70" t="s">
        <v>7</v>
      </c>
      <c r="B70" t="s">
        <v>74</v>
      </c>
      <c r="C70">
        <v>2035</v>
      </c>
      <c r="D70">
        <v>91</v>
      </c>
      <c r="E70">
        <v>1.02</v>
      </c>
      <c r="F70">
        <v>1.02</v>
      </c>
      <c r="G70">
        <v>0.08</v>
      </c>
      <c r="H70">
        <v>0.85</v>
      </c>
      <c r="I70">
        <v>1.21</v>
      </c>
      <c r="J70">
        <v>0.98</v>
      </c>
      <c r="K70">
        <v>1.04</v>
      </c>
      <c r="L70" t="s">
        <v>8</v>
      </c>
      <c r="M70" t="s">
        <v>11</v>
      </c>
    </row>
    <row r="71" spans="1:13" x14ac:dyDescent="0.45">
      <c r="A71" t="s">
        <v>7</v>
      </c>
      <c r="B71" t="s">
        <v>74</v>
      </c>
      <c r="C71">
        <v>2040</v>
      </c>
      <c r="D71">
        <v>97</v>
      </c>
      <c r="E71">
        <v>1.08</v>
      </c>
      <c r="F71">
        <v>1.08</v>
      </c>
      <c r="G71">
        <v>0.1</v>
      </c>
      <c r="H71">
        <v>0.85</v>
      </c>
      <c r="I71">
        <v>1.29</v>
      </c>
      <c r="J71">
        <v>1.01</v>
      </c>
      <c r="K71">
        <v>1.1299999999999999</v>
      </c>
      <c r="L71" t="s">
        <v>8</v>
      </c>
      <c r="M71" t="s">
        <v>11</v>
      </c>
    </row>
    <row r="72" spans="1:13" x14ac:dyDescent="0.45">
      <c r="A72" t="s">
        <v>7</v>
      </c>
      <c r="B72" t="s">
        <v>74</v>
      </c>
      <c r="C72">
        <v>2045</v>
      </c>
      <c r="D72">
        <v>91</v>
      </c>
      <c r="E72">
        <v>1.1499999999999999</v>
      </c>
      <c r="F72">
        <v>1.1499999999999999</v>
      </c>
      <c r="G72">
        <v>0.12</v>
      </c>
      <c r="H72">
        <v>0.89</v>
      </c>
      <c r="I72">
        <v>1.37</v>
      </c>
      <c r="J72">
        <v>1.05</v>
      </c>
      <c r="K72">
        <v>1.24</v>
      </c>
      <c r="L72" t="s">
        <v>8</v>
      </c>
      <c r="M72" t="s">
        <v>11</v>
      </c>
    </row>
    <row r="73" spans="1:13" x14ac:dyDescent="0.45">
      <c r="A73" t="s">
        <v>7</v>
      </c>
      <c r="B73" t="s">
        <v>74</v>
      </c>
      <c r="C73">
        <v>2050</v>
      </c>
      <c r="D73">
        <v>97</v>
      </c>
      <c r="E73">
        <v>1.25</v>
      </c>
      <c r="F73">
        <v>1.29</v>
      </c>
      <c r="G73">
        <v>0.13</v>
      </c>
      <c r="H73">
        <v>0.94</v>
      </c>
      <c r="I73">
        <v>1.46</v>
      </c>
      <c r="J73">
        <v>1.1499999999999999</v>
      </c>
      <c r="K73">
        <v>1.36</v>
      </c>
      <c r="L73" t="s">
        <v>8</v>
      </c>
      <c r="M73" t="s">
        <v>11</v>
      </c>
    </row>
    <row r="74" spans="1:13" x14ac:dyDescent="0.45">
      <c r="A74" t="s">
        <v>9</v>
      </c>
      <c r="B74" t="s">
        <v>74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74</v>
      </c>
      <c r="C75">
        <v>2025</v>
      </c>
      <c r="D75">
        <v>55</v>
      </c>
      <c r="E75">
        <v>1.02</v>
      </c>
      <c r="F75">
        <v>1.01</v>
      </c>
      <c r="G75">
        <v>0.09</v>
      </c>
      <c r="H75">
        <v>0.91</v>
      </c>
      <c r="I75">
        <v>1.62</v>
      </c>
      <c r="J75">
        <v>0.99</v>
      </c>
      <c r="K75">
        <v>1.04</v>
      </c>
      <c r="L75" t="s">
        <v>10</v>
      </c>
      <c r="M75" t="s">
        <v>11</v>
      </c>
    </row>
    <row r="76" spans="1:13" x14ac:dyDescent="0.45">
      <c r="A76" t="s">
        <v>9</v>
      </c>
      <c r="B76" t="s">
        <v>74</v>
      </c>
      <c r="C76">
        <v>2030</v>
      </c>
      <c r="D76">
        <v>60</v>
      </c>
      <c r="E76">
        <v>1.03</v>
      </c>
      <c r="F76">
        <v>1.03</v>
      </c>
      <c r="G76">
        <v>0.1</v>
      </c>
      <c r="H76">
        <v>0.82</v>
      </c>
      <c r="I76">
        <v>1.55</v>
      </c>
      <c r="J76">
        <v>0.95</v>
      </c>
      <c r="K76">
        <v>1.1000000000000001</v>
      </c>
      <c r="L76" t="s">
        <v>10</v>
      </c>
      <c r="M76" t="s">
        <v>11</v>
      </c>
    </row>
    <row r="77" spans="1:13" x14ac:dyDescent="0.45">
      <c r="A77" t="s">
        <v>9</v>
      </c>
      <c r="B77" t="s">
        <v>74</v>
      </c>
      <c r="C77">
        <v>2035</v>
      </c>
      <c r="D77">
        <v>55</v>
      </c>
      <c r="E77">
        <v>1.05</v>
      </c>
      <c r="F77">
        <v>1.05</v>
      </c>
      <c r="G77">
        <v>0.12</v>
      </c>
      <c r="H77">
        <v>0.78</v>
      </c>
      <c r="I77">
        <v>1.63</v>
      </c>
      <c r="J77">
        <v>0.96</v>
      </c>
      <c r="K77">
        <v>1.1000000000000001</v>
      </c>
      <c r="L77" t="s">
        <v>10</v>
      </c>
      <c r="M77" t="s">
        <v>11</v>
      </c>
    </row>
    <row r="78" spans="1:13" x14ac:dyDescent="0.45">
      <c r="A78" t="s">
        <v>9</v>
      </c>
      <c r="B78" t="s">
        <v>74</v>
      </c>
      <c r="C78">
        <v>2040</v>
      </c>
      <c r="D78">
        <v>60</v>
      </c>
      <c r="E78">
        <v>1.08</v>
      </c>
      <c r="F78">
        <v>1.0900000000000001</v>
      </c>
      <c r="G78">
        <v>0.15</v>
      </c>
      <c r="H78">
        <v>0.77</v>
      </c>
      <c r="I78">
        <v>1.74</v>
      </c>
      <c r="J78">
        <v>0.95</v>
      </c>
      <c r="K78">
        <v>1.19</v>
      </c>
      <c r="L78" t="s">
        <v>10</v>
      </c>
      <c r="M78" t="s">
        <v>11</v>
      </c>
    </row>
    <row r="79" spans="1:13" x14ac:dyDescent="0.45">
      <c r="A79" t="s">
        <v>9</v>
      </c>
      <c r="B79" t="s">
        <v>74</v>
      </c>
      <c r="C79">
        <v>2045</v>
      </c>
      <c r="D79">
        <v>55</v>
      </c>
      <c r="E79">
        <v>1.0900000000000001</v>
      </c>
      <c r="F79">
        <v>1.1000000000000001</v>
      </c>
      <c r="G79">
        <v>0.17</v>
      </c>
      <c r="H79">
        <v>0.77</v>
      </c>
      <c r="I79">
        <v>1.78</v>
      </c>
      <c r="J79">
        <v>0.93</v>
      </c>
      <c r="K79">
        <v>1.1599999999999999</v>
      </c>
      <c r="L79" t="s">
        <v>10</v>
      </c>
      <c r="M79" t="s">
        <v>11</v>
      </c>
    </row>
    <row r="80" spans="1:13" x14ac:dyDescent="0.45">
      <c r="A80" t="s">
        <v>9</v>
      </c>
      <c r="B80" t="s">
        <v>74</v>
      </c>
      <c r="C80">
        <v>2050</v>
      </c>
      <c r="D80">
        <v>60</v>
      </c>
      <c r="E80">
        <v>1.1299999999999999</v>
      </c>
      <c r="F80">
        <v>1.1499999999999999</v>
      </c>
      <c r="G80">
        <v>0.19</v>
      </c>
      <c r="H80">
        <v>0.79</v>
      </c>
      <c r="I80">
        <v>1.86</v>
      </c>
      <c r="J80">
        <v>0.95</v>
      </c>
      <c r="K80">
        <v>1.22</v>
      </c>
      <c r="L80" t="s">
        <v>10</v>
      </c>
      <c r="M80" t="s">
        <v>11</v>
      </c>
    </row>
    <row r="81" spans="1:13" x14ac:dyDescent="0.45">
      <c r="A81" t="s">
        <v>0</v>
      </c>
      <c r="B81" t="s">
        <v>74</v>
      </c>
      <c r="C81">
        <v>2020</v>
      </c>
      <c r="D81">
        <v>61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</v>
      </c>
      <c r="L81" t="s">
        <v>1</v>
      </c>
      <c r="M81" t="s">
        <v>15</v>
      </c>
    </row>
    <row r="82" spans="1:13" x14ac:dyDescent="0.45">
      <c r="A82" t="s">
        <v>0</v>
      </c>
      <c r="B82" t="s">
        <v>74</v>
      </c>
      <c r="C82">
        <v>2025</v>
      </c>
      <c r="D82">
        <v>61</v>
      </c>
      <c r="E82">
        <v>0</v>
      </c>
      <c r="F82">
        <v>0</v>
      </c>
      <c r="G82">
        <v>0</v>
      </c>
      <c r="H82">
        <v>0</v>
      </c>
      <c r="I82">
        <v>0.02</v>
      </c>
      <c r="J82">
        <v>0</v>
      </c>
      <c r="K82">
        <v>0</v>
      </c>
      <c r="L82" t="s">
        <v>1</v>
      </c>
      <c r="M82" t="s">
        <v>15</v>
      </c>
    </row>
    <row r="83" spans="1:13" x14ac:dyDescent="0.45">
      <c r="A83" t="s">
        <v>0</v>
      </c>
      <c r="B83" t="s">
        <v>74</v>
      </c>
      <c r="C83">
        <v>2030</v>
      </c>
      <c r="D83">
        <v>61</v>
      </c>
      <c r="E83">
        <v>0.01</v>
      </c>
      <c r="F83">
        <v>0.01</v>
      </c>
      <c r="G83">
        <v>0.01</v>
      </c>
      <c r="H83">
        <v>0</v>
      </c>
      <c r="I83">
        <v>0.03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74</v>
      </c>
      <c r="C84">
        <v>2035</v>
      </c>
      <c r="D84">
        <v>61</v>
      </c>
      <c r="E84">
        <v>0.03</v>
      </c>
      <c r="F84">
        <v>0.02</v>
      </c>
      <c r="G84">
        <v>0.02</v>
      </c>
      <c r="H84">
        <v>0</v>
      </c>
      <c r="I84">
        <v>0.09</v>
      </c>
      <c r="J84">
        <v>0.01</v>
      </c>
      <c r="K84">
        <v>0.03</v>
      </c>
      <c r="L84" t="s">
        <v>1</v>
      </c>
      <c r="M84" t="s">
        <v>15</v>
      </c>
    </row>
    <row r="85" spans="1:13" x14ac:dyDescent="0.45">
      <c r="A85" t="s">
        <v>0</v>
      </c>
      <c r="B85" t="s">
        <v>74</v>
      </c>
      <c r="C85">
        <v>2040</v>
      </c>
      <c r="D85">
        <v>61</v>
      </c>
      <c r="E85">
        <v>0.04</v>
      </c>
      <c r="F85">
        <v>0.03</v>
      </c>
      <c r="G85">
        <v>0.04</v>
      </c>
      <c r="H85">
        <v>0</v>
      </c>
      <c r="I85">
        <v>0.2</v>
      </c>
      <c r="J85">
        <v>0.02</v>
      </c>
      <c r="K85">
        <v>0.05</v>
      </c>
      <c r="L85" t="s">
        <v>1</v>
      </c>
      <c r="M85" t="s">
        <v>15</v>
      </c>
    </row>
    <row r="86" spans="1:13" x14ac:dyDescent="0.45">
      <c r="A86" t="s">
        <v>0</v>
      </c>
      <c r="B86" t="s">
        <v>74</v>
      </c>
      <c r="C86">
        <v>2045</v>
      </c>
      <c r="D86">
        <v>61</v>
      </c>
      <c r="E86">
        <v>0.06</v>
      </c>
      <c r="F86">
        <v>0.05</v>
      </c>
      <c r="G86">
        <v>0.05</v>
      </c>
      <c r="H86">
        <v>0</v>
      </c>
      <c r="I86">
        <v>0.22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74</v>
      </c>
      <c r="C87">
        <v>2050</v>
      </c>
      <c r="D87">
        <v>61</v>
      </c>
      <c r="E87">
        <v>0.06</v>
      </c>
      <c r="F87">
        <v>0.06</v>
      </c>
      <c r="G87">
        <v>0.05</v>
      </c>
      <c r="H87">
        <v>0</v>
      </c>
      <c r="I87">
        <v>0.22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74</v>
      </c>
      <c r="C88">
        <v>2020</v>
      </c>
      <c r="D88">
        <v>89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74</v>
      </c>
      <c r="C89">
        <v>2025</v>
      </c>
      <c r="D89">
        <v>78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</v>
      </c>
      <c r="L89" t="s">
        <v>3</v>
      </c>
      <c r="M89" t="s">
        <v>15</v>
      </c>
    </row>
    <row r="90" spans="1:13" x14ac:dyDescent="0.45">
      <c r="A90" t="s">
        <v>2</v>
      </c>
      <c r="B90" t="s">
        <v>74</v>
      </c>
      <c r="C90">
        <v>2030</v>
      </c>
      <c r="D90">
        <v>89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74</v>
      </c>
      <c r="C91">
        <v>2035</v>
      </c>
      <c r="D91">
        <v>78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74</v>
      </c>
      <c r="C92">
        <v>2040</v>
      </c>
      <c r="D92">
        <v>89</v>
      </c>
      <c r="E92">
        <v>0.04</v>
      </c>
      <c r="F92">
        <v>0.03</v>
      </c>
      <c r="G92">
        <v>0.04</v>
      </c>
      <c r="H92">
        <v>0</v>
      </c>
      <c r="I92">
        <v>0.2</v>
      </c>
      <c r="J92">
        <v>0.01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74</v>
      </c>
      <c r="C93">
        <v>2045</v>
      </c>
      <c r="D93">
        <v>78</v>
      </c>
      <c r="E93">
        <v>0.05</v>
      </c>
      <c r="F93">
        <v>0.03</v>
      </c>
      <c r="G93">
        <v>0.05</v>
      </c>
      <c r="H93">
        <v>0</v>
      </c>
      <c r="I93">
        <v>0.22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74</v>
      </c>
      <c r="C94">
        <v>2050</v>
      </c>
      <c r="D94">
        <v>89</v>
      </c>
      <c r="E94">
        <v>0.06</v>
      </c>
      <c r="F94">
        <v>0.06</v>
      </c>
      <c r="G94">
        <v>0.05</v>
      </c>
      <c r="H94">
        <v>0</v>
      </c>
      <c r="I94">
        <v>0.24</v>
      </c>
      <c r="J94">
        <v>0.04</v>
      </c>
      <c r="K94">
        <v>7.0000000000000007E-2</v>
      </c>
      <c r="L94" t="s">
        <v>3</v>
      </c>
      <c r="M94" t="s">
        <v>15</v>
      </c>
    </row>
    <row r="95" spans="1:13" x14ac:dyDescent="0.45">
      <c r="A95" t="s">
        <v>5</v>
      </c>
      <c r="B95" t="s">
        <v>74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</v>
      </c>
      <c r="L95" t="s">
        <v>6</v>
      </c>
      <c r="M95" t="s">
        <v>15</v>
      </c>
    </row>
    <row r="96" spans="1:13" x14ac:dyDescent="0.45">
      <c r="A96" t="s">
        <v>5</v>
      </c>
      <c r="B96" t="s">
        <v>74</v>
      </c>
      <c r="C96">
        <v>2025</v>
      </c>
      <c r="D96">
        <v>198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</v>
      </c>
      <c r="L96" t="s">
        <v>6</v>
      </c>
      <c r="M96" t="s">
        <v>15</v>
      </c>
    </row>
    <row r="97" spans="1:13" x14ac:dyDescent="0.45">
      <c r="A97" t="s">
        <v>5</v>
      </c>
      <c r="B97" t="s">
        <v>74</v>
      </c>
      <c r="C97">
        <v>2030</v>
      </c>
      <c r="D97">
        <v>215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74</v>
      </c>
      <c r="C98">
        <v>2035</v>
      </c>
      <c r="D98">
        <v>198</v>
      </c>
      <c r="E98">
        <v>0.01</v>
      </c>
      <c r="F98">
        <v>0.01</v>
      </c>
      <c r="G98">
        <v>0.01</v>
      </c>
      <c r="H98">
        <v>0</v>
      </c>
      <c r="I98">
        <v>7.0000000000000007E-2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74</v>
      </c>
      <c r="C99">
        <v>2040</v>
      </c>
      <c r="D99">
        <v>215</v>
      </c>
      <c r="E99">
        <v>0.02</v>
      </c>
      <c r="F99">
        <v>0.01</v>
      </c>
      <c r="G99">
        <v>0.02</v>
      </c>
      <c r="H99">
        <v>0</v>
      </c>
      <c r="I99">
        <v>0.11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74</v>
      </c>
      <c r="C100">
        <v>2045</v>
      </c>
      <c r="D100">
        <v>198</v>
      </c>
      <c r="E100">
        <v>0.02</v>
      </c>
      <c r="F100">
        <v>0.02</v>
      </c>
      <c r="G100">
        <v>0.03</v>
      </c>
      <c r="H100">
        <v>0</v>
      </c>
      <c r="I100">
        <v>0.14000000000000001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74</v>
      </c>
      <c r="C101">
        <v>2050</v>
      </c>
      <c r="D101">
        <v>215</v>
      </c>
      <c r="E101">
        <v>0.04</v>
      </c>
      <c r="F101">
        <v>0.03</v>
      </c>
      <c r="G101">
        <v>0.03</v>
      </c>
      <c r="H101">
        <v>0</v>
      </c>
      <c r="I101">
        <v>0.17</v>
      </c>
      <c r="J101">
        <v>0.01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74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74</v>
      </c>
      <c r="C103">
        <v>2025</v>
      </c>
      <c r="D103">
        <v>91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74</v>
      </c>
      <c r="C104">
        <v>2030</v>
      </c>
      <c r="D104">
        <v>97</v>
      </c>
      <c r="E104">
        <v>0.01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74</v>
      </c>
      <c r="C105">
        <v>2035</v>
      </c>
      <c r="D105">
        <v>91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74</v>
      </c>
      <c r="C106">
        <v>2040</v>
      </c>
      <c r="D106">
        <v>97</v>
      </c>
      <c r="E106">
        <v>0.01</v>
      </c>
      <c r="F106">
        <v>0</v>
      </c>
      <c r="G106">
        <v>0.03</v>
      </c>
      <c r="H106">
        <v>0</v>
      </c>
      <c r="I106">
        <v>0.11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74</v>
      </c>
      <c r="C107">
        <v>2045</v>
      </c>
      <c r="D107">
        <v>91</v>
      </c>
      <c r="E107">
        <v>0.02</v>
      </c>
      <c r="F107">
        <v>0</v>
      </c>
      <c r="G107">
        <v>0.03</v>
      </c>
      <c r="H107">
        <v>0</v>
      </c>
      <c r="I107">
        <v>0.1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74</v>
      </c>
      <c r="C108">
        <v>2050</v>
      </c>
      <c r="D108">
        <v>97</v>
      </c>
      <c r="E108">
        <v>0.02</v>
      </c>
      <c r="F108">
        <v>0</v>
      </c>
      <c r="G108">
        <v>0.02</v>
      </c>
      <c r="H108">
        <v>0</v>
      </c>
      <c r="I108">
        <v>0.08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74</v>
      </c>
      <c r="C109">
        <v>2020</v>
      </c>
      <c r="D109">
        <v>57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</v>
      </c>
      <c r="L109" t="s">
        <v>10</v>
      </c>
      <c r="M109" t="s">
        <v>15</v>
      </c>
    </row>
    <row r="110" spans="1:13" x14ac:dyDescent="0.45">
      <c r="A110" t="s">
        <v>9</v>
      </c>
      <c r="B110" t="s">
        <v>74</v>
      </c>
      <c r="C110">
        <v>2025</v>
      </c>
      <c r="D110">
        <v>52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</v>
      </c>
      <c r="L110" t="s">
        <v>10</v>
      </c>
      <c r="M110" t="s">
        <v>15</v>
      </c>
    </row>
    <row r="111" spans="1:13" x14ac:dyDescent="0.45">
      <c r="A111" t="s">
        <v>9</v>
      </c>
      <c r="B111" t="s">
        <v>74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74</v>
      </c>
      <c r="C112">
        <v>2035</v>
      </c>
      <c r="D112">
        <v>52</v>
      </c>
      <c r="E112">
        <v>0.01</v>
      </c>
      <c r="F112">
        <v>0.01</v>
      </c>
      <c r="G112">
        <v>0.01</v>
      </c>
      <c r="H112">
        <v>0</v>
      </c>
      <c r="I112">
        <v>7.0000000000000007E-2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74</v>
      </c>
      <c r="C113">
        <v>2040</v>
      </c>
      <c r="D113">
        <v>57</v>
      </c>
      <c r="E113">
        <v>0.02</v>
      </c>
      <c r="F113">
        <v>0.01</v>
      </c>
      <c r="G113">
        <v>0.02</v>
      </c>
      <c r="H113">
        <v>0</v>
      </c>
      <c r="I113">
        <v>0.09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74</v>
      </c>
      <c r="C114">
        <v>2045</v>
      </c>
      <c r="D114">
        <v>52</v>
      </c>
      <c r="E114">
        <v>0.02</v>
      </c>
      <c r="F114">
        <v>0.02</v>
      </c>
      <c r="G114">
        <v>0.02</v>
      </c>
      <c r="H114">
        <v>0</v>
      </c>
      <c r="I114">
        <v>0.09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74</v>
      </c>
      <c r="C115">
        <v>2050</v>
      </c>
      <c r="D115">
        <v>57</v>
      </c>
      <c r="E115">
        <v>0.02</v>
      </c>
      <c r="F115">
        <v>0.02</v>
      </c>
      <c r="G115">
        <v>0.02</v>
      </c>
      <c r="H115">
        <v>0</v>
      </c>
      <c r="I115">
        <v>0.08</v>
      </c>
      <c r="J115">
        <v>0.01</v>
      </c>
      <c r="K115">
        <v>0.03</v>
      </c>
      <c r="L115" t="s">
        <v>10</v>
      </c>
      <c r="M115" t="s">
        <v>15</v>
      </c>
    </row>
    <row r="116" spans="1:13" x14ac:dyDescent="0.45">
      <c r="A116" t="s">
        <v>0</v>
      </c>
      <c r="B116" t="s">
        <v>74</v>
      </c>
      <c r="C116">
        <v>2020</v>
      </c>
      <c r="D116">
        <v>58</v>
      </c>
      <c r="E116">
        <v>0.33</v>
      </c>
      <c r="F116">
        <v>0.32</v>
      </c>
      <c r="G116">
        <v>0.03</v>
      </c>
      <c r="H116">
        <v>0.3</v>
      </c>
      <c r="I116">
        <v>0.41</v>
      </c>
      <c r="J116">
        <v>0.3</v>
      </c>
      <c r="K116">
        <v>0.34</v>
      </c>
      <c r="L116" t="s">
        <v>1</v>
      </c>
      <c r="M116" t="s">
        <v>18</v>
      </c>
    </row>
    <row r="117" spans="1:13" x14ac:dyDescent="0.45">
      <c r="A117" t="s">
        <v>0</v>
      </c>
      <c r="B117" t="s">
        <v>74</v>
      </c>
      <c r="C117">
        <v>2025</v>
      </c>
      <c r="D117">
        <v>58</v>
      </c>
      <c r="E117">
        <v>0.3</v>
      </c>
      <c r="F117">
        <v>0.28000000000000003</v>
      </c>
      <c r="G117">
        <v>0.05</v>
      </c>
      <c r="H117">
        <v>0.2</v>
      </c>
      <c r="I117">
        <v>0.44</v>
      </c>
      <c r="J117">
        <v>0.28000000000000003</v>
      </c>
      <c r="K117">
        <v>0.33</v>
      </c>
      <c r="L117" t="s">
        <v>1</v>
      </c>
      <c r="M117" t="s">
        <v>18</v>
      </c>
    </row>
    <row r="118" spans="1:13" x14ac:dyDescent="0.45">
      <c r="A118" t="s">
        <v>0</v>
      </c>
      <c r="B118" t="s">
        <v>74</v>
      </c>
      <c r="C118">
        <v>2030</v>
      </c>
      <c r="D118">
        <v>58</v>
      </c>
      <c r="E118">
        <v>0.28999999999999998</v>
      </c>
      <c r="F118">
        <v>0.28000000000000003</v>
      </c>
      <c r="G118">
        <v>0.05</v>
      </c>
      <c r="H118">
        <v>0.21</v>
      </c>
      <c r="I118">
        <v>0.49</v>
      </c>
      <c r="J118">
        <v>0.27</v>
      </c>
      <c r="K118">
        <v>0.31</v>
      </c>
      <c r="L118" t="s">
        <v>1</v>
      </c>
      <c r="M118" t="s">
        <v>18</v>
      </c>
    </row>
    <row r="119" spans="1:13" x14ac:dyDescent="0.45">
      <c r="A119" t="s">
        <v>0</v>
      </c>
      <c r="B119" t="s">
        <v>74</v>
      </c>
      <c r="C119">
        <v>2035</v>
      </c>
      <c r="D119">
        <v>58</v>
      </c>
      <c r="E119">
        <v>0.28999999999999998</v>
      </c>
      <c r="F119">
        <v>0.27</v>
      </c>
      <c r="G119">
        <v>0.06</v>
      </c>
      <c r="H119">
        <v>0.21</v>
      </c>
      <c r="I119">
        <v>0.51</v>
      </c>
      <c r="J119">
        <v>0.27</v>
      </c>
      <c r="K119">
        <v>0.3</v>
      </c>
      <c r="L119" t="s">
        <v>1</v>
      </c>
      <c r="M119" t="s">
        <v>18</v>
      </c>
    </row>
    <row r="120" spans="1:13" x14ac:dyDescent="0.45">
      <c r="A120" t="s">
        <v>0</v>
      </c>
      <c r="B120" t="s">
        <v>74</v>
      </c>
      <c r="C120">
        <v>2040</v>
      </c>
      <c r="D120">
        <v>58</v>
      </c>
      <c r="E120">
        <v>0.3</v>
      </c>
      <c r="F120">
        <v>0.28999999999999998</v>
      </c>
      <c r="G120">
        <v>7.0000000000000007E-2</v>
      </c>
      <c r="H120">
        <v>0.2</v>
      </c>
      <c r="I120">
        <v>0.51</v>
      </c>
      <c r="J120">
        <v>0.26</v>
      </c>
      <c r="K120">
        <v>0.32</v>
      </c>
      <c r="L120" t="s">
        <v>1</v>
      </c>
      <c r="M120" t="s">
        <v>18</v>
      </c>
    </row>
    <row r="121" spans="1:13" x14ac:dyDescent="0.45">
      <c r="A121" t="s">
        <v>0</v>
      </c>
      <c r="B121" t="s">
        <v>74</v>
      </c>
      <c r="C121">
        <v>2045</v>
      </c>
      <c r="D121">
        <v>58</v>
      </c>
      <c r="E121">
        <v>0.3</v>
      </c>
      <c r="F121">
        <v>0.3</v>
      </c>
      <c r="G121">
        <v>7.0000000000000007E-2</v>
      </c>
      <c r="H121">
        <v>0.19</v>
      </c>
      <c r="I121">
        <v>0.51</v>
      </c>
      <c r="J121">
        <v>0.26</v>
      </c>
      <c r="K121">
        <v>0.33</v>
      </c>
      <c r="L121" t="s">
        <v>1</v>
      </c>
      <c r="M121" t="s">
        <v>18</v>
      </c>
    </row>
    <row r="122" spans="1:13" x14ac:dyDescent="0.45">
      <c r="A122" t="s">
        <v>0</v>
      </c>
      <c r="B122" t="s">
        <v>74</v>
      </c>
      <c r="C122">
        <v>2050</v>
      </c>
      <c r="D122">
        <v>58</v>
      </c>
      <c r="E122">
        <v>0.32</v>
      </c>
      <c r="F122">
        <v>0.32</v>
      </c>
      <c r="G122">
        <v>0.08</v>
      </c>
      <c r="H122">
        <v>0.19</v>
      </c>
      <c r="I122">
        <v>0.5</v>
      </c>
      <c r="J122">
        <v>0.26</v>
      </c>
      <c r="K122">
        <v>0.36</v>
      </c>
      <c r="L122" t="s">
        <v>1</v>
      </c>
      <c r="M122" t="s">
        <v>18</v>
      </c>
    </row>
    <row r="123" spans="1:13" x14ac:dyDescent="0.45">
      <c r="A123" t="s">
        <v>2</v>
      </c>
      <c r="B123" t="s">
        <v>74</v>
      </c>
      <c r="C123">
        <v>2020</v>
      </c>
      <c r="D123">
        <v>89</v>
      </c>
      <c r="E123">
        <v>0.32</v>
      </c>
      <c r="F123">
        <v>0.32</v>
      </c>
      <c r="G123">
        <v>0.03</v>
      </c>
      <c r="H123">
        <v>0.28000000000000003</v>
      </c>
      <c r="I123">
        <v>0.45</v>
      </c>
      <c r="J123">
        <v>0.3</v>
      </c>
      <c r="K123">
        <v>0.34</v>
      </c>
      <c r="L123" t="s">
        <v>3</v>
      </c>
      <c r="M123" t="s">
        <v>18</v>
      </c>
    </row>
    <row r="124" spans="1:13" x14ac:dyDescent="0.45">
      <c r="A124" t="s">
        <v>2</v>
      </c>
      <c r="B124" t="s">
        <v>74</v>
      </c>
      <c r="C124">
        <v>2025</v>
      </c>
      <c r="D124">
        <v>78</v>
      </c>
      <c r="E124">
        <v>0.31</v>
      </c>
      <c r="F124">
        <v>0.31</v>
      </c>
      <c r="G124">
        <v>0.04</v>
      </c>
      <c r="H124">
        <v>0</v>
      </c>
      <c r="I124">
        <v>0.43</v>
      </c>
      <c r="J124">
        <v>0.3</v>
      </c>
      <c r="K124">
        <v>0.32</v>
      </c>
      <c r="L124" t="s">
        <v>3</v>
      </c>
      <c r="M124" t="s">
        <v>18</v>
      </c>
    </row>
    <row r="125" spans="1:13" x14ac:dyDescent="0.45">
      <c r="A125" t="s">
        <v>2</v>
      </c>
      <c r="B125" t="s">
        <v>74</v>
      </c>
      <c r="C125">
        <v>2030</v>
      </c>
      <c r="D125">
        <v>89</v>
      </c>
      <c r="E125">
        <v>0.28999999999999998</v>
      </c>
      <c r="F125">
        <v>0.28999999999999998</v>
      </c>
      <c r="G125">
        <v>0.05</v>
      </c>
      <c r="H125">
        <v>0</v>
      </c>
      <c r="I125">
        <v>0.39</v>
      </c>
      <c r="J125">
        <v>0.27</v>
      </c>
      <c r="K125">
        <v>0.31</v>
      </c>
      <c r="L125" t="s">
        <v>3</v>
      </c>
      <c r="M125" t="s">
        <v>18</v>
      </c>
    </row>
    <row r="126" spans="1:13" x14ac:dyDescent="0.45">
      <c r="A126" t="s">
        <v>2</v>
      </c>
      <c r="B126" t="s">
        <v>74</v>
      </c>
      <c r="C126">
        <v>2035</v>
      </c>
      <c r="D126">
        <v>78</v>
      </c>
      <c r="E126">
        <v>0.3</v>
      </c>
      <c r="F126">
        <v>0.28999999999999998</v>
      </c>
      <c r="G126">
        <v>0.04</v>
      </c>
      <c r="H126">
        <v>0.23</v>
      </c>
      <c r="I126">
        <v>0.41</v>
      </c>
      <c r="J126">
        <v>0.27</v>
      </c>
      <c r="K126">
        <v>0.31</v>
      </c>
      <c r="L126" t="s">
        <v>3</v>
      </c>
      <c r="M126" t="s">
        <v>18</v>
      </c>
    </row>
    <row r="127" spans="1:13" x14ac:dyDescent="0.45">
      <c r="A127" t="s">
        <v>2</v>
      </c>
      <c r="B127" t="s">
        <v>74</v>
      </c>
      <c r="C127">
        <v>2040</v>
      </c>
      <c r="D127">
        <v>89</v>
      </c>
      <c r="E127">
        <v>0.28000000000000003</v>
      </c>
      <c r="F127">
        <v>0.28999999999999998</v>
      </c>
      <c r="G127">
        <v>0.05</v>
      </c>
      <c r="H127">
        <v>0.18</v>
      </c>
      <c r="I127">
        <v>0.43</v>
      </c>
      <c r="J127">
        <v>0.25</v>
      </c>
      <c r="K127">
        <v>0.31</v>
      </c>
      <c r="L127" t="s">
        <v>3</v>
      </c>
      <c r="M127" t="s">
        <v>18</v>
      </c>
    </row>
    <row r="128" spans="1:13" x14ac:dyDescent="0.45">
      <c r="A128" t="s">
        <v>2</v>
      </c>
      <c r="B128" t="s">
        <v>74</v>
      </c>
      <c r="C128">
        <v>2045</v>
      </c>
      <c r="D128">
        <v>78</v>
      </c>
      <c r="E128">
        <v>0.28999999999999998</v>
      </c>
      <c r="F128">
        <v>0.3</v>
      </c>
      <c r="G128">
        <v>0.05</v>
      </c>
      <c r="H128">
        <v>0.19</v>
      </c>
      <c r="I128">
        <v>0.45</v>
      </c>
      <c r="J128">
        <v>0.26</v>
      </c>
      <c r="K128">
        <v>0.32</v>
      </c>
      <c r="L128" t="s">
        <v>3</v>
      </c>
      <c r="M128" t="s">
        <v>18</v>
      </c>
    </row>
    <row r="129" spans="1:13" x14ac:dyDescent="0.45">
      <c r="A129" t="s">
        <v>2</v>
      </c>
      <c r="B129" t="s">
        <v>74</v>
      </c>
      <c r="C129">
        <v>2050</v>
      </c>
      <c r="D129">
        <v>89</v>
      </c>
      <c r="E129">
        <v>0.28999999999999998</v>
      </c>
      <c r="F129">
        <v>0.3</v>
      </c>
      <c r="G129">
        <v>7.0000000000000007E-2</v>
      </c>
      <c r="H129">
        <v>0.16</v>
      </c>
      <c r="I129">
        <v>0.45</v>
      </c>
      <c r="J129">
        <v>0.23</v>
      </c>
      <c r="K129">
        <v>0.32</v>
      </c>
      <c r="L129" t="s">
        <v>3</v>
      </c>
      <c r="M129" t="s">
        <v>18</v>
      </c>
    </row>
    <row r="130" spans="1:13" x14ac:dyDescent="0.45">
      <c r="A130" t="s">
        <v>5</v>
      </c>
      <c r="B130" t="s">
        <v>74</v>
      </c>
      <c r="C130">
        <v>2020</v>
      </c>
      <c r="D130">
        <v>220</v>
      </c>
      <c r="E130">
        <v>0.35</v>
      </c>
      <c r="F130">
        <v>0.34</v>
      </c>
      <c r="G130">
        <v>0.05</v>
      </c>
      <c r="H130">
        <v>0.28000000000000003</v>
      </c>
      <c r="I130">
        <v>0.49</v>
      </c>
      <c r="J130">
        <v>0.3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74</v>
      </c>
      <c r="C131">
        <v>2025</v>
      </c>
      <c r="D131">
        <v>197</v>
      </c>
      <c r="E131">
        <v>0.28999999999999998</v>
      </c>
      <c r="F131">
        <v>0.3</v>
      </c>
      <c r="G131">
        <v>0.1</v>
      </c>
      <c r="H131">
        <v>0</v>
      </c>
      <c r="I131">
        <v>0.55000000000000004</v>
      </c>
      <c r="J131">
        <v>0.28000000000000003</v>
      </c>
      <c r="K131">
        <v>0.32</v>
      </c>
      <c r="L131" t="s">
        <v>6</v>
      </c>
      <c r="M131" t="s">
        <v>18</v>
      </c>
    </row>
    <row r="132" spans="1:13" x14ac:dyDescent="0.45">
      <c r="A132" t="s">
        <v>5</v>
      </c>
      <c r="B132" t="s">
        <v>74</v>
      </c>
      <c r="C132">
        <v>2030</v>
      </c>
      <c r="D132">
        <v>220</v>
      </c>
      <c r="E132">
        <v>0.28999999999999998</v>
      </c>
      <c r="F132">
        <v>0.28999999999999998</v>
      </c>
      <c r="G132">
        <v>0.09</v>
      </c>
      <c r="H132">
        <v>0</v>
      </c>
      <c r="I132">
        <v>0.55000000000000004</v>
      </c>
      <c r="J132">
        <v>0.27</v>
      </c>
      <c r="K132">
        <v>0.31</v>
      </c>
      <c r="L132" t="s">
        <v>6</v>
      </c>
      <c r="M132" t="s">
        <v>18</v>
      </c>
    </row>
    <row r="133" spans="1:13" x14ac:dyDescent="0.45">
      <c r="A133" t="s">
        <v>5</v>
      </c>
      <c r="B133" t="s">
        <v>74</v>
      </c>
      <c r="C133">
        <v>2035</v>
      </c>
      <c r="D133">
        <v>197</v>
      </c>
      <c r="E133">
        <v>0.3</v>
      </c>
      <c r="F133">
        <v>0.27</v>
      </c>
      <c r="G133">
        <v>7.0000000000000007E-2</v>
      </c>
      <c r="H133">
        <v>0.23</v>
      </c>
      <c r="I133">
        <v>0.53</v>
      </c>
      <c r="J133">
        <v>0.26</v>
      </c>
      <c r="K133">
        <v>0.31</v>
      </c>
      <c r="L133" t="s">
        <v>6</v>
      </c>
      <c r="M133" t="s">
        <v>18</v>
      </c>
    </row>
    <row r="134" spans="1:13" x14ac:dyDescent="0.45">
      <c r="A134" t="s">
        <v>5</v>
      </c>
      <c r="B134" t="s">
        <v>74</v>
      </c>
      <c r="C134">
        <v>2040</v>
      </c>
      <c r="D134">
        <v>220</v>
      </c>
      <c r="E134">
        <v>0.3</v>
      </c>
      <c r="F134">
        <v>0.28000000000000003</v>
      </c>
      <c r="G134">
        <v>0.08</v>
      </c>
      <c r="H134">
        <v>0.19</v>
      </c>
      <c r="I134">
        <v>0.54</v>
      </c>
      <c r="J134">
        <v>0.25</v>
      </c>
      <c r="K134">
        <v>0.31</v>
      </c>
      <c r="L134" t="s">
        <v>6</v>
      </c>
      <c r="M134" t="s">
        <v>18</v>
      </c>
    </row>
    <row r="135" spans="1:13" x14ac:dyDescent="0.45">
      <c r="A135" t="s">
        <v>5</v>
      </c>
      <c r="B135" t="s">
        <v>74</v>
      </c>
      <c r="C135">
        <v>2045</v>
      </c>
      <c r="D135">
        <v>197</v>
      </c>
      <c r="E135">
        <v>0.3</v>
      </c>
      <c r="F135">
        <v>0.28999999999999998</v>
      </c>
      <c r="G135">
        <v>0.08</v>
      </c>
      <c r="H135">
        <v>0.19</v>
      </c>
      <c r="I135">
        <v>0.54</v>
      </c>
      <c r="J135">
        <v>0.24</v>
      </c>
      <c r="K135">
        <v>0.31</v>
      </c>
      <c r="L135" t="s">
        <v>6</v>
      </c>
      <c r="M135" t="s">
        <v>18</v>
      </c>
    </row>
    <row r="136" spans="1:13" x14ac:dyDescent="0.45">
      <c r="A136" t="s">
        <v>5</v>
      </c>
      <c r="B136" t="s">
        <v>74</v>
      </c>
      <c r="C136">
        <v>2050</v>
      </c>
      <c r="D136">
        <v>220</v>
      </c>
      <c r="E136">
        <v>0.3</v>
      </c>
      <c r="F136">
        <v>0.28999999999999998</v>
      </c>
      <c r="G136">
        <v>0.09</v>
      </c>
      <c r="H136">
        <v>0.16</v>
      </c>
      <c r="I136">
        <v>0.55000000000000004</v>
      </c>
      <c r="J136">
        <v>0.24</v>
      </c>
      <c r="K136">
        <v>0.33</v>
      </c>
      <c r="L136" t="s">
        <v>6</v>
      </c>
      <c r="M136" t="s">
        <v>18</v>
      </c>
    </row>
    <row r="137" spans="1:13" x14ac:dyDescent="0.45">
      <c r="A137" t="s">
        <v>7</v>
      </c>
      <c r="B137" t="s">
        <v>74</v>
      </c>
      <c r="C137">
        <v>2020</v>
      </c>
      <c r="D137">
        <v>97</v>
      </c>
      <c r="E137">
        <v>0.37</v>
      </c>
      <c r="F137">
        <v>0.34</v>
      </c>
      <c r="G137">
        <v>0.05</v>
      </c>
      <c r="H137">
        <v>0.3</v>
      </c>
      <c r="I137">
        <v>0.49</v>
      </c>
      <c r="J137">
        <v>0.34</v>
      </c>
      <c r="K137">
        <v>0.41</v>
      </c>
      <c r="L137" t="s">
        <v>8</v>
      </c>
      <c r="M137" t="s">
        <v>18</v>
      </c>
    </row>
    <row r="138" spans="1:13" x14ac:dyDescent="0.45">
      <c r="A138" t="s">
        <v>7</v>
      </c>
      <c r="B138" t="s">
        <v>74</v>
      </c>
      <c r="C138">
        <v>2025</v>
      </c>
      <c r="D138">
        <v>91</v>
      </c>
      <c r="E138">
        <v>0.32</v>
      </c>
      <c r="F138">
        <v>0.32</v>
      </c>
      <c r="G138">
        <v>0.11</v>
      </c>
      <c r="H138">
        <v>0</v>
      </c>
      <c r="I138">
        <v>0.48</v>
      </c>
      <c r="J138">
        <v>0.3</v>
      </c>
      <c r="K138">
        <v>0.42</v>
      </c>
      <c r="L138" t="s">
        <v>8</v>
      </c>
      <c r="M138" t="s">
        <v>18</v>
      </c>
    </row>
    <row r="139" spans="1:13" x14ac:dyDescent="0.45">
      <c r="A139" t="s">
        <v>7</v>
      </c>
      <c r="B139" t="s">
        <v>74</v>
      </c>
      <c r="C139">
        <v>2030</v>
      </c>
      <c r="D139">
        <v>97</v>
      </c>
      <c r="E139">
        <v>0.32</v>
      </c>
      <c r="F139">
        <v>0.31</v>
      </c>
      <c r="G139">
        <v>0.1</v>
      </c>
      <c r="H139">
        <v>0</v>
      </c>
      <c r="I139">
        <v>0.45</v>
      </c>
      <c r="J139">
        <v>0.28999999999999998</v>
      </c>
      <c r="K139">
        <v>0.39</v>
      </c>
      <c r="L139" t="s">
        <v>8</v>
      </c>
      <c r="M139" t="s">
        <v>18</v>
      </c>
    </row>
    <row r="140" spans="1:13" x14ac:dyDescent="0.45">
      <c r="A140" t="s">
        <v>7</v>
      </c>
      <c r="B140" t="s">
        <v>74</v>
      </c>
      <c r="C140">
        <v>2035</v>
      </c>
      <c r="D140">
        <v>91</v>
      </c>
      <c r="E140">
        <v>0.33</v>
      </c>
      <c r="F140">
        <v>0.3</v>
      </c>
      <c r="G140">
        <v>7.0000000000000007E-2</v>
      </c>
      <c r="H140">
        <v>0.23</v>
      </c>
      <c r="I140">
        <v>0.45</v>
      </c>
      <c r="J140">
        <v>0.27</v>
      </c>
      <c r="K140">
        <v>0.39</v>
      </c>
      <c r="L140" t="s">
        <v>8</v>
      </c>
      <c r="M140" t="s">
        <v>18</v>
      </c>
    </row>
    <row r="141" spans="1:13" x14ac:dyDescent="0.45">
      <c r="A141" t="s">
        <v>7</v>
      </c>
      <c r="B141" t="s">
        <v>74</v>
      </c>
      <c r="C141">
        <v>2040</v>
      </c>
      <c r="D141">
        <v>97</v>
      </c>
      <c r="E141">
        <v>0.32</v>
      </c>
      <c r="F141">
        <v>0.28000000000000003</v>
      </c>
      <c r="G141">
        <v>7.0000000000000007E-2</v>
      </c>
      <c r="H141">
        <v>0.24</v>
      </c>
      <c r="I141">
        <v>0.5</v>
      </c>
      <c r="J141">
        <v>0.26</v>
      </c>
      <c r="K141">
        <v>0.37</v>
      </c>
      <c r="L141" t="s">
        <v>8</v>
      </c>
      <c r="M141" t="s">
        <v>18</v>
      </c>
    </row>
    <row r="142" spans="1:13" x14ac:dyDescent="0.45">
      <c r="A142" t="s">
        <v>7</v>
      </c>
      <c r="B142" t="s">
        <v>74</v>
      </c>
      <c r="C142">
        <v>2045</v>
      </c>
      <c r="D142">
        <v>91</v>
      </c>
      <c r="E142">
        <v>0.31</v>
      </c>
      <c r="F142">
        <v>0.28999999999999998</v>
      </c>
      <c r="G142">
        <v>0.08</v>
      </c>
      <c r="H142">
        <v>0.21</v>
      </c>
      <c r="I142">
        <v>0.49</v>
      </c>
      <c r="J142">
        <v>0.25</v>
      </c>
      <c r="K142">
        <v>0.36</v>
      </c>
      <c r="L142" t="s">
        <v>8</v>
      </c>
      <c r="M142" t="s">
        <v>18</v>
      </c>
    </row>
    <row r="143" spans="1:13" x14ac:dyDescent="0.45">
      <c r="A143" t="s">
        <v>7</v>
      </c>
      <c r="B143" t="s">
        <v>74</v>
      </c>
      <c r="C143">
        <v>2050</v>
      </c>
      <c r="D143">
        <v>97</v>
      </c>
      <c r="E143">
        <v>0.3</v>
      </c>
      <c r="F143">
        <v>0.28000000000000003</v>
      </c>
      <c r="G143">
        <v>0.09</v>
      </c>
      <c r="H143">
        <v>0.19</v>
      </c>
      <c r="I143">
        <v>0.49</v>
      </c>
      <c r="J143">
        <v>0.24</v>
      </c>
      <c r="K143">
        <v>0.35</v>
      </c>
      <c r="L143" t="s">
        <v>8</v>
      </c>
      <c r="M143" t="s">
        <v>18</v>
      </c>
    </row>
    <row r="144" spans="1:13" x14ac:dyDescent="0.45">
      <c r="A144" t="s">
        <v>9</v>
      </c>
      <c r="B144" t="s">
        <v>74</v>
      </c>
      <c r="C144">
        <v>2020</v>
      </c>
      <c r="D144">
        <v>55</v>
      </c>
      <c r="E144">
        <v>0.33</v>
      </c>
      <c r="F144">
        <v>0.32</v>
      </c>
      <c r="G144">
        <v>0.04</v>
      </c>
      <c r="H144">
        <v>0.3</v>
      </c>
      <c r="I144">
        <v>0.43</v>
      </c>
      <c r="J144">
        <v>0.3</v>
      </c>
      <c r="K144">
        <v>0.35</v>
      </c>
      <c r="L144" t="s">
        <v>10</v>
      </c>
      <c r="M144" t="s">
        <v>18</v>
      </c>
    </row>
    <row r="145" spans="1:13" x14ac:dyDescent="0.45">
      <c r="A145" t="s">
        <v>9</v>
      </c>
      <c r="B145" t="s">
        <v>74</v>
      </c>
      <c r="C145">
        <v>2025</v>
      </c>
      <c r="D145">
        <v>50</v>
      </c>
      <c r="E145">
        <v>0.32</v>
      </c>
      <c r="F145">
        <v>0.31</v>
      </c>
      <c r="G145">
        <v>0.04</v>
      </c>
      <c r="H145">
        <v>0.28000000000000003</v>
      </c>
      <c r="I145">
        <v>0.41</v>
      </c>
      <c r="J145">
        <v>0.28000000000000003</v>
      </c>
      <c r="K145">
        <v>0.32</v>
      </c>
      <c r="L145" t="s">
        <v>10</v>
      </c>
      <c r="M145" t="s">
        <v>18</v>
      </c>
    </row>
    <row r="146" spans="1:13" x14ac:dyDescent="0.45">
      <c r="A146" t="s">
        <v>9</v>
      </c>
      <c r="B146" t="s">
        <v>74</v>
      </c>
      <c r="C146">
        <v>2030</v>
      </c>
      <c r="D146">
        <v>55</v>
      </c>
      <c r="E146">
        <v>0.31</v>
      </c>
      <c r="F146">
        <v>0.31</v>
      </c>
      <c r="G146">
        <v>0.04</v>
      </c>
      <c r="H146">
        <v>0.26</v>
      </c>
      <c r="I146">
        <v>0.41</v>
      </c>
      <c r="J146">
        <v>0.28000000000000003</v>
      </c>
      <c r="K146">
        <v>0.31</v>
      </c>
      <c r="L146" t="s">
        <v>10</v>
      </c>
      <c r="M146" t="s">
        <v>18</v>
      </c>
    </row>
    <row r="147" spans="1:13" x14ac:dyDescent="0.45">
      <c r="A147" t="s">
        <v>9</v>
      </c>
      <c r="B147" t="s">
        <v>74</v>
      </c>
      <c r="C147">
        <v>2035</v>
      </c>
      <c r="D147">
        <v>50</v>
      </c>
      <c r="E147">
        <v>0.31</v>
      </c>
      <c r="F147">
        <v>0.3</v>
      </c>
      <c r="G147">
        <v>0.04</v>
      </c>
      <c r="H147">
        <v>0.26</v>
      </c>
      <c r="I147">
        <v>0.4</v>
      </c>
      <c r="J147">
        <v>0.27</v>
      </c>
      <c r="K147">
        <v>0.31</v>
      </c>
      <c r="L147" t="s">
        <v>10</v>
      </c>
      <c r="M147" t="s">
        <v>18</v>
      </c>
    </row>
    <row r="148" spans="1:13" x14ac:dyDescent="0.45">
      <c r="A148" t="s">
        <v>9</v>
      </c>
      <c r="B148" t="s">
        <v>74</v>
      </c>
      <c r="C148">
        <v>2040</v>
      </c>
      <c r="D148">
        <v>55</v>
      </c>
      <c r="E148">
        <v>0.3</v>
      </c>
      <c r="F148">
        <v>0.28000000000000003</v>
      </c>
      <c r="G148">
        <v>0.04</v>
      </c>
      <c r="H148">
        <v>0.25</v>
      </c>
      <c r="I148">
        <v>0.41</v>
      </c>
      <c r="J148">
        <v>0.27</v>
      </c>
      <c r="K148">
        <v>0.31</v>
      </c>
      <c r="L148" t="s">
        <v>10</v>
      </c>
      <c r="M148" t="s">
        <v>18</v>
      </c>
    </row>
    <row r="149" spans="1:13" x14ac:dyDescent="0.45">
      <c r="A149" t="s">
        <v>9</v>
      </c>
      <c r="B149" t="s">
        <v>74</v>
      </c>
      <c r="C149">
        <v>2045</v>
      </c>
      <c r="D149">
        <v>50</v>
      </c>
      <c r="E149">
        <v>0.28999999999999998</v>
      </c>
      <c r="F149">
        <v>0.28000000000000003</v>
      </c>
      <c r="G149">
        <v>0.04</v>
      </c>
      <c r="H149">
        <v>0.25</v>
      </c>
      <c r="I149">
        <v>0.41</v>
      </c>
      <c r="J149">
        <v>0.27</v>
      </c>
      <c r="K149">
        <v>0.31</v>
      </c>
      <c r="L149" t="s">
        <v>10</v>
      </c>
      <c r="M149" t="s">
        <v>18</v>
      </c>
    </row>
    <row r="150" spans="1:13" x14ac:dyDescent="0.45">
      <c r="A150" t="s">
        <v>9</v>
      </c>
      <c r="B150" t="s">
        <v>74</v>
      </c>
      <c r="C150">
        <v>2050</v>
      </c>
      <c r="D150">
        <v>55</v>
      </c>
      <c r="E150">
        <v>0.28999999999999998</v>
      </c>
      <c r="F150">
        <v>0.27</v>
      </c>
      <c r="G150">
        <v>0.04</v>
      </c>
      <c r="H150">
        <v>0.24</v>
      </c>
      <c r="I150">
        <v>0.41</v>
      </c>
      <c r="J150">
        <v>0.26</v>
      </c>
      <c r="K150">
        <v>0.3</v>
      </c>
      <c r="L150" t="s">
        <v>10</v>
      </c>
      <c r="M150" t="s">
        <v>18</v>
      </c>
    </row>
    <row r="151" spans="1:13" x14ac:dyDescent="0.45">
      <c r="A151" t="s">
        <v>0</v>
      </c>
      <c r="B151" t="s">
        <v>74</v>
      </c>
      <c r="C151">
        <v>2020</v>
      </c>
      <c r="D151">
        <v>64</v>
      </c>
      <c r="E151">
        <v>0.64</v>
      </c>
      <c r="F151">
        <v>0.66</v>
      </c>
      <c r="G151">
        <v>0.05</v>
      </c>
      <c r="H151">
        <v>0.54</v>
      </c>
      <c r="I151">
        <v>0.68</v>
      </c>
      <c r="J151">
        <v>0.57999999999999996</v>
      </c>
      <c r="K151">
        <v>0.68</v>
      </c>
      <c r="L151" t="s">
        <v>1</v>
      </c>
      <c r="M151" t="s">
        <v>21</v>
      </c>
    </row>
    <row r="152" spans="1:13" x14ac:dyDescent="0.45">
      <c r="A152" t="s">
        <v>0</v>
      </c>
      <c r="B152" t="s">
        <v>74</v>
      </c>
      <c r="C152">
        <v>2025</v>
      </c>
      <c r="D152">
        <v>64</v>
      </c>
      <c r="E152">
        <v>0.65</v>
      </c>
      <c r="F152">
        <v>0.68</v>
      </c>
      <c r="G152">
        <v>7.0000000000000007E-2</v>
      </c>
      <c r="H152">
        <v>0.44</v>
      </c>
      <c r="I152">
        <v>0.75</v>
      </c>
      <c r="J152">
        <v>0.62</v>
      </c>
      <c r="K152">
        <v>0.69</v>
      </c>
      <c r="L152" t="s">
        <v>1</v>
      </c>
      <c r="M152" t="s">
        <v>21</v>
      </c>
    </row>
    <row r="153" spans="1:13" x14ac:dyDescent="0.45">
      <c r="A153" t="s">
        <v>0</v>
      </c>
      <c r="B153" t="s">
        <v>74</v>
      </c>
      <c r="C153">
        <v>2030</v>
      </c>
      <c r="D153">
        <v>64</v>
      </c>
      <c r="E153">
        <v>0.63</v>
      </c>
      <c r="F153">
        <v>0.67</v>
      </c>
      <c r="G153">
        <v>0.08</v>
      </c>
      <c r="H153">
        <v>0.42</v>
      </c>
      <c r="I153">
        <v>0.71</v>
      </c>
      <c r="J153">
        <v>0.6</v>
      </c>
      <c r="K153">
        <v>0.69</v>
      </c>
      <c r="L153" t="s">
        <v>1</v>
      </c>
      <c r="M153" t="s">
        <v>21</v>
      </c>
    </row>
    <row r="154" spans="1:13" x14ac:dyDescent="0.45">
      <c r="A154" t="s">
        <v>0</v>
      </c>
      <c r="B154" t="s">
        <v>74</v>
      </c>
      <c r="C154">
        <v>2035</v>
      </c>
      <c r="D154">
        <v>64</v>
      </c>
      <c r="E154">
        <v>0.6</v>
      </c>
      <c r="F154">
        <v>0.64</v>
      </c>
      <c r="G154">
        <v>0.08</v>
      </c>
      <c r="H154">
        <v>0.44</v>
      </c>
      <c r="I154">
        <v>0.72</v>
      </c>
      <c r="J154">
        <v>0.56000000000000005</v>
      </c>
      <c r="K154">
        <v>0.66</v>
      </c>
      <c r="L154" t="s">
        <v>1</v>
      </c>
      <c r="M154" t="s">
        <v>21</v>
      </c>
    </row>
    <row r="155" spans="1:13" x14ac:dyDescent="0.45">
      <c r="A155" t="s">
        <v>0</v>
      </c>
      <c r="B155" t="s">
        <v>74</v>
      </c>
      <c r="C155">
        <v>2040</v>
      </c>
      <c r="D155">
        <v>64</v>
      </c>
      <c r="E155">
        <v>0.56999999999999995</v>
      </c>
      <c r="F155">
        <v>0.59</v>
      </c>
      <c r="G155">
        <v>0.08</v>
      </c>
      <c r="H155">
        <v>0.41</v>
      </c>
      <c r="I155">
        <v>0.71</v>
      </c>
      <c r="J155">
        <v>0.53</v>
      </c>
      <c r="K155">
        <v>0.63</v>
      </c>
      <c r="L155" t="s">
        <v>1</v>
      </c>
      <c r="M155" t="s">
        <v>21</v>
      </c>
    </row>
    <row r="156" spans="1:13" x14ac:dyDescent="0.45">
      <c r="A156" t="s">
        <v>0</v>
      </c>
      <c r="B156" t="s">
        <v>74</v>
      </c>
      <c r="C156">
        <v>2045</v>
      </c>
      <c r="D156">
        <v>64</v>
      </c>
      <c r="E156">
        <v>0.55000000000000004</v>
      </c>
      <c r="F156">
        <v>0.56999999999999995</v>
      </c>
      <c r="G156">
        <v>0.08</v>
      </c>
      <c r="H156">
        <v>0.39</v>
      </c>
      <c r="I156">
        <v>0.7</v>
      </c>
      <c r="J156">
        <v>0.53</v>
      </c>
      <c r="K156">
        <v>0.61</v>
      </c>
      <c r="L156" t="s">
        <v>1</v>
      </c>
      <c r="M156" t="s">
        <v>21</v>
      </c>
    </row>
    <row r="157" spans="1:13" x14ac:dyDescent="0.45">
      <c r="A157" t="s">
        <v>0</v>
      </c>
      <c r="B157" t="s">
        <v>74</v>
      </c>
      <c r="C157">
        <v>2050</v>
      </c>
      <c r="D157">
        <v>64</v>
      </c>
      <c r="E157">
        <v>0.54</v>
      </c>
      <c r="F157">
        <v>0.54</v>
      </c>
      <c r="G157">
        <v>0.08</v>
      </c>
      <c r="H157">
        <v>0.38</v>
      </c>
      <c r="I157">
        <v>0.69</v>
      </c>
      <c r="J157">
        <v>0.48</v>
      </c>
      <c r="K157">
        <v>0.61</v>
      </c>
      <c r="L157" t="s">
        <v>1</v>
      </c>
      <c r="M157" t="s">
        <v>21</v>
      </c>
    </row>
    <row r="158" spans="1:13" x14ac:dyDescent="0.45">
      <c r="A158" t="s">
        <v>2</v>
      </c>
      <c r="B158" t="s">
        <v>74</v>
      </c>
      <c r="C158">
        <v>2020</v>
      </c>
      <c r="D158">
        <v>92</v>
      </c>
      <c r="E158">
        <v>0.64</v>
      </c>
      <c r="F158">
        <v>0.64</v>
      </c>
      <c r="G158">
        <v>0.04</v>
      </c>
      <c r="H158">
        <v>0.54</v>
      </c>
      <c r="I158">
        <v>0.7</v>
      </c>
      <c r="J158">
        <v>0.63</v>
      </c>
      <c r="K158">
        <v>0.68</v>
      </c>
      <c r="L158" t="s">
        <v>3</v>
      </c>
      <c r="M158" t="s">
        <v>21</v>
      </c>
    </row>
    <row r="159" spans="1:13" x14ac:dyDescent="0.45">
      <c r="A159" t="s">
        <v>2</v>
      </c>
      <c r="B159" t="s">
        <v>74</v>
      </c>
      <c r="C159">
        <v>2025</v>
      </c>
      <c r="D159">
        <v>81</v>
      </c>
      <c r="E159">
        <v>0.64</v>
      </c>
      <c r="F159">
        <v>0.65</v>
      </c>
      <c r="G159">
        <v>0.04</v>
      </c>
      <c r="H159">
        <v>0.53</v>
      </c>
      <c r="I159">
        <v>0.71</v>
      </c>
      <c r="J159">
        <v>0.63</v>
      </c>
      <c r="K159">
        <v>0.67</v>
      </c>
      <c r="L159" t="s">
        <v>3</v>
      </c>
      <c r="M159" t="s">
        <v>21</v>
      </c>
    </row>
    <row r="160" spans="1:13" x14ac:dyDescent="0.45">
      <c r="A160" t="s">
        <v>2</v>
      </c>
      <c r="B160" t="s">
        <v>74</v>
      </c>
      <c r="C160">
        <v>2030</v>
      </c>
      <c r="D160">
        <v>92</v>
      </c>
      <c r="E160">
        <v>0.64</v>
      </c>
      <c r="F160">
        <v>0.66</v>
      </c>
      <c r="G160">
        <v>0.05</v>
      </c>
      <c r="H160">
        <v>0.48</v>
      </c>
      <c r="I160">
        <v>0.72</v>
      </c>
      <c r="J160">
        <v>0.62</v>
      </c>
      <c r="K160">
        <v>0.68</v>
      </c>
      <c r="L160" t="s">
        <v>3</v>
      </c>
      <c r="M160" t="s">
        <v>21</v>
      </c>
    </row>
    <row r="161" spans="1:13" x14ac:dyDescent="0.45">
      <c r="A161" t="s">
        <v>2</v>
      </c>
      <c r="B161" t="s">
        <v>74</v>
      </c>
      <c r="C161">
        <v>2035</v>
      </c>
      <c r="D161">
        <v>81</v>
      </c>
      <c r="E161">
        <v>0.62</v>
      </c>
      <c r="F161">
        <v>0.63</v>
      </c>
      <c r="G161">
        <v>0.06</v>
      </c>
      <c r="H161">
        <v>0.46</v>
      </c>
      <c r="I161">
        <v>0.71</v>
      </c>
      <c r="J161">
        <v>0.59</v>
      </c>
      <c r="K161">
        <v>0.66</v>
      </c>
      <c r="L161" t="s">
        <v>3</v>
      </c>
      <c r="M161" t="s">
        <v>21</v>
      </c>
    </row>
    <row r="162" spans="1:13" x14ac:dyDescent="0.45">
      <c r="A162" t="s">
        <v>2</v>
      </c>
      <c r="B162" t="s">
        <v>74</v>
      </c>
      <c r="C162">
        <v>2040</v>
      </c>
      <c r="D162">
        <v>92</v>
      </c>
      <c r="E162">
        <v>0.59</v>
      </c>
      <c r="F162">
        <v>0.61</v>
      </c>
      <c r="G162">
        <v>0.05</v>
      </c>
      <c r="H162">
        <v>0.44</v>
      </c>
      <c r="I162">
        <v>0.7</v>
      </c>
      <c r="J162">
        <v>0.57999999999999996</v>
      </c>
      <c r="K162">
        <v>0.63</v>
      </c>
      <c r="L162" t="s">
        <v>3</v>
      </c>
      <c r="M162" t="s">
        <v>21</v>
      </c>
    </row>
    <row r="163" spans="1:13" x14ac:dyDescent="0.45">
      <c r="A163" t="s">
        <v>2</v>
      </c>
      <c r="B163" t="s">
        <v>74</v>
      </c>
      <c r="C163">
        <v>2045</v>
      </c>
      <c r="D163">
        <v>81</v>
      </c>
      <c r="E163">
        <v>0.57999999999999996</v>
      </c>
      <c r="F163">
        <v>0.59</v>
      </c>
      <c r="G163">
        <v>0.06</v>
      </c>
      <c r="H163">
        <v>0.41</v>
      </c>
      <c r="I163">
        <v>0.69</v>
      </c>
      <c r="J163">
        <v>0.56999999999999995</v>
      </c>
      <c r="K163">
        <v>0.62</v>
      </c>
      <c r="L163" t="s">
        <v>3</v>
      </c>
      <c r="M163" t="s">
        <v>21</v>
      </c>
    </row>
    <row r="164" spans="1:13" x14ac:dyDescent="0.45">
      <c r="A164" t="s">
        <v>2</v>
      </c>
      <c r="B164" t="s">
        <v>74</v>
      </c>
      <c r="C164">
        <v>2050</v>
      </c>
      <c r="D164">
        <v>92</v>
      </c>
      <c r="E164">
        <v>0.56000000000000005</v>
      </c>
      <c r="F164">
        <v>0.59</v>
      </c>
      <c r="G164">
        <v>0.06</v>
      </c>
      <c r="H164">
        <v>0.4</v>
      </c>
      <c r="I164">
        <v>0.69</v>
      </c>
      <c r="J164">
        <v>0.53</v>
      </c>
      <c r="K164">
        <v>0.61</v>
      </c>
      <c r="L164" t="s">
        <v>3</v>
      </c>
      <c r="M164" t="s">
        <v>21</v>
      </c>
    </row>
    <row r="165" spans="1:13" x14ac:dyDescent="0.45">
      <c r="A165" t="s">
        <v>5</v>
      </c>
      <c r="B165" t="s">
        <v>74</v>
      </c>
      <c r="C165">
        <v>2020</v>
      </c>
      <c r="D165">
        <v>229</v>
      </c>
      <c r="E165">
        <v>0.63</v>
      </c>
      <c r="F165">
        <v>0.64</v>
      </c>
      <c r="G165">
        <v>0.05</v>
      </c>
      <c r="H165">
        <v>0.49</v>
      </c>
      <c r="I165">
        <v>0.7</v>
      </c>
      <c r="J165">
        <v>0.57999999999999996</v>
      </c>
      <c r="K165">
        <v>0.68</v>
      </c>
      <c r="L165" t="s">
        <v>6</v>
      </c>
      <c r="M165" t="s">
        <v>21</v>
      </c>
    </row>
    <row r="166" spans="1:13" x14ac:dyDescent="0.45">
      <c r="A166" t="s">
        <v>5</v>
      </c>
      <c r="B166" t="s">
        <v>74</v>
      </c>
      <c r="C166">
        <v>2025</v>
      </c>
      <c r="D166">
        <v>206</v>
      </c>
      <c r="E166">
        <v>0.65</v>
      </c>
      <c r="F166">
        <v>0.67</v>
      </c>
      <c r="G166">
        <v>0.11</v>
      </c>
      <c r="H166">
        <v>0.14000000000000001</v>
      </c>
      <c r="I166">
        <v>0.9</v>
      </c>
      <c r="J166">
        <v>0.61</v>
      </c>
      <c r="K166">
        <v>0.69</v>
      </c>
      <c r="L166" t="s">
        <v>6</v>
      </c>
      <c r="M166" t="s">
        <v>21</v>
      </c>
    </row>
    <row r="167" spans="1:13" x14ac:dyDescent="0.45">
      <c r="A167" t="s">
        <v>5</v>
      </c>
      <c r="B167" t="s">
        <v>74</v>
      </c>
      <c r="C167">
        <v>2030</v>
      </c>
      <c r="D167">
        <v>229</v>
      </c>
      <c r="E167">
        <v>0.64</v>
      </c>
      <c r="F167">
        <v>0.67</v>
      </c>
      <c r="G167">
        <v>0.11</v>
      </c>
      <c r="H167">
        <v>0.1</v>
      </c>
      <c r="I167">
        <v>0.88</v>
      </c>
      <c r="J167">
        <v>0.63</v>
      </c>
      <c r="K167">
        <v>0.69</v>
      </c>
      <c r="L167" t="s">
        <v>6</v>
      </c>
      <c r="M167" t="s">
        <v>21</v>
      </c>
    </row>
    <row r="168" spans="1:13" x14ac:dyDescent="0.45">
      <c r="A168" t="s">
        <v>5</v>
      </c>
      <c r="B168" t="s">
        <v>74</v>
      </c>
      <c r="C168">
        <v>2035</v>
      </c>
      <c r="D168">
        <v>206</v>
      </c>
      <c r="E168">
        <v>0.63</v>
      </c>
      <c r="F168">
        <v>0.65</v>
      </c>
      <c r="G168">
        <v>7.0000000000000007E-2</v>
      </c>
      <c r="H168">
        <v>0.42</v>
      </c>
      <c r="I168">
        <v>0.71</v>
      </c>
      <c r="J168">
        <v>0.6</v>
      </c>
      <c r="K168">
        <v>0.68</v>
      </c>
      <c r="L168" t="s">
        <v>6</v>
      </c>
      <c r="M168" t="s">
        <v>21</v>
      </c>
    </row>
    <row r="169" spans="1:13" x14ac:dyDescent="0.45">
      <c r="A169" t="s">
        <v>5</v>
      </c>
      <c r="B169" t="s">
        <v>74</v>
      </c>
      <c r="C169">
        <v>2040</v>
      </c>
      <c r="D169">
        <v>229</v>
      </c>
      <c r="E169">
        <v>0.61</v>
      </c>
      <c r="F169">
        <v>0.62</v>
      </c>
      <c r="G169">
        <v>7.0000000000000007E-2</v>
      </c>
      <c r="H169">
        <v>0.44</v>
      </c>
      <c r="I169">
        <v>0.7</v>
      </c>
      <c r="J169">
        <v>0.57999999999999996</v>
      </c>
      <c r="K169">
        <v>0.66</v>
      </c>
      <c r="L169" t="s">
        <v>6</v>
      </c>
      <c r="M169" t="s">
        <v>21</v>
      </c>
    </row>
    <row r="170" spans="1:13" x14ac:dyDescent="0.45">
      <c r="A170" t="s">
        <v>5</v>
      </c>
      <c r="B170" t="s">
        <v>74</v>
      </c>
      <c r="C170">
        <v>2045</v>
      </c>
      <c r="D170">
        <v>206</v>
      </c>
      <c r="E170">
        <v>0.57999999999999996</v>
      </c>
      <c r="F170">
        <v>0.59</v>
      </c>
      <c r="G170">
        <v>0.06</v>
      </c>
      <c r="H170">
        <v>0.41</v>
      </c>
      <c r="I170">
        <v>0.68</v>
      </c>
      <c r="J170">
        <v>0.56000000000000005</v>
      </c>
      <c r="K170">
        <v>0.63</v>
      </c>
      <c r="L170" t="s">
        <v>6</v>
      </c>
      <c r="M170" t="s">
        <v>21</v>
      </c>
    </row>
    <row r="171" spans="1:13" x14ac:dyDescent="0.45">
      <c r="A171" t="s">
        <v>5</v>
      </c>
      <c r="B171" t="s">
        <v>74</v>
      </c>
      <c r="C171">
        <v>2050</v>
      </c>
      <c r="D171">
        <v>229</v>
      </c>
      <c r="E171">
        <v>0.57999999999999996</v>
      </c>
      <c r="F171">
        <v>0.57999999999999996</v>
      </c>
      <c r="G171">
        <v>7.0000000000000007E-2</v>
      </c>
      <c r="H171">
        <v>0.39</v>
      </c>
      <c r="I171">
        <v>0.71</v>
      </c>
      <c r="J171">
        <v>0.53</v>
      </c>
      <c r="K171">
        <v>0.64</v>
      </c>
      <c r="L171" t="s">
        <v>6</v>
      </c>
      <c r="M171" t="s">
        <v>21</v>
      </c>
    </row>
    <row r="172" spans="1:13" x14ac:dyDescent="0.45">
      <c r="A172" t="s">
        <v>7</v>
      </c>
      <c r="B172" t="s">
        <v>74</v>
      </c>
      <c r="C172">
        <v>2020</v>
      </c>
      <c r="D172">
        <v>97</v>
      </c>
      <c r="E172">
        <v>0.61</v>
      </c>
      <c r="F172">
        <v>0.63</v>
      </c>
      <c r="G172">
        <v>0.05</v>
      </c>
      <c r="H172">
        <v>0.49</v>
      </c>
      <c r="I172">
        <v>0.68</v>
      </c>
      <c r="J172">
        <v>0.56000000000000005</v>
      </c>
      <c r="K172">
        <v>0.64</v>
      </c>
      <c r="L172" t="s">
        <v>8</v>
      </c>
      <c r="M172" t="s">
        <v>21</v>
      </c>
    </row>
    <row r="173" spans="1:13" x14ac:dyDescent="0.45">
      <c r="A173" t="s">
        <v>7</v>
      </c>
      <c r="B173" t="s">
        <v>74</v>
      </c>
      <c r="C173">
        <v>2025</v>
      </c>
      <c r="D173">
        <v>91</v>
      </c>
      <c r="E173">
        <v>0.62</v>
      </c>
      <c r="F173">
        <v>0.65</v>
      </c>
      <c r="G173">
        <v>0.1</v>
      </c>
      <c r="H173">
        <v>0.13</v>
      </c>
      <c r="I173">
        <v>0.9</v>
      </c>
      <c r="J173">
        <v>0.56000000000000005</v>
      </c>
      <c r="K173">
        <v>0.67</v>
      </c>
      <c r="L173" t="s">
        <v>8</v>
      </c>
      <c r="M173" t="s">
        <v>21</v>
      </c>
    </row>
    <row r="174" spans="1:13" x14ac:dyDescent="0.45">
      <c r="A174" t="s">
        <v>7</v>
      </c>
      <c r="B174" t="s">
        <v>74</v>
      </c>
      <c r="C174">
        <v>2030</v>
      </c>
      <c r="D174">
        <v>97</v>
      </c>
      <c r="E174">
        <v>0.62</v>
      </c>
      <c r="F174">
        <v>0.65</v>
      </c>
      <c r="G174">
        <v>0.1</v>
      </c>
      <c r="H174">
        <v>0.15</v>
      </c>
      <c r="I174">
        <v>0.87</v>
      </c>
      <c r="J174">
        <v>0.59</v>
      </c>
      <c r="K174">
        <v>0.68</v>
      </c>
      <c r="L174" t="s">
        <v>8</v>
      </c>
      <c r="M174" t="s">
        <v>21</v>
      </c>
    </row>
    <row r="175" spans="1:13" x14ac:dyDescent="0.45">
      <c r="A175" t="s">
        <v>7</v>
      </c>
      <c r="B175" t="s">
        <v>74</v>
      </c>
      <c r="C175">
        <v>2035</v>
      </c>
      <c r="D175">
        <v>91</v>
      </c>
      <c r="E175">
        <v>0.63</v>
      </c>
      <c r="F175">
        <v>0.65</v>
      </c>
      <c r="G175">
        <v>0.06</v>
      </c>
      <c r="H175">
        <v>0.53</v>
      </c>
      <c r="I175">
        <v>0.71</v>
      </c>
      <c r="J175">
        <v>0.6</v>
      </c>
      <c r="K175">
        <v>0.68</v>
      </c>
      <c r="L175" t="s">
        <v>8</v>
      </c>
      <c r="M175" t="s">
        <v>21</v>
      </c>
    </row>
    <row r="176" spans="1:13" x14ac:dyDescent="0.45">
      <c r="A176" t="s">
        <v>7</v>
      </c>
      <c r="B176" t="s">
        <v>74</v>
      </c>
      <c r="C176">
        <v>2040</v>
      </c>
      <c r="D176">
        <v>97</v>
      </c>
      <c r="E176">
        <v>0.62</v>
      </c>
      <c r="F176">
        <v>0.64</v>
      </c>
      <c r="G176">
        <v>0.06</v>
      </c>
      <c r="H176">
        <v>0.46</v>
      </c>
      <c r="I176">
        <v>0.71</v>
      </c>
      <c r="J176">
        <v>0.6</v>
      </c>
      <c r="K176">
        <v>0.67</v>
      </c>
      <c r="L176" t="s">
        <v>8</v>
      </c>
      <c r="M176" t="s">
        <v>21</v>
      </c>
    </row>
    <row r="177" spans="1:13" x14ac:dyDescent="0.45">
      <c r="A177" t="s">
        <v>7</v>
      </c>
      <c r="B177" t="s">
        <v>74</v>
      </c>
      <c r="C177">
        <v>2045</v>
      </c>
      <c r="D177">
        <v>91</v>
      </c>
      <c r="E177">
        <v>0.61</v>
      </c>
      <c r="F177">
        <v>0.62</v>
      </c>
      <c r="G177">
        <v>0.05</v>
      </c>
      <c r="H177">
        <v>0.47</v>
      </c>
      <c r="I177">
        <v>0.68</v>
      </c>
      <c r="J177">
        <v>0.6</v>
      </c>
      <c r="K177">
        <v>0.64</v>
      </c>
      <c r="L177" t="s">
        <v>8</v>
      </c>
      <c r="M177" t="s">
        <v>21</v>
      </c>
    </row>
    <row r="178" spans="1:13" x14ac:dyDescent="0.45">
      <c r="A178" t="s">
        <v>7</v>
      </c>
      <c r="B178" t="s">
        <v>74</v>
      </c>
      <c r="C178">
        <v>2050</v>
      </c>
      <c r="D178">
        <v>97</v>
      </c>
      <c r="E178">
        <v>0.6</v>
      </c>
      <c r="F178">
        <v>0.6</v>
      </c>
      <c r="G178">
        <v>0.06</v>
      </c>
      <c r="H178">
        <v>0.47</v>
      </c>
      <c r="I178">
        <v>0.72</v>
      </c>
      <c r="J178">
        <v>0.56999999999999995</v>
      </c>
      <c r="K178">
        <v>0.63</v>
      </c>
      <c r="L178" t="s">
        <v>8</v>
      </c>
      <c r="M178" t="s">
        <v>21</v>
      </c>
    </row>
    <row r="179" spans="1:13" x14ac:dyDescent="0.45">
      <c r="A179" t="s">
        <v>9</v>
      </c>
      <c r="B179" t="s">
        <v>74</v>
      </c>
      <c r="C179">
        <v>2020</v>
      </c>
      <c r="D179">
        <v>57</v>
      </c>
      <c r="E179">
        <v>0.63</v>
      </c>
      <c r="F179">
        <v>0.66</v>
      </c>
      <c r="G179">
        <v>0.05</v>
      </c>
      <c r="H179">
        <v>0.49</v>
      </c>
      <c r="I179">
        <v>0.68</v>
      </c>
      <c r="J179">
        <v>0.6</v>
      </c>
      <c r="K179">
        <v>0.68</v>
      </c>
      <c r="L179" t="s">
        <v>10</v>
      </c>
      <c r="M179" t="s">
        <v>21</v>
      </c>
    </row>
    <row r="180" spans="1:13" x14ac:dyDescent="0.45">
      <c r="A180" t="s">
        <v>9</v>
      </c>
      <c r="B180" t="s">
        <v>74</v>
      </c>
      <c r="C180">
        <v>2025</v>
      </c>
      <c r="D180">
        <v>52</v>
      </c>
      <c r="E180">
        <v>0.64</v>
      </c>
      <c r="F180">
        <v>0.67</v>
      </c>
      <c r="G180">
        <v>0.06</v>
      </c>
      <c r="H180">
        <v>0.43</v>
      </c>
      <c r="I180">
        <v>0.7</v>
      </c>
      <c r="J180">
        <v>0.61</v>
      </c>
      <c r="K180">
        <v>0.69</v>
      </c>
      <c r="L180" t="s">
        <v>10</v>
      </c>
      <c r="M180" t="s">
        <v>21</v>
      </c>
    </row>
    <row r="181" spans="1:13" x14ac:dyDescent="0.45">
      <c r="A181" t="s">
        <v>9</v>
      </c>
      <c r="B181" t="s">
        <v>74</v>
      </c>
      <c r="C181">
        <v>2030</v>
      </c>
      <c r="D181">
        <v>57</v>
      </c>
      <c r="E181">
        <v>0.65</v>
      </c>
      <c r="F181">
        <v>0.67</v>
      </c>
      <c r="G181">
        <v>0.06</v>
      </c>
      <c r="H181">
        <v>0.4</v>
      </c>
      <c r="I181">
        <v>0.7</v>
      </c>
      <c r="J181">
        <v>0.6</v>
      </c>
      <c r="K181">
        <v>0.69</v>
      </c>
      <c r="L181" t="s">
        <v>10</v>
      </c>
      <c r="M181" t="s">
        <v>21</v>
      </c>
    </row>
    <row r="182" spans="1:13" x14ac:dyDescent="0.45">
      <c r="A182" t="s">
        <v>9</v>
      </c>
      <c r="B182" t="s">
        <v>74</v>
      </c>
      <c r="C182">
        <v>2035</v>
      </c>
      <c r="D182">
        <v>52</v>
      </c>
      <c r="E182">
        <v>0.64</v>
      </c>
      <c r="F182">
        <v>0.67</v>
      </c>
      <c r="G182">
        <v>7.0000000000000007E-2</v>
      </c>
      <c r="H182">
        <v>0.37</v>
      </c>
      <c r="I182">
        <v>0.7</v>
      </c>
      <c r="J182">
        <v>0.57999999999999996</v>
      </c>
      <c r="K182">
        <v>0.68</v>
      </c>
      <c r="L182" t="s">
        <v>10</v>
      </c>
      <c r="M182" t="s">
        <v>21</v>
      </c>
    </row>
    <row r="183" spans="1:13" x14ac:dyDescent="0.45">
      <c r="A183" t="s">
        <v>9</v>
      </c>
      <c r="B183" t="s">
        <v>74</v>
      </c>
      <c r="C183">
        <v>2040</v>
      </c>
      <c r="D183">
        <v>57</v>
      </c>
      <c r="E183">
        <v>0.63</v>
      </c>
      <c r="F183">
        <v>0.66</v>
      </c>
      <c r="G183">
        <v>0.06</v>
      </c>
      <c r="H183">
        <v>0.4</v>
      </c>
      <c r="I183">
        <v>0.71</v>
      </c>
      <c r="J183">
        <v>0.57999999999999996</v>
      </c>
      <c r="K183">
        <v>0.67</v>
      </c>
      <c r="L183" t="s">
        <v>10</v>
      </c>
      <c r="M183" t="s">
        <v>21</v>
      </c>
    </row>
    <row r="184" spans="1:13" x14ac:dyDescent="0.45">
      <c r="A184" t="s">
        <v>9</v>
      </c>
      <c r="B184" t="s">
        <v>74</v>
      </c>
      <c r="C184">
        <v>2045</v>
      </c>
      <c r="D184">
        <v>52</v>
      </c>
      <c r="E184">
        <v>0.62</v>
      </c>
      <c r="F184">
        <v>0.63</v>
      </c>
      <c r="G184">
        <v>0.06</v>
      </c>
      <c r="H184">
        <v>0.4</v>
      </c>
      <c r="I184">
        <v>0.73</v>
      </c>
      <c r="J184">
        <v>0.55000000000000004</v>
      </c>
      <c r="K184">
        <v>0.66</v>
      </c>
      <c r="L184" t="s">
        <v>10</v>
      </c>
      <c r="M184" t="s">
        <v>21</v>
      </c>
    </row>
    <row r="185" spans="1:13" x14ac:dyDescent="0.45">
      <c r="A185" t="s">
        <v>9</v>
      </c>
      <c r="B185" t="s">
        <v>74</v>
      </c>
      <c r="C185">
        <v>2050</v>
      </c>
      <c r="D185">
        <v>57</v>
      </c>
      <c r="E185">
        <v>0.61</v>
      </c>
      <c r="F185">
        <v>0.61</v>
      </c>
      <c r="G185">
        <v>7.0000000000000007E-2</v>
      </c>
      <c r="H185">
        <v>0.4</v>
      </c>
      <c r="I185">
        <v>0.74</v>
      </c>
      <c r="J185">
        <v>0.56000000000000005</v>
      </c>
      <c r="K185">
        <v>0.66</v>
      </c>
      <c r="L185" t="s">
        <v>10</v>
      </c>
      <c r="M185" t="s">
        <v>21</v>
      </c>
    </row>
    <row r="186" spans="1:13" x14ac:dyDescent="0.45">
      <c r="A186" t="s">
        <v>0</v>
      </c>
      <c r="B186" t="s">
        <v>74</v>
      </c>
      <c r="C186">
        <v>2020</v>
      </c>
      <c r="D186">
        <v>64</v>
      </c>
      <c r="E186">
        <v>0.02</v>
      </c>
      <c r="F186">
        <v>0.02</v>
      </c>
      <c r="G186">
        <v>0.01</v>
      </c>
      <c r="H186">
        <v>0.01</v>
      </c>
      <c r="I186">
        <v>0.06</v>
      </c>
      <c r="J186">
        <v>0.02</v>
      </c>
      <c r="K186">
        <v>0.02</v>
      </c>
      <c r="L186" t="s">
        <v>1</v>
      </c>
      <c r="M186" t="s">
        <v>23</v>
      </c>
    </row>
    <row r="187" spans="1:13" x14ac:dyDescent="0.45">
      <c r="A187" t="s">
        <v>0</v>
      </c>
      <c r="B187" t="s">
        <v>74</v>
      </c>
      <c r="C187">
        <v>2025</v>
      </c>
      <c r="D187">
        <v>64</v>
      </c>
      <c r="E187">
        <v>0.03</v>
      </c>
      <c r="F187">
        <v>0.03</v>
      </c>
      <c r="G187">
        <v>0.01</v>
      </c>
      <c r="H187">
        <v>0.01</v>
      </c>
      <c r="I187">
        <v>7.0000000000000007E-2</v>
      </c>
      <c r="J187">
        <v>0.02</v>
      </c>
      <c r="K187">
        <v>0.04</v>
      </c>
      <c r="L187" t="s">
        <v>1</v>
      </c>
      <c r="M187" t="s">
        <v>23</v>
      </c>
    </row>
    <row r="188" spans="1:13" x14ac:dyDescent="0.45">
      <c r="A188" t="s">
        <v>0</v>
      </c>
      <c r="B188" t="s">
        <v>74</v>
      </c>
      <c r="C188">
        <v>2030</v>
      </c>
      <c r="D188">
        <v>64</v>
      </c>
      <c r="E188">
        <v>0.05</v>
      </c>
      <c r="F188">
        <v>0.05</v>
      </c>
      <c r="G188">
        <v>0.02</v>
      </c>
      <c r="H188">
        <v>0.01</v>
      </c>
      <c r="I188">
        <v>0.1</v>
      </c>
      <c r="J188">
        <v>0.04</v>
      </c>
      <c r="K188">
        <v>0.08</v>
      </c>
      <c r="L188" t="s">
        <v>1</v>
      </c>
      <c r="M188" t="s">
        <v>23</v>
      </c>
    </row>
    <row r="189" spans="1:13" x14ac:dyDescent="0.45">
      <c r="A189" t="s">
        <v>0</v>
      </c>
      <c r="B189" t="s">
        <v>74</v>
      </c>
      <c r="C189">
        <v>2035</v>
      </c>
      <c r="D189">
        <v>64</v>
      </c>
      <c r="E189">
        <v>0.08</v>
      </c>
      <c r="F189">
        <v>0.08</v>
      </c>
      <c r="G189">
        <v>0.04</v>
      </c>
      <c r="H189">
        <v>0.02</v>
      </c>
      <c r="I189">
        <v>0.15</v>
      </c>
      <c r="J189">
        <v>0.06</v>
      </c>
      <c r="K189">
        <v>0.11</v>
      </c>
      <c r="L189" t="s">
        <v>1</v>
      </c>
      <c r="M189" t="s">
        <v>23</v>
      </c>
    </row>
    <row r="190" spans="1:13" x14ac:dyDescent="0.45">
      <c r="A190" t="s">
        <v>0</v>
      </c>
      <c r="B190" t="s">
        <v>74</v>
      </c>
      <c r="C190">
        <v>2040</v>
      </c>
      <c r="D190">
        <v>64</v>
      </c>
      <c r="E190">
        <v>0.11</v>
      </c>
      <c r="F190">
        <v>0.11</v>
      </c>
      <c r="G190">
        <v>0.05</v>
      </c>
      <c r="H190">
        <v>0.02</v>
      </c>
      <c r="I190">
        <v>0.19</v>
      </c>
      <c r="J190">
        <v>0.08</v>
      </c>
      <c r="K190">
        <v>0.14000000000000001</v>
      </c>
      <c r="L190" t="s">
        <v>1</v>
      </c>
      <c r="M190" t="s">
        <v>23</v>
      </c>
    </row>
    <row r="191" spans="1:13" x14ac:dyDescent="0.45">
      <c r="A191" t="s">
        <v>0</v>
      </c>
      <c r="B191" t="s">
        <v>74</v>
      </c>
      <c r="C191">
        <v>2045</v>
      </c>
      <c r="D191">
        <v>64</v>
      </c>
      <c r="E191">
        <v>0.12</v>
      </c>
      <c r="F191">
        <v>0.13</v>
      </c>
      <c r="G191">
        <v>0.05</v>
      </c>
      <c r="H191">
        <v>0.02</v>
      </c>
      <c r="I191">
        <v>0.22</v>
      </c>
      <c r="J191">
        <v>0.09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74</v>
      </c>
      <c r="C192">
        <v>2050</v>
      </c>
      <c r="D192">
        <v>64</v>
      </c>
      <c r="E192">
        <v>0.13</v>
      </c>
      <c r="F192">
        <v>0.13</v>
      </c>
      <c r="G192">
        <v>0.05</v>
      </c>
      <c r="H192">
        <v>0.02</v>
      </c>
      <c r="I192">
        <v>0.24</v>
      </c>
      <c r="J192">
        <v>0.09</v>
      </c>
      <c r="K192">
        <v>0.16</v>
      </c>
      <c r="L192" t="s">
        <v>1</v>
      </c>
      <c r="M192" t="s">
        <v>23</v>
      </c>
    </row>
    <row r="193" spans="1:13" x14ac:dyDescent="0.45">
      <c r="A193" t="s">
        <v>2</v>
      </c>
      <c r="B193" t="s">
        <v>74</v>
      </c>
      <c r="C193">
        <v>2020</v>
      </c>
      <c r="D193">
        <v>95</v>
      </c>
      <c r="E193">
        <v>0.02</v>
      </c>
      <c r="F193">
        <v>0.02</v>
      </c>
      <c r="G193">
        <v>0.01</v>
      </c>
      <c r="H193">
        <v>0.01</v>
      </c>
      <c r="I193">
        <v>0.06</v>
      </c>
      <c r="J193">
        <v>0.02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74</v>
      </c>
      <c r="C194">
        <v>2025</v>
      </c>
      <c r="D194">
        <v>84</v>
      </c>
      <c r="E194">
        <v>0.03</v>
      </c>
      <c r="F194">
        <v>0.03</v>
      </c>
      <c r="G194">
        <v>0.02</v>
      </c>
      <c r="H194">
        <v>0.01</v>
      </c>
      <c r="I194">
        <v>0.13</v>
      </c>
      <c r="J194">
        <v>0.02</v>
      </c>
      <c r="K194">
        <v>0.04</v>
      </c>
      <c r="L194" t="s">
        <v>3</v>
      </c>
      <c r="M194" t="s">
        <v>23</v>
      </c>
    </row>
    <row r="195" spans="1:13" x14ac:dyDescent="0.45">
      <c r="A195" t="s">
        <v>2</v>
      </c>
      <c r="B195" t="s">
        <v>74</v>
      </c>
      <c r="C195">
        <v>2030</v>
      </c>
      <c r="D195">
        <v>95</v>
      </c>
      <c r="E195">
        <v>0.05</v>
      </c>
      <c r="F195">
        <v>0.04</v>
      </c>
      <c r="G195">
        <v>0.03</v>
      </c>
      <c r="H195">
        <v>0.01</v>
      </c>
      <c r="I195">
        <v>0.2</v>
      </c>
      <c r="J195">
        <v>0.03</v>
      </c>
      <c r="K195">
        <v>0.08</v>
      </c>
      <c r="L195" t="s">
        <v>3</v>
      </c>
      <c r="M195" t="s">
        <v>23</v>
      </c>
    </row>
    <row r="196" spans="1:13" x14ac:dyDescent="0.45">
      <c r="A196" t="s">
        <v>2</v>
      </c>
      <c r="B196" t="s">
        <v>74</v>
      </c>
      <c r="C196">
        <v>2035</v>
      </c>
      <c r="D196">
        <v>84</v>
      </c>
      <c r="E196">
        <v>7.0000000000000007E-2</v>
      </c>
      <c r="F196">
        <v>0.06</v>
      </c>
      <c r="G196">
        <v>0.04</v>
      </c>
      <c r="H196">
        <v>0.01</v>
      </c>
      <c r="I196">
        <v>0.14000000000000001</v>
      </c>
      <c r="J196">
        <v>0.04</v>
      </c>
      <c r="K196">
        <v>0.11</v>
      </c>
      <c r="L196" t="s">
        <v>3</v>
      </c>
      <c r="M196" t="s">
        <v>23</v>
      </c>
    </row>
    <row r="197" spans="1:13" x14ac:dyDescent="0.45">
      <c r="A197" t="s">
        <v>2</v>
      </c>
      <c r="B197" t="s">
        <v>74</v>
      </c>
      <c r="C197">
        <v>2040</v>
      </c>
      <c r="D197">
        <v>95</v>
      </c>
      <c r="E197">
        <v>0.11</v>
      </c>
      <c r="F197">
        <v>0.1</v>
      </c>
      <c r="G197">
        <v>0.06</v>
      </c>
      <c r="H197">
        <v>0.01</v>
      </c>
      <c r="I197">
        <v>0.2</v>
      </c>
      <c r="J197">
        <v>0.06</v>
      </c>
      <c r="K197">
        <v>0.17</v>
      </c>
      <c r="L197" t="s">
        <v>3</v>
      </c>
      <c r="M197" t="s">
        <v>23</v>
      </c>
    </row>
    <row r="198" spans="1:13" x14ac:dyDescent="0.45">
      <c r="A198" t="s">
        <v>2</v>
      </c>
      <c r="B198" t="s">
        <v>74</v>
      </c>
      <c r="C198">
        <v>2045</v>
      </c>
      <c r="D198">
        <v>84</v>
      </c>
      <c r="E198">
        <v>0.11</v>
      </c>
      <c r="F198">
        <v>0.11</v>
      </c>
      <c r="G198">
        <v>0.06</v>
      </c>
      <c r="H198">
        <v>0.01</v>
      </c>
      <c r="I198">
        <v>0.22</v>
      </c>
      <c r="J198">
        <v>7.0000000000000007E-2</v>
      </c>
      <c r="K198">
        <v>0.17</v>
      </c>
      <c r="L198" t="s">
        <v>3</v>
      </c>
      <c r="M198" t="s">
        <v>23</v>
      </c>
    </row>
    <row r="199" spans="1:13" x14ac:dyDescent="0.45">
      <c r="A199" t="s">
        <v>2</v>
      </c>
      <c r="B199" t="s">
        <v>74</v>
      </c>
      <c r="C199">
        <v>2050</v>
      </c>
      <c r="D199">
        <v>95</v>
      </c>
      <c r="E199">
        <v>0.13</v>
      </c>
      <c r="F199">
        <v>0.13</v>
      </c>
      <c r="G199">
        <v>0.06</v>
      </c>
      <c r="H199">
        <v>0.01</v>
      </c>
      <c r="I199">
        <v>0.24</v>
      </c>
      <c r="J199">
        <v>0.08</v>
      </c>
      <c r="K199">
        <v>0.18</v>
      </c>
      <c r="L199" t="s">
        <v>3</v>
      </c>
      <c r="M199" t="s">
        <v>23</v>
      </c>
    </row>
    <row r="200" spans="1:13" x14ac:dyDescent="0.45">
      <c r="A200" t="s">
        <v>5</v>
      </c>
      <c r="B200" t="s">
        <v>74</v>
      </c>
      <c r="C200">
        <v>2020</v>
      </c>
      <c r="D200">
        <v>229</v>
      </c>
      <c r="E200">
        <v>0.02</v>
      </c>
      <c r="F200">
        <v>0.02</v>
      </c>
      <c r="G200">
        <v>0.01</v>
      </c>
      <c r="H200">
        <v>0.01</v>
      </c>
      <c r="I200">
        <v>0.06</v>
      </c>
      <c r="J200">
        <v>0.02</v>
      </c>
      <c r="K200">
        <v>0.02</v>
      </c>
      <c r="L200" t="s">
        <v>6</v>
      </c>
      <c r="M200" t="s">
        <v>23</v>
      </c>
    </row>
    <row r="201" spans="1:13" x14ac:dyDescent="0.45">
      <c r="A201" t="s">
        <v>5</v>
      </c>
      <c r="B201" t="s">
        <v>74</v>
      </c>
      <c r="C201">
        <v>2025</v>
      </c>
      <c r="D201">
        <v>206</v>
      </c>
      <c r="E201">
        <v>0.04</v>
      </c>
      <c r="F201">
        <v>0.03</v>
      </c>
      <c r="G201">
        <v>0.06</v>
      </c>
      <c r="H201">
        <v>0.01</v>
      </c>
      <c r="I201">
        <v>0.44</v>
      </c>
      <c r="J201">
        <v>0.02</v>
      </c>
      <c r="K201">
        <v>0.04</v>
      </c>
      <c r="L201" t="s">
        <v>6</v>
      </c>
      <c r="M201" t="s">
        <v>23</v>
      </c>
    </row>
    <row r="202" spans="1:13" x14ac:dyDescent="0.45">
      <c r="A202" t="s">
        <v>5</v>
      </c>
      <c r="B202" t="s">
        <v>74</v>
      </c>
      <c r="C202">
        <v>2030</v>
      </c>
      <c r="D202">
        <v>229</v>
      </c>
      <c r="E202">
        <v>0.06</v>
      </c>
      <c r="F202">
        <v>0.03</v>
      </c>
      <c r="G202">
        <v>0.1</v>
      </c>
      <c r="H202">
        <v>0.01</v>
      </c>
      <c r="I202">
        <v>0.76</v>
      </c>
      <c r="J202">
        <v>0.02</v>
      </c>
      <c r="K202">
        <v>0.05</v>
      </c>
      <c r="L202" t="s">
        <v>6</v>
      </c>
      <c r="M202" t="s">
        <v>23</v>
      </c>
    </row>
    <row r="203" spans="1:13" x14ac:dyDescent="0.45">
      <c r="A203" t="s">
        <v>5</v>
      </c>
      <c r="B203" t="s">
        <v>74</v>
      </c>
      <c r="C203">
        <v>2035</v>
      </c>
      <c r="D203">
        <v>206</v>
      </c>
      <c r="E203">
        <v>0.06</v>
      </c>
      <c r="F203">
        <v>0.05</v>
      </c>
      <c r="G203">
        <v>0.03</v>
      </c>
      <c r="H203">
        <v>0.01</v>
      </c>
      <c r="I203">
        <v>0.14000000000000001</v>
      </c>
      <c r="J203">
        <v>0.04</v>
      </c>
      <c r="K203">
        <v>7.0000000000000007E-2</v>
      </c>
      <c r="L203" t="s">
        <v>6</v>
      </c>
      <c r="M203" t="s">
        <v>23</v>
      </c>
    </row>
    <row r="204" spans="1:13" x14ac:dyDescent="0.45">
      <c r="A204" t="s">
        <v>5</v>
      </c>
      <c r="B204" t="s">
        <v>74</v>
      </c>
      <c r="C204">
        <v>2040</v>
      </c>
      <c r="D204">
        <v>229</v>
      </c>
      <c r="E204">
        <v>0.08</v>
      </c>
      <c r="F204">
        <v>0.08</v>
      </c>
      <c r="G204">
        <v>0.05</v>
      </c>
      <c r="H204">
        <v>0.01</v>
      </c>
      <c r="I204">
        <v>0.19</v>
      </c>
      <c r="J204">
        <v>0.03</v>
      </c>
      <c r="K204">
        <v>0.1</v>
      </c>
      <c r="L204" t="s">
        <v>6</v>
      </c>
      <c r="M204" t="s">
        <v>23</v>
      </c>
    </row>
    <row r="205" spans="1:13" x14ac:dyDescent="0.45">
      <c r="A205" t="s">
        <v>5</v>
      </c>
      <c r="B205" t="s">
        <v>74</v>
      </c>
      <c r="C205">
        <v>2045</v>
      </c>
      <c r="D205">
        <v>206</v>
      </c>
      <c r="E205">
        <v>0.1</v>
      </c>
      <c r="F205">
        <v>0.11</v>
      </c>
      <c r="G205">
        <v>0.06</v>
      </c>
      <c r="H205">
        <v>0.01</v>
      </c>
      <c r="I205">
        <v>0.22</v>
      </c>
      <c r="J205">
        <v>0.06</v>
      </c>
      <c r="K205">
        <v>0.14000000000000001</v>
      </c>
      <c r="L205" t="s">
        <v>6</v>
      </c>
      <c r="M205" t="s">
        <v>23</v>
      </c>
    </row>
    <row r="206" spans="1:13" x14ac:dyDescent="0.45">
      <c r="A206" t="s">
        <v>5</v>
      </c>
      <c r="B206" t="s">
        <v>74</v>
      </c>
      <c r="C206">
        <v>2050</v>
      </c>
      <c r="D206">
        <v>229</v>
      </c>
      <c r="E206">
        <v>0.11</v>
      </c>
      <c r="F206">
        <v>0.12</v>
      </c>
      <c r="G206">
        <v>0.06</v>
      </c>
      <c r="H206">
        <v>0.02</v>
      </c>
      <c r="I206">
        <v>0.24</v>
      </c>
      <c r="J206">
        <v>0.04</v>
      </c>
      <c r="K206">
        <v>0.16</v>
      </c>
      <c r="L206" t="s">
        <v>6</v>
      </c>
      <c r="M206" t="s">
        <v>23</v>
      </c>
    </row>
    <row r="207" spans="1:13" x14ac:dyDescent="0.45">
      <c r="A207" t="s">
        <v>7</v>
      </c>
      <c r="B207" t="s">
        <v>74</v>
      </c>
      <c r="C207">
        <v>2020</v>
      </c>
      <c r="D207">
        <v>97</v>
      </c>
      <c r="E207">
        <v>0.02</v>
      </c>
      <c r="F207">
        <v>0.02</v>
      </c>
      <c r="G207">
        <v>0.01</v>
      </c>
      <c r="H207">
        <v>0.01</v>
      </c>
      <c r="I207">
        <v>0.03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74</v>
      </c>
      <c r="C208">
        <v>2025</v>
      </c>
      <c r="D208">
        <v>91</v>
      </c>
      <c r="E208">
        <v>0.04</v>
      </c>
      <c r="F208">
        <v>0.02</v>
      </c>
      <c r="G208">
        <v>7.0000000000000007E-2</v>
      </c>
      <c r="H208">
        <v>0.01</v>
      </c>
      <c r="I208">
        <v>0.51</v>
      </c>
      <c r="J208">
        <v>0.02</v>
      </c>
      <c r="K208">
        <v>0.03</v>
      </c>
      <c r="L208" t="s">
        <v>8</v>
      </c>
      <c r="M208" t="s">
        <v>23</v>
      </c>
    </row>
    <row r="209" spans="1:13" x14ac:dyDescent="0.45">
      <c r="A209" t="s">
        <v>7</v>
      </c>
      <c r="B209" t="s">
        <v>74</v>
      </c>
      <c r="C209">
        <v>2030</v>
      </c>
      <c r="D209">
        <v>97</v>
      </c>
      <c r="E209">
        <v>0.05</v>
      </c>
      <c r="F209">
        <v>0.02</v>
      </c>
      <c r="G209">
        <v>0.11</v>
      </c>
      <c r="H209">
        <v>0.01</v>
      </c>
      <c r="I209">
        <v>0.83</v>
      </c>
      <c r="J209">
        <v>0.02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74</v>
      </c>
      <c r="C210">
        <v>2035</v>
      </c>
      <c r="D210">
        <v>91</v>
      </c>
      <c r="E210">
        <v>0.04</v>
      </c>
      <c r="F210">
        <v>0.03</v>
      </c>
      <c r="G210">
        <v>0.02</v>
      </c>
      <c r="H210">
        <v>0.01</v>
      </c>
      <c r="I210">
        <v>7.0000000000000007E-2</v>
      </c>
      <c r="J210">
        <v>0.02</v>
      </c>
      <c r="K210">
        <v>0.05</v>
      </c>
      <c r="L210" t="s">
        <v>8</v>
      </c>
      <c r="M210" t="s">
        <v>23</v>
      </c>
    </row>
    <row r="211" spans="1:13" x14ac:dyDescent="0.45">
      <c r="A211" t="s">
        <v>7</v>
      </c>
      <c r="B211" t="s">
        <v>74</v>
      </c>
      <c r="C211">
        <v>2040</v>
      </c>
      <c r="D211">
        <v>97</v>
      </c>
      <c r="E211">
        <v>0.05</v>
      </c>
      <c r="F211">
        <v>0.04</v>
      </c>
      <c r="G211">
        <v>0.03</v>
      </c>
      <c r="H211">
        <v>0.01</v>
      </c>
      <c r="I211">
        <v>0.12</v>
      </c>
      <c r="J211">
        <v>0.02</v>
      </c>
      <c r="K211">
        <v>0.08</v>
      </c>
      <c r="L211" t="s">
        <v>8</v>
      </c>
      <c r="M211" t="s">
        <v>23</v>
      </c>
    </row>
    <row r="212" spans="1:13" x14ac:dyDescent="0.45">
      <c r="A212" t="s">
        <v>7</v>
      </c>
      <c r="B212" t="s">
        <v>74</v>
      </c>
      <c r="C212">
        <v>2045</v>
      </c>
      <c r="D212">
        <v>91</v>
      </c>
      <c r="E212">
        <v>0.08</v>
      </c>
      <c r="F212">
        <v>0.06</v>
      </c>
      <c r="G212">
        <v>0.05</v>
      </c>
      <c r="H212">
        <v>0.01</v>
      </c>
      <c r="I212">
        <v>0.18</v>
      </c>
      <c r="J212">
        <v>0.03</v>
      </c>
      <c r="K212">
        <v>0.13</v>
      </c>
      <c r="L212" t="s">
        <v>8</v>
      </c>
      <c r="M212" t="s">
        <v>23</v>
      </c>
    </row>
    <row r="213" spans="1:13" x14ac:dyDescent="0.45">
      <c r="A213" t="s">
        <v>7</v>
      </c>
      <c r="B213" t="s">
        <v>74</v>
      </c>
      <c r="C213">
        <v>2050</v>
      </c>
      <c r="D213">
        <v>97</v>
      </c>
      <c r="E213">
        <v>0.09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0.18</v>
      </c>
      <c r="L213" t="s">
        <v>8</v>
      </c>
      <c r="M213" t="s">
        <v>23</v>
      </c>
    </row>
    <row r="214" spans="1:13" x14ac:dyDescent="0.45">
      <c r="A214" t="s">
        <v>9</v>
      </c>
      <c r="B214" t="s">
        <v>74</v>
      </c>
      <c r="C214">
        <v>2020</v>
      </c>
      <c r="D214">
        <v>59</v>
      </c>
      <c r="E214">
        <v>0.02</v>
      </c>
      <c r="F214">
        <v>0.02</v>
      </c>
      <c r="G214">
        <v>0.01</v>
      </c>
      <c r="H214">
        <v>0.01</v>
      </c>
      <c r="I214">
        <v>0.06</v>
      </c>
      <c r="J214">
        <v>0.01</v>
      </c>
      <c r="K214">
        <v>0.02</v>
      </c>
      <c r="L214" t="s">
        <v>10</v>
      </c>
      <c r="M214" t="s">
        <v>23</v>
      </c>
    </row>
    <row r="215" spans="1:13" x14ac:dyDescent="0.45">
      <c r="A215" t="s">
        <v>9</v>
      </c>
      <c r="B215" t="s">
        <v>74</v>
      </c>
      <c r="C215">
        <v>2025</v>
      </c>
      <c r="D215">
        <v>54</v>
      </c>
      <c r="E215">
        <v>0.02</v>
      </c>
      <c r="F215">
        <v>0.02</v>
      </c>
      <c r="G215">
        <v>0.01</v>
      </c>
      <c r="H215">
        <v>0.01</v>
      </c>
      <c r="I215">
        <v>0.06</v>
      </c>
      <c r="J215">
        <v>0.02</v>
      </c>
      <c r="K215">
        <v>0.03</v>
      </c>
      <c r="L215" t="s">
        <v>10</v>
      </c>
      <c r="M215" t="s">
        <v>23</v>
      </c>
    </row>
    <row r="216" spans="1:13" x14ac:dyDescent="0.45">
      <c r="A216" t="s">
        <v>9</v>
      </c>
      <c r="B216" t="s">
        <v>74</v>
      </c>
      <c r="C216">
        <v>2030</v>
      </c>
      <c r="D216">
        <v>59</v>
      </c>
      <c r="E216">
        <v>0.03</v>
      </c>
      <c r="F216">
        <v>0.03</v>
      </c>
      <c r="G216">
        <v>0.01</v>
      </c>
      <c r="H216">
        <v>0.01</v>
      </c>
      <c r="I216">
        <v>7.0000000000000007E-2</v>
      </c>
      <c r="J216">
        <v>0.02</v>
      </c>
      <c r="K216">
        <v>0.03</v>
      </c>
      <c r="L216" t="s">
        <v>10</v>
      </c>
      <c r="M216" t="s">
        <v>23</v>
      </c>
    </row>
    <row r="217" spans="1:13" x14ac:dyDescent="0.45">
      <c r="A217" t="s">
        <v>9</v>
      </c>
      <c r="B217" t="s">
        <v>74</v>
      </c>
      <c r="C217">
        <v>2035</v>
      </c>
      <c r="D217">
        <v>54</v>
      </c>
      <c r="E217">
        <v>0.04</v>
      </c>
      <c r="F217">
        <v>0.04</v>
      </c>
      <c r="G217">
        <v>0.02</v>
      </c>
      <c r="H217">
        <v>0.01</v>
      </c>
      <c r="I217">
        <v>0.08</v>
      </c>
      <c r="J217">
        <v>0.03</v>
      </c>
      <c r="K217">
        <v>0.05</v>
      </c>
      <c r="L217" t="s">
        <v>10</v>
      </c>
      <c r="M217" t="s">
        <v>23</v>
      </c>
    </row>
    <row r="218" spans="1:13" x14ac:dyDescent="0.45">
      <c r="A218" t="s">
        <v>9</v>
      </c>
      <c r="B218" t="s">
        <v>74</v>
      </c>
      <c r="C218">
        <v>2040</v>
      </c>
      <c r="D218">
        <v>59</v>
      </c>
      <c r="E218">
        <v>0.05</v>
      </c>
      <c r="F218">
        <v>0.05</v>
      </c>
      <c r="G218">
        <v>0.03</v>
      </c>
      <c r="H218">
        <v>0.01</v>
      </c>
      <c r="I218">
        <v>0.12</v>
      </c>
      <c r="J218">
        <v>0.02</v>
      </c>
      <c r="K218">
        <v>7.0000000000000007E-2</v>
      </c>
      <c r="L218" t="s">
        <v>10</v>
      </c>
      <c r="M218" t="s">
        <v>23</v>
      </c>
    </row>
    <row r="219" spans="1:13" x14ac:dyDescent="0.45">
      <c r="A219" t="s">
        <v>9</v>
      </c>
      <c r="B219" t="s">
        <v>74</v>
      </c>
      <c r="C219">
        <v>2045</v>
      </c>
      <c r="D219">
        <v>54</v>
      </c>
      <c r="E219">
        <v>7.0000000000000007E-2</v>
      </c>
      <c r="F219">
        <v>7.0000000000000007E-2</v>
      </c>
      <c r="G219">
        <v>0.04</v>
      </c>
      <c r="H219">
        <v>0.01</v>
      </c>
      <c r="I219">
        <v>0.16</v>
      </c>
      <c r="J219">
        <v>0.04</v>
      </c>
      <c r="K219">
        <v>0.1</v>
      </c>
      <c r="L219" t="s">
        <v>10</v>
      </c>
      <c r="M219" t="s">
        <v>23</v>
      </c>
    </row>
    <row r="220" spans="1:13" x14ac:dyDescent="0.45">
      <c r="A220" t="s">
        <v>9</v>
      </c>
      <c r="B220" t="s">
        <v>74</v>
      </c>
      <c r="C220">
        <v>2050</v>
      </c>
      <c r="D220">
        <v>59</v>
      </c>
      <c r="E220">
        <v>0.08</v>
      </c>
      <c r="F220">
        <v>0.08</v>
      </c>
      <c r="G220">
        <v>0.05</v>
      </c>
      <c r="H220">
        <v>0.01</v>
      </c>
      <c r="I220">
        <v>0.18</v>
      </c>
      <c r="J220">
        <v>0.03</v>
      </c>
      <c r="K220">
        <v>0.12</v>
      </c>
      <c r="L220" t="s">
        <v>10</v>
      </c>
      <c r="M220" t="s">
        <v>23</v>
      </c>
    </row>
    <row r="221" spans="1:13" x14ac:dyDescent="0.45">
      <c r="A221" t="s">
        <v>0</v>
      </c>
      <c r="B221" t="s">
        <v>74</v>
      </c>
      <c r="C221">
        <v>2020</v>
      </c>
      <c r="D221">
        <v>44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74</v>
      </c>
      <c r="C222">
        <v>2025</v>
      </c>
      <c r="D222">
        <v>44</v>
      </c>
      <c r="E222">
        <v>2.4900000000000002</v>
      </c>
      <c r="F222">
        <v>2.2799999999999998</v>
      </c>
      <c r="G222">
        <v>0.93</v>
      </c>
      <c r="H222">
        <v>0</v>
      </c>
      <c r="I222">
        <v>5.34</v>
      </c>
      <c r="J222">
        <v>2</v>
      </c>
      <c r="K222">
        <v>2.91</v>
      </c>
      <c r="L222" t="s">
        <v>1</v>
      </c>
      <c r="M222" t="s">
        <v>70</v>
      </c>
    </row>
    <row r="223" spans="1:13" x14ac:dyDescent="0.45">
      <c r="A223" t="s">
        <v>0</v>
      </c>
      <c r="B223" t="s">
        <v>74</v>
      </c>
      <c r="C223">
        <v>2030</v>
      </c>
      <c r="D223">
        <v>44</v>
      </c>
      <c r="E223">
        <v>3.22</v>
      </c>
      <c r="F223">
        <v>3.09</v>
      </c>
      <c r="G223">
        <v>1.1399999999999999</v>
      </c>
      <c r="H223">
        <v>0</v>
      </c>
      <c r="I223">
        <v>6.3</v>
      </c>
      <c r="J223">
        <v>2.69</v>
      </c>
      <c r="K223">
        <v>3.84</v>
      </c>
      <c r="L223" t="s">
        <v>1</v>
      </c>
      <c r="M223" t="s">
        <v>70</v>
      </c>
    </row>
    <row r="224" spans="1:13" x14ac:dyDescent="0.45">
      <c r="A224" t="s">
        <v>0</v>
      </c>
      <c r="B224" t="s">
        <v>74</v>
      </c>
      <c r="C224">
        <v>2035</v>
      </c>
      <c r="D224">
        <v>44</v>
      </c>
      <c r="E224">
        <v>3.85</v>
      </c>
      <c r="F224">
        <v>3.62</v>
      </c>
      <c r="G224">
        <v>1.55</v>
      </c>
      <c r="H224">
        <v>0</v>
      </c>
      <c r="I224">
        <v>8.33</v>
      </c>
      <c r="J224">
        <v>2.76</v>
      </c>
      <c r="K224">
        <v>4.75</v>
      </c>
      <c r="L224" t="s">
        <v>1</v>
      </c>
      <c r="M224" t="s">
        <v>70</v>
      </c>
    </row>
    <row r="225" spans="1:13" x14ac:dyDescent="0.45">
      <c r="A225" t="s">
        <v>0</v>
      </c>
      <c r="B225" t="s">
        <v>74</v>
      </c>
      <c r="C225">
        <v>2040</v>
      </c>
      <c r="D225">
        <v>44</v>
      </c>
      <c r="E225">
        <v>4.68</v>
      </c>
      <c r="F225">
        <v>4.42</v>
      </c>
      <c r="G225">
        <v>1.88</v>
      </c>
      <c r="H225">
        <v>0</v>
      </c>
      <c r="I225">
        <v>9.23</v>
      </c>
      <c r="J225">
        <v>3.25</v>
      </c>
      <c r="K225">
        <v>6.38</v>
      </c>
      <c r="L225" t="s">
        <v>1</v>
      </c>
      <c r="M225" t="s">
        <v>70</v>
      </c>
    </row>
    <row r="226" spans="1:13" x14ac:dyDescent="0.45">
      <c r="A226" t="s">
        <v>0</v>
      </c>
      <c r="B226" t="s">
        <v>74</v>
      </c>
      <c r="C226">
        <v>2045</v>
      </c>
      <c r="D226">
        <v>44</v>
      </c>
      <c r="E226">
        <v>5.14</v>
      </c>
      <c r="F226">
        <v>4.68</v>
      </c>
      <c r="G226">
        <v>2.0499999999999998</v>
      </c>
      <c r="H226">
        <v>0</v>
      </c>
      <c r="I226">
        <v>9.2799999999999994</v>
      </c>
      <c r="J226">
        <v>3.67</v>
      </c>
      <c r="K226">
        <v>6.07</v>
      </c>
      <c r="L226" t="s">
        <v>1</v>
      </c>
      <c r="M226" t="s">
        <v>70</v>
      </c>
    </row>
    <row r="227" spans="1:13" x14ac:dyDescent="0.45">
      <c r="A227" t="s">
        <v>0</v>
      </c>
      <c r="B227" t="s">
        <v>74</v>
      </c>
      <c r="C227">
        <v>2050</v>
      </c>
      <c r="D227">
        <v>44</v>
      </c>
      <c r="E227">
        <v>5.16</v>
      </c>
      <c r="F227">
        <v>4.4800000000000004</v>
      </c>
      <c r="G227">
        <v>2.34</v>
      </c>
      <c r="H227">
        <v>0</v>
      </c>
      <c r="I227">
        <v>9.9499999999999993</v>
      </c>
      <c r="J227">
        <v>3.95</v>
      </c>
      <c r="K227">
        <v>5.19</v>
      </c>
      <c r="L227" t="s">
        <v>1</v>
      </c>
      <c r="M227" t="s">
        <v>70</v>
      </c>
    </row>
    <row r="228" spans="1:13" x14ac:dyDescent="0.45">
      <c r="A228" t="s">
        <v>2</v>
      </c>
      <c r="B228" t="s">
        <v>74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74</v>
      </c>
      <c r="C229">
        <v>2025</v>
      </c>
      <c r="D229">
        <v>44</v>
      </c>
      <c r="E229">
        <v>1.32</v>
      </c>
      <c r="F229">
        <v>1.32</v>
      </c>
      <c r="G229">
        <v>0.47</v>
      </c>
      <c r="H229">
        <v>0</v>
      </c>
      <c r="I229">
        <v>2.95</v>
      </c>
      <c r="J229">
        <v>1.1100000000000001</v>
      </c>
      <c r="K229">
        <v>1.51</v>
      </c>
      <c r="L229" t="s">
        <v>3</v>
      </c>
      <c r="M229" t="s">
        <v>70</v>
      </c>
    </row>
    <row r="230" spans="1:13" x14ac:dyDescent="0.45">
      <c r="A230" t="s">
        <v>2</v>
      </c>
      <c r="B230" t="s">
        <v>74</v>
      </c>
      <c r="C230">
        <v>2030</v>
      </c>
      <c r="D230">
        <v>44</v>
      </c>
      <c r="E230">
        <v>1.53</v>
      </c>
      <c r="F230">
        <v>1.23</v>
      </c>
      <c r="G230">
        <v>0.71</v>
      </c>
      <c r="H230">
        <v>0</v>
      </c>
      <c r="I230">
        <v>3.93</v>
      </c>
      <c r="J230">
        <v>1.18</v>
      </c>
      <c r="K230">
        <v>1.75</v>
      </c>
      <c r="L230" t="s">
        <v>3</v>
      </c>
      <c r="M230" t="s">
        <v>70</v>
      </c>
    </row>
    <row r="231" spans="1:13" x14ac:dyDescent="0.45">
      <c r="A231" t="s">
        <v>2</v>
      </c>
      <c r="B231" t="s">
        <v>74</v>
      </c>
      <c r="C231">
        <v>2035</v>
      </c>
      <c r="D231">
        <v>44</v>
      </c>
      <c r="E231">
        <v>2.91</v>
      </c>
      <c r="F231">
        <v>2.33</v>
      </c>
      <c r="G231">
        <v>2.71</v>
      </c>
      <c r="H231">
        <v>1.05</v>
      </c>
      <c r="I231">
        <v>15.1</v>
      </c>
      <c r="J231">
        <v>1.9</v>
      </c>
      <c r="K231">
        <v>2.62</v>
      </c>
      <c r="L231" t="s">
        <v>3</v>
      </c>
      <c r="M231" t="s">
        <v>70</v>
      </c>
    </row>
    <row r="232" spans="1:13" x14ac:dyDescent="0.45">
      <c r="A232" t="s">
        <v>2</v>
      </c>
      <c r="B232" t="s">
        <v>74</v>
      </c>
      <c r="C232">
        <v>2040</v>
      </c>
      <c r="D232">
        <v>44</v>
      </c>
      <c r="E232">
        <v>3.61</v>
      </c>
      <c r="F232">
        <v>2.75</v>
      </c>
      <c r="G232">
        <v>3.58</v>
      </c>
      <c r="H232">
        <v>1.04</v>
      </c>
      <c r="I232">
        <v>19.920000000000002</v>
      </c>
      <c r="J232">
        <v>2.0099999999999998</v>
      </c>
      <c r="K232">
        <v>3.31</v>
      </c>
      <c r="L232" t="s">
        <v>3</v>
      </c>
      <c r="M232" t="s">
        <v>70</v>
      </c>
    </row>
    <row r="233" spans="1:13" x14ac:dyDescent="0.45">
      <c r="A233" t="s">
        <v>2</v>
      </c>
      <c r="B233" t="s">
        <v>74</v>
      </c>
      <c r="C233">
        <v>2045</v>
      </c>
      <c r="D233">
        <v>44</v>
      </c>
      <c r="E233">
        <v>3.42</v>
      </c>
      <c r="F233">
        <v>3.2</v>
      </c>
      <c r="G233">
        <v>1.44</v>
      </c>
      <c r="H233">
        <v>1.1000000000000001</v>
      </c>
      <c r="I233">
        <v>8.15</v>
      </c>
      <c r="J233">
        <v>2.2999999999999998</v>
      </c>
      <c r="K233">
        <v>4.1500000000000004</v>
      </c>
      <c r="L233" t="s">
        <v>3</v>
      </c>
      <c r="M233" t="s">
        <v>70</v>
      </c>
    </row>
    <row r="234" spans="1:13" x14ac:dyDescent="0.45">
      <c r="A234" t="s">
        <v>2</v>
      </c>
      <c r="B234" t="s">
        <v>74</v>
      </c>
      <c r="C234">
        <v>2050</v>
      </c>
      <c r="D234">
        <v>44</v>
      </c>
      <c r="E234">
        <v>3.45</v>
      </c>
      <c r="F234">
        <v>3.42</v>
      </c>
      <c r="G234">
        <v>1.19</v>
      </c>
      <c r="H234">
        <v>1.2</v>
      </c>
      <c r="I234">
        <v>7</v>
      </c>
      <c r="J234">
        <v>2.57</v>
      </c>
      <c r="K234">
        <v>4.04</v>
      </c>
      <c r="L234" t="s">
        <v>3</v>
      </c>
      <c r="M234" t="s">
        <v>70</v>
      </c>
    </row>
    <row r="235" spans="1:13" x14ac:dyDescent="0.45">
      <c r="A235" t="s">
        <v>5</v>
      </c>
      <c r="B235" t="s">
        <v>74</v>
      </c>
      <c r="C235">
        <v>2020</v>
      </c>
      <c r="D235">
        <v>107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74</v>
      </c>
      <c r="C236">
        <v>2025</v>
      </c>
      <c r="D236">
        <v>107</v>
      </c>
      <c r="E236">
        <v>1.61</v>
      </c>
      <c r="F236">
        <v>1.52</v>
      </c>
      <c r="G236">
        <v>0.61</v>
      </c>
      <c r="H236">
        <v>0</v>
      </c>
      <c r="I236">
        <v>4.47</v>
      </c>
      <c r="J236">
        <v>1.19</v>
      </c>
      <c r="K236">
        <v>1.88</v>
      </c>
      <c r="L236" t="s">
        <v>6</v>
      </c>
      <c r="M236" t="s">
        <v>70</v>
      </c>
    </row>
    <row r="237" spans="1:13" x14ac:dyDescent="0.45">
      <c r="A237" t="s">
        <v>5</v>
      </c>
      <c r="B237" t="s">
        <v>74</v>
      </c>
      <c r="C237">
        <v>2030</v>
      </c>
      <c r="D237">
        <v>107</v>
      </c>
      <c r="E237">
        <v>1.88</v>
      </c>
      <c r="F237">
        <v>1.71</v>
      </c>
      <c r="G237">
        <v>0.71</v>
      </c>
      <c r="H237">
        <v>0</v>
      </c>
      <c r="I237">
        <v>4.1500000000000004</v>
      </c>
      <c r="J237">
        <v>1.41</v>
      </c>
      <c r="K237">
        <v>2.38</v>
      </c>
      <c r="L237" t="s">
        <v>6</v>
      </c>
      <c r="M237" t="s">
        <v>70</v>
      </c>
    </row>
    <row r="238" spans="1:13" x14ac:dyDescent="0.45">
      <c r="A238" t="s">
        <v>5</v>
      </c>
      <c r="B238" t="s">
        <v>74</v>
      </c>
      <c r="C238">
        <v>2035</v>
      </c>
      <c r="D238">
        <v>107</v>
      </c>
      <c r="E238">
        <v>2.31</v>
      </c>
      <c r="F238">
        <v>2.17</v>
      </c>
      <c r="G238">
        <v>0.64</v>
      </c>
      <c r="H238">
        <v>0</v>
      </c>
      <c r="I238">
        <v>4.22</v>
      </c>
      <c r="J238">
        <v>1.85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74</v>
      </c>
      <c r="C239">
        <v>2040</v>
      </c>
      <c r="D239">
        <v>107</v>
      </c>
      <c r="E239">
        <v>2.66</v>
      </c>
      <c r="F239">
        <v>2.59</v>
      </c>
      <c r="G239">
        <v>0.89</v>
      </c>
      <c r="H239">
        <v>0</v>
      </c>
      <c r="I239">
        <v>5.0199999999999996</v>
      </c>
      <c r="J239">
        <v>2.0299999999999998</v>
      </c>
      <c r="K239">
        <v>3.06</v>
      </c>
      <c r="L239" t="s">
        <v>6</v>
      </c>
      <c r="M239" t="s">
        <v>70</v>
      </c>
    </row>
    <row r="240" spans="1:13" x14ac:dyDescent="0.45">
      <c r="A240" t="s">
        <v>5</v>
      </c>
      <c r="B240" t="s">
        <v>74</v>
      </c>
      <c r="C240">
        <v>2045</v>
      </c>
      <c r="D240">
        <v>107</v>
      </c>
      <c r="E240">
        <v>3</v>
      </c>
      <c r="F240">
        <v>2.93</v>
      </c>
      <c r="G240">
        <v>1.04</v>
      </c>
      <c r="H240">
        <v>0</v>
      </c>
      <c r="I240">
        <v>5.63</v>
      </c>
      <c r="J240">
        <v>2.23</v>
      </c>
      <c r="K240">
        <v>3.45</v>
      </c>
      <c r="L240" t="s">
        <v>6</v>
      </c>
      <c r="M240" t="s">
        <v>70</v>
      </c>
    </row>
    <row r="241" spans="1:13" x14ac:dyDescent="0.45">
      <c r="A241" t="s">
        <v>5</v>
      </c>
      <c r="B241" t="s">
        <v>74</v>
      </c>
      <c r="C241">
        <v>2050</v>
      </c>
      <c r="D241">
        <v>107</v>
      </c>
      <c r="E241">
        <v>3.21</v>
      </c>
      <c r="F241">
        <v>3.21</v>
      </c>
      <c r="G241">
        <v>1.21</v>
      </c>
      <c r="H241">
        <v>0</v>
      </c>
      <c r="I241">
        <v>6.67</v>
      </c>
      <c r="J241">
        <v>2.33</v>
      </c>
      <c r="K241">
        <v>3.69</v>
      </c>
      <c r="L241" t="s">
        <v>6</v>
      </c>
      <c r="M241" t="s">
        <v>70</v>
      </c>
    </row>
    <row r="242" spans="1:13" x14ac:dyDescent="0.45">
      <c r="A242" t="s">
        <v>7</v>
      </c>
      <c r="B242" t="s">
        <v>74</v>
      </c>
      <c r="C242">
        <v>2020</v>
      </c>
      <c r="D242">
        <v>29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74</v>
      </c>
      <c r="C243">
        <v>2025</v>
      </c>
      <c r="D243">
        <v>29</v>
      </c>
      <c r="E243">
        <v>1.33</v>
      </c>
      <c r="F243">
        <v>1.22</v>
      </c>
      <c r="G243">
        <v>0.26</v>
      </c>
      <c r="H243">
        <v>1.08</v>
      </c>
      <c r="I243">
        <v>1.99</v>
      </c>
      <c r="J243">
        <v>1.1599999999999999</v>
      </c>
      <c r="K243">
        <v>1.4</v>
      </c>
      <c r="L243" t="s">
        <v>8</v>
      </c>
      <c r="M243" t="s">
        <v>70</v>
      </c>
    </row>
    <row r="244" spans="1:13" x14ac:dyDescent="0.45">
      <c r="A244" t="s">
        <v>7</v>
      </c>
      <c r="B244" t="s">
        <v>74</v>
      </c>
      <c r="C244">
        <v>2030</v>
      </c>
      <c r="D244">
        <v>29</v>
      </c>
      <c r="E244">
        <v>1.54</v>
      </c>
      <c r="F244">
        <v>1.56</v>
      </c>
      <c r="G244">
        <v>0.24</v>
      </c>
      <c r="H244">
        <v>1.19</v>
      </c>
      <c r="I244">
        <v>2</v>
      </c>
      <c r="J244">
        <v>1.34</v>
      </c>
      <c r="K244">
        <v>1.68</v>
      </c>
      <c r="L244" t="s">
        <v>8</v>
      </c>
      <c r="M244" t="s">
        <v>70</v>
      </c>
    </row>
    <row r="245" spans="1:13" x14ac:dyDescent="0.45">
      <c r="A245" t="s">
        <v>7</v>
      </c>
      <c r="B245" t="s">
        <v>74</v>
      </c>
      <c r="C245">
        <v>2035</v>
      </c>
      <c r="D245">
        <v>29</v>
      </c>
      <c r="E245">
        <v>1.8</v>
      </c>
      <c r="F245">
        <v>1.74</v>
      </c>
      <c r="G245">
        <v>0.25</v>
      </c>
      <c r="H245">
        <v>1.44</v>
      </c>
      <c r="I245">
        <v>2.39</v>
      </c>
      <c r="J245">
        <v>1.62</v>
      </c>
      <c r="K245">
        <v>1.9</v>
      </c>
      <c r="L245" t="s">
        <v>8</v>
      </c>
      <c r="M245" t="s">
        <v>70</v>
      </c>
    </row>
    <row r="246" spans="1:13" x14ac:dyDescent="0.45">
      <c r="A246" t="s">
        <v>7</v>
      </c>
      <c r="B246" t="s">
        <v>74</v>
      </c>
      <c r="C246">
        <v>2040</v>
      </c>
      <c r="D246">
        <v>29</v>
      </c>
      <c r="E246">
        <v>2.08</v>
      </c>
      <c r="F246">
        <v>2.0699999999999998</v>
      </c>
      <c r="G246">
        <v>0.43</v>
      </c>
      <c r="H246">
        <v>1.5</v>
      </c>
      <c r="I246">
        <v>3.52</v>
      </c>
      <c r="J246">
        <v>1.72</v>
      </c>
      <c r="K246">
        <v>2.2799999999999998</v>
      </c>
      <c r="L246" t="s">
        <v>8</v>
      </c>
      <c r="M246" t="s">
        <v>70</v>
      </c>
    </row>
    <row r="247" spans="1:13" x14ac:dyDescent="0.45">
      <c r="A247" t="s">
        <v>7</v>
      </c>
      <c r="B247" t="s">
        <v>74</v>
      </c>
      <c r="C247">
        <v>2045</v>
      </c>
      <c r="D247">
        <v>29</v>
      </c>
      <c r="E247">
        <v>2.33</v>
      </c>
      <c r="F247">
        <v>2.27</v>
      </c>
      <c r="G247">
        <v>0.5</v>
      </c>
      <c r="H247">
        <v>1.72</v>
      </c>
      <c r="I247">
        <v>4.0599999999999996</v>
      </c>
      <c r="J247">
        <v>1.91</v>
      </c>
      <c r="K247">
        <v>2.56</v>
      </c>
      <c r="L247" t="s">
        <v>8</v>
      </c>
      <c r="M247" t="s">
        <v>70</v>
      </c>
    </row>
    <row r="248" spans="1:13" x14ac:dyDescent="0.45">
      <c r="A248" t="s">
        <v>7</v>
      </c>
      <c r="B248" t="s">
        <v>74</v>
      </c>
      <c r="C248">
        <v>2050</v>
      </c>
      <c r="D248">
        <v>29</v>
      </c>
      <c r="E248">
        <v>2.4</v>
      </c>
      <c r="F248">
        <v>2.41</v>
      </c>
      <c r="G248">
        <v>0.48</v>
      </c>
      <c r="H248">
        <v>1.67</v>
      </c>
      <c r="I248">
        <v>3.43</v>
      </c>
      <c r="J248">
        <v>1.97</v>
      </c>
      <c r="K248">
        <v>2.69</v>
      </c>
      <c r="L248" t="s">
        <v>8</v>
      </c>
      <c r="M248" t="s">
        <v>70</v>
      </c>
    </row>
    <row r="249" spans="1:13" x14ac:dyDescent="0.45">
      <c r="A249" t="s">
        <v>9</v>
      </c>
      <c r="B249" t="s">
        <v>74</v>
      </c>
      <c r="C249">
        <v>2020</v>
      </c>
      <c r="D249">
        <v>43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74</v>
      </c>
      <c r="C250">
        <v>2025</v>
      </c>
      <c r="D250">
        <v>43</v>
      </c>
      <c r="E250">
        <v>1.08</v>
      </c>
      <c r="F250">
        <v>1.03</v>
      </c>
      <c r="G250">
        <v>0.17</v>
      </c>
      <c r="H250">
        <v>0.94</v>
      </c>
      <c r="I250">
        <v>1.99</v>
      </c>
      <c r="J250">
        <v>1.02</v>
      </c>
      <c r="K250">
        <v>1.08</v>
      </c>
      <c r="L250" t="s">
        <v>10</v>
      </c>
      <c r="M250" t="s">
        <v>70</v>
      </c>
    </row>
    <row r="251" spans="1:13" x14ac:dyDescent="0.45">
      <c r="A251" t="s">
        <v>9</v>
      </c>
      <c r="B251" t="s">
        <v>74</v>
      </c>
      <c r="C251">
        <v>2030</v>
      </c>
      <c r="D251">
        <v>43</v>
      </c>
      <c r="E251">
        <v>1.1399999999999999</v>
      </c>
      <c r="F251">
        <v>1.1299999999999999</v>
      </c>
      <c r="G251">
        <v>0.17</v>
      </c>
      <c r="H251">
        <v>0.99</v>
      </c>
      <c r="I251">
        <v>2</v>
      </c>
      <c r="J251">
        <v>1.04</v>
      </c>
      <c r="K251">
        <v>1.1599999999999999</v>
      </c>
      <c r="L251" t="s">
        <v>10</v>
      </c>
      <c r="M251" t="s">
        <v>70</v>
      </c>
    </row>
    <row r="252" spans="1:13" x14ac:dyDescent="0.45">
      <c r="A252" t="s">
        <v>9</v>
      </c>
      <c r="B252" t="s">
        <v>74</v>
      </c>
      <c r="C252">
        <v>2035</v>
      </c>
      <c r="D252">
        <v>43</v>
      </c>
      <c r="E252">
        <v>1.17</v>
      </c>
      <c r="F252">
        <v>1.1599999999999999</v>
      </c>
      <c r="G252">
        <v>0.17</v>
      </c>
      <c r="H252">
        <v>0.98</v>
      </c>
      <c r="I252">
        <v>1.95</v>
      </c>
      <c r="J252">
        <v>1.08</v>
      </c>
      <c r="K252">
        <v>1.18</v>
      </c>
      <c r="L252" t="s">
        <v>10</v>
      </c>
      <c r="M252" t="s">
        <v>70</v>
      </c>
    </row>
    <row r="253" spans="1:13" x14ac:dyDescent="0.45">
      <c r="A253" t="s">
        <v>9</v>
      </c>
      <c r="B253" t="s">
        <v>74</v>
      </c>
      <c r="C253">
        <v>2040</v>
      </c>
      <c r="D253">
        <v>43</v>
      </c>
      <c r="E253">
        <v>1.21</v>
      </c>
      <c r="F253">
        <v>1.19</v>
      </c>
      <c r="G253">
        <v>0.18</v>
      </c>
      <c r="H253">
        <v>0.98</v>
      </c>
      <c r="I253">
        <v>1.97</v>
      </c>
      <c r="J253">
        <v>1.1000000000000001</v>
      </c>
      <c r="K253">
        <v>1.21</v>
      </c>
      <c r="L253" t="s">
        <v>10</v>
      </c>
      <c r="M253" t="s">
        <v>70</v>
      </c>
    </row>
    <row r="254" spans="1:13" x14ac:dyDescent="0.45">
      <c r="A254" t="s">
        <v>9</v>
      </c>
      <c r="B254" t="s">
        <v>74</v>
      </c>
      <c r="C254">
        <v>2045</v>
      </c>
      <c r="D254">
        <v>43</v>
      </c>
      <c r="E254">
        <v>1.27</v>
      </c>
      <c r="F254">
        <v>1.27</v>
      </c>
      <c r="G254">
        <v>0.2</v>
      </c>
      <c r="H254">
        <v>0.98</v>
      </c>
      <c r="I254">
        <v>2.0499999999999998</v>
      </c>
      <c r="J254">
        <v>1.1200000000000001</v>
      </c>
      <c r="K254">
        <v>1.32</v>
      </c>
      <c r="L254" t="s">
        <v>10</v>
      </c>
      <c r="M254" t="s">
        <v>70</v>
      </c>
    </row>
    <row r="255" spans="1:13" x14ac:dyDescent="0.45">
      <c r="A255" t="s">
        <v>9</v>
      </c>
      <c r="B255" t="s">
        <v>74</v>
      </c>
      <c r="C255">
        <v>2050</v>
      </c>
      <c r="D255">
        <v>43</v>
      </c>
      <c r="E255">
        <v>1.32</v>
      </c>
      <c r="F255">
        <v>1.31</v>
      </c>
      <c r="G255">
        <v>0.21</v>
      </c>
      <c r="H255">
        <v>0.98</v>
      </c>
      <c r="I255">
        <v>2.12</v>
      </c>
      <c r="J255">
        <v>1.2</v>
      </c>
      <c r="K255">
        <v>1.38</v>
      </c>
      <c r="L255" t="s">
        <v>10</v>
      </c>
      <c r="M255" t="s">
        <v>70</v>
      </c>
    </row>
    <row r="256" spans="1:13" x14ac:dyDescent="0.45">
      <c r="A256" t="s">
        <v>0</v>
      </c>
      <c r="B256" t="s">
        <v>74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74</v>
      </c>
      <c r="C257">
        <v>2025</v>
      </c>
      <c r="D257">
        <v>50</v>
      </c>
      <c r="E257">
        <v>1.64</v>
      </c>
      <c r="F257">
        <v>1.39</v>
      </c>
      <c r="G257">
        <v>0.84</v>
      </c>
      <c r="H257">
        <v>0</v>
      </c>
      <c r="I257">
        <v>4.01</v>
      </c>
      <c r="J257">
        <v>1.05</v>
      </c>
      <c r="K257">
        <v>2.0699999999999998</v>
      </c>
      <c r="L257" t="s">
        <v>1</v>
      </c>
      <c r="M257" t="s">
        <v>71</v>
      </c>
    </row>
    <row r="258" spans="1:13" x14ac:dyDescent="0.45">
      <c r="A258" t="s">
        <v>0</v>
      </c>
      <c r="B258" t="s">
        <v>74</v>
      </c>
      <c r="C258">
        <v>2030</v>
      </c>
      <c r="D258">
        <v>50</v>
      </c>
      <c r="E258">
        <v>2.2400000000000002</v>
      </c>
      <c r="F258">
        <v>2.12</v>
      </c>
      <c r="G258">
        <v>1.2</v>
      </c>
      <c r="H258">
        <v>0</v>
      </c>
      <c r="I258">
        <v>6.24</v>
      </c>
      <c r="J258">
        <v>1.48</v>
      </c>
      <c r="K258">
        <v>3.09</v>
      </c>
      <c r="L258" t="s">
        <v>1</v>
      </c>
      <c r="M258" t="s">
        <v>71</v>
      </c>
    </row>
    <row r="259" spans="1:13" x14ac:dyDescent="0.45">
      <c r="A259" t="s">
        <v>0</v>
      </c>
      <c r="B259" t="s">
        <v>74</v>
      </c>
      <c r="C259">
        <v>2035</v>
      </c>
      <c r="D259">
        <v>50</v>
      </c>
      <c r="E259">
        <v>2.62</v>
      </c>
      <c r="F259">
        <v>2.21</v>
      </c>
      <c r="G259">
        <v>1.6</v>
      </c>
      <c r="H259">
        <v>-0.96</v>
      </c>
      <c r="I259">
        <v>6.14</v>
      </c>
      <c r="J259">
        <v>1.55</v>
      </c>
      <c r="K259">
        <v>3.64</v>
      </c>
      <c r="L259" t="s">
        <v>1</v>
      </c>
      <c r="M259" t="s">
        <v>71</v>
      </c>
    </row>
    <row r="260" spans="1:13" x14ac:dyDescent="0.45">
      <c r="A260" t="s">
        <v>0</v>
      </c>
      <c r="B260" t="s">
        <v>74</v>
      </c>
      <c r="C260">
        <v>2040</v>
      </c>
      <c r="D260">
        <v>50</v>
      </c>
      <c r="E260">
        <v>3.24</v>
      </c>
      <c r="F260">
        <v>2.61</v>
      </c>
      <c r="G260">
        <v>2.06</v>
      </c>
      <c r="H260">
        <v>-0.09</v>
      </c>
      <c r="I260">
        <v>7.09</v>
      </c>
      <c r="J260">
        <v>1.81</v>
      </c>
      <c r="K260">
        <v>4.49</v>
      </c>
      <c r="L260" t="s">
        <v>1</v>
      </c>
      <c r="M260" t="s">
        <v>71</v>
      </c>
    </row>
    <row r="261" spans="1:13" x14ac:dyDescent="0.45">
      <c r="A261" t="s">
        <v>0</v>
      </c>
      <c r="B261" t="s">
        <v>74</v>
      </c>
      <c r="C261">
        <v>2045</v>
      </c>
      <c r="D261">
        <v>50</v>
      </c>
      <c r="E261">
        <v>3.47</v>
      </c>
      <c r="F261">
        <v>2.95</v>
      </c>
      <c r="G261">
        <v>2.66</v>
      </c>
      <c r="H261">
        <v>-0.32</v>
      </c>
      <c r="I261">
        <v>8.61</v>
      </c>
      <c r="J261">
        <v>1.81</v>
      </c>
      <c r="K261">
        <v>4.59</v>
      </c>
      <c r="L261" t="s">
        <v>1</v>
      </c>
      <c r="M261" t="s">
        <v>71</v>
      </c>
    </row>
    <row r="262" spans="1:13" x14ac:dyDescent="0.45">
      <c r="A262" t="s">
        <v>0</v>
      </c>
      <c r="B262" t="s">
        <v>74</v>
      </c>
      <c r="C262">
        <v>2050</v>
      </c>
      <c r="D262">
        <v>50</v>
      </c>
      <c r="E262">
        <v>3.57</v>
      </c>
      <c r="F262">
        <v>2.72</v>
      </c>
      <c r="G262">
        <v>3.08</v>
      </c>
      <c r="H262">
        <v>-0.44</v>
      </c>
      <c r="I262">
        <v>9.4700000000000006</v>
      </c>
      <c r="J262">
        <v>2.0299999999999998</v>
      </c>
      <c r="K262">
        <v>4.43</v>
      </c>
      <c r="L262" t="s">
        <v>1</v>
      </c>
      <c r="M262" t="s">
        <v>71</v>
      </c>
    </row>
    <row r="263" spans="1:13" x14ac:dyDescent="0.45">
      <c r="A263" t="s">
        <v>2</v>
      </c>
      <c r="B263" t="s">
        <v>74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74</v>
      </c>
      <c r="C264">
        <v>2025</v>
      </c>
      <c r="D264">
        <v>52</v>
      </c>
      <c r="E264">
        <v>1.1000000000000001</v>
      </c>
      <c r="F264">
        <v>1.1499999999999999</v>
      </c>
      <c r="G264">
        <v>0.38</v>
      </c>
      <c r="H264">
        <v>0.56000000000000005</v>
      </c>
      <c r="I264">
        <v>3.02</v>
      </c>
      <c r="J264">
        <v>0.94</v>
      </c>
      <c r="K264">
        <v>1.27</v>
      </c>
      <c r="L264" t="s">
        <v>3</v>
      </c>
      <c r="M264" t="s">
        <v>71</v>
      </c>
    </row>
    <row r="265" spans="1:13" x14ac:dyDescent="0.45">
      <c r="A265" t="s">
        <v>2</v>
      </c>
      <c r="B265" t="s">
        <v>74</v>
      </c>
      <c r="C265">
        <v>2030</v>
      </c>
      <c r="D265">
        <v>63</v>
      </c>
      <c r="E265">
        <v>1.72</v>
      </c>
      <c r="F265">
        <v>1.24</v>
      </c>
      <c r="G265">
        <v>1.42</v>
      </c>
      <c r="H265">
        <v>0.81</v>
      </c>
      <c r="I265">
        <v>7.6</v>
      </c>
      <c r="J265">
        <v>1.0900000000000001</v>
      </c>
      <c r="K265">
        <v>1.52</v>
      </c>
      <c r="L265" t="s">
        <v>3</v>
      </c>
      <c r="M265" t="s">
        <v>71</v>
      </c>
    </row>
    <row r="266" spans="1:13" x14ac:dyDescent="0.45">
      <c r="A266" t="s">
        <v>2</v>
      </c>
      <c r="B266" t="s">
        <v>74</v>
      </c>
      <c r="C266">
        <v>2035</v>
      </c>
      <c r="D266">
        <v>52</v>
      </c>
      <c r="E266">
        <v>2.0699999999999998</v>
      </c>
      <c r="F266">
        <v>1.46</v>
      </c>
      <c r="G266">
        <v>1.61</v>
      </c>
      <c r="H266">
        <v>0.77</v>
      </c>
      <c r="I266">
        <v>9.02</v>
      </c>
      <c r="J266">
        <v>1.27</v>
      </c>
      <c r="K266">
        <v>2</v>
      </c>
      <c r="L266" t="s">
        <v>3</v>
      </c>
      <c r="M266" t="s">
        <v>71</v>
      </c>
    </row>
    <row r="267" spans="1:13" x14ac:dyDescent="0.45">
      <c r="A267" t="s">
        <v>2</v>
      </c>
      <c r="B267" t="s">
        <v>74</v>
      </c>
      <c r="C267">
        <v>2040</v>
      </c>
      <c r="D267">
        <v>63</v>
      </c>
      <c r="E267">
        <v>2.9</v>
      </c>
      <c r="F267">
        <v>1.77</v>
      </c>
      <c r="G267">
        <v>2.8</v>
      </c>
      <c r="H267">
        <v>-0.12</v>
      </c>
      <c r="I267">
        <v>12.26</v>
      </c>
      <c r="J267">
        <v>1.52</v>
      </c>
      <c r="K267">
        <v>2.69</v>
      </c>
      <c r="L267" t="s">
        <v>3</v>
      </c>
      <c r="M267" t="s">
        <v>71</v>
      </c>
    </row>
    <row r="268" spans="1:13" x14ac:dyDescent="0.45">
      <c r="A268" t="s">
        <v>2</v>
      </c>
      <c r="B268" t="s">
        <v>74</v>
      </c>
      <c r="C268">
        <v>2045</v>
      </c>
      <c r="D268">
        <v>52</v>
      </c>
      <c r="E268">
        <v>2.23</v>
      </c>
      <c r="F268">
        <v>1.96</v>
      </c>
      <c r="G268">
        <v>1.38</v>
      </c>
      <c r="H268">
        <v>0.13</v>
      </c>
      <c r="I268">
        <v>8.1</v>
      </c>
      <c r="J268">
        <v>1.55</v>
      </c>
      <c r="K268">
        <v>2.39</v>
      </c>
      <c r="L268" t="s">
        <v>3</v>
      </c>
      <c r="M268" t="s">
        <v>71</v>
      </c>
    </row>
    <row r="269" spans="1:13" x14ac:dyDescent="0.45">
      <c r="A269" t="s">
        <v>2</v>
      </c>
      <c r="B269" t="s">
        <v>74</v>
      </c>
      <c r="C269">
        <v>2050</v>
      </c>
      <c r="D269">
        <v>63</v>
      </c>
      <c r="E269">
        <v>2.74</v>
      </c>
      <c r="F269">
        <v>1.88</v>
      </c>
      <c r="G269">
        <v>3.53</v>
      </c>
      <c r="H269">
        <v>-0.93</v>
      </c>
      <c r="I269">
        <v>17.54</v>
      </c>
      <c r="J269">
        <v>1.24</v>
      </c>
      <c r="K269">
        <v>2.34</v>
      </c>
      <c r="L269" t="s">
        <v>3</v>
      </c>
      <c r="M269" t="s">
        <v>71</v>
      </c>
    </row>
    <row r="270" spans="1:13" x14ac:dyDescent="0.45">
      <c r="A270" t="s">
        <v>5</v>
      </c>
      <c r="B270" t="s">
        <v>74</v>
      </c>
      <c r="C270">
        <v>2020</v>
      </c>
      <c r="D270">
        <v>160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74</v>
      </c>
      <c r="C271">
        <v>2025</v>
      </c>
      <c r="D271">
        <v>157</v>
      </c>
      <c r="E271">
        <v>1.1599999999999999</v>
      </c>
      <c r="F271">
        <v>1.19</v>
      </c>
      <c r="G271">
        <v>0.48</v>
      </c>
      <c r="H271">
        <v>0.56000000000000005</v>
      </c>
      <c r="I271">
        <v>3.55</v>
      </c>
      <c r="J271">
        <v>0.85</v>
      </c>
      <c r="K271">
        <v>1.27</v>
      </c>
      <c r="L271" t="s">
        <v>6</v>
      </c>
      <c r="M271" t="s">
        <v>71</v>
      </c>
    </row>
    <row r="272" spans="1:13" x14ac:dyDescent="0.45">
      <c r="A272" t="s">
        <v>5</v>
      </c>
      <c r="B272" t="s">
        <v>74</v>
      </c>
      <c r="C272">
        <v>2030</v>
      </c>
      <c r="D272">
        <v>160</v>
      </c>
      <c r="E272">
        <v>1.46</v>
      </c>
      <c r="F272">
        <v>1.35</v>
      </c>
      <c r="G272">
        <v>0.53</v>
      </c>
      <c r="H272">
        <v>0.91</v>
      </c>
      <c r="I272">
        <v>4.55</v>
      </c>
      <c r="J272">
        <v>1.1299999999999999</v>
      </c>
      <c r="K272">
        <v>1.63</v>
      </c>
      <c r="L272" t="s">
        <v>6</v>
      </c>
      <c r="M272" t="s">
        <v>71</v>
      </c>
    </row>
    <row r="273" spans="1:13" x14ac:dyDescent="0.45">
      <c r="A273" t="s">
        <v>5</v>
      </c>
      <c r="B273" t="s">
        <v>74</v>
      </c>
      <c r="C273">
        <v>2035</v>
      </c>
      <c r="D273">
        <v>157</v>
      </c>
      <c r="E273">
        <v>1.72</v>
      </c>
      <c r="F273">
        <v>1.51</v>
      </c>
      <c r="G273">
        <v>0.74</v>
      </c>
      <c r="H273">
        <v>0</v>
      </c>
      <c r="I273">
        <v>5.08</v>
      </c>
      <c r="J273">
        <v>1.22</v>
      </c>
      <c r="K273">
        <v>2.02</v>
      </c>
      <c r="L273" t="s">
        <v>6</v>
      </c>
      <c r="M273" t="s">
        <v>71</v>
      </c>
    </row>
    <row r="274" spans="1:13" x14ac:dyDescent="0.45">
      <c r="A274" t="s">
        <v>5</v>
      </c>
      <c r="B274" t="s">
        <v>74</v>
      </c>
      <c r="C274">
        <v>2040</v>
      </c>
      <c r="D274">
        <v>160</v>
      </c>
      <c r="E274">
        <v>1.91</v>
      </c>
      <c r="F274">
        <v>1.58</v>
      </c>
      <c r="G274">
        <v>0.83</v>
      </c>
      <c r="H274">
        <v>0</v>
      </c>
      <c r="I274">
        <v>5.23</v>
      </c>
      <c r="J274">
        <v>1.36</v>
      </c>
      <c r="K274">
        <v>2.34</v>
      </c>
      <c r="L274" t="s">
        <v>6</v>
      </c>
      <c r="M274" t="s">
        <v>71</v>
      </c>
    </row>
    <row r="275" spans="1:13" x14ac:dyDescent="0.45">
      <c r="A275" t="s">
        <v>5</v>
      </c>
      <c r="B275" t="s">
        <v>74</v>
      </c>
      <c r="C275">
        <v>2045</v>
      </c>
      <c r="D275">
        <v>157</v>
      </c>
      <c r="E275">
        <v>2.1800000000000002</v>
      </c>
      <c r="F275">
        <v>1.8</v>
      </c>
      <c r="G275">
        <v>1.03</v>
      </c>
      <c r="H275">
        <v>-0.05</v>
      </c>
      <c r="I275">
        <v>6.64</v>
      </c>
      <c r="J275">
        <v>1.53</v>
      </c>
      <c r="K275">
        <v>2.7</v>
      </c>
      <c r="L275" t="s">
        <v>6</v>
      </c>
      <c r="M275" t="s">
        <v>71</v>
      </c>
    </row>
    <row r="276" spans="1:13" x14ac:dyDescent="0.45">
      <c r="A276" t="s">
        <v>5</v>
      </c>
      <c r="B276" t="s">
        <v>74</v>
      </c>
      <c r="C276">
        <v>2050</v>
      </c>
      <c r="D276">
        <v>160</v>
      </c>
      <c r="E276">
        <v>2.2599999999999998</v>
      </c>
      <c r="F276">
        <v>1.93</v>
      </c>
      <c r="G276">
        <v>1.2</v>
      </c>
      <c r="H276">
        <v>-0.36</v>
      </c>
      <c r="I276">
        <v>6.42</v>
      </c>
      <c r="J276">
        <v>1.56</v>
      </c>
      <c r="K276">
        <v>2.81</v>
      </c>
      <c r="L276" t="s">
        <v>6</v>
      </c>
      <c r="M276" t="s">
        <v>71</v>
      </c>
    </row>
    <row r="277" spans="1:13" x14ac:dyDescent="0.45">
      <c r="A277" t="s">
        <v>7</v>
      </c>
      <c r="B277" t="s">
        <v>74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74</v>
      </c>
      <c r="C278">
        <v>2025</v>
      </c>
      <c r="D278">
        <v>51</v>
      </c>
      <c r="E278">
        <v>1.26</v>
      </c>
      <c r="F278">
        <v>1.24</v>
      </c>
      <c r="G278">
        <v>0.12</v>
      </c>
      <c r="H278">
        <v>1.01</v>
      </c>
      <c r="I278">
        <v>1.61</v>
      </c>
      <c r="J278">
        <v>1.22</v>
      </c>
      <c r="K278">
        <v>1.27</v>
      </c>
      <c r="L278" t="s">
        <v>8</v>
      </c>
      <c r="M278" t="s">
        <v>71</v>
      </c>
    </row>
    <row r="279" spans="1:13" x14ac:dyDescent="0.45">
      <c r="A279" t="s">
        <v>7</v>
      </c>
      <c r="B279" t="s">
        <v>74</v>
      </c>
      <c r="C279">
        <v>2030</v>
      </c>
      <c r="D279">
        <v>51</v>
      </c>
      <c r="E279">
        <v>1.43</v>
      </c>
      <c r="F279">
        <v>1.44</v>
      </c>
      <c r="G279">
        <v>0.18</v>
      </c>
      <c r="H279">
        <v>1</v>
      </c>
      <c r="I279">
        <v>1.68</v>
      </c>
      <c r="J279">
        <v>1.26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74</v>
      </c>
      <c r="C280">
        <v>2035</v>
      </c>
      <c r="D280">
        <v>51</v>
      </c>
      <c r="E280">
        <v>1.49</v>
      </c>
      <c r="F280">
        <v>1.47</v>
      </c>
      <c r="G280">
        <v>0.18</v>
      </c>
      <c r="H280">
        <v>1.01</v>
      </c>
      <c r="I280">
        <v>1.89</v>
      </c>
      <c r="J280">
        <v>1.39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74</v>
      </c>
      <c r="C281">
        <v>2040</v>
      </c>
      <c r="D281">
        <v>51</v>
      </c>
      <c r="E281">
        <v>1.65</v>
      </c>
      <c r="F281">
        <v>1.55</v>
      </c>
      <c r="G281">
        <v>0.3</v>
      </c>
      <c r="H281">
        <v>1</v>
      </c>
      <c r="I281">
        <v>2.63</v>
      </c>
      <c r="J281">
        <v>1.47</v>
      </c>
      <c r="K281">
        <v>1.85</v>
      </c>
      <c r="L281" t="s">
        <v>8</v>
      </c>
      <c r="M281" t="s">
        <v>71</v>
      </c>
    </row>
    <row r="282" spans="1:13" x14ac:dyDescent="0.45">
      <c r="A282" t="s">
        <v>7</v>
      </c>
      <c r="B282" t="s">
        <v>74</v>
      </c>
      <c r="C282">
        <v>2045</v>
      </c>
      <c r="D282">
        <v>51</v>
      </c>
      <c r="E282">
        <v>1.86</v>
      </c>
      <c r="F282">
        <v>1.79</v>
      </c>
      <c r="G282">
        <v>0.35</v>
      </c>
      <c r="H282">
        <v>1.02</v>
      </c>
      <c r="I282">
        <v>2.96</v>
      </c>
      <c r="J282">
        <v>1.64</v>
      </c>
      <c r="K282">
        <v>2.0499999999999998</v>
      </c>
      <c r="L282" t="s">
        <v>8</v>
      </c>
      <c r="M282" t="s">
        <v>71</v>
      </c>
    </row>
    <row r="283" spans="1:13" x14ac:dyDescent="0.45">
      <c r="A283" t="s">
        <v>7</v>
      </c>
      <c r="B283" t="s">
        <v>74</v>
      </c>
      <c r="C283">
        <v>2050</v>
      </c>
      <c r="D283">
        <v>51</v>
      </c>
      <c r="E283">
        <v>1.94</v>
      </c>
      <c r="F283">
        <v>1.83</v>
      </c>
      <c r="G283">
        <v>0.44</v>
      </c>
      <c r="H283">
        <v>0.95</v>
      </c>
      <c r="I283">
        <v>3.26</v>
      </c>
      <c r="J283">
        <v>1.62</v>
      </c>
      <c r="K283">
        <v>2.25</v>
      </c>
      <c r="L283" t="s">
        <v>8</v>
      </c>
      <c r="M283" t="s">
        <v>71</v>
      </c>
    </row>
    <row r="284" spans="1:13" x14ac:dyDescent="0.45">
      <c r="A284" t="s">
        <v>9</v>
      </c>
      <c r="B284" t="s">
        <v>74</v>
      </c>
      <c r="C284">
        <v>2020</v>
      </c>
      <c r="D284">
        <v>39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74</v>
      </c>
      <c r="C285">
        <v>2025</v>
      </c>
      <c r="D285">
        <v>39</v>
      </c>
      <c r="E285">
        <v>0.95</v>
      </c>
      <c r="F285">
        <v>1.04</v>
      </c>
      <c r="G285">
        <v>0.42</v>
      </c>
      <c r="H285">
        <v>0</v>
      </c>
      <c r="I285">
        <v>2.3199999999999998</v>
      </c>
      <c r="J285">
        <v>0.61</v>
      </c>
      <c r="K285">
        <v>1.1200000000000001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74</v>
      </c>
      <c r="C286">
        <v>2030</v>
      </c>
      <c r="D286">
        <v>39</v>
      </c>
      <c r="E286">
        <v>1.1599999999999999</v>
      </c>
      <c r="F286">
        <v>1.05</v>
      </c>
      <c r="G286">
        <v>0.48</v>
      </c>
      <c r="H286">
        <v>0</v>
      </c>
      <c r="I286">
        <v>3.16</v>
      </c>
      <c r="J286">
        <v>0.94</v>
      </c>
      <c r="K286">
        <v>1.21</v>
      </c>
      <c r="L286" t="s">
        <v>10</v>
      </c>
      <c r="M286" t="s">
        <v>71</v>
      </c>
    </row>
    <row r="287" spans="1:13" x14ac:dyDescent="0.45">
      <c r="A287" t="s">
        <v>9</v>
      </c>
      <c r="B287" t="s">
        <v>74</v>
      </c>
      <c r="C287">
        <v>2035</v>
      </c>
      <c r="D287">
        <v>39</v>
      </c>
      <c r="E287">
        <v>1.0900000000000001</v>
      </c>
      <c r="F287">
        <v>1.04</v>
      </c>
      <c r="G287">
        <v>0.41</v>
      </c>
      <c r="H287">
        <v>0</v>
      </c>
      <c r="I287">
        <v>2.54</v>
      </c>
      <c r="J287">
        <v>0.84</v>
      </c>
      <c r="K287">
        <v>1.23</v>
      </c>
      <c r="L287" t="s">
        <v>10</v>
      </c>
      <c r="M287" t="s">
        <v>71</v>
      </c>
    </row>
    <row r="288" spans="1:13" x14ac:dyDescent="0.45">
      <c r="A288" t="s">
        <v>9</v>
      </c>
      <c r="B288" t="s">
        <v>74</v>
      </c>
      <c r="C288">
        <v>2040</v>
      </c>
      <c r="D288">
        <v>39</v>
      </c>
      <c r="E288">
        <v>1.19</v>
      </c>
      <c r="F288">
        <v>1.04</v>
      </c>
      <c r="G288">
        <v>0.46</v>
      </c>
      <c r="H288">
        <v>0</v>
      </c>
      <c r="I288">
        <v>2.95</v>
      </c>
      <c r="J288">
        <v>0.93</v>
      </c>
      <c r="K288">
        <v>1.33</v>
      </c>
      <c r="L288" t="s">
        <v>10</v>
      </c>
      <c r="M288" t="s">
        <v>71</v>
      </c>
    </row>
    <row r="289" spans="1:13" x14ac:dyDescent="0.45">
      <c r="A289" t="s">
        <v>9</v>
      </c>
      <c r="B289" t="s">
        <v>74</v>
      </c>
      <c r="C289">
        <v>2045</v>
      </c>
      <c r="D289">
        <v>39</v>
      </c>
      <c r="E289">
        <v>1.33</v>
      </c>
      <c r="F289">
        <v>1.17</v>
      </c>
      <c r="G289">
        <v>0.54</v>
      </c>
      <c r="H289">
        <v>0</v>
      </c>
      <c r="I289">
        <v>3.43</v>
      </c>
      <c r="J289">
        <v>1.07</v>
      </c>
      <c r="K289">
        <v>1.38</v>
      </c>
      <c r="L289" t="s">
        <v>10</v>
      </c>
      <c r="M289" t="s">
        <v>71</v>
      </c>
    </row>
    <row r="290" spans="1:13" x14ac:dyDescent="0.45">
      <c r="A290" t="s">
        <v>9</v>
      </c>
      <c r="B290" t="s">
        <v>74</v>
      </c>
      <c r="C290">
        <v>2050</v>
      </c>
      <c r="D290">
        <v>39</v>
      </c>
      <c r="E290">
        <v>1.44</v>
      </c>
      <c r="F290">
        <v>1.25</v>
      </c>
      <c r="G290">
        <v>0.68</v>
      </c>
      <c r="H290">
        <v>0</v>
      </c>
      <c r="I290">
        <v>4.18</v>
      </c>
      <c r="J290">
        <v>1.1399999999999999</v>
      </c>
      <c r="K290">
        <v>1.51</v>
      </c>
      <c r="L290" t="s">
        <v>10</v>
      </c>
      <c r="M290" t="s">
        <v>71</v>
      </c>
    </row>
    <row r="291" spans="1:13" x14ac:dyDescent="0.45">
      <c r="A291" t="s">
        <v>0</v>
      </c>
      <c r="B291" t="s">
        <v>74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74</v>
      </c>
      <c r="C292">
        <v>2025</v>
      </c>
      <c r="D292">
        <v>20</v>
      </c>
      <c r="E292">
        <v>7.88</v>
      </c>
      <c r="F292">
        <v>5.62</v>
      </c>
      <c r="G292">
        <v>8.85</v>
      </c>
      <c r="H292">
        <v>0</v>
      </c>
      <c r="I292">
        <v>40.4</v>
      </c>
      <c r="J292">
        <v>2.19</v>
      </c>
      <c r="K292">
        <v>11.38</v>
      </c>
      <c r="L292" t="s">
        <v>1</v>
      </c>
      <c r="M292" t="s">
        <v>72</v>
      </c>
    </row>
    <row r="293" spans="1:13" x14ac:dyDescent="0.45">
      <c r="A293" t="s">
        <v>0</v>
      </c>
      <c r="B293" t="s">
        <v>74</v>
      </c>
      <c r="C293">
        <v>2030</v>
      </c>
      <c r="D293">
        <v>20</v>
      </c>
      <c r="E293">
        <v>10.26</v>
      </c>
      <c r="F293">
        <v>8.74</v>
      </c>
      <c r="G293">
        <v>6.31</v>
      </c>
      <c r="H293">
        <v>0</v>
      </c>
      <c r="I293">
        <v>27.81</v>
      </c>
      <c r="J293">
        <v>6.42</v>
      </c>
      <c r="K293">
        <v>13.75</v>
      </c>
      <c r="L293" t="s">
        <v>1</v>
      </c>
      <c r="M293" t="s">
        <v>72</v>
      </c>
    </row>
    <row r="294" spans="1:13" x14ac:dyDescent="0.45">
      <c r="A294" t="s">
        <v>0</v>
      </c>
      <c r="B294" t="s">
        <v>74</v>
      </c>
      <c r="C294">
        <v>2035</v>
      </c>
      <c r="D294">
        <v>20</v>
      </c>
      <c r="E294">
        <v>13.46</v>
      </c>
      <c r="F294">
        <v>11.81</v>
      </c>
      <c r="G294">
        <v>6.38</v>
      </c>
      <c r="H294">
        <v>0</v>
      </c>
      <c r="I294">
        <v>29.54</v>
      </c>
      <c r="J294">
        <v>11.45</v>
      </c>
      <c r="K294">
        <v>16.350000000000001</v>
      </c>
      <c r="L294" t="s">
        <v>1</v>
      </c>
      <c r="M294" t="s">
        <v>72</v>
      </c>
    </row>
    <row r="295" spans="1:13" x14ac:dyDescent="0.45">
      <c r="A295" t="s">
        <v>0</v>
      </c>
      <c r="B295" t="s">
        <v>74</v>
      </c>
      <c r="C295">
        <v>2040</v>
      </c>
      <c r="D295">
        <v>20</v>
      </c>
      <c r="E295">
        <v>14.22</v>
      </c>
      <c r="F295">
        <v>14.26</v>
      </c>
      <c r="G295">
        <v>5.85</v>
      </c>
      <c r="H295">
        <v>0</v>
      </c>
      <c r="I295">
        <v>27.95</v>
      </c>
      <c r="J295">
        <v>10.41</v>
      </c>
      <c r="K295">
        <v>16.48</v>
      </c>
      <c r="L295" t="s">
        <v>1</v>
      </c>
      <c r="M295" t="s">
        <v>72</v>
      </c>
    </row>
    <row r="296" spans="1:13" x14ac:dyDescent="0.45">
      <c r="A296" t="s">
        <v>0</v>
      </c>
      <c r="B296" t="s">
        <v>74</v>
      </c>
      <c r="C296">
        <v>2045</v>
      </c>
      <c r="D296">
        <v>20</v>
      </c>
      <c r="E296">
        <v>17.29</v>
      </c>
      <c r="F296">
        <v>18.12</v>
      </c>
      <c r="G296">
        <v>6.97</v>
      </c>
      <c r="H296">
        <v>0</v>
      </c>
      <c r="I296">
        <v>34.020000000000003</v>
      </c>
      <c r="J296">
        <v>13.35</v>
      </c>
      <c r="K296">
        <v>20.48</v>
      </c>
      <c r="L296" t="s">
        <v>1</v>
      </c>
      <c r="M296" t="s">
        <v>72</v>
      </c>
    </row>
    <row r="297" spans="1:13" x14ac:dyDescent="0.45">
      <c r="A297" t="s">
        <v>0</v>
      </c>
      <c r="B297" t="s">
        <v>74</v>
      </c>
      <c r="C297">
        <v>2050</v>
      </c>
      <c r="D297">
        <v>20</v>
      </c>
      <c r="E297">
        <v>17.72</v>
      </c>
      <c r="F297">
        <v>16.600000000000001</v>
      </c>
      <c r="G297">
        <v>8.6999999999999993</v>
      </c>
      <c r="H297">
        <v>0</v>
      </c>
      <c r="I297">
        <v>36.659999999999997</v>
      </c>
      <c r="J297">
        <v>11.1</v>
      </c>
      <c r="K297">
        <v>23.79</v>
      </c>
      <c r="L297" t="s">
        <v>1</v>
      </c>
      <c r="M297" t="s">
        <v>72</v>
      </c>
    </row>
    <row r="298" spans="1:13" x14ac:dyDescent="0.45">
      <c r="A298" t="s">
        <v>2</v>
      </c>
      <c r="B298" t="s">
        <v>74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74</v>
      </c>
      <c r="C299">
        <v>2025</v>
      </c>
      <c r="D299">
        <v>17</v>
      </c>
      <c r="E299">
        <v>2.7</v>
      </c>
      <c r="F299">
        <v>2.77</v>
      </c>
      <c r="G299">
        <v>2.58</v>
      </c>
      <c r="H299">
        <v>0</v>
      </c>
      <c r="I299">
        <v>9.4600000000000009</v>
      </c>
      <c r="J299">
        <v>1.36</v>
      </c>
      <c r="K299">
        <v>2.77</v>
      </c>
      <c r="L299" t="s">
        <v>3</v>
      </c>
      <c r="M299" t="s">
        <v>72</v>
      </c>
    </row>
    <row r="300" spans="1:13" x14ac:dyDescent="0.45">
      <c r="A300" t="s">
        <v>2</v>
      </c>
      <c r="B300" t="s">
        <v>74</v>
      </c>
      <c r="C300">
        <v>2030</v>
      </c>
      <c r="D300">
        <v>17</v>
      </c>
      <c r="E300">
        <v>2.88</v>
      </c>
      <c r="F300">
        <v>2.27</v>
      </c>
      <c r="G300">
        <v>3.01</v>
      </c>
      <c r="H300">
        <v>0</v>
      </c>
      <c r="I300">
        <v>11.12</v>
      </c>
      <c r="J300">
        <v>1.85</v>
      </c>
      <c r="K300">
        <v>2.46</v>
      </c>
      <c r="L300" t="s">
        <v>3</v>
      </c>
      <c r="M300" t="s">
        <v>72</v>
      </c>
    </row>
    <row r="301" spans="1:13" x14ac:dyDescent="0.45">
      <c r="A301" t="s">
        <v>2</v>
      </c>
      <c r="B301" t="s">
        <v>74</v>
      </c>
      <c r="C301">
        <v>2035</v>
      </c>
      <c r="D301">
        <v>17</v>
      </c>
      <c r="E301">
        <v>15.34</v>
      </c>
      <c r="F301">
        <v>13.83</v>
      </c>
      <c r="G301">
        <v>12.52</v>
      </c>
      <c r="H301">
        <v>3.28</v>
      </c>
      <c r="I301">
        <v>47.6</v>
      </c>
      <c r="J301">
        <v>10.62</v>
      </c>
      <c r="K301">
        <v>16.059999999999999</v>
      </c>
      <c r="L301" t="s">
        <v>3</v>
      </c>
      <c r="M301" t="s">
        <v>72</v>
      </c>
    </row>
    <row r="302" spans="1:13" x14ac:dyDescent="0.45">
      <c r="A302" t="s">
        <v>2</v>
      </c>
      <c r="B302" t="s">
        <v>74</v>
      </c>
      <c r="C302">
        <v>2040</v>
      </c>
      <c r="D302">
        <v>17</v>
      </c>
      <c r="E302">
        <v>20.260000000000002</v>
      </c>
      <c r="F302">
        <v>16.149999999999999</v>
      </c>
      <c r="G302">
        <v>21.28</v>
      </c>
      <c r="H302">
        <v>3.43</v>
      </c>
      <c r="I302">
        <v>78.709999999999994</v>
      </c>
      <c r="J302">
        <v>9.83</v>
      </c>
      <c r="K302">
        <v>20.57</v>
      </c>
      <c r="L302" t="s">
        <v>3</v>
      </c>
      <c r="M302" t="s">
        <v>72</v>
      </c>
    </row>
    <row r="303" spans="1:13" x14ac:dyDescent="0.45">
      <c r="A303" t="s">
        <v>2</v>
      </c>
      <c r="B303" t="s">
        <v>74</v>
      </c>
      <c r="C303">
        <v>2045</v>
      </c>
      <c r="D303">
        <v>17</v>
      </c>
      <c r="E303">
        <v>15.59</v>
      </c>
      <c r="F303">
        <v>19.71</v>
      </c>
      <c r="G303">
        <v>8.1199999999999992</v>
      </c>
      <c r="H303">
        <v>3.88</v>
      </c>
      <c r="I303">
        <v>28.72</v>
      </c>
      <c r="J303">
        <v>9.5299999999999994</v>
      </c>
      <c r="K303">
        <v>20.74</v>
      </c>
      <c r="L303" t="s">
        <v>3</v>
      </c>
      <c r="M303" t="s">
        <v>72</v>
      </c>
    </row>
    <row r="304" spans="1:13" x14ac:dyDescent="0.45">
      <c r="A304" t="s">
        <v>2</v>
      </c>
      <c r="B304" t="s">
        <v>74</v>
      </c>
      <c r="C304">
        <v>2050</v>
      </c>
      <c r="D304">
        <v>17</v>
      </c>
      <c r="E304">
        <v>9.8699999999999992</v>
      </c>
      <c r="F304">
        <v>10.3</v>
      </c>
      <c r="G304">
        <v>4.1500000000000004</v>
      </c>
      <c r="H304">
        <v>4.32</v>
      </c>
      <c r="I304">
        <v>16.63</v>
      </c>
      <c r="J304">
        <v>5.56</v>
      </c>
      <c r="K304">
        <v>13.61</v>
      </c>
      <c r="L304" t="s">
        <v>3</v>
      </c>
      <c r="M304" t="s">
        <v>72</v>
      </c>
    </row>
    <row r="305" spans="1:13" x14ac:dyDescent="0.45">
      <c r="A305" t="s">
        <v>5</v>
      </c>
      <c r="B305" t="s">
        <v>74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74</v>
      </c>
      <c r="C306">
        <v>2025</v>
      </c>
      <c r="D306">
        <v>69</v>
      </c>
      <c r="E306">
        <v>3.2</v>
      </c>
      <c r="F306">
        <v>2.77</v>
      </c>
      <c r="G306">
        <v>2.0499999999999998</v>
      </c>
      <c r="H306">
        <v>0</v>
      </c>
      <c r="I306">
        <v>9.26</v>
      </c>
      <c r="J306">
        <v>1.79</v>
      </c>
      <c r="K306">
        <v>4.0999999999999996</v>
      </c>
      <c r="L306" t="s">
        <v>6</v>
      </c>
      <c r="M306" t="s">
        <v>72</v>
      </c>
    </row>
    <row r="307" spans="1:13" x14ac:dyDescent="0.45">
      <c r="A307" t="s">
        <v>5</v>
      </c>
      <c r="B307" t="s">
        <v>74</v>
      </c>
      <c r="C307">
        <v>2030</v>
      </c>
      <c r="D307">
        <v>69</v>
      </c>
      <c r="E307">
        <v>3.97</v>
      </c>
      <c r="F307">
        <v>3.67</v>
      </c>
      <c r="G307">
        <v>2.39</v>
      </c>
      <c r="H307">
        <v>0</v>
      </c>
      <c r="I307">
        <v>10.88</v>
      </c>
      <c r="J307">
        <v>1.85</v>
      </c>
      <c r="K307">
        <v>5.68</v>
      </c>
      <c r="L307" t="s">
        <v>6</v>
      </c>
      <c r="M307" t="s">
        <v>72</v>
      </c>
    </row>
    <row r="308" spans="1:13" x14ac:dyDescent="0.45">
      <c r="A308" t="s">
        <v>5</v>
      </c>
      <c r="B308" t="s">
        <v>74</v>
      </c>
      <c r="C308">
        <v>2035</v>
      </c>
      <c r="D308">
        <v>69</v>
      </c>
      <c r="E308">
        <v>7.2</v>
      </c>
      <c r="F308">
        <v>7.2</v>
      </c>
      <c r="G308">
        <v>3.14</v>
      </c>
      <c r="H308">
        <v>0</v>
      </c>
      <c r="I308">
        <v>18.8</v>
      </c>
      <c r="J308">
        <v>5.51</v>
      </c>
      <c r="K308">
        <v>8.6300000000000008</v>
      </c>
      <c r="L308" t="s">
        <v>6</v>
      </c>
      <c r="M308" t="s">
        <v>72</v>
      </c>
    </row>
    <row r="309" spans="1:13" x14ac:dyDescent="0.45">
      <c r="A309" t="s">
        <v>5</v>
      </c>
      <c r="B309" t="s">
        <v>74</v>
      </c>
      <c r="C309">
        <v>2040</v>
      </c>
      <c r="D309">
        <v>69</v>
      </c>
      <c r="E309">
        <v>9.14</v>
      </c>
      <c r="F309">
        <v>9.17</v>
      </c>
      <c r="G309">
        <v>4.21</v>
      </c>
      <c r="H309">
        <v>0</v>
      </c>
      <c r="I309">
        <v>28.51</v>
      </c>
      <c r="J309">
        <v>7.47</v>
      </c>
      <c r="K309">
        <v>10.77</v>
      </c>
      <c r="L309" t="s">
        <v>6</v>
      </c>
      <c r="M309" t="s">
        <v>72</v>
      </c>
    </row>
    <row r="310" spans="1:13" x14ac:dyDescent="0.45">
      <c r="A310" t="s">
        <v>5</v>
      </c>
      <c r="B310" t="s">
        <v>74</v>
      </c>
      <c r="C310">
        <v>2045</v>
      </c>
      <c r="D310">
        <v>69</v>
      </c>
      <c r="E310">
        <v>10.33</v>
      </c>
      <c r="F310">
        <v>9.67</v>
      </c>
      <c r="G310">
        <v>4.76</v>
      </c>
      <c r="H310">
        <v>0</v>
      </c>
      <c r="I310">
        <v>25.74</v>
      </c>
      <c r="J310">
        <v>8.3800000000000008</v>
      </c>
      <c r="K310">
        <v>13.06</v>
      </c>
      <c r="L310" t="s">
        <v>6</v>
      </c>
      <c r="M310" t="s">
        <v>72</v>
      </c>
    </row>
    <row r="311" spans="1:13" x14ac:dyDescent="0.45">
      <c r="A311" t="s">
        <v>5</v>
      </c>
      <c r="B311" t="s">
        <v>74</v>
      </c>
      <c r="C311">
        <v>2050</v>
      </c>
      <c r="D311">
        <v>69</v>
      </c>
      <c r="E311">
        <v>10.59</v>
      </c>
      <c r="F311">
        <v>10.46</v>
      </c>
      <c r="G311">
        <v>4.91</v>
      </c>
      <c r="H311">
        <v>0</v>
      </c>
      <c r="I311">
        <v>23.33</v>
      </c>
      <c r="J311">
        <v>9.26</v>
      </c>
      <c r="K311">
        <v>12.27</v>
      </c>
      <c r="L311" t="s">
        <v>6</v>
      </c>
      <c r="M311" t="s">
        <v>72</v>
      </c>
    </row>
    <row r="312" spans="1:13" x14ac:dyDescent="0.45">
      <c r="A312" t="s">
        <v>7</v>
      </c>
      <c r="B312" t="s">
        <v>74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74</v>
      </c>
      <c r="C313">
        <v>2025</v>
      </c>
      <c r="D313">
        <v>27</v>
      </c>
      <c r="E313">
        <v>2.65</v>
      </c>
      <c r="F313">
        <v>2.27</v>
      </c>
      <c r="G313">
        <v>1.19</v>
      </c>
      <c r="H313">
        <v>1.22</v>
      </c>
      <c r="I313">
        <v>5.33</v>
      </c>
      <c r="J313">
        <v>1.79</v>
      </c>
      <c r="K313">
        <v>3.4</v>
      </c>
      <c r="L313" t="s">
        <v>8</v>
      </c>
      <c r="M313" t="s">
        <v>72</v>
      </c>
    </row>
    <row r="314" spans="1:13" x14ac:dyDescent="0.45">
      <c r="A314" t="s">
        <v>7</v>
      </c>
      <c r="B314" t="s">
        <v>74</v>
      </c>
      <c r="C314">
        <v>2030</v>
      </c>
      <c r="D314">
        <v>27</v>
      </c>
      <c r="E314">
        <v>3.42</v>
      </c>
      <c r="F314">
        <v>3.67</v>
      </c>
      <c r="G314">
        <v>0.77</v>
      </c>
      <c r="H314">
        <v>1.85</v>
      </c>
      <c r="I314">
        <v>4.3</v>
      </c>
      <c r="J314">
        <v>3.14</v>
      </c>
      <c r="K314">
        <v>3.98</v>
      </c>
      <c r="L314" t="s">
        <v>8</v>
      </c>
      <c r="M314" t="s">
        <v>72</v>
      </c>
    </row>
    <row r="315" spans="1:13" x14ac:dyDescent="0.45">
      <c r="A315" t="s">
        <v>7</v>
      </c>
      <c r="B315" t="s">
        <v>74</v>
      </c>
      <c r="C315">
        <v>2035</v>
      </c>
      <c r="D315">
        <v>27</v>
      </c>
      <c r="E315">
        <v>4.33</v>
      </c>
      <c r="F315">
        <v>4.1900000000000004</v>
      </c>
      <c r="G315">
        <v>1</v>
      </c>
      <c r="H315">
        <v>2.79</v>
      </c>
      <c r="I315">
        <v>6.13</v>
      </c>
      <c r="J315">
        <v>3.47</v>
      </c>
      <c r="K315">
        <v>4.93</v>
      </c>
      <c r="L315" t="s">
        <v>8</v>
      </c>
      <c r="M315" t="s">
        <v>72</v>
      </c>
    </row>
    <row r="316" spans="1:13" x14ac:dyDescent="0.45">
      <c r="A316" t="s">
        <v>7</v>
      </c>
      <c r="B316" t="s">
        <v>74</v>
      </c>
      <c r="C316">
        <v>2040</v>
      </c>
      <c r="D316">
        <v>27</v>
      </c>
      <c r="E316">
        <v>5.62</v>
      </c>
      <c r="F316">
        <v>5.64</v>
      </c>
      <c r="G316">
        <v>1.17</v>
      </c>
      <c r="H316">
        <v>3.94</v>
      </c>
      <c r="I316">
        <v>8.76</v>
      </c>
      <c r="J316">
        <v>4.78</v>
      </c>
      <c r="K316">
        <v>6.21</v>
      </c>
      <c r="L316" t="s">
        <v>8</v>
      </c>
      <c r="M316" t="s">
        <v>72</v>
      </c>
    </row>
    <row r="317" spans="1:13" x14ac:dyDescent="0.45">
      <c r="A317" t="s">
        <v>7</v>
      </c>
      <c r="B317" t="s">
        <v>74</v>
      </c>
      <c r="C317">
        <v>2045</v>
      </c>
      <c r="D317">
        <v>27</v>
      </c>
      <c r="E317">
        <v>6.27</v>
      </c>
      <c r="F317">
        <v>6.04</v>
      </c>
      <c r="G317">
        <v>1.38</v>
      </c>
      <c r="H317">
        <v>3.69</v>
      </c>
      <c r="I317">
        <v>10.53</v>
      </c>
      <c r="J317">
        <v>5.8</v>
      </c>
      <c r="K317">
        <v>6.94</v>
      </c>
      <c r="L317" t="s">
        <v>8</v>
      </c>
      <c r="M317" t="s">
        <v>72</v>
      </c>
    </row>
    <row r="318" spans="1:13" x14ac:dyDescent="0.45">
      <c r="A318" t="s">
        <v>7</v>
      </c>
      <c r="B318" t="s">
        <v>74</v>
      </c>
      <c r="C318">
        <v>2050</v>
      </c>
      <c r="D318">
        <v>27</v>
      </c>
      <c r="E318">
        <v>6.85</v>
      </c>
      <c r="F318">
        <v>7.41</v>
      </c>
      <c r="G318">
        <v>1.6</v>
      </c>
      <c r="H318">
        <v>3.24</v>
      </c>
      <c r="I318">
        <v>8.77</v>
      </c>
      <c r="J318">
        <v>5.99</v>
      </c>
      <c r="K318">
        <v>8.1999999999999993</v>
      </c>
      <c r="L318" t="s">
        <v>8</v>
      </c>
      <c r="M318" t="s">
        <v>72</v>
      </c>
    </row>
    <row r="319" spans="1:13" x14ac:dyDescent="0.45">
      <c r="A319" t="s">
        <v>9</v>
      </c>
      <c r="B319" t="s">
        <v>74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74</v>
      </c>
      <c r="C320">
        <v>2025</v>
      </c>
      <c r="D320">
        <v>14</v>
      </c>
      <c r="E320">
        <v>1.6</v>
      </c>
      <c r="F320">
        <v>1.03</v>
      </c>
      <c r="G320">
        <v>0.98</v>
      </c>
      <c r="H320">
        <v>1.02</v>
      </c>
      <c r="I320">
        <v>3.84</v>
      </c>
      <c r="J320">
        <v>1.03</v>
      </c>
      <c r="K320">
        <v>2.0699999999999998</v>
      </c>
      <c r="L320" t="s">
        <v>10</v>
      </c>
      <c r="M320" t="s">
        <v>72</v>
      </c>
    </row>
    <row r="321" spans="1:13" x14ac:dyDescent="0.45">
      <c r="A321" t="s">
        <v>9</v>
      </c>
      <c r="B321" t="s">
        <v>74</v>
      </c>
      <c r="C321">
        <v>2030</v>
      </c>
      <c r="D321">
        <v>14</v>
      </c>
      <c r="E321">
        <v>1.55</v>
      </c>
      <c r="F321">
        <v>1.0900000000000001</v>
      </c>
      <c r="G321">
        <v>0.91</v>
      </c>
      <c r="H321">
        <v>1.05</v>
      </c>
      <c r="I321">
        <v>4.2300000000000004</v>
      </c>
      <c r="J321">
        <v>1.06</v>
      </c>
      <c r="K321">
        <v>1.88</v>
      </c>
      <c r="L321" t="s">
        <v>10</v>
      </c>
      <c r="M321" t="s">
        <v>72</v>
      </c>
    </row>
    <row r="322" spans="1:13" x14ac:dyDescent="0.45">
      <c r="A322" t="s">
        <v>9</v>
      </c>
      <c r="B322" t="s">
        <v>74</v>
      </c>
      <c r="C322">
        <v>2035</v>
      </c>
      <c r="D322">
        <v>14</v>
      </c>
      <c r="E322">
        <v>2.2000000000000002</v>
      </c>
      <c r="F322">
        <v>1.18</v>
      </c>
      <c r="G322">
        <v>1.94</v>
      </c>
      <c r="H322">
        <v>1.05</v>
      </c>
      <c r="I322">
        <v>6.45</v>
      </c>
      <c r="J322">
        <v>1.0900000000000001</v>
      </c>
      <c r="K322">
        <v>2.4</v>
      </c>
      <c r="L322" t="s">
        <v>10</v>
      </c>
      <c r="M322" t="s">
        <v>72</v>
      </c>
    </row>
    <row r="323" spans="1:13" x14ac:dyDescent="0.45">
      <c r="A323" t="s">
        <v>9</v>
      </c>
      <c r="B323" t="s">
        <v>74</v>
      </c>
      <c r="C323">
        <v>2040</v>
      </c>
      <c r="D323">
        <v>14</v>
      </c>
      <c r="E323">
        <v>2.3199999999999998</v>
      </c>
      <c r="F323">
        <v>1.27</v>
      </c>
      <c r="G323">
        <v>2.11</v>
      </c>
      <c r="H323">
        <v>1.03</v>
      </c>
      <c r="I323">
        <v>6.76</v>
      </c>
      <c r="J323">
        <v>1.1100000000000001</v>
      </c>
      <c r="K323">
        <v>2.16</v>
      </c>
      <c r="L323" t="s">
        <v>10</v>
      </c>
      <c r="M323" t="s">
        <v>72</v>
      </c>
    </row>
    <row r="324" spans="1:13" x14ac:dyDescent="0.45">
      <c r="A324" t="s">
        <v>9</v>
      </c>
      <c r="B324" t="s">
        <v>74</v>
      </c>
      <c r="C324">
        <v>2045</v>
      </c>
      <c r="D324">
        <v>14</v>
      </c>
      <c r="E324">
        <v>2.2200000000000002</v>
      </c>
      <c r="F324">
        <v>1.35</v>
      </c>
      <c r="G324">
        <v>1.86</v>
      </c>
      <c r="H324">
        <v>1.01</v>
      </c>
      <c r="I324">
        <v>6.32</v>
      </c>
      <c r="J324">
        <v>1.1299999999999999</v>
      </c>
      <c r="K324">
        <v>2.2000000000000002</v>
      </c>
      <c r="L324" t="s">
        <v>10</v>
      </c>
      <c r="M324" t="s">
        <v>72</v>
      </c>
    </row>
    <row r="325" spans="1:13" x14ac:dyDescent="0.45">
      <c r="A325" t="s">
        <v>9</v>
      </c>
      <c r="B325" t="s">
        <v>74</v>
      </c>
      <c r="C325">
        <v>2050</v>
      </c>
      <c r="D325">
        <v>14</v>
      </c>
      <c r="E325">
        <v>2.4500000000000002</v>
      </c>
      <c r="F325">
        <v>1.41</v>
      </c>
      <c r="G325">
        <v>2.21</v>
      </c>
      <c r="H325">
        <v>0.99</v>
      </c>
      <c r="I325">
        <v>6.85</v>
      </c>
      <c r="J325">
        <v>1.1499999999999999</v>
      </c>
      <c r="K325">
        <v>2.27</v>
      </c>
      <c r="L325" t="s">
        <v>10</v>
      </c>
      <c r="M325" t="s">
        <v>72</v>
      </c>
    </row>
    <row r="326" spans="1:13" x14ac:dyDescent="0.45">
      <c r="A326" t="s">
        <v>0</v>
      </c>
      <c r="B326" t="s">
        <v>74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74</v>
      </c>
      <c r="C327">
        <v>2025</v>
      </c>
      <c r="D327">
        <v>7</v>
      </c>
      <c r="E327">
        <v>0.95</v>
      </c>
      <c r="F327">
        <v>0.94</v>
      </c>
      <c r="G327">
        <v>0.01</v>
      </c>
      <c r="H327">
        <v>0.93</v>
      </c>
      <c r="I327">
        <v>0.96</v>
      </c>
      <c r="J327">
        <v>0.94</v>
      </c>
      <c r="K327">
        <v>0.95</v>
      </c>
      <c r="L327" t="s">
        <v>1</v>
      </c>
      <c r="M327" t="s">
        <v>73</v>
      </c>
    </row>
    <row r="328" spans="1:13" x14ac:dyDescent="0.45">
      <c r="A328" t="s">
        <v>0</v>
      </c>
      <c r="B328" t="s">
        <v>74</v>
      </c>
      <c r="C328">
        <v>2030</v>
      </c>
      <c r="D328">
        <v>7</v>
      </c>
      <c r="E328">
        <v>0.93</v>
      </c>
      <c r="F328">
        <v>0.93</v>
      </c>
      <c r="G328">
        <v>0.01</v>
      </c>
      <c r="H328">
        <v>0.91</v>
      </c>
      <c r="I328">
        <v>0.94</v>
      </c>
      <c r="J328">
        <v>0.92</v>
      </c>
      <c r="K328">
        <v>0.93</v>
      </c>
      <c r="L328" t="s">
        <v>1</v>
      </c>
      <c r="M328" t="s">
        <v>73</v>
      </c>
    </row>
    <row r="329" spans="1:13" x14ac:dyDescent="0.45">
      <c r="A329" t="s">
        <v>0</v>
      </c>
      <c r="B329" t="s">
        <v>74</v>
      </c>
      <c r="C329">
        <v>2035</v>
      </c>
      <c r="D329">
        <v>7</v>
      </c>
      <c r="E329">
        <v>0.94</v>
      </c>
      <c r="F329">
        <v>0.95</v>
      </c>
      <c r="G329">
        <v>0.01</v>
      </c>
      <c r="H329">
        <v>0.93</v>
      </c>
      <c r="I329">
        <v>0.96</v>
      </c>
      <c r="J329">
        <v>0.94</v>
      </c>
      <c r="K329">
        <v>0.95</v>
      </c>
      <c r="L329" t="s">
        <v>1</v>
      </c>
      <c r="M329" t="s">
        <v>73</v>
      </c>
    </row>
    <row r="330" spans="1:13" x14ac:dyDescent="0.45">
      <c r="A330" t="s">
        <v>0</v>
      </c>
      <c r="B330" t="s">
        <v>74</v>
      </c>
      <c r="C330">
        <v>2040</v>
      </c>
      <c r="D330">
        <v>7</v>
      </c>
      <c r="E330">
        <v>0.96</v>
      </c>
      <c r="F330">
        <v>0.96</v>
      </c>
      <c r="G330">
        <v>0.02</v>
      </c>
      <c r="H330">
        <v>0.93</v>
      </c>
      <c r="I330">
        <v>0.98</v>
      </c>
      <c r="J330">
        <v>0.96</v>
      </c>
      <c r="K330">
        <v>0.97</v>
      </c>
      <c r="L330" t="s">
        <v>1</v>
      </c>
      <c r="M330" t="s">
        <v>73</v>
      </c>
    </row>
    <row r="331" spans="1:13" x14ac:dyDescent="0.45">
      <c r="A331" t="s">
        <v>0</v>
      </c>
      <c r="B331" t="s">
        <v>74</v>
      </c>
      <c r="C331">
        <v>2045</v>
      </c>
      <c r="D331">
        <v>7</v>
      </c>
      <c r="E331">
        <v>0.94</v>
      </c>
      <c r="F331">
        <v>0.94</v>
      </c>
      <c r="G331">
        <v>0.03</v>
      </c>
      <c r="H331">
        <v>0.9</v>
      </c>
      <c r="I331">
        <v>1</v>
      </c>
      <c r="J331">
        <v>0.93</v>
      </c>
      <c r="K331">
        <v>0.94</v>
      </c>
      <c r="L331" t="s">
        <v>1</v>
      </c>
      <c r="M331" t="s">
        <v>73</v>
      </c>
    </row>
    <row r="332" spans="1:13" x14ac:dyDescent="0.45">
      <c r="A332" t="s">
        <v>0</v>
      </c>
      <c r="B332" t="s">
        <v>74</v>
      </c>
      <c r="C332">
        <v>2050</v>
      </c>
      <c r="D332">
        <v>7</v>
      </c>
      <c r="E332">
        <v>0.93</v>
      </c>
      <c r="F332">
        <v>0.92</v>
      </c>
      <c r="G332">
        <v>0.06</v>
      </c>
      <c r="H332">
        <v>0.88</v>
      </c>
      <c r="I332">
        <v>1.05</v>
      </c>
      <c r="J332">
        <v>0.89</v>
      </c>
      <c r="K332">
        <v>0.95</v>
      </c>
      <c r="L332" t="s">
        <v>1</v>
      </c>
      <c r="M332" t="s">
        <v>73</v>
      </c>
    </row>
    <row r="333" spans="1:13" x14ac:dyDescent="0.45">
      <c r="A333" t="s">
        <v>2</v>
      </c>
      <c r="B333" t="s">
        <v>74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74</v>
      </c>
      <c r="C334">
        <v>2025</v>
      </c>
      <c r="D334">
        <v>7</v>
      </c>
      <c r="E334">
        <v>0.93</v>
      </c>
      <c r="F334">
        <v>0.93</v>
      </c>
      <c r="G334">
        <v>0.01</v>
      </c>
      <c r="H334">
        <v>0.92</v>
      </c>
      <c r="I334">
        <v>0.93</v>
      </c>
      <c r="J334">
        <v>0.92</v>
      </c>
      <c r="K334">
        <v>0.93</v>
      </c>
      <c r="L334" t="s">
        <v>3</v>
      </c>
      <c r="M334" t="s">
        <v>73</v>
      </c>
    </row>
    <row r="335" spans="1:13" x14ac:dyDescent="0.45">
      <c r="A335" t="s">
        <v>2</v>
      </c>
      <c r="B335" t="s">
        <v>74</v>
      </c>
      <c r="C335">
        <v>2030</v>
      </c>
      <c r="D335">
        <v>7</v>
      </c>
      <c r="E335">
        <v>0.93</v>
      </c>
      <c r="F335">
        <v>0.93</v>
      </c>
      <c r="G335">
        <v>0.02</v>
      </c>
      <c r="H335">
        <v>0.91</v>
      </c>
      <c r="I335">
        <v>0.95</v>
      </c>
      <c r="J335">
        <v>0.92</v>
      </c>
      <c r="K335">
        <v>0.94</v>
      </c>
      <c r="L335" t="s">
        <v>3</v>
      </c>
      <c r="M335" t="s">
        <v>73</v>
      </c>
    </row>
    <row r="336" spans="1:13" x14ac:dyDescent="0.45">
      <c r="A336" t="s">
        <v>2</v>
      </c>
      <c r="B336" t="s">
        <v>74</v>
      </c>
      <c r="C336">
        <v>2035</v>
      </c>
      <c r="D336">
        <v>7</v>
      </c>
      <c r="E336">
        <v>0.94</v>
      </c>
      <c r="F336">
        <v>0.93</v>
      </c>
      <c r="G336">
        <v>0.03</v>
      </c>
      <c r="H336">
        <v>0.91</v>
      </c>
      <c r="I336">
        <v>0.99</v>
      </c>
      <c r="J336">
        <v>0.91</v>
      </c>
      <c r="K336">
        <v>0.95</v>
      </c>
      <c r="L336" t="s">
        <v>3</v>
      </c>
      <c r="M336" t="s">
        <v>73</v>
      </c>
    </row>
    <row r="337" spans="1:13" x14ac:dyDescent="0.45">
      <c r="A337" t="s">
        <v>2</v>
      </c>
      <c r="B337" t="s">
        <v>74</v>
      </c>
      <c r="C337">
        <v>2040</v>
      </c>
      <c r="D337">
        <v>7</v>
      </c>
      <c r="E337">
        <v>0.96</v>
      </c>
      <c r="F337">
        <v>0.96</v>
      </c>
      <c r="G337">
        <v>0.02</v>
      </c>
      <c r="H337">
        <v>0.94</v>
      </c>
      <c r="I337">
        <v>1</v>
      </c>
      <c r="J337">
        <v>0.94</v>
      </c>
      <c r="K337">
        <v>0.98</v>
      </c>
      <c r="L337" t="s">
        <v>3</v>
      </c>
      <c r="M337" t="s">
        <v>73</v>
      </c>
    </row>
    <row r="338" spans="1:13" x14ac:dyDescent="0.45">
      <c r="A338" t="s">
        <v>2</v>
      </c>
      <c r="B338" t="s">
        <v>74</v>
      </c>
      <c r="C338">
        <v>2045</v>
      </c>
      <c r="D338">
        <v>7</v>
      </c>
      <c r="E338">
        <v>1.01</v>
      </c>
      <c r="F338">
        <v>1.01</v>
      </c>
      <c r="G338">
        <v>0.02</v>
      </c>
      <c r="H338">
        <v>0.99</v>
      </c>
      <c r="I338">
        <v>1.05</v>
      </c>
      <c r="J338">
        <v>0.99</v>
      </c>
      <c r="K338">
        <v>1.03</v>
      </c>
      <c r="L338" t="s">
        <v>3</v>
      </c>
      <c r="M338" t="s">
        <v>73</v>
      </c>
    </row>
    <row r="339" spans="1:13" x14ac:dyDescent="0.45">
      <c r="A339" t="s">
        <v>2</v>
      </c>
      <c r="B339" t="s">
        <v>74</v>
      </c>
      <c r="C339">
        <v>2050</v>
      </c>
      <c r="D339">
        <v>7</v>
      </c>
      <c r="E339">
        <v>1.07</v>
      </c>
      <c r="F339">
        <v>1.07</v>
      </c>
      <c r="G339">
        <v>0.02</v>
      </c>
      <c r="H339">
        <v>1.04</v>
      </c>
      <c r="I339">
        <v>1.1000000000000001</v>
      </c>
      <c r="J339">
        <v>1.05</v>
      </c>
      <c r="K339">
        <v>1.0900000000000001</v>
      </c>
      <c r="L339" t="s">
        <v>3</v>
      </c>
      <c r="M339" t="s">
        <v>73</v>
      </c>
    </row>
    <row r="340" spans="1:13" x14ac:dyDescent="0.45">
      <c r="A340" t="s">
        <v>5</v>
      </c>
      <c r="B340" t="s">
        <v>74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74</v>
      </c>
      <c r="C341">
        <v>2025</v>
      </c>
      <c r="D341">
        <v>15</v>
      </c>
      <c r="E341">
        <v>1.03</v>
      </c>
      <c r="F341">
        <v>0.94</v>
      </c>
      <c r="G341">
        <v>0.13</v>
      </c>
      <c r="H341">
        <v>0.92</v>
      </c>
      <c r="I341">
        <v>1.28</v>
      </c>
      <c r="J341">
        <v>0.92</v>
      </c>
      <c r="K341">
        <v>1.1599999999999999</v>
      </c>
      <c r="L341" t="s">
        <v>6</v>
      </c>
      <c r="M341" t="s">
        <v>73</v>
      </c>
    </row>
    <row r="342" spans="1:13" x14ac:dyDescent="0.45">
      <c r="A342" t="s">
        <v>5</v>
      </c>
      <c r="B342" t="s">
        <v>74</v>
      </c>
      <c r="C342">
        <v>2030</v>
      </c>
      <c r="D342">
        <v>15</v>
      </c>
      <c r="E342">
        <v>0.96</v>
      </c>
      <c r="F342">
        <v>0.93</v>
      </c>
      <c r="G342">
        <v>7.0000000000000007E-2</v>
      </c>
      <c r="H342">
        <v>0.9</v>
      </c>
      <c r="I342">
        <v>1.18</v>
      </c>
      <c r="J342">
        <v>0.91</v>
      </c>
      <c r="K342">
        <v>0.99</v>
      </c>
      <c r="L342" t="s">
        <v>6</v>
      </c>
      <c r="M342" t="s">
        <v>73</v>
      </c>
    </row>
    <row r="343" spans="1:13" x14ac:dyDescent="0.45">
      <c r="A343" t="s">
        <v>5</v>
      </c>
      <c r="B343" t="s">
        <v>74</v>
      </c>
      <c r="C343">
        <v>2035</v>
      </c>
      <c r="D343">
        <v>15</v>
      </c>
      <c r="E343">
        <v>1.1100000000000001</v>
      </c>
      <c r="F343">
        <v>0.94</v>
      </c>
      <c r="G343">
        <v>0.25</v>
      </c>
      <c r="H343">
        <v>0.9</v>
      </c>
      <c r="I343">
        <v>1.55</v>
      </c>
      <c r="J343">
        <v>0.92</v>
      </c>
      <c r="K343">
        <v>1.34</v>
      </c>
      <c r="L343" t="s">
        <v>6</v>
      </c>
      <c r="M343" t="s">
        <v>73</v>
      </c>
    </row>
    <row r="344" spans="1:13" x14ac:dyDescent="0.45">
      <c r="A344" t="s">
        <v>5</v>
      </c>
      <c r="B344" t="s">
        <v>74</v>
      </c>
      <c r="C344">
        <v>2040</v>
      </c>
      <c r="D344">
        <v>15</v>
      </c>
      <c r="E344">
        <v>1.22</v>
      </c>
      <c r="F344">
        <v>0.95</v>
      </c>
      <c r="G344">
        <v>0.43</v>
      </c>
      <c r="H344">
        <v>0.88</v>
      </c>
      <c r="I344">
        <v>2.17</v>
      </c>
      <c r="J344">
        <v>0.93</v>
      </c>
      <c r="K344">
        <v>1.48</v>
      </c>
      <c r="L344" t="s">
        <v>6</v>
      </c>
      <c r="M344" t="s">
        <v>73</v>
      </c>
    </row>
    <row r="345" spans="1:13" x14ac:dyDescent="0.45">
      <c r="A345" t="s">
        <v>5</v>
      </c>
      <c r="B345" t="s">
        <v>74</v>
      </c>
      <c r="C345">
        <v>2045</v>
      </c>
      <c r="D345">
        <v>15</v>
      </c>
      <c r="E345">
        <v>1.43</v>
      </c>
      <c r="F345">
        <v>0.99</v>
      </c>
      <c r="G345">
        <v>0.67</v>
      </c>
      <c r="H345">
        <v>0.9</v>
      </c>
      <c r="I345">
        <v>2.77</v>
      </c>
      <c r="J345">
        <v>0.95</v>
      </c>
      <c r="K345">
        <v>1.81</v>
      </c>
      <c r="L345" t="s">
        <v>6</v>
      </c>
      <c r="M345" t="s">
        <v>73</v>
      </c>
    </row>
    <row r="346" spans="1:13" x14ac:dyDescent="0.45">
      <c r="A346" t="s">
        <v>5</v>
      </c>
      <c r="B346" t="s">
        <v>74</v>
      </c>
      <c r="C346">
        <v>2050</v>
      </c>
      <c r="D346">
        <v>15</v>
      </c>
      <c r="E346">
        <v>1.7</v>
      </c>
      <c r="F346">
        <v>1.04</v>
      </c>
      <c r="G346">
        <v>0.97</v>
      </c>
      <c r="H346">
        <v>0.95</v>
      </c>
      <c r="I346">
        <v>3.56</v>
      </c>
      <c r="J346">
        <v>1</v>
      </c>
      <c r="K346">
        <v>2.2799999999999998</v>
      </c>
      <c r="L346" t="s">
        <v>6</v>
      </c>
      <c r="M346" t="s">
        <v>73</v>
      </c>
    </row>
    <row r="347" spans="1:13" x14ac:dyDescent="0.45">
      <c r="A347" t="s">
        <v>7</v>
      </c>
      <c r="B347" t="s">
        <v>74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74</v>
      </c>
      <c r="C348">
        <v>2025</v>
      </c>
      <c r="D348">
        <v>8</v>
      </c>
      <c r="E348">
        <v>1.22</v>
      </c>
      <c r="F348">
        <v>1.22</v>
      </c>
      <c r="G348">
        <v>7.0000000000000007E-2</v>
      </c>
      <c r="H348">
        <v>1.1399999999999999</v>
      </c>
      <c r="I348">
        <v>1.28</v>
      </c>
      <c r="J348">
        <v>1.1499999999999999</v>
      </c>
      <c r="K348">
        <v>1.28</v>
      </c>
      <c r="L348" t="s">
        <v>8</v>
      </c>
      <c r="M348" t="s">
        <v>73</v>
      </c>
    </row>
    <row r="349" spans="1:13" x14ac:dyDescent="0.45">
      <c r="A349" t="s">
        <v>7</v>
      </c>
      <c r="B349" t="s">
        <v>74</v>
      </c>
      <c r="C349">
        <v>2030</v>
      </c>
      <c r="D349">
        <v>8</v>
      </c>
      <c r="E349">
        <v>1</v>
      </c>
      <c r="F349">
        <v>1.01</v>
      </c>
      <c r="G349">
        <v>0.04</v>
      </c>
      <c r="H349">
        <v>0.94</v>
      </c>
      <c r="I349">
        <v>1.03</v>
      </c>
      <c r="J349">
        <v>0.96</v>
      </c>
      <c r="K349">
        <v>1.03</v>
      </c>
      <c r="L349" t="s">
        <v>8</v>
      </c>
      <c r="M349" t="s">
        <v>73</v>
      </c>
    </row>
    <row r="350" spans="1:13" x14ac:dyDescent="0.45">
      <c r="A350" t="s">
        <v>7</v>
      </c>
      <c r="B350" t="s">
        <v>74</v>
      </c>
      <c r="C350">
        <v>2035</v>
      </c>
      <c r="D350">
        <v>8</v>
      </c>
      <c r="E350">
        <v>1.1299999999999999</v>
      </c>
      <c r="F350">
        <v>1.1200000000000001</v>
      </c>
      <c r="G350">
        <v>7.0000000000000007E-2</v>
      </c>
      <c r="H350">
        <v>1.04</v>
      </c>
      <c r="I350">
        <v>1.25</v>
      </c>
      <c r="J350">
        <v>1.08</v>
      </c>
      <c r="K350">
        <v>1.17</v>
      </c>
      <c r="L350" t="s">
        <v>8</v>
      </c>
      <c r="M350" t="s">
        <v>73</v>
      </c>
    </row>
    <row r="351" spans="1:13" x14ac:dyDescent="0.45">
      <c r="A351" t="s">
        <v>7</v>
      </c>
      <c r="B351" t="s">
        <v>74</v>
      </c>
      <c r="C351">
        <v>2040</v>
      </c>
      <c r="D351">
        <v>8</v>
      </c>
      <c r="E351">
        <v>1.1000000000000001</v>
      </c>
      <c r="F351">
        <v>1.06</v>
      </c>
      <c r="G351">
        <v>0.09</v>
      </c>
      <c r="H351">
        <v>1.01</v>
      </c>
      <c r="I351">
        <v>1.28</v>
      </c>
      <c r="J351">
        <v>1.05</v>
      </c>
      <c r="K351">
        <v>1.1200000000000001</v>
      </c>
      <c r="L351" t="s">
        <v>8</v>
      </c>
      <c r="M351" t="s">
        <v>73</v>
      </c>
    </row>
    <row r="352" spans="1:13" x14ac:dyDescent="0.45">
      <c r="A352" t="s">
        <v>7</v>
      </c>
      <c r="B352" t="s">
        <v>74</v>
      </c>
      <c r="C352">
        <v>2045</v>
      </c>
      <c r="D352">
        <v>8</v>
      </c>
      <c r="E352">
        <v>1.21</v>
      </c>
      <c r="F352">
        <v>1.22</v>
      </c>
      <c r="G352">
        <v>0.13</v>
      </c>
      <c r="H352">
        <v>1.01</v>
      </c>
      <c r="I352">
        <v>1.38</v>
      </c>
      <c r="J352">
        <v>1.1299999999999999</v>
      </c>
      <c r="K352">
        <v>1.3</v>
      </c>
      <c r="L352" t="s">
        <v>8</v>
      </c>
      <c r="M352" t="s">
        <v>73</v>
      </c>
    </row>
    <row r="353" spans="1:13" x14ac:dyDescent="0.45">
      <c r="A353" t="s">
        <v>7</v>
      </c>
      <c r="B353" t="s">
        <v>74</v>
      </c>
      <c r="C353">
        <v>2050</v>
      </c>
      <c r="D353">
        <v>8</v>
      </c>
      <c r="E353">
        <v>1.55</v>
      </c>
      <c r="F353">
        <v>1.5</v>
      </c>
      <c r="G353">
        <v>0.2</v>
      </c>
      <c r="H353">
        <v>1.31</v>
      </c>
      <c r="I353">
        <v>1.89</v>
      </c>
      <c r="J353">
        <v>1.42</v>
      </c>
      <c r="K353">
        <v>1.66</v>
      </c>
      <c r="L353" t="s">
        <v>8</v>
      </c>
      <c r="M353" t="s">
        <v>73</v>
      </c>
    </row>
    <row r="354" spans="1:13" x14ac:dyDescent="0.45">
      <c r="A354" t="s">
        <v>9</v>
      </c>
      <c r="B354" t="s">
        <v>74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74</v>
      </c>
      <c r="C355">
        <v>2025</v>
      </c>
      <c r="D355">
        <v>7</v>
      </c>
      <c r="E355">
        <v>1.07</v>
      </c>
      <c r="F355">
        <v>1.01</v>
      </c>
      <c r="G355">
        <v>0.11</v>
      </c>
      <c r="H355">
        <v>1.01</v>
      </c>
      <c r="I355">
        <v>1.28</v>
      </c>
      <c r="J355">
        <v>1.01</v>
      </c>
      <c r="K355">
        <v>1.08</v>
      </c>
      <c r="L355" t="s">
        <v>10</v>
      </c>
      <c r="M355" t="s">
        <v>73</v>
      </c>
    </row>
    <row r="356" spans="1:13" x14ac:dyDescent="0.45">
      <c r="A356" t="s">
        <v>9</v>
      </c>
      <c r="B356" t="s">
        <v>74</v>
      </c>
      <c r="C356">
        <v>2030</v>
      </c>
      <c r="D356">
        <v>7</v>
      </c>
      <c r="E356">
        <v>0.99</v>
      </c>
      <c r="F356">
        <v>0.99</v>
      </c>
      <c r="G356">
        <v>0.05</v>
      </c>
      <c r="H356">
        <v>0.89</v>
      </c>
      <c r="I356">
        <v>1.05</v>
      </c>
      <c r="J356">
        <v>0.98</v>
      </c>
      <c r="K356">
        <v>1.01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74</v>
      </c>
      <c r="C357">
        <v>2035</v>
      </c>
      <c r="D357">
        <v>7</v>
      </c>
      <c r="E357">
        <v>0.96</v>
      </c>
      <c r="F357">
        <v>0.97</v>
      </c>
      <c r="G357">
        <v>0.11</v>
      </c>
      <c r="H357">
        <v>0.74</v>
      </c>
      <c r="I357">
        <v>1.1000000000000001</v>
      </c>
      <c r="J357">
        <v>0.95</v>
      </c>
      <c r="K357">
        <v>1</v>
      </c>
      <c r="L357" t="s">
        <v>10</v>
      </c>
      <c r="M357" t="s">
        <v>73</v>
      </c>
    </row>
    <row r="358" spans="1:13" x14ac:dyDescent="0.45">
      <c r="A358" t="s">
        <v>9</v>
      </c>
      <c r="B358" t="s">
        <v>74</v>
      </c>
      <c r="C358">
        <v>2040</v>
      </c>
      <c r="D358">
        <v>7</v>
      </c>
      <c r="E358">
        <v>0.89</v>
      </c>
      <c r="F358">
        <v>0.92</v>
      </c>
      <c r="G358">
        <v>0.12</v>
      </c>
      <c r="H358">
        <v>0.63</v>
      </c>
      <c r="I358">
        <v>0.98</v>
      </c>
      <c r="J358">
        <v>0.9</v>
      </c>
      <c r="K358">
        <v>0.97</v>
      </c>
      <c r="L358" t="s">
        <v>10</v>
      </c>
      <c r="M358" t="s">
        <v>73</v>
      </c>
    </row>
    <row r="359" spans="1:13" x14ac:dyDescent="0.45">
      <c r="A359" t="s">
        <v>9</v>
      </c>
      <c r="B359" t="s">
        <v>74</v>
      </c>
      <c r="C359">
        <v>2045</v>
      </c>
      <c r="D359">
        <v>7</v>
      </c>
      <c r="E359">
        <v>0.93</v>
      </c>
      <c r="F359">
        <v>0.95</v>
      </c>
      <c r="G359">
        <v>0.1</v>
      </c>
      <c r="H359">
        <v>0.77</v>
      </c>
      <c r="I359">
        <v>1.05</v>
      </c>
      <c r="J359">
        <v>0.86</v>
      </c>
      <c r="K359">
        <v>1.01</v>
      </c>
      <c r="L359" t="s">
        <v>10</v>
      </c>
      <c r="M359" t="s">
        <v>73</v>
      </c>
    </row>
    <row r="360" spans="1:13" x14ac:dyDescent="0.45">
      <c r="A360" t="s">
        <v>9</v>
      </c>
      <c r="B360" t="s">
        <v>74</v>
      </c>
      <c r="C360">
        <v>2050</v>
      </c>
      <c r="D360">
        <v>7</v>
      </c>
      <c r="E360">
        <v>1</v>
      </c>
      <c r="F360">
        <v>1.02</v>
      </c>
      <c r="G360">
        <v>0.15</v>
      </c>
      <c r="H360">
        <v>0.83</v>
      </c>
      <c r="I360">
        <v>1.21</v>
      </c>
      <c r="J360">
        <v>0.86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3" x14ac:dyDescent="0.45">
      <c r="A10" t="str">
        <f>IFERROR(Veda!D5,"ts_12t")</f>
        <v>ts_annual</v>
      </c>
      <c r="B10" s="15"/>
      <c r="C10" s="15" t="s">
        <v>281</v>
      </c>
      <c r="D10" t="s">
        <v>126</v>
      </c>
      <c r="F10" t="s">
        <v>281</v>
      </c>
      <c r="G10" t="s">
        <v>128</v>
      </c>
      <c r="I10" t="s">
        <v>281</v>
      </c>
      <c r="J10" t="s">
        <v>108</v>
      </c>
      <c r="L10" t="s">
        <v>281</v>
      </c>
      <c r="M10" t="s">
        <v>133</v>
      </c>
    </row>
    <row r="11" spans="1:13" x14ac:dyDescent="0.45">
      <c r="B11" s="15"/>
      <c r="C11" s="15" t="s">
        <v>282</v>
      </c>
      <c r="D11" t="s">
        <v>283</v>
      </c>
      <c r="F11" t="s">
        <v>282</v>
      </c>
      <c r="G11" t="s">
        <v>327</v>
      </c>
      <c r="I11" t="s">
        <v>282</v>
      </c>
      <c r="J11" t="s">
        <v>331</v>
      </c>
      <c r="L11" t="s">
        <v>282</v>
      </c>
      <c r="M11" t="s">
        <v>350</v>
      </c>
    </row>
    <row r="12" spans="1:13" x14ac:dyDescent="0.45">
      <c r="B12" s="15"/>
      <c r="C12" s="15" t="s">
        <v>284</v>
      </c>
      <c r="D12" t="s">
        <v>285</v>
      </c>
      <c r="F12" t="s">
        <v>284</v>
      </c>
      <c r="G12" t="s">
        <v>328</v>
      </c>
      <c r="I12" t="s">
        <v>284</v>
      </c>
      <c r="J12" t="s">
        <v>331</v>
      </c>
      <c r="L12" t="s">
        <v>284</v>
      </c>
      <c r="M12" t="s">
        <v>351</v>
      </c>
    </row>
    <row r="17" spans="3:13" x14ac:dyDescent="0.45">
      <c r="I17" s="12">
        <v>0.75</v>
      </c>
      <c r="K17" s="2" t="s">
        <v>86</v>
      </c>
    </row>
    <row r="18" spans="3:13" ht="17.649999999999999" thickBot="1" x14ac:dyDescent="0.6">
      <c r="C18" s="13" t="s">
        <v>87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88</v>
      </c>
      <c r="D22" s="14" t="s">
        <v>89</v>
      </c>
      <c r="E22" s="14" t="s">
        <v>90</v>
      </c>
      <c r="F22" s="14" t="s">
        <v>91</v>
      </c>
      <c r="G22" s="14" t="s">
        <v>92</v>
      </c>
      <c r="H22" s="14" t="s">
        <v>93</v>
      </c>
      <c r="I22" s="14" t="s">
        <v>94</v>
      </c>
      <c r="J22" s="14" t="s">
        <v>95</v>
      </c>
      <c r="K22" s="14" t="s">
        <v>96</v>
      </c>
    </row>
    <row r="23" spans="3:13" x14ac:dyDescent="0.45">
      <c r="C23" t="s">
        <v>97</v>
      </c>
      <c r="D23" t="s">
        <v>98</v>
      </c>
      <c r="E23" t="str">
        <f>G23</f>
        <v>AuxStoIN</v>
      </c>
      <c r="F23" t="s">
        <v>99</v>
      </c>
      <c r="G23" t="s">
        <v>100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101</v>
      </c>
    </row>
    <row r="24" spans="3:13" x14ac:dyDescent="0.45">
      <c r="D24" t="s">
        <v>98</v>
      </c>
      <c r="E24" t="str">
        <f>G24</f>
        <v>AuxStoIN</v>
      </c>
      <c r="F24" t="s">
        <v>99</v>
      </c>
      <c r="G24" t="s">
        <v>100</v>
      </c>
      <c r="H24" t="str">
        <f>HLOOKUP($A$10,$D$10:$CU$12,2,FALSE)</f>
        <v>AllSaAllH</v>
      </c>
      <c r="I24">
        <f>-$I$17</f>
        <v>-0.75</v>
      </c>
      <c r="M24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39C5-64A9-4C64-A1FD-32426EF94DFB}">
  <dimension ref="A9:AN53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123</v>
      </c>
      <c r="K10" t="s">
        <v>160</v>
      </c>
      <c r="L10" t="s">
        <v>30</v>
      </c>
      <c r="N10" t="s">
        <v>13</v>
      </c>
      <c r="O10" t="s">
        <v>123</v>
      </c>
      <c r="P10" t="s">
        <v>160</v>
      </c>
      <c r="Q10" t="s">
        <v>30</v>
      </c>
      <c r="S10" t="s">
        <v>13</v>
      </c>
      <c r="T10" t="s">
        <v>123</v>
      </c>
      <c r="U10" t="s">
        <v>160</v>
      </c>
      <c r="V10" t="s">
        <v>30</v>
      </c>
      <c r="X10" t="s">
        <v>280</v>
      </c>
      <c r="Y10" t="s">
        <v>160</v>
      </c>
      <c r="Z10" t="s">
        <v>123</v>
      </c>
      <c r="AA10" t="s">
        <v>13</v>
      </c>
      <c r="AC10" t="s">
        <v>13</v>
      </c>
      <c r="AD10" t="s">
        <v>123</v>
      </c>
      <c r="AE10" t="s">
        <v>160</v>
      </c>
      <c r="AG10" t="s">
        <v>13</v>
      </c>
      <c r="AH10" t="s">
        <v>123</v>
      </c>
      <c r="AI10" t="s">
        <v>286</v>
      </c>
      <c r="AK10" t="s">
        <v>47</v>
      </c>
      <c r="AL10" t="s">
        <v>123</v>
      </c>
      <c r="AM10" t="s">
        <v>287</v>
      </c>
      <c r="AN10" t="s">
        <v>288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154</v>
      </c>
      <c r="G11" t="s">
        <v>152</v>
      </c>
      <c r="I11" t="s">
        <v>161</v>
      </c>
      <c r="J11" t="s">
        <v>162</v>
      </c>
      <c r="K11">
        <v>1.3401002083383616E-2</v>
      </c>
      <c r="L11" t="s">
        <v>163</v>
      </c>
      <c r="N11" t="s">
        <v>205</v>
      </c>
      <c r="O11" t="s">
        <v>162</v>
      </c>
      <c r="P11">
        <v>0.11606976862334042</v>
      </c>
      <c r="Q11" t="s">
        <v>163</v>
      </c>
      <c r="S11" t="s">
        <v>236</v>
      </c>
      <c r="T11" t="s">
        <v>162</v>
      </c>
      <c r="U11">
        <v>0.11585268519952914</v>
      </c>
      <c r="V11" t="s">
        <v>163</v>
      </c>
      <c r="X11">
        <v>0.1095890410958904</v>
      </c>
      <c r="Y11">
        <v>6.0741366879645972E-2</v>
      </c>
      <c r="Z11" t="s">
        <v>162</v>
      </c>
      <c r="AA11" t="s">
        <v>25</v>
      </c>
      <c r="AC11" t="s">
        <v>22</v>
      </c>
      <c r="AD11" t="s">
        <v>162</v>
      </c>
      <c r="AE11">
        <v>0.12841636406893181</v>
      </c>
      <c r="AG11" t="s">
        <v>98</v>
      </c>
      <c r="AH11" t="s">
        <v>162</v>
      </c>
      <c r="AI11">
        <v>0.15936808958089044</v>
      </c>
      <c r="AK11">
        <v>2020</v>
      </c>
      <c r="AL11" t="s">
        <v>151</v>
      </c>
      <c r="AM11">
        <v>0.29868523354237164</v>
      </c>
      <c r="AN11" t="s">
        <v>289</v>
      </c>
    </row>
    <row r="12" spans="1:40" x14ac:dyDescent="0.45">
      <c r="C12" t="s">
        <v>155</v>
      </c>
      <c r="E12" t="s">
        <v>156</v>
      </c>
      <c r="G12" t="s">
        <v>152</v>
      </c>
      <c r="I12" t="s">
        <v>161</v>
      </c>
      <c r="J12" t="s">
        <v>164</v>
      </c>
      <c r="K12">
        <v>0.31726390861822645</v>
      </c>
      <c r="L12" t="s">
        <v>163</v>
      </c>
      <c r="N12" t="s">
        <v>205</v>
      </c>
      <c r="O12" t="s">
        <v>164</v>
      </c>
      <c r="P12">
        <v>0.14106047592266494</v>
      </c>
      <c r="Q12" t="s">
        <v>163</v>
      </c>
      <c r="S12" t="s">
        <v>236</v>
      </c>
      <c r="T12" t="s">
        <v>164</v>
      </c>
      <c r="U12">
        <v>0.13529965641061606</v>
      </c>
      <c r="V12" t="s">
        <v>163</v>
      </c>
      <c r="X12">
        <v>0.13698630136986301</v>
      </c>
      <c r="Y12">
        <v>0.19562936628297245</v>
      </c>
      <c r="Z12" t="s">
        <v>164</v>
      </c>
      <c r="AA12" t="s">
        <v>25</v>
      </c>
      <c r="AC12" t="s">
        <v>22</v>
      </c>
      <c r="AD12" t="s">
        <v>164</v>
      </c>
      <c r="AE12">
        <v>0.14175026596922305</v>
      </c>
      <c r="AG12" t="s">
        <v>98</v>
      </c>
      <c r="AH12" t="s">
        <v>164</v>
      </c>
      <c r="AI12">
        <v>0.29257353651703322</v>
      </c>
      <c r="AK12">
        <v>2020</v>
      </c>
      <c r="AL12" t="s">
        <v>155</v>
      </c>
      <c r="AM12">
        <v>0.36444123468678119</v>
      </c>
      <c r="AN12" t="s">
        <v>289</v>
      </c>
    </row>
    <row r="13" spans="1:40" x14ac:dyDescent="0.45">
      <c r="C13" t="s">
        <v>157</v>
      </c>
      <c r="E13" t="s">
        <v>158</v>
      </c>
      <c r="G13" t="s">
        <v>152</v>
      </c>
      <c r="I13" t="s">
        <v>161</v>
      </c>
      <c r="J13" t="s">
        <v>165</v>
      </c>
      <c r="K13">
        <v>4.905027176583838E-3</v>
      </c>
      <c r="L13" t="s">
        <v>163</v>
      </c>
      <c r="N13" t="s">
        <v>205</v>
      </c>
      <c r="O13" t="s">
        <v>165</v>
      </c>
      <c r="P13">
        <v>9.0008587257534786E-2</v>
      </c>
      <c r="Q13" t="s">
        <v>163</v>
      </c>
      <c r="S13" t="s">
        <v>236</v>
      </c>
      <c r="T13" t="s">
        <v>165</v>
      </c>
      <c r="U13">
        <v>8.5964069769460361E-2</v>
      </c>
      <c r="V13" t="s">
        <v>163</v>
      </c>
      <c r="X13">
        <v>8.2191780821917804E-2</v>
      </c>
      <c r="Y13">
        <v>7.2396390125052834E-2</v>
      </c>
      <c r="Z13" t="s">
        <v>165</v>
      </c>
      <c r="AA13" t="s">
        <v>25</v>
      </c>
      <c r="AC13" t="s">
        <v>22</v>
      </c>
      <c r="AD13" t="s">
        <v>165</v>
      </c>
      <c r="AE13">
        <v>7.3077280769809363E-2</v>
      </c>
      <c r="AG13" t="s">
        <v>98</v>
      </c>
      <c r="AH13" t="s">
        <v>165</v>
      </c>
      <c r="AI13">
        <v>0.307676466854373</v>
      </c>
      <c r="AK13">
        <v>2020</v>
      </c>
      <c r="AL13" t="s">
        <v>157</v>
      </c>
      <c r="AM13">
        <v>0.37609571191660751</v>
      </c>
      <c r="AN13" t="s">
        <v>289</v>
      </c>
    </row>
    <row r="14" spans="1:40" x14ac:dyDescent="0.45">
      <c r="C14" t="s">
        <v>159</v>
      </c>
      <c r="I14" t="s">
        <v>161</v>
      </c>
      <c r="J14" t="s">
        <v>166</v>
      </c>
      <c r="K14">
        <v>7.6791231947047163E-3</v>
      </c>
      <c r="L14" t="s">
        <v>163</v>
      </c>
      <c r="N14" t="s">
        <v>205</v>
      </c>
      <c r="O14" t="s">
        <v>166</v>
      </c>
      <c r="P14">
        <v>2.3027095593679506E-2</v>
      </c>
      <c r="Q14" t="s">
        <v>163</v>
      </c>
      <c r="S14" t="s">
        <v>236</v>
      </c>
      <c r="T14" t="s">
        <v>166</v>
      </c>
      <c r="U14">
        <v>1.581130785959179E-2</v>
      </c>
      <c r="V14" t="s">
        <v>163</v>
      </c>
      <c r="X14">
        <v>2.8310502283105023E-2</v>
      </c>
      <c r="Y14">
        <v>1.5691519777241876E-2</v>
      </c>
      <c r="Z14" t="s">
        <v>166</v>
      </c>
      <c r="AA14" t="s">
        <v>25</v>
      </c>
      <c r="AC14" t="s">
        <v>22</v>
      </c>
      <c r="AD14" t="s">
        <v>166</v>
      </c>
      <c r="AE14">
        <v>2.7083990584680272E-2</v>
      </c>
      <c r="AG14" t="s">
        <v>98</v>
      </c>
      <c r="AH14" t="s">
        <v>166</v>
      </c>
      <c r="AI14">
        <v>5.6460597841943461E-2</v>
      </c>
      <c r="AK14">
        <v>2020</v>
      </c>
      <c r="AL14" t="s">
        <v>159</v>
      </c>
      <c r="AM14">
        <v>0.28816172593254924</v>
      </c>
      <c r="AN14" t="s">
        <v>289</v>
      </c>
    </row>
    <row r="15" spans="1:40" x14ac:dyDescent="0.45">
      <c r="I15" t="s">
        <v>161</v>
      </c>
      <c r="J15" t="s">
        <v>167</v>
      </c>
      <c r="K15">
        <v>9.5838264575987098E-2</v>
      </c>
      <c r="L15" t="s">
        <v>163</v>
      </c>
      <c r="N15" t="s">
        <v>205</v>
      </c>
      <c r="O15" t="s">
        <v>167</v>
      </c>
      <c r="P15">
        <v>2.7987921294245842E-2</v>
      </c>
      <c r="Q15" t="s">
        <v>163</v>
      </c>
      <c r="S15" t="s">
        <v>236</v>
      </c>
      <c r="T15" t="s">
        <v>167</v>
      </c>
      <c r="U15">
        <v>1.8746225127761258E-2</v>
      </c>
      <c r="V15" t="s">
        <v>163</v>
      </c>
      <c r="X15">
        <v>3.5388127853881277E-2</v>
      </c>
      <c r="Y15">
        <v>5.0537586289767886E-2</v>
      </c>
      <c r="Z15" t="s">
        <v>167</v>
      </c>
      <c r="AA15" t="s">
        <v>25</v>
      </c>
      <c r="AC15" t="s">
        <v>22</v>
      </c>
      <c r="AD15" t="s">
        <v>167</v>
      </c>
      <c r="AE15">
        <v>2.971621568217293E-2</v>
      </c>
      <c r="AG15" t="s">
        <v>98</v>
      </c>
      <c r="AH15" t="s">
        <v>167</v>
      </c>
      <c r="AI15">
        <v>0.16380762993467757</v>
      </c>
      <c r="AK15">
        <v>2021</v>
      </c>
      <c r="AL15" t="s">
        <v>151</v>
      </c>
      <c r="AM15">
        <v>0.27589727322057683</v>
      </c>
      <c r="AN15" t="s">
        <v>289</v>
      </c>
    </row>
    <row r="16" spans="1:40" x14ac:dyDescent="0.45">
      <c r="I16" t="s">
        <v>161</v>
      </c>
      <c r="J16" t="s">
        <v>168</v>
      </c>
      <c r="K16">
        <v>5.4296006808759083E-3</v>
      </c>
      <c r="L16" t="s">
        <v>163</v>
      </c>
      <c r="N16" t="s">
        <v>205</v>
      </c>
      <c r="O16" t="s">
        <v>168</v>
      </c>
      <c r="P16">
        <v>1.5614740916021537E-2</v>
      </c>
      <c r="Q16" t="s">
        <v>163</v>
      </c>
      <c r="S16" t="s">
        <v>236</v>
      </c>
      <c r="T16" t="s">
        <v>168</v>
      </c>
      <c r="U16">
        <v>1.0654919632782011E-2</v>
      </c>
      <c r="V16" t="s">
        <v>163</v>
      </c>
      <c r="X16">
        <v>2.1232876712328767E-2</v>
      </c>
      <c r="Y16">
        <v>1.8702400782305319E-2</v>
      </c>
      <c r="Z16" t="s">
        <v>168</v>
      </c>
      <c r="AA16" t="s">
        <v>25</v>
      </c>
      <c r="AC16" t="s">
        <v>22</v>
      </c>
      <c r="AD16" t="s">
        <v>168</v>
      </c>
      <c r="AE16">
        <v>1.5226561317331992E-2</v>
      </c>
      <c r="AG16" t="s">
        <v>98</v>
      </c>
      <c r="AH16" t="s">
        <v>168</v>
      </c>
      <c r="AI16">
        <v>0.25315256683110765</v>
      </c>
      <c r="AK16">
        <v>2021</v>
      </c>
      <c r="AL16" t="s">
        <v>155</v>
      </c>
      <c r="AM16">
        <v>0.43846562850246529</v>
      </c>
      <c r="AN16" t="s">
        <v>289</v>
      </c>
    </row>
    <row r="17" spans="9:40" x14ac:dyDescent="0.45">
      <c r="I17" t="s">
        <v>161</v>
      </c>
      <c r="J17" t="s">
        <v>169</v>
      </c>
      <c r="K17">
        <v>8.8524329597473774E-3</v>
      </c>
      <c r="L17" t="s">
        <v>163</v>
      </c>
      <c r="N17" t="s">
        <v>205</v>
      </c>
      <c r="O17" t="s">
        <v>169</v>
      </c>
      <c r="P17">
        <v>2.6336283697253361E-2</v>
      </c>
      <c r="Q17" t="s">
        <v>163</v>
      </c>
      <c r="S17" t="s">
        <v>236</v>
      </c>
      <c r="T17" t="s">
        <v>169</v>
      </c>
      <c r="U17">
        <v>2.4124232392420907E-2</v>
      </c>
      <c r="V17" t="s">
        <v>163</v>
      </c>
      <c r="X17">
        <v>2.7397260273972601E-2</v>
      </c>
      <c r="Y17">
        <v>1.5185341719911493E-2</v>
      </c>
      <c r="Z17" t="s">
        <v>169</v>
      </c>
      <c r="AA17" t="s">
        <v>25</v>
      </c>
      <c r="AC17" t="s">
        <v>22</v>
      </c>
      <c r="AD17" t="s">
        <v>169</v>
      </c>
      <c r="AE17">
        <v>2.6923887820315157E-2</v>
      </c>
      <c r="AG17" t="s">
        <v>98</v>
      </c>
      <c r="AH17" t="s">
        <v>169</v>
      </c>
      <c r="AI17">
        <v>0.13543495153322604</v>
      </c>
      <c r="AK17">
        <v>2021</v>
      </c>
      <c r="AL17" t="s">
        <v>157</v>
      </c>
      <c r="AM17">
        <v>0.37452073204474479</v>
      </c>
      <c r="AN17" t="s">
        <v>289</v>
      </c>
    </row>
    <row r="18" spans="9:40" x14ac:dyDescent="0.45">
      <c r="I18" t="s">
        <v>161</v>
      </c>
      <c r="J18" t="s">
        <v>170</v>
      </c>
      <c r="K18">
        <v>0.10187426363949131</v>
      </c>
      <c r="L18" t="s">
        <v>163</v>
      </c>
      <c r="N18" t="s">
        <v>205</v>
      </c>
      <c r="O18" t="s">
        <v>170</v>
      </c>
      <c r="P18">
        <v>3.3522971748885445E-2</v>
      </c>
      <c r="Q18" t="s">
        <v>163</v>
      </c>
      <c r="S18" t="s">
        <v>236</v>
      </c>
      <c r="T18" t="s">
        <v>170</v>
      </c>
      <c r="U18">
        <v>2.5726134194312328E-2</v>
      </c>
      <c r="V18" t="s">
        <v>163</v>
      </c>
      <c r="X18">
        <v>3.4246575342465752E-2</v>
      </c>
      <c r="Y18">
        <v>4.8907341570743113E-2</v>
      </c>
      <c r="Z18" t="s">
        <v>170</v>
      </c>
      <c r="AA18" t="s">
        <v>25</v>
      </c>
      <c r="AC18" t="s">
        <v>22</v>
      </c>
      <c r="AD18" t="s">
        <v>170</v>
      </c>
      <c r="AE18">
        <v>2.9499693806432612E-2</v>
      </c>
      <c r="AG18" t="s">
        <v>98</v>
      </c>
      <c r="AH18" t="s">
        <v>170</v>
      </c>
      <c r="AI18">
        <v>0.20143941550185129</v>
      </c>
      <c r="AK18">
        <v>2021</v>
      </c>
      <c r="AL18" t="s">
        <v>159</v>
      </c>
      <c r="AM18">
        <v>0.29456304745778122</v>
      </c>
      <c r="AN18" t="s">
        <v>289</v>
      </c>
    </row>
    <row r="19" spans="9:40" x14ac:dyDescent="0.45">
      <c r="I19" t="s">
        <v>161</v>
      </c>
      <c r="J19" t="s">
        <v>171</v>
      </c>
      <c r="K19">
        <v>7.1496326129383073E-3</v>
      </c>
      <c r="L19" t="s">
        <v>163</v>
      </c>
      <c r="N19" t="s">
        <v>205</v>
      </c>
      <c r="O19" t="s">
        <v>171</v>
      </c>
      <c r="P19">
        <v>1.9491483167942525E-2</v>
      </c>
      <c r="Q19" t="s">
        <v>163</v>
      </c>
      <c r="S19" t="s">
        <v>236</v>
      </c>
      <c r="T19" t="s">
        <v>171</v>
      </c>
      <c r="U19">
        <v>1.4766197726699822E-2</v>
      </c>
      <c r="V19" t="s">
        <v>163</v>
      </c>
      <c r="X19">
        <v>2.0547945205479451E-2</v>
      </c>
      <c r="Y19">
        <v>1.8099097531263209E-2</v>
      </c>
      <c r="Z19" t="s">
        <v>171</v>
      </c>
      <c r="AA19" t="s">
        <v>25</v>
      </c>
      <c r="AC19" t="s">
        <v>22</v>
      </c>
      <c r="AD19" t="s">
        <v>171</v>
      </c>
      <c r="AE19">
        <v>1.5597357286836592E-2</v>
      </c>
      <c r="AG19" t="s">
        <v>98</v>
      </c>
      <c r="AH19" t="s">
        <v>171</v>
      </c>
      <c r="AI19">
        <v>0.23793675987735519</v>
      </c>
      <c r="AK19">
        <v>2022</v>
      </c>
      <c r="AL19" t="s">
        <v>151</v>
      </c>
      <c r="AM19">
        <v>0.25022878059940518</v>
      </c>
      <c r="AN19" t="s">
        <v>289</v>
      </c>
    </row>
    <row r="20" spans="9:40" x14ac:dyDescent="0.45">
      <c r="I20" t="s">
        <v>161</v>
      </c>
      <c r="J20" t="s">
        <v>172</v>
      </c>
      <c r="K20">
        <v>2.0875716956058037E-2</v>
      </c>
      <c r="L20" t="s">
        <v>163</v>
      </c>
      <c r="N20" t="s">
        <v>205</v>
      </c>
      <c r="O20" t="s">
        <v>172</v>
      </c>
      <c r="P20">
        <v>0.17212552920221116</v>
      </c>
      <c r="Q20" t="s">
        <v>163</v>
      </c>
      <c r="S20" t="s">
        <v>236</v>
      </c>
      <c r="T20" t="s">
        <v>172</v>
      </c>
      <c r="U20">
        <v>0.18345878704186183</v>
      </c>
      <c r="V20" t="s">
        <v>163</v>
      </c>
      <c r="X20">
        <v>0.16803652968036531</v>
      </c>
      <c r="Y20">
        <v>9.3136762548790497E-2</v>
      </c>
      <c r="Z20" t="s">
        <v>172</v>
      </c>
      <c r="AA20" t="s">
        <v>25</v>
      </c>
      <c r="AC20" t="s">
        <v>22</v>
      </c>
      <c r="AD20" t="s">
        <v>172</v>
      </c>
      <c r="AE20">
        <v>0.19649910142883095</v>
      </c>
      <c r="AG20" t="s">
        <v>98</v>
      </c>
      <c r="AH20" t="s">
        <v>172</v>
      </c>
      <c r="AI20">
        <v>0.31583034950807565</v>
      </c>
      <c r="AK20">
        <v>2022</v>
      </c>
      <c r="AL20" t="s">
        <v>155</v>
      </c>
      <c r="AM20">
        <v>0.39226340273011517</v>
      </c>
      <c r="AN20" t="s">
        <v>289</v>
      </c>
    </row>
    <row r="21" spans="9:40" x14ac:dyDescent="0.45">
      <c r="I21" t="s">
        <v>161</v>
      </c>
      <c r="J21" t="s">
        <v>173</v>
      </c>
      <c r="K21">
        <v>0.40680179122966215</v>
      </c>
      <c r="L21" t="s">
        <v>163</v>
      </c>
      <c r="N21" t="s">
        <v>205</v>
      </c>
      <c r="O21" t="s">
        <v>173</v>
      </c>
      <c r="P21">
        <v>0.20890509023710585</v>
      </c>
      <c r="Q21" t="s">
        <v>163</v>
      </c>
      <c r="S21" t="s">
        <v>236</v>
      </c>
      <c r="T21" t="s">
        <v>173</v>
      </c>
      <c r="U21">
        <v>0.22779502309028515</v>
      </c>
      <c r="V21" t="s">
        <v>163</v>
      </c>
      <c r="X21">
        <v>0.21004566210045661</v>
      </c>
      <c r="Y21">
        <v>0.29996502830055777</v>
      </c>
      <c r="Z21" t="s">
        <v>173</v>
      </c>
      <c r="AA21" t="s">
        <v>25</v>
      </c>
      <c r="AC21" t="s">
        <v>22</v>
      </c>
      <c r="AD21" t="s">
        <v>173</v>
      </c>
      <c r="AE21">
        <v>0.20999348276477864</v>
      </c>
      <c r="AG21" t="s">
        <v>98</v>
      </c>
      <c r="AH21" t="s">
        <v>173</v>
      </c>
      <c r="AI21">
        <v>0.44597002675233655</v>
      </c>
      <c r="AK21">
        <v>2022</v>
      </c>
      <c r="AL21" t="s">
        <v>157</v>
      </c>
      <c r="AM21">
        <v>0.34672970843183609</v>
      </c>
      <c r="AN21" t="s">
        <v>289</v>
      </c>
    </row>
    <row r="22" spans="9:40" x14ac:dyDescent="0.45">
      <c r="I22" t="s">
        <v>161</v>
      </c>
      <c r="J22" t="s">
        <v>174</v>
      </c>
      <c r="K22">
        <v>9.9292362723408818E-3</v>
      </c>
      <c r="L22" t="s">
        <v>163</v>
      </c>
      <c r="N22" t="s">
        <v>205</v>
      </c>
      <c r="O22" t="s">
        <v>174</v>
      </c>
      <c r="P22">
        <v>0.12585005233911389</v>
      </c>
      <c r="Q22" t="s">
        <v>163</v>
      </c>
      <c r="S22" t="s">
        <v>236</v>
      </c>
      <c r="T22" t="s">
        <v>174</v>
      </c>
      <c r="U22">
        <v>0.14180076155467999</v>
      </c>
      <c r="V22" t="s">
        <v>163</v>
      </c>
      <c r="X22">
        <v>0.12602739726027398</v>
      </c>
      <c r="Y22">
        <v>0.11100779819174771</v>
      </c>
      <c r="Z22" t="s">
        <v>174</v>
      </c>
      <c r="AA22" t="s">
        <v>25</v>
      </c>
      <c r="AC22" t="s">
        <v>22</v>
      </c>
      <c r="AD22" t="s">
        <v>174</v>
      </c>
      <c r="AE22">
        <v>0.10621579850065661</v>
      </c>
      <c r="AG22" t="s">
        <v>98</v>
      </c>
      <c r="AH22" t="s">
        <v>174</v>
      </c>
      <c r="AI22">
        <v>0.38775680535583423</v>
      </c>
      <c r="AK22">
        <v>2022</v>
      </c>
      <c r="AL22" t="s">
        <v>159</v>
      </c>
      <c r="AM22">
        <v>0.27808758483947221</v>
      </c>
      <c r="AN22" t="s">
        <v>289</v>
      </c>
    </row>
    <row r="23" spans="9:40" x14ac:dyDescent="0.45">
      <c r="I23" t="s">
        <v>175</v>
      </c>
      <c r="J23" t="s">
        <v>162</v>
      </c>
      <c r="K23">
        <v>1.1836798790461182E-2</v>
      </c>
      <c r="L23" t="s">
        <v>163</v>
      </c>
      <c r="N23" t="s">
        <v>206</v>
      </c>
      <c r="O23" t="s">
        <v>162</v>
      </c>
      <c r="P23">
        <v>0.11526487573424331</v>
      </c>
      <c r="Q23" t="s">
        <v>163</v>
      </c>
      <c r="S23" t="s">
        <v>237</v>
      </c>
      <c r="T23" t="s">
        <v>162</v>
      </c>
      <c r="U23">
        <v>0.11618604335466125</v>
      </c>
      <c r="V23" t="s">
        <v>163</v>
      </c>
      <c r="AC23" t="s">
        <v>19</v>
      </c>
      <c r="AD23" t="s">
        <v>162</v>
      </c>
      <c r="AE23">
        <v>0.11053147844269595</v>
      </c>
      <c r="AK23">
        <v>2025</v>
      </c>
      <c r="AL23" t="s">
        <v>151</v>
      </c>
      <c r="AM23">
        <v>0.22512500000000002</v>
      </c>
      <c r="AN23" t="s">
        <v>289</v>
      </c>
    </row>
    <row r="24" spans="9:40" x14ac:dyDescent="0.45">
      <c r="I24" t="s">
        <v>175</v>
      </c>
      <c r="J24" t="s">
        <v>164</v>
      </c>
      <c r="K24">
        <v>0.31846235606500506</v>
      </c>
      <c r="L24" t="s">
        <v>163</v>
      </c>
      <c r="N24" t="s">
        <v>206</v>
      </c>
      <c r="O24" t="s">
        <v>164</v>
      </c>
      <c r="P24">
        <v>0.14055994038542255</v>
      </c>
      <c r="Q24" t="s">
        <v>163</v>
      </c>
      <c r="S24" t="s">
        <v>237</v>
      </c>
      <c r="T24" t="s">
        <v>164</v>
      </c>
      <c r="U24">
        <v>0.13575952398076252</v>
      </c>
      <c r="V24" t="s">
        <v>163</v>
      </c>
      <c r="AC24" t="s">
        <v>19</v>
      </c>
      <c r="AD24" t="s">
        <v>164</v>
      </c>
      <c r="AE24">
        <v>0.13694167116054451</v>
      </c>
      <c r="AK24">
        <v>2025</v>
      </c>
      <c r="AL24" t="s">
        <v>155</v>
      </c>
      <c r="AM24">
        <v>0.31769999999999998</v>
      </c>
      <c r="AN24" t="s">
        <v>289</v>
      </c>
    </row>
    <row r="25" spans="9:40" x14ac:dyDescent="0.45">
      <c r="I25" t="s">
        <v>175</v>
      </c>
      <c r="J25" t="s">
        <v>165</v>
      </c>
      <c r="K25">
        <v>5.2607766483798507E-3</v>
      </c>
      <c r="L25" t="s">
        <v>163</v>
      </c>
      <c r="N25" t="s">
        <v>206</v>
      </c>
      <c r="O25" t="s">
        <v>165</v>
      </c>
      <c r="P25">
        <v>8.8211004663403508E-2</v>
      </c>
      <c r="Q25" t="s">
        <v>163</v>
      </c>
      <c r="S25" t="s">
        <v>237</v>
      </c>
      <c r="T25" t="s">
        <v>165</v>
      </c>
      <c r="U25">
        <v>8.382015076148995E-2</v>
      </c>
      <c r="V25" t="s">
        <v>163</v>
      </c>
      <c r="AC25" t="s">
        <v>19</v>
      </c>
      <c r="AD25" t="s">
        <v>165</v>
      </c>
      <c r="AE25">
        <v>8.1385097807116932E-2</v>
      </c>
      <c r="AK25">
        <v>2025</v>
      </c>
      <c r="AL25" t="s">
        <v>157</v>
      </c>
      <c r="AM25">
        <v>0.2923</v>
      </c>
      <c r="AN25" t="s">
        <v>289</v>
      </c>
    </row>
    <row r="26" spans="9:40" x14ac:dyDescent="0.45">
      <c r="I26" t="s">
        <v>175</v>
      </c>
      <c r="J26" t="s">
        <v>166</v>
      </c>
      <c r="K26">
        <v>6.9992589556046505E-3</v>
      </c>
      <c r="L26" t="s">
        <v>163</v>
      </c>
      <c r="N26" t="s">
        <v>206</v>
      </c>
      <c r="O26" t="s">
        <v>166</v>
      </c>
      <c r="P26">
        <v>2.1660374841430144E-2</v>
      </c>
      <c r="Q26" t="s">
        <v>163</v>
      </c>
      <c r="S26" t="s">
        <v>237</v>
      </c>
      <c r="T26" t="s">
        <v>166</v>
      </c>
      <c r="U26">
        <v>1.8207514613173971E-2</v>
      </c>
      <c r="V26" t="s">
        <v>163</v>
      </c>
      <c r="AC26" t="s">
        <v>19</v>
      </c>
      <c r="AD26" t="s">
        <v>166</v>
      </c>
      <c r="AE26">
        <v>2.8483733760586057E-2</v>
      </c>
      <c r="AK26">
        <v>2025</v>
      </c>
      <c r="AL26" t="s">
        <v>159</v>
      </c>
      <c r="AM26">
        <v>0.23573333333333335</v>
      </c>
      <c r="AN26" t="s">
        <v>289</v>
      </c>
    </row>
    <row r="27" spans="9:40" x14ac:dyDescent="0.45">
      <c r="I27" t="s">
        <v>175</v>
      </c>
      <c r="J27" t="s">
        <v>167</v>
      </c>
      <c r="K27">
        <v>9.5903822954795756E-2</v>
      </c>
      <c r="L27" t="s">
        <v>163</v>
      </c>
      <c r="N27" t="s">
        <v>206</v>
      </c>
      <c r="O27" t="s">
        <v>167</v>
      </c>
      <c r="P27">
        <v>2.9115948640828938E-2</v>
      </c>
      <c r="Q27" t="s">
        <v>163</v>
      </c>
      <c r="S27" t="s">
        <v>237</v>
      </c>
      <c r="T27" t="s">
        <v>167</v>
      </c>
      <c r="U27">
        <v>2.3851890377679874E-2</v>
      </c>
      <c r="V27" t="s">
        <v>163</v>
      </c>
      <c r="AC27" t="s">
        <v>19</v>
      </c>
      <c r="AD27" t="s">
        <v>167</v>
      </c>
      <c r="AE27">
        <v>3.5335070473262162E-2</v>
      </c>
      <c r="AK27">
        <v>2026</v>
      </c>
      <c r="AL27" t="s">
        <v>151</v>
      </c>
      <c r="AM27">
        <v>0.229875</v>
      </c>
      <c r="AN27" t="s">
        <v>289</v>
      </c>
    </row>
    <row r="28" spans="9:40" x14ac:dyDescent="0.45">
      <c r="I28" t="s">
        <v>175</v>
      </c>
      <c r="J28" t="s">
        <v>168</v>
      </c>
      <c r="K28">
        <v>5.5718106823463122E-3</v>
      </c>
      <c r="L28" t="s">
        <v>163</v>
      </c>
      <c r="N28" t="s">
        <v>206</v>
      </c>
      <c r="O28" t="s">
        <v>168</v>
      </c>
      <c r="P28">
        <v>1.5371888828131942E-2</v>
      </c>
      <c r="Q28" t="s">
        <v>163</v>
      </c>
      <c r="S28" t="s">
        <v>237</v>
      </c>
      <c r="T28" t="s">
        <v>168</v>
      </c>
      <c r="U28">
        <v>1.1963223117375438E-2</v>
      </c>
      <c r="V28" t="s">
        <v>163</v>
      </c>
      <c r="AC28" t="s">
        <v>19</v>
      </c>
      <c r="AD28" t="s">
        <v>168</v>
      </c>
      <c r="AE28">
        <v>2.1031473748746237E-2</v>
      </c>
      <c r="AK28">
        <v>2026</v>
      </c>
      <c r="AL28" t="s">
        <v>155</v>
      </c>
      <c r="AM28">
        <v>0.30680000000000002</v>
      </c>
      <c r="AN28" t="s">
        <v>289</v>
      </c>
    </row>
    <row r="29" spans="9:40" x14ac:dyDescent="0.45">
      <c r="I29" t="s">
        <v>175</v>
      </c>
      <c r="J29" t="s">
        <v>169</v>
      </c>
      <c r="K29">
        <v>1.0346770177540314E-2</v>
      </c>
      <c r="L29" t="s">
        <v>163</v>
      </c>
      <c r="N29" t="s">
        <v>206</v>
      </c>
      <c r="O29" t="s">
        <v>169</v>
      </c>
      <c r="P29">
        <v>2.8090577942685248E-2</v>
      </c>
      <c r="Q29" t="s">
        <v>163</v>
      </c>
      <c r="S29" t="s">
        <v>237</v>
      </c>
      <c r="T29" t="s">
        <v>169</v>
      </c>
      <c r="U29">
        <v>2.5153834106413149E-2</v>
      </c>
      <c r="V29" t="s">
        <v>163</v>
      </c>
      <c r="AC29" t="s">
        <v>19</v>
      </c>
      <c r="AD29" t="s">
        <v>169</v>
      </c>
      <c r="AE29">
        <v>2.7565925499970782E-2</v>
      </c>
      <c r="AK29">
        <v>2026</v>
      </c>
      <c r="AL29" t="s">
        <v>157</v>
      </c>
      <c r="AM29">
        <v>0.30399999999999999</v>
      </c>
      <c r="AN29" t="s">
        <v>289</v>
      </c>
    </row>
    <row r="30" spans="9:40" x14ac:dyDescent="0.45">
      <c r="I30" t="s">
        <v>175</v>
      </c>
      <c r="J30" t="s">
        <v>170</v>
      </c>
      <c r="K30">
        <v>0.10718307353191199</v>
      </c>
      <c r="L30" t="s">
        <v>163</v>
      </c>
      <c r="N30" t="s">
        <v>206</v>
      </c>
      <c r="O30" t="s">
        <v>170</v>
      </c>
      <c r="P30">
        <v>3.2472720128763316E-2</v>
      </c>
      <c r="Q30" t="s">
        <v>163</v>
      </c>
      <c r="S30" t="s">
        <v>237</v>
      </c>
      <c r="T30" t="s">
        <v>170</v>
      </c>
      <c r="U30">
        <v>2.7209519591010468E-2</v>
      </c>
      <c r="V30" t="s">
        <v>163</v>
      </c>
      <c r="AC30" t="s">
        <v>19</v>
      </c>
      <c r="AD30" t="s">
        <v>170</v>
      </c>
      <c r="AE30">
        <v>3.4186742291647261E-2</v>
      </c>
      <c r="AK30">
        <v>2026</v>
      </c>
      <c r="AL30" t="s">
        <v>159</v>
      </c>
      <c r="AM30">
        <v>0.23053333333333334</v>
      </c>
      <c r="AN30" t="s">
        <v>289</v>
      </c>
    </row>
    <row r="31" spans="9:40" x14ac:dyDescent="0.45">
      <c r="I31" t="s">
        <v>175</v>
      </c>
      <c r="J31" t="s">
        <v>171</v>
      </c>
      <c r="K31">
        <v>8.1048212086722495E-3</v>
      </c>
      <c r="L31" t="s">
        <v>163</v>
      </c>
      <c r="N31" t="s">
        <v>206</v>
      </c>
      <c r="O31" t="s">
        <v>171</v>
      </c>
      <c r="P31">
        <v>1.8655205867658571E-2</v>
      </c>
      <c r="Q31" t="s">
        <v>163</v>
      </c>
      <c r="S31" t="s">
        <v>237</v>
      </c>
      <c r="T31" t="s">
        <v>171</v>
      </c>
      <c r="U31">
        <v>1.4690839584638918E-2</v>
      </c>
      <c r="V31" t="s">
        <v>163</v>
      </c>
      <c r="AC31" t="s">
        <v>19</v>
      </c>
      <c r="AD31" t="s">
        <v>171</v>
      </c>
      <c r="AE31">
        <v>2.0375092677401906E-2</v>
      </c>
      <c r="AK31">
        <v>2027</v>
      </c>
      <c r="AL31" t="s">
        <v>151</v>
      </c>
      <c r="AM31">
        <v>0.22489999999999999</v>
      </c>
      <c r="AN31" t="s">
        <v>289</v>
      </c>
    </row>
    <row r="32" spans="9:40" x14ac:dyDescent="0.45">
      <c r="I32" t="s">
        <v>175</v>
      </c>
      <c r="J32" t="s">
        <v>172</v>
      </c>
      <c r="K32">
        <v>1.7430573232115588E-2</v>
      </c>
      <c r="L32" t="s">
        <v>163</v>
      </c>
      <c r="N32" t="s">
        <v>206</v>
      </c>
      <c r="O32" t="s">
        <v>172</v>
      </c>
      <c r="P32">
        <v>0.17581044816352337</v>
      </c>
      <c r="Q32" t="s">
        <v>163</v>
      </c>
      <c r="S32" t="s">
        <v>237</v>
      </c>
      <c r="T32" t="s">
        <v>172</v>
      </c>
      <c r="U32">
        <v>0.18400145816716706</v>
      </c>
      <c r="V32" t="s">
        <v>163</v>
      </c>
      <c r="AC32" t="s">
        <v>19</v>
      </c>
      <c r="AD32" t="s">
        <v>172</v>
      </c>
      <c r="AE32">
        <v>0.16972189679396449</v>
      </c>
      <c r="AK32">
        <v>2027</v>
      </c>
      <c r="AL32" t="s">
        <v>155</v>
      </c>
      <c r="AM32">
        <v>0.3513</v>
      </c>
      <c r="AN32" t="s">
        <v>289</v>
      </c>
    </row>
    <row r="33" spans="9:40" x14ac:dyDescent="0.45">
      <c r="I33" t="s">
        <v>175</v>
      </c>
      <c r="J33" t="s">
        <v>173</v>
      </c>
      <c r="K33">
        <v>0.4034966310760808</v>
      </c>
      <c r="L33" t="s">
        <v>163</v>
      </c>
      <c r="N33" t="s">
        <v>206</v>
      </c>
      <c r="O33" t="s">
        <v>173</v>
      </c>
      <c r="P33">
        <v>0.20643298351582326</v>
      </c>
      <c r="Q33" t="s">
        <v>163</v>
      </c>
      <c r="S33" t="s">
        <v>237</v>
      </c>
      <c r="T33" t="s">
        <v>173</v>
      </c>
      <c r="U33">
        <v>0.22121862936675113</v>
      </c>
      <c r="V33" t="s">
        <v>163</v>
      </c>
      <c r="AC33" t="s">
        <v>19</v>
      </c>
      <c r="AD33" t="s">
        <v>173</v>
      </c>
      <c r="AE33">
        <v>0.20983143223256107</v>
      </c>
      <c r="AK33">
        <v>2027</v>
      </c>
      <c r="AL33" t="s">
        <v>157</v>
      </c>
      <c r="AM33">
        <v>0.29630000000000001</v>
      </c>
      <c r="AN33" t="s">
        <v>289</v>
      </c>
    </row>
    <row r="34" spans="9:40" x14ac:dyDescent="0.45">
      <c r="I34" t="s">
        <v>175</v>
      </c>
      <c r="J34" t="s">
        <v>174</v>
      </c>
      <c r="K34">
        <v>9.4033066770850479E-3</v>
      </c>
      <c r="L34" t="s">
        <v>163</v>
      </c>
      <c r="N34" t="s">
        <v>206</v>
      </c>
      <c r="O34" t="s">
        <v>174</v>
      </c>
      <c r="P34">
        <v>0.12835403128808451</v>
      </c>
      <c r="Q34" t="s">
        <v>163</v>
      </c>
      <c r="S34" t="s">
        <v>237</v>
      </c>
      <c r="T34" t="s">
        <v>174</v>
      </c>
      <c r="U34">
        <v>0.13793737297887895</v>
      </c>
      <c r="V34" t="s">
        <v>163</v>
      </c>
      <c r="AC34" t="s">
        <v>19</v>
      </c>
      <c r="AD34" t="s">
        <v>174</v>
      </c>
      <c r="AE34">
        <v>0.12461038511150266</v>
      </c>
      <c r="AK34">
        <v>2027</v>
      </c>
      <c r="AL34" t="s">
        <v>159</v>
      </c>
      <c r="AM34">
        <v>0.22526666666666664</v>
      </c>
      <c r="AN34" t="s">
        <v>289</v>
      </c>
    </row>
    <row r="35" spans="9:40" x14ac:dyDescent="0.45">
      <c r="I35" t="s">
        <v>176</v>
      </c>
      <c r="J35" t="s">
        <v>162</v>
      </c>
      <c r="K35">
        <v>1.5651912121974875E-2</v>
      </c>
      <c r="L35" t="s">
        <v>163</v>
      </c>
      <c r="N35" t="s">
        <v>207</v>
      </c>
      <c r="O35" t="s">
        <v>162</v>
      </c>
      <c r="P35">
        <v>0.11559270762336055</v>
      </c>
      <c r="Q35" t="s">
        <v>163</v>
      </c>
      <c r="S35" t="s">
        <v>238</v>
      </c>
      <c r="T35" t="s">
        <v>162</v>
      </c>
      <c r="U35">
        <v>0.10980046313994188</v>
      </c>
      <c r="V35" t="s">
        <v>163</v>
      </c>
      <c r="AK35">
        <v>2028</v>
      </c>
      <c r="AL35" t="s">
        <v>151</v>
      </c>
      <c r="AM35">
        <v>0.22542499999999999</v>
      </c>
      <c r="AN35" t="s">
        <v>289</v>
      </c>
    </row>
    <row r="36" spans="9:40" x14ac:dyDescent="0.45">
      <c r="I36" t="s">
        <v>176</v>
      </c>
      <c r="J36" t="s">
        <v>164</v>
      </c>
      <c r="K36">
        <v>0.3366002603834814</v>
      </c>
      <c r="L36" t="s">
        <v>163</v>
      </c>
      <c r="N36" t="s">
        <v>207</v>
      </c>
      <c r="O36" t="s">
        <v>164</v>
      </c>
      <c r="P36">
        <v>0.14771444260494554</v>
      </c>
      <c r="Q36" t="s">
        <v>163</v>
      </c>
      <c r="S36" t="s">
        <v>238</v>
      </c>
      <c r="T36" t="s">
        <v>164</v>
      </c>
      <c r="U36">
        <v>0.14122136764060345</v>
      </c>
      <c r="V36" t="s">
        <v>163</v>
      </c>
      <c r="AK36">
        <v>2028</v>
      </c>
      <c r="AL36" t="s">
        <v>155</v>
      </c>
      <c r="AM36">
        <v>0.36299999999999999</v>
      </c>
      <c r="AN36" t="s">
        <v>289</v>
      </c>
    </row>
    <row r="37" spans="9:40" x14ac:dyDescent="0.45">
      <c r="I37" t="s">
        <v>176</v>
      </c>
      <c r="J37" t="s">
        <v>165</v>
      </c>
      <c r="K37">
        <v>4.5415499732669208E-3</v>
      </c>
      <c r="L37" t="s">
        <v>163</v>
      </c>
      <c r="N37" t="s">
        <v>207</v>
      </c>
      <c r="O37" t="s">
        <v>165</v>
      </c>
      <c r="P37">
        <v>9.0351135722961551E-2</v>
      </c>
      <c r="Q37" t="s">
        <v>163</v>
      </c>
      <c r="S37" t="s">
        <v>238</v>
      </c>
      <c r="T37" t="s">
        <v>165</v>
      </c>
      <c r="U37">
        <v>8.7917570895193448E-2</v>
      </c>
      <c r="V37" t="s">
        <v>163</v>
      </c>
      <c r="AK37">
        <v>2028</v>
      </c>
      <c r="AL37" t="s">
        <v>157</v>
      </c>
      <c r="AM37">
        <v>0.30570000000000003</v>
      </c>
      <c r="AN37" t="s">
        <v>289</v>
      </c>
    </row>
    <row r="38" spans="9:40" x14ac:dyDescent="0.45">
      <c r="I38" t="s">
        <v>176</v>
      </c>
      <c r="J38" t="s">
        <v>166</v>
      </c>
      <c r="K38">
        <v>8.9975169492409225E-3</v>
      </c>
      <c r="L38" t="s">
        <v>163</v>
      </c>
      <c r="N38" t="s">
        <v>207</v>
      </c>
      <c r="O38" t="s">
        <v>166</v>
      </c>
      <c r="P38">
        <v>2.7862393402145223E-2</v>
      </c>
      <c r="Q38" t="s">
        <v>163</v>
      </c>
      <c r="S38" t="s">
        <v>238</v>
      </c>
      <c r="T38" t="s">
        <v>166</v>
      </c>
      <c r="U38">
        <v>2.2631378437441372E-2</v>
      </c>
      <c r="V38" t="s">
        <v>163</v>
      </c>
      <c r="AK38">
        <v>2028</v>
      </c>
      <c r="AL38" t="s">
        <v>159</v>
      </c>
      <c r="AM38">
        <v>0.23556666666666667</v>
      </c>
      <c r="AN38" t="s">
        <v>289</v>
      </c>
    </row>
    <row r="39" spans="9:40" x14ac:dyDescent="0.45">
      <c r="I39" t="s">
        <v>176</v>
      </c>
      <c r="J39" t="s">
        <v>167</v>
      </c>
      <c r="K39">
        <v>8.7089960397260843E-2</v>
      </c>
      <c r="L39" t="s">
        <v>163</v>
      </c>
      <c r="N39" t="s">
        <v>207</v>
      </c>
      <c r="O39" t="s">
        <v>167</v>
      </c>
      <c r="P39">
        <v>3.8098389621739955E-2</v>
      </c>
      <c r="Q39" t="s">
        <v>163</v>
      </c>
      <c r="S39" t="s">
        <v>238</v>
      </c>
      <c r="T39" t="s">
        <v>167</v>
      </c>
      <c r="U39">
        <v>2.6857806403346427E-2</v>
      </c>
      <c r="V39" t="s">
        <v>163</v>
      </c>
      <c r="AK39">
        <v>2029</v>
      </c>
      <c r="AL39" t="s">
        <v>151</v>
      </c>
      <c r="AM39">
        <v>0.262625</v>
      </c>
      <c r="AN39" t="s">
        <v>289</v>
      </c>
    </row>
    <row r="40" spans="9:40" x14ac:dyDescent="0.45">
      <c r="I40" t="s">
        <v>176</v>
      </c>
      <c r="J40" t="s">
        <v>168</v>
      </c>
      <c r="K40">
        <v>4.0006088411007673E-3</v>
      </c>
      <c r="L40" t="s">
        <v>163</v>
      </c>
      <c r="N40" t="s">
        <v>207</v>
      </c>
      <c r="O40" t="s">
        <v>168</v>
      </c>
      <c r="P40">
        <v>2.2023913971314309E-2</v>
      </c>
      <c r="Q40" t="s">
        <v>163</v>
      </c>
      <c r="S40" t="s">
        <v>238</v>
      </c>
      <c r="T40" t="s">
        <v>168</v>
      </c>
      <c r="U40">
        <v>1.5073692342046951E-2</v>
      </c>
      <c r="V40" t="s">
        <v>163</v>
      </c>
      <c r="AK40">
        <v>2029</v>
      </c>
      <c r="AL40" t="s">
        <v>155</v>
      </c>
      <c r="AM40">
        <v>0.43049999999999999</v>
      </c>
      <c r="AN40" t="s">
        <v>289</v>
      </c>
    </row>
    <row r="41" spans="9:40" x14ac:dyDescent="0.45">
      <c r="I41" t="s">
        <v>176</v>
      </c>
      <c r="J41" t="s">
        <v>169</v>
      </c>
      <c r="K41">
        <v>9.8056956237411591E-3</v>
      </c>
      <c r="L41" t="s">
        <v>163</v>
      </c>
      <c r="N41" t="s">
        <v>207</v>
      </c>
      <c r="O41" t="s">
        <v>169</v>
      </c>
      <c r="P41">
        <v>2.1684396752292653E-2</v>
      </c>
      <c r="Q41" t="s">
        <v>163</v>
      </c>
      <c r="S41" t="s">
        <v>238</v>
      </c>
      <c r="T41" t="s">
        <v>169</v>
      </c>
      <c r="U41">
        <v>2.7094382996257382E-2</v>
      </c>
      <c r="V41" t="s">
        <v>163</v>
      </c>
      <c r="AK41">
        <v>2029</v>
      </c>
      <c r="AL41" t="s">
        <v>157</v>
      </c>
      <c r="AM41">
        <v>0.35389999999999999</v>
      </c>
      <c r="AN41" t="s">
        <v>289</v>
      </c>
    </row>
    <row r="42" spans="9:40" x14ac:dyDescent="0.45">
      <c r="I42" t="s">
        <v>176</v>
      </c>
      <c r="J42" t="s">
        <v>170</v>
      </c>
      <c r="K42">
        <v>8.7235378439403419E-2</v>
      </c>
      <c r="L42" t="s">
        <v>163</v>
      </c>
      <c r="N42" t="s">
        <v>207</v>
      </c>
      <c r="O42" t="s">
        <v>170</v>
      </c>
      <c r="P42">
        <v>2.4166537098516367E-2</v>
      </c>
      <c r="Q42" t="s">
        <v>163</v>
      </c>
      <c r="S42" t="s">
        <v>238</v>
      </c>
      <c r="T42" t="s">
        <v>170</v>
      </c>
      <c r="U42">
        <v>3.143008722242651E-2</v>
      </c>
      <c r="V42" t="s">
        <v>163</v>
      </c>
      <c r="AK42">
        <v>2029</v>
      </c>
      <c r="AL42" t="s">
        <v>159</v>
      </c>
      <c r="AM42">
        <v>0.29133333333333333</v>
      </c>
      <c r="AN42" t="s">
        <v>289</v>
      </c>
    </row>
    <row r="43" spans="9:40" x14ac:dyDescent="0.45">
      <c r="I43" t="s">
        <v>176</v>
      </c>
      <c r="J43" t="s">
        <v>171</v>
      </c>
      <c r="K43">
        <v>5.7961460450089404E-3</v>
      </c>
      <c r="L43" t="s">
        <v>163</v>
      </c>
      <c r="N43" t="s">
        <v>207</v>
      </c>
      <c r="O43" t="s">
        <v>171</v>
      </c>
      <c r="P43">
        <v>1.3042264100568897E-2</v>
      </c>
      <c r="Q43" t="s">
        <v>163</v>
      </c>
      <c r="S43" t="s">
        <v>238</v>
      </c>
      <c r="T43" t="s">
        <v>171</v>
      </c>
      <c r="U43">
        <v>1.8687529076727959E-2</v>
      </c>
      <c r="V43" t="s">
        <v>163</v>
      </c>
      <c r="AK43">
        <v>2030</v>
      </c>
      <c r="AL43" t="s">
        <v>151</v>
      </c>
      <c r="AM43">
        <v>0.27172499999999999</v>
      </c>
      <c r="AN43" t="s">
        <v>289</v>
      </c>
    </row>
    <row r="44" spans="9:40" x14ac:dyDescent="0.45">
      <c r="I44" t="s">
        <v>176</v>
      </c>
      <c r="J44" t="s">
        <v>172</v>
      </c>
      <c r="K44">
        <v>2.408067360080017E-2</v>
      </c>
      <c r="L44" t="s">
        <v>163</v>
      </c>
      <c r="N44" t="s">
        <v>207</v>
      </c>
      <c r="O44" t="s">
        <v>172</v>
      </c>
      <c r="P44">
        <v>0.16596357940672521</v>
      </c>
      <c r="Q44" t="s">
        <v>163</v>
      </c>
      <c r="S44" t="s">
        <v>238</v>
      </c>
      <c r="T44" t="s">
        <v>172</v>
      </c>
      <c r="U44">
        <v>0.17647805415817208</v>
      </c>
      <c r="V44" t="s">
        <v>163</v>
      </c>
      <c r="AK44">
        <v>2030</v>
      </c>
      <c r="AL44" t="s">
        <v>155</v>
      </c>
      <c r="AM44">
        <v>0.43580000000000002</v>
      </c>
      <c r="AN44" t="s">
        <v>289</v>
      </c>
    </row>
    <row r="45" spans="9:40" x14ac:dyDescent="0.45">
      <c r="I45" t="s">
        <v>176</v>
      </c>
      <c r="J45" t="s">
        <v>173</v>
      </c>
      <c r="K45">
        <v>0.4068767868540748</v>
      </c>
      <c r="L45" t="s">
        <v>163</v>
      </c>
      <c r="N45" t="s">
        <v>207</v>
      </c>
      <c r="O45" t="s">
        <v>173</v>
      </c>
      <c r="P45">
        <v>0.21003482357987155</v>
      </c>
      <c r="Q45" t="s">
        <v>163</v>
      </c>
      <c r="S45" t="s">
        <v>238</v>
      </c>
      <c r="T45" t="s">
        <v>173</v>
      </c>
      <c r="U45">
        <v>0.21240901684266481</v>
      </c>
      <c r="V45" t="s">
        <v>163</v>
      </c>
      <c r="AK45">
        <v>2030</v>
      </c>
      <c r="AL45" t="s">
        <v>157</v>
      </c>
      <c r="AM45">
        <v>0.37180000000000002</v>
      </c>
      <c r="AN45" t="s">
        <v>289</v>
      </c>
    </row>
    <row r="46" spans="9:40" x14ac:dyDescent="0.45">
      <c r="I46" t="s">
        <v>176</v>
      </c>
      <c r="J46" t="s">
        <v>174</v>
      </c>
      <c r="K46">
        <v>9.3235107706429957E-3</v>
      </c>
      <c r="L46" t="s">
        <v>163</v>
      </c>
      <c r="N46" t="s">
        <v>207</v>
      </c>
      <c r="O46" t="s">
        <v>174</v>
      </c>
      <c r="P46">
        <v>0.12346541611555965</v>
      </c>
      <c r="Q46" t="s">
        <v>163</v>
      </c>
      <c r="S46" t="s">
        <v>238</v>
      </c>
      <c r="T46" t="s">
        <v>174</v>
      </c>
      <c r="U46">
        <v>0.13039865084517621</v>
      </c>
      <c r="V46" t="s">
        <v>163</v>
      </c>
      <c r="AK46">
        <v>2030</v>
      </c>
      <c r="AL46" t="s">
        <v>159</v>
      </c>
      <c r="AM46">
        <v>0.28389999999999999</v>
      </c>
      <c r="AN46" t="s">
        <v>289</v>
      </c>
    </row>
    <row r="47" spans="9:40" x14ac:dyDescent="0.45">
      <c r="I47" t="s">
        <v>177</v>
      </c>
      <c r="J47" t="s">
        <v>162</v>
      </c>
      <c r="K47">
        <v>1.2521798857822338E-2</v>
      </c>
      <c r="L47" t="s">
        <v>163</v>
      </c>
      <c r="N47" t="s">
        <v>208</v>
      </c>
      <c r="O47" t="s">
        <v>162</v>
      </c>
      <c r="P47">
        <v>0.11676335948602792</v>
      </c>
      <c r="Q47" t="s">
        <v>163</v>
      </c>
      <c r="S47" t="s">
        <v>239</v>
      </c>
      <c r="T47" t="s">
        <v>162</v>
      </c>
      <c r="U47">
        <v>0.1076339842886567</v>
      </c>
      <c r="V47" t="s">
        <v>163</v>
      </c>
      <c r="AK47">
        <v>2031</v>
      </c>
      <c r="AL47" t="s">
        <v>151</v>
      </c>
      <c r="AM47">
        <v>0.27380000000000004</v>
      </c>
      <c r="AN47" t="s">
        <v>289</v>
      </c>
    </row>
    <row r="48" spans="9:40" x14ac:dyDescent="0.45">
      <c r="I48" t="s">
        <v>177</v>
      </c>
      <c r="J48" t="s">
        <v>164</v>
      </c>
      <c r="K48">
        <v>0.31541166686527311</v>
      </c>
      <c r="L48" t="s">
        <v>163</v>
      </c>
      <c r="N48" t="s">
        <v>208</v>
      </c>
      <c r="O48" t="s">
        <v>164</v>
      </c>
      <c r="P48">
        <v>0.14132374646108267</v>
      </c>
      <c r="Q48" t="s">
        <v>163</v>
      </c>
      <c r="S48" t="s">
        <v>239</v>
      </c>
      <c r="T48" t="s">
        <v>164</v>
      </c>
      <c r="U48">
        <v>0.13885565320757423</v>
      </c>
      <c r="V48" t="s">
        <v>163</v>
      </c>
      <c r="AK48">
        <v>2031</v>
      </c>
      <c r="AL48" t="s">
        <v>155</v>
      </c>
      <c r="AM48">
        <v>0.42359999999999998</v>
      </c>
      <c r="AN48" t="s">
        <v>289</v>
      </c>
    </row>
    <row r="49" spans="9:40" x14ac:dyDescent="0.45">
      <c r="I49" t="s">
        <v>177</v>
      </c>
      <c r="J49" t="s">
        <v>165</v>
      </c>
      <c r="K49">
        <v>4.9528927014728004E-3</v>
      </c>
      <c r="L49" t="s">
        <v>163</v>
      </c>
      <c r="N49" t="s">
        <v>208</v>
      </c>
      <c r="O49" t="s">
        <v>165</v>
      </c>
      <c r="P49">
        <v>8.6538080993091349E-2</v>
      </c>
      <c r="Q49" t="s">
        <v>163</v>
      </c>
      <c r="S49" t="s">
        <v>239</v>
      </c>
      <c r="T49" t="s">
        <v>165</v>
      </c>
      <c r="U49">
        <v>8.5020929921108213E-2</v>
      </c>
      <c r="V49" t="s">
        <v>163</v>
      </c>
      <c r="AK49">
        <v>2031</v>
      </c>
      <c r="AL49" t="s">
        <v>157</v>
      </c>
      <c r="AM49">
        <v>0.34210000000000002</v>
      </c>
      <c r="AN49" t="s">
        <v>289</v>
      </c>
    </row>
    <row r="50" spans="9:40" x14ac:dyDescent="0.45">
      <c r="I50" t="s">
        <v>177</v>
      </c>
      <c r="J50" t="s">
        <v>166</v>
      </c>
      <c r="K50">
        <v>7.8972187717175832E-3</v>
      </c>
      <c r="L50" t="s">
        <v>163</v>
      </c>
      <c r="N50" t="s">
        <v>208</v>
      </c>
      <c r="O50" t="s">
        <v>166</v>
      </c>
      <c r="P50">
        <v>1.8899638663447221E-2</v>
      </c>
      <c r="Q50" t="s">
        <v>163</v>
      </c>
      <c r="S50" t="s">
        <v>239</v>
      </c>
      <c r="T50" t="s">
        <v>166</v>
      </c>
      <c r="U50">
        <v>2.3932551770261788E-2</v>
      </c>
      <c r="V50" t="s">
        <v>163</v>
      </c>
      <c r="AK50">
        <v>2031</v>
      </c>
      <c r="AL50" t="s">
        <v>159</v>
      </c>
      <c r="AM50">
        <v>0.28434999999999999</v>
      </c>
      <c r="AN50" t="s">
        <v>289</v>
      </c>
    </row>
    <row r="51" spans="9:40" x14ac:dyDescent="0.45">
      <c r="I51" t="s">
        <v>177</v>
      </c>
      <c r="J51" t="s">
        <v>167</v>
      </c>
      <c r="K51">
        <v>9.3685528079269123E-2</v>
      </c>
      <c r="L51" t="s">
        <v>163</v>
      </c>
      <c r="N51" t="s">
        <v>208</v>
      </c>
      <c r="O51" t="s">
        <v>167</v>
      </c>
      <c r="P51">
        <v>2.2887887278998632E-2</v>
      </c>
      <c r="Q51" t="s">
        <v>163</v>
      </c>
      <c r="S51" t="s">
        <v>239</v>
      </c>
      <c r="T51" t="s">
        <v>167</v>
      </c>
      <c r="U51">
        <v>2.9285193628585646E-2</v>
      </c>
      <c r="V51" t="s">
        <v>163</v>
      </c>
      <c r="AK51">
        <v>2032</v>
      </c>
      <c r="AL51" t="s">
        <v>151</v>
      </c>
      <c r="AM51">
        <v>0.25855</v>
      </c>
      <c r="AN51" t="s">
        <v>289</v>
      </c>
    </row>
    <row r="52" spans="9:40" x14ac:dyDescent="0.45">
      <c r="I52" t="s">
        <v>177</v>
      </c>
      <c r="J52" t="s">
        <v>168</v>
      </c>
      <c r="K52">
        <v>5.4448767195193221E-3</v>
      </c>
      <c r="L52" t="s">
        <v>163</v>
      </c>
      <c r="N52" t="s">
        <v>208</v>
      </c>
      <c r="O52" t="s">
        <v>168</v>
      </c>
      <c r="P52">
        <v>1.252236263233633E-2</v>
      </c>
      <c r="Q52" t="s">
        <v>163</v>
      </c>
      <c r="S52" t="s">
        <v>239</v>
      </c>
      <c r="T52" t="s">
        <v>168</v>
      </c>
      <c r="U52">
        <v>1.5860109581237736E-2</v>
      </c>
      <c r="V52" t="s">
        <v>163</v>
      </c>
      <c r="AK52">
        <v>2032</v>
      </c>
      <c r="AL52" t="s">
        <v>155</v>
      </c>
      <c r="AM52">
        <v>0.37990000000000002</v>
      </c>
      <c r="AN52" t="s">
        <v>289</v>
      </c>
    </row>
    <row r="53" spans="9:40" x14ac:dyDescent="0.45">
      <c r="I53" t="s">
        <v>177</v>
      </c>
      <c r="J53" t="s">
        <v>169</v>
      </c>
      <c r="K53">
        <v>9.6771150025144175E-3</v>
      </c>
      <c r="L53" t="s">
        <v>163</v>
      </c>
      <c r="N53" t="s">
        <v>208</v>
      </c>
      <c r="O53" t="s">
        <v>169</v>
      </c>
      <c r="P53">
        <v>2.5272547962533459E-2</v>
      </c>
      <c r="Q53" t="s">
        <v>163</v>
      </c>
      <c r="S53" t="s">
        <v>239</v>
      </c>
      <c r="T53" t="s">
        <v>169</v>
      </c>
      <c r="U53">
        <v>2.9085263123096873E-2</v>
      </c>
      <c r="V53" t="s">
        <v>163</v>
      </c>
      <c r="AK53">
        <v>2032</v>
      </c>
      <c r="AL53" t="s">
        <v>157</v>
      </c>
      <c r="AM53">
        <v>0.39529999999999998</v>
      </c>
      <c r="AN53" t="s">
        <v>289</v>
      </c>
    </row>
    <row r="54" spans="9:40" x14ac:dyDescent="0.45">
      <c r="I54" t="s">
        <v>177</v>
      </c>
      <c r="J54" t="s">
        <v>170</v>
      </c>
      <c r="K54">
        <v>0.10008115474800654</v>
      </c>
      <c r="L54" t="s">
        <v>163</v>
      </c>
      <c r="N54" t="s">
        <v>208</v>
      </c>
      <c r="O54" t="s">
        <v>170</v>
      </c>
      <c r="P54">
        <v>2.6720983046046417E-2</v>
      </c>
      <c r="Q54" t="s">
        <v>163</v>
      </c>
      <c r="S54" t="s">
        <v>239</v>
      </c>
      <c r="T54" t="s">
        <v>170</v>
      </c>
      <c r="U54">
        <v>3.4749582574950137E-2</v>
      </c>
      <c r="V54" t="s">
        <v>163</v>
      </c>
      <c r="AK54">
        <v>2032</v>
      </c>
      <c r="AL54" t="s">
        <v>159</v>
      </c>
      <c r="AM54">
        <v>0.27910000000000001</v>
      </c>
      <c r="AN54" t="s">
        <v>289</v>
      </c>
    </row>
    <row r="55" spans="9:40" x14ac:dyDescent="0.45">
      <c r="I55" t="s">
        <v>177</v>
      </c>
      <c r="J55" t="s">
        <v>171</v>
      </c>
      <c r="K55">
        <v>7.4782980947345002E-3</v>
      </c>
      <c r="L55" t="s">
        <v>163</v>
      </c>
      <c r="N55" t="s">
        <v>208</v>
      </c>
      <c r="O55" t="s">
        <v>171</v>
      </c>
      <c r="P55">
        <v>1.5249463273266043E-2</v>
      </c>
      <c r="Q55" t="s">
        <v>163</v>
      </c>
      <c r="S55" t="s">
        <v>239</v>
      </c>
      <c r="T55" t="s">
        <v>171</v>
      </c>
      <c r="U55">
        <v>2.0754268270859941E-2</v>
      </c>
      <c r="V55" t="s">
        <v>163</v>
      </c>
      <c r="AK55">
        <v>2033</v>
      </c>
      <c r="AL55" t="s">
        <v>151</v>
      </c>
      <c r="AM55">
        <v>0.26907499999999995</v>
      </c>
      <c r="AN55" t="s">
        <v>289</v>
      </c>
    </row>
    <row r="56" spans="9:40" x14ac:dyDescent="0.45">
      <c r="I56" t="s">
        <v>177</v>
      </c>
      <c r="J56" t="s">
        <v>172</v>
      </c>
      <c r="K56">
        <v>2.0455238238725668E-2</v>
      </c>
      <c r="L56" t="s">
        <v>163</v>
      </c>
      <c r="N56" t="s">
        <v>208</v>
      </c>
      <c r="O56" t="s">
        <v>172</v>
      </c>
      <c r="P56">
        <v>0.17945036127058717</v>
      </c>
      <c r="Q56" t="s">
        <v>163</v>
      </c>
      <c r="S56" t="s">
        <v>239</v>
      </c>
      <c r="T56" t="s">
        <v>172</v>
      </c>
      <c r="U56">
        <v>0.17423647579260643</v>
      </c>
      <c r="V56" t="s">
        <v>163</v>
      </c>
      <c r="AK56">
        <v>2033</v>
      </c>
      <c r="AL56" t="s">
        <v>155</v>
      </c>
      <c r="AM56">
        <v>0.37919999999999998</v>
      </c>
      <c r="AN56" t="s">
        <v>289</v>
      </c>
    </row>
    <row r="57" spans="9:40" x14ac:dyDescent="0.45">
      <c r="I57" t="s">
        <v>177</v>
      </c>
      <c r="J57" t="s">
        <v>173</v>
      </c>
      <c r="K57">
        <v>0.41096756553065683</v>
      </c>
      <c r="L57" t="s">
        <v>163</v>
      </c>
      <c r="N57" t="s">
        <v>208</v>
      </c>
      <c r="O57" t="s">
        <v>173</v>
      </c>
      <c r="P57">
        <v>0.21738859466337071</v>
      </c>
      <c r="Q57" t="s">
        <v>163</v>
      </c>
      <c r="S57" t="s">
        <v>239</v>
      </c>
      <c r="T57" t="s">
        <v>173</v>
      </c>
      <c r="U57">
        <v>0.2107101461108988</v>
      </c>
      <c r="V57" t="s">
        <v>163</v>
      </c>
      <c r="AK57">
        <v>2033</v>
      </c>
      <c r="AL57" t="s">
        <v>157</v>
      </c>
      <c r="AM57">
        <v>0.33629999999999999</v>
      </c>
      <c r="AN57" t="s">
        <v>289</v>
      </c>
    </row>
    <row r="58" spans="9:40" x14ac:dyDescent="0.45">
      <c r="I58" t="s">
        <v>177</v>
      </c>
      <c r="J58" t="s">
        <v>174</v>
      </c>
      <c r="K58">
        <v>1.1426646390289013E-2</v>
      </c>
      <c r="L58" t="s">
        <v>163</v>
      </c>
      <c r="N58" t="s">
        <v>208</v>
      </c>
      <c r="O58" t="s">
        <v>174</v>
      </c>
      <c r="P58">
        <v>0.1369829742692121</v>
      </c>
      <c r="Q58" t="s">
        <v>163</v>
      </c>
      <c r="S58" t="s">
        <v>239</v>
      </c>
      <c r="T58" t="s">
        <v>174</v>
      </c>
      <c r="U58">
        <v>0.12987584173016284</v>
      </c>
      <c r="V58" t="s">
        <v>163</v>
      </c>
      <c r="AK58">
        <v>2033</v>
      </c>
      <c r="AL58" t="s">
        <v>159</v>
      </c>
      <c r="AM58">
        <v>0.27473333333333333</v>
      </c>
      <c r="AN58" t="s">
        <v>289</v>
      </c>
    </row>
    <row r="59" spans="9:40" x14ac:dyDescent="0.45">
      <c r="I59" t="s">
        <v>178</v>
      </c>
      <c r="J59" t="s">
        <v>162</v>
      </c>
      <c r="K59">
        <v>1.3579474878099858E-2</v>
      </c>
      <c r="L59" t="s">
        <v>163</v>
      </c>
      <c r="N59" t="s">
        <v>209</v>
      </c>
      <c r="O59" t="s">
        <v>162</v>
      </c>
      <c r="P59">
        <v>0.13821054239874558</v>
      </c>
      <c r="Q59" t="s">
        <v>163</v>
      </c>
      <c r="S59" t="s">
        <v>240</v>
      </c>
      <c r="T59" t="s">
        <v>162</v>
      </c>
      <c r="U59">
        <v>0.11057494140349144</v>
      </c>
      <c r="V59" t="s">
        <v>163</v>
      </c>
      <c r="AK59">
        <v>2034</v>
      </c>
      <c r="AL59" t="s">
        <v>151</v>
      </c>
      <c r="AM59">
        <v>0.26577499999999998</v>
      </c>
      <c r="AN59" t="s">
        <v>289</v>
      </c>
    </row>
    <row r="60" spans="9:40" x14ac:dyDescent="0.45">
      <c r="I60" t="s">
        <v>178</v>
      </c>
      <c r="J60" t="s">
        <v>164</v>
      </c>
      <c r="K60">
        <v>0.29475555454018204</v>
      </c>
      <c r="L60" t="s">
        <v>163</v>
      </c>
      <c r="N60" t="s">
        <v>209</v>
      </c>
      <c r="O60" t="s">
        <v>164</v>
      </c>
      <c r="P60">
        <v>0.17536783143290541</v>
      </c>
      <c r="Q60" t="s">
        <v>163</v>
      </c>
      <c r="S60" t="s">
        <v>240</v>
      </c>
      <c r="T60" t="s">
        <v>164</v>
      </c>
      <c r="U60">
        <v>0.14592376700640661</v>
      </c>
      <c r="V60" t="s">
        <v>163</v>
      </c>
      <c r="AK60">
        <v>2034</v>
      </c>
      <c r="AL60" t="s">
        <v>155</v>
      </c>
      <c r="AM60">
        <v>0.41120000000000001</v>
      </c>
      <c r="AN60" t="s">
        <v>289</v>
      </c>
    </row>
    <row r="61" spans="9:40" x14ac:dyDescent="0.45">
      <c r="I61" t="s">
        <v>178</v>
      </c>
      <c r="J61" t="s">
        <v>165</v>
      </c>
      <c r="K61">
        <v>4.4293573926454805E-3</v>
      </c>
      <c r="L61" t="s">
        <v>163</v>
      </c>
      <c r="N61" t="s">
        <v>209</v>
      </c>
      <c r="O61" t="s">
        <v>165</v>
      </c>
      <c r="P61">
        <v>0.10178926305520411</v>
      </c>
      <c r="Q61" t="s">
        <v>163</v>
      </c>
      <c r="S61" t="s">
        <v>240</v>
      </c>
      <c r="T61" t="s">
        <v>165</v>
      </c>
      <c r="U61">
        <v>8.9325334252470287E-2</v>
      </c>
      <c r="V61" t="s">
        <v>163</v>
      </c>
      <c r="AK61">
        <v>2034</v>
      </c>
      <c r="AL61" t="s">
        <v>157</v>
      </c>
      <c r="AM61">
        <v>0.35020000000000001</v>
      </c>
      <c r="AN61" t="s">
        <v>289</v>
      </c>
    </row>
    <row r="62" spans="9:40" x14ac:dyDescent="0.45">
      <c r="I62" t="s">
        <v>178</v>
      </c>
      <c r="J62" t="s">
        <v>166</v>
      </c>
      <c r="K62">
        <v>8.3258008009484217E-3</v>
      </c>
      <c r="L62" t="s">
        <v>163</v>
      </c>
      <c r="N62" t="s">
        <v>209</v>
      </c>
      <c r="O62" t="s">
        <v>166</v>
      </c>
      <c r="P62">
        <v>1.6963918964879102E-2</v>
      </c>
      <c r="Q62" t="s">
        <v>163</v>
      </c>
      <c r="S62" t="s">
        <v>240</v>
      </c>
      <c r="T62" t="s">
        <v>166</v>
      </c>
      <c r="U62">
        <v>1.9592019108824806E-2</v>
      </c>
      <c r="V62" t="s">
        <v>163</v>
      </c>
      <c r="AK62">
        <v>2034</v>
      </c>
      <c r="AL62" t="s">
        <v>159</v>
      </c>
      <c r="AM62">
        <v>0.29444999999999999</v>
      </c>
      <c r="AN62" t="s">
        <v>289</v>
      </c>
    </row>
    <row r="63" spans="9:40" x14ac:dyDescent="0.45">
      <c r="I63" t="s">
        <v>178</v>
      </c>
      <c r="J63" t="s">
        <v>167</v>
      </c>
      <c r="K63">
        <v>9.1589530347783568E-2</v>
      </c>
      <c r="L63" t="s">
        <v>163</v>
      </c>
      <c r="N63" t="s">
        <v>209</v>
      </c>
      <c r="O63" t="s">
        <v>167</v>
      </c>
      <c r="P63">
        <v>2.5593537032970518E-2</v>
      </c>
      <c r="Q63" t="s">
        <v>163</v>
      </c>
      <c r="S63" t="s">
        <v>240</v>
      </c>
      <c r="T63" t="s">
        <v>167</v>
      </c>
      <c r="U63">
        <v>2.1960100118702298E-2</v>
      </c>
      <c r="V63" t="s">
        <v>163</v>
      </c>
      <c r="AK63">
        <v>2035</v>
      </c>
      <c r="AL63" t="s">
        <v>151</v>
      </c>
      <c r="AM63">
        <v>0.25905</v>
      </c>
      <c r="AN63" t="s">
        <v>289</v>
      </c>
    </row>
    <row r="64" spans="9:40" x14ac:dyDescent="0.45">
      <c r="I64" t="s">
        <v>178</v>
      </c>
      <c r="J64" t="s">
        <v>168</v>
      </c>
      <c r="K64">
        <v>5.4574916813807982E-3</v>
      </c>
      <c r="L64" t="s">
        <v>163</v>
      </c>
      <c r="N64" t="s">
        <v>209</v>
      </c>
      <c r="O64" t="s">
        <v>168</v>
      </c>
      <c r="P64">
        <v>1.4882040098251741E-2</v>
      </c>
      <c r="Q64" t="s">
        <v>163</v>
      </c>
      <c r="S64" t="s">
        <v>240</v>
      </c>
      <c r="T64" t="s">
        <v>168</v>
      </c>
      <c r="U64">
        <v>1.230344688385593E-2</v>
      </c>
      <c r="V64" t="s">
        <v>163</v>
      </c>
      <c r="AK64">
        <v>2035</v>
      </c>
      <c r="AL64" t="s">
        <v>155</v>
      </c>
      <c r="AM64">
        <v>0.36980000000000002</v>
      </c>
      <c r="AN64" t="s">
        <v>289</v>
      </c>
    </row>
    <row r="65" spans="9:40" x14ac:dyDescent="0.45">
      <c r="I65" t="s">
        <v>178</v>
      </c>
      <c r="J65" t="s">
        <v>169</v>
      </c>
      <c r="K65">
        <v>1.0888674845332081E-2</v>
      </c>
      <c r="L65" t="s">
        <v>163</v>
      </c>
      <c r="N65" t="s">
        <v>209</v>
      </c>
      <c r="O65" t="s">
        <v>169</v>
      </c>
      <c r="P65">
        <v>1.0773709042102557E-2</v>
      </c>
      <c r="Q65" t="s">
        <v>163</v>
      </c>
      <c r="S65" t="s">
        <v>240</v>
      </c>
      <c r="T65" t="s">
        <v>169</v>
      </c>
      <c r="U65">
        <v>2.6076656904959368E-2</v>
      </c>
      <c r="V65" t="s">
        <v>163</v>
      </c>
      <c r="AK65">
        <v>2035</v>
      </c>
      <c r="AL65" t="s">
        <v>157</v>
      </c>
      <c r="AM65">
        <v>0.37480000000000002</v>
      </c>
      <c r="AN65" t="s">
        <v>289</v>
      </c>
    </row>
    <row r="66" spans="9:40" x14ac:dyDescent="0.45">
      <c r="I66" t="s">
        <v>178</v>
      </c>
      <c r="J66" t="s">
        <v>170</v>
      </c>
      <c r="K66">
        <v>0.10247841766957283</v>
      </c>
      <c r="L66" t="s">
        <v>163</v>
      </c>
      <c r="N66" t="s">
        <v>209</v>
      </c>
      <c r="O66" t="s">
        <v>170</v>
      </c>
      <c r="P66">
        <v>1.6423160586075309E-2</v>
      </c>
      <c r="Q66" t="s">
        <v>163</v>
      </c>
      <c r="S66" t="s">
        <v>240</v>
      </c>
      <c r="T66" t="s">
        <v>170</v>
      </c>
      <c r="U66">
        <v>2.9280018784844649E-2</v>
      </c>
      <c r="V66" t="s">
        <v>163</v>
      </c>
      <c r="AK66">
        <v>2035</v>
      </c>
      <c r="AL66" t="s">
        <v>159</v>
      </c>
      <c r="AM66">
        <v>0.28256666666666669</v>
      </c>
      <c r="AN66" t="s">
        <v>289</v>
      </c>
    </row>
    <row r="67" spans="9:40" x14ac:dyDescent="0.45">
      <c r="I67" t="s">
        <v>178</v>
      </c>
      <c r="J67" t="s">
        <v>171</v>
      </c>
      <c r="K67">
        <v>7.8285754538375048E-3</v>
      </c>
      <c r="L67" t="s">
        <v>163</v>
      </c>
      <c r="N67" t="s">
        <v>209</v>
      </c>
      <c r="O67" t="s">
        <v>171</v>
      </c>
      <c r="P67">
        <v>7.3904572314046502E-3</v>
      </c>
      <c r="Q67" t="s">
        <v>163</v>
      </c>
      <c r="S67" t="s">
        <v>240</v>
      </c>
      <c r="T67" t="s">
        <v>171</v>
      </c>
      <c r="U67">
        <v>1.4758128232000624E-2</v>
      </c>
      <c r="V67" t="s">
        <v>163</v>
      </c>
      <c r="AK67">
        <v>2036</v>
      </c>
      <c r="AL67" t="s">
        <v>151</v>
      </c>
      <c r="AM67">
        <v>0.260575</v>
      </c>
      <c r="AN67" t="s">
        <v>289</v>
      </c>
    </row>
    <row r="68" spans="9:40" x14ac:dyDescent="0.45">
      <c r="I68" t="s">
        <v>178</v>
      </c>
      <c r="J68" t="s">
        <v>172</v>
      </c>
      <c r="K68">
        <v>2.5565848910474302E-2</v>
      </c>
      <c r="L68" t="s">
        <v>163</v>
      </c>
      <c r="N68" t="s">
        <v>209</v>
      </c>
      <c r="O68" t="s">
        <v>172</v>
      </c>
      <c r="P68">
        <v>0.16108540682872247</v>
      </c>
      <c r="Q68" t="s">
        <v>163</v>
      </c>
      <c r="S68" t="s">
        <v>240</v>
      </c>
      <c r="T68" t="s">
        <v>172</v>
      </c>
      <c r="U68">
        <v>0.17210375388279223</v>
      </c>
      <c r="V68" t="s">
        <v>163</v>
      </c>
      <c r="AK68">
        <v>2036</v>
      </c>
      <c r="AL68" t="s">
        <v>155</v>
      </c>
      <c r="AM68">
        <v>0.42949999999999999</v>
      </c>
      <c r="AN68" t="s">
        <v>289</v>
      </c>
    </row>
    <row r="69" spans="9:40" x14ac:dyDescent="0.45">
      <c r="I69" t="s">
        <v>178</v>
      </c>
      <c r="J69" t="s">
        <v>173</v>
      </c>
      <c r="K69">
        <v>0.42289960909300101</v>
      </c>
      <c r="L69" t="s">
        <v>163</v>
      </c>
      <c r="N69" t="s">
        <v>209</v>
      </c>
      <c r="O69" t="s">
        <v>173</v>
      </c>
      <c r="P69">
        <v>0.21763666594591724</v>
      </c>
      <c r="Q69" t="s">
        <v>163</v>
      </c>
      <c r="S69" t="s">
        <v>240</v>
      </c>
      <c r="T69" t="s">
        <v>173</v>
      </c>
      <c r="U69">
        <v>0.22259683523708984</v>
      </c>
      <c r="V69" t="s">
        <v>163</v>
      </c>
      <c r="AK69">
        <v>2036</v>
      </c>
      <c r="AL69" t="s">
        <v>157</v>
      </c>
      <c r="AM69">
        <v>0.37890000000000001</v>
      </c>
      <c r="AN69" t="s">
        <v>289</v>
      </c>
    </row>
    <row r="70" spans="9:40" x14ac:dyDescent="0.45">
      <c r="I70" t="s">
        <v>178</v>
      </c>
      <c r="J70" t="s">
        <v>174</v>
      </c>
      <c r="K70">
        <v>1.2201664386739005E-2</v>
      </c>
      <c r="L70" t="s">
        <v>163</v>
      </c>
      <c r="N70" t="s">
        <v>209</v>
      </c>
      <c r="O70" t="s">
        <v>174</v>
      </c>
      <c r="P70">
        <v>0.11388346738282168</v>
      </c>
      <c r="Q70" t="s">
        <v>163</v>
      </c>
      <c r="S70" t="s">
        <v>240</v>
      </c>
      <c r="T70" t="s">
        <v>174</v>
      </c>
      <c r="U70">
        <v>0.13550499818456299</v>
      </c>
      <c r="V70" t="s">
        <v>163</v>
      </c>
      <c r="AK70">
        <v>2036</v>
      </c>
      <c r="AL70" t="s">
        <v>159</v>
      </c>
      <c r="AM70">
        <v>0.27894999999999998</v>
      </c>
      <c r="AN70" t="s">
        <v>289</v>
      </c>
    </row>
    <row r="71" spans="9:40" x14ac:dyDescent="0.45">
      <c r="I71" t="s">
        <v>179</v>
      </c>
      <c r="J71" t="s">
        <v>162</v>
      </c>
      <c r="K71">
        <v>1.5535666555134693E-2</v>
      </c>
      <c r="L71" t="s">
        <v>163</v>
      </c>
      <c r="N71" t="s">
        <v>210</v>
      </c>
      <c r="O71" t="s">
        <v>162</v>
      </c>
      <c r="P71">
        <v>0.12555923786986814</v>
      </c>
      <c r="Q71" t="s">
        <v>163</v>
      </c>
      <c r="S71" t="s">
        <v>241</v>
      </c>
      <c r="T71" t="s">
        <v>162</v>
      </c>
      <c r="U71">
        <v>0.11603126380830038</v>
      </c>
      <c r="V71" t="s">
        <v>163</v>
      </c>
      <c r="AK71">
        <v>2037</v>
      </c>
      <c r="AL71" t="s">
        <v>151</v>
      </c>
      <c r="AM71">
        <v>0.28079999999999999</v>
      </c>
      <c r="AN71" t="s">
        <v>289</v>
      </c>
    </row>
    <row r="72" spans="9:40" x14ac:dyDescent="0.45">
      <c r="I72" t="s">
        <v>179</v>
      </c>
      <c r="J72" t="s">
        <v>164</v>
      </c>
      <c r="K72">
        <v>0.3243877392230648</v>
      </c>
      <c r="L72" t="s">
        <v>163</v>
      </c>
      <c r="N72" t="s">
        <v>210</v>
      </c>
      <c r="O72" t="s">
        <v>164</v>
      </c>
      <c r="P72">
        <v>0.17084208929802955</v>
      </c>
      <c r="Q72" t="s">
        <v>163</v>
      </c>
      <c r="S72" t="s">
        <v>241</v>
      </c>
      <c r="T72" t="s">
        <v>164</v>
      </c>
      <c r="U72">
        <v>0.14799213753459609</v>
      </c>
      <c r="V72" t="s">
        <v>163</v>
      </c>
      <c r="AK72">
        <v>2037</v>
      </c>
      <c r="AL72" t="s">
        <v>155</v>
      </c>
      <c r="AM72">
        <v>0.36830000000000002</v>
      </c>
      <c r="AN72" t="s">
        <v>289</v>
      </c>
    </row>
    <row r="73" spans="9:40" x14ac:dyDescent="0.45">
      <c r="I73" t="s">
        <v>179</v>
      </c>
      <c r="J73" t="s">
        <v>165</v>
      </c>
      <c r="K73">
        <v>4.2858354590667126E-3</v>
      </c>
      <c r="L73" t="s">
        <v>163</v>
      </c>
      <c r="N73" t="s">
        <v>210</v>
      </c>
      <c r="O73" t="s">
        <v>165</v>
      </c>
      <c r="P73">
        <v>8.6079195902452943E-2</v>
      </c>
      <c r="Q73" t="s">
        <v>163</v>
      </c>
      <c r="S73" t="s">
        <v>241</v>
      </c>
      <c r="T73" t="s">
        <v>165</v>
      </c>
      <c r="U73">
        <v>9.079535865316575E-2</v>
      </c>
      <c r="V73" t="s">
        <v>163</v>
      </c>
      <c r="AK73">
        <v>2037</v>
      </c>
      <c r="AL73" t="s">
        <v>157</v>
      </c>
      <c r="AM73">
        <v>0.39779999999999999</v>
      </c>
      <c r="AN73" t="s">
        <v>289</v>
      </c>
    </row>
    <row r="74" spans="9:40" x14ac:dyDescent="0.45">
      <c r="I74" t="s">
        <v>179</v>
      </c>
      <c r="J74" t="s">
        <v>166</v>
      </c>
      <c r="K74">
        <v>7.8658546664256701E-3</v>
      </c>
      <c r="L74" t="s">
        <v>163</v>
      </c>
      <c r="N74" t="s">
        <v>210</v>
      </c>
      <c r="O74" t="s">
        <v>166</v>
      </c>
      <c r="P74">
        <v>1.3968491666486615E-2</v>
      </c>
      <c r="Q74" t="s">
        <v>163</v>
      </c>
      <c r="S74" t="s">
        <v>241</v>
      </c>
      <c r="T74" t="s">
        <v>166</v>
      </c>
      <c r="U74">
        <v>1.8745695679691834E-2</v>
      </c>
      <c r="V74" t="s">
        <v>163</v>
      </c>
      <c r="AK74">
        <v>2037</v>
      </c>
      <c r="AL74" t="s">
        <v>159</v>
      </c>
      <c r="AM74">
        <v>0.28113333333333329</v>
      </c>
      <c r="AN74" t="s">
        <v>289</v>
      </c>
    </row>
    <row r="75" spans="9:40" x14ac:dyDescent="0.45">
      <c r="I75" t="s">
        <v>179</v>
      </c>
      <c r="J75" t="s">
        <v>167</v>
      </c>
      <c r="K75">
        <v>8.5990997237211722E-2</v>
      </c>
      <c r="L75" t="s">
        <v>163</v>
      </c>
      <c r="N75" t="s">
        <v>210</v>
      </c>
      <c r="O75" t="s">
        <v>167</v>
      </c>
      <c r="P75">
        <v>2.8989743231539369E-2</v>
      </c>
      <c r="Q75" t="s">
        <v>163</v>
      </c>
      <c r="S75" t="s">
        <v>241</v>
      </c>
      <c r="T75" t="s">
        <v>167</v>
      </c>
      <c r="U75">
        <v>2.4794549718467691E-2</v>
      </c>
      <c r="V75" t="s">
        <v>163</v>
      </c>
      <c r="AK75">
        <v>2038</v>
      </c>
      <c r="AL75" t="s">
        <v>151</v>
      </c>
      <c r="AM75">
        <v>0.26027500000000003</v>
      </c>
      <c r="AN75" t="s">
        <v>289</v>
      </c>
    </row>
    <row r="76" spans="9:40" x14ac:dyDescent="0.45">
      <c r="I76" t="s">
        <v>179</v>
      </c>
      <c r="J76" t="s">
        <v>168</v>
      </c>
      <c r="K76">
        <v>4.278264197124587E-3</v>
      </c>
      <c r="L76" t="s">
        <v>163</v>
      </c>
      <c r="N76" t="s">
        <v>210</v>
      </c>
      <c r="O76" t="s">
        <v>168</v>
      </c>
      <c r="P76">
        <v>1.2232709657010633E-2</v>
      </c>
      <c r="Q76" t="s">
        <v>163</v>
      </c>
      <c r="S76" t="s">
        <v>241</v>
      </c>
      <c r="T76" t="s">
        <v>168</v>
      </c>
      <c r="U76">
        <v>1.1948648402150942E-2</v>
      </c>
      <c r="V76" t="s">
        <v>163</v>
      </c>
      <c r="AK76">
        <v>2038</v>
      </c>
      <c r="AL76" t="s">
        <v>155</v>
      </c>
      <c r="AM76">
        <v>0.43240000000000001</v>
      </c>
      <c r="AN76" t="s">
        <v>289</v>
      </c>
    </row>
    <row r="77" spans="9:40" x14ac:dyDescent="0.45">
      <c r="I77" t="s">
        <v>179</v>
      </c>
      <c r="J77" t="s">
        <v>169</v>
      </c>
      <c r="K77">
        <v>1.0395079181807463E-2</v>
      </c>
      <c r="L77" t="s">
        <v>163</v>
      </c>
      <c r="N77" t="s">
        <v>210</v>
      </c>
      <c r="O77" t="s">
        <v>169</v>
      </c>
      <c r="P77">
        <v>1.8040471178154376E-2</v>
      </c>
      <c r="Q77" t="s">
        <v>163</v>
      </c>
      <c r="S77" t="s">
        <v>241</v>
      </c>
      <c r="T77" t="s">
        <v>169</v>
      </c>
      <c r="U77">
        <v>2.5773839405721057E-2</v>
      </c>
      <c r="V77" t="s">
        <v>163</v>
      </c>
      <c r="AK77">
        <v>2038</v>
      </c>
      <c r="AL77" t="s">
        <v>157</v>
      </c>
      <c r="AM77">
        <v>0.3962</v>
      </c>
      <c r="AN77" t="s">
        <v>289</v>
      </c>
    </row>
    <row r="78" spans="9:40" x14ac:dyDescent="0.45">
      <c r="I78" t="s">
        <v>179</v>
      </c>
      <c r="J78" t="s">
        <v>170</v>
      </c>
      <c r="K78">
        <v>9.1309654380630836E-2</v>
      </c>
      <c r="L78" t="s">
        <v>163</v>
      </c>
      <c r="N78" t="s">
        <v>210</v>
      </c>
      <c r="O78" t="s">
        <v>170</v>
      </c>
      <c r="P78">
        <v>2.8699227698306198E-2</v>
      </c>
      <c r="Q78" t="s">
        <v>163</v>
      </c>
      <c r="S78" t="s">
        <v>241</v>
      </c>
      <c r="T78" t="s">
        <v>170</v>
      </c>
      <c r="U78">
        <v>2.8877430082959347E-2</v>
      </c>
      <c r="V78" t="s">
        <v>163</v>
      </c>
      <c r="AK78">
        <v>2038</v>
      </c>
      <c r="AL78" t="s">
        <v>159</v>
      </c>
      <c r="AM78">
        <v>0.28171666666666667</v>
      </c>
      <c r="AN78" t="s">
        <v>289</v>
      </c>
    </row>
    <row r="79" spans="9:40" x14ac:dyDescent="0.45">
      <c r="I79" t="s">
        <v>179</v>
      </c>
      <c r="J79" t="s">
        <v>171</v>
      </c>
      <c r="K79">
        <v>6.5815692243006057E-3</v>
      </c>
      <c r="L79" t="s">
        <v>163</v>
      </c>
      <c r="N79" t="s">
        <v>210</v>
      </c>
      <c r="O79" t="s">
        <v>171</v>
      </c>
      <c r="P79">
        <v>1.1146162011401518E-2</v>
      </c>
      <c r="Q79" t="s">
        <v>163</v>
      </c>
      <c r="S79" t="s">
        <v>241</v>
      </c>
      <c r="T79" t="s">
        <v>171</v>
      </c>
      <c r="U79">
        <v>1.7646130968897417E-2</v>
      </c>
      <c r="V79" t="s">
        <v>163</v>
      </c>
      <c r="AK79">
        <v>2039</v>
      </c>
      <c r="AL79" t="s">
        <v>151</v>
      </c>
      <c r="AM79">
        <v>0.31187499999999996</v>
      </c>
      <c r="AN79" t="s">
        <v>289</v>
      </c>
    </row>
    <row r="80" spans="9:40" x14ac:dyDescent="0.45">
      <c r="I80" t="s">
        <v>179</v>
      </c>
      <c r="J80" t="s">
        <v>172</v>
      </c>
      <c r="K80">
        <v>2.5748123912109133E-2</v>
      </c>
      <c r="L80" t="s">
        <v>163</v>
      </c>
      <c r="N80" t="s">
        <v>210</v>
      </c>
      <c r="O80" t="s">
        <v>172</v>
      </c>
      <c r="P80">
        <v>0.15950881229766103</v>
      </c>
      <c r="Q80" t="s">
        <v>163</v>
      </c>
      <c r="S80" t="s">
        <v>241</v>
      </c>
      <c r="T80" t="s">
        <v>172</v>
      </c>
      <c r="U80">
        <v>0.17500609457009367</v>
      </c>
      <c r="V80" t="s">
        <v>163</v>
      </c>
      <c r="AK80">
        <v>2039</v>
      </c>
      <c r="AL80" t="s">
        <v>155</v>
      </c>
      <c r="AM80">
        <v>0.43309999999999998</v>
      </c>
      <c r="AN80" t="s">
        <v>289</v>
      </c>
    </row>
    <row r="81" spans="9:40" x14ac:dyDescent="0.45">
      <c r="I81" t="s">
        <v>179</v>
      </c>
      <c r="J81" t="s">
        <v>173</v>
      </c>
      <c r="K81">
        <v>0.41275217168309231</v>
      </c>
      <c r="L81" t="s">
        <v>163</v>
      </c>
      <c r="N81" t="s">
        <v>210</v>
      </c>
      <c r="O81" t="s">
        <v>173</v>
      </c>
      <c r="P81">
        <v>0.23316860481258267</v>
      </c>
      <c r="Q81" t="s">
        <v>163</v>
      </c>
      <c r="S81" t="s">
        <v>241</v>
      </c>
      <c r="T81" t="s">
        <v>173</v>
      </c>
      <c r="U81">
        <v>0.21031052688329524</v>
      </c>
      <c r="V81" t="s">
        <v>163</v>
      </c>
      <c r="AK81">
        <v>2039</v>
      </c>
      <c r="AL81" t="s">
        <v>157</v>
      </c>
      <c r="AM81">
        <v>0.38419999999999999</v>
      </c>
      <c r="AN81" t="s">
        <v>289</v>
      </c>
    </row>
    <row r="82" spans="9:40" x14ac:dyDescent="0.45">
      <c r="I82" t="s">
        <v>179</v>
      </c>
      <c r="J82" t="s">
        <v>174</v>
      </c>
      <c r="K82">
        <v>1.0869044280030533E-2</v>
      </c>
      <c r="L82" t="s">
        <v>163</v>
      </c>
      <c r="N82" t="s">
        <v>210</v>
      </c>
      <c r="O82" t="s">
        <v>174</v>
      </c>
      <c r="P82">
        <v>0.11176525437650782</v>
      </c>
      <c r="Q82" t="s">
        <v>163</v>
      </c>
      <c r="S82" t="s">
        <v>241</v>
      </c>
      <c r="T82" t="s">
        <v>174</v>
      </c>
      <c r="U82">
        <v>0.13207832429265798</v>
      </c>
      <c r="V82" t="s">
        <v>163</v>
      </c>
      <c r="AK82">
        <v>2039</v>
      </c>
      <c r="AL82" t="s">
        <v>159</v>
      </c>
      <c r="AM82">
        <v>0.33075000000000004</v>
      </c>
      <c r="AN82" t="s">
        <v>289</v>
      </c>
    </row>
    <row r="83" spans="9:40" x14ac:dyDescent="0.45">
      <c r="I83" t="s">
        <v>180</v>
      </c>
      <c r="J83" t="s">
        <v>162</v>
      </c>
      <c r="K83">
        <v>1.9669790784293067E-2</v>
      </c>
      <c r="L83" t="s">
        <v>163</v>
      </c>
      <c r="N83" t="s">
        <v>211</v>
      </c>
      <c r="O83" t="s">
        <v>162</v>
      </c>
      <c r="P83">
        <v>0.14706077695969114</v>
      </c>
      <c r="Q83" t="s">
        <v>163</v>
      </c>
      <c r="S83" t="s">
        <v>242</v>
      </c>
      <c r="T83" t="s">
        <v>162</v>
      </c>
      <c r="U83">
        <v>0.1161210244270179</v>
      </c>
      <c r="V83" t="s">
        <v>163</v>
      </c>
      <c r="AK83">
        <v>2040</v>
      </c>
      <c r="AL83" t="s">
        <v>151</v>
      </c>
      <c r="AM83">
        <v>0.31027499999999997</v>
      </c>
      <c r="AN83" t="s">
        <v>289</v>
      </c>
    </row>
    <row r="84" spans="9:40" x14ac:dyDescent="0.45">
      <c r="I84" t="s">
        <v>180</v>
      </c>
      <c r="J84" t="s">
        <v>164</v>
      </c>
      <c r="K84">
        <v>0.3457650299327294</v>
      </c>
      <c r="L84" t="s">
        <v>163</v>
      </c>
      <c r="N84" t="s">
        <v>211</v>
      </c>
      <c r="O84" t="s">
        <v>164</v>
      </c>
      <c r="P84">
        <v>0.18032341080282796</v>
      </c>
      <c r="Q84" t="s">
        <v>163</v>
      </c>
      <c r="S84" t="s">
        <v>242</v>
      </c>
      <c r="T84" t="s">
        <v>164</v>
      </c>
      <c r="U84">
        <v>0.13882516338329232</v>
      </c>
      <c r="V84" t="s">
        <v>163</v>
      </c>
      <c r="AK84">
        <v>2040</v>
      </c>
      <c r="AL84" t="s">
        <v>155</v>
      </c>
      <c r="AM84">
        <v>0.49530000000000002</v>
      </c>
      <c r="AN84" t="s">
        <v>289</v>
      </c>
    </row>
    <row r="85" spans="9:40" x14ac:dyDescent="0.45">
      <c r="I85" t="s">
        <v>180</v>
      </c>
      <c r="J85" t="s">
        <v>165</v>
      </c>
      <c r="K85">
        <v>3.4670738451513076E-3</v>
      </c>
      <c r="L85" t="s">
        <v>163</v>
      </c>
      <c r="N85" t="s">
        <v>211</v>
      </c>
      <c r="O85" t="s">
        <v>165</v>
      </c>
      <c r="P85">
        <v>0.10850977600667712</v>
      </c>
      <c r="Q85" t="s">
        <v>163</v>
      </c>
      <c r="S85" t="s">
        <v>242</v>
      </c>
      <c r="T85" t="s">
        <v>165</v>
      </c>
      <c r="U85">
        <v>8.6763625890927884E-2</v>
      </c>
      <c r="V85" t="s">
        <v>163</v>
      </c>
      <c r="AK85">
        <v>2040</v>
      </c>
      <c r="AL85" t="s">
        <v>157</v>
      </c>
      <c r="AM85">
        <v>0.38790000000000002</v>
      </c>
      <c r="AN85" t="s">
        <v>289</v>
      </c>
    </row>
    <row r="86" spans="9:40" x14ac:dyDescent="0.45">
      <c r="I86" t="s">
        <v>180</v>
      </c>
      <c r="J86" t="s">
        <v>166</v>
      </c>
      <c r="K86">
        <v>7.314822211560241E-3</v>
      </c>
      <c r="L86" t="s">
        <v>163</v>
      </c>
      <c r="N86" t="s">
        <v>211</v>
      </c>
      <c r="O86" t="s">
        <v>166</v>
      </c>
      <c r="P86">
        <v>2.3148931731662555E-2</v>
      </c>
      <c r="Q86" t="s">
        <v>163</v>
      </c>
      <c r="S86" t="s">
        <v>242</v>
      </c>
      <c r="T86" t="s">
        <v>166</v>
      </c>
      <c r="U86">
        <v>1.9716118031157623E-2</v>
      </c>
      <c r="V86" t="s">
        <v>163</v>
      </c>
      <c r="AK86">
        <v>2040</v>
      </c>
      <c r="AL86" t="s">
        <v>159</v>
      </c>
      <c r="AM86">
        <v>0.31373333333333336</v>
      </c>
      <c r="AN86" t="s">
        <v>289</v>
      </c>
    </row>
    <row r="87" spans="9:40" x14ac:dyDescent="0.45">
      <c r="I87" t="s">
        <v>180</v>
      </c>
      <c r="J87" t="s">
        <v>167</v>
      </c>
      <c r="K87">
        <v>7.8022224674513418E-2</v>
      </c>
      <c r="L87" t="s">
        <v>163</v>
      </c>
      <c r="N87" t="s">
        <v>211</v>
      </c>
      <c r="O87" t="s">
        <v>167</v>
      </c>
      <c r="P87">
        <v>3.3251637339762712E-2</v>
      </c>
      <c r="Q87" t="s">
        <v>163</v>
      </c>
      <c r="S87" t="s">
        <v>242</v>
      </c>
      <c r="T87" t="s">
        <v>167</v>
      </c>
      <c r="U87">
        <v>2.6549822232104125E-2</v>
      </c>
      <c r="V87" t="s">
        <v>163</v>
      </c>
      <c r="AK87">
        <v>2041</v>
      </c>
      <c r="AL87" t="s">
        <v>151</v>
      </c>
      <c r="AM87">
        <v>0.30454999999999999</v>
      </c>
      <c r="AN87" t="s">
        <v>289</v>
      </c>
    </row>
    <row r="88" spans="9:40" x14ac:dyDescent="0.45">
      <c r="I88" t="s">
        <v>180</v>
      </c>
      <c r="J88" t="s">
        <v>168</v>
      </c>
      <c r="K88">
        <v>2.8818283807920749E-3</v>
      </c>
      <c r="L88" t="s">
        <v>163</v>
      </c>
      <c r="N88" t="s">
        <v>211</v>
      </c>
      <c r="O88" t="s">
        <v>168</v>
      </c>
      <c r="P88">
        <v>1.8927207704353913E-2</v>
      </c>
      <c r="Q88" t="s">
        <v>163</v>
      </c>
      <c r="S88" t="s">
        <v>242</v>
      </c>
      <c r="T88" t="s">
        <v>168</v>
      </c>
      <c r="U88">
        <v>1.3809223068217812E-2</v>
      </c>
      <c r="V88" t="s">
        <v>163</v>
      </c>
      <c r="AK88">
        <v>2041</v>
      </c>
      <c r="AL88" t="s">
        <v>155</v>
      </c>
      <c r="AM88">
        <v>0.42659999999999998</v>
      </c>
      <c r="AN88" t="s">
        <v>289</v>
      </c>
    </row>
    <row r="89" spans="9:40" x14ac:dyDescent="0.45">
      <c r="I89" t="s">
        <v>180</v>
      </c>
      <c r="J89" t="s">
        <v>169</v>
      </c>
      <c r="K89">
        <v>9.3256996410024835E-3</v>
      </c>
      <c r="L89" t="s">
        <v>163</v>
      </c>
      <c r="N89" t="s">
        <v>211</v>
      </c>
      <c r="O89" t="s">
        <v>169</v>
      </c>
      <c r="P89">
        <v>1.0639768486274901E-2</v>
      </c>
      <c r="Q89" t="s">
        <v>163</v>
      </c>
      <c r="S89" t="s">
        <v>242</v>
      </c>
      <c r="T89" t="s">
        <v>169</v>
      </c>
      <c r="U89">
        <v>2.8010317710807885E-2</v>
      </c>
      <c r="V89" t="s">
        <v>163</v>
      </c>
      <c r="AK89">
        <v>2041</v>
      </c>
      <c r="AL89" t="s">
        <v>157</v>
      </c>
      <c r="AM89">
        <v>0.43030000000000002</v>
      </c>
      <c r="AN89" t="s">
        <v>289</v>
      </c>
    </row>
    <row r="90" spans="9:40" x14ac:dyDescent="0.45">
      <c r="I90" t="s">
        <v>180</v>
      </c>
      <c r="J90" t="s">
        <v>170</v>
      </c>
      <c r="K90">
        <v>8.2861501101823526E-2</v>
      </c>
      <c r="L90" t="s">
        <v>163</v>
      </c>
      <c r="N90" t="s">
        <v>211</v>
      </c>
      <c r="O90" t="s">
        <v>170</v>
      </c>
      <c r="P90">
        <v>1.8704147662517098E-2</v>
      </c>
      <c r="Q90" t="s">
        <v>163</v>
      </c>
      <c r="S90" t="s">
        <v>242</v>
      </c>
      <c r="T90" t="s">
        <v>170</v>
      </c>
      <c r="U90">
        <v>3.1182475493539325E-2</v>
      </c>
      <c r="V90" t="s">
        <v>163</v>
      </c>
      <c r="AK90">
        <v>2041</v>
      </c>
      <c r="AL90" t="s">
        <v>159</v>
      </c>
      <c r="AM90">
        <v>0.33085000000000003</v>
      </c>
      <c r="AN90" t="s">
        <v>289</v>
      </c>
    </row>
    <row r="91" spans="9:40" x14ac:dyDescent="0.45">
      <c r="I91" t="s">
        <v>180</v>
      </c>
      <c r="J91" t="s">
        <v>171</v>
      </c>
      <c r="K91">
        <v>5.1374747787767301E-3</v>
      </c>
      <c r="L91" t="s">
        <v>163</v>
      </c>
      <c r="N91" t="s">
        <v>211</v>
      </c>
      <c r="O91" t="s">
        <v>171</v>
      </c>
      <c r="P91">
        <v>1.0427253191700672E-2</v>
      </c>
      <c r="Q91" t="s">
        <v>163</v>
      </c>
      <c r="S91" t="s">
        <v>242</v>
      </c>
      <c r="T91" t="s">
        <v>171</v>
      </c>
      <c r="U91">
        <v>1.7084532177014819E-2</v>
      </c>
      <c r="V91" t="s">
        <v>163</v>
      </c>
      <c r="AK91">
        <v>2042</v>
      </c>
      <c r="AL91" t="s">
        <v>151</v>
      </c>
      <c r="AM91">
        <v>0.32125000000000004</v>
      </c>
      <c r="AN91" t="s">
        <v>289</v>
      </c>
    </row>
    <row r="92" spans="9:40" x14ac:dyDescent="0.45">
      <c r="I92" t="s">
        <v>180</v>
      </c>
      <c r="J92" t="s">
        <v>172</v>
      </c>
      <c r="K92">
        <v>2.8691033634112861E-2</v>
      </c>
      <c r="L92" t="s">
        <v>163</v>
      </c>
      <c r="N92" t="s">
        <v>211</v>
      </c>
      <c r="O92" t="s">
        <v>172</v>
      </c>
      <c r="P92">
        <v>0.14431087036266402</v>
      </c>
      <c r="Q92" t="s">
        <v>163</v>
      </c>
      <c r="S92" t="s">
        <v>242</v>
      </c>
      <c r="T92" t="s">
        <v>172</v>
      </c>
      <c r="U92">
        <v>0.17969040665076663</v>
      </c>
      <c r="V92" t="s">
        <v>163</v>
      </c>
      <c r="AK92">
        <v>2042</v>
      </c>
      <c r="AL92" t="s">
        <v>155</v>
      </c>
      <c r="AM92">
        <v>0.44280000000000003</v>
      </c>
      <c r="AN92" t="s">
        <v>289</v>
      </c>
    </row>
    <row r="93" spans="9:40" x14ac:dyDescent="0.45">
      <c r="I93" t="s">
        <v>180</v>
      </c>
      <c r="J93" t="s">
        <v>173</v>
      </c>
      <c r="K93">
        <v>0.40789000955835858</v>
      </c>
      <c r="L93" t="s">
        <v>163</v>
      </c>
      <c r="N93" t="s">
        <v>211</v>
      </c>
      <c r="O93" t="s">
        <v>173</v>
      </c>
      <c r="P93">
        <v>0.18712899380835255</v>
      </c>
      <c r="Q93" t="s">
        <v>163</v>
      </c>
      <c r="S93" t="s">
        <v>242</v>
      </c>
      <c r="T93" t="s">
        <v>173</v>
      </c>
      <c r="U93">
        <v>0.21057804601539803</v>
      </c>
      <c r="V93" t="s">
        <v>163</v>
      </c>
      <c r="AK93">
        <v>2042</v>
      </c>
      <c r="AL93" t="s">
        <v>157</v>
      </c>
      <c r="AM93">
        <v>0.40329999999999999</v>
      </c>
      <c r="AN93" t="s">
        <v>289</v>
      </c>
    </row>
    <row r="94" spans="9:40" x14ac:dyDescent="0.45">
      <c r="I94" t="s">
        <v>180</v>
      </c>
      <c r="J94" t="s">
        <v>174</v>
      </c>
      <c r="K94">
        <v>8.9735114568855832E-3</v>
      </c>
      <c r="L94" t="s">
        <v>163</v>
      </c>
      <c r="N94" t="s">
        <v>211</v>
      </c>
      <c r="O94" t="s">
        <v>174</v>
      </c>
      <c r="P94">
        <v>0.1175672259435155</v>
      </c>
      <c r="Q94" t="s">
        <v>163</v>
      </c>
      <c r="S94" t="s">
        <v>242</v>
      </c>
      <c r="T94" t="s">
        <v>174</v>
      </c>
      <c r="U94">
        <v>0.13166924491975371</v>
      </c>
      <c r="V94" t="s">
        <v>163</v>
      </c>
      <c r="AK94">
        <v>2042</v>
      </c>
      <c r="AL94" t="s">
        <v>159</v>
      </c>
      <c r="AM94">
        <v>0.32478333333333337</v>
      </c>
      <c r="AN94" t="s">
        <v>289</v>
      </c>
    </row>
    <row r="95" spans="9:40" x14ac:dyDescent="0.45">
      <c r="I95" t="s">
        <v>181</v>
      </c>
      <c r="J95" t="s">
        <v>162</v>
      </c>
      <c r="K95">
        <v>2.1262662831101658E-2</v>
      </c>
      <c r="L95" t="s">
        <v>163</v>
      </c>
      <c r="N95" t="s">
        <v>212</v>
      </c>
      <c r="O95" t="s">
        <v>162</v>
      </c>
      <c r="P95">
        <v>0.13673299787170026</v>
      </c>
      <c r="Q95" t="s">
        <v>163</v>
      </c>
      <c r="S95" t="s">
        <v>243</v>
      </c>
      <c r="T95" t="s">
        <v>162</v>
      </c>
      <c r="U95">
        <v>0.1213856756752939</v>
      </c>
      <c r="V95" t="s">
        <v>163</v>
      </c>
      <c r="AK95">
        <v>2043</v>
      </c>
      <c r="AL95" t="s">
        <v>151</v>
      </c>
      <c r="AM95">
        <v>0.311</v>
      </c>
      <c r="AN95" t="s">
        <v>289</v>
      </c>
    </row>
    <row r="96" spans="9:40" x14ac:dyDescent="0.45">
      <c r="I96" t="s">
        <v>181</v>
      </c>
      <c r="J96" t="s">
        <v>164</v>
      </c>
      <c r="K96">
        <v>0.36232013794396073</v>
      </c>
      <c r="L96" t="s">
        <v>163</v>
      </c>
      <c r="N96" t="s">
        <v>212</v>
      </c>
      <c r="O96" t="s">
        <v>164</v>
      </c>
      <c r="P96">
        <v>0.22241477246427324</v>
      </c>
      <c r="Q96" t="s">
        <v>163</v>
      </c>
      <c r="S96" t="s">
        <v>243</v>
      </c>
      <c r="T96" t="s">
        <v>164</v>
      </c>
      <c r="U96">
        <v>0.12434750966225661</v>
      </c>
      <c r="V96" t="s">
        <v>163</v>
      </c>
      <c r="AK96">
        <v>2043</v>
      </c>
      <c r="AL96" t="s">
        <v>155</v>
      </c>
      <c r="AM96">
        <v>0.49659999999999999</v>
      </c>
      <c r="AN96" t="s">
        <v>289</v>
      </c>
    </row>
    <row r="97" spans="9:40" x14ac:dyDescent="0.45">
      <c r="I97" t="s">
        <v>181</v>
      </c>
      <c r="J97" t="s">
        <v>165</v>
      </c>
      <c r="K97">
        <v>3.2695783947493361E-3</v>
      </c>
      <c r="L97" t="s">
        <v>163</v>
      </c>
      <c r="N97" t="s">
        <v>212</v>
      </c>
      <c r="O97" t="s">
        <v>165</v>
      </c>
      <c r="P97">
        <v>0.1011508654520009</v>
      </c>
      <c r="Q97" t="s">
        <v>163</v>
      </c>
      <c r="S97" t="s">
        <v>243</v>
      </c>
      <c r="T97" t="s">
        <v>165</v>
      </c>
      <c r="U97">
        <v>8.3818960758467731E-2</v>
      </c>
      <c r="V97" t="s">
        <v>163</v>
      </c>
      <c r="AK97">
        <v>2043</v>
      </c>
      <c r="AL97" t="s">
        <v>157</v>
      </c>
      <c r="AM97">
        <v>0.38800000000000001</v>
      </c>
      <c r="AN97" t="s">
        <v>289</v>
      </c>
    </row>
    <row r="98" spans="9:40" x14ac:dyDescent="0.45">
      <c r="I98" t="s">
        <v>181</v>
      </c>
      <c r="J98" t="s">
        <v>166</v>
      </c>
      <c r="K98">
        <v>7.7179349604889202E-3</v>
      </c>
      <c r="L98" t="s">
        <v>163</v>
      </c>
      <c r="N98" t="s">
        <v>212</v>
      </c>
      <c r="O98" t="s">
        <v>166</v>
      </c>
      <c r="P98">
        <v>1.8908353442556921E-2</v>
      </c>
      <c r="Q98" t="s">
        <v>163</v>
      </c>
      <c r="S98" t="s">
        <v>243</v>
      </c>
      <c r="T98" t="s">
        <v>166</v>
      </c>
      <c r="U98">
        <v>2.0842623964813772E-2</v>
      </c>
      <c r="V98" t="s">
        <v>163</v>
      </c>
      <c r="AK98">
        <v>2043</v>
      </c>
      <c r="AL98" t="s">
        <v>159</v>
      </c>
      <c r="AM98">
        <v>0.3382</v>
      </c>
      <c r="AN98" t="s">
        <v>289</v>
      </c>
    </row>
    <row r="99" spans="9:40" x14ac:dyDescent="0.45">
      <c r="I99" t="s">
        <v>181</v>
      </c>
      <c r="J99" t="s">
        <v>167</v>
      </c>
      <c r="K99">
        <v>7.7091307869693093E-2</v>
      </c>
      <c r="L99" t="s">
        <v>163</v>
      </c>
      <c r="N99" t="s">
        <v>212</v>
      </c>
      <c r="O99" t="s">
        <v>167</v>
      </c>
      <c r="P99">
        <v>3.997588371619213E-2</v>
      </c>
      <c r="Q99" t="s">
        <v>163</v>
      </c>
      <c r="S99" t="s">
        <v>243</v>
      </c>
      <c r="T99" t="s">
        <v>167</v>
      </c>
      <c r="U99">
        <v>2.6642890350740769E-2</v>
      </c>
      <c r="V99" t="s">
        <v>163</v>
      </c>
      <c r="AK99">
        <v>2044</v>
      </c>
      <c r="AL99" t="s">
        <v>151</v>
      </c>
      <c r="AM99">
        <v>0.25790000000000002</v>
      </c>
      <c r="AN99" t="s">
        <v>289</v>
      </c>
    </row>
    <row r="100" spans="9:40" x14ac:dyDescent="0.45">
      <c r="I100" t="s">
        <v>181</v>
      </c>
      <c r="J100" t="s">
        <v>168</v>
      </c>
      <c r="K100">
        <v>2.664549803070891E-3</v>
      </c>
      <c r="L100" t="s">
        <v>163</v>
      </c>
      <c r="N100" t="s">
        <v>212</v>
      </c>
      <c r="O100" t="s">
        <v>168</v>
      </c>
      <c r="P100">
        <v>1.8115113051577647E-2</v>
      </c>
      <c r="Q100" t="s">
        <v>163</v>
      </c>
      <c r="S100" t="s">
        <v>243</v>
      </c>
      <c r="T100" t="s">
        <v>168</v>
      </c>
      <c r="U100">
        <v>1.4924139612331079E-2</v>
      </c>
      <c r="V100" t="s">
        <v>163</v>
      </c>
      <c r="AK100">
        <v>2044</v>
      </c>
      <c r="AL100" t="s">
        <v>155</v>
      </c>
      <c r="AM100">
        <v>0.41289999999999999</v>
      </c>
      <c r="AN100" t="s">
        <v>289</v>
      </c>
    </row>
    <row r="101" spans="9:40" x14ac:dyDescent="0.45">
      <c r="I101" t="s">
        <v>181</v>
      </c>
      <c r="J101" t="s">
        <v>169</v>
      </c>
      <c r="K101">
        <v>6.2434555317137661E-3</v>
      </c>
      <c r="L101" t="s">
        <v>163</v>
      </c>
      <c r="N101" t="s">
        <v>212</v>
      </c>
      <c r="O101" t="s">
        <v>169</v>
      </c>
      <c r="P101">
        <v>8.3098490184107011E-3</v>
      </c>
      <c r="Q101" t="s">
        <v>163</v>
      </c>
      <c r="S101" t="s">
        <v>243</v>
      </c>
      <c r="T101" t="s">
        <v>169</v>
      </c>
      <c r="U101">
        <v>2.6201068182449775E-2</v>
      </c>
      <c r="V101" t="s">
        <v>163</v>
      </c>
      <c r="AK101">
        <v>2044</v>
      </c>
      <c r="AL101" t="s">
        <v>157</v>
      </c>
      <c r="AM101">
        <v>0.36380000000000001</v>
      </c>
      <c r="AN101" t="s">
        <v>289</v>
      </c>
    </row>
    <row r="102" spans="9:40" x14ac:dyDescent="0.45">
      <c r="I102" t="s">
        <v>181</v>
      </c>
      <c r="J102" t="s">
        <v>170</v>
      </c>
      <c r="K102">
        <v>7.9709415395231631E-2</v>
      </c>
      <c r="L102" t="s">
        <v>163</v>
      </c>
      <c r="N102" t="s">
        <v>212</v>
      </c>
      <c r="O102" t="s">
        <v>170</v>
      </c>
      <c r="P102">
        <v>1.8377981503212602E-2</v>
      </c>
      <c r="Q102" t="s">
        <v>163</v>
      </c>
      <c r="S102" t="s">
        <v>243</v>
      </c>
      <c r="T102" t="s">
        <v>170</v>
      </c>
      <c r="U102">
        <v>3.6399113988907716E-2</v>
      </c>
      <c r="V102" t="s">
        <v>163</v>
      </c>
      <c r="AK102">
        <v>2044</v>
      </c>
      <c r="AL102" t="s">
        <v>159</v>
      </c>
      <c r="AM102">
        <v>0.28160000000000002</v>
      </c>
      <c r="AN102" t="s">
        <v>289</v>
      </c>
    </row>
    <row r="103" spans="9:40" x14ac:dyDescent="0.45">
      <c r="I103" t="s">
        <v>181</v>
      </c>
      <c r="J103" t="s">
        <v>171</v>
      </c>
      <c r="K103">
        <v>4.0145110242700947E-3</v>
      </c>
      <c r="L103" t="s">
        <v>163</v>
      </c>
      <c r="N103" t="s">
        <v>212</v>
      </c>
      <c r="O103" t="s">
        <v>171</v>
      </c>
      <c r="P103">
        <v>6.5878072275974775E-3</v>
      </c>
      <c r="Q103" t="s">
        <v>163</v>
      </c>
      <c r="S103" t="s">
        <v>243</v>
      </c>
      <c r="T103" t="s">
        <v>171</v>
      </c>
      <c r="U103">
        <v>2.0343400059767661E-2</v>
      </c>
      <c r="V103" t="s">
        <v>163</v>
      </c>
      <c r="AK103">
        <v>2045</v>
      </c>
      <c r="AL103" t="s">
        <v>151</v>
      </c>
      <c r="AM103">
        <v>0.25492500000000001</v>
      </c>
      <c r="AN103" t="s">
        <v>289</v>
      </c>
    </row>
    <row r="104" spans="9:40" x14ac:dyDescent="0.45">
      <c r="I104" t="s">
        <v>181</v>
      </c>
      <c r="J104" t="s">
        <v>172</v>
      </c>
      <c r="K104">
        <v>2.3484932236267787E-2</v>
      </c>
      <c r="L104" t="s">
        <v>163</v>
      </c>
      <c r="N104" t="s">
        <v>212</v>
      </c>
      <c r="O104" t="s">
        <v>172</v>
      </c>
      <c r="P104">
        <v>0.12482385104692473</v>
      </c>
      <c r="Q104" t="s">
        <v>163</v>
      </c>
      <c r="S104" t="s">
        <v>243</v>
      </c>
      <c r="T104" t="s">
        <v>172</v>
      </c>
      <c r="U104">
        <v>0.17698899680710775</v>
      </c>
      <c r="V104" t="s">
        <v>163</v>
      </c>
      <c r="AK104">
        <v>2045</v>
      </c>
      <c r="AL104" t="s">
        <v>155</v>
      </c>
      <c r="AM104">
        <v>0.4047</v>
      </c>
      <c r="AN104" t="s">
        <v>289</v>
      </c>
    </row>
    <row r="105" spans="9:40" x14ac:dyDescent="0.45">
      <c r="I105" t="s">
        <v>181</v>
      </c>
      <c r="J105" t="s">
        <v>173</v>
      </c>
      <c r="K105">
        <v>0.40589949734192338</v>
      </c>
      <c r="L105" t="s">
        <v>163</v>
      </c>
      <c r="N105" t="s">
        <v>212</v>
      </c>
      <c r="O105" t="s">
        <v>173</v>
      </c>
      <c r="P105">
        <v>0.20677541299994862</v>
      </c>
      <c r="Q105" t="s">
        <v>163</v>
      </c>
      <c r="S105" t="s">
        <v>243</v>
      </c>
      <c r="T105" t="s">
        <v>173</v>
      </c>
      <c r="U105">
        <v>0.21254447148625435</v>
      </c>
      <c r="V105" t="s">
        <v>163</v>
      </c>
      <c r="AK105">
        <v>2045</v>
      </c>
      <c r="AL105" t="s">
        <v>157</v>
      </c>
      <c r="AM105">
        <v>0.34949999999999998</v>
      </c>
      <c r="AN105" t="s">
        <v>289</v>
      </c>
    </row>
    <row r="106" spans="9:40" x14ac:dyDescent="0.45">
      <c r="I106" t="s">
        <v>181</v>
      </c>
      <c r="J106" t="s">
        <v>174</v>
      </c>
      <c r="K106">
        <v>6.322016667530469E-3</v>
      </c>
      <c r="L106" t="s">
        <v>163</v>
      </c>
      <c r="N106" t="s">
        <v>212</v>
      </c>
      <c r="O106" t="s">
        <v>174</v>
      </c>
      <c r="P106">
        <v>9.7827112205600072E-2</v>
      </c>
      <c r="Q106" t="s">
        <v>163</v>
      </c>
      <c r="S106" t="s">
        <v>243</v>
      </c>
      <c r="T106" t="s">
        <v>174</v>
      </c>
      <c r="U106">
        <v>0.13556114945160974</v>
      </c>
      <c r="V106" t="s">
        <v>163</v>
      </c>
      <c r="AK106">
        <v>2045</v>
      </c>
      <c r="AL106" t="s">
        <v>159</v>
      </c>
      <c r="AM106">
        <v>0.26794999999999997</v>
      </c>
      <c r="AN106" t="s">
        <v>289</v>
      </c>
    </row>
    <row r="107" spans="9:40" x14ac:dyDescent="0.45">
      <c r="I107" t="s">
        <v>182</v>
      </c>
      <c r="J107" t="s">
        <v>162</v>
      </c>
      <c r="K107">
        <v>1.8915864966736536E-2</v>
      </c>
      <c r="L107" t="s">
        <v>163</v>
      </c>
      <c r="N107" t="s">
        <v>213</v>
      </c>
      <c r="O107" t="s">
        <v>162</v>
      </c>
      <c r="P107">
        <v>0.15011934123655549</v>
      </c>
      <c r="Q107" t="s">
        <v>163</v>
      </c>
      <c r="S107" t="s">
        <v>244</v>
      </c>
      <c r="T107" t="s">
        <v>162</v>
      </c>
      <c r="U107">
        <v>0.12482953538413709</v>
      </c>
      <c r="V107" t="s">
        <v>163</v>
      </c>
      <c r="AK107">
        <v>2046</v>
      </c>
      <c r="AL107" t="s">
        <v>151</v>
      </c>
      <c r="AM107">
        <v>0.26135000000000003</v>
      </c>
      <c r="AN107" t="s">
        <v>289</v>
      </c>
    </row>
    <row r="108" spans="9:40" x14ac:dyDescent="0.45">
      <c r="I108" t="s">
        <v>182</v>
      </c>
      <c r="J108" t="s">
        <v>164</v>
      </c>
      <c r="K108">
        <v>0.36550611788780935</v>
      </c>
      <c r="L108" t="s">
        <v>163</v>
      </c>
      <c r="N108" t="s">
        <v>213</v>
      </c>
      <c r="O108" t="s">
        <v>164</v>
      </c>
      <c r="P108">
        <v>0.23177969712105692</v>
      </c>
      <c r="Q108" t="s">
        <v>163</v>
      </c>
      <c r="S108" t="s">
        <v>244</v>
      </c>
      <c r="T108" t="s">
        <v>164</v>
      </c>
      <c r="U108">
        <v>0.13100888163655328</v>
      </c>
      <c r="V108" t="s">
        <v>163</v>
      </c>
      <c r="AK108">
        <v>2046</v>
      </c>
      <c r="AL108" t="s">
        <v>155</v>
      </c>
      <c r="AM108">
        <v>0.3669</v>
      </c>
      <c r="AN108" t="s">
        <v>289</v>
      </c>
    </row>
    <row r="109" spans="9:40" x14ac:dyDescent="0.45">
      <c r="I109" t="s">
        <v>182</v>
      </c>
      <c r="J109" t="s">
        <v>165</v>
      </c>
      <c r="K109">
        <v>4.1836892289697936E-3</v>
      </c>
      <c r="L109" t="s">
        <v>163</v>
      </c>
      <c r="N109" t="s">
        <v>213</v>
      </c>
      <c r="O109" t="s">
        <v>165</v>
      </c>
      <c r="P109">
        <v>9.7752113483237313E-2</v>
      </c>
      <c r="Q109" t="s">
        <v>163</v>
      </c>
      <c r="S109" t="s">
        <v>244</v>
      </c>
      <c r="T109" t="s">
        <v>165</v>
      </c>
      <c r="U109">
        <v>8.6447432766525598E-2</v>
      </c>
      <c r="V109" t="s">
        <v>163</v>
      </c>
      <c r="AK109">
        <v>2046</v>
      </c>
      <c r="AL109" t="s">
        <v>157</v>
      </c>
      <c r="AM109">
        <v>0.35570000000000002</v>
      </c>
      <c r="AN109" t="s">
        <v>289</v>
      </c>
    </row>
    <row r="110" spans="9:40" x14ac:dyDescent="0.45">
      <c r="I110" t="s">
        <v>182</v>
      </c>
      <c r="J110" t="s">
        <v>166</v>
      </c>
      <c r="K110">
        <v>8.2780137359148211E-3</v>
      </c>
      <c r="L110" t="s">
        <v>163</v>
      </c>
      <c r="N110" t="s">
        <v>213</v>
      </c>
      <c r="O110" t="s">
        <v>166</v>
      </c>
      <c r="P110">
        <v>2.4095594010137875E-2</v>
      </c>
      <c r="Q110" t="s">
        <v>163</v>
      </c>
      <c r="S110" t="s">
        <v>244</v>
      </c>
      <c r="T110" t="s">
        <v>166</v>
      </c>
      <c r="U110">
        <v>2.1741702091370212E-2</v>
      </c>
      <c r="V110" t="s">
        <v>163</v>
      </c>
      <c r="AK110">
        <v>2046</v>
      </c>
      <c r="AL110" t="s">
        <v>159</v>
      </c>
      <c r="AM110">
        <v>0.2903</v>
      </c>
      <c r="AN110" t="s">
        <v>289</v>
      </c>
    </row>
    <row r="111" spans="9:40" x14ac:dyDescent="0.45">
      <c r="I111" t="s">
        <v>182</v>
      </c>
      <c r="J111" t="s">
        <v>167</v>
      </c>
      <c r="K111">
        <v>7.7333198751354984E-2</v>
      </c>
      <c r="L111" t="s">
        <v>163</v>
      </c>
      <c r="N111" t="s">
        <v>213</v>
      </c>
      <c r="O111" t="s">
        <v>167</v>
      </c>
      <c r="P111">
        <v>4.0226023905699196E-2</v>
      </c>
      <c r="Q111" t="s">
        <v>163</v>
      </c>
      <c r="S111" t="s">
        <v>244</v>
      </c>
      <c r="T111" t="s">
        <v>167</v>
      </c>
      <c r="U111">
        <v>2.514816735008758E-2</v>
      </c>
      <c r="V111" t="s">
        <v>163</v>
      </c>
      <c r="AK111">
        <v>2047</v>
      </c>
      <c r="AL111" t="s">
        <v>151</v>
      </c>
      <c r="AM111">
        <v>0.25842500000000002</v>
      </c>
      <c r="AN111" t="s">
        <v>289</v>
      </c>
    </row>
    <row r="112" spans="9:40" x14ac:dyDescent="0.45">
      <c r="I112" t="s">
        <v>182</v>
      </c>
      <c r="J112" t="s">
        <v>168</v>
      </c>
      <c r="K112">
        <v>3.1066148180231212E-3</v>
      </c>
      <c r="L112" t="s">
        <v>163</v>
      </c>
      <c r="N112" t="s">
        <v>213</v>
      </c>
      <c r="O112" t="s">
        <v>168</v>
      </c>
      <c r="P112">
        <v>1.6751990102821322E-2</v>
      </c>
      <c r="Q112" t="s">
        <v>163</v>
      </c>
      <c r="S112" t="s">
        <v>244</v>
      </c>
      <c r="T112" t="s">
        <v>168</v>
      </c>
      <c r="U112">
        <v>1.5771414064863504E-2</v>
      </c>
      <c r="V112" t="s">
        <v>163</v>
      </c>
      <c r="AK112">
        <v>2047</v>
      </c>
      <c r="AL112" t="s">
        <v>155</v>
      </c>
      <c r="AM112">
        <v>0.43130000000000002</v>
      </c>
      <c r="AN112" t="s">
        <v>289</v>
      </c>
    </row>
    <row r="113" spans="9:40" x14ac:dyDescent="0.45">
      <c r="I113" t="s">
        <v>182</v>
      </c>
      <c r="J113" t="s">
        <v>169</v>
      </c>
      <c r="K113">
        <v>8.2842444255227417E-3</v>
      </c>
      <c r="L113" t="s">
        <v>163</v>
      </c>
      <c r="N113" t="s">
        <v>213</v>
      </c>
      <c r="O113" t="s">
        <v>169</v>
      </c>
      <c r="P113">
        <v>6.5335596491719484E-3</v>
      </c>
      <c r="Q113" t="s">
        <v>163</v>
      </c>
      <c r="S113" t="s">
        <v>244</v>
      </c>
      <c r="T113" t="s">
        <v>169</v>
      </c>
      <c r="U113">
        <v>2.577185630926106E-2</v>
      </c>
      <c r="V113" t="s">
        <v>163</v>
      </c>
      <c r="AK113">
        <v>2047</v>
      </c>
      <c r="AL113" t="s">
        <v>157</v>
      </c>
      <c r="AM113">
        <v>0.3533</v>
      </c>
      <c r="AN113" t="s">
        <v>289</v>
      </c>
    </row>
    <row r="114" spans="9:40" x14ac:dyDescent="0.45">
      <c r="I114" t="s">
        <v>182</v>
      </c>
      <c r="J114" t="s">
        <v>170</v>
      </c>
      <c r="K114">
        <v>8.0653954784528914E-2</v>
      </c>
      <c r="L114" t="s">
        <v>163</v>
      </c>
      <c r="N114" t="s">
        <v>213</v>
      </c>
      <c r="O114" t="s">
        <v>170</v>
      </c>
      <c r="P114">
        <v>6.0428879549760083E-3</v>
      </c>
      <c r="Q114" t="s">
        <v>163</v>
      </c>
      <c r="S114" t="s">
        <v>244</v>
      </c>
      <c r="T114" t="s">
        <v>170</v>
      </c>
      <c r="U114">
        <v>3.4091729510926497E-2</v>
      </c>
      <c r="V114" t="s">
        <v>163</v>
      </c>
      <c r="AK114">
        <v>2047</v>
      </c>
      <c r="AL114" t="s">
        <v>159</v>
      </c>
      <c r="AM114">
        <v>0.27533333333333332</v>
      </c>
      <c r="AN114" t="s">
        <v>289</v>
      </c>
    </row>
    <row r="115" spans="9:40" x14ac:dyDescent="0.45">
      <c r="I115" t="s">
        <v>182</v>
      </c>
      <c r="J115" t="s">
        <v>171</v>
      </c>
      <c r="K115">
        <v>4.4431653170133069E-3</v>
      </c>
      <c r="L115" t="s">
        <v>163</v>
      </c>
      <c r="N115" t="s">
        <v>213</v>
      </c>
      <c r="O115" t="s">
        <v>171</v>
      </c>
      <c r="P115">
        <v>2.8595102784515856E-3</v>
      </c>
      <c r="Q115" t="s">
        <v>163</v>
      </c>
      <c r="S115" t="s">
        <v>244</v>
      </c>
      <c r="T115" t="s">
        <v>171</v>
      </c>
      <c r="U115">
        <v>1.9403553838805241E-2</v>
      </c>
      <c r="V115" t="s">
        <v>163</v>
      </c>
      <c r="AK115">
        <v>2048</v>
      </c>
      <c r="AL115" t="s">
        <v>151</v>
      </c>
      <c r="AM115">
        <v>0.26347499999999996</v>
      </c>
      <c r="AN115" t="s">
        <v>289</v>
      </c>
    </row>
    <row r="116" spans="9:40" x14ac:dyDescent="0.45">
      <c r="I116" t="s">
        <v>182</v>
      </c>
      <c r="J116" t="s">
        <v>172</v>
      </c>
      <c r="K116">
        <v>2.3822414728508164E-2</v>
      </c>
      <c r="L116" t="s">
        <v>163</v>
      </c>
      <c r="N116" t="s">
        <v>213</v>
      </c>
      <c r="O116" t="s">
        <v>172</v>
      </c>
      <c r="P116">
        <v>0.13842090716602543</v>
      </c>
      <c r="Q116" t="s">
        <v>163</v>
      </c>
      <c r="S116" t="s">
        <v>244</v>
      </c>
      <c r="T116" t="s">
        <v>172</v>
      </c>
      <c r="U116">
        <v>0.17634293607497539</v>
      </c>
      <c r="V116" t="s">
        <v>163</v>
      </c>
      <c r="AK116">
        <v>2048</v>
      </c>
      <c r="AL116" t="s">
        <v>155</v>
      </c>
      <c r="AM116">
        <v>0.38919999999999999</v>
      </c>
      <c r="AN116" t="s">
        <v>289</v>
      </c>
    </row>
    <row r="117" spans="9:40" x14ac:dyDescent="0.45">
      <c r="I117" t="s">
        <v>182</v>
      </c>
      <c r="J117" t="s">
        <v>173</v>
      </c>
      <c r="K117">
        <v>0.39829015772012766</v>
      </c>
      <c r="L117" t="s">
        <v>163</v>
      </c>
      <c r="N117" t="s">
        <v>213</v>
      </c>
      <c r="O117" t="s">
        <v>173</v>
      </c>
      <c r="P117">
        <v>0.19659806107563596</v>
      </c>
      <c r="Q117" t="s">
        <v>163</v>
      </c>
      <c r="S117" t="s">
        <v>244</v>
      </c>
      <c r="T117" t="s">
        <v>173</v>
      </c>
      <c r="U117">
        <v>0.20982111091890437</v>
      </c>
      <c r="V117" t="s">
        <v>163</v>
      </c>
      <c r="AK117">
        <v>2048</v>
      </c>
      <c r="AL117" t="s">
        <v>157</v>
      </c>
      <c r="AM117">
        <v>0.39660000000000001</v>
      </c>
      <c r="AN117" t="s">
        <v>289</v>
      </c>
    </row>
    <row r="118" spans="9:40" x14ac:dyDescent="0.45">
      <c r="I118" t="s">
        <v>182</v>
      </c>
      <c r="J118" t="s">
        <v>174</v>
      </c>
      <c r="K118">
        <v>7.182563635492769E-3</v>
      </c>
      <c r="L118" t="s">
        <v>163</v>
      </c>
      <c r="N118" t="s">
        <v>213</v>
      </c>
      <c r="O118" t="s">
        <v>174</v>
      </c>
      <c r="P118">
        <v>8.8820314016231666E-2</v>
      </c>
      <c r="Q118" t="s">
        <v>163</v>
      </c>
      <c r="S118" t="s">
        <v>244</v>
      </c>
      <c r="T118" t="s">
        <v>174</v>
      </c>
      <c r="U118">
        <v>0.12962168005359365</v>
      </c>
      <c r="V118" t="s">
        <v>163</v>
      </c>
      <c r="AK118">
        <v>2048</v>
      </c>
      <c r="AL118" t="s">
        <v>159</v>
      </c>
      <c r="AM118">
        <v>0.27918333333333334</v>
      </c>
      <c r="AN118" t="s">
        <v>289</v>
      </c>
    </row>
    <row r="119" spans="9:40" x14ac:dyDescent="0.45">
      <c r="I119" t="s">
        <v>183</v>
      </c>
      <c r="J119" t="s">
        <v>162</v>
      </c>
      <c r="K119">
        <v>1.6641977104368436E-2</v>
      </c>
      <c r="L119" t="s">
        <v>163</v>
      </c>
      <c r="N119" t="s">
        <v>214</v>
      </c>
      <c r="O119" t="s">
        <v>162</v>
      </c>
      <c r="P119">
        <v>0.14575372561772562</v>
      </c>
      <c r="Q119" t="s">
        <v>163</v>
      </c>
      <c r="S119" t="s">
        <v>245</v>
      </c>
      <c r="T119" t="s">
        <v>162</v>
      </c>
      <c r="U119">
        <v>0.14476852526982772</v>
      </c>
      <c r="V119" t="s">
        <v>163</v>
      </c>
      <c r="AK119">
        <v>2049</v>
      </c>
      <c r="AL119" t="s">
        <v>151</v>
      </c>
      <c r="AM119">
        <v>0.27607499999999996</v>
      </c>
      <c r="AN119" t="s">
        <v>289</v>
      </c>
    </row>
    <row r="120" spans="9:40" x14ac:dyDescent="0.45">
      <c r="I120" t="s">
        <v>183</v>
      </c>
      <c r="J120" t="s">
        <v>164</v>
      </c>
      <c r="K120">
        <v>0.30930525602149506</v>
      </c>
      <c r="L120" t="s">
        <v>163</v>
      </c>
      <c r="N120" t="s">
        <v>214</v>
      </c>
      <c r="O120" t="s">
        <v>164</v>
      </c>
      <c r="P120">
        <v>0.16689343982331667</v>
      </c>
      <c r="Q120" t="s">
        <v>163</v>
      </c>
      <c r="S120" t="s">
        <v>245</v>
      </c>
      <c r="T120" t="s">
        <v>164</v>
      </c>
      <c r="U120">
        <v>0.15082385829404862</v>
      </c>
      <c r="V120" t="s">
        <v>163</v>
      </c>
      <c r="AK120">
        <v>2049</v>
      </c>
      <c r="AL120" t="s">
        <v>155</v>
      </c>
      <c r="AM120">
        <v>0.39789999999999998</v>
      </c>
      <c r="AN120" t="s">
        <v>289</v>
      </c>
    </row>
    <row r="121" spans="9:40" x14ac:dyDescent="0.45">
      <c r="I121" t="s">
        <v>183</v>
      </c>
      <c r="J121" t="s">
        <v>165</v>
      </c>
      <c r="K121">
        <v>2.9790277305624608E-3</v>
      </c>
      <c r="L121" t="s">
        <v>163</v>
      </c>
      <c r="N121" t="s">
        <v>214</v>
      </c>
      <c r="O121" t="s">
        <v>165</v>
      </c>
      <c r="P121">
        <v>0.10446545170276796</v>
      </c>
      <c r="Q121" t="s">
        <v>163</v>
      </c>
      <c r="S121" t="s">
        <v>245</v>
      </c>
      <c r="T121" t="s">
        <v>165</v>
      </c>
      <c r="U121">
        <v>9.768629437351313E-2</v>
      </c>
      <c r="V121" t="s">
        <v>163</v>
      </c>
      <c r="AK121">
        <v>2049</v>
      </c>
      <c r="AL121" t="s">
        <v>157</v>
      </c>
      <c r="AM121">
        <v>0.35639999999999999</v>
      </c>
      <c r="AN121" t="s">
        <v>289</v>
      </c>
    </row>
    <row r="122" spans="9:40" x14ac:dyDescent="0.45">
      <c r="I122" t="s">
        <v>183</v>
      </c>
      <c r="J122" t="s">
        <v>166</v>
      </c>
      <c r="K122">
        <v>1.0362999664282712E-2</v>
      </c>
      <c r="L122" t="s">
        <v>163</v>
      </c>
      <c r="N122" t="s">
        <v>214</v>
      </c>
      <c r="O122" t="s">
        <v>166</v>
      </c>
      <c r="P122">
        <v>2.2551700640765185E-2</v>
      </c>
      <c r="Q122" t="s">
        <v>163</v>
      </c>
      <c r="S122" t="s">
        <v>245</v>
      </c>
      <c r="T122" t="s">
        <v>166</v>
      </c>
      <c r="U122">
        <v>2.2762514540979051E-2</v>
      </c>
      <c r="V122" t="s">
        <v>163</v>
      </c>
      <c r="AK122">
        <v>2049</v>
      </c>
      <c r="AL122" t="s">
        <v>159</v>
      </c>
      <c r="AM122">
        <v>0.28004999999999997</v>
      </c>
      <c r="AN122" t="s">
        <v>289</v>
      </c>
    </row>
    <row r="123" spans="9:40" x14ac:dyDescent="0.45">
      <c r="I123" t="s">
        <v>183</v>
      </c>
      <c r="J123" t="s">
        <v>167</v>
      </c>
      <c r="K123">
        <v>0.10020718643535977</v>
      </c>
      <c r="L123" t="s">
        <v>163</v>
      </c>
      <c r="N123" t="s">
        <v>214</v>
      </c>
      <c r="O123" t="s">
        <v>167</v>
      </c>
      <c r="P123">
        <v>3.3568572161609474E-2</v>
      </c>
      <c r="Q123" t="s">
        <v>163</v>
      </c>
      <c r="S123" t="s">
        <v>245</v>
      </c>
      <c r="T123" t="s">
        <v>167</v>
      </c>
      <c r="U123">
        <v>2.9796145862642388E-2</v>
      </c>
      <c r="V123" t="s">
        <v>163</v>
      </c>
      <c r="AK123">
        <v>2050</v>
      </c>
      <c r="AL123" t="s">
        <v>151</v>
      </c>
      <c r="AM123">
        <v>0.2611</v>
      </c>
      <c r="AN123" t="s">
        <v>289</v>
      </c>
    </row>
    <row r="124" spans="9:40" x14ac:dyDescent="0.45">
      <c r="I124" t="s">
        <v>183</v>
      </c>
      <c r="J124" t="s">
        <v>168</v>
      </c>
      <c r="K124">
        <v>3.1128411999979864E-3</v>
      </c>
      <c r="L124" t="s">
        <v>163</v>
      </c>
      <c r="N124" t="s">
        <v>214</v>
      </c>
      <c r="O124" t="s">
        <v>168</v>
      </c>
      <c r="P124">
        <v>1.9564224816691046E-2</v>
      </c>
      <c r="Q124" t="s">
        <v>163</v>
      </c>
      <c r="S124" t="s">
        <v>245</v>
      </c>
      <c r="T124" t="s">
        <v>168</v>
      </c>
      <c r="U124">
        <v>1.6926309360983115E-2</v>
      </c>
      <c r="V124" t="s">
        <v>163</v>
      </c>
      <c r="AK124">
        <v>2050</v>
      </c>
      <c r="AL124" t="s">
        <v>155</v>
      </c>
      <c r="AM124">
        <v>0.3614</v>
      </c>
      <c r="AN124" t="s">
        <v>289</v>
      </c>
    </row>
    <row r="125" spans="9:40" x14ac:dyDescent="0.45">
      <c r="I125" t="s">
        <v>183</v>
      </c>
      <c r="J125" t="s">
        <v>169</v>
      </c>
      <c r="K125">
        <v>5.6787456605002984E-3</v>
      </c>
      <c r="L125" t="s">
        <v>163</v>
      </c>
      <c r="N125" t="s">
        <v>214</v>
      </c>
      <c r="O125" t="s">
        <v>169</v>
      </c>
      <c r="P125">
        <v>1.1910856477766286E-2</v>
      </c>
      <c r="Q125" t="s">
        <v>163</v>
      </c>
      <c r="S125" t="s">
        <v>245</v>
      </c>
      <c r="T125" t="s">
        <v>169</v>
      </c>
      <c r="U125">
        <v>1.8140176818750596E-2</v>
      </c>
      <c r="V125" t="s">
        <v>163</v>
      </c>
      <c r="AK125">
        <v>2050</v>
      </c>
      <c r="AL125" t="s">
        <v>157</v>
      </c>
      <c r="AM125">
        <v>0.35699999999999998</v>
      </c>
      <c r="AN125" t="s">
        <v>289</v>
      </c>
    </row>
    <row r="126" spans="9:40" x14ac:dyDescent="0.45">
      <c r="I126" t="s">
        <v>183</v>
      </c>
      <c r="J126" t="s">
        <v>170</v>
      </c>
      <c r="K126">
        <v>6.7492571168285553E-2</v>
      </c>
      <c r="L126" t="s">
        <v>163</v>
      </c>
      <c r="N126" t="s">
        <v>214</v>
      </c>
      <c r="O126" t="s">
        <v>170</v>
      </c>
      <c r="P126">
        <v>1.5600603837891002E-2</v>
      </c>
      <c r="Q126" t="s">
        <v>163</v>
      </c>
      <c r="S126" t="s">
        <v>245</v>
      </c>
      <c r="T126" t="s">
        <v>170</v>
      </c>
      <c r="U126">
        <v>2.3540796828778441E-2</v>
      </c>
      <c r="V126" t="s">
        <v>163</v>
      </c>
      <c r="AK126">
        <v>2050</v>
      </c>
      <c r="AL126" t="s">
        <v>159</v>
      </c>
      <c r="AM126">
        <v>0.29460000000000003</v>
      </c>
      <c r="AN126" t="s">
        <v>289</v>
      </c>
    </row>
    <row r="127" spans="9:40" x14ac:dyDescent="0.45">
      <c r="I127" t="s">
        <v>183</v>
      </c>
      <c r="J127" t="s">
        <v>171</v>
      </c>
      <c r="K127">
        <v>1.8643573791206273E-3</v>
      </c>
      <c r="L127" t="s">
        <v>163</v>
      </c>
      <c r="N127" t="s">
        <v>214</v>
      </c>
      <c r="O127" t="s">
        <v>171</v>
      </c>
      <c r="P127">
        <v>1.0444674433017017E-2</v>
      </c>
      <c r="Q127" t="s">
        <v>163</v>
      </c>
      <c r="S127" t="s">
        <v>245</v>
      </c>
      <c r="T127" t="s">
        <v>171</v>
      </c>
      <c r="U127">
        <v>1.4050329987364375E-2</v>
      </c>
      <c r="V127" t="s">
        <v>163</v>
      </c>
    </row>
    <row r="128" spans="9:40" x14ac:dyDescent="0.45">
      <c r="I128" t="s">
        <v>183</v>
      </c>
      <c r="J128" t="s">
        <v>172</v>
      </c>
      <c r="K128">
        <v>3.0804781792180554E-2</v>
      </c>
      <c r="L128" t="s">
        <v>163</v>
      </c>
      <c r="N128" t="s">
        <v>214</v>
      </c>
      <c r="O128" t="s">
        <v>172</v>
      </c>
      <c r="P128">
        <v>0.1532603501069085</v>
      </c>
      <c r="Q128" t="s">
        <v>163</v>
      </c>
      <c r="S128" t="s">
        <v>245</v>
      </c>
      <c r="T128" t="s">
        <v>172</v>
      </c>
      <c r="U128">
        <v>0.16331277621521442</v>
      </c>
      <c r="V128" t="s">
        <v>163</v>
      </c>
    </row>
    <row r="129" spans="9:22" x14ac:dyDescent="0.45">
      <c r="I129" t="s">
        <v>183</v>
      </c>
      <c r="J129" t="s">
        <v>173</v>
      </c>
      <c r="K129">
        <v>0.44601973481633395</v>
      </c>
      <c r="L129" t="s">
        <v>163</v>
      </c>
      <c r="N129" t="s">
        <v>214</v>
      </c>
      <c r="O129" t="s">
        <v>173</v>
      </c>
      <c r="P129">
        <v>0.19667535495649366</v>
      </c>
      <c r="Q129" t="s">
        <v>163</v>
      </c>
      <c r="S129" t="s">
        <v>245</v>
      </c>
      <c r="T129" t="s">
        <v>173</v>
      </c>
      <c r="U129">
        <v>0.19616325871903056</v>
      </c>
      <c r="V129" t="s">
        <v>163</v>
      </c>
    </row>
    <row r="130" spans="9:22" x14ac:dyDescent="0.45">
      <c r="I130" t="s">
        <v>183</v>
      </c>
      <c r="J130" t="s">
        <v>174</v>
      </c>
      <c r="K130">
        <v>5.5305210275135479E-3</v>
      </c>
      <c r="L130" t="s">
        <v>163</v>
      </c>
      <c r="N130" t="s">
        <v>214</v>
      </c>
      <c r="O130" t="s">
        <v>174</v>
      </c>
      <c r="P130">
        <v>0.11931104542504621</v>
      </c>
      <c r="Q130" t="s">
        <v>163</v>
      </c>
      <c r="S130" t="s">
        <v>245</v>
      </c>
      <c r="T130" t="s">
        <v>174</v>
      </c>
      <c r="U130">
        <v>0.12202901372886478</v>
      </c>
      <c r="V130" t="s">
        <v>163</v>
      </c>
    </row>
    <row r="131" spans="9:22" x14ac:dyDescent="0.45">
      <c r="I131" t="s">
        <v>184</v>
      </c>
      <c r="J131" t="s">
        <v>162</v>
      </c>
      <c r="K131">
        <v>1.7604655321907022E-2</v>
      </c>
      <c r="L131" t="s">
        <v>163</v>
      </c>
      <c r="N131" t="s">
        <v>215</v>
      </c>
      <c r="O131" t="s">
        <v>162</v>
      </c>
      <c r="P131">
        <v>0.14549292541132641</v>
      </c>
      <c r="Q131" t="s">
        <v>163</v>
      </c>
      <c r="S131" t="s">
        <v>246</v>
      </c>
      <c r="T131" t="s">
        <v>162</v>
      </c>
      <c r="U131">
        <v>0.11680957148420827</v>
      </c>
      <c r="V131" t="s">
        <v>163</v>
      </c>
    </row>
    <row r="132" spans="9:22" x14ac:dyDescent="0.45">
      <c r="I132" t="s">
        <v>184</v>
      </c>
      <c r="J132" t="s">
        <v>164</v>
      </c>
      <c r="K132">
        <v>0.29344431356051992</v>
      </c>
      <c r="L132" t="s">
        <v>163</v>
      </c>
      <c r="N132" t="s">
        <v>215</v>
      </c>
      <c r="O132" t="s">
        <v>164</v>
      </c>
      <c r="P132">
        <v>0.18137649729362307</v>
      </c>
      <c r="Q132" t="s">
        <v>163</v>
      </c>
      <c r="S132" t="s">
        <v>246</v>
      </c>
      <c r="T132" t="s">
        <v>164</v>
      </c>
      <c r="U132">
        <v>0.14118473159630901</v>
      </c>
      <c r="V132" t="s">
        <v>163</v>
      </c>
    </row>
    <row r="133" spans="9:22" x14ac:dyDescent="0.45">
      <c r="I133" t="s">
        <v>184</v>
      </c>
      <c r="J133" t="s">
        <v>165</v>
      </c>
      <c r="K133">
        <v>1.9326723691309763E-3</v>
      </c>
      <c r="L133" t="s">
        <v>163</v>
      </c>
      <c r="N133" t="s">
        <v>215</v>
      </c>
      <c r="O133" t="s">
        <v>165</v>
      </c>
      <c r="P133">
        <v>0.10466653709423138</v>
      </c>
      <c r="Q133" t="s">
        <v>163</v>
      </c>
      <c r="S133" t="s">
        <v>246</v>
      </c>
      <c r="T133" t="s">
        <v>165</v>
      </c>
      <c r="U133">
        <v>9.0257002781033283E-2</v>
      </c>
      <c r="V133" t="s">
        <v>163</v>
      </c>
    </row>
    <row r="134" spans="9:22" x14ac:dyDescent="0.45">
      <c r="I134" t="s">
        <v>184</v>
      </c>
      <c r="J134" t="s">
        <v>166</v>
      </c>
      <c r="K134">
        <v>8.4269615259304678E-3</v>
      </c>
      <c r="L134" t="s">
        <v>163</v>
      </c>
      <c r="N134" t="s">
        <v>215</v>
      </c>
      <c r="O134" t="s">
        <v>166</v>
      </c>
      <c r="P134">
        <v>2.3823267724762693E-2</v>
      </c>
      <c r="Q134" t="s">
        <v>163</v>
      </c>
      <c r="S134" t="s">
        <v>246</v>
      </c>
      <c r="T134" t="s">
        <v>166</v>
      </c>
      <c r="U134">
        <v>2.2774158161124203E-2</v>
      </c>
      <c r="V134" t="s">
        <v>163</v>
      </c>
    </row>
    <row r="135" spans="9:22" x14ac:dyDescent="0.45">
      <c r="I135" t="s">
        <v>184</v>
      </c>
      <c r="J135" t="s">
        <v>167</v>
      </c>
      <c r="K135">
        <v>8.7488768366862965E-2</v>
      </c>
      <c r="L135" t="s">
        <v>163</v>
      </c>
      <c r="N135" t="s">
        <v>215</v>
      </c>
      <c r="O135" t="s">
        <v>167</v>
      </c>
      <c r="P135">
        <v>3.1459901842916554E-2</v>
      </c>
      <c r="Q135" t="s">
        <v>163</v>
      </c>
      <c r="S135" t="s">
        <v>246</v>
      </c>
      <c r="T135" t="s">
        <v>167</v>
      </c>
      <c r="U135">
        <v>2.7811428045893736E-2</v>
      </c>
      <c r="V135" t="s">
        <v>163</v>
      </c>
    </row>
    <row r="136" spans="9:22" x14ac:dyDescent="0.45">
      <c r="I136" t="s">
        <v>184</v>
      </c>
      <c r="J136" t="s">
        <v>168</v>
      </c>
      <c r="K136">
        <v>2.0890015108534126E-3</v>
      </c>
      <c r="L136" t="s">
        <v>163</v>
      </c>
      <c r="N136" t="s">
        <v>215</v>
      </c>
      <c r="O136" t="s">
        <v>168</v>
      </c>
      <c r="P136">
        <v>1.7471764059978887E-2</v>
      </c>
      <c r="Q136" t="s">
        <v>163</v>
      </c>
      <c r="S136" t="s">
        <v>246</v>
      </c>
      <c r="T136" t="s">
        <v>168</v>
      </c>
      <c r="U136">
        <v>1.5217343739964201E-2</v>
      </c>
      <c r="V136" t="s">
        <v>163</v>
      </c>
    </row>
    <row r="137" spans="9:22" x14ac:dyDescent="0.45">
      <c r="I137" t="s">
        <v>184</v>
      </c>
      <c r="J137" t="s">
        <v>169</v>
      </c>
      <c r="K137">
        <v>5.64368467565748E-3</v>
      </c>
      <c r="L137" t="s">
        <v>163</v>
      </c>
      <c r="N137" t="s">
        <v>215</v>
      </c>
      <c r="O137" t="s">
        <v>169</v>
      </c>
      <c r="P137">
        <v>8.7430112933394449E-3</v>
      </c>
      <c r="Q137" t="s">
        <v>163</v>
      </c>
      <c r="S137" t="s">
        <v>246</v>
      </c>
      <c r="T137" t="s">
        <v>169</v>
      </c>
      <c r="U137">
        <v>2.59400106224623E-2</v>
      </c>
      <c r="V137" t="s">
        <v>163</v>
      </c>
    </row>
    <row r="138" spans="9:22" x14ac:dyDescent="0.45">
      <c r="I138" t="s">
        <v>184</v>
      </c>
      <c r="J138" t="s">
        <v>170</v>
      </c>
      <c r="K138">
        <v>6.0364386041428429E-2</v>
      </c>
      <c r="L138" t="s">
        <v>163</v>
      </c>
      <c r="N138" t="s">
        <v>215</v>
      </c>
      <c r="O138" t="s">
        <v>170</v>
      </c>
      <c r="P138">
        <v>1.231940942602123E-2</v>
      </c>
      <c r="Q138" t="s">
        <v>163</v>
      </c>
      <c r="S138" t="s">
        <v>246</v>
      </c>
      <c r="T138" t="s">
        <v>170</v>
      </c>
      <c r="U138">
        <v>3.2573132772655285E-2</v>
      </c>
      <c r="V138" t="s">
        <v>163</v>
      </c>
    </row>
    <row r="139" spans="9:22" x14ac:dyDescent="0.45">
      <c r="I139" t="s">
        <v>184</v>
      </c>
      <c r="J139" t="s">
        <v>171</v>
      </c>
      <c r="K139">
        <v>1.3191764073129898E-3</v>
      </c>
      <c r="L139" t="s">
        <v>163</v>
      </c>
      <c r="N139" t="s">
        <v>215</v>
      </c>
      <c r="O139" t="s">
        <v>171</v>
      </c>
      <c r="P139">
        <v>6.4755112366477012E-3</v>
      </c>
      <c r="Q139" t="s">
        <v>163</v>
      </c>
      <c r="S139" t="s">
        <v>246</v>
      </c>
      <c r="T139" t="s">
        <v>171</v>
      </c>
      <c r="U139">
        <v>1.8994837573488681E-2</v>
      </c>
      <c r="V139" t="s">
        <v>163</v>
      </c>
    </row>
    <row r="140" spans="9:22" x14ac:dyDescent="0.45">
      <c r="I140" t="s">
        <v>184</v>
      </c>
      <c r="J140" t="s">
        <v>172</v>
      </c>
      <c r="K140">
        <v>3.7595220881432648E-2</v>
      </c>
      <c r="L140" t="s">
        <v>163</v>
      </c>
      <c r="N140" t="s">
        <v>215</v>
      </c>
      <c r="O140" t="s">
        <v>172</v>
      </c>
      <c r="P140">
        <v>0.15260239267212161</v>
      </c>
      <c r="Q140" t="s">
        <v>163</v>
      </c>
      <c r="S140" t="s">
        <v>246</v>
      </c>
      <c r="T140" t="s">
        <v>172</v>
      </c>
      <c r="U140">
        <v>0.17286277987958559</v>
      </c>
      <c r="V140" t="s">
        <v>163</v>
      </c>
    </row>
    <row r="141" spans="9:22" x14ac:dyDescent="0.45">
      <c r="I141" t="s">
        <v>184</v>
      </c>
      <c r="J141" t="s">
        <v>173</v>
      </c>
      <c r="K141">
        <v>0.47835380363057545</v>
      </c>
      <c r="L141" t="s">
        <v>163</v>
      </c>
      <c r="N141" t="s">
        <v>215</v>
      </c>
      <c r="O141" t="s">
        <v>173</v>
      </c>
      <c r="P141">
        <v>0.203000822361279</v>
      </c>
      <c r="Q141" t="s">
        <v>163</v>
      </c>
      <c r="S141" t="s">
        <v>246</v>
      </c>
      <c r="T141" t="s">
        <v>173</v>
      </c>
      <c r="U141">
        <v>0.20950108328069805</v>
      </c>
      <c r="V141" t="s">
        <v>163</v>
      </c>
    </row>
    <row r="142" spans="9:22" x14ac:dyDescent="0.45">
      <c r="I142" t="s">
        <v>184</v>
      </c>
      <c r="J142" t="s">
        <v>174</v>
      </c>
      <c r="K142">
        <v>5.7373557083892496E-3</v>
      </c>
      <c r="L142" t="s">
        <v>163</v>
      </c>
      <c r="N142" t="s">
        <v>215</v>
      </c>
      <c r="O142" t="s">
        <v>174</v>
      </c>
      <c r="P142">
        <v>0.11256795958375053</v>
      </c>
      <c r="Q142" t="s">
        <v>163</v>
      </c>
      <c r="S142" t="s">
        <v>246</v>
      </c>
      <c r="T142" t="s">
        <v>174</v>
      </c>
      <c r="U142">
        <v>0.12607392006258059</v>
      </c>
      <c r="V142" t="s">
        <v>163</v>
      </c>
    </row>
    <row r="143" spans="9:22" x14ac:dyDescent="0.45">
      <c r="I143" t="s">
        <v>185</v>
      </c>
      <c r="J143" t="s">
        <v>162</v>
      </c>
      <c r="K143">
        <v>1.9008943121936833E-2</v>
      </c>
      <c r="L143" t="s">
        <v>163</v>
      </c>
      <c r="N143" t="s">
        <v>216</v>
      </c>
      <c r="O143" t="s">
        <v>162</v>
      </c>
      <c r="P143">
        <v>0.13422819758685728</v>
      </c>
      <c r="Q143" t="s">
        <v>163</v>
      </c>
      <c r="S143" t="s">
        <v>247</v>
      </c>
      <c r="T143" t="s">
        <v>162</v>
      </c>
      <c r="U143">
        <v>0.12966436888750396</v>
      </c>
      <c r="V143" t="s">
        <v>163</v>
      </c>
    </row>
    <row r="144" spans="9:22" x14ac:dyDescent="0.45">
      <c r="I144" t="s">
        <v>185</v>
      </c>
      <c r="J144" t="s">
        <v>164</v>
      </c>
      <c r="K144">
        <v>0.31152758667940017</v>
      </c>
      <c r="L144" t="s">
        <v>163</v>
      </c>
      <c r="N144" t="s">
        <v>216</v>
      </c>
      <c r="O144" t="s">
        <v>164</v>
      </c>
      <c r="P144">
        <v>0.23679981155984201</v>
      </c>
      <c r="Q144" t="s">
        <v>163</v>
      </c>
      <c r="S144" t="s">
        <v>247</v>
      </c>
      <c r="T144" t="s">
        <v>164</v>
      </c>
      <c r="U144">
        <v>0.15256480981507786</v>
      </c>
      <c r="V144" t="s">
        <v>163</v>
      </c>
    </row>
    <row r="145" spans="9:22" x14ac:dyDescent="0.45">
      <c r="I145" t="s">
        <v>185</v>
      </c>
      <c r="J145" t="s">
        <v>165</v>
      </c>
      <c r="K145">
        <v>2.5402944045973103E-3</v>
      </c>
      <c r="L145" t="s">
        <v>163</v>
      </c>
      <c r="N145" t="s">
        <v>216</v>
      </c>
      <c r="O145" t="s">
        <v>165</v>
      </c>
      <c r="P145">
        <v>0.13172698265338423</v>
      </c>
      <c r="Q145" t="s">
        <v>163</v>
      </c>
      <c r="S145" t="s">
        <v>247</v>
      </c>
      <c r="T145" t="s">
        <v>165</v>
      </c>
      <c r="U145">
        <v>9.6816198492793798E-2</v>
      </c>
      <c r="V145" t="s">
        <v>163</v>
      </c>
    </row>
    <row r="146" spans="9:22" x14ac:dyDescent="0.45">
      <c r="I146" t="s">
        <v>185</v>
      </c>
      <c r="J146" t="s">
        <v>166</v>
      </c>
      <c r="K146">
        <v>1.0276339552494743E-2</v>
      </c>
      <c r="L146" t="s">
        <v>163</v>
      </c>
      <c r="N146" t="s">
        <v>216</v>
      </c>
      <c r="O146" t="s">
        <v>166</v>
      </c>
      <c r="P146">
        <v>1.7197019710708087E-2</v>
      </c>
      <c r="Q146" t="s">
        <v>163</v>
      </c>
      <c r="S146" t="s">
        <v>247</v>
      </c>
      <c r="T146" t="s">
        <v>166</v>
      </c>
      <c r="U146">
        <v>2.0264274852307116E-2</v>
      </c>
      <c r="V146" t="s">
        <v>163</v>
      </c>
    </row>
    <row r="147" spans="9:22" x14ac:dyDescent="0.45">
      <c r="I147" t="s">
        <v>185</v>
      </c>
      <c r="J147" t="s">
        <v>167</v>
      </c>
      <c r="K147">
        <v>9.7514219057376464E-2</v>
      </c>
      <c r="L147" t="s">
        <v>163</v>
      </c>
      <c r="N147" t="s">
        <v>216</v>
      </c>
      <c r="O147" t="s">
        <v>167</v>
      </c>
      <c r="P147">
        <v>3.887297735826642E-2</v>
      </c>
      <c r="Q147" t="s">
        <v>163</v>
      </c>
      <c r="S147" t="s">
        <v>247</v>
      </c>
      <c r="T147" t="s">
        <v>167</v>
      </c>
      <c r="U147">
        <v>2.2624723729477922E-2</v>
      </c>
      <c r="V147" t="s">
        <v>163</v>
      </c>
    </row>
    <row r="148" spans="9:22" x14ac:dyDescent="0.45">
      <c r="I148" t="s">
        <v>185</v>
      </c>
      <c r="J148" t="s">
        <v>168</v>
      </c>
      <c r="K148">
        <v>2.6910074834801847E-3</v>
      </c>
      <c r="L148" t="s">
        <v>163</v>
      </c>
      <c r="N148" t="s">
        <v>216</v>
      </c>
      <c r="O148" t="s">
        <v>168</v>
      </c>
      <c r="P148">
        <v>2.0541123522325302E-2</v>
      </c>
      <c r="Q148" t="s">
        <v>163</v>
      </c>
      <c r="S148" t="s">
        <v>247</v>
      </c>
      <c r="T148" t="s">
        <v>168</v>
      </c>
      <c r="U148">
        <v>1.3877923906799731E-2</v>
      </c>
      <c r="V148" t="s">
        <v>163</v>
      </c>
    </row>
    <row r="149" spans="9:22" x14ac:dyDescent="0.45">
      <c r="I149" t="s">
        <v>185</v>
      </c>
      <c r="J149" t="s">
        <v>169</v>
      </c>
      <c r="K149">
        <v>4.5357604071340736E-3</v>
      </c>
      <c r="L149" t="s">
        <v>163</v>
      </c>
      <c r="N149" t="s">
        <v>216</v>
      </c>
      <c r="O149" t="s">
        <v>169</v>
      </c>
      <c r="P149">
        <v>8.5510068066190891E-3</v>
      </c>
      <c r="Q149" t="s">
        <v>163</v>
      </c>
      <c r="S149" t="s">
        <v>247</v>
      </c>
      <c r="T149" t="s">
        <v>169</v>
      </c>
      <c r="U149">
        <v>2.0018661418654264E-2</v>
      </c>
      <c r="V149" t="s">
        <v>163</v>
      </c>
    </row>
    <row r="150" spans="9:22" x14ac:dyDescent="0.45">
      <c r="I150" t="s">
        <v>185</v>
      </c>
      <c r="J150" t="s">
        <v>170</v>
      </c>
      <c r="K150">
        <v>5.5871236863573766E-2</v>
      </c>
      <c r="L150" t="s">
        <v>163</v>
      </c>
      <c r="N150" t="s">
        <v>216</v>
      </c>
      <c r="O150" t="s">
        <v>170</v>
      </c>
      <c r="P150">
        <v>1.5251493727516E-2</v>
      </c>
      <c r="Q150" t="s">
        <v>163</v>
      </c>
      <c r="S150" t="s">
        <v>247</v>
      </c>
      <c r="T150" t="s">
        <v>170</v>
      </c>
      <c r="U150">
        <v>2.2560741527015225E-2</v>
      </c>
      <c r="V150" t="s">
        <v>163</v>
      </c>
    </row>
    <row r="151" spans="9:22" x14ac:dyDescent="0.45">
      <c r="I151" t="s">
        <v>185</v>
      </c>
      <c r="J151" t="s">
        <v>171</v>
      </c>
      <c r="K151">
        <v>1.3630896758834725E-3</v>
      </c>
      <c r="L151" t="s">
        <v>163</v>
      </c>
      <c r="N151" t="s">
        <v>216</v>
      </c>
      <c r="O151" t="s">
        <v>171</v>
      </c>
      <c r="P151">
        <v>1.1519223313204482E-2</v>
      </c>
      <c r="Q151" t="s">
        <v>163</v>
      </c>
      <c r="S151" t="s">
        <v>247</v>
      </c>
      <c r="T151" t="s">
        <v>171</v>
      </c>
      <c r="U151">
        <v>1.3787532235936621E-2</v>
      </c>
      <c r="V151" t="s">
        <v>163</v>
      </c>
    </row>
    <row r="152" spans="9:22" x14ac:dyDescent="0.45">
      <c r="I152" t="s">
        <v>185</v>
      </c>
      <c r="J152" t="s">
        <v>172</v>
      </c>
      <c r="K152">
        <v>3.3161482989587966E-2</v>
      </c>
      <c r="L152" t="s">
        <v>163</v>
      </c>
      <c r="N152" t="s">
        <v>216</v>
      </c>
      <c r="O152" t="s">
        <v>172</v>
      </c>
      <c r="P152">
        <v>0.11263541416390881</v>
      </c>
      <c r="Q152" t="s">
        <v>163</v>
      </c>
      <c r="S152" t="s">
        <v>247</v>
      </c>
      <c r="T152" t="s">
        <v>172</v>
      </c>
      <c r="U152">
        <v>0.17953634661185813</v>
      </c>
      <c r="V152" t="s">
        <v>163</v>
      </c>
    </row>
    <row r="153" spans="9:22" x14ac:dyDescent="0.45">
      <c r="I153" t="s">
        <v>185</v>
      </c>
      <c r="J153" t="s">
        <v>173</v>
      </c>
      <c r="K153">
        <v>0.45648699576660834</v>
      </c>
      <c r="L153" t="s">
        <v>163</v>
      </c>
      <c r="N153" t="s">
        <v>216</v>
      </c>
      <c r="O153" t="s">
        <v>173</v>
      </c>
      <c r="P153">
        <v>0.15741284503106026</v>
      </c>
      <c r="Q153" t="s">
        <v>163</v>
      </c>
      <c r="S153" t="s">
        <v>247</v>
      </c>
      <c r="T153" t="s">
        <v>173</v>
      </c>
      <c r="U153">
        <v>0.20351551350467761</v>
      </c>
      <c r="V153" t="s">
        <v>163</v>
      </c>
    </row>
    <row r="154" spans="9:22" x14ac:dyDescent="0.45">
      <c r="I154" t="s">
        <v>185</v>
      </c>
      <c r="J154" t="s">
        <v>174</v>
      </c>
      <c r="K154">
        <v>5.0230439979259169E-3</v>
      </c>
      <c r="L154" t="s">
        <v>163</v>
      </c>
      <c r="N154" t="s">
        <v>216</v>
      </c>
      <c r="O154" t="s">
        <v>174</v>
      </c>
      <c r="P154">
        <v>0.11526390456630649</v>
      </c>
      <c r="Q154" t="s">
        <v>163</v>
      </c>
      <c r="S154" t="s">
        <v>247</v>
      </c>
      <c r="T154" t="s">
        <v>174</v>
      </c>
      <c r="U154">
        <v>0.12476890501789847</v>
      </c>
      <c r="V154" t="s">
        <v>163</v>
      </c>
    </row>
    <row r="155" spans="9:22" x14ac:dyDescent="0.45">
      <c r="I155" t="s">
        <v>186</v>
      </c>
      <c r="J155" t="s">
        <v>162</v>
      </c>
      <c r="K155">
        <v>1.0407303697160362E-2</v>
      </c>
      <c r="L155" t="s">
        <v>163</v>
      </c>
      <c r="N155" t="s">
        <v>217</v>
      </c>
      <c r="O155" t="s">
        <v>162</v>
      </c>
      <c r="P155">
        <v>0.14305797129193562</v>
      </c>
      <c r="Q155" t="s">
        <v>163</v>
      </c>
      <c r="S155" t="s">
        <v>248</v>
      </c>
      <c r="T155" t="s">
        <v>162</v>
      </c>
      <c r="U155">
        <v>0.1275371814561248</v>
      </c>
      <c r="V155" t="s">
        <v>163</v>
      </c>
    </row>
    <row r="156" spans="9:22" x14ac:dyDescent="0.45">
      <c r="I156" t="s">
        <v>186</v>
      </c>
      <c r="J156" t="s">
        <v>164</v>
      </c>
      <c r="K156">
        <v>0.33316562196227906</v>
      </c>
      <c r="L156" t="s">
        <v>163</v>
      </c>
      <c r="N156" t="s">
        <v>217</v>
      </c>
      <c r="O156" t="s">
        <v>164</v>
      </c>
      <c r="P156">
        <v>0.16257423931847184</v>
      </c>
      <c r="Q156" t="s">
        <v>163</v>
      </c>
      <c r="S156" t="s">
        <v>248</v>
      </c>
      <c r="T156" t="s">
        <v>164</v>
      </c>
      <c r="U156">
        <v>0.14407407369696587</v>
      </c>
      <c r="V156" t="s">
        <v>163</v>
      </c>
    </row>
    <row r="157" spans="9:22" x14ac:dyDescent="0.45">
      <c r="I157" t="s">
        <v>186</v>
      </c>
      <c r="J157" t="s">
        <v>165</v>
      </c>
      <c r="K157">
        <v>8.2152920946870506E-3</v>
      </c>
      <c r="L157" t="s">
        <v>163</v>
      </c>
      <c r="N157" t="s">
        <v>217</v>
      </c>
      <c r="O157" t="s">
        <v>165</v>
      </c>
      <c r="P157">
        <v>0.10861740689666494</v>
      </c>
      <c r="Q157" t="s">
        <v>163</v>
      </c>
      <c r="S157" t="s">
        <v>248</v>
      </c>
      <c r="T157" t="s">
        <v>165</v>
      </c>
      <c r="U157">
        <v>8.8890879813538395E-2</v>
      </c>
      <c r="V157" t="s">
        <v>163</v>
      </c>
    </row>
    <row r="158" spans="9:22" x14ac:dyDescent="0.45">
      <c r="I158" t="s">
        <v>186</v>
      </c>
      <c r="J158" t="s">
        <v>166</v>
      </c>
      <c r="K158">
        <v>8.5980541133161247E-3</v>
      </c>
      <c r="L158" t="s">
        <v>163</v>
      </c>
      <c r="N158" t="s">
        <v>217</v>
      </c>
      <c r="O158" t="s">
        <v>166</v>
      </c>
      <c r="P158">
        <v>2.2579726119517352E-2</v>
      </c>
      <c r="Q158" t="s">
        <v>163</v>
      </c>
      <c r="S158" t="s">
        <v>248</v>
      </c>
      <c r="T158" t="s">
        <v>166</v>
      </c>
      <c r="U158">
        <v>2.1457806771071685E-2</v>
      </c>
      <c r="V158" t="s">
        <v>163</v>
      </c>
    </row>
    <row r="159" spans="9:22" x14ac:dyDescent="0.45">
      <c r="I159" t="s">
        <v>186</v>
      </c>
      <c r="J159" t="s">
        <v>167</v>
      </c>
      <c r="K159">
        <v>9.7720226770371107E-2</v>
      </c>
      <c r="L159" t="s">
        <v>163</v>
      </c>
      <c r="N159" t="s">
        <v>217</v>
      </c>
      <c r="O159" t="s">
        <v>167</v>
      </c>
      <c r="P159">
        <v>3.0310288199338207E-2</v>
      </c>
      <c r="Q159" t="s">
        <v>163</v>
      </c>
      <c r="S159" t="s">
        <v>248</v>
      </c>
      <c r="T159" t="s">
        <v>167</v>
      </c>
      <c r="U159">
        <v>2.9945575688194597E-2</v>
      </c>
      <c r="V159" t="s">
        <v>163</v>
      </c>
    </row>
    <row r="160" spans="9:22" x14ac:dyDescent="0.45">
      <c r="I160" t="s">
        <v>186</v>
      </c>
      <c r="J160" t="s">
        <v>168</v>
      </c>
      <c r="K160">
        <v>5.8079590951063123E-3</v>
      </c>
      <c r="L160" t="s">
        <v>163</v>
      </c>
      <c r="N160" t="s">
        <v>217</v>
      </c>
      <c r="O160" t="s">
        <v>168</v>
      </c>
      <c r="P160">
        <v>2.1856383295290206E-2</v>
      </c>
      <c r="Q160" t="s">
        <v>163</v>
      </c>
      <c r="S160" t="s">
        <v>248</v>
      </c>
      <c r="T160" t="s">
        <v>168</v>
      </c>
      <c r="U160">
        <v>1.6584712626882894E-2</v>
      </c>
      <c r="V160" t="s">
        <v>163</v>
      </c>
    </row>
    <row r="161" spans="9:22" x14ac:dyDescent="0.45">
      <c r="I161" t="s">
        <v>186</v>
      </c>
      <c r="J161" t="s">
        <v>169</v>
      </c>
      <c r="K161">
        <v>4.0588954278162875E-3</v>
      </c>
      <c r="L161" t="s">
        <v>163</v>
      </c>
      <c r="N161" t="s">
        <v>217</v>
      </c>
      <c r="O161" t="s">
        <v>169</v>
      </c>
      <c r="P161">
        <v>1.8061290554531411E-2</v>
      </c>
      <c r="Q161" t="s">
        <v>163</v>
      </c>
      <c r="S161" t="s">
        <v>248</v>
      </c>
      <c r="T161" t="s">
        <v>169</v>
      </c>
      <c r="U161">
        <v>1.5329852899976326E-2</v>
      </c>
      <c r="V161" t="s">
        <v>163</v>
      </c>
    </row>
    <row r="162" spans="9:22" x14ac:dyDescent="0.45">
      <c r="I162" t="s">
        <v>186</v>
      </c>
      <c r="J162" t="s">
        <v>170</v>
      </c>
      <c r="K162">
        <v>6.3858708242626627E-2</v>
      </c>
      <c r="L162" t="s">
        <v>163</v>
      </c>
      <c r="N162" t="s">
        <v>217</v>
      </c>
      <c r="O162" t="s">
        <v>170</v>
      </c>
      <c r="P162">
        <v>2.245121969343981E-2</v>
      </c>
      <c r="Q162" t="s">
        <v>163</v>
      </c>
      <c r="S162" t="s">
        <v>248</v>
      </c>
      <c r="T162" t="s">
        <v>170</v>
      </c>
      <c r="U162">
        <v>2.3777868546665259E-2</v>
      </c>
      <c r="V162" t="s">
        <v>163</v>
      </c>
    </row>
    <row r="163" spans="9:22" x14ac:dyDescent="0.45">
      <c r="I163" t="s">
        <v>186</v>
      </c>
      <c r="J163" t="s">
        <v>171</v>
      </c>
      <c r="K163">
        <v>3.439156928754085E-3</v>
      </c>
      <c r="L163" t="s">
        <v>163</v>
      </c>
      <c r="N163" t="s">
        <v>217</v>
      </c>
      <c r="O163" t="s">
        <v>171</v>
      </c>
      <c r="P163">
        <v>1.6242871601476607E-2</v>
      </c>
      <c r="Q163" t="s">
        <v>163</v>
      </c>
      <c r="S163" t="s">
        <v>248</v>
      </c>
      <c r="T163" t="s">
        <v>171</v>
      </c>
      <c r="U163">
        <v>1.0884069091177168E-2</v>
      </c>
      <c r="V163" t="s">
        <v>163</v>
      </c>
    </row>
    <row r="164" spans="9:22" x14ac:dyDescent="0.45">
      <c r="I164" t="s">
        <v>186</v>
      </c>
      <c r="J164" t="s">
        <v>172</v>
      </c>
      <c r="K164">
        <v>1.7567599757264206E-2</v>
      </c>
      <c r="L164" t="s">
        <v>163</v>
      </c>
      <c r="N164" t="s">
        <v>217</v>
      </c>
      <c r="O164" t="s">
        <v>172</v>
      </c>
      <c r="P164">
        <v>0.15276978191029569</v>
      </c>
      <c r="Q164" t="s">
        <v>163</v>
      </c>
      <c r="S164" t="s">
        <v>248</v>
      </c>
      <c r="T164" t="s">
        <v>172</v>
      </c>
      <c r="U164">
        <v>0.18120568576280846</v>
      </c>
      <c r="V164" t="s">
        <v>163</v>
      </c>
    </row>
    <row r="165" spans="9:22" x14ac:dyDescent="0.45">
      <c r="I165" t="s">
        <v>186</v>
      </c>
      <c r="J165" t="s">
        <v>173</v>
      </c>
      <c r="K165">
        <v>0.43409394807028118</v>
      </c>
      <c r="L165" t="s">
        <v>163</v>
      </c>
      <c r="N165" t="s">
        <v>217</v>
      </c>
      <c r="O165" t="s">
        <v>173</v>
      </c>
      <c r="P165">
        <v>0.17672679874881134</v>
      </c>
      <c r="Q165" t="s">
        <v>163</v>
      </c>
      <c r="S165" t="s">
        <v>248</v>
      </c>
      <c r="T165" t="s">
        <v>173</v>
      </c>
      <c r="U165">
        <v>0.20987795256033495</v>
      </c>
      <c r="V165" t="s">
        <v>163</v>
      </c>
    </row>
    <row r="166" spans="9:22" x14ac:dyDescent="0.45">
      <c r="I166" t="s">
        <v>186</v>
      </c>
      <c r="J166" t="s">
        <v>174</v>
      </c>
      <c r="K166">
        <v>1.3067233840337835E-2</v>
      </c>
      <c r="L166" t="s">
        <v>163</v>
      </c>
      <c r="N166" t="s">
        <v>217</v>
      </c>
      <c r="O166" t="s">
        <v>174</v>
      </c>
      <c r="P166">
        <v>0.12475202237022391</v>
      </c>
      <c r="Q166" t="s">
        <v>163</v>
      </c>
      <c r="S166" t="s">
        <v>248</v>
      </c>
      <c r="T166" t="s">
        <v>174</v>
      </c>
      <c r="U166">
        <v>0.13043434108626084</v>
      </c>
      <c r="V166" t="s">
        <v>163</v>
      </c>
    </row>
    <row r="167" spans="9:22" x14ac:dyDescent="0.45">
      <c r="I167" t="s">
        <v>187</v>
      </c>
      <c r="J167" t="s">
        <v>162</v>
      </c>
      <c r="K167">
        <v>8.3394225374488484E-3</v>
      </c>
      <c r="L167" t="s">
        <v>163</v>
      </c>
      <c r="N167" t="s">
        <v>218</v>
      </c>
      <c r="O167" t="s">
        <v>162</v>
      </c>
      <c r="P167">
        <v>0.10688388177133781</v>
      </c>
      <c r="Q167" t="s">
        <v>163</v>
      </c>
      <c r="S167" t="s">
        <v>249</v>
      </c>
      <c r="T167" t="s">
        <v>162</v>
      </c>
      <c r="U167">
        <v>0.12471399378138595</v>
      </c>
      <c r="V167" t="s">
        <v>163</v>
      </c>
    </row>
    <row r="168" spans="9:22" x14ac:dyDescent="0.45">
      <c r="I168" t="s">
        <v>187</v>
      </c>
      <c r="J168" t="s">
        <v>164</v>
      </c>
      <c r="K168">
        <v>0.32139854605472046</v>
      </c>
      <c r="L168" t="s">
        <v>163</v>
      </c>
      <c r="N168" t="s">
        <v>218</v>
      </c>
      <c r="O168" t="s">
        <v>164</v>
      </c>
      <c r="P168">
        <v>0.24557806009339805</v>
      </c>
      <c r="Q168" t="s">
        <v>163</v>
      </c>
      <c r="S168" t="s">
        <v>249</v>
      </c>
      <c r="T168" t="s">
        <v>164</v>
      </c>
      <c r="U168">
        <v>0.14259353361111132</v>
      </c>
      <c r="V168" t="s">
        <v>163</v>
      </c>
    </row>
    <row r="169" spans="9:22" x14ac:dyDescent="0.45">
      <c r="I169" t="s">
        <v>187</v>
      </c>
      <c r="J169" t="s">
        <v>165</v>
      </c>
      <c r="K169">
        <v>9.5422540528800823E-3</v>
      </c>
      <c r="L169" t="s">
        <v>163</v>
      </c>
      <c r="N169" t="s">
        <v>218</v>
      </c>
      <c r="O169" t="s">
        <v>165</v>
      </c>
      <c r="P169">
        <v>0.10834218037268784</v>
      </c>
      <c r="Q169" t="s">
        <v>163</v>
      </c>
      <c r="S169" t="s">
        <v>249</v>
      </c>
      <c r="T169" t="s">
        <v>165</v>
      </c>
      <c r="U169">
        <v>9.2574121171726087E-2</v>
      </c>
      <c r="V169" t="s">
        <v>163</v>
      </c>
    </row>
    <row r="170" spans="9:22" x14ac:dyDescent="0.45">
      <c r="I170" t="s">
        <v>187</v>
      </c>
      <c r="J170" t="s">
        <v>166</v>
      </c>
      <c r="K170">
        <v>7.0109663628340054E-3</v>
      </c>
      <c r="L170" t="s">
        <v>163</v>
      </c>
      <c r="N170" t="s">
        <v>218</v>
      </c>
      <c r="O170" t="s">
        <v>166</v>
      </c>
      <c r="P170">
        <v>5.0572389737845239E-3</v>
      </c>
      <c r="Q170" t="s">
        <v>163</v>
      </c>
      <c r="S170" t="s">
        <v>249</v>
      </c>
      <c r="T170" t="s">
        <v>166</v>
      </c>
      <c r="U170">
        <v>2.2060124278614847E-2</v>
      </c>
      <c r="V170" t="s">
        <v>163</v>
      </c>
    </row>
    <row r="171" spans="9:22" x14ac:dyDescent="0.45">
      <c r="I171" t="s">
        <v>187</v>
      </c>
      <c r="J171" t="s">
        <v>167</v>
      </c>
      <c r="K171">
        <v>9.6103824630710502E-2</v>
      </c>
      <c r="L171" t="s">
        <v>163</v>
      </c>
      <c r="N171" t="s">
        <v>218</v>
      </c>
      <c r="O171" t="s">
        <v>167</v>
      </c>
      <c r="P171">
        <v>2.8556673195086358E-2</v>
      </c>
      <c r="Q171" t="s">
        <v>163</v>
      </c>
      <c r="S171" t="s">
        <v>249</v>
      </c>
      <c r="T171" t="s">
        <v>167</v>
      </c>
      <c r="U171">
        <v>2.4020979354900947E-2</v>
      </c>
      <c r="V171" t="s">
        <v>163</v>
      </c>
    </row>
    <row r="172" spans="9:22" x14ac:dyDescent="0.45">
      <c r="I172" t="s">
        <v>187</v>
      </c>
      <c r="J172" t="s">
        <v>168</v>
      </c>
      <c r="K172">
        <v>6.4217567869997638E-3</v>
      </c>
      <c r="L172" t="s">
        <v>163</v>
      </c>
      <c r="N172" t="s">
        <v>218</v>
      </c>
      <c r="O172" t="s">
        <v>168</v>
      </c>
      <c r="P172">
        <v>1.2154746487452716E-2</v>
      </c>
      <c r="Q172" t="s">
        <v>163</v>
      </c>
      <c r="S172" t="s">
        <v>249</v>
      </c>
      <c r="T172" t="s">
        <v>168</v>
      </c>
      <c r="U172">
        <v>1.4664823117811828E-2</v>
      </c>
      <c r="V172" t="s">
        <v>163</v>
      </c>
    </row>
    <row r="173" spans="9:22" x14ac:dyDescent="0.45">
      <c r="I173" t="s">
        <v>187</v>
      </c>
      <c r="J173" t="s">
        <v>169</v>
      </c>
      <c r="K173">
        <v>3.8202089466291946E-3</v>
      </c>
      <c r="L173" t="s">
        <v>163</v>
      </c>
      <c r="N173" t="s">
        <v>218</v>
      </c>
      <c r="O173" t="s">
        <v>169</v>
      </c>
      <c r="P173">
        <v>1.0956554686589988E-2</v>
      </c>
      <c r="Q173" t="s">
        <v>163</v>
      </c>
      <c r="S173" t="s">
        <v>249</v>
      </c>
      <c r="T173" t="s">
        <v>169</v>
      </c>
      <c r="U173">
        <v>1.751376765181669E-2</v>
      </c>
      <c r="V173" t="s">
        <v>163</v>
      </c>
    </row>
    <row r="174" spans="9:22" x14ac:dyDescent="0.45">
      <c r="I174" t="s">
        <v>187</v>
      </c>
      <c r="J174" t="s">
        <v>170</v>
      </c>
      <c r="K174">
        <v>6.4598247793627467E-2</v>
      </c>
      <c r="L174" t="s">
        <v>163</v>
      </c>
      <c r="N174" t="s">
        <v>218</v>
      </c>
      <c r="O174" t="s">
        <v>170</v>
      </c>
      <c r="P174">
        <v>2.5720216620966355E-2</v>
      </c>
      <c r="Q174" t="s">
        <v>163</v>
      </c>
      <c r="S174" t="s">
        <v>249</v>
      </c>
      <c r="T174" t="s">
        <v>170</v>
      </c>
      <c r="U174">
        <v>2.311910868643318E-2</v>
      </c>
      <c r="V174" t="s">
        <v>163</v>
      </c>
    </row>
    <row r="175" spans="9:22" x14ac:dyDescent="0.45">
      <c r="I175" t="s">
        <v>187</v>
      </c>
      <c r="J175" t="s">
        <v>171</v>
      </c>
      <c r="K175">
        <v>4.0867546718670496E-3</v>
      </c>
      <c r="L175" t="s">
        <v>163</v>
      </c>
      <c r="N175" t="s">
        <v>218</v>
      </c>
      <c r="O175" t="s">
        <v>171</v>
      </c>
      <c r="P175">
        <v>9.9215518789173493E-3</v>
      </c>
      <c r="Q175" t="s">
        <v>163</v>
      </c>
      <c r="S175" t="s">
        <v>249</v>
      </c>
      <c r="T175" t="s">
        <v>171</v>
      </c>
      <c r="U175">
        <v>1.3117864252391344E-2</v>
      </c>
      <c r="V175" t="s">
        <v>163</v>
      </c>
    </row>
    <row r="176" spans="9:22" x14ac:dyDescent="0.45">
      <c r="I176" t="s">
        <v>187</v>
      </c>
      <c r="J176" t="s">
        <v>172</v>
      </c>
      <c r="K176">
        <v>1.6490226459235438E-2</v>
      </c>
      <c r="L176" t="s">
        <v>163</v>
      </c>
      <c r="N176" t="s">
        <v>218</v>
      </c>
      <c r="O176" t="s">
        <v>172</v>
      </c>
      <c r="P176">
        <v>0.1173584329292916</v>
      </c>
      <c r="Q176" t="s">
        <v>163</v>
      </c>
      <c r="S176" t="s">
        <v>249</v>
      </c>
      <c r="T176" t="s">
        <v>172</v>
      </c>
      <c r="U176">
        <v>0.18496617390089598</v>
      </c>
      <c r="V176" t="s">
        <v>163</v>
      </c>
    </row>
    <row r="177" spans="9:22" x14ac:dyDescent="0.45">
      <c r="I177" t="s">
        <v>187</v>
      </c>
      <c r="J177" t="s">
        <v>173</v>
      </c>
      <c r="K177">
        <v>0.44674078154164287</v>
      </c>
      <c r="L177" t="s">
        <v>163</v>
      </c>
      <c r="N177" t="s">
        <v>218</v>
      </c>
      <c r="O177" t="s">
        <v>173</v>
      </c>
      <c r="P177">
        <v>0.22901770475662939</v>
      </c>
      <c r="Q177" t="s">
        <v>163</v>
      </c>
      <c r="S177" t="s">
        <v>249</v>
      </c>
      <c r="T177" t="s">
        <v>173</v>
      </c>
      <c r="U177">
        <v>0.20964188193888691</v>
      </c>
      <c r="V177" t="s">
        <v>163</v>
      </c>
    </row>
    <row r="178" spans="9:22" x14ac:dyDescent="0.45">
      <c r="I178" t="s">
        <v>187</v>
      </c>
      <c r="J178" t="s">
        <v>174</v>
      </c>
      <c r="K178">
        <v>1.5447010161402661E-2</v>
      </c>
      <c r="L178" t="s">
        <v>163</v>
      </c>
      <c r="N178" t="s">
        <v>218</v>
      </c>
      <c r="O178" t="s">
        <v>174</v>
      </c>
      <c r="P178">
        <v>0.10045275823385579</v>
      </c>
      <c r="Q178" t="s">
        <v>163</v>
      </c>
      <c r="S178" t="s">
        <v>249</v>
      </c>
      <c r="T178" t="s">
        <v>174</v>
      </c>
      <c r="U178">
        <v>0.13101362825402491</v>
      </c>
      <c r="V178" t="s">
        <v>163</v>
      </c>
    </row>
    <row r="179" spans="9:22" x14ac:dyDescent="0.45">
      <c r="I179" t="s">
        <v>188</v>
      </c>
      <c r="J179" t="s">
        <v>162</v>
      </c>
      <c r="K179">
        <v>3.8509476167289465E-3</v>
      </c>
      <c r="L179" t="s">
        <v>163</v>
      </c>
      <c r="N179" t="s">
        <v>219</v>
      </c>
      <c r="O179" t="s">
        <v>162</v>
      </c>
      <c r="P179">
        <v>0.12661091405022726</v>
      </c>
      <c r="Q179" t="s">
        <v>163</v>
      </c>
      <c r="S179" t="s">
        <v>250</v>
      </c>
      <c r="T179" t="s">
        <v>162</v>
      </c>
      <c r="U179">
        <v>0.14736409488735644</v>
      </c>
      <c r="V179" t="s">
        <v>163</v>
      </c>
    </row>
    <row r="180" spans="9:22" x14ac:dyDescent="0.45">
      <c r="I180" t="s">
        <v>188</v>
      </c>
      <c r="J180" t="s">
        <v>164</v>
      </c>
      <c r="K180">
        <v>0.31341072691491267</v>
      </c>
      <c r="L180" t="s">
        <v>163</v>
      </c>
      <c r="N180" t="s">
        <v>219</v>
      </c>
      <c r="O180" t="s">
        <v>164</v>
      </c>
      <c r="P180">
        <v>0.15491463008067552</v>
      </c>
      <c r="Q180" t="s">
        <v>163</v>
      </c>
      <c r="S180" t="s">
        <v>250</v>
      </c>
      <c r="T180" t="s">
        <v>164</v>
      </c>
      <c r="U180">
        <v>0.19080203975820928</v>
      </c>
      <c r="V180" t="s">
        <v>163</v>
      </c>
    </row>
    <row r="181" spans="9:22" x14ac:dyDescent="0.45">
      <c r="I181" t="s">
        <v>188</v>
      </c>
      <c r="J181" t="s">
        <v>165</v>
      </c>
      <c r="K181">
        <v>1.5465737211553565E-2</v>
      </c>
      <c r="L181" t="s">
        <v>163</v>
      </c>
      <c r="N181" t="s">
        <v>219</v>
      </c>
      <c r="O181" t="s">
        <v>165</v>
      </c>
      <c r="P181">
        <v>9.4133481716731512E-2</v>
      </c>
      <c r="Q181" t="s">
        <v>163</v>
      </c>
      <c r="S181" t="s">
        <v>250</v>
      </c>
      <c r="T181" t="s">
        <v>165</v>
      </c>
      <c r="U181">
        <v>0.10996702643723553</v>
      </c>
      <c r="V181" t="s">
        <v>163</v>
      </c>
    </row>
    <row r="182" spans="9:22" x14ac:dyDescent="0.45">
      <c r="I182" t="s">
        <v>188</v>
      </c>
      <c r="J182" t="s">
        <v>166</v>
      </c>
      <c r="K182">
        <v>3.6332912924602139E-3</v>
      </c>
      <c r="L182" t="s">
        <v>163</v>
      </c>
      <c r="N182" t="s">
        <v>219</v>
      </c>
      <c r="O182" t="s">
        <v>166</v>
      </c>
      <c r="P182">
        <v>1.9608416735614104E-2</v>
      </c>
      <c r="Q182" t="s">
        <v>163</v>
      </c>
      <c r="S182" t="s">
        <v>250</v>
      </c>
      <c r="T182" t="s">
        <v>166</v>
      </c>
      <c r="U182">
        <v>2.117190377784272E-2</v>
      </c>
      <c r="V182" t="s">
        <v>163</v>
      </c>
    </row>
    <row r="183" spans="9:22" x14ac:dyDescent="0.45">
      <c r="I183" t="s">
        <v>188</v>
      </c>
      <c r="J183" t="s">
        <v>167</v>
      </c>
      <c r="K183">
        <v>8.7846490667338642E-2</v>
      </c>
      <c r="L183" t="s">
        <v>163</v>
      </c>
      <c r="N183" t="s">
        <v>219</v>
      </c>
      <c r="O183" t="s">
        <v>167</v>
      </c>
      <c r="P183">
        <v>2.5014914888662778E-2</v>
      </c>
      <c r="Q183" t="s">
        <v>163</v>
      </c>
      <c r="S183" t="s">
        <v>250</v>
      </c>
      <c r="T183" t="s">
        <v>167</v>
      </c>
      <c r="U183">
        <v>2.865871531590522E-2</v>
      </c>
      <c r="V183" t="s">
        <v>163</v>
      </c>
    </row>
    <row r="184" spans="9:22" x14ac:dyDescent="0.45">
      <c r="I184" t="s">
        <v>188</v>
      </c>
      <c r="J184" t="s">
        <v>168</v>
      </c>
      <c r="K184">
        <v>6.563226662202843E-3</v>
      </c>
      <c r="L184" t="s">
        <v>163</v>
      </c>
      <c r="N184" t="s">
        <v>219</v>
      </c>
      <c r="O184" t="s">
        <v>168</v>
      </c>
      <c r="P184">
        <v>1.6200571496607467E-2</v>
      </c>
      <c r="Q184" t="s">
        <v>163</v>
      </c>
      <c r="S184" t="s">
        <v>250</v>
      </c>
      <c r="T184" t="s">
        <v>168</v>
      </c>
      <c r="U184">
        <v>1.6232542685931564E-2</v>
      </c>
      <c r="V184" t="s">
        <v>163</v>
      </c>
    </row>
    <row r="185" spans="9:22" x14ac:dyDescent="0.45">
      <c r="I185" t="s">
        <v>188</v>
      </c>
      <c r="J185" t="s">
        <v>169</v>
      </c>
      <c r="K185">
        <v>2.1267573362293555E-3</v>
      </c>
      <c r="L185" t="s">
        <v>163</v>
      </c>
      <c r="N185" t="s">
        <v>219</v>
      </c>
      <c r="O185" t="s">
        <v>169</v>
      </c>
      <c r="P185">
        <v>2.1842260130111375E-2</v>
      </c>
      <c r="Q185" t="s">
        <v>163</v>
      </c>
      <c r="S185" t="s">
        <v>250</v>
      </c>
      <c r="T185" t="s">
        <v>169</v>
      </c>
      <c r="U185">
        <v>7.6513090583325977E-3</v>
      </c>
      <c r="V185" t="s">
        <v>163</v>
      </c>
    </row>
    <row r="186" spans="9:22" x14ac:dyDescent="0.45">
      <c r="I186" t="s">
        <v>188</v>
      </c>
      <c r="J186" t="s">
        <v>170</v>
      </c>
      <c r="K186">
        <v>5.3228650954241931E-2</v>
      </c>
      <c r="L186" t="s">
        <v>163</v>
      </c>
      <c r="N186" t="s">
        <v>219</v>
      </c>
      <c r="O186" t="s">
        <v>170</v>
      </c>
      <c r="P186">
        <v>2.6643023805139859E-2</v>
      </c>
      <c r="Q186" t="s">
        <v>163</v>
      </c>
      <c r="S186" t="s">
        <v>250</v>
      </c>
      <c r="T186" t="s">
        <v>170</v>
      </c>
      <c r="U186">
        <v>9.2055511176751745E-3</v>
      </c>
      <c r="V186" t="s">
        <v>163</v>
      </c>
    </row>
    <row r="187" spans="9:22" x14ac:dyDescent="0.45">
      <c r="I187" t="s">
        <v>188</v>
      </c>
      <c r="J187" t="s">
        <v>171</v>
      </c>
      <c r="K187">
        <v>3.3836368992816003E-3</v>
      </c>
      <c r="L187" t="s">
        <v>163</v>
      </c>
      <c r="N187" t="s">
        <v>219</v>
      </c>
      <c r="O187" t="s">
        <v>171</v>
      </c>
      <c r="P187">
        <v>1.6196329020640891E-2</v>
      </c>
      <c r="Q187" t="s">
        <v>163</v>
      </c>
      <c r="S187" t="s">
        <v>250</v>
      </c>
      <c r="T187" t="s">
        <v>171</v>
      </c>
      <c r="U187">
        <v>5.4983425998335342E-3</v>
      </c>
      <c r="V187" t="s">
        <v>163</v>
      </c>
    </row>
    <row r="188" spans="9:22" x14ac:dyDescent="0.45">
      <c r="I188" t="s">
        <v>188</v>
      </c>
      <c r="J188" t="s">
        <v>172</v>
      </c>
      <c r="K188">
        <v>1.0855878850233158E-2</v>
      </c>
      <c r="L188" t="s">
        <v>163</v>
      </c>
      <c r="N188" t="s">
        <v>219</v>
      </c>
      <c r="O188" t="s">
        <v>172</v>
      </c>
      <c r="P188">
        <v>0.16549425247829988</v>
      </c>
      <c r="Q188" t="s">
        <v>163</v>
      </c>
      <c r="S188" t="s">
        <v>250</v>
      </c>
      <c r="T188" t="s">
        <v>172</v>
      </c>
      <c r="U188">
        <v>0.15578686039512935</v>
      </c>
      <c r="V188" t="s">
        <v>163</v>
      </c>
    </row>
    <row r="189" spans="9:22" x14ac:dyDescent="0.45">
      <c r="I189" t="s">
        <v>188</v>
      </c>
      <c r="J189" t="s">
        <v>173</v>
      </c>
      <c r="K189">
        <v>0.47926735106532442</v>
      </c>
      <c r="L189" t="s">
        <v>163</v>
      </c>
      <c r="N189" t="s">
        <v>219</v>
      </c>
      <c r="O189" t="s">
        <v>173</v>
      </c>
      <c r="P189">
        <v>0.20933508168290715</v>
      </c>
      <c r="Q189" t="s">
        <v>163</v>
      </c>
      <c r="S189" t="s">
        <v>250</v>
      </c>
      <c r="T189" t="s">
        <v>173</v>
      </c>
      <c r="U189">
        <v>0.19051949975736923</v>
      </c>
      <c r="V189" t="s">
        <v>163</v>
      </c>
    </row>
    <row r="190" spans="9:22" x14ac:dyDescent="0.45">
      <c r="I190" t="s">
        <v>188</v>
      </c>
      <c r="J190" t="s">
        <v>174</v>
      </c>
      <c r="K190">
        <v>2.0367304529494319E-2</v>
      </c>
      <c r="L190" t="s">
        <v>163</v>
      </c>
      <c r="N190" t="s">
        <v>219</v>
      </c>
      <c r="O190" t="s">
        <v>174</v>
      </c>
      <c r="P190">
        <v>0.12400612391438415</v>
      </c>
      <c r="Q190" t="s">
        <v>163</v>
      </c>
      <c r="S190" t="s">
        <v>250</v>
      </c>
      <c r="T190" t="s">
        <v>174</v>
      </c>
      <c r="U190">
        <v>0.11714211420918016</v>
      </c>
      <c r="V190" t="s">
        <v>163</v>
      </c>
    </row>
    <row r="191" spans="9:22" x14ac:dyDescent="0.45">
      <c r="I191" t="s">
        <v>189</v>
      </c>
      <c r="J191" t="s">
        <v>162</v>
      </c>
      <c r="K191">
        <v>5.057563636771417E-3</v>
      </c>
      <c r="L191" t="s">
        <v>163</v>
      </c>
      <c r="N191" t="s">
        <v>220</v>
      </c>
      <c r="O191" t="s">
        <v>162</v>
      </c>
      <c r="P191">
        <v>0.12787101584922569</v>
      </c>
      <c r="Q191" t="s">
        <v>163</v>
      </c>
      <c r="S191" t="s">
        <v>251</v>
      </c>
      <c r="T191" t="s">
        <v>162</v>
      </c>
      <c r="U191">
        <v>0.13832519311516564</v>
      </c>
      <c r="V191" t="s">
        <v>163</v>
      </c>
    </row>
    <row r="192" spans="9:22" x14ac:dyDescent="0.45">
      <c r="I192" t="s">
        <v>189</v>
      </c>
      <c r="J192" t="s">
        <v>164</v>
      </c>
      <c r="K192">
        <v>0.32586270938601331</v>
      </c>
      <c r="L192" t="s">
        <v>163</v>
      </c>
      <c r="N192" t="s">
        <v>220</v>
      </c>
      <c r="O192" t="s">
        <v>164</v>
      </c>
      <c r="P192">
        <v>0.14998573663236098</v>
      </c>
      <c r="Q192" t="s">
        <v>163</v>
      </c>
      <c r="S192" t="s">
        <v>251</v>
      </c>
      <c r="T192" t="s">
        <v>164</v>
      </c>
      <c r="U192">
        <v>0.17753231704930575</v>
      </c>
      <c r="V192" t="s">
        <v>163</v>
      </c>
    </row>
    <row r="193" spans="9:22" x14ac:dyDescent="0.45">
      <c r="I193" t="s">
        <v>189</v>
      </c>
      <c r="J193" t="s">
        <v>165</v>
      </c>
      <c r="K193">
        <v>1.4672631148133719E-2</v>
      </c>
      <c r="L193" t="s">
        <v>163</v>
      </c>
      <c r="N193" t="s">
        <v>220</v>
      </c>
      <c r="O193" t="s">
        <v>165</v>
      </c>
      <c r="P193">
        <v>9.3239224443803739E-2</v>
      </c>
      <c r="Q193" t="s">
        <v>163</v>
      </c>
      <c r="S193" t="s">
        <v>251</v>
      </c>
      <c r="T193" t="s">
        <v>165</v>
      </c>
      <c r="U193">
        <v>0.10656360271513712</v>
      </c>
      <c r="V193" t="s">
        <v>163</v>
      </c>
    </row>
    <row r="194" spans="9:22" x14ac:dyDescent="0.45">
      <c r="I194" t="s">
        <v>189</v>
      </c>
      <c r="J194" t="s">
        <v>166</v>
      </c>
      <c r="K194">
        <v>5.6406070244671615E-3</v>
      </c>
      <c r="L194" t="s">
        <v>163</v>
      </c>
      <c r="N194" t="s">
        <v>220</v>
      </c>
      <c r="O194" t="s">
        <v>166</v>
      </c>
      <c r="P194">
        <v>2.3190082941416137E-2</v>
      </c>
      <c r="Q194" t="s">
        <v>163</v>
      </c>
      <c r="S194" t="s">
        <v>251</v>
      </c>
      <c r="T194" t="s">
        <v>166</v>
      </c>
      <c r="U194">
        <v>2.593756295168248E-2</v>
      </c>
      <c r="V194" t="s">
        <v>163</v>
      </c>
    </row>
    <row r="195" spans="9:22" x14ac:dyDescent="0.45">
      <c r="I195" t="s">
        <v>189</v>
      </c>
      <c r="J195" t="s">
        <v>167</v>
      </c>
      <c r="K195">
        <v>9.4926280787903952E-2</v>
      </c>
      <c r="L195" t="s">
        <v>163</v>
      </c>
      <c r="N195" t="s">
        <v>220</v>
      </c>
      <c r="O195" t="s">
        <v>167</v>
      </c>
      <c r="P195">
        <v>2.8080606102673034E-2</v>
      </c>
      <c r="Q195" t="s">
        <v>163</v>
      </c>
      <c r="S195" t="s">
        <v>251</v>
      </c>
      <c r="T195" t="s">
        <v>167</v>
      </c>
      <c r="U195">
        <v>3.1120632993083101E-2</v>
      </c>
      <c r="V195" t="s">
        <v>163</v>
      </c>
    </row>
    <row r="196" spans="9:22" x14ac:dyDescent="0.45">
      <c r="I196" t="s">
        <v>189</v>
      </c>
      <c r="J196" t="s">
        <v>168</v>
      </c>
      <c r="K196">
        <v>7.3636544078652492E-3</v>
      </c>
      <c r="L196" t="s">
        <v>163</v>
      </c>
      <c r="N196" t="s">
        <v>220</v>
      </c>
      <c r="O196" t="s">
        <v>168</v>
      </c>
      <c r="P196">
        <v>1.7214355279807036E-2</v>
      </c>
      <c r="Q196" t="s">
        <v>163</v>
      </c>
      <c r="S196" t="s">
        <v>251</v>
      </c>
      <c r="T196" t="s">
        <v>168</v>
      </c>
      <c r="U196">
        <v>1.8649333110626092E-2</v>
      </c>
      <c r="V196" t="s">
        <v>163</v>
      </c>
    </row>
    <row r="197" spans="9:22" x14ac:dyDescent="0.45">
      <c r="I197" t="s">
        <v>189</v>
      </c>
      <c r="J197" t="s">
        <v>169</v>
      </c>
      <c r="K197">
        <v>2.4169691243284899E-3</v>
      </c>
      <c r="L197" t="s">
        <v>163</v>
      </c>
      <c r="N197" t="s">
        <v>220</v>
      </c>
      <c r="O197" t="s">
        <v>169</v>
      </c>
      <c r="P197">
        <v>9.5444654293652346E-3</v>
      </c>
      <c r="Q197" t="s">
        <v>163</v>
      </c>
      <c r="S197" t="s">
        <v>251</v>
      </c>
      <c r="T197" t="s">
        <v>169</v>
      </c>
      <c r="U197">
        <v>9.8939839527230952E-3</v>
      </c>
      <c r="V197" t="s">
        <v>163</v>
      </c>
    </row>
    <row r="198" spans="9:22" x14ac:dyDescent="0.45">
      <c r="I198" t="s">
        <v>189</v>
      </c>
      <c r="J198" t="s">
        <v>170</v>
      </c>
      <c r="K198">
        <v>5.4880403929447985E-2</v>
      </c>
      <c r="L198" t="s">
        <v>163</v>
      </c>
      <c r="N198" t="s">
        <v>220</v>
      </c>
      <c r="O198" t="s">
        <v>170</v>
      </c>
      <c r="P198">
        <v>1.469119250967472E-2</v>
      </c>
      <c r="Q198" t="s">
        <v>163</v>
      </c>
      <c r="S198" t="s">
        <v>251</v>
      </c>
      <c r="T198" t="s">
        <v>170</v>
      </c>
      <c r="U198">
        <v>1.2581007934976719E-2</v>
      </c>
      <c r="V198" t="s">
        <v>163</v>
      </c>
    </row>
    <row r="199" spans="9:22" x14ac:dyDescent="0.45">
      <c r="I199" t="s">
        <v>189</v>
      </c>
      <c r="J199" t="s">
        <v>171</v>
      </c>
      <c r="K199">
        <v>3.8403018054787318E-3</v>
      </c>
      <c r="L199" t="s">
        <v>163</v>
      </c>
      <c r="N199" t="s">
        <v>220</v>
      </c>
      <c r="O199" t="s">
        <v>171</v>
      </c>
      <c r="P199">
        <v>8.2893494934612646E-3</v>
      </c>
      <c r="Q199" t="s">
        <v>163</v>
      </c>
      <c r="S199" t="s">
        <v>251</v>
      </c>
      <c r="T199" t="s">
        <v>171</v>
      </c>
      <c r="U199">
        <v>8.1710684554112054E-3</v>
      </c>
      <c r="V199" t="s">
        <v>163</v>
      </c>
    </row>
    <row r="200" spans="9:22" x14ac:dyDescent="0.45">
      <c r="I200" t="s">
        <v>189</v>
      </c>
      <c r="J200" t="s">
        <v>172</v>
      </c>
      <c r="K200">
        <v>1.202342089010165E-2</v>
      </c>
      <c r="L200" t="s">
        <v>163</v>
      </c>
      <c r="N200" t="s">
        <v>220</v>
      </c>
      <c r="O200" t="s">
        <v>172</v>
      </c>
      <c r="P200">
        <v>0.17566967186186203</v>
      </c>
      <c r="Q200" t="s">
        <v>163</v>
      </c>
      <c r="S200" t="s">
        <v>251</v>
      </c>
      <c r="T200" t="s">
        <v>172</v>
      </c>
      <c r="U200">
        <v>0.16066223499253771</v>
      </c>
      <c r="V200" t="s">
        <v>163</v>
      </c>
    </row>
    <row r="201" spans="9:22" x14ac:dyDescent="0.45">
      <c r="I201" t="s">
        <v>189</v>
      </c>
      <c r="J201" t="s">
        <v>173</v>
      </c>
      <c r="K201">
        <v>0.45535046477609814</v>
      </c>
      <c r="L201" t="s">
        <v>163</v>
      </c>
      <c r="N201" t="s">
        <v>220</v>
      </c>
      <c r="O201" t="s">
        <v>173</v>
      </c>
      <c r="P201">
        <v>0.22487209228901486</v>
      </c>
      <c r="Q201" t="s">
        <v>163</v>
      </c>
      <c r="S201" t="s">
        <v>251</v>
      </c>
      <c r="T201" t="s">
        <v>173</v>
      </c>
      <c r="U201">
        <v>0.18999875214115342</v>
      </c>
      <c r="V201" t="s">
        <v>163</v>
      </c>
    </row>
    <row r="202" spans="9:22" x14ac:dyDescent="0.45">
      <c r="I202" t="s">
        <v>189</v>
      </c>
      <c r="J202" t="s">
        <v>174</v>
      </c>
      <c r="K202">
        <v>1.7964993083388604E-2</v>
      </c>
      <c r="L202" t="s">
        <v>163</v>
      </c>
      <c r="N202" t="s">
        <v>220</v>
      </c>
      <c r="O202" t="s">
        <v>174</v>
      </c>
      <c r="P202">
        <v>0.127352207167334</v>
      </c>
      <c r="Q202" t="s">
        <v>163</v>
      </c>
      <c r="S202" t="s">
        <v>251</v>
      </c>
      <c r="T202" t="s">
        <v>174</v>
      </c>
      <c r="U202">
        <v>0.12056431058819718</v>
      </c>
      <c r="V202" t="s">
        <v>163</v>
      </c>
    </row>
    <row r="203" spans="9:22" x14ac:dyDescent="0.45">
      <c r="I203" t="s">
        <v>190</v>
      </c>
      <c r="J203" t="s">
        <v>162</v>
      </c>
      <c r="K203">
        <v>6.8289277521758436E-3</v>
      </c>
      <c r="L203" t="s">
        <v>163</v>
      </c>
      <c r="N203" t="s">
        <v>221</v>
      </c>
      <c r="O203" t="s">
        <v>162</v>
      </c>
      <c r="P203">
        <v>0.14592282462433687</v>
      </c>
      <c r="Q203" t="s">
        <v>163</v>
      </c>
      <c r="S203" t="s">
        <v>252</v>
      </c>
      <c r="T203" t="s">
        <v>162</v>
      </c>
      <c r="U203">
        <v>0.15315056492810433</v>
      </c>
      <c r="V203" t="s">
        <v>163</v>
      </c>
    </row>
    <row r="204" spans="9:22" x14ac:dyDescent="0.45">
      <c r="I204" t="s">
        <v>190</v>
      </c>
      <c r="J204" t="s">
        <v>164</v>
      </c>
      <c r="K204">
        <v>0.30892588143478161</v>
      </c>
      <c r="L204" t="s">
        <v>163</v>
      </c>
      <c r="N204" t="s">
        <v>221</v>
      </c>
      <c r="O204" t="s">
        <v>164</v>
      </c>
      <c r="P204">
        <v>0.18057270149779556</v>
      </c>
      <c r="Q204" t="s">
        <v>163</v>
      </c>
      <c r="S204" t="s">
        <v>252</v>
      </c>
      <c r="T204" t="s">
        <v>164</v>
      </c>
      <c r="U204">
        <v>0.19596507048445569</v>
      </c>
      <c r="V204" t="s">
        <v>163</v>
      </c>
    </row>
    <row r="205" spans="9:22" x14ac:dyDescent="0.45">
      <c r="I205" t="s">
        <v>190</v>
      </c>
      <c r="J205" t="s">
        <v>165</v>
      </c>
      <c r="K205">
        <v>1.1117983238708684E-2</v>
      </c>
      <c r="L205" t="s">
        <v>163</v>
      </c>
      <c r="N205" t="s">
        <v>221</v>
      </c>
      <c r="O205" t="s">
        <v>165</v>
      </c>
      <c r="P205">
        <v>0.10221996150298188</v>
      </c>
      <c r="Q205" t="s">
        <v>163</v>
      </c>
      <c r="S205" t="s">
        <v>252</v>
      </c>
      <c r="T205" t="s">
        <v>165</v>
      </c>
      <c r="U205">
        <v>0.11047214361959548</v>
      </c>
      <c r="V205" t="s">
        <v>163</v>
      </c>
    </row>
    <row r="206" spans="9:22" x14ac:dyDescent="0.45">
      <c r="I206" t="s">
        <v>190</v>
      </c>
      <c r="J206" t="s">
        <v>166</v>
      </c>
      <c r="K206">
        <v>6.7405043254906176E-3</v>
      </c>
      <c r="L206" t="s">
        <v>163</v>
      </c>
      <c r="N206" t="s">
        <v>221</v>
      </c>
      <c r="O206" t="s">
        <v>166</v>
      </c>
      <c r="P206">
        <v>1.8666555445595964E-2</v>
      </c>
      <c r="Q206" t="s">
        <v>163</v>
      </c>
      <c r="S206" t="s">
        <v>252</v>
      </c>
      <c r="T206" t="s">
        <v>166</v>
      </c>
      <c r="U206">
        <v>2.2402035650173565E-2</v>
      </c>
      <c r="V206" t="s">
        <v>163</v>
      </c>
    </row>
    <row r="207" spans="9:22" x14ac:dyDescent="0.45">
      <c r="I207" t="s">
        <v>190</v>
      </c>
      <c r="J207" t="s">
        <v>167</v>
      </c>
      <c r="K207">
        <v>0.10151144734042135</v>
      </c>
      <c r="L207" t="s">
        <v>163</v>
      </c>
      <c r="N207" t="s">
        <v>221</v>
      </c>
      <c r="O207" t="s">
        <v>167</v>
      </c>
      <c r="P207">
        <v>2.7740512928898287E-2</v>
      </c>
      <c r="Q207" t="s">
        <v>163</v>
      </c>
      <c r="S207" t="s">
        <v>252</v>
      </c>
      <c r="T207" t="s">
        <v>167</v>
      </c>
      <c r="U207">
        <v>2.7497733410584587E-2</v>
      </c>
      <c r="V207" t="s">
        <v>163</v>
      </c>
    </row>
    <row r="208" spans="9:22" x14ac:dyDescent="0.45">
      <c r="I208" t="s">
        <v>190</v>
      </c>
      <c r="J208" t="s">
        <v>168</v>
      </c>
      <c r="K208">
        <v>7.701477363197433E-3</v>
      </c>
      <c r="L208" t="s">
        <v>163</v>
      </c>
      <c r="N208" t="s">
        <v>221</v>
      </c>
      <c r="O208" t="s">
        <v>168</v>
      </c>
      <c r="P208">
        <v>1.1748297186429935E-2</v>
      </c>
      <c r="Q208" t="s">
        <v>163</v>
      </c>
      <c r="S208" t="s">
        <v>252</v>
      </c>
      <c r="T208" t="s">
        <v>168</v>
      </c>
      <c r="U208">
        <v>1.5190482396981415E-2</v>
      </c>
      <c r="V208" t="s">
        <v>163</v>
      </c>
    </row>
    <row r="209" spans="9:22" x14ac:dyDescent="0.45">
      <c r="I209" t="s">
        <v>190</v>
      </c>
      <c r="J209" t="s">
        <v>169</v>
      </c>
      <c r="K209">
        <v>4.183618703399063E-3</v>
      </c>
      <c r="L209" t="s">
        <v>163</v>
      </c>
      <c r="N209" t="s">
        <v>221</v>
      </c>
      <c r="O209" t="s">
        <v>169</v>
      </c>
      <c r="P209">
        <v>6.9834020635609825E-3</v>
      </c>
      <c r="Q209" t="s">
        <v>163</v>
      </c>
      <c r="S209" t="s">
        <v>252</v>
      </c>
      <c r="T209" t="s">
        <v>169</v>
      </c>
      <c r="U209">
        <v>1.0765843186383841E-2</v>
      </c>
      <c r="V209" t="s">
        <v>163</v>
      </c>
    </row>
    <row r="210" spans="9:22" x14ac:dyDescent="0.45">
      <c r="I210" t="s">
        <v>190</v>
      </c>
      <c r="J210" t="s">
        <v>170</v>
      </c>
      <c r="K210">
        <v>7.8637162085053627E-2</v>
      </c>
      <c r="L210" t="s">
        <v>163</v>
      </c>
      <c r="N210" t="s">
        <v>221</v>
      </c>
      <c r="O210" t="s">
        <v>170</v>
      </c>
      <c r="P210">
        <v>7.7340228469850005E-3</v>
      </c>
      <c r="Q210" t="s">
        <v>163</v>
      </c>
      <c r="S210" t="s">
        <v>252</v>
      </c>
      <c r="T210" t="s">
        <v>170</v>
      </c>
      <c r="U210">
        <v>1.2910391024465211E-2</v>
      </c>
      <c r="V210" t="s">
        <v>163</v>
      </c>
    </row>
    <row r="211" spans="9:22" x14ac:dyDescent="0.45">
      <c r="I211" t="s">
        <v>190</v>
      </c>
      <c r="J211" t="s">
        <v>171</v>
      </c>
      <c r="K211">
        <v>5.4236730049333692E-3</v>
      </c>
      <c r="L211" t="s">
        <v>163</v>
      </c>
      <c r="N211" t="s">
        <v>221</v>
      </c>
      <c r="O211" t="s">
        <v>171</v>
      </c>
      <c r="P211">
        <v>5.2423305813168704E-3</v>
      </c>
      <c r="Q211" t="s">
        <v>163</v>
      </c>
      <c r="S211" t="s">
        <v>252</v>
      </c>
      <c r="T211" t="s">
        <v>171</v>
      </c>
      <c r="U211">
        <v>8.6880805290779246E-3</v>
      </c>
      <c r="V211" t="s">
        <v>163</v>
      </c>
    </row>
    <row r="212" spans="9:22" x14ac:dyDescent="0.45">
      <c r="I212" t="s">
        <v>190</v>
      </c>
      <c r="J212" t="s">
        <v>172</v>
      </c>
      <c r="K212">
        <v>1.3553376154594626E-2</v>
      </c>
      <c r="L212" t="s">
        <v>163</v>
      </c>
      <c r="N212" t="s">
        <v>221</v>
      </c>
      <c r="O212" t="s">
        <v>172</v>
      </c>
      <c r="P212">
        <v>0.15847615454456082</v>
      </c>
      <c r="Q212" t="s">
        <v>163</v>
      </c>
      <c r="S212" t="s">
        <v>252</v>
      </c>
      <c r="T212" t="s">
        <v>172</v>
      </c>
      <c r="U212">
        <v>0.14944974558765359</v>
      </c>
      <c r="V212" t="s">
        <v>163</v>
      </c>
    </row>
    <row r="213" spans="9:22" x14ac:dyDescent="0.45">
      <c r="I213" t="s">
        <v>190</v>
      </c>
      <c r="J213" t="s">
        <v>173</v>
      </c>
      <c r="K213">
        <v>0.4380679560334419</v>
      </c>
      <c r="L213" t="s">
        <v>163</v>
      </c>
      <c r="N213" t="s">
        <v>221</v>
      </c>
      <c r="O213" t="s">
        <v>173</v>
      </c>
      <c r="P213">
        <v>0.21324727834691984</v>
      </c>
      <c r="Q213" t="s">
        <v>163</v>
      </c>
      <c r="S213" t="s">
        <v>252</v>
      </c>
      <c r="T213" t="s">
        <v>173</v>
      </c>
      <c r="U213">
        <v>0.18357691731737505</v>
      </c>
      <c r="V213" t="s">
        <v>163</v>
      </c>
    </row>
    <row r="214" spans="9:22" x14ac:dyDescent="0.45">
      <c r="I214" t="s">
        <v>190</v>
      </c>
      <c r="J214" t="s">
        <v>174</v>
      </c>
      <c r="K214">
        <v>1.7307992563800612E-2</v>
      </c>
      <c r="L214" t="s">
        <v>163</v>
      </c>
      <c r="N214" t="s">
        <v>221</v>
      </c>
      <c r="O214" t="s">
        <v>174</v>
      </c>
      <c r="P214">
        <v>0.12144595843061923</v>
      </c>
      <c r="Q214" t="s">
        <v>163</v>
      </c>
      <c r="S214" t="s">
        <v>252</v>
      </c>
      <c r="T214" t="s">
        <v>174</v>
      </c>
      <c r="U214">
        <v>0.10993099186515007</v>
      </c>
      <c r="V214" t="s">
        <v>163</v>
      </c>
    </row>
    <row r="215" spans="9:22" x14ac:dyDescent="0.45">
      <c r="I215" t="s">
        <v>191</v>
      </c>
      <c r="J215" t="s">
        <v>162</v>
      </c>
      <c r="K215">
        <v>4.893283043992851E-3</v>
      </c>
      <c r="L215" t="s">
        <v>163</v>
      </c>
      <c r="N215" t="s">
        <v>222</v>
      </c>
      <c r="O215" t="s">
        <v>162</v>
      </c>
      <c r="P215">
        <v>0.12917809281288542</v>
      </c>
      <c r="Q215" t="s">
        <v>163</v>
      </c>
      <c r="S215" t="s">
        <v>253</v>
      </c>
      <c r="T215" t="s">
        <v>162</v>
      </c>
      <c r="U215">
        <v>0.12465979046494959</v>
      </c>
      <c r="V215" t="s">
        <v>163</v>
      </c>
    </row>
    <row r="216" spans="9:22" x14ac:dyDescent="0.45">
      <c r="I216" t="s">
        <v>191</v>
      </c>
      <c r="J216" t="s">
        <v>164</v>
      </c>
      <c r="K216">
        <v>0.314765742666482</v>
      </c>
      <c r="L216" t="s">
        <v>163</v>
      </c>
      <c r="N216" t="s">
        <v>222</v>
      </c>
      <c r="O216" t="s">
        <v>164</v>
      </c>
      <c r="P216">
        <v>0.13787516871414873</v>
      </c>
      <c r="Q216" t="s">
        <v>163</v>
      </c>
      <c r="S216" t="s">
        <v>253</v>
      </c>
      <c r="T216" t="s">
        <v>164</v>
      </c>
      <c r="U216">
        <v>0.16522557406767405</v>
      </c>
      <c r="V216" t="s">
        <v>163</v>
      </c>
    </row>
    <row r="217" spans="9:22" x14ac:dyDescent="0.45">
      <c r="I217" t="s">
        <v>191</v>
      </c>
      <c r="J217" t="s">
        <v>165</v>
      </c>
      <c r="K217">
        <v>1.5193311612974922E-2</v>
      </c>
      <c r="L217" t="s">
        <v>163</v>
      </c>
      <c r="N217" t="s">
        <v>222</v>
      </c>
      <c r="O217" t="s">
        <v>165</v>
      </c>
      <c r="P217">
        <v>9.0275049721523865E-2</v>
      </c>
      <c r="Q217" t="s">
        <v>163</v>
      </c>
      <c r="S217" t="s">
        <v>253</v>
      </c>
      <c r="T217" t="s">
        <v>165</v>
      </c>
      <c r="U217">
        <v>9.9374149506342088E-2</v>
      </c>
      <c r="V217" t="s">
        <v>163</v>
      </c>
    </row>
    <row r="218" spans="9:22" x14ac:dyDescent="0.45">
      <c r="I218" t="s">
        <v>191</v>
      </c>
      <c r="J218" t="s">
        <v>166</v>
      </c>
      <c r="K218">
        <v>6.2217356972158952E-3</v>
      </c>
      <c r="L218" t="s">
        <v>163</v>
      </c>
      <c r="N218" t="s">
        <v>222</v>
      </c>
      <c r="O218" t="s">
        <v>166</v>
      </c>
      <c r="P218">
        <v>2.1037515780198465E-2</v>
      </c>
      <c r="Q218" t="s">
        <v>163</v>
      </c>
      <c r="S218" t="s">
        <v>253</v>
      </c>
      <c r="T218" t="s">
        <v>166</v>
      </c>
      <c r="U218">
        <v>2.8636407894554496E-2</v>
      </c>
      <c r="V218" t="s">
        <v>163</v>
      </c>
    </row>
    <row r="219" spans="9:22" x14ac:dyDescent="0.45">
      <c r="I219" t="s">
        <v>191</v>
      </c>
      <c r="J219" t="s">
        <v>167</v>
      </c>
      <c r="K219">
        <v>9.9939416166429512E-2</v>
      </c>
      <c r="L219" t="s">
        <v>163</v>
      </c>
      <c r="N219" t="s">
        <v>222</v>
      </c>
      <c r="O219" t="s">
        <v>167</v>
      </c>
      <c r="P219">
        <v>2.7691043597295257E-2</v>
      </c>
      <c r="Q219" t="s">
        <v>163</v>
      </c>
      <c r="S219" t="s">
        <v>253</v>
      </c>
      <c r="T219" t="s">
        <v>167</v>
      </c>
      <c r="U219">
        <v>3.8378524418133782E-2</v>
      </c>
      <c r="V219" t="s">
        <v>163</v>
      </c>
    </row>
    <row r="220" spans="9:22" x14ac:dyDescent="0.45">
      <c r="I220" t="s">
        <v>191</v>
      </c>
      <c r="J220" t="s">
        <v>168</v>
      </c>
      <c r="K220">
        <v>8.8510070737578567E-3</v>
      </c>
      <c r="L220" t="s">
        <v>163</v>
      </c>
      <c r="N220" t="s">
        <v>222</v>
      </c>
      <c r="O220" t="s">
        <v>168</v>
      </c>
      <c r="P220">
        <v>1.5565397884862997E-2</v>
      </c>
      <c r="Q220" t="s">
        <v>163</v>
      </c>
      <c r="S220" t="s">
        <v>253</v>
      </c>
      <c r="T220" t="s">
        <v>168</v>
      </c>
      <c r="U220">
        <v>2.1790120994156531E-2</v>
      </c>
      <c r="V220" t="s">
        <v>163</v>
      </c>
    </row>
    <row r="221" spans="9:22" x14ac:dyDescent="0.45">
      <c r="I221" t="s">
        <v>191</v>
      </c>
      <c r="J221" t="s">
        <v>169</v>
      </c>
      <c r="K221">
        <v>3.2801609583435819E-3</v>
      </c>
      <c r="L221" t="s">
        <v>163</v>
      </c>
      <c r="N221" t="s">
        <v>222</v>
      </c>
      <c r="O221" t="s">
        <v>169</v>
      </c>
      <c r="P221">
        <v>2.3137561365466346E-2</v>
      </c>
      <c r="Q221" t="s">
        <v>163</v>
      </c>
      <c r="S221" t="s">
        <v>253</v>
      </c>
      <c r="T221" t="s">
        <v>169</v>
      </c>
      <c r="U221">
        <v>1.0017410082682946E-2</v>
      </c>
      <c r="V221" t="s">
        <v>163</v>
      </c>
    </row>
    <row r="222" spans="9:22" x14ac:dyDescent="0.45">
      <c r="I222" t="s">
        <v>191</v>
      </c>
      <c r="J222" t="s">
        <v>170</v>
      </c>
      <c r="K222">
        <v>6.6461566354372614E-2</v>
      </c>
      <c r="L222" t="s">
        <v>163</v>
      </c>
      <c r="N222" t="s">
        <v>222</v>
      </c>
      <c r="O222" t="s">
        <v>170</v>
      </c>
      <c r="P222">
        <v>3.2208096378802398E-2</v>
      </c>
      <c r="Q222" t="s">
        <v>163</v>
      </c>
      <c r="S222" t="s">
        <v>253</v>
      </c>
      <c r="T222" t="s">
        <v>170</v>
      </c>
      <c r="U222">
        <v>1.323002665310373E-2</v>
      </c>
      <c r="V222" t="s">
        <v>163</v>
      </c>
    </row>
    <row r="223" spans="9:22" x14ac:dyDescent="0.45">
      <c r="I223" t="s">
        <v>191</v>
      </c>
      <c r="J223" t="s">
        <v>171</v>
      </c>
      <c r="K223">
        <v>5.1200374660776704E-3</v>
      </c>
      <c r="L223" t="s">
        <v>163</v>
      </c>
      <c r="N223" t="s">
        <v>222</v>
      </c>
      <c r="O223" t="s">
        <v>171</v>
      </c>
      <c r="P223">
        <v>1.7318427254441961E-2</v>
      </c>
      <c r="Q223" t="s">
        <v>163</v>
      </c>
      <c r="S223" t="s">
        <v>253</v>
      </c>
      <c r="T223" t="s">
        <v>171</v>
      </c>
      <c r="U223">
        <v>9.7908456844864183E-3</v>
      </c>
      <c r="V223" t="s">
        <v>163</v>
      </c>
    </row>
    <row r="224" spans="9:22" x14ac:dyDescent="0.45">
      <c r="I224" t="s">
        <v>191</v>
      </c>
      <c r="J224" t="s">
        <v>172</v>
      </c>
      <c r="K224">
        <v>1.1354326538571605E-2</v>
      </c>
      <c r="L224" t="s">
        <v>163</v>
      </c>
      <c r="N224" t="s">
        <v>222</v>
      </c>
      <c r="O224" t="s">
        <v>172</v>
      </c>
      <c r="P224">
        <v>0.168591293048761</v>
      </c>
      <c r="Q224" t="s">
        <v>163</v>
      </c>
      <c r="S224" t="s">
        <v>253</v>
      </c>
      <c r="T224" t="s">
        <v>172</v>
      </c>
      <c r="U224">
        <v>0.16086704747853708</v>
      </c>
      <c r="V224" t="s">
        <v>163</v>
      </c>
    </row>
    <row r="225" spans="9:22" x14ac:dyDescent="0.45">
      <c r="I225" t="s">
        <v>191</v>
      </c>
      <c r="J225" t="s">
        <v>173</v>
      </c>
      <c r="K225">
        <v>0.44424554124679877</v>
      </c>
      <c r="L225" t="s">
        <v>163</v>
      </c>
      <c r="N225" t="s">
        <v>222</v>
      </c>
      <c r="O225" t="s">
        <v>173</v>
      </c>
      <c r="P225">
        <v>0.21055358802397653</v>
      </c>
      <c r="Q225" t="s">
        <v>163</v>
      </c>
      <c r="S225" t="s">
        <v>253</v>
      </c>
      <c r="T225" t="s">
        <v>173</v>
      </c>
      <c r="U225">
        <v>0.20379566087888407</v>
      </c>
      <c r="V225" t="s">
        <v>163</v>
      </c>
    </row>
    <row r="226" spans="9:22" x14ac:dyDescent="0.45">
      <c r="I226" t="s">
        <v>191</v>
      </c>
      <c r="J226" t="s">
        <v>174</v>
      </c>
      <c r="K226">
        <v>1.9673871174982028E-2</v>
      </c>
      <c r="L226" t="s">
        <v>163</v>
      </c>
      <c r="N226" t="s">
        <v>222</v>
      </c>
      <c r="O226" t="s">
        <v>174</v>
      </c>
      <c r="P226">
        <v>0.12656876541763659</v>
      </c>
      <c r="Q226" t="s">
        <v>163</v>
      </c>
      <c r="S226" t="s">
        <v>253</v>
      </c>
      <c r="T226" t="s">
        <v>174</v>
      </c>
      <c r="U226">
        <v>0.12423444187649693</v>
      </c>
      <c r="V226" t="s">
        <v>163</v>
      </c>
    </row>
    <row r="227" spans="9:22" x14ac:dyDescent="0.45">
      <c r="I227" t="s">
        <v>192</v>
      </c>
      <c r="J227" t="s">
        <v>162</v>
      </c>
      <c r="K227">
        <v>6.4213503964617429E-3</v>
      </c>
      <c r="L227" t="s">
        <v>163</v>
      </c>
      <c r="N227" t="s">
        <v>223</v>
      </c>
      <c r="O227" t="s">
        <v>162</v>
      </c>
      <c r="P227">
        <v>0.12538024592240568</v>
      </c>
      <c r="Q227" t="s">
        <v>163</v>
      </c>
      <c r="S227" t="s">
        <v>254</v>
      </c>
      <c r="T227" t="s">
        <v>162</v>
      </c>
      <c r="U227">
        <v>0.13560381306926947</v>
      </c>
      <c r="V227" t="s">
        <v>163</v>
      </c>
    </row>
    <row r="228" spans="9:22" x14ac:dyDescent="0.45">
      <c r="I228" t="s">
        <v>192</v>
      </c>
      <c r="J228" t="s">
        <v>164</v>
      </c>
      <c r="K228">
        <v>0.32104207288025094</v>
      </c>
      <c r="L228" t="s">
        <v>163</v>
      </c>
      <c r="N228" t="s">
        <v>223</v>
      </c>
      <c r="O228" t="s">
        <v>164</v>
      </c>
      <c r="P228">
        <v>0.14426464970103312</v>
      </c>
      <c r="Q228" t="s">
        <v>163</v>
      </c>
      <c r="S228" t="s">
        <v>254</v>
      </c>
      <c r="T228" t="s">
        <v>164</v>
      </c>
      <c r="U228">
        <v>0.1792778632388255</v>
      </c>
      <c r="V228" t="s">
        <v>163</v>
      </c>
    </row>
    <row r="229" spans="9:22" x14ac:dyDescent="0.45">
      <c r="I229" t="s">
        <v>192</v>
      </c>
      <c r="J229" t="s">
        <v>165</v>
      </c>
      <c r="K229">
        <v>1.2753948222686176E-2</v>
      </c>
      <c r="L229" t="s">
        <v>163</v>
      </c>
      <c r="N229" t="s">
        <v>223</v>
      </c>
      <c r="O229" t="s">
        <v>165</v>
      </c>
      <c r="P229">
        <v>9.2788363595189896E-2</v>
      </c>
      <c r="Q229" t="s">
        <v>163</v>
      </c>
      <c r="S229" t="s">
        <v>254</v>
      </c>
      <c r="T229" t="s">
        <v>165</v>
      </c>
      <c r="U229">
        <v>9.4960611446745169E-2</v>
      </c>
      <c r="V229" t="s">
        <v>163</v>
      </c>
    </row>
    <row r="230" spans="9:22" x14ac:dyDescent="0.45">
      <c r="I230" t="s">
        <v>192</v>
      </c>
      <c r="J230" t="s">
        <v>166</v>
      </c>
      <c r="K230">
        <v>7.138720109002062E-3</v>
      </c>
      <c r="L230" t="s">
        <v>163</v>
      </c>
      <c r="N230" t="s">
        <v>223</v>
      </c>
      <c r="O230" t="s">
        <v>166</v>
      </c>
      <c r="P230">
        <v>2.0676854042467475E-2</v>
      </c>
      <c r="Q230" t="s">
        <v>163</v>
      </c>
      <c r="S230" t="s">
        <v>254</v>
      </c>
      <c r="T230" t="s">
        <v>166</v>
      </c>
      <c r="U230">
        <v>2.8304600898400374E-2</v>
      </c>
      <c r="V230" t="s">
        <v>163</v>
      </c>
    </row>
    <row r="231" spans="9:22" x14ac:dyDescent="0.45">
      <c r="I231" t="s">
        <v>192</v>
      </c>
      <c r="J231" t="s">
        <v>167</v>
      </c>
      <c r="K231">
        <v>9.7908757210514244E-2</v>
      </c>
      <c r="L231" t="s">
        <v>163</v>
      </c>
      <c r="N231" t="s">
        <v>223</v>
      </c>
      <c r="O231" t="s">
        <v>167</v>
      </c>
      <c r="P231">
        <v>2.5282525149046612E-2</v>
      </c>
      <c r="Q231" t="s">
        <v>163</v>
      </c>
      <c r="S231" t="s">
        <v>254</v>
      </c>
      <c r="T231" t="s">
        <v>167</v>
      </c>
      <c r="U231">
        <v>3.1416711385409558E-2</v>
      </c>
      <c r="V231" t="s">
        <v>163</v>
      </c>
    </row>
    <row r="232" spans="9:22" x14ac:dyDescent="0.45">
      <c r="I232" t="s">
        <v>192</v>
      </c>
      <c r="J232" t="s">
        <v>168</v>
      </c>
      <c r="K232">
        <v>7.2366504270804585E-3</v>
      </c>
      <c r="L232" t="s">
        <v>163</v>
      </c>
      <c r="N232" t="s">
        <v>223</v>
      </c>
      <c r="O232" t="s">
        <v>168</v>
      </c>
      <c r="P232">
        <v>1.5291844415800605E-2</v>
      </c>
      <c r="Q232" t="s">
        <v>163</v>
      </c>
      <c r="S232" t="s">
        <v>254</v>
      </c>
      <c r="T232" t="s">
        <v>168</v>
      </c>
      <c r="U232">
        <v>2.1242061900557579E-2</v>
      </c>
      <c r="V232" t="s">
        <v>163</v>
      </c>
    </row>
    <row r="233" spans="9:22" x14ac:dyDescent="0.45">
      <c r="I233" t="s">
        <v>192</v>
      </c>
      <c r="J233" t="s">
        <v>169</v>
      </c>
      <c r="K233">
        <v>3.5880436185649241E-3</v>
      </c>
      <c r="L233" t="s">
        <v>163</v>
      </c>
      <c r="N233" t="s">
        <v>223</v>
      </c>
      <c r="O233" t="s">
        <v>169</v>
      </c>
      <c r="P233">
        <v>1.7850132686131802E-2</v>
      </c>
      <c r="Q233" t="s">
        <v>163</v>
      </c>
      <c r="S233" t="s">
        <v>254</v>
      </c>
      <c r="T233" t="s">
        <v>169</v>
      </c>
      <c r="U233">
        <v>8.8745593497556018E-3</v>
      </c>
      <c r="V233" t="s">
        <v>163</v>
      </c>
    </row>
    <row r="234" spans="9:22" x14ac:dyDescent="0.45">
      <c r="I234" t="s">
        <v>192</v>
      </c>
      <c r="J234" t="s">
        <v>170</v>
      </c>
      <c r="K234">
        <v>6.4138413788559126E-2</v>
      </c>
      <c r="L234" t="s">
        <v>163</v>
      </c>
      <c r="N234" t="s">
        <v>223</v>
      </c>
      <c r="O234" t="s">
        <v>170</v>
      </c>
      <c r="P234">
        <v>2.331271987018442E-2</v>
      </c>
      <c r="Q234" t="s">
        <v>163</v>
      </c>
      <c r="S234" t="s">
        <v>254</v>
      </c>
      <c r="T234" t="s">
        <v>170</v>
      </c>
      <c r="U234">
        <v>7.6363820031907816E-3</v>
      </c>
      <c r="V234" t="s">
        <v>163</v>
      </c>
    </row>
    <row r="235" spans="9:22" x14ac:dyDescent="0.45">
      <c r="I235" t="s">
        <v>192</v>
      </c>
      <c r="J235" t="s">
        <v>171</v>
      </c>
      <c r="K235">
        <v>4.1953367954130107E-3</v>
      </c>
      <c r="L235" t="s">
        <v>163</v>
      </c>
      <c r="N235" t="s">
        <v>223</v>
      </c>
      <c r="O235" t="s">
        <v>171</v>
      </c>
      <c r="P235">
        <v>1.3148574542240691E-2</v>
      </c>
      <c r="Q235" t="s">
        <v>163</v>
      </c>
      <c r="S235" t="s">
        <v>254</v>
      </c>
      <c r="T235" t="s">
        <v>171</v>
      </c>
      <c r="U235">
        <v>8.5946740519573465E-3</v>
      </c>
      <c r="V235" t="s">
        <v>163</v>
      </c>
    </row>
    <row r="236" spans="9:22" x14ac:dyDescent="0.45">
      <c r="I236" t="s">
        <v>192</v>
      </c>
      <c r="J236" t="s">
        <v>172</v>
      </c>
      <c r="K236">
        <v>1.4040755157088813E-2</v>
      </c>
      <c r="L236" t="s">
        <v>163</v>
      </c>
      <c r="N236" t="s">
        <v>223</v>
      </c>
      <c r="O236" t="s">
        <v>172</v>
      </c>
      <c r="P236">
        <v>0.18034745157814003</v>
      </c>
      <c r="Q236" t="s">
        <v>163</v>
      </c>
      <c r="S236" t="s">
        <v>254</v>
      </c>
      <c r="T236" t="s">
        <v>172</v>
      </c>
      <c r="U236">
        <v>0.16848617717907755</v>
      </c>
      <c r="V236" t="s">
        <v>163</v>
      </c>
    </row>
    <row r="237" spans="9:22" x14ac:dyDescent="0.45">
      <c r="I237" t="s">
        <v>192</v>
      </c>
      <c r="J237" t="s">
        <v>173</v>
      </c>
      <c r="K237">
        <v>0.44463559479227249</v>
      </c>
      <c r="L237" t="s">
        <v>163</v>
      </c>
      <c r="N237" t="s">
        <v>223</v>
      </c>
      <c r="O237" t="s">
        <v>173</v>
      </c>
      <c r="P237">
        <v>0.21093810128771989</v>
      </c>
      <c r="Q237" t="s">
        <v>163</v>
      </c>
      <c r="S237" t="s">
        <v>254</v>
      </c>
      <c r="T237" t="s">
        <v>173</v>
      </c>
      <c r="U237">
        <v>0.19320235490707099</v>
      </c>
      <c r="V237" t="s">
        <v>163</v>
      </c>
    </row>
    <row r="238" spans="9:22" x14ac:dyDescent="0.45">
      <c r="I238" t="s">
        <v>192</v>
      </c>
      <c r="J238" t="s">
        <v>174</v>
      </c>
      <c r="K238">
        <v>1.6900356602105687E-2</v>
      </c>
      <c r="L238" t="s">
        <v>163</v>
      </c>
      <c r="N238" t="s">
        <v>223</v>
      </c>
      <c r="O238" t="s">
        <v>174</v>
      </c>
      <c r="P238">
        <v>0.13071853720963941</v>
      </c>
      <c r="Q238" t="s">
        <v>163</v>
      </c>
      <c r="S238" t="s">
        <v>254</v>
      </c>
      <c r="T238" t="s">
        <v>174</v>
      </c>
      <c r="U238">
        <v>0.12240019056973846</v>
      </c>
      <c r="V238" t="s">
        <v>163</v>
      </c>
    </row>
    <row r="239" spans="9:22" x14ac:dyDescent="0.45">
      <c r="I239" t="s">
        <v>193</v>
      </c>
      <c r="J239" t="s">
        <v>162</v>
      </c>
      <c r="K239">
        <v>1.2986544385400447E-2</v>
      </c>
      <c r="L239" t="s">
        <v>163</v>
      </c>
      <c r="N239" t="s">
        <v>224</v>
      </c>
      <c r="O239" t="s">
        <v>162</v>
      </c>
      <c r="P239">
        <v>0.15787215122211412</v>
      </c>
      <c r="Q239" t="s">
        <v>163</v>
      </c>
      <c r="S239" t="s">
        <v>255</v>
      </c>
      <c r="T239" t="s">
        <v>162</v>
      </c>
      <c r="U239">
        <v>0.12998896957404621</v>
      </c>
      <c r="V239" t="s">
        <v>163</v>
      </c>
    </row>
    <row r="240" spans="9:22" x14ac:dyDescent="0.45">
      <c r="I240" t="s">
        <v>193</v>
      </c>
      <c r="J240" t="s">
        <v>164</v>
      </c>
      <c r="K240">
        <v>0.26179626730808603</v>
      </c>
      <c r="L240" t="s">
        <v>163</v>
      </c>
      <c r="N240" t="s">
        <v>224</v>
      </c>
      <c r="O240" t="s">
        <v>164</v>
      </c>
      <c r="P240">
        <v>0.20380668154170367</v>
      </c>
      <c r="Q240" t="s">
        <v>163</v>
      </c>
      <c r="S240" t="s">
        <v>255</v>
      </c>
      <c r="T240" t="s">
        <v>164</v>
      </c>
      <c r="U240">
        <v>0.15443596625516889</v>
      </c>
      <c r="V240" t="s">
        <v>163</v>
      </c>
    </row>
    <row r="241" spans="9:22" x14ac:dyDescent="0.45">
      <c r="I241" t="s">
        <v>193</v>
      </c>
      <c r="J241" t="s">
        <v>165</v>
      </c>
      <c r="K241">
        <v>1.7893856471679222E-3</v>
      </c>
      <c r="L241" t="s">
        <v>163</v>
      </c>
      <c r="N241" t="s">
        <v>224</v>
      </c>
      <c r="O241" t="s">
        <v>165</v>
      </c>
      <c r="P241">
        <v>0.11383553442203478</v>
      </c>
      <c r="Q241" t="s">
        <v>163</v>
      </c>
      <c r="S241" t="s">
        <v>255</v>
      </c>
      <c r="T241" t="s">
        <v>165</v>
      </c>
      <c r="U241">
        <v>9.0235139517401849E-2</v>
      </c>
      <c r="V241" t="s">
        <v>163</v>
      </c>
    </row>
    <row r="242" spans="9:22" x14ac:dyDescent="0.45">
      <c r="I242" t="s">
        <v>193</v>
      </c>
      <c r="J242" t="s">
        <v>166</v>
      </c>
      <c r="K242">
        <v>5.8037296318347517E-3</v>
      </c>
      <c r="L242" t="s">
        <v>163</v>
      </c>
      <c r="N242" t="s">
        <v>224</v>
      </c>
      <c r="O242" t="s">
        <v>166</v>
      </c>
      <c r="P242">
        <v>1.9226040954375339E-2</v>
      </c>
      <c r="Q242" t="s">
        <v>163</v>
      </c>
      <c r="S242" t="s">
        <v>255</v>
      </c>
      <c r="T242" t="s">
        <v>166</v>
      </c>
      <c r="U242">
        <v>2.6081943078160051E-2</v>
      </c>
      <c r="V242" t="s">
        <v>163</v>
      </c>
    </row>
    <row r="243" spans="9:22" x14ac:dyDescent="0.45">
      <c r="I243" t="s">
        <v>193</v>
      </c>
      <c r="J243" t="s">
        <v>167</v>
      </c>
      <c r="K243">
        <v>7.6806758209108275E-2</v>
      </c>
      <c r="L243" t="s">
        <v>163</v>
      </c>
      <c r="N243" t="s">
        <v>224</v>
      </c>
      <c r="O243" t="s">
        <v>167</v>
      </c>
      <c r="P243">
        <v>2.6690892654869187E-2</v>
      </c>
      <c r="Q243" t="s">
        <v>163</v>
      </c>
      <c r="S243" t="s">
        <v>255</v>
      </c>
      <c r="T243" t="s">
        <v>167</v>
      </c>
      <c r="U243">
        <v>3.0381525215065024E-2</v>
      </c>
      <c r="V243" t="s">
        <v>163</v>
      </c>
    </row>
    <row r="244" spans="9:22" x14ac:dyDescent="0.45">
      <c r="I244" t="s">
        <v>193</v>
      </c>
      <c r="J244" t="s">
        <v>168</v>
      </c>
      <c r="K244">
        <v>2.0659123510519705E-3</v>
      </c>
      <c r="L244" t="s">
        <v>163</v>
      </c>
      <c r="N244" t="s">
        <v>224</v>
      </c>
      <c r="O244" t="s">
        <v>168</v>
      </c>
      <c r="P244">
        <v>1.4234562487978823E-2</v>
      </c>
      <c r="Q244" t="s">
        <v>163</v>
      </c>
      <c r="S244" t="s">
        <v>255</v>
      </c>
      <c r="T244" t="s">
        <v>168</v>
      </c>
      <c r="U244">
        <v>1.9506301226379821E-2</v>
      </c>
      <c r="V244" t="s">
        <v>163</v>
      </c>
    </row>
    <row r="245" spans="9:22" x14ac:dyDescent="0.45">
      <c r="I245" t="s">
        <v>193</v>
      </c>
      <c r="J245" t="s">
        <v>169</v>
      </c>
      <c r="K245">
        <v>7.2055520406450746E-3</v>
      </c>
      <c r="L245" t="s">
        <v>163</v>
      </c>
      <c r="N245" t="s">
        <v>224</v>
      </c>
      <c r="O245" t="s">
        <v>169</v>
      </c>
      <c r="P245">
        <v>7.6191852474596722E-3</v>
      </c>
      <c r="Q245" t="s">
        <v>163</v>
      </c>
      <c r="S245" t="s">
        <v>255</v>
      </c>
      <c r="T245" t="s">
        <v>169</v>
      </c>
      <c r="U245">
        <v>1.0540450895214208E-2</v>
      </c>
      <c r="V245" t="s">
        <v>163</v>
      </c>
    </row>
    <row r="246" spans="9:22" x14ac:dyDescent="0.45">
      <c r="I246" t="s">
        <v>193</v>
      </c>
      <c r="J246" t="s">
        <v>170</v>
      </c>
      <c r="K246">
        <v>8.4049815162640026E-2</v>
      </c>
      <c r="L246" t="s">
        <v>163</v>
      </c>
      <c r="N246" t="s">
        <v>224</v>
      </c>
      <c r="O246" t="s">
        <v>170</v>
      </c>
      <c r="P246">
        <v>8.2387523180103405E-3</v>
      </c>
      <c r="Q246" t="s">
        <v>163</v>
      </c>
      <c r="S246" t="s">
        <v>255</v>
      </c>
      <c r="T246" t="s">
        <v>170</v>
      </c>
      <c r="U246">
        <v>1.2546980742059883E-2</v>
      </c>
      <c r="V246" t="s">
        <v>163</v>
      </c>
    </row>
    <row r="247" spans="9:22" x14ac:dyDescent="0.45">
      <c r="I247" t="s">
        <v>193</v>
      </c>
      <c r="J247" t="s">
        <v>171</v>
      </c>
      <c r="K247">
        <v>2.3239979253868912E-3</v>
      </c>
      <c r="L247" t="s">
        <v>163</v>
      </c>
      <c r="N247" t="s">
        <v>224</v>
      </c>
      <c r="O247" t="s">
        <v>171</v>
      </c>
      <c r="P247">
        <v>6.8530776203915515E-3</v>
      </c>
      <c r="Q247" t="s">
        <v>163</v>
      </c>
      <c r="S247" t="s">
        <v>255</v>
      </c>
      <c r="T247" t="s">
        <v>171</v>
      </c>
      <c r="U247">
        <v>9.3221833146652638E-3</v>
      </c>
      <c r="V247" t="s">
        <v>163</v>
      </c>
    </row>
    <row r="248" spans="9:22" x14ac:dyDescent="0.45">
      <c r="I248" t="s">
        <v>193</v>
      </c>
      <c r="J248" t="s">
        <v>172</v>
      </c>
      <c r="K248">
        <v>3.9774161689140622E-2</v>
      </c>
      <c r="L248" t="s">
        <v>163</v>
      </c>
      <c r="N248" t="s">
        <v>224</v>
      </c>
      <c r="O248" t="s">
        <v>172</v>
      </c>
      <c r="P248">
        <v>0.14937845059076577</v>
      </c>
      <c r="Q248" t="s">
        <v>163</v>
      </c>
      <c r="S248" t="s">
        <v>255</v>
      </c>
      <c r="T248" t="s">
        <v>172</v>
      </c>
      <c r="U248">
        <v>0.17238025999406878</v>
      </c>
      <c r="V248" t="s">
        <v>163</v>
      </c>
    </row>
    <row r="249" spans="9:22" x14ac:dyDescent="0.45">
      <c r="I249" t="s">
        <v>193</v>
      </c>
      <c r="J249" t="s">
        <v>173</v>
      </c>
      <c r="K249">
        <v>0.49753853080383204</v>
      </c>
      <c r="L249" t="s">
        <v>163</v>
      </c>
      <c r="N249" t="s">
        <v>224</v>
      </c>
      <c r="O249" t="s">
        <v>173</v>
      </c>
      <c r="P249">
        <v>0.18017822181737769</v>
      </c>
      <c r="Q249" t="s">
        <v>163</v>
      </c>
      <c r="S249" t="s">
        <v>255</v>
      </c>
      <c r="T249" t="s">
        <v>173</v>
      </c>
      <c r="U249">
        <v>0.21058095072821323</v>
      </c>
      <c r="V249" t="s">
        <v>163</v>
      </c>
    </row>
    <row r="250" spans="9:22" x14ac:dyDescent="0.45">
      <c r="I250" t="s">
        <v>193</v>
      </c>
      <c r="J250" t="s">
        <v>174</v>
      </c>
      <c r="K250">
        <v>7.8593448457044048E-3</v>
      </c>
      <c r="L250" t="s">
        <v>163</v>
      </c>
      <c r="N250" t="s">
        <v>224</v>
      </c>
      <c r="O250" t="s">
        <v>174</v>
      </c>
      <c r="P250">
        <v>0.11206644912291974</v>
      </c>
      <c r="Q250" t="s">
        <v>163</v>
      </c>
      <c r="S250" t="s">
        <v>255</v>
      </c>
      <c r="T250" t="s">
        <v>174</v>
      </c>
      <c r="U250">
        <v>0.13399932945955489</v>
      </c>
      <c r="V250" t="s">
        <v>163</v>
      </c>
    </row>
    <row r="251" spans="9:22" x14ac:dyDescent="0.45">
      <c r="I251" t="s">
        <v>194</v>
      </c>
      <c r="J251" t="s">
        <v>162</v>
      </c>
      <c r="K251">
        <v>9.9707559327139612E-3</v>
      </c>
      <c r="L251" t="s">
        <v>163</v>
      </c>
      <c r="N251" t="s">
        <v>225</v>
      </c>
      <c r="O251" t="s">
        <v>162</v>
      </c>
      <c r="P251">
        <v>0.14719078227914528</v>
      </c>
      <c r="Q251" t="s">
        <v>163</v>
      </c>
      <c r="S251" t="s">
        <v>256</v>
      </c>
      <c r="T251" t="s">
        <v>162</v>
      </c>
      <c r="U251">
        <v>0.13642630635597608</v>
      </c>
      <c r="V251" t="s">
        <v>163</v>
      </c>
    </row>
    <row r="252" spans="9:22" x14ac:dyDescent="0.45">
      <c r="I252" t="s">
        <v>194</v>
      </c>
      <c r="J252" t="s">
        <v>164</v>
      </c>
      <c r="K252">
        <v>0.25467042514017418</v>
      </c>
      <c r="L252" t="s">
        <v>163</v>
      </c>
      <c r="N252" t="s">
        <v>225</v>
      </c>
      <c r="O252" t="s">
        <v>164</v>
      </c>
      <c r="P252">
        <v>0.21113961774291656</v>
      </c>
      <c r="Q252" t="s">
        <v>163</v>
      </c>
      <c r="S252" t="s">
        <v>256</v>
      </c>
      <c r="T252" t="s">
        <v>164</v>
      </c>
      <c r="U252">
        <v>0.16548465874365137</v>
      </c>
      <c r="V252" t="s">
        <v>163</v>
      </c>
    </row>
    <row r="253" spans="9:22" x14ac:dyDescent="0.45">
      <c r="I253" t="s">
        <v>194</v>
      </c>
      <c r="J253" t="s">
        <v>165</v>
      </c>
      <c r="K253">
        <v>2.5382530808629603E-3</v>
      </c>
      <c r="L253" t="s">
        <v>163</v>
      </c>
      <c r="N253" t="s">
        <v>225</v>
      </c>
      <c r="O253" t="s">
        <v>165</v>
      </c>
      <c r="P253">
        <v>0.11318354321321399</v>
      </c>
      <c r="Q253" t="s">
        <v>163</v>
      </c>
      <c r="S253" t="s">
        <v>256</v>
      </c>
      <c r="T253" t="s">
        <v>165</v>
      </c>
      <c r="U253">
        <v>0.10579218542844528</v>
      </c>
      <c r="V253" t="s">
        <v>163</v>
      </c>
    </row>
    <row r="254" spans="9:22" x14ac:dyDescent="0.45">
      <c r="I254" t="s">
        <v>194</v>
      </c>
      <c r="J254" t="s">
        <v>166</v>
      </c>
      <c r="K254">
        <v>5.7219635639628574E-3</v>
      </c>
      <c r="L254" t="s">
        <v>163</v>
      </c>
      <c r="N254" t="s">
        <v>225</v>
      </c>
      <c r="O254" t="s">
        <v>166</v>
      </c>
      <c r="P254">
        <v>2.3116727073030398E-2</v>
      </c>
      <c r="Q254" t="s">
        <v>163</v>
      </c>
      <c r="S254" t="s">
        <v>256</v>
      </c>
      <c r="T254" t="s">
        <v>166</v>
      </c>
      <c r="U254">
        <v>2.380026278120919E-2</v>
      </c>
      <c r="V254" t="s">
        <v>163</v>
      </c>
    </row>
    <row r="255" spans="9:22" x14ac:dyDescent="0.45">
      <c r="I255" t="s">
        <v>194</v>
      </c>
      <c r="J255" t="s">
        <v>167</v>
      </c>
      <c r="K255">
        <v>7.6669387259422628E-2</v>
      </c>
      <c r="L255" t="s">
        <v>163</v>
      </c>
      <c r="N255" t="s">
        <v>225</v>
      </c>
      <c r="O255" t="s">
        <v>167</v>
      </c>
      <c r="P255">
        <v>3.7108419372386278E-2</v>
      </c>
      <c r="Q255" t="s">
        <v>163</v>
      </c>
      <c r="S255" t="s">
        <v>256</v>
      </c>
      <c r="T255" t="s">
        <v>167</v>
      </c>
      <c r="U255">
        <v>3.184952647421143E-2</v>
      </c>
      <c r="V255" t="s">
        <v>163</v>
      </c>
    </row>
    <row r="256" spans="9:22" x14ac:dyDescent="0.45">
      <c r="I256" t="s">
        <v>194</v>
      </c>
      <c r="J256" t="s">
        <v>168</v>
      </c>
      <c r="K256">
        <v>2.1278394567687854E-3</v>
      </c>
      <c r="L256" t="s">
        <v>163</v>
      </c>
      <c r="N256" t="s">
        <v>225</v>
      </c>
      <c r="O256" t="s">
        <v>168</v>
      </c>
      <c r="P256">
        <v>1.9391810291833678E-2</v>
      </c>
      <c r="Q256" t="s">
        <v>163</v>
      </c>
      <c r="S256" t="s">
        <v>256</v>
      </c>
      <c r="T256" t="s">
        <v>168</v>
      </c>
      <c r="U256">
        <v>1.828343138633564E-2</v>
      </c>
      <c r="V256" t="s">
        <v>163</v>
      </c>
    </row>
    <row r="257" spans="9:22" x14ac:dyDescent="0.45">
      <c r="I257" t="s">
        <v>194</v>
      </c>
      <c r="J257" t="s">
        <v>169</v>
      </c>
      <c r="K257">
        <v>8.5288697941272758E-3</v>
      </c>
      <c r="L257" t="s">
        <v>163</v>
      </c>
      <c r="N257" t="s">
        <v>225</v>
      </c>
      <c r="O257" t="s">
        <v>169</v>
      </c>
      <c r="P257">
        <v>7.0380510723868457E-3</v>
      </c>
      <c r="Q257" t="s">
        <v>163</v>
      </c>
      <c r="S257" t="s">
        <v>256</v>
      </c>
      <c r="T257" t="s">
        <v>169</v>
      </c>
      <c r="U257">
        <v>1.5980951257225789E-2</v>
      </c>
      <c r="V257" t="s">
        <v>163</v>
      </c>
    </row>
    <row r="258" spans="9:22" x14ac:dyDescent="0.45">
      <c r="I258" t="s">
        <v>194</v>
      </c>
      <c r="J258" t="s">
        <v>170</v>
      </c>
      <c r="K258">
        <v>9.1848436142427686E-2</v>
      </c>
      <c r="L258" t="s">
        <v>163</v>
      </c>
      <c r="N258" t="s">
        <v>225</v>
      </c>
      <c r="O258" t="s">
        <v>170</v>
      </c>
      <c r="P258">
        <v>1.4476455878375323E-2</v>
      </c>
      <c r="Q258" t="s">
        <v>163</v>
      </c>
      <c r="S258" t="s">
        <v>256</v>
      </c>
      <c r="T258" t="s">
        <v>170</v>
      </c>
      <c r="U258">
        <v>1.9581701811269649E-2</v>
      </c>
      <c r="V258" t="s">
        <v>163</v>
      </c>
    </row>
    <row r="259" spans="9:22" x14ac:dyDescent="0.45">
      <c r="I259" t="s">
        <v>194</v>
      </c>
      <c r="J259" t="s">
        <v>171</v>
      </c>
      <c r="K259">
        <v>2.8460811209438078E-3</v>
      </c>
      <c r="L259" t="s">
        <v>163</v>
      </c>
      <c r="N259" t="s">
        <v>225</v>
      </c>
      <c r="O259" t="s">
        <v>171</v>
      </c>
      <c r="P259">
        <v>7.1218297027859792E-3</v>
      </c>
      <c r="Q259" t="s">
        <v>163</v>
      </c>
      <c r="S259" t="s">
        <v>256</v>
      </c>
      <c r="T259" t="s">
        <v>171</v>
      </c>
      <c r="U259">
        <v>1.2171239274388347E-2</v>
      </c>
      <c r="V259" t="s">
        <v>163</v>
      </c>
    </row>
    <row r="260" spans="9:22" x14ac:dyDescent="0.45">
      <c r="I260" t="s">
        <v>194</v>
      </c>
      <c r="J260" t="s">
        <v>172</v>
      </c>
      <c r="K260">
        <v>3.7714357694201908E-2</v>
      </c>
      <c r="L260" t="s">
        <v>163</v>
      </c>
      <c r="N260" t="s">
        <v>225</v>
      </c>
      <c r="O260" t="s">
        <v>172</v>
      </c>
      <c r="P260">
        <v>0.13459176818318278</v>
      </c>
      <c r="Q260" t="s">
        <v>163</v>
      </c>
      <c r="S260" t="s">
        <v>256</v>
      </c>
      <c r="T260" t="s">
        <v>172</v>
      </c>
      <c r="U260">
        <v>0.15604733699210274</v>
      </c>
      <c r="V260" t="s">
        <v>163</v>
      </c>
    </row>
    <row r="261" spans="9:22" x14ac:dyDescent="0.45">
      <c r="I261" t="s">
        <v>194</v>
      </c>
      <c r="J261" t="s">
        <v>173</v>
      </c>
      <c r="K261">
        <v>0.49781350740213298</v>
      </c>
      <c r="L261" t="s">
        <v>163</v>
      </c>
      <c r="N261" t="s">
        <v>225</v>
      </c>
      <c r="O261" t="s">
        <v>173</v>
      </c>
      <c r="P261">
        <v>0.17379196494260105</v>
      </c>
      <c r="Q261" t="s">
        <v>163</v>
      </c>
      <c r="S261" t="s">
        <v>256</v>
      </c>
      <c r="T261" t="s">
        <v>173</v>
      </c>
      <c r="U261">
        <v>0.19431696985111724</v>
      </c>
      <c r="V261" t="s">
        <v>163</v>
      </c>
    </row>
    <row r="262" spans="9:22" x14ac:dyDescent="0.45">
      <c r="I262" t="s">
        <v>194</v>
      </c>
      <c r="J262" t="s">
        <v>174</v>
      </c>
      <c r="K262">
        <v>9.5501234122622198E-3</v>
      </c>
      <c r="L262" t="s">
        <v>163</v>
      </c>
      <c r="N262" t="s">
        <v>225</v>
      </c>
      <c r="O262" t="s">
        <v>174</v>
      </c>
      <c r="P262">
        <v>0.11184903024814051</v>
      </c>
      <c r="Q262" t="s">
        <v>163</v>
      </c>
      <c r="S262" t="s">
        <v>256</v>
      </c>
      <c r="T262" t="s">
        <v>174</v>
      </c>
      <c r="U262">
        <v>0.12026542964406489</v>
      </c>
      <c r="V262" t="s">
        <v>163</v>
      </c>
    </row>
    <row r="263" spans="9:22" x14ac:dyDescent="0.45">
      <c r="I263" t="s">
        <v>195</v>
      </c>
      <c r="J263" t="s">
        <v>162</v>
      </c>
      <c r="K263">
        <v>6.4645669238217861E-3</v>
      </c>
      <c r="L263" t="s">
        <v>163</v>
      </c>
      <c r="N263" t="s">
        <v>226</v>
      </c>
      <c r="O263" t="s">
        <v>162</v>
      </c>
      <c r="P263">
        <v>0.16320084154919309</v>
      </c>
      <c r="Q263" t="s">
        <v>163</v>
      </c>
      <c r="S263" t="s">
        <v>257</v>
      </c>
      <c r="T263" t="s">
        <v>162</v>
      </c>
      <c r="U263">
        <v>0.12801515241101052</v>
      </c>
      <c r="V263" t="s">
        <v>163</v>
      </c>
    </row>
    <row r="264" spans="9:22" x14ac:dyDescent="0.45">
      <c r="I264" t="s">
        <v>195</v>
      </c>
      <c r="J264" t="s">
        <v>164</v>
      </c>
      <c r="K264">
        <v>0.25824901764003749</v>
      </c>
      <c r="L264" t="s">
        <v>163</v>
      </c>
      <c r="N264" t="s">
        <v>226</v>
      </c>
      <c r="O264" t="s">
        <v>164</v>
      </c>
      <c r="P264">
        <v>0.29175906169979871</v>
      </c>
      <c r="Q264" t="s">
        <v>163</v>
      </c>
      <c r="S264" t="s">
        <v>257</v>
      </c>
      <c r="T264" t="s">
        <v>164</v>
      </c>
      <c r="U264">
        <v>0.162704226039463</v>
      </c>
      <c r="V264" t="s">
        <v>163</v>
      </c>
    </row>
    <row r="265" spans="9:22" x14ac:dyDescent="0.45">
      <c r="I265" t="s">
        <v>195</v>
      </c>
      <c r="J265" t="s">
        <v>165</v>
      </c>
      <c r="K265">
        <v>4.7734004055796355E-3</v>
      </c>
      <c r="L265" t="s">
        <v>163</v>
      </c>
      <c r="N265" t="s">
        <v>226</v>
      </c>
      <c r="O265" t="s">
        <v>165</v>
      </c>
      <c r="P265">
        <v>0.12743214715344175</v>
      </c>
      <c r="Q265" t="s">
        <v>163</v>
      </c>
      <c r="S265" t="s">
        <v>257</v>
      </c>
      <c r="T265" t="s">
        <v>165</v>
      </c>
      <c r="U265">
        <v>9.5944803769746109E-2</v>
      </c>
      <c r="V265" t="s">
        <v>163</v>
      </c>
    </row>
    <row r="266" spans="9:22" x14ac:dyDescent="0.45">
      <c r="I266" t="s">
        <v>195</v>
      </c>
      <c r="J266" t="s">
        <v>166</v>
      </c>
      <c r="K266">
        <v>6.2926625673563616E-3</v>
      </c>
      <c r="L266" t="s">
        <v>163</v>
      </c>
      <c r="N266" t="s">
        <v>226</v>
      </c>
      <c r="O266" t="s">
        <v>166</v>
      </c>
      <c r="P266">
        <v>1.8159412027532736E-2</v>
      </c>
      <c r="Q266" t="s">
        <v>163</v>
      </c>
      <c r="S266" t="s">
        <v>257</v>
      </c>
      <c r="T266" t="s">
        <v>166</v>
      </c>
      <c r="U266">
        <v>2.7857620909831845E-2</v>
      </c>
      <c r="V266" t="s">
        <v>163</v>
      </c>
    </row>
    <row r="267" spans="9:22" x14ac:dyDescent="0.45">
      <c r="I267" t="s">
        <v>195</v>
      </c>
      <c r="J267" t="s">
        <v>167</v>
      </c>
      <c r="K267">
        <v>8.6613510855537437E-2</v>
      </c>
      <c r="L267" t="s">
        <v>163</v>
      </c>
      <c r="N267" t="s">
        <v>226</v>
      </c>
      <c r="O267" t="s">
        <v>167</v>
      </c>
      <c r="P267">
        <v>4.0293543469017631E-2</v>
      </c>
      <c r="Q267" t="s">
        <v>163</v>
      </c>
      <c r="S267" t="s">
        <v>257</v>
      </c>
      <c r="T267" t="s">
        <v>167</v>
      </c>
      <c r="U267">
        <v>3.3442252574618955E-2</v>
      </c>
      <c r="V267" t="s">
        <v>163</v>
      </c>
    </row>
    <row r="268" spans="9:22" x14ac:dyDescent="0.45">
      <c r="I268" t="s">
        <v>195</v>
      </c>
      <c r="J268" t="s">
        <v>168</v>
      </c>
      <c r="K268">
        <v>2.3790224517252316E-3</v>
      </c>
      <c r="L268" t="s">
        <v>163</v>
      </c>
      <c r="N268" t="s">
        <v>226</v>
      </c>
      <c r="O268" t="s">
        <v>168</v>
      </c>
      <c r="P268">
        <v>1.5732226137023946E-2</v>
      </c>
      <c r="Q268" t="s">
        <v>163</v>
      </c>
      <c r="S268" t="s">
        <v>257</v>
      </c>
      <c r="T268" t="s">
        <v>168</v>
      </c>
      <c r="U268">
        <v>1.949577165262617E-2</v>
      </c>
      <c r="V268" t="s">
        <v>163</v>
      </c>
    </row>
    <row r="269" spans="9:22" x14ac:dyDescent="0.45">
      <c r="I269" t="s">
        <v>195</v>
      </c>
      <c r="J269" t="s">
        <v>169</v>
      </c>
      <c r="K269">
        <v>7.8552097622251755E-3</v>
      </c>
      <c r="L269" t="s">
        <v>163</v>
      </c>
      <c r="N269" t="s">
        <v>226</v>
      </c>
      <c r="O269" t="s">
        <v>169</v>
      </c>
      <c r="P269">
        <v>3.013445669055361E-3</v>
      </c>
      <c r="Q269" t="s">
        <v>163</v>
      </c>
      <c r="S269" t="s">
        <v>257</v>
      </c>
      <c r="T269" t="s">
        <v>169</v>
      </c>
      <c r="U269">
        <v>1.4137304427243735E-2</v>
      </c>
      <c r="V269" t="s">
        <v>163</v>
      </c>
    </row>
    <row r="270" spans="9:22" x14ac:dyDescent="0.45">
      <c r="I270" t="s">
        <v>195</v>
      </c>
      <c r="J270" t="s">
        <v>170</v>
      </c>
      <c r="K270">
        <v>9.19855487923813E-2</v>
      </c>
      <c r="L270" t="s">
        <v>163</v>
      </c>
      <c r="N270" t="s">
        <v>226</v>
      </c>
      <c r="O270" t="s">
        <v>170</v>
      </c>
      <c r="P270">
        <v>6.4574697507265187E-3</v>
      </c>
      <c r="Q270" t="s">
        <v>163</v>
      </c>
      <c r="S270" t="s">
        <v>257</v>
      </c>
      <c r="T270" t="s">
        <v>170</v>
      </c>
      <c r="U270">
        <v>1.8717197800212661E-2</v>
      </c>
      <c r="V270" t="s">
        <v>163</v>
      </c>
    </row>
    <row r="271" spans="9:22" x14ac:dyDescent="0.45">
      <c r="I271" t="s">
        <v>195</v>
      </c>
      <c r="J271" t="s">
        <v>171</v>
      </c>
      <c r="K271">
        <v>3.8239001399905321E-3</v>
      </c>
      <c r="L271" t="s">
        <v>163</v>
      </c>
      <c r="N271" t="s">
        <v>226</v>
      </c>
      <c r="O271" t="s">
        <v>171</v>
      </c>
      <c r="P271">
        <v>4.0352240629287651E-3</v>
      </c>
      <c r="Q271" t="s">
        <v>163</v>
      </c>
      <c r="S271" t="s">
        <v>257</v>
      </c>
      <c r="T271" t="s">
        <v>171</v>
      </c>
      <c r="U271">
        <v>1.1228944422374728E-2</v>
      </c>
      <c r="V271" t="s">
        <v>163</v>
      </c>
    </row>
    <row r="272" spans="9:22" x14ac:dyDescent="0.45">
      <c r="I272" t="s">
        <v>195</v>
      </c>
      <c r="J272" t="s">
        <v>172</v>
      </c>
      <c r="K272">
        <v>2.8370164765867765E-2</v>
      </c>
      <c r="L272" t="s">
        <v>163</v>
      </c>
      <c r="N272" t="s">
        <v>226</v>
      </c>
      <c r="O272" t="s">
        <v>172</v>
      </c>
      <c r="P272">
        <v>9.212840671010171E-2</v>
      </c>
      <c r="Q272" t="s">
        <v>163</v>
      </c>
      <c r="S272" t="s">
        <v>257</v>
      </c>
      <c r="T272" t="s">
        <v>172</v>
      </c>
      <c r="U272">
        <v>0.15998955513608532</v>
      </c>
      <c r="V272" t="s">
        <v>163</v>
      </c>
    </row>
    <row r="273" spans="9:22" x14ac:dyDescent="0.45">
      <c r="I273" t="s">
        <v>195</v>
      </c>
      <c r="J273" t="s">
        <v>173</v>
      </c>
      <c r="K273">
        <v>0.49171455754023441</v>
      </c>
      <c r="L273" t="s">
        <v>163</v>
      </c>
      <c r="N273" t="s">
        <v>226</v>
      </c>
      <c r="O273" t="s">
        <v>173</v>
      </c>
      <c r="P273">
        <v>0.15277990639413849</v>
      </c>
      <c r="Q273" t="s">
        <v>163</v>
      </c>
      <c r="S273" t="s">
        <v>257</v>
      </c>
      <c r="T273" t="s">
        <v>173</v>
      </c>
      <c r="U273">
        <v>0.2033398561343068</v>
      </c>
      <c r="V273" t="s">
        <v>163</v>
      </c>
    </row>
    <row r="274" spans="9:22" x14ac:dyDescent="0.45">
      <c r="I274" t="s">
        <v>195</v>
      </c>
      <c r="J274" t="s">
        <v>174</v>
      </c>
      <c r="K274">
        <v>1.1478438155242725E-2</v>
      </c>
      <c r="L274" t="s">
        <v>163</v>
      </c>
      <c r="N274" t="s">
        <v>226</v>
      </c>
      <c r="O274" t="s">
        <v>174</v>
      </c>
      <c r="P274">
        <v>8.5008315377040511E-2</v>
      </c>
      <c r="Q274" t="s">
        <v>163</v>
      </c>
      <c r="S274" t="s">
        <v>257</v>
      </c>
      <c r="T274" t="s">
        <v>174</v>
      </c>
      <c r="U274">
        <v>0.12512731472248012</v>
      </c>
      <c r="V274" t="s">
        <v>163</v>
      </c>
    </row>
    <row r="275" spans="9:22" x14ac:dyDescent="0.45">
      <c r="I275" t="s">
        <v>196</v>
      </c>
      <c r="J275" t="s">
        <v>162</v>
      </c>
      <c r="K275">
        <v>9.6215592387225071E-3</v>
      </c>
      <c r="L275" t="s">
        <v>163</v>
      </c>
      <c r="N275" t="s">
        <v>227</v>
      </c>
      <c r="O275" t="s">
        <v>162</v>
      </c>
      <c r="P275">
        <v>0.17134718345345679</v>
      </c>
      <c r="Q275" t="s">
        <v>163</v>
      </c>
      <c r="S275" t="s">
        <v>258</v>
      </c>
      <c r="T275" t="s">
        <v>162</v>
      </c>
      <c r="U275">
        <v>0.13429870726301862</v>
      </c>
      <c r="V275" t="s">
        <v>163</v>
      </c>
    </row>
    <row r="276" spans="9:22" x14ac:dyDescent="0.45">
      <c r="I276" t="s">
        <v>196</v>
      </c>
      <c r="J276" t="s">
        <v>164</v>
      </c>
      <c r="K276">
        <v>0.28087935825425936</v>
      </c>
      <c r="L276" t="s">
        <v>163</v>
      </c>
      <c r="N276" t="s">
        <v>227</v>
      </c>
      <c r="O276" t="s">
        <v>164</v>
      </c>
      <c r="P276">
        <v>0.29130889039550345</v>
      </c>
      <c r="Q276" t="s">
        <v>163</v>
      </c>
      <c r="S276" t="s">
        <v>258</v>
      </c>
      <c r="T276" t="s">
        <v>164</v>
      </c>
      <c r="U276">
        <v>0.17252152083019456</v>
      </c>
      <c r="V276" t="s">
        <v>163</v>
      </c>
    </row>
    <row r="277" spans="9:22" x14ac:dyDescent="0.45">
      <c r="I277" t="s">
        <v>196</v>
      </c>
      <c r="J277" t="s">
        <v>165</v>
      </c>
      <c r="K277">
        <v>7.2695052059991508E-3</v>
      </c>
      <c r="L277" t="s">
        <v>163</v>
      </c>
      <c r="N277" t="s">
        <v>227</v>
      </c>
      <c r="O277" t="s">
        <v>165</v>
      </c>
      <c r="P277">
        <v>0.1211039900127264</v>
      </c>
      <c r="Q277" t="s">
        <v>163</v>
      </c>
      <c r="S277" t="s">
        <v>258</v>
      </c>
      <c r="T277" t="s">
        <v>165</v>
      </c>
      <c r="U277">
        <v>9.8522531979089112E-2</v>
      </c>
      <c r="V277" t="s">
        <v>163</v>
      </c>
    </row>
    <row r="278" spans="9:22" x14ac:dyDescent="0.45">
      <c r="I278" t="s">
        <v>196</v>
      </c>
      <c r="J278" t="s">
        <v>166</v>
      </c>
      <c r="K278">
        <v>5.094480710540846E-3</v>
      </c>
      <c r="L278" t="s">
        <v>163</v>
      </c>
      <c r="N278" t="s">
        <v>227</v>
      </c>
      <c r="O278" t="s">
        <v>166</v>
      </c>
      <c r="P278">
        <v>1.5256620563876408E-2</v>
      </c>
      <c r="Q278" t="s">
        <v>163</v>
      </c>
      <c r="S278" t="s">
        <v>258</v>
      </c>
      <c r="T278" t="s">
        <v>166</v>
      </c>
      <c r="U278">
        <v>2.327492698477911E-2</v>
      </c>
      <c r="V278" t="s">
        <v>163</v>
      </c>
    </row>
    <row r="279" spans="9:22" x14ac:dyDescent="0.45">
      <c r="I279" t="s">
        <v>196</v>
      </c>
      <c r="J279" t="s">
        <v>167</v>
      </c>
      <c r="K279">
        <v>7.7830761366058945E-2</v>
      </c>
      <c r="L279" t="s">
        <v>163</v>
      </c>
      <c r="N279" t="s">
        <v>227</v>
      </c>
      <c r="O279" t="s">
        <v>167</v>
      </c>
      <c r="P279">
        <v>4.0414385264029906E-2</v>
      </c>
      <c r="Q279" t="s">
        <v>163</v>
      </c>
      <c r="S279" t="s">
        <v>258</v>
      </c>
      <c r="T279" t="s">
        <v>167</v>
      </c>
      <c r="U279">
        <v>2.7999700891008832E-2</v>
      </c>
      <c r="V279" t="s">
        <v>163</v>
      </c>
    </row>
    <row r="280" spans="9:22" x14ac:dyDescent="0.45">
      <c r="I280" t="s">
        <v>196</v>
      </c>
      <c r="J280" t="s">
        <v>168</v>
      </c>
      <c r="K280">
        <v>3.2085197190727575E-3</v>
      </c>
      <c r="L280" t="s">
        <v>163</v>
      </c>
      <c r="N280" t="s">
        <v>227</v>
      </c>
      <c r="O280" t="s">
        <v>168</v>
      </c>
      <c r="P280">
        <v>1.2463896729643723E-2</v>
      </c>
      <c r="Q280" t="s">
        <v>163</v>
      </c>
      <c r="S280" t="s">
        <v>258</v>
      </c>
      <c r="T280" t="s">
        <v>168</v>
      </c>
      <c r="U280">
        <v>1.5201999027467494E-2</v>
      </c>
      <c r="V280" t="s">
        <v>163</v>
      </c>
    </row>
    <row r="281" spans="9:22" x14ac:dyDescent="0.45">
      <c r="I281" t="s">
        <v>196</v>
      </c>
      <c r="J281" t="s">
        <v>169</v>
      </c>
      <c r="K281">
        <v>6.8054190920492147E-3</v>
      </c>
      <c r="L281" t="s">
        <v>163</v>
      </c>
      <c r="N281" t="s">
        <v>227</v>
      </c>
      <c r="O281" t="s">
        <v>169</v>
      </c>
      <c r="P281">
        <v>2.8610493918876127E-3</v>
      </c>
      <c r="Q281" t="s">
        <v>163</v>
      </c>
      <c r="S281" t="s">
        <v>258</v>
      </c>
      <c r="T281" t="s">
        <v>169</v>
      </c>
      <c r="U281">
        <v>6.5571900326554964E-3</v>
      </c>
      <c r="V281" t="s">
        <v>163</v>
      </c>
    </row>
    <row r="282" spans="9:22" x14ac:dyDescent="0.45">
      <c r="I282" t="s">
        <v>196</v>
      </c>
      <c r="J282" t="s">
        <v>170</v>
      </c>
      <c r="K282">
        <v>8.9149740582694759E-2</v>
      </c>
      <c r="L282" t="s">
        <v>163</v>
      </c>
      <c r="N282" t="s">
        <v>227</v>
      </c>
      <c r="O282" t="s">
        <v>170</v>
      </c>
      <c r="P282">
        <v>7.3120365429541314E-3</v>
      </c>
      <c r="Q282" t="s">
        <v>163</v>
      </c>
      <c r="S282" t="s">
        <v>258</v>
      </c>
      <c r="T282" t="s">
        <v>170</v>
      </c>
      <c r="U282">
        <v>9.0019808795727893E-3</v>
      </c>
      <c r="V282" t="s">
        <v>163</v>
      </c>
    </row>
    <row r="283" spans="9:22" x14ac:dyDescent="0.45">
      <c r="I283" t="s">
        <v>196</v>
      </c>
      <c r="J283" t="s">
        <v>171</v>
      </c>
      <c r="K283">
        <v>4.8120066738452753E-3</v>
      </c>
      <c r="L283" t="s">
        <v>163</v>
      </c>
      <c r="N283" t="s">
        <v>227</v>
      </c>
      <c r="O283" t="s">
        <v>171</v>
      </c>
      <c r="P283">
        <v>3.330118696168392E-3</v>
      </c>
      <c r="Q283" t="s">
        <v>163</v>
      </c>
      <c r="S283" t="s">
        <v>258</v>
      </c>
      <c r="T283" t="s">
        <v>171</v>
      </c>
      <c r="U283">
        <v>6.0060860859571007E-3</v>
      </c>
      <c r="V283" t="s">
        <v>163</v>
      </c>
    </row>
    <row r="284" spans="9:22" x14ac:dyDescent="0.45">
      <c r="I284" t="s">
        <v>196</v>
      </c>
      <c r="J284" t="s">
        <v>172</v>
      </c>
      <c r="K284">
        <v>2.8819018606457344E-2</v>
      </c>
      <c r="L284" t="s">
        <v>163</v>
      </c>
      <c r="N284" t="s">
        <v>227</v>
      </c>
      <c r="O284" t="s">
        <v>172</v>
      </c>
      <c r="P284">
        <v>9.4264993373163741E-2</v>
      </c>
      <c r="Q284" t="s">
        <v>163</v>
      </c>
      <c r="S284" t="s">
        <v>258</v>
      </c>
      <c r="T284" t="s">
        <v>172</v>
      </c>
      <c r="U284">
        <v>0.16401763376928272</v>
      </c>
      <c r="V284" t="s">
        <v>163</v>
      </c>
    </row>
    <row r="285" spans="9:22" x14ac:dyDescent="0.45">
      <c r="I285" t="s">
        <v>196</v>
      </c>
      <c r="J285" t="s">
        <v>173</v>
      </c>
      <c r="K285">
        <v>0.47168768192375776</v>
      </c>
      <c r="L285" t="s">
        <v>163</v>
      </c>
      <c r="N285" t="s">
        <v>227</v>
      </c>
      <c r="O285" t="s">
        <v>173</v>
      </c>
      <c r="P285">
        <v>0.16162983083114763</v>
      </c>
      <c r="Q285" t="s">
        <v>163</v>
      </c>
      <c r="S285" t="s">
        <v>258</v>
      </c>
      <c r="T285" t="s">
        <v>173</v>
      </c>
      <c r="U285">
        <v>0.21446423075967647</v>
      </c>
      <c r="V285" t="s">
        <v>163</v>
      </c>
    </row>
    <row r="286" spans="9:22" x14ac:dyDescent="0.45">
      <c r="I286" t="s">
        <v>196</v>
      </c>
      <c r="J286" t="s">
        <v>174</v>
      </c>
      <c r="K286">
        <v>1.4821948626539008E-2</v>
      </c>
      <c r="L286" t="s">
        <v>163</v>
      </c>
      <c r="N286" t="s">
        <v>227</v>
      </c>
      <c r="O286" t="s">
        <v>174</v>
      </c>
      <c r="P286">
        <v>7.8707004745445244E-2</v>
      </c>
      <c r="Q286" t="s">
        <v>163</v>
      </c>
      <c r="S286" t="s">
        <v>258</v>
      </c>
      <c r="T286" t="s">
        <v>174</v>
      </c>
      <c r="U286">
        <v>0.12813349149729777</v>
      </c>
      <c r="V286" t="s">
        <v>163</v>
      </c>
    </row>
    <row r="287" spans="9:22" x14ac:dyDescent="0.45">
      <c r="I287" t="s">
        <v>197</v>
      </c>
      <c r="J287" t="s">
        <v>162</v>
      </c>
      <c r="K287">
        <v>1.1820052638299196E-2</v>
      </c>
      <c r="L287" t="s">
        <v>163</v>
      </c>
      <c r="N287" t="s">
        <v>228</v>
      </c>
      <c r="O287" t="s">
        <v>162</v>
      </c>
      <c r="P287">
        <v>0.15907081048596505</v>
      </c>
      <c r="Q287" t="s">
        <v>163</v>
      </c>
      <c r="S287" t="s">
        <v>259</v>
      </c>
      <c r="T287" t="s">
        <v>162</v>
      </c>
      <c r="U287">
        <v>0.1573837097177867</v>
      </c>
      <c r="V287" t="s">
        <v>163</v>
      </c>
    </row>
    <row r="288" spans="9:22" x14ac:dyDescent="0.45">
      <c r="I288" t="s">
        <v>197</v>
      </c>
      <c r="J288" t="s">
        <v>164</v>
      </c>
      <c r="K288">
        <v>0.32222218620603754</v>
      </c>
      <c r="L288" t="s">
        <v>163</v>
      </c>
      <c r="N288" t="s">
        <v>228</v>
      </c>
      <c r="O288" t="s">
        <v>164</v>
      </c>
      <c r="P288">
        <v>0.28225886970924785</v>
      </c>
      <c r="Q288" t="s">
        <v>163</v>
      </c>
      <c r="S288" t="s">
        <v>259</v>
      </c>
      <c r="T288" t="s">
        <v>164</v>
      </c>
      <c r="U288">
        <v>0.19584684808993938</v>
      </c>
      <c r="V288" t="s">
        <v>163</v>
      </c>
    </row>
    <row r="289" spans="9:22" x14ac:dyDescent="0.45">
      <c r="I289" t="s">
        <v>197</v>
      </c>
      <c r="J289" t="s">
        <v>165</v>
      </c>
      <c r="K289">
        <v>6.4715174622928607E-3</v>
      </c>
      <c r="L289" t="s">
        <v>163</v>
      </c>
      <c r="N289" t="s">
        <v>228</v>
      </c>
      <c r="O289" t="s">
        <v>165</v>
      </c>
      <c r="P289">
        <v>0.11711144983124022</v>
      </c>
      <c r="Q289" t="s">
        <v>163</v>
      </c>
      <c r="S289" t="s">
        <v>259</v>
      </c>
      <c r="T289" t="s">
        <v>165</v>
      </c>
      <c r="U289">
        <v>0.11384525806806955</v>
      </c>
      <c r="V289" t="s">
        <v>163</v>
      </c>
    </row>
    <row r="290" spans="9:22" x14ac:dyDescent="0.45">
      <c r="I290" t="s">
        <v>197</v>
      </c>
      <c r="J290" t="s">
        <v>166</v>
      </c>
      <c r="K290">
        <v>7.929651830708007E-3</v>
      </c>
      <c r="L290" t="s">
        <v>163</v>
      </c>
      <c r="N290" t="s">
        <v>228</v>
      </c>
      <c r="O290" t="s">
        <v>166</v>
      </c>
      <c r="P290">
        <v>1.6173809266251553E-2</v>
      </c>
      <c r="Q290" t="s">
        <v>163</v>
      </c>
      <c r="S290" t="s">
        <v>259</v>
      </c>
      <c r="T290" t="s">
        <v>166</v>
      </c>
      <c r="U290">
        <v>2.3137024560672299E-2</v>
      </c>
      <c r="V290" t="s">
        <v>163</v>
      </c>
    </row>
    <row r="291" spans="9:22" x14ac:dyDescent="0.45">
      <c r="I291" t="s">
        <v>197</v>
      </c>
      <c r="J291" t="s">
        <v>167</v>
      </c>
      <c r="K291">
        <v>9.6253198951712873E-2</v>
      </c>
      <c r="L291" t="s">
        <v>163</v>
      </c>
      <c r="N291" t="s">
        <v>228</v>
      </c>
      <c r="O291" t="s">
        <v>167</v>
      </c>
      <c r="P291">
        <v>3.707212170624432E-2</v>
      </c>
      <c r="Q291" t="s">
        <v>163</v>
      </c>
      <c r="S291" t="s">
        <v>259</v>
      </c>
      <c r="T291" t="s">
        <v>167</v>
      </c>
      <c r="U291">
        <v>2.8841458617963819E-2</v>
      </c>
      <c r="V291" t="s">
        <v>163</v>
      </c>
    </row>
    <row r="292" spans="9:22" x14ac:dyDescent="0.45">
      <c r="I292" t="s">
        <v>197</v>
      </c>
      <c r="J292" t="s">
        <v>168</v>
      </c>
      <c r="K292">
        <v>4.2135864463122962E-3</v>
      </c>
      <c r="L292" t="s">
        <v>163</v>
      </c>
      <c r="N292" t="s">
        <v>228</v>
      </c>
      <c r="O292" t="s">
        <v>168</v>
      </c>
      <c r="P292">
        <v>1.3762951933203238E-2</v>
      </c>
      <c r="Q292" t="s">
        <v>163</v>
      </c>
      <c r="S292" t="s">
        <v>259</v>
      </c>
      <c r="T292" t="s">
        <v>168</v>
      </c>
      <c r="U292">
        <v>1.5897905181835738E-2</v>
      </c>
      <c r="V292" t="s">
        <v>163</v>
      </c>
    </row>
    <row r="293" spans="9:22" x14ac:dyDescent="0.45">
      <c r="I293" t="s">
        <v>197</v>
      </c>
      <c r="J293" t="s">
        <v>169</v>
      </c>
      <c r="K293">
        <v>3.9337474865444207E-3</v>
      </c>
      <c r="L293" t="s">
        <v>163</v>
      </c>
      <c r="N293" t="s">
        <v>228</v>
      </c>
      <c r="O293" t="s">
        <v>169</v>
      </c>
      <c r="P293">
        <v>3.4079303974273076E-3</v>
      </c>
      <c r="Q293" t="s">
        <v>163</v>
      </c>
      <c r="S293" t="s">
        <v>259</v>
      </c>
      <c r="T293" t="s">
        <v>169</v>
      </c>
      <c r="U293">
        <v>8.2559579655894014E-3</v>
      </c>
      <c r="V293" t="s">
        <v>163</v>
      </c>
    </row>
    <row r="294" spans="9:22" x14ac:dyDescent="0.45">
      <c r="I294" t="s">
        <v>197</v>
      </c>
      <c r="J294" t="s">
        <v>170</v>
      </c>
      <c r="K294">
        <v>6.2740620946748621E-2</v>
      </c>
      <c r="L294" t="s">
        <v>163</v>
      </c>
      <c r="N294" t="s">
        <v>228</v>
      </c>
      <c r="O294" t="s">
        <v>170</v>
      </c>
      <c r="P294">
        <v>8.803164243253293E-3</v>
      </c>
      <c r="Q294" t="s">
        <v>163</v>
      </c>
      <c r="S294" t="s">
        <v>259</v>
      </c>
      <c r="T294" t="s">
        <v>170</v>
      </c>
      <c r="U294">
        <v>6.5518573776368666E-3</v>
      </c>
      <c r="V294" t="s">
        <v>163</v>
      </c>
    </row>
    <row r="295" spans="9:22" x14ac:dyDescent="0.45">
      <c r="I295" t="s">
        <v>197</v>
      </c>
      <c r="J295" t="s">
        <v>171</v>
      </c>
      <c r="K295">
        <v>3.2352472203717908E-3</v>
      </c>
      <c r="L295" t="s">
        <v>163</v>
      </c>
      <c r="N295" t="s">
        <v>228</v>
      </c>
      <c r="O295" t="s">
        <v>171</v>
      </c>
      <c r="P295">
        <v>3.6771192367804867E-3</v>
      </c>
      <c r="Q295" t="s">
        <v>163</v>
      </c>
      <c r="S295" t="s">
        <v>259</v>
      </c>
      <c r="T295" t="s">
        <v>171</v>
      </c>
      <c r="U295">
        <v>6.5818946929763304E-3</v>
      </c>
      <c r="V295" t="s">
        <v>163</v>
      </c>
    </row>
    <row r="296" spans="9:22" x14ac:dyDescent="0.45">
      <c r="I296" t="s">
        <v>197</v>
      </c>
      <c r="J296" t="s">
        <v>172</v>
      </c>
      <c r="K296">
        <v>2.1043603400357186E-2</v>
      </c>
      <c r="L296" t="s">
        <v>163</v>
      </c>
      <c r="N296" t="s">
        <v>228</v>
      </c>
      <c r="O296" t="s">
        <v>172</v>
      </c>
      <c r="P296">
        <v>0.10570062246179196</v>
      </c>
      <c r="Q296" t="s">
        <v>163</v>
      </c>
      <c r="S296" t="s">
        <v>259</v>
      </c>
      <c r="T296" t="s">
        <v>172</v>
      </c>
      <c r="U296">
        <v>0.15227077308610126</v>
      </c>
      <c r="V296" t="s">
        <v>163</v>
      </c>
    </row>
    <row r="297" spans="9:22" x14ac:dyDescent="0.45">
      <c r="I297" t="s">
        <v>197</v>
      </c>
      <c r="J297" t="s">
        <v>173</v>
      </c>
      <c r="K297">
        <v>0.44909271583523108</v>
      </c>
      <c r="L297" t="s">
        <v>163</v>
      </c>
      <c r="N297" t="s">
        <v>228</v>
      </c>
      <c r="O297" t="s">
        <v>173</v>
      </c>
      <c r="P297">
        <v>0.16931807863359058</v>
      </c>
      <c r="Q297" t="s">
        <v>163</v>
      </c>
      <c r="S297" t="s">
        <v>259</v>
      </c>
      <c r="T297" t="s">
        <v>173</v>
      </c>
      <c r="U297">
        <v>0.17749807168328241</v>
      </c>
      <c r="V297" t="s">
        <v>163</v>
      </c>
    </row>
    <row r="298" spans="9:22" x14ac:dyDescent="0.45">
      <c r="I298" t="s">
        <v>197</v>
      </c>
      <c r="J298" t="s">
        <v>174</v>
      </c>
      <c r="K298">
        <v>1.1043871575385772E-2</v>
      </c>
      <c r="L298" t="s">
        <v>163</v>
      </c>
      <c r="N298" t="s">
        <v>228</v>
      </c>
      <c r="O298" t="s">
        <v>174</v>
      </c>
      <c r="P298">
        <v>8.364307209500596E-2</v>
      </c>
      <c r="Q298" t="s">
        <v>163</v>
      </c>
      <c r="S298" t="s">
        <v>259</v>
      </c>
      <c r="T298" t="s">
        <v>174</v>
      </c>
      <c r="U298">
        <v>0.11388924095814389</v>
      </c>
      <c r="V298" t="s">
        <v>163</v>
      </c>
    </row>
    <row r="299" spans="9:22" x14ac:dyDescent="0.45">
      <c r="I299" t="s">
        <v>198</v>
      </c>
      <c r="J299" t="s">
        <v>162</v>
      </c>
      <c r="K299">
        <v>1.3359889210070435E-2</v>
      </c>
      <c r="L299" t="s">
        <v>163</v>
      </c>
      <c r="N299" t="s">
        <v>229</v>
      </c>
      <c r="O299" t="s">
        <v>162</v>
      </c>
      <c r="P299">
        <v>0.14368868787044989</v>
      </c>
      <c r="Q299" t="s">
        <v>163</v>
      </c>
      <c r="S299" t="s">
        <v>260</v>
      </c>
      <c r="T299" t="s">
        <v>162</v>
      </c>
      <c r="U299">
        <v>0.15834569794646611</v>
      </c>
      <c r="V299" t="s">
        <v>163</v>
      </c>
    </row>
    <row r="300" spans="9:22" x14ac:dyDescent="0.45">
      <c r="I300" t="s">
        <v>198</v>
      </c>
      <c r="J300" t="s">
        <v>164</v>
      </c>
      <c r="K300">
        <v>0.33063859751961161</v>
      </c>
      <c r="L300" t="s">
        <v>163</v>
      </c>
      <c r="N300" t="s">
        <v>229</v>
      </c>
      <c r="O300" t="s">
        <v>164</v>
      </c>
      <c r="P300">
        <v>0.20165221430396771</v>
      </c>
      <c r="Q300" t="s">
        <v>163</v>
      </c>
      <c r="S300" t="s">
        <v>260</v>
      </c>
      <c r="T300" t="s">
        <v>164</v>
      </c>
      <c r="U300">
        <v>0.19698712377189254</v>
      </c>
      <c r="V300" t="s">
        <v>163</v>
      </c>
    </row>
    <row r="301" spans="9:22" x14ac:dyDescent="0.45">
      <c r="I301" t="s">
        <v>198</v>
      </c>
      <c r="J301" t="s">
        <v>165</v>
      </c>
      <c r="K301">
        <v>5.8797662193596162E-3</v>
      </c>
      <c r="L301" t="s">
        <v>163</v>
      </c>
      <c r="N301" t="s">
        <v>229</v>
      </c>
      <c r="O301" t="s">
        <v>165</v>
      </c>
      <c r="P301">
        <v>0.1068004085102548</v>
      </c>
      <c r="Q301" t="s">
        <v>163</v>
      </c>
      <c r="S301" t="s">
        <v>260</v>
      </c>
      <c r="T301" t="s">
        <v>165</v>
      </c>
      <c r="U301">
        <v>0.11283201767583233</v>
      </c>
      <c r="V301" t="s">
        <v>163</v>
      </c>
    </row>
    <row r="302" spans="9:22" x14ac:dyDescent="0.45">
      <c r="I302" t="s">
        <v>198</v>
      </c>
      <c r="J302" t="s">
        <v>166</v>
      </c>
      <c r="K302">
        <v>8.6666189725380718E-3</v>
      </c>
      <c r="L302" t="s">
        <v>163</v>
      </c>
      <c r="N302" t="s">
        <v>229</v>
      </c>
      <c r="O302" t="s">
        <v>166</v>
      </c>
      <c r="P302">
        <v>2.0177395104310821E-2</v>
      </c>
      <c r="Q302" t="s">
        <v>163</v>
      </c>
      <c r="S302" t="s">
        <v>260</v>
      </c>
      <c r="T302" t="s">
        <v>166</v>
      </c>
      <c r="U302">
        <v>1.4663190369939251E-2</v>
      </c>
      <c r="V302" t="s">
        <v>163</v>
      </c>
    </row>
    <row r="303" spans="9:22" x14ac:dyDescent="0.45">
      <c r="I303" t="s">
        <v>198</v>
      </c>
      <c r="J303" t="s">
        <v>167</v>
      </c>
      <c r="K303">
        <v>9.8804191946584588E-2</v>
      </c>
      <c r="L303" t="s">
        <v>163</v>
      </c>
      <c r="N303" t="s">
        <v>229</v>
      </c>
      <c r="O303" t="s">
        <v>167</v>
      </c>
      <c r="P303">
        <v>2.7369646468566579E-2</v>
      </c>
      <c r="Q303" t="s">
        <v>163</v>
      </c>
      <c r="S303" t="s">
        <v>260</v>
      </c>
      <c r="T303" t="s">
        <v>167</v>
      </c>
      <c r="U303">
        <v>2.3626642125609533E-2</v>
      </c>
      <c r="V303" t="s">
        <v>163</v>
      </c>
    </row>
    <row r="304" spans="9:22" x14ac:dyDescent="0.45">
      <c r="I304" t="s">
        <v>198</v>
      </c>
      <c r="J304" t="s">
        <v>168</v>
      </c>
      <c r="K304">
        <v>4.3166787995085783E-3</v>
      </c>
      <c r="L304" t="s">
        <v>163</v>
      </c>
      <c r="N304" t="s">
        <v>229</v>
      </c>
      <c r="O304" t="s">
        <v>168</v>
      </c>
      <c r="P304">
        <v>1.5107751163462994E-2</v>
      </c>
      <c r="Q304" t="s">
        <v>163</v>
      </c>
      <c r="S304" t="s">
        <v>260</v>
      </c>
      <c r="T304" t="s">
        <v>168</v>
      </c>
      <c r="U304">
        <v>1.154518508255533E-2</v>
      </c>
      <c r="V304" t="s">
        <v>163</v>
      </c>
    </row>
    <row r="305" spans="9:22" x14ac:dyDescent="0.45">
      <c r="I305" t="s">
        <v>198</v>
      </c>
      <c r="J305" t="s">
        <v>169</v>
      </c>
      <c r="K305">
        <v>5.5194755072771563E-3</v>
      </c>
      <c r="L305" t="s">
        <v>163</v>
      </c>
      <c r="N305" t="s">
        <v>229</v>
      </c>
      <c r="O305" t="s">
        <v>169</v>
      </c>
      <c r="P305">
        <v>6.920251374613765E-3</v>
      </c>
      <c r="Q305" t="s">
        <v>163</v>
      </c>
      <c r="S305" t="s">
        <v>260</v>
      </c>
      <c r="T305" t="s">
        <v>169</v>
      </c>
      <c r="U305">
        <v>6.0812512594433906E-3</v>
      </c>
      <c r="V305" t="s">
        <v>163</v>
      </c>
    </row>
    <row r="306" spans="9:22" x14ac:dyDescent="0.45">
      <c r="I306" t="s">
        <v>198</v>
      </c>
      <c r="J306" t="s">
        <v>170</v>
      </c>
      <c r="K306">
        <v>7.1899318100794585E-2</v>
      </c>
      <c r="L306" t="s">
        <v>163</v>
      </c>
      <c r="N306" t="s">
        <v>229</v>
      </c>
      <c r="O306" t="s">
        <v>170</v>
      </c>
      <c r="P306">
        <v>9.0628414913092089E-3</v>
      </c>
      <c r="Q306" t="s">
        <v>163</v>
      </c>
      <c r="S306" t="s">
        <v>260</v>
      </c>
      <c r="T306" t="s">
        <v>170</v>
      </c>
      <c r="U306">
        <v>7.2871174265187683E-3</v>
      </c>
      <c r="V306" t="s">
        <v>163</v>
      </c>
    </row>
    <row r="307" spans="9:22" x14ac:dyDescent="0.45">
      <c r="I307" t="s">
        <v>198</v>
      </c>
      <c r="J307" t="s">
        <v>171</v>
      </c>
      <c r="K307">
        <v>3.2995196123288598E-3</v>
      </c>
      <c r="L307" t="s">
        <v>163</v>
      </c>
      <c r="N307" t="s">
        <v>229</v>
      </c>
      <c r="O307" t="s">
        <v>171</v>
      </c>
      <c r="P307">
        <v>5.3816680131242569E-3</v>
      </c>
      <c r="Q307" t="s">
        <v>163</v>
      </c>
      <c r="S307" t="s">
        <v>260</v>
      </c>
      <c r="T307" t="s">
        <v>171</v>
      </c>
      <c r="U307">
        <v>5.0768415280034911E-3</v>
      </c>
      <c r="V307" t="s">
        <v>163</v>
      </c>
    </row>
    <row r="308" spans="9:22" x14ac:dyDescent="0.45">
      <c r="I308" t="s">
        <v>198</v>
      </c>
      <c r="J308" t="s">
        <v>172</v>
      </c>
      <c r="K308">
        <v>2.2064064345344941E-2</v>
      </c>
      <c r="L308" t="s">
        <v>163</v>
      </c>
      <c r="N308" t="s">
        <v>229</v>
      </c>
      <c r="O308" t="s">
        <v>172</v>
      </c>
      <c r="P308">
        <v>0.15289520364414291</v>
      </c>
      <c r="Q308" t="s">
        <v>163</v>
      </c>
      <c r="S308" t="s">
        <v>260</v>
      </c>
      <c r="T308" t="s">
        <v>172</v>
      </c>
      <c r="U308">
        <v>0.15208844333801089</v>
      </c>
      <c r="V308" t="s">
        <v>163</v>
      </c>
    </row>
    <row r="309" spans="9:22" x14ac:dyDescent="0.45">
      <c r="I309" t="s">
        <v>198</v>
      </c>
      <c r="J309" t="s">
        <v>173</v>
      </c>
      <c r="K309">
        <v>0.42660762649302186</v>
      </c>
      <c r="L309" t="s">
        <v>163</v>
      </c>
      <c r="N309" t="s">
        <v>229</v>
      </c>
      <c r="O309" t="s">
        <v>173</v>
      </c>
      <c r="P309">
        <v>0.19558322567385122</v>
      </c>
      <c r="Q309" t="s">
        <v>163</v>
      </c>
      <c r="S309" t="s">
        <v>260</v>
      </c>
      <c r="T309" t="s">
        <v>173</v>
      </c>
      <c r="U309">
        <v>0.19313377293046319</v>
      </c>
      <c r="V309" t="s">
        <v>163</v>
      </c>
    </row>
    <row r="310" spans="9:22" x14ac:dyDescent="0.45">
      <c r="I310" t="s">
        <v>198</v>
      </c>
      <c r="J310" t="s">
        <v>174</v>
      </c>
      <c r="K310">
        <v>8.9442532735587582E-3</v>
      </c>
      <c r="L310" t="s">
        <v>163</v>
      </c>
      <c r="N310" t="s">
        <v>229</v>
      </c>
      <c r="O310" t="s">
        <v>174</v>
      </c>
      <c r="P310">
        <v>0.11536070638194464</v>
      </c>
      <c r="Q310" t="s">
        <v>163</v>
      </c>
      <c r="S310" t="s">
        <v>260</v>
      </c>
      <c r="T310" t="s">
        <v>174</v>
      </c>
      <c r="U310">
        <v>0.11833271654526804</v>
      </c>
      <c r="V310" t="s">
        <v>163</v>
      </c>
    </row>
    <row r="311" spans="9:22" x14ac:dyDescent="0.45">
      <c r="I311" t="s">
        <v>199</v>
      </c>
      <c r="J311" t="s">
        <v>162</v>
      </c>
      <c r="K311">
        <v>1.209992570550371E-2</v>
      </c>
      <c r="L311" t="s">
        <v>163</v>
      </c>
      <c r="N311" t="s">
        <v>230</v>
      </c>
      <c r="O311" t="s">
        <v>162</v>
      </c>
      <c r="P311">
        <v>0.13962493237121451</v>
      </c>
      <c r="Q311" t="s">
        <v>163</v>
      </c>
      <c r="S311" t="s">
        <v>261</v>
      </c>
      <c r="T311" t="s">
        <v>162</v>
      </c>
      <c r="U311">
        <v>0.14589900449638177</v>
      </c>
      <c r="V311" t="s">
        <v>163</v>
      </c>
    </row>
    <row r="312" spans="9:22" x14ac:dyDescent="0.45">
      <c r="I312" t="s">
        <v>199</v>
      </c>
      <c r="J312" t="s">
        <v>164</v>
      </c>
      <c r="K312">
        <v>0.34424667892401056</v>
      </c>
      <c r="L312" t="s">
        <v>163</v>
      </c>
      <c r="N312" t="s">
        <v>230</v>
      </c>
      <c r="O312" t="s">
        <v>164</v>
      </c>
      <c r="P312">
        <v>0.17329334892041159</v>
      </c>
      <c r="Q312" t="s">
        <v>163</v>
      </c>
      <c r="S312" t="s">
        <v>261</v>
      </c>
      <c r="T312" t="s">
        <v>164</v>
      </c>
      <c r="U312">
        <v>0.17535510476035726</v>
      </c>
      <c r="V312" t="s">
        <v>163</v>
      </c>
    </row>
    <row r="313" spans="9:22" x14ac:dyDescent="0.45">
      <c r="I313" t="s">
        <v>199</v>
      </c>
      <c r="J313" t="s">
        <v>165</v>
      </c>
      <c r="K313">
        <v>6.8857692704815537E-3</v>
      </c>
      <c r="L313" t="s">
        <v>163</v>
      </c>
      <c r="N313" t="s">
        <v>230</v>
      </c>
      <c r="O313" t="s">
        <v>165</v>
      </c>
      <c r="P313">
        <v>0.10638233018737157</v>
      </c>
      <c r="Q313" t="s">
        <v>163</v>
      </c>
      <c r="S313" t="s">
        <v>261</v>
      </c>
      <c r="T313" t="s">
        <v>165</v>
      </c>
      <c r="U313">
        <v>0.10210025825464952</v>
      </c>
      <c r="V313" t="s">
        <v>163</v>
      </c>
    </row>
    <row r="314" spans="9:22" x14ac:dyDescent="0.45">
      <c r="I314" t="s">
        <v>199</v>
      </c>
      <c r="J314" t="s">
        <v>166</v>
      </c>
      <c r="K314">
        <v>9.1301270161287598E-3</v>
      </c>
      <c r="L314" t="s">
        <v>163</v>
      </c>
      <c r="N314" t="s">
        <v>230</v>
      </c>
      <c r="O314" t="s">
        <v>166</v>
      </c>
      <c r="P314">
        <v>2.5431657931561817E-2</v>
      </c>
      <c r="Q314" t="s">
        <v>163</v>
      </c>
      <c r="S314" t="s">
        <v>261</v>
      </c>
      <c r="T314" t="s">
        <v>166</v>
      </c>
      <c r="U314">
        <v>1.9711352204627792E-2</v>
      </c>
      <c r="V314" t="s">
        <v>163</v>
      </c>
    </row>
    <row r="315" spans="9:22" x14ac:dyDescent="0.45">
      <c r="I315" t="s">
        <v>199</v>
      </c>
      <c r="J315" t="s">
        <v>167</v>
      </c>
      <c r="K315">
        <v>0.1009884584568007</v>
      </c>
      <c r="L315" t="s">
        <v>163</v>
      </c>
      <c r="N315" t="s">
        <v>230</v>
      </c>
      <c r="O315" t="s">
        <v>167</v>
      </c>
      <c r="P315">
        <v>3.1188738986192118E-2</v>
      </c>
      <c r="Q315" t="s">
        <v>163</v>
      </c>
      <c r="S315" t="s">
        <v>261</v>
      </c>
      <c r="T315" t="s">
        <v>167</v>
      </c>
      <c r="U315">
        <v>2.7579900915304698E-2</v>
      </c>
      <c r="V315" t="s">
        <v>163</v>
      </c>
    </row>
    <row r="316" spans="9:22" x14ac:dyDescent="0.45">
      <c r="I316" t="s">
        <v>199</v>
      </c>
      <c r="J316" t="s">
        <v>168</v>
      </c>
      <c r="K316">
        <v>5.1455159855982703E-3</v>
      </c>
      <c r="L316" t="s">
        <v>163</v>
      </c>
      <c r="N316" t="s">
        <v>230</v>
      </c>
      <c r="O316" t="s">
        <v>168</v>
      </c>
      <c r="P316">
        <v>1.7666756383118622E-2</v>
      </c>
      <c r="Q316" t="s">
        <v>163</v>
      </c>
      <c r="S316" t="s">
        <v>261</v>
      </c>
      <c r="T316" t="s">
        <v>168</v>
      </c>
      <c r="U316">
        <v>1.1504866484581919E-2</v>
      </c>
      <c r="V316" t="s">
        <v>163</v>
      </c>
    </row>
    <row r="317" spans="9:22" x14ac:dyDescent="0.45">
      <c r="I317" t="s">
        <v>199</v>
      </c>
      <c r="J317" t="s">
        <v>169</v>
      </c>
      <c r="K317">
        <v>5.1471551560382149E-3</v>
      </c>
      <c r="L317" t="s">
        <v>163</v>
      </c>
      <c r="N317" t="s">
        <v>230</v>
      </c>
      <c r="O317" t="s">
        <v>169</v>
      </c>
      <c r="P317">
        <v>1.3067982757286996E-2</v>
      </c>
      <c r="Q317" t="s">
        <v>163</v>
      </c>
      <c r="S317" t="s">
        <v>261</v>
      </c>
      <c r="T317" t="s">
        <v>169</v>
      </c>
      <c r="U317">
        <v>6.8778817367208204E-3</v>
      </c>
      <c r="V317" t="s">
        <v>163</v>
      </c>
    </row>
    <row r="318" spans="9:22" x14ac:dyDescent="0.45">
      <c r="I318" t="s">
        <v>199</v>
      </c>
      <c r="J318" t="s">
        <v>170</v>
      </c>
      <c r="K318">
        <v>6.8669030160915856E-2</v>
      </c>
      <c r="L318" t="s">
        <v>163</v>
      </c>
      <c r="N318" t="s">
        <v>230</v>
      </c>
      <c r="O318" t="s">
        <v>170</v>
      </c>
      <c r="P318">
        <v>1.5488851468532377E-2</v>
      </c>
      <c r="Q318" t="s">
        <v>163</v>
      </c>
      <c r="S318" t="s">
        <v>261</v>
      </c>
      <c r="T318" t="s">
        <v>170</v>
      </c>
      <c r="U318">
        <v>6.7743192669022026E-3</v>
      </c>
      <c r="V318" t="s">
        <v>163</v>
      </c>
    </row>
    <row r="319" spans="9:22" x14ac:dyDescent="0.45">
      <c r="I319" t="s">
        <v>199</v>
      </c>
      <c r="J319" t="s">
        <v>171</v>
      </c>
      <c r="K319">
        <v>3.5363518986331545E-3</v>
      </c>
      <c r="L319" t="s">
        <v>163</v>
      </c>
      <c r="N319" t="s">
        <v>230</v>
      </c>
      <c r="O319" t="s">
        <v>171</v>
      </c>
      <c r="P319">
        <v>1.0070592342636995E-2</v>
      </c>
      <c r="Q319" t="s">
        <v>163</v>
      </c>
      <c r="S319" t="s">
        <v>261</v>
      </c>
      <c r="T319" t="s">
        <v>171</v>
      </c>
      <c r="U319">
        <v>5.1438250555111316E-3</v>
      </c>
      <c r="V319" t="s">
        <v>163</v>
      </c>
    </row>
    <row r="320" spans="9:22" x14ac:dyDescent="0.45">
      <c r="I320" t="s">
        <v>199</v>
      </c>
      <c r="J320" t="s">
        <v>172</v>
      </c>
      <c r="K320">
        <v>1.8455306210848843E-2</v>
      </c>
      <c r="L320" t="s">
        <v>163</v>
      </c>
      <c r="N320" t="s">
        <v>230</v>
      </c>
      <c r="O320" t="s">
        <v>172</v>
      </c>
      <c r="P320">
        <v>0.15788274821063678</v>
      </c>
      <c r="Q320" t="s">
        <v>163</v>
      </c>
      <c r="S320" t="s">
        <v>261</v>
      </c>
      <c r="T320" t="s">
        <v>172</v>
      </c>
      <c r="U320">
        <v>0.15960722512438075</v>
      </c>
      <c r="V320" t="s">
        <v>163</v>
      </c>
    </row>
    <row r="321" spans="9:22" x14ac:dyDescent="0.45">
      <c r="I321" t="s">
        <v>199</v>
      </c>
      <c r="J321" t="s">
        <v>173</v>
      </c>
      <c r="K321">
        <v>0.41561846178606188</v>
      </c>
      <c r="L321" t="s">
        <v>163</v>
      </c>
      <c r="N321" t="s">
        <v>230</v>
      </c>
      <c r="O321" t="s">
        <v>173</v>
      </c>
      <c r="P321">
        <v>0.19226304742426595</v>
      </c>
      <c r="Q321" t="s">
        <v>163</v>
      </c>
      <c r="S321" t="s">
        <v>261</v>
      </c>
      <c r="T321" t="s">
        <v>173</v>
      </c>
      <c r="U321">
        <v>0.21752941596414996</v>
      </c>
      <c r="V321" t="s">
        <v>163</v>
      </c>
    </row>
    <row r="322" spans="9:22" x14ac:dyDescent="0.45">
      <c r="I322" t="s">
        <v>199</v>
      </c>
      <c r="J322" t="s">
        <v>174</v>
      </c>
      <c r="K322">
        <v>1.0077219428979335E-2</v>
      </c>
      <c r="L322" t="s">
        <v>163</v>
      </c>
      <c r="N322" t="s">
        <v>230</v>
      </c>
      <c r="O322" t="s">
        <v>174</v>
      </c>
      <c r="P322">
        <v>0.11763901301677253</v>
      </c>
      <c r="Q322" t="s">
        <v>163</v>
      </c>
      <c r="S322" t="s">
        <v>261</v>
      </c>
      <c r="T322" t="s">
        <v>174</v>
      </c>
      <c r="U322">
        <v>0.12191684573643362</v>
      </c>
      <c r="V322" t="s">
        <v>163</v>
      </c>
    </row>
    <row r="323" spans="9:22" x14ac:dyDescent="0.45">
      <c r="I323" t="s">
        <v>200</v>
      </c>
      <c r="J323" t="s">
        <v>162</v>
      </c>
      <c r="K323">
        <v>1.5351074592055513E-2</v>
      </c>
      <c r="L323" t="s">
        <v>163</v>
      </c>
      <c r="N323" t="s">
        <v>231</v>
      </c>
      <c r="O323" t="s">
        <v>162</v>
      </c>
      <c r="P323">
        <v>0.15208514212624211</v>
      </c>
      <c r="Q323" t="s">
        <v>163</v>
      </c>
      <c r="S323" t="s">
        <v>262</v>
      </c>
      <c r="T323" t="s">
        <v>162</v>
      </c>
      <c r="U323">
        <v>0.1541258095965064</v>
      </c>
      <c r="V323" t="s">
        <v>163</v>
      </c>
    </row>
    <row r="324" spans="9:22" x14ac:dyDescent="0.45">
      <c r="I324" t="s">
        <v>200</v>
      </c>
      <c r="J324" t="s">
        <v>164</v>
      </c>
      <c r="K324">
        <v>0.34556435961142157</v>
      </c>
      <c r="L324" t="s">
        <v>163</v>
      </c>
      <c r="N324" t="s">
        <v>231</v>
      </c>
      <c r="O324" t="s">
        <v>164</v>
      </c>
      <c r="P324">
        <v>0.20694912678926136</v>
      </c>
      <c r="Q324" t="s">
        <v>163</v>
      </c>
      <c r="S324" t="s">
        <v>262</v>
      </c>
      <c r="T324" t="s">
        <v>164</v>
      </c>
      <c r="U324">
        <v>0.18148526415690069</v>
      </c>
      <c r="V324" t="s">
        <v>163</v>
      </c>
    </row>
    <row r="325" spans="9:22" x14ac:dyDescent="0.45">
      <c r="I325" t="s">
        <v>200</v>
      </c>
      <c r="J325" t="s">
        <v>165</v>
      </c>
      <c r="K325">
        <v>5.1252990251146099E-3</v>
      </c>
      <c r="L325" t="s">
        <v>163</v>
      </c>
      <c r="N325" t="s">
        <v>231</v>
      </c>
      <c r="O325" t="s">
        <v>165</v>
      </c>
      <c r="P325">
        <v>0.11189403485590779</v>
      </c>
      <c r="Q325" t="s">
        <v>163</v>
      </c>
      <c r="S325" t="s">
        <v>262</v>
      </c>
      <c r="T325" t="s">
        <v>165</v>
      </c>
      <c r="U325">
        <v>0.10681138086475048</v>
      </c>
      <c r="V325" t="s">
        <v>163</v>
      </c>
    </row>
    <row r="326" spans="9:22" x14ac:dyDescent="0.45">
      <c r="I326" t="s">
        <v>200</v>
      </c>
      <c r="J326" t="s">
        <v>166</v>
      </c>
      <c r="K326">
        <v>8.305490031188691E-3</v>
      </c>
      <c r="L326" t="s">
        <v>163</v>
      </c>
      <c r="N326" t="s">
        <v>231</v>
      </c>
      <c r="O326" t="s">
        <v>166</v>
      </c>
      <c r="P326">
        <v>2.3615865423235953E-2</v>
      </c>
      <c r="Q326" t="s">
        <v>163</v>
      </c>
      <c r="S326" t="s">
        <v>262</v>
      </c>
      <c r="T326" t="s">
        <v>166</v>
      </c>
      <c r="U326">
        <v>2.3839187827943208E-2</v>
      </c>
      <c r="V326" t="s">
        <v>163</v>
      </c>
    </row>
    <row r="327" spans="9:22" x14ac:dyDescent="0.45">
      <c r="I327" t="s">
        <v>200</v>
      </c>
      <c r="J327" t="s">
        <v>167</v>
      </c>
      <c r="K327">
        <v>9.4764365931195471E-2</v>
      </c>
      <c r="L327" t="s">
        <v>163</v>
      </c>
      <c r="N327" t="s">
        <v>231</v>
      </c>
      <c r="O327" t="s">
        <v>167</v>
      </c>
      <c r="P327">
        <v>3.1620907066234667E-2</v>
      </c>
      <c r="Q327" t="s">
        <v>163</v>
      </c>
      <c r="S327" t="s">
        <v>262</v>
      </c>
      <c r="T327" t="s">
        <v>167</v>
      </c>
      <c r="U327">
        <v>3.2910044514181676E-2</v>
      </c>
      <c r="V327" t="s">
        <v>163</v>
      </c>
    </row>
    <row r="328" spans="9:22" x14ac:dyDescent="0.45">
      <c r="I328" t="s">
        <v>200</v>
      </c>
      <c r="J328" t="s">
        <v>168</v>
      </c>
      <c r="K328">
        <v>4.7565693614599908E-3</v>
      </c>
      <c r="L328" t="s">
        <v>163</v>
      </c>
      <c r="N328" t="s">
        <v>231</v>
      </c>
      <c r="O328" t="s">
        <v>168</v>
      </c>
      <c r="P328">
        <v>1.649447962450588E-2</v>
      </c>
      <c r="Q328" t="s">
        <v>163</v>
      </c>
      <c r="S328" t="s">
        <v>262</v>
      </c>
      <c r="T328" t="s">
        <v>168</v>
      </c>
      <c r="U328">
        <v>1.648485265063114E-2</v>
      </c>
      <c r="V328" t="s">
        <v>163</v>
      </c>
    </row>
    <row r="329" spans="9:22" x14ac:dyDescent="0.45">
      <c r="I329" t="s">
        <v>200</v>
      </c>
      <c r="J329" t="s">
        <v>169</v>
      </c>
      <c r="K329">
        <v>9.0143889650118117E-3</v>
      </c>
      <c r="L329" t="s">
        <v>163</v>
      </c>
      <c r="N329" t="s">
        <v>231</v>
      </c>
      <c r="O329" t="s">
        <v>169</v>
      </c>
      <c r="P329">
        <v>7.2957929872422694E-3</v>
      </c>
      <c r="Q329" t="s">
        <v>163</v>
      </c>
      <c r="S329" t="s">
        <v>262</v>
      </c>
      <c r="T329" t="s">
        <v>169</v>
      </c>
      <c r="U329">
        <v>5.8395829724769222E-3</v>
      </c>
      <c r="V329" t="s">
        <v>163</v>
      </c>
    </row>
    <row r="330" spans="9:22" x14ac:dyDescent="0.45">
      <c r="I330" t="s">
        <v>200</v>
      </c>
      <c r="J330" t="s">
        <v>170</v>
      </c>
      <c r="K330">
        <v>9.0964486281746443E-2</v>
      </c>
      <c r="L330" t="s">
        <v>163</v>
      </c>
      <c r="N330" t="s">
        <v>231</v>
      </c>
      <c r="O330" t="s">
        <v>170</v>
      </c>
      <c r="P330">
        <v>1.1570552867378785E-2</v>
      </c>
      <c r="Q330" t="s">
        <v>163</v>
      </c>
      <c r="S330" t="s">
        <v>262</v>
      </c>
      <c r="T330" t="s">
        <v>170</v>
      </c>
      <c r="U330">
        <v>6.1784709386768369E-3</v>
      </c>
      <c r="V330" t="s">
        <v>163</v>
      </c>
    </row>
    <row r="331" spans="9:22" x14ac:dyDescent="0.45">
      <c r="I331" t="s">
        <v>200</v>
      </c>
      <c r="J331" t="s">
        <v>171</v>
      </c>
      <c r="K331">
        <v>5.4027461189230259E-3</v>
      </c>
      <c r="L331" t="s">
        <v>163</v>
      </c>
      <c r="N331" t="s">
        <v>231</v>
      </c>
      <c r="O331" t="s">
        <v>171</v>
      </c>
      <c r="P331">
        <v>6.9234541773160558E-3</v>
      </c>
      <c r="Q331" t="s">
        <v>163</v>
      </c>
      <c r="S331" t="s">
        <v>262</v>
      </c>
      <c r="T331" t="s">
        <v>171</v>
      </c>
      <c r="U331">
        <v>4.4592418475346441E-3</v>
      </c>
      <c r="V331" t="s">
        <v>163</v>
      </c>
    </row>
    <row r="332" spans="9:22" x14ac:dyDescent="0.45">
      <c r="I332" t="s">
        <v>200</v>
      </c>
      <c r="J332" t="s">
        <v>172</v>
      </c>
      <c r="K332">
        <v>1.9406870015528568E-2</v>
      </c>
      <c r="L332" t="s">
        <v>163</v>
      </c>
      <c r="N332" t="s">
        <v>231</v>
      </c>
      <c r="O332" t="s">
        <v>172</v>
      </c>
      <c r="P332">
        <v>0.14423974955292243</v>
      </c>
      <c r="Q332" t="s">
        <v>163</v>
      </c>
      <c r="S332" t="s">
        <v>262</v>
      </c>
      <c r="T332" t="s">
        <v>172</v>
      </c>
      <c r="U332">
        <v>0.15491830409350504</v>
      </c>
      <c r="V332" t="s">
        <v>163</v>
      </c>
    </row>
    <row r="333" spans="9:22" x14ac:dyDescent="0.45">
      <c r="I333" t="s">
        <v>200</v>
      </c>
      <c r="J333" t="s">
        <v>173</v>
      </c>
      <c r="K333">
        <v>0.39440220944732329</v>
      </c>
      <c r="L333" t="s">
        <v>163</v>
      </c>
      <c r="N333" t="s">
        <v>231</v>
      </c>
      <c r="O333" t="s">
        <v>173</v>
      </c>
      <c r="P333">
        <v>0.17917796409358877</v>
      </c>
      <c r="Q333" t="s">
        <v>163</v>
      </c>
      <c r="S333" t="s">
        <v>262</v>
      </c>
      <c r="T333" t="s">
        <v>173</v>
      </c>
      <c r="U333">
        <v>0.19827167186835104</v>
      </c>
      <c r="V333" t="s">
        <v>163</v>
      </c>
    </row>
    <row r="334" spans="9:22" x14ac:dyDescent="0.45">
      <c r="I334" t="s">
        <v>200</v>
      </c>
      <c r="J334" t="s">
        <v>174</v>
      </c>
      <c r="K334">
        <v>6.9421406190314471E-3</v>
      </c>
      <c r="L334" t="s">
        <v>163</v>
      </c>
      <c r="N334" t="s">
        <v>231</v>
      </c>
      <c r="O334" t="s">
        <v>174</v>
      </c>
      <c r="P334">
        <v>0.10813293043616722</v>
      </c>
      <c r="Q334" t="s">
        <v>163</v>
      </c>
      <c r="S334" t="s">
        <v>262</v>
      </c>
      <c r="T334" t="s">
        <v>174</v>
      </c>
      <c r="U334">
        <v>0.11467618866854204</v>
      </c>
      <c r="V334" t="s">
        <v>163</v>
      </c>
    </row>
    <row r="335" spans="9:22" x14ac:dyDescent="0.45">
      <c r="I335" t="s">
        <v>201</v>
      </c>
      <c r="J335" t="s">
        <v>162</v>
      </c>
      <c r="K335">
        <v>1.4778130328846523E-2</v>
      </c>
      <c r="L335" t="s">
        <v>163</v>
      </c>
      <c r="N335" t="s">
        <v>232</v>
      </c>
      <c r="O335" t="s">
        <v>162</v>
      </c>
      <c r="P335">
        <v>0.1433166097967489</v>
      </c>
      <c r="Q335" t="s">
        <v>163</v>
      </c>
      <c r="S335" t="s">
        <v>263</v>
      </c>
      <c r="T335" t="s">
        <v>162</v>
      </c>
      <c r="U335">
        <v>0.11175586402435447</v>
      </c>
      <c r="V335" t="s">
        <v>163</v>
      </c>
    </row>
    <row r="336" spans="9:22" x14ac:dyDescent="0.45">
      <c r="I336" t="s">
        <v>201</v>
      </c>
      <c r="J336" t="s">
        <v>164</v>
      </c>
      <c r="K336">
        <v>0.34236559768582625</v>
      </c>
      <c r="L336" t="s">
        <v>163</v>
      </c>
      <c r="N336" t="s">
        <v>232</v>
      </c>
      <c r="O336" t="s">
        <v>164</v>
      </c>
      <c r="P336">
        <v>0.23273240063844283</v>
      </c>
      <c r="Q336" t="s">
        <v>163</v>
      </c>
      <c r="S336" t="s">
        <v>263</v>
      </c>
      <c r="T336" t="s">
        <v>164</v>
      </c>
      <c r="U336">
        <v>0.12638343918625206</v>
      </c>
      <c r="V336" t="s">
        <v>163</v>
      </c>
    </row>
    <row r="337" spans="9:22" x14ac:dyDescent="0.45">
      <c r="I337" t="s">
        <v>201</v>
      </c>
      <c r="J337" t="s">
        <v>165</v>
      </c>
      <c r="K337">
        <v>5.6211201898106493E-3</v>
      </c>
      <c r="L337" t="s">
        <v>163</v>
      </c>
      <c r="N337" t="s">
        <v>232</v>
      </c>
      <c r="O337" t="s">
        <v>165</v>
      </c>
      <c r="P337">
        <v>0.10429680098118563</v>
      </c>
      <c r="Q337" t="s">
        <v>163</v>
      </c>
      <c r="S337" t="s">
        <v>263</v>
      </c>
      <c r="T337" t="s">
        <v>165</v>
      </c>
      <c r="U337">
        <v>8.4127282796568503E-2</v>
      </c>
      <c r="V337" t="s">
        <v>163</v>
      </c>
    </row>
    <row r="338" spans="9:22" x14ac:dyDescent="0.45">
      <c r="I338" t="s">
        <v>201</v>
      </c>
      <c r="J338" t="s">
        <v>166</v>
      </c>
      <c r="K338">
        <v>9.7084979081731269E-3</v>
      </c>
      <c r="L338" t="s">
        <v>163</v>
      </c>
      <c r="N338" t="s">
        <v>232</v>
      </c>
      <c r="O338" t="s">
        <v>166</v>
      </c>
      <c r="P338">
        <v>1.8814939298354188E-2</v>
      </c>
      <c r="Q338" t="s">
        <v>163</v>
      </c>
      <c r="S338" t="s">
        <v>263</v>
      </c>
      <c r="T338" t="s">
        <v>166</v>
      </c>
      <c r="U338">
        <v>2.5716597203570474E-2</v>
      </c>
      <c r="V338" t="s">
        <v>163</v>
      </c>
    </row>
    <row r="339" spans="9:22" x14ac:dyDescent="0.45">
      <c r="I339" t="s">
        <v>201</v>
      </c>
      <c r="J339" t="s">
        <v>167</v>
      </c>
      <c r="K339">
        <v>0.10495332693963171</v>
      </c>
      <c r="L339" t="s">
        <v>163</v>
      </c>
      <c r="N339" t="s">
        <v>232</v>
      </c>
      <c r="O339" t="s">
        <v>167</v>
      </c>
      <c r="P339">
        <v>2.7707296969438688E-2</v>
      </c>
      <c r="Q339" t="s">
        <v>163</v>
      </c>
      <c r="S339" t="s">
        <v>263</v>
      </c>
      <c r="T339" t="s">
        <v>167</v>
      </c>
      <c r="U339">
        <v>3.0836382505033816E-2</v>
      </c>
      <c r="V339" t="s">
        <v>163</v>
      </c>
    </row>
    <row r="340" spans="9:22" x14ac:dyDescent="0.45">
      <c r="I340" t="s">
        <v>201</v>
      </c>
      <c r="J340" t="s">
        <v>168</v>
      </c>
      <c r="K340">
        <v>4.7534177298260965E-3</v>
      </c>
      <c r="L340" t="s">
        <v>163</v>
      </c>
      <c r="N340" t="s">
        <v>232</v>
      </c>
      <c r="O340" t="s">
        <v>168</v>
      </c>
      <c r="P340">
        <v>1.1923244970346799E-2</v>
      </c>
      <c r="Q340" t="s">
        <v>163</v>
      </c>
      <c r="S340" t="s">
        <v>263</v>
      </c>
      <c r="T340" t="s">
        <v>168</v>
      </c>
      <c r="U340">
        <v>1.9705211970407074E-2</v>
      </c>
      <c r="V340" t="s">
        <v>163</v>
      </c>
    </row>
    <row r="341" spans="9:22" x14ac:dyDescent="0.45">
      <c r="I341" t="s">
        <v>201</v>
      </c>
      <c r="J341" t="s">
        <v>169</v>
      </c>
      <c r="K341">
        <v>7.2539569938213679E-3</v>
      </c>
      <c r="L341" t="s">
        <v>163</v>
      </c>
      <c r="N341" t="s">
        <v>232</v>
      </c>
      <c r="O341" t="s">
        <v>169</v>
      </c>
      <c r="P341">
        <v>3.3474209930784826E-3</v>
      </c>
      <c r="Q341" t="s">
        <v>163</v>
      </c>
      <c r="S341" t="s">
        <v>263</v>
      </c>
      <c r="T341" t="s">
        <v>169</v>
      </c>
      <c r="U341">
        <v>1.4431282504774495E-2</v>
      </c>
      <c r="V341" t="s">
        <v>163</v>
      </c>
    </row>
    <row r="342" spans="9:22" x14ac:dyDescent="0.45">
      <c r="I342" t="s">
        <v>201</v>
      </c>
      <c r="J342" t="s">
        <v>170</v>
      </c>
      <c r="K342">
        <v>8.1349701868533839E-2</v>
      </c>
      <c r="L342" t="s">
        <v>163</v>
      </c>
      <c r="N342" t="s">
        <v>232</v>
      </c>
      <c r="O342" t="s">
        <v>170</v>
      </c>
      <c r="P342">
        <v>7.4506572418668194E-3</v>
      </c>
      <c r="Q342" t="s">
        <v>163</v>
      </c>
      <c r="S342" t="s">
        <v>263</v>
      </c>
      <c r="T342" t="s">
        <v>170</v>
      </c>
      <c r="U342">
        <v>1.9599426920898805E-2</v>
      </c>
      <c r="V342" t="s">
        <v>163</v>
      </c>
    </row>
    <row r="343" spans="9:22" x14ac:dyDescent="0.45">
      <c r="I343" t="s">
        <v>201</v>
      </c>
      <c r="J343" t="s">
        <v>171</v>
      </c>
      <c r="K343">
        <v>4.1716365537080987E-3</v>
      </c>
      <c r="L343" t="s">
        <v>163</v>
      </c>
      <c r="N343" t="s">
        <v>232</v>
      </c>
      <c r="O343" t="s">
        <v>171</v>
      </c>
      <c r="P343">
        <v>3.4332332514075878E-3</v>
      </c>
      <c r="Q343" t="s">
        <v>163</v>
      </c>
      <c r="S343" t="s">
        <v>263</v>
      </c>
      <c r="T343" t="s">
        <v>171</v>
      </c>
      <c r="U343">
        <v>1.1744584087453335E-2</v>
      </c>
      <c r="V343" t="s">
        <v>163</v>
      </c>
    </row>
    <row r="344" spans="9:22" x14ac:dyDescent="0.45">
      <c r="I344" t="s">
        <v>201</v>
      </c>
      <c r="J344" t="s">
        <v>172</v>
      </c>
      <c r="K344">
        <v>1.8592752799722063E-2</v>
      </c>
      <c r="L344" t="s">
        <v>163</v>
      </c>
      <c r="N344" t="s">
        <v>232</v>
      </c>
      <c r="O344" t="s">
        <v>172</v>
      </c>
      <c r="P344">
        <v>0.13801263639715494</v>
      </c>
      <c r="Q344" t="s">
        <v>163</v>
      </c>
      <c r="S344" t="s">
        <v>263</v>
      </c>
      <c r="T344" t="s">
        <v>172</v>
      </c>
      <c r="U344">
        <v>0.18628246767174259</v>
      </c>
      <c r="V344" t="s">
        <v>163</v>
      </c>
    </row>
    <row r="345" spans="9:22" x14ac:dyDescent="0.45">
      <c r="I345" t="s">
        <v>201</v>
      </c>
      <c r="J345" t="s">
        <v>173</v>
      </c>
      <c r="K345">
        <v>0.39938622915826144</v>
      </c>
      <c r="L345" t="s">
        <v>163</v>
      </c>
      <c r="N345" t="s">
        <v>232</v>
      </c>
      <c r="O345" t="s">
        <v>173</v>
      </c>
      <c r="P345">
        <v>0.20312248432957858</v>
      </c>
      <c r="Q345" t="s">
        <v>163</v>
      </c>
      <c r="S345" t="s">
        <v>263</v>
      </c>
      <c r="T345" t="s">
        <v>173</v>
      </c>
      <c r="U345">
        <v>0.2256615116289479</v>
      </c>
      <c r="V345" t="s">
        <v>163</v>
      </c>
    </row>
    <row r="346" spans="9:22" x14ac:dyDescent="0.45">
      <c r="I346" t="s">
        <v>201</v>
      </c>
      <c r="J346" t="s">
        <v>174</v>
      </c>
      <c r="K346">
        <v>7.0656318438376501E-3</v>
      </c>
      <c r="L346" t="s">
        <v>163</v>
      </c>
      <c r="N346" t="s">
        <v>232</v>
      </c>
      <c r="O346" t="s">
        <v>174</v>
      </c>
      <c r="P346">
        <v>0.1058422751324013</v>
      </c>
      <c r="Q346" t="s">
        <v>163</v>
      </c>
      <c r="S346" t="s">
        <v>263</v>
      </c>
      <c r="T346" t="s">
        <v>174</v>
      </c>
      <c r="U346">
        <v>0.14375594949999029</v>
      </c>
      <c r="V346" t="s">
        <v>163</v>
      </c>
    </row>
    <row r="347" spans="9:22" x14ac:dyDescent="0.45">
      <c r="I347" t="s">
        <v>202</v>
      </c>
      <c r="J347" t="s">
        <v>162</v>
      </c>
      <c r="K347">
        <v>1.1086776807006218E-2</v>
      </c>
      <c r="L347" t="s">
        <v>163</v>
      </c>
      <c r="N347" t="s">
        <v>233</v>
      </c>
      <c r="O347" t="s">
        <v>162</v>
      </c>
      <c r="P347">
        <v>0.13736535558199228</v>
      </c>
      <c r="Q347" t="s">
        <v>163</v>
      </c>
      <c r="S347" t="s">
        <v>264</v>
      </c>
      <c r="T347" t="s">
        <v>162</v>
      </c>
      <c r="U347">
        <v>0.12409859297417639</v>
      </c>
      <c r="V347" t="s">
        <v>163</v>
      </c>
    </row>
    <row r="348" spans="9:22" x14ac:dyDescent="0.45">
      <c r="I348" t="s">
        <v>202</v>
      </c>
      <c r="J348" t="s">
        <v>164</v>
      </c>
      <c r="K348">
        <v>0.31311745419902259</v>
      </c>
      <c r="L348" t="s">
        <v>163</v>
      </c>
      <c r="N348" t="s">
        <v>233</v>
      </c>
      <c r="O348" t="s">
        <v>164</v>
      </c>
      <c r="P348">
        <v>0.234347579101089</v>
      </c>
      <c r="Q348" t="s">
        <v>163</v>
      </c>
      <c r="S348" t="s">
        <v>264</v>
      </c>
      <c r="T348" t="s">
        <v>164</v>
      </c>
      <c r="U348">
        <v>0.14038787869068312</v>
      </c>
      <c r="V348" t="s">
        <v>163</v>
      </c>
    </row>
    <row r="349" spans="9:22" x14ac:dyDescent="0.45">
      <c r="I349" t="s">
        <v>202</v>
      </c>
      <c r="J349" t="s">
        <v>165</v>
      </c>
      <c r="K349">
        <v>6.6135086840432592E-3</v>
      </c>
      <c r="L349" t="s">
        <v>163</v>
      </c>
      <c r="N349" t="s">
        <v>233</v>
      </c>
      <c r="O349" t="s">
        <v>165</v>
      </c>
      <c r="P349">
        <v>0.10638843239917127</v>
      </c>
      <c r="Q349" t="s">
        <v>163</v>
      </c>
      <c r="S349" t="s">
        <v>264</v>
      </c>
      <c r="T349" t="s">
        <v>165</v>
      </c>
      <c r="U349">
        <v>8.8024971418251094E-2</v>
      </c>
      <c r="V349" t="s">
        <v>163</v>
      </c>
    </row>
    <row r="350" spans="9:22" x14ac:dyDescent="0.45">
      <c r="I350" t="s">
        <v>202</v>
      </c>
      <c r="J350" t="s">
        <v>166</v>
      </c>
      <c r="K350">
        <v>8.3439269311359355E-3</v>
      </c>
      <c r="L350" t="s">
        <v>163</v>
      </c>
      <c r="N350" t="s">
        <v>233</v>
      </c>
      <c r="O350" t="s">
        <v>166</v>
      </c>
      <c r="P350">
        <v>1.9506150521867827E-2</v>
      </c>
      <c r="Q350" t="s">
        <v>163</v>
      </c>
      <c r="S350" t="s">
        <v>264</v>
      </c>
      <c r="T350" t="s">
        <v>166</v>
      </c>
      <c r="U350">
        <v>2.3657573926732022E-2</v>
      </c>
      <c r="V350" t="s">
        <v>163</v>
      </c>
    </row>
    <row r="351" spans="9:22" x14ac:dyDescent="0.45">
      <c r="I351" t="s">
        <v>202</v>
      </c>
      <c r="J351" t="s">
        <v>167</v>
      </c>
      <c r="K351">
        <v>0.10596583550040037</v>
      </c>
      <c r="L351" t="s">
        <v>163</v>
      </c>
      <c r="N351" t="s">
        <v>233</v>
      </c>
      <c r="O351" t="s">
        <v>167</v>
      </c>
      <c r="P351">
        <v>2.9705347228007752E-2</v>
      </c>
      <c r="Q351" t="s">
        <v>163</v>
      </c>
      <c r="S351" t="s">
        <v>264</v>
      </c>
      <c r="T351" t="s">
        <v>167</v>
      </c>
      <c r="U351">
        <v>2.7263896279492942E-2</v>
      </c>
      <c r="V351" t="s">
        <v>163</v>
      </c>
    </row>
    <row r="352" spans="9:22" x14ac:dyDescent="0.45">
      <c r="I352" t="s">
        <v>202</v>
      </c>
      <c r="J352" t="s">
        <v>168</v>
      </c>
      <c r="K352">
        <v>6.0261381876945087E-3</v>
      </c>
      <c r="L352" t="s">
        <v>163</v>
      </c>
      <c r="N352" t="s">
        <v>233</v>
      </c>
      <c r="O352" t="s">
        <v>168</v>
      </c>
      <c r="P352">
        <v>1.3723747021743614E-2</v>
      </c>
      <c r="Q352" t="s">
        <v>163</v>
      </c>
      <c r="S352" t="s">
        <v>264</v>
      </c>
      <c r="T352" t="s">
        <v>168</v>
      </c>
      <c r="U352">
        <v>1.7411576090310566E-2</v>
      </c>
      <c r="V352" t="s">
        <v>163</v>
      </c>
    </row>
    <row r="353" spans="9:22" x14ac:dyDescent="0.45">
      <c r="I353" t="s">
        <v>202</v>
      </c>
      <c r="J353" t="s">
        <v>169</v>
      </c>
      <c r="K353">
        <v>8.100992326432464E-3</v>
      </c>
      <c r="L353" t="s">
        <v>163</v>
      </c>
      <c r="N353" t="s">
        <v>233</v>
      </c>
      <c r="O353" t="s">
        <v>169</v>
      </c>
      <c r="P353">
        <v>2.8461607392750738E-3</v>
      </c>
      <c r="Q353" t="s">
        <v>163</v>
      </c>
      <c r="S353" t="s">
        <v>264</v>
      </c>
      <c r="T353" t="s">
        <v>169</v>
      </c>
      <c r="U353">
        <v>9.4942654401008204E-3</v>
      </c>
      <c r="V353" t="s">
        <v>163</v>
      </c>
    </row>
    <row r="354" spans="9:22" x14ac:dyDescent="0.45">
      <c r="I354" t="s">
        <v>202</v>
      </c>
      <c r="J354" t="s">
        <v>170</v>
      </c>
      <c r="K354">
        <v>9.7880883647285019E-2</v>
      </c>
      <c r="L354" t="s">
        <v>163</v>
      </c>
      <c r="N354" t="s">
        <v>233</v>
      </c>
      <c r="O354" t="s">
        <v>170</v>
      </c>
      <c r="P354">
        <v>6.5193930936207041E-3</v>
      </c>
      <c r="Q354" t="s">
        <v>163</v>
      </c>
      <c r="S354" t="s">
        <v>264</v>
      </c>
      <c r="T354" t="s">
        <v>170</v>
      </c>
      <c r="U354">
        <v>1.3415021214240716E-2</v>
      </c>
      <c r="V354" t="s">
        <v>163</v>
      </c>
    </row>
    <row r="355" spans="9:22" x14ac:dyDescent="0.45">
      <c r="I355" t="s">
        <v>202</v>
      </c>
      <c r="J355" t="s">
        <v>171</v>
      </c>
      <c r="K355">
        <v>6.7345169430716237E-3</v>
      </c>
      <c r="L355" t="s">
        <v>163</v>
      </c>
      <c r="N355" t="s">
        <v>233</v>
      </c>
      <c r="O355" t="s">
        <v>171</v>
      </c>
      <c r="P355">
        <v>3.1971878678033945E-3</v>
      </c>
      <c r="Q355" t="s">
        <v>163</v>
      </c>
      <c r="S355" t="s">
        <v>264</v>
      </c>
      <c r="T355" t="s">
        <v>171</v>
      </c>
      <c r="U355">
        <v>8.3658759876690456E-3</v>
      </c>
      <c r="V355" t="s">
        <v>163</v>
      </c>
    </row>
    <row r="356" spans="9:22" x14ac:dyDescent="0.45">
      <c r="I356" t="s">
        <v>202</v>
      </c>
      <c r="J356" t="s">
        <v>172</v>
      </c>
      <c r="K356">
        <v>1.6402317525300178E-2</v>
      </c>
      <c r="L356" t="s">
        <v>163</v>
      </c>
      <c r="N356" t="s">
        <v>233</v>
      </c>
      <c r="O356" t="s">
        <v>172</v>
      </c>
      <c r="P356">
        <v>0.13757406779130785</v>
      </c>
      <c r="Q356" t="s">
        <v>163</v>
      </c>
      <c r="S356" t="s">
        <v>264</v>
      </c>
      <c r="T356" t="s">
        <v>172</v>
      </c>
      <c r="U356">
        <v>0.18474036030306448</v>
      </c>
      <c r="V356" t="s">
        <v>163</v>
      </c>
    </row>
    <row r="357" spans="9:22" x14ac:dyDescent="0.45">
      <c r="I357" t="s">
        <v>202</v>
      </c>
      <c r="J357" t="s">
        <v>173</v>
      </c>
      <c r="K357">
        <v>0.40935537920912346</v>
      </c>
      <c r="L357" t="s">
        <v>163</v>
      </c>
      <c r="N357" t="s">
        <v>233</v>
      </c>
      <c r="O357" t="s">
        <v>173</v>
      </c>
      <c r="P357">
        <v>0.20557938688412067</v>
      </c>
      <c r="Q357" t="s">
        <v>163</v>
      </c>
      <c r="S357" t="s">
        <v>264</v>
      </c>
      <c r="T357" t="s">
        <v>173</v>
      </c>
      <c r="U357">
        <v>0.22949713480310427</v>
      </c>
      <c r="V357" t="s">
        <v>163</v>
      </c>
    </row>
    <row r="358" spans="9:22" x14ac:dyDescent="0.45">
      <c r="I358" t="s">
        <v>202</v>
      </c>
      <c r="J358" t="s">
        <v>174</v>
      </c>
      <c r="K358">
        <v>1.0372270039483815E-2</v>
      </c>
      <c r="L358" t="s">
        <v>163</v>
      </c>
      <c r="N358" t="s">
        <v>233</v>
      </c>
      <c r="O358" t="s">
        <v>174</v>
      </c>
      <c r="P358">
        <v>0.1032471917700027</v>
      </c>
      <c r="Q358" t="s">
        <v>163</v>
      </c>
      <c r="S358" t="s">
        <v>264</v>
      </c>
      <c r="T358" t="s">
        <v>174</v>
      </c>
      <c r="U358">
        <v>0.13364285287217956</v>
      </c>
      <c r="V358" t="s">
        <v>163</v>
      </c>
    </row>
    <row r="359" spans="9:22" x14ac:dyDescent="0.45">
      <c r="I359" t="s">
        <v>203</v>
      </c>
      <c r="J359" t="s">
        <v>162</v>
      </c>
      <c r="K359">
        <v>8.9623376915133786E-3</v>
      </c>
      <c r="L359" t="s">
        <v>163</v>
      </c>
      <c r="N359" t="s">
        <v>234</v>
      </c>
      <c r="O359" t="s">
        <v>162</v>
      </c>
      <c r="P359">
        <v>0.13441559756434154</v>
      </c>
      <c r="Q359" t="s">
        <v>163</v>
      </c>
      <c r="S359" t="s">
        <v>265</v>
      </c>
      <c r="T359" t="s">
        <v>162</v>
      </c>
      <c r="U359">
        <v>0.1375503650485535</v>
      </c>
      <c r="V359" t="s">
        <v>163</v>
      </c>
    </row>
    <row r="360" spans="9:22" x14ac:dyDescent="0.45">
      <c r="I360" t="s">
        <v>203</v>
      </c>
      <c r="J360" t="s">
        <v>164</v>
      </c>
      <c r="K360">
        <v>0.30708463122933644</v>
      </c>
      <c r="L360" t="s">
        <v>163</v>
      </c>
      <c r="N360" t="s">
        <v>234</v>
      </c>
      <c r="O360" t="s">
        <v>164</v>
      </c>
      <c r="P360">
        <v>0.18060050751725243</v>
      </c>
      <c r="Q360" t="s">
        <v>163</v>
      </c>
      <c r="S360" t="s">
        <v>265</v>
      </c>
      <c r="T360" t="s">
        <v>164</v>
      </c>
      <c r="U360">
        <v>0.16242949341374324</v>
      </c>
      <c r="V360" t="s">
        <v>163</v>
      </c>
    </row>
    <row r="361" spans="9:22" x14ac:dyDescent="0.45">
      <c r="I361" t="s">
        <v>203</v>
      </c>
      <c r="J361" t="s">
        <v>165</v>
      </c>
      <c r="K361">
        <v>8.474908191557275E-3</v>
      </c>
      <c r="L361" t="s">
        <v>163</v>
      </c>
      <c r="N361" t="s">
        <v>234</v>
      </c>
      <c r="O361" t="s">
        <v>165</v>
      </c>
      <c r="P361">
        <v>0.10041190450483081</v>
      </c>
      <c r="Q361" t="s">
        <v>163</v>
      </c>
      <c r="S361" t="s">
        <v>265</v>
      </c>
      <c r="T361" t="s">
        <v>165</v>
      </c>
      <c r="U361">
        <v>9.8322358018491152E-2</v>
      </c>
      <c r="V361" t="s">
        <v>163</v>
      </c>
    </row>
    <row r="362" spans="9:22" x14ac:dyDescent="0.45">
      <c r="I362" t="s">
        <v>203</v>
      </c>
      <c r="J362" t="s">
        <v>166</v>
      </c>
      <c r="K362">
        <v>8.2491126261191403E-3</v>
      </c>
      <c r="L362" t="s">
        <v>163</v>
      </c>
      <c r="N362" t="s">
        <v>234</v>
      </c>
      <c r="O362" t="s">
        <v>166</v>
      </c>
      <c r="P362">
        <v>2.3910317281338557E-2</v>
      </c>
      <c r="Q362" t="s">
        <v>163</v>
      </c>
      <c r="S362" t="s">
        <v>265</v>
      </c>
      <c r="T362" t="s">
        <v>166</v>
      </c>
      <c r="U362">
        <v>2.5152451323548274E-2</v>
      </c>
      <c r="V362" t="s">
        <v>163</v>
      </c>
    </row>
    <row r="363" spans="9:22" x14ac:dyDescent="0.45">
      <c r="I363" t="s">
        <v>203</v>
      </c>
      <c r="J363" t="s">
        <v>167</v>
      </c>
      <c r="K363">
        <v>0.10083328217808127</v>
      </c>
      <c r="L363" t="s">
        <v>163</v>
      </c>
      <c r="N363" t="s">
        <v>234</v>
      </c>
      <c r="O363" t="s">
        <v>167</v>
      </c>
      <c r="P363">
        <v>3.0886976749086685E-2</v>
      </c>
      <c r="Q363" t="s">
        <v>163</v>
      </c>
      <c r="S363" t="s">
        <v>265</v>
      </c>
      <c r="T363" t="s">
        <v>167</v>
      </c>
      <c r="U363">
        <v>2.9925541183284853E-2</v>
      </c>
      <c r="V363" t="s">
        <v>163</v>
      </c>
    </row>
    <row r="364" spans="9:22" x14ac:dyDescent="0.45">
      <c r="I364" t="s">
        <v>203</v>
      </c>
      <c r="J364" t="s">
        <v>168</v>
      </c>
      <c r="K364">
        <v>6.7481662289194614E-3</v>
      </c>
      <c r="L364" t="s">
        <v>163</v>
      </c>
      <c r="N364" t="s">
        <v>234</v>
      </c>
      <c r="O364" t="s">
        <v>168</v>
      </c>
      <c r="P364">
        <v>1.6693667771200189E-2</v>
      </c>
      <c r="Q364" t="s">
        <v>163</v>
      </c>
      <c r="S364" t="s">
        <v>265</v>
      </c>
      <c r="T364" t="s">
        <v>168</v>
      </c>
      <c r="U364">
        <v>1.7095649448246181E-2</v>
      </c>
      <c r="V364" t="s">
        <v>163</v>
      </c>
    </row>
    <row r="365" spans="9:22" x14ac:dyDescent="0.45">
      <c r="I365" t="s">
        <v>203</v>
      </c>
      <c r="J365" t="s">
        <v>169</v>
      </c>
      <c r="K365">
        <v>7.1532500935293231E-3</v>
      </c>
      <c r="L365" t="s">
        <v>163</v>
      </c>
      <c r="N365" t="s">
        <v>234</v>
      </c>
      <c r="O365" t="s">
        <v>169</v>
      </c>
      <c r="P365">
        <v>1.1106194825119238E-2</v>
      </c>
      <c r="Q365" t="s">
        <v>163</v>
      </c>
      <c r="S365" t="s">
        <v>265</v>
      </c>
      <c r="T365" t="s">
        <v>169</v>
      </c>
      <c r="U365">
        <v>7.7204282154496309E-3</v>
      </c>
      <c r="V365" t="s">
        <v>163</v>
      </c>
    </row>
    <row r="366" spans="9:22" x14ac:dyDescent="0.45">
      <c r="I366" t="s">
        <v>203</v>
      </c>
      <c r="J366" t="s">
        <v>170</v>
      </c>
      <c r="K366">
        <v>9.5890264967604139E-2</v>
      </c>
      <c r="L366" t="s">
        <v>163</v>
      </c>
      <c r="N366" t="s">
        <v>234</v>
      </c>
      <c r="O366" t="s">
        <v>170</v>
      </c>
      <c r="P366">
        <v>1.3856291864571485E-2</v>
      </c>
      <c r="Q366" t="s">
        <v>163</v>
      </c>
      <c r="S366" t="s">
        <v>265</v>
      </c>
      <c r="T366" t="s">
        <v>170</v>
      </c>
      <c r="U366">
        <v>7.9054894422789842E-3</v>
      </c>
      <c r="V366" t="s">
        <v>163</v>
      </c>
    </row>
    <row r="367" spans="9:22" x14ac:dyDescent="0.45">
      <c r="I367" t="s">
        <v>203</v>
      </c>
      <c r="J367" t="s">
        <v>171</v>
      </c>
      <c r="K367">
        <v>7.021026578196218E-3</v>
      </c>
      <c r="L367" t="s">
        <v>163</v>
      </c>
      <c r="N367" t="s">
        <v>234</v>
      </c>
      <c r="O367" t="s">
        <v>171</v>
      </c>
      <c r="P367">
        <v>8.7177956034168239E-3</v>
      </c>
      <c r="Q367" t="s">
        <v>163</v>
      </c>
      <c r="S367" t="s">
        <v>265</v>
      </c>
      <c r="T367" t="s">
        <v>171</v>
      </c>
      <c r="U367">
        <v>4.8706863559327511E-3</v>
      </c>
      <c r="V367" t="s">
        <v>163</v>
      </c>
    </row>
    <row r="368" spans="9:22" x14ac:dyDescent="0.45">
      <c r="I368" t="s">
        <v>203</v>
      </c>
      <c r="J368" t="s">
        <v>172</v>
      </c>
      <c r="K368">
        <v>1.6772662143588128E-2</v>
      </c>
      <c r="L368" t="s">
        <v>163</v>
      </c>
      <c r="N368" t="s">
        <v>234</v>
      </c>
      <c r="O368" t="s">
        <v>172</v>
      </c>
      <c r="P368">
        <v>0.15633189418883145</v>
      </c>
      <c r="Q368" t="s">
        <v>163</v>
      </c>
      <c r="S368" t="s">
        <v>265</v>
      </c>
      <c r="T368" t="s">
        <v>172</v>
      </c>
      <c r="U368">
        <v>0.16508626054512529</v>
      </c>
      <c r="V368" t="s">
        <v>163</v>
      </c>
    </row>
    <row r="369" spans="9:22" x14ac:dyDescent="0.45">
      <c r="I369" t="s">
        <v>203</v>
      </c>
      <c r="J369" t="s">
        <v>173</v>
      </c>
      <c r="K369">
        <v>0.41841225494249651</v>
      </c>
      <c r="L369" t="s">
        <v>163</v>
      </c>
      <c r="N369" t="s">
        <v>234</v>
      </c>
      <c r="O369" t="s">
        <v>173</v>
      </c>
      <c r="P369">
        <v>0.20311655040802784</v>
      </c>
      <c r="Q369" t="s">
        <v>163</v>
      </c>
      <c r="S369" t="s">
        <v>265</v>
      </c>
      <c r="T369" t="s">
        <v>173</v>
      </c>
      <c r="U369">
        <v>0.21987716871758164</v>
      </c>
      <c r="V369" t="s">
        <v>163</v>
      </c>
    </row>
    <row r="370" spans="9:22" x14ac:dyDescent="0.45">
      <c r="I370" t="s">
        <v>203</v>
      </c>
      <c r="J370" t="s">
        <v>174</v>
      </c>
      <c r="K370">
        <v>1.4398103129059208E-2</v>
      </c>
      <c r="L370" t="s">
        <v>163</v>
      </c>
      <c r="N370" t="s">
        <v>234</v>
      </c>
      <c r="O370" t="s">
        <v>174</v>
      </c>
      <c r="P370">
        <v>0.119952301721981</v>
      </c>
      <c r="Q370" t="s">
        <v>163</v>
      </c>
      <c r="S370" t="s">
        <v>265</v>
      </c>
      <c r="T370" t="s">
        <v>174</v>
      </c>
      <c r="U370">
        <v>0.12406410828776207</v>
      </c>
      <c r="V370" t="s">
        <v>163</v>
      </c>
    </row>
    <row r="371" spans="9:22" x14ac:dyDescent="0.45">
      <c r="I371" t="s">
        <v>204</v>
      </c>
      <c r="J371" t="s">
        <v>162</v>
      </c>
      <c r="K371">
        <v>9.447137153897632E-3</v>
      </c>
      <c r="L371" t="s">
        <v>163</v>
      </c>
      <c r="N371" t="s">
        <v>235</v>
      </c>
      <c r="O371" t="s">
        <v>162</v>
      </c>
      <c r="P371">
        <v>0.12894373357235145</v>
      </c>
      <c r="Q371" t="s">
        <v>163</v>
      </c>
      <c r="S371" t="s">
        <v>266</v>
      </c>
      <c r="T371" t="s">
        <v>162</v>
      </c>
      <c r="U371">
        <v>0.14592373850348223</v>
      </c>
      <c r="V371" t="s">
        <v>163</v>
      </c>
    </row>
    <row r="372" spans="9:22" x14ac:dyDescent="0.45">
      <c r="I372" t="s">
        <v>204</v>
      </c>
      <c r="J372" t="s">
        <v>164</v>
      </c>
      <c r="K372">
        <v>0.31794284673415352</v>
      </c>
      <c r="L372" t="s">
        <v>163</v>
      </c>
      <c r="N372" t="s">
        <v>235</v>
      </c>
      <c r="O372" t="s">
        <v>164</v>
      </c>
      <c r="P372">
        <v>0.17036948076772249</v>
      </c>
      <c r="Q372" t="s">
        <v>163</v>
      </c>
      <c r="S372" t="s">
        <v>266</v>
      </c>
      <c r="T372" t="s">
        <v>164</v>
      </c>
      <c r="U372">
        <v>0.16674579776783741</v>
      </c>
      <c r="V372" t="s">
        <v>163</v>
      </c>
    </row>
    <row r="373" spans="9:22" x14ac:dyDescent="0.45">
      <c r="I373" t="s">
        <v>204</v>
      </c>
      <c r="J373" t="s">
        <v>165</v>
      </c>
      <c r="K373">
        <v>7.8616889976400508E-3</v>
      </c>
      <c r="L373" t="s">
        <v>163</v>
      </c>
      <c r="N373" t="s">
        <v>235</v>
      </c>
      <c r="O373" t="s">
        <v>165</v>
      </c>
      <c r="P373">
        <v>9.5768290812827297E-2</v>
      </c>
      <c r="Q373" t="s">
        <v>163</v>
      </c>
      <c r="S373" t="s">
        <v>266</v>
      </c>
      <c r="T373" t="s">
        <v>165</v>
      </c>
      <c r="U373">
        <v>0.10301798039422928</v>
      </c>
      <c r="V373" t="s">
        <v>163</v>
      </c>
    </row>
    <row r="374" spans="9:22" x14ac:dyDescent="0.45">
      <c r="I374" t="s">
        <v>204</v>
      </c>
      <c r="J374" t="s">
        <v>166</v>
      </c>
      <c r="K374">
        <v>9.1739573374492994E-3</v>
      </c>
      <c r="L374" t="s">
        <v>163</v>
      </c>
      <c r="N374" t="s">
        <v>235</v>
      </c>
      <c r="O374" t="s">
        <v>166</v>
      </c>
      <c r="P374">
        <v>2.734767104786712E-2</v>
      </c>
      <c r="Q374" t="s">
        <v>163</v>
      </c>
      <c r="S374" t="s">
        <v>266</v>
      </c>
      <c r="T374" t="s">
        <v>166</v>
      </c>
      <c r="U374">
        <v>2.6487612442751916E-2</v>
      </c>
      <c r="V374" t="s">
        <v>163</v>
      </c>
    </row>
    <row r="375" spans="9:22" x14ac:dyDescent="0.45">
      <c r="I375" t="s">
        <v>204</v>
      </c>
      <c r="J375" t="s">
        <v>167</v>
      </c>
      <c r="K375">
        <v>0.1041280637822198</v>
      </c>
      <c r="L375" t="s">
        <v>163</v>
      </c>
      <c r="N375" t="s">
        <v>235</v>
      </c>
      <c r="O375" t="s">
        <v>167</v>
      </c>
      <c r="P375">
        <v>3.4942972413938164E-2</v>
      </c>
      <c r="Q375" t="s">
        <v>163</v>
      </c>
      <c r="S375" t="s">
        <v>266</v>
      </c>
      <c r="T375" t="s">
        <v>167</v>
      </c>
      <c r="U375">
        <v>3.2474430977845338E-2</v>
      </c>
      <c r="V375" t="s">
        <v>163</v>
      </c>
    </row>
    <row r="376" spans="9:22" x14ac:dyDescent="0.45">
      <c r="I376" t="s">
        <v>204</v>
      </c>
      <c r="J376" t="s">
        <v>168</v>
      </c>
      <c r="K376">
        <v>6.5191647276177699E-3</v>
      </c>
      <c r="L376" t="s">
        <v>163</v>
      </c>
      <c r="N376" t="s">
        <v>235</v>
      </c>
      <c r="O376" t="s">
        <v>168</v>
      </c>
      <c r="P376">
        <v>2.0219397852475909E-2</v>
      </c>
      <c r="Q376" t="s">
        <v>163</v>
      </c>
      <c r="S376" t="s">
        <v>266</v>
      </c>
      <c r="T376" t="s">
        <v>168</v>
      </c>
      <c r="U376">
        <v>1.7731906527657243E-2</v>
      </c>
      <c r="V376" t="s">
        <v>163</v>
      </c>
    </row>
    <row r="377" spans="9:22" x14ac:dyDescent="0.45">
      <c r="I377" t="s">
        <v>204</v>
      </c>
      <c r="J377" t="s">
        <v>169</v>
      </c>
      <c r="K377">
        <v>6.236637596260728E-3</v>
      </c>
      <c r="L377" t="s">
        <v>163</v>
      </c>
      <c r="N377" t="s">
        <v>235</v>
      </c>
      <c r="O377" t="s">
        <v>169</v>
      </c>
      <c r="P377">
        <v>8.9415406047915029E-3</v>
      </c>
      <c r="Q377" t="s">
        <v>163</v>
      </c>
      <c r="S377" t="s">
        <v>266</v>
      </c>
      <c r="T377" t="s">
        <v>169</v>
      </c>
      <c r="U377">
        <v>8.2707191649098455E-3</v>
      </c>
      <c r="V377" t="s">
        <v>163</v>
      </c>
    </row>
    <row r="378" spans="9:22" x14ac:dyDescent="0.45">
      <c r="I378" t="s">
        <v>204</v>
      </c>
      <c r="J378" t="s">
        <v>170</v>
      </c>
      <c r="K378">
        <v>8.0533881375164817E-2</v>
      </c>
      <c r="L378" t="s">
        <v>163</v>
      </c>
      <c r="N378" t="s">
        <v>235</v>
      </c>
      <c r="O378" t="s">
        <v>170</v>
      </c>
      <c r="P378">
        <v>1.2686175742621588E-2</v>
      </c>
      <c r="Q378" t="s">
        <v>163</v>
      </c>
      <c r="S378" t="s">
        <v>266</v>
      </c>
      <c r="T378" t="s">
        <v>170</v>
      </c>
      <c r="U378">
        <v>8.9068090066452884E-3</v>
      </c>
      <c r="V378" t="s">
        <v>163</v>
      </c>
    </row>
    <row r="379" spans="9:22" x14ac:dyDescent="0.45">
      <c r="I379" t="s">
        <v>204</v>
      </c>
      <c r="J379" t="s">
        <v>171</v>
      </c>
      <c r="K379">
        <v>5.1969814114667529E-3</v>
      </c>
      <c r="L379" t="s">
        <v>163</v>
      </c>
      <c r="N379" t="s">
        <v>235</v>
      </c>
      <c r="O379" t="s">
        <v>171</v>
      </c>
      <c r="P379">
        <v>9.3504934547781124E-3</v>
      </c>
      <c r="Q379" t="s">
        <v>163</v>
      </c>
      <c r="S379" t="s">
        <v>266</v>
      </c>
      <c r="T379" t="s">
        <v>171</v>
      </c>
      <c r="U379">
        <v>7.1424264757169974E-3</v>
      </c>
      <c r="V379" t="s">
        <v>163</v>
      </c>
    </row>
    <row r="380" spans="9:22" x14ac:dyDescent="0.45">
      <c r="I380" t="s">
        <v>204</v>
      </c>
      <c r="J380" t="s">
        <v>172</v>
      </c>
      <c r="K380">
        <v>1.7430804740471987E-2</v>
      </c>
      <c r="L380" t="s">
        <v>163</v>
      </c>
      <c r="N380" t="s">
        <v>235</v>
      </c>
      <c r="O380" t="s">
        <v>172</v>
      </c>
      <c r="P380">
        <v>0.16175133732543809</v>
      </c>
      <c r="Q380" t="s">
        <v>163</v>
      </c>
      <c r="S380" t="s">
        <v>266</v>
      </c>
      <c r="T380" t="s">
        <v>172</v>
      </c>
      <c r="U380">
        <v>0.1618358985533529</v>
      </c>
      <c r="V380" t="s">
        <v>163</v>
      </c>
    </row>
    <row r="381" spans="9:22" x14ac:dyDescent="0.45">
      <c r="I381" t="s">
        <v>204</v>
      </c>
      <c r="J381" t="s">
        <v>173</v>
      </c>
      <c r="K381">
        <v>0.42219181436253089</v>
      </c>
      <c r="L381" t="s">
        <v>163</v>
      </c>
      <c r="N381" t="s">
        <v>235</v>
      </c>
      <c r="O381" t="s">
        <v>173</v>
      </c>
      <c r="P381">
        <v>0.20532813209761455</v>
      </c>
      <c r="Q381" t="s">
        <v>163</v>
      </c>
      <c r="S381" t="s">
        <v>266</v>
      </c>
      <c r="T381" t="s">
        <v>173</v>
      </c>
      <c r="U381">
        <v>0.20175202705146739</v>
      </c>
      <c r="V381" t="s">
        <v>163</v>
      </c>
    </row>
    <row r="382" spans="9:22" x14ac:dyDescent="0.45">
      <c r="I382" t="s">
        <v>204</v>
      </c>
      <c r="J382" t="s">
        <v>174</v>
      </c>
      <c r="K382">
        <v>1.3337021781128468E-2</v>
      </c>
      <c r="L382" t="s">
        <v>163</v>
      </c>
      <c r="N382" t="s">
        <v>235</v>
      </c>
      <c r="O382" t="s">
        <v>174</v>
      </c>
      <c r="P382">
        <v>0.12435077430756872</v>
      </c>
      <c r="Q382" t="s">
        <v>163</v>
      </c>
      <c r="S382" t="s">
        <v>266</v>
      </c>
      <c r="T382" t="s">
        <v>174</v>
      </c>
      <c r="U382">
        <v>0.11971065313410507</v>
      </c>
      <c r="V382" t="s">
        <v>163</v>
      </c>
    </row>
    <row r="383" spans="9:22" x14ac:dyDescent="0.45">
      <c r="S383" t="s">
        <v>267</v>
      </c>
      <c r="T383" t="s">
        <v>162</v>
      </c>
      <c r="U383">
        <v>0.1394793077893518</v>
      </c>
      <c r="V383" t="s">
        <v>163</v>
      </c>
    </row>
    <row r="384" spans="9:22" x14ac:dyDescent="0.45">
      <c r="S384" t="s">
        <v>267</v>
      </c>
      <c r="T384" t="s">
        <v>164</v>
      </c>
      <c r="U384">
        <v>0.15966957145011665</v>
      </c>
      <c r="V384" t="s">
        <v>163</v>
      </c>
    </row>
    <row r="385" spans="19:22" x14ac:dyDescent="0.45">
      <c r="S385" t="s">
        <v>267</v>
      </c>
      <c r="T385" t="s">
        <v>165</v>
      </c>
      <c r="U385">
        <v>0.10181441800788305</v>
      </c>
      <c r="V385" t="s">
        <v>163</v>
      </c>
    </row>
    <row r="386" spans="19:22" x14ac:dyDescent="0.45">
      <c r="S386" t="s">
        <v>267</v>
      </c>
      <c r="T386" t="s">
        <v>166</v>
      </c>
      <c r="U386">
        <v>2.2538873880091247E-2</v>
      </c>
      <c r="V386" t="s">
        <v>163</v>
      </c>
    </row>
    <row r="387" spans="19:22" x14ac:dyDescent="0.45">
      <c r="S387" t="s">
        <v>267</v>
      </c>
      <c r="T387" t="s">
        <v>167</v>
      </c>
      <c r="U387">
        <v>2.6911787572371892E-2</v>
      </c>
      <c r="V387" t="s">
        <v>163</v>
      </c>
    </row>
    <row r="388" spans="19:22" x14ac:dyDescent="0.45">
      <c r="S388" t="s">
        <v>267</v>
      </c>
      <c r="T388" t="s">
        <v>168</v>
      </c>
      <c r="U388">
        <v>1.5360282444042448E-2</v>
      </c>
      <c r="V388" t="s">
        <v>163</v>
      </c>
    </row>
    <row r="389" spans="19:22" x14ac:dyDescent="0.45">
      <c r="S389" t="s">
        <v>267</v>
      </c>
      <c r="T389" t="s">
        <v>169</v>
      </c>
      <c r="U389">
        <v>9.0922380398684929E-3</v>
      </c>
      <c r="V389" t="s">
        <v>163</v>
      </c>
    </row>
    <row r="390" spans="19:22" x14ac:dyDescent="0.45">
      <c r="S390" t="s">
        <v>267</v>
      </c>
      <c r="T390" t="s">
        <v>170</v>
      </c>
      <c r="U390">
        <v>1.0170557092548643E-2</v>
      </c>
      <c r="V390" t="s">
        <v>163</v>
      </c>
    </row>
    <row r="391" spans="19:22" x14ac:dyDescent="0.45">
      <c r="S391" t="s">
        <v>267</v>
      </c>
      <c r="T391" t="s">
        <v>171</v>
      </c>
      <c r="U391">
        <v>7.3718280594714204E-3</v>
      </c>
      <c r="V391" t="s">
        <v>163</v>
      </c>
    </row>
    <row r="392" spans="19:22" x14ac:dyDescent="0.45">
      <c r="S392" t="s">
        <v>267</v>
      </c>
      <c r="T392" t="s">
        <v>172</v>
      </c>
      <c r="U392">
        <v>0.1645650797200158</v>
      </c>
      <c r="V392" t="s">
        <v>163</v>
      </c>
    </row>
    <row r="393" spans="19:22" x14ac:dyDescent="0.45">
      <c r="S393" t="s">
        <v>267</v>
      </c>
      <c r="T393" t="s">
        <v>173</v>
      </c>
      <c r="U393">
        <v>0.2191028972407689</v>
      </c>
      <c r="V393" t="s">
        <v>163</v>
      </c>
    </row>
    <row r="394" spans="19:22" x14ac:dyDescent="0.45">
      <c r="S394" t="s">
        <v>267</v>
      </c>
      <c r="T394" t="s">
        <v>174</v>
      </c>
      <c r="U394">
        <v>0.12392315870346785</v>
      </c>
      <c r="V394" t="s">
        <v>163</v>
      </c>
    </row>
    <row r="395" spans="19:22" x14ac:dyDescent="0.45">
      <c r="S395" t="s">
        <v>268</v>
      </c>
      <c r="T395" t="s">
        <v>162</v>
      </c>
      <c r="U395">
        <v>0.11455566202042074</v>
      </c>
      <c r="V395" t="s">
        <v>163</v>
      </c>
    </row>
    <row r="396" spans="19:22" x14ac:dyDescent="0.45">
      <c r="S396" t="s">
        <v>268</v>
      </c>
      <c r="T396" t="s">
        <v>164</v>
      </c>
      <c r="U396">
        <v>0.15104031473454155</v>
      </c>
      <c r="V396" t="s">
        <v>163</v>
      </c>
    </row>
    <row r="397" spans="19:22" x14ac:dyDescent="0.45">
      <c r="S397" t="s">
        <v>268</v>
      </c>
      <c r="T397" t="s">
        <v>165</v>
      </c>
      <c r="U397">
        <v>8.5014438621613272E-2</v>
      </c>
      <c r="V397" t="s">
        <v>163</v>
      </c>
    </row>
    <row r="398" spans="19:22" x14ac:dyDescent="0.45">
      <c r="S398" t="s">
        <v>268</v>
      </c>
      <c r="T398" t="s">
        <v>166</v>
      </c>
      <c r="U398">
        <v>2.7899566991650269E-2</v>
      </c>
      <c r="V398" t="s">
        <v>163</v>
      </c>
    </row>
    <row r="399" spans="19:22" x14ac:dyDescent="0.45">
      <c r="S399" t="s">
        <v>268</v>
      </c>
      <c r="T399" t="s">
        <v>167</v>
      </c>
      <c r="U399">
        <v>3.7682101605018337E-2</v>
      </c>
      <c r="V399" t="s">
        <v>163</v>
      </c>
    </row>
    <row r="400" spans="19:22" x14ac:dyDescent="0.45">
      <c r="S400" t="s">
        <v>268</v>
      </c>
      <c r="T400" t="s">
        <v>168</v>
      </c>
      <c r="U400">
        <v>2.0591418907259199E-2</v>
      </c>
      <c r="V400" t="s">
        <v>163</v>
      </c>
    </row>
    <row r="401" spans="19:22" x14ac:dyDescent="0.45">
      <c r="S401" t="s">
        <v>268</v>
      </c>
      <c r="T401" t="s">
        <v>169</v>
      </c>
      <c r="U401">
        <v>2.9990519045906362E-2</v>
      </c>
      <c r="V401" t="s">
        <v>163</v>
      </c>
    </row>
    <row r="402" spans="19:22" x14ac:dyDescent="0.45">
      <c r="S402" t="s">
        <v>268</v>
      </c>
      <c r="T402" t="s">
        <v>170</v>
      </c>
      <c r="U402">
        <v>3.4677096199154947E-2</v>
      </c>
      <c r="V402" t="s">
        <v>163</v>
      </c>
    </row>
    <row r="403" spans="19:22" x14ac:dyDescent="0.45">
      <c r="S403" t="s">
        <v>268</v>
      </c>
      <c r="T403" t="s">
        <v>171</v>
      </c>
      <c r="U403">
        <v>1.8931241248044954E-2</v>
      </c>
      <c r="V403" t="s">
        <v>163</v>
      </c>
    </row>
    <row r="404" spans="19:22" x14ac:dyDescent="0.45">
      <c r="S404" t="s">
        <v>268</v>
      </c>
      <c r="T404" t="s">
        <v>172</v>
      </c>
      <c r="U404">
        <v>0.16056666712785661</v>
      </c>
      <c r="V404" t="s">
        <v>163</v>
      </c>
    </row>
    <row r="405" spans="19:22" x14ac:dyDescent="0.45">
      <c r="S405" t="s">
        <v>268</v>
      </c>
      <c r="T405" t="s">
        <v>173</v>
      </c>
      <c r="U405">
        <v>0.20069543975447302</v>
      </c>
      <c r="V405" t="s">
        <v>163</v>
      </c>
    </row>
    <row r="406" spans="19:22" x14ac:dyDescent="0.45">
      <c r="S406" t="s">
        <v>268</v>
      </c>
      <c r="T406" t="s">
        <v>174</v>
      </c>
      <c r="U406">
        <v>0.11835553374406224</v>
      </c>
      <c r="V406" t="s">
        <v>163</v>
      </c>
    </row>
    <row r="407" spans="19:22" x14ac:dyDescent="0.45">
      <c r="S407" t="s">
        <v>269</v>
      </c>
      <c r="T407" t="s">
        <v>162</v>
      </c>
      <c r="U407">
        <v>0.13354044687973213</v>
      </c>
      <c r="V407" t="s">
        <v>163</v>
      </c>
    </row>
    <row r="408" spans="19:22" x14ac:dyDescent="0.45">
      <c r="S408" t="s">
        <v>269</v>
      </c>
      <c r="T408" t="s">
        <v>164</v>
      </c>
      <c r="U408">
        <v>0.16477228716609704</v>
      </c>
      <c r="V408" t="s">
        <v>163</v>
      </c>
    </row>
    <row r="409" spans="19:22" x14ac:dyDescent="0.45">
      <c r="S409" t="s">
        <v>269</v>
      </c>
      <c r="T409" t="s">
        <v>165</v>
      </c>
      <c r="U409">
        <v>0.10547646554300116</v>
      </c>
      <c r="V409" t="s">
        <v>163</v>
      </c>
    </row>
    <row r="410" spans="19:22" x14ac:dyDescent="0.45">
      <c r="S410" t="s">
        <v>269</v>
      </c>
      <c r="T410" t="s">
        <v>166</v>
      </c>
      <c r="U410">
        <v>2.2948480662968933E-2</v>
      </c>
      <c r="V410" t="s">
        <v>163</v>
      </c>
    </row>
    <row r="411" spans="19:22" x14ac:dyDescent="0.45">
      <c r="S411" t="s">
        <v>269</v>
      </c>
      <c r="T411" t="s">
        <v>167</v>
      </c>
      <c r="U411">
        <v>2.8049661793936517E-2</v>
      </c>
      <c r="V411" t="s">
        <v>163</v>
      </c>
    </row>
    <row r="412" spans="19:22" x14ac:dyDescent="0.45">
      <c r="S412" t="s">
        <v>269</v>
      </c>
      <c r="T412" t="s">
        <v>168</v>
      </c>
      <c r="U412">
        <v>1.521654352420993E-2</v>
      </c>
      <c r="V412" t="s">
        <v>163</v>
      </c>
    </row>
    <row r="413" spans="19:22" x14ac:dyDescent="0.45">
      <c r="S413" t="s">
        <v>269</v>
      </c>
      <c r="T413" t="s">
        <v>169</v>
      </c>
      <c r="U413">
        <v>1.2008320133485652E-2</v>
      </c>
      <c r="V413" t="s">
        <v>163</v>
      </c>
    </row>
    <row r="414" spans="19:22" x14ac:dyDescent="0.45">
      <c r="S414" t="s">
        <v>269</v>
      </c>
      <c r="T414" t="s">
        <v>170</v>
      </c>
      <c r="U414">
        <v>1.1996666683069892E-2</v>
      </c>
      <c r="V414" t="s">
        <v>163</v>
      </c>
    </row>
    <row r="415" spans="19:22" x14ac:dyDescent="0.45">
      <c r="S415" t="s">
        <v>269</v>
      </c>
      <c r="T415" t="s">
        <v>171</v>
      </c>
      <c r="U415">
        <v>7.1867979635666405E-3</v>
      </c>
      <c r="V415" t="s">
        <v>163</v>
      </c>
    </row>
    <row r="416" spans="19:22" x14ac:dyDescent="0.45">
      <c r="S416" t="s">
        <v>269</v>
      </c>
      <c r="T416" t="s">
        <v>172</v>
      </c>
      <c r="U416">
        <v>0.16544836188738196</v>
      </c>
      <c r="V416" t="s">
        <v>163</v>
      </c>
    </row>
    <row r="417" spans="19:22" x14ac:dyDescent="0.45">
      <c r="S417" t="s">
        <v>269</v>
      </c>
      <c r="T417" t="s">
        <v>173</v>
      </c>
      <c r="U417">
        <v>0.20474022201778977</v>
      </c>
      <c r="V417" t="s">
        <v>163</v>
      </c>
    </row>
    <row r="418" spans="19:22" x14ac:dyDescent="0.45">
      <c r="S418" t="s">
        <v>269</v>
      </c>
      <c r="T418" t="s">
        <v>174</v>
      </c>
      <c r="U418">
        <v>0.12861574574475648</v>
      </c>
      <c r="V418" t="s">
        <v>163</v>
      </c>
    </row>
    <row r="419" spans="19:22" x14ac:dyDescent="0.45">
      <c r="S419" t="s">
        <v>270</v>
      </c>
      <c r="T419" t="s">
        <v>162</v>
      </c>
      <c r="U419">
        <v>0.11224491318470393</v>
      </c>
      <c r="V419" t="s">
        <v>163</v>
      </c>
    </row>
    <row r="420" spans="19:22" x14ac:dyDescent="0.45">
      <c r="S420" t="s">
        <v>270</v>
      </c>
      <c r="T420" t="s">
        <v>164</v>
      </c>
      <c r="U420">
        <v>0.14060391579734821</v>
      </c>
      <c r="V420" t="s">
        <v>163</v>
      </c>
    </row>
    <row r="421" spans="19:22" x14ac:dyDescent="0.45">
      <c r="S421" t="s">
        <v>270</v>
      </c>
      <c r="T421" t="s">
        <v>165</v>
      </c>
      <c r="U421">
        <v>8.9958650041810653E-2</v>
      </c>
      <c r="V421" t="s">
        <v>163</v>
      </c>
    </row>
    <row r="422" spans="19:22" x14ac:dyDescent="0.45">
      <c r="S422" t="s">
        <v>270</v>
      </c>
      <c r="T422" t="s">
        <v>166</v>
      </c>
      <c r="U422">
        <v>2.710565366536364E-2</v>
      </c>
      <c r="V422" t="s">
        <v>163</v>
      </c>
    </row>
    <row r="423" spans="19:22" x14ac:dyDescent="0.45">
      <c r="S423" t="s">
        <v>270</v>
      </c>
      <c r="T423" t="s">
        <v>167</v>
      </c>
      <c r="U423">
        <v>3.9302918994699503E-2</v>
      </c>
      <c r="V423" t="s">
        <v>163</v>
      </c>
    </row>
    <row r="424" spans="19:22" x14ac:dyDescent="0.45">
      <c r="S424" t="s">
        <v>270</v>
      </c>
      <c r="T424" t="s">
        <v>168</v>
      </c>
      <c r="U424">
        <v>2.3175030825525141E-2</v>
      </c>
      <c r="V424" t="s">
        <v>163</v>
      </c>
    </row>
    <row r="425" spans="19:22" x14ac:dyDescent="0.45">
      <c r="S425" t="s">
        <v>270</v>
      </c>
      <c r="T425" t="s">
        <v>169</v>
      </c>
      <c r="U425">
        <v>1.4153443273902097E-2</v>
      </c>
      <c r="V425" t="s">
        <v>163</v>
      </c>
    </row>
    <row r="426" spans="19:22" x14ac:dyDescent="0.45">
      <c r="S426" t="s">
        <v>270</v>
      </c>
      <c r="T426" t="s">
        <v>170</v>
      </c>
      <c r="U426">
        <v>1.6038525015930352E-2</v>
      </c>
      <c r="V426" t="s">
        <v>163</v>
      </c>
    </row>
    <row r="427" spans="19:22" x14ac:dyDescent="0.45">
      <c r="S427" t="s">
        <v>270</v>
      </c>
      <c r="T427" t="s">
        <v>171</v>
      </c>
      <c r="U427">
        <v>7.7564847686352545E-3</v>
      </c>
      <c r="V427" t="s">
        <v>163</v>
      </c>
    </row>
    <row r="428" spans="19:22" x14ac:dyDescent="0.45">
      <c r="S428" t="s">
        <v>270</v>
      </c>
      <c r="T428" t="s">
        <v>172</v>
      </c>
      <c r="U428">
        <v>0.17477491514240948</v>
      </c>
      <c r="V428" t="s">
        <v>163</v>
      </c>
    </row>
    <row r="429" spans="19:22" x14ac:dyDescent="0.45">
      <c r="S429" t="s">
        <v>270</v>
      </c>
      <c r="T429" t="s">
        <v>173</v>
      </c>
      <c r="U429">
        <v>0.22174931266776898</v>
      </c>
      <c r="V429" t="s">
        <v>163</v>
      </c>
    </row>
    <row r="430" spans="19:22" x14ac:dyDescent="0.45">
      <c r="S430" t="s">
        <v>270</v>
      </c>
      <c r="T430" t="s">
        <v>174</v>
      </c>
      <c r="U430">
        <v>0.13313623662190133</v>
      </c>
      <c r="V430" t="s">
        <v>163</v>
      </c>
    </row>
    <row r="431" spans="19:22" x14ac:dyDescent="0.45">
      <c r="S431" t="s">
        <v>271</v>
      </c>
      <c r="T431" t="s">
        <v>162</v>
      </c>
      <c r="U431">
        <v>0.11723481613389075</v>
      </c>
      <c r="V431" t="s">
        <v>163</v>
      </c>
    </row>
    <row r="432" spans="19:22" x14ac:dyDescent="0.45">
      <c r="S432" t="s">
        <v>271</v>
      </c>
      <c r="T432" t="s">
        <v>164</v>
      </c>
      <c r="U432">
        <v>0.14423904256045209</v>
      </c>
      <c r="V432" t="s">
        <v>163</v>
      </c>
    </row>
    <row r="433" spans="19:22" x14ac:dyDescent="0.45">
      <c r="S433" t="s">
        <v>271</v>
      </c>
      <c r="T433" t="s">
        <v>165</v>
      </c>
      <c r="U433">
        <v>9.5256823368265103E-2</v>
      </c>
      <c r="V433" t="s">
        <v>163</v>
      </c>
    </row>
    <row r="434" spans="19:22" x14ac:dyDescent="0.45">
      <c r="S434" t="s">
        <v>271</v>
      </c>
      <c r="T434" t="s">
        <v>166</v>
      </c>
      <c r="U434">
        <v>1.7999057954429763E-2</v>
      </c>
      <c r="V434" t="s">
        <v>163</v>
      </c>
    </row>
    <row r="435" spans="19:22" x14ac:dyDescent="0.45">
      <c r="S435" t="s">
        <v>271</v>
      </c>
      <c r="T435" t="s">
        <v>167</v>
      </c>
      <c r="U435">
        <v>2.4317136116817382E-2</v>
      </c>
      <c r="V435" t="s">
        <v>163</v>
      </c>
    </row>
    <row r="436" spans="19:22" x14ac:dyDescent="0.45">
      <c r="S436" t="s">
        <v>271</v>
      </c>
      <c r="T436" t="s">
        <v>168</v>
      </c>
      <c r="U436">
        <v>1.448630635834283E-2</v>
      </c>
      <c r="V436" t="s">
        <v>163</v>
      </c>
    </row>
    <row r="437" spans="19:22" x14ac:dyDescent="0.45">
      <c r="S437" t="s">
        <v>271</v>
      </c>
      <c r="T437" t="s">
        <v>169</v>
      </c>
      <c r="U437">
        <v>1.0042303279384733E-2</v>
      </c>
      <c r="V437" t="s">
        <v>163</v>
      </c>
    </row>
    <row r="438" spans="19:22" x14ac:dyDescent="0.45">
      <c r="S438" t="s">
        <v>271</v>
      </c>
      <c r="T438" t="s">
        <v>170</v>
      </c>
      <c r="U438">
        <v>1.1377612971429507E-2</v>
      </c>
      <c r="V438" t="s">
        <v>163</v>
      </c>
    </row>
    <row r="439" spans="19:22" x14ac:dyDescent="0.45">
      <c r="S439" t="s">
        <v>271</v>
      </c>
      <c r="T439" t="s">
        <v>171</v>
      </c>
      <c r="U439">
        <v>6.5962384546945311E-3</v>
      </c>
      <c r="V439" t="s">
        <v>163</v>
      </c>
    </row>
    <row r="440" spans="19:22" x14ac:dyDescent="0.45">
      <c r="S440" t="s">
        <v>271</v>
      </c>
      <c r="T440" t="s">
        <v>172</v>
      </c>
      <c r="U440">
        <v>0.18469051577747359</v>
      </c>
      <c r="V440" t="s">
        <v>163</v>
      </c>
    </row>
    <row r="441" spans="19:22" x14ac:dyDescent="0.45">
      <c r="S441" t="s">
        <v>271</v>
      </c>
      <c r="T441" t="s">
        <v>173</v>
      </c>
      <c r="U441">
        <v>0.23337176920367553</v>
      </c>
      <c r="V441" t="s">
        <v>163</v>
      </c>
    </row>
    <row r="442" spans="19:22" x14ac:dyDescent="0.45">
      <c r="S442" t="s">
        <v>271</v>
      </c>
      <c r="T442" t="s">
        <v>174</v>
      </c>
      <c r="U442">
        <v>0.14038837782114275</v>
      </c>
      <c r="V442" t="s">
        <v>163</v>
      </c>
    </row>
    <row r="443" spans="19:22" x14ac:dyDescent="0.45">
      <c r="S443" t="s">
        <v>272</v>
      </c>
      <c r="T443" t="s">
        <v>162</v>
      </c>
      <c r="U443">
        <v>0.13215579897997085</v>
      </c>
      <c r="V443" t="s">
        <v>163</v>
      </c>
    </row>
    <row r="444" spans="19:22" x14ac:dyDescent="0.45">
      <c r="S444" t="s">
        <v>272</v>
      </c>
      <c r="T444" t="s">
        <v>164</v>
      </c>
      <c r="U444">
        <v>0.15845938542612012</v>
      </c>
      <c r="V444" t="s">
        <v>163</v>
      </c>
    </row>
    <row r="445" spans="19:22" x14ac:dyDescent="0.45">
      <c r="S445" t="s">
        <v>272</v>
      </c>
      <c r="T445" t="s">
        <v>165</v>
      </c>
      <c r="U445">
        <v>9.2758377684374158E-2</v>
      </c>
      <c r="V445" t="s">
        <v>163</v>
      </c>
    </row>
    <row r="446" spans="19:22" x14ac:dyDescent="0.45">
      <c r="S446" t="s">
        <v>272</v>
      </c>
      <c r="T446" t="s">
        <v>166</v>
      </c>
      <c r="U446">
        <v>2.0365217767027405E-2</v>
      </c>
      <c r="V446" t="s">
        <v>163</v>
      </c>
    </row>
    <row r="447" spans="19:22" x14ac:dyDescent="0.45">
      <c r="S447" t="s">
        <v>272</v>
      </c>
      <c r="T447" t="s">
        <v>167</v>
      </c>
      <c r="U447">
        <v>2.5296685329586923E-2</v>
      </c>
      <c r="V447" t="s">
        <v>163</v>
      </c>
    </row>
    <row r="448" spans="19:22" x14ac:dyDescent="0.45">
      <c r="S448" t="s">
        <v>272</v>
      </c>
      <c r="T448" t="s">
        <v>168</v>
      </c>
      <c r="U448">
        <v>1.3832528741393558E-2</v>
      </c>
      <c r="V448" t="s">
        <v>163</v>
      </c>
    </row>
    <row r="449" spans="19:22" x14ac:dyDescent="0.45">
      <c r="S449" t="s">
        <v>272</v>
      </c>
      <c r="T449" t="s">
        <v>169</v>
      </c>
      <c r="U449">
        <v>2.4647352212752733E-2</v>
      </c>
      <c r="V449" t="s">
        <v>163</v>
      </c>
    </row>
    <row r="450" spans="19:22" x14ac:dyDescent="0.45">
      <c r="S450" t="s">
        <v>272</v>
      </c>
      <c r="T450" t="s">
        <v>170</v>
      </c>
      <c r="U450">
        <v>3.04099145603175E-2</v>
      </c>
      <c r="V450" t="s">
        <v>163</v>
      </c>
    </row>
    <row r="451" spans="19:22" x14ac:dyDescent="0.45">
      <c r="S451" t="s">
        <v>272</v>
      </c>
      <c r="T451" t="s">
        <v>171</v>
      </c>
      <c r="U451">
        <v>1.8430302177934944E-2</v>
      </c>
      <c r="V451" t="s">
        <v>163</v>
      </c>
    </row>
    <row r="452" spans="19:22" x14ac:dyDescent="0.45">
      <c r="S452" t="s">
        <v>272</v>
      </c>
      <c r="T452" t="s">
        <v>172</v>
      </c>
      <c r="U452">
        <v>0.16180714545460184</v>
      </c>
      <c r="V452" t="s">
        <v>163</v>
      </c>
    </row>
    <row r="453" spans="19:22" x14ac:dyDescent="0.45">
      <c r="S453" t="s">
        <v>272</v>
      </c>
      <c r="T453" t="s">
        <v>173</v>
      </c>
      <c r="U453">
        <v>0.20135615503879198</v>
      </c>
      <c r="V453" t="s">
        <v>163</v>
      </c>
    </row>
    <row r="454" spans="19:22" x14ac:dyDescent="0.45">
      <c r="S454" t="s">
        <v>272</v>
      </c>
      <c r="T454" t="s">
        <v>174</v>
      </c>
      <c r="U454">
        <v>0.12048113662713084</v>
      </c>
      <c r="V454" t="s">
        <v>163</v>
      </c>
    </row>
    <row r="455" spans="19:22" x14ac:dyDescent="0.45">
      <c r="S455" t="s">
        <v>273</v>
      </c>
      <c r="T455" t="s">
        <v>162</v>
      </c>
      <c r="U455">
        <v>0.13227790609551784</v>
      </c>
      <c r="V455" t="s">
        <v>163</v>
      </c>
    </row>
    <row r="456" spans="19:22" x14ac:dyDescent="0.45">
      <c r="S456" t="s">
        <v>273</v>
      </c>
      <c r="T456" t="s">
        <v>164</v>
      </c>
      <c r="U456">
        <v>0.15366746245289936</v>
      </c>
      <c r="V456" t="s">
        <v>163</v>
      </c>
    </row>
    <row r="457" spans="19:22" x14ac:dyDescent="0.45">
      <c r="S457" t="s">
        <v>273</v>
      </c>
      <c r="T457" t="s">
        <v>165</v>
      </c>
      <c r="U457">
        <v>9.0633375320325865E-2</v>
      </c>
      <c r="V457" t="s">
        <v>163</v>
      </c>
    </row>
    <row r="458" spans="19:22" x14ac:dyDescent="0.45">
      <c r="S458" t="s">
        <v>273</v>
      </c>
      <c r="T458" t="s">
        <v>166</v>
      </c>
      <c r="U458">
        <v>2.0738191181249085E-2</v>
      </c>
      <c r="V458" t="s">
        <v>163</v>
      </c>
    </row>
    <row r="459" spans="19:22" x14ac:dyDescent="0.45">
      <c r="S459" t="s">
        <v>273</v>
      </c>
      <c r="T459" t="s">
        <v>167</v>
      </c>
      <c r="U459">
        <v>2.6983964681648293E-2</v>
      </c>
      <c r="V459" t="s">
        <v>163</v>
      </c>
    </row>
    <row r="460" spans="19:22" x14ac:dyDescent="0.45">
      <c r="S460" t="s">
        <v>273</v>
      </c>
      <c r="T460" t="s">
        <v>168</v>
      </c>
      <c r="U460">
        <v>1.450783801350131E-2</v>
      </c>
      <c r="V460" t="s">
        <v>163</v>
      </c>
    </row>
    <row r="461" spans="19:22" x14ac:dyDescent="0.45">
      <c r="S461" t="s">
        <v>273</v>
      </c>
      <c r="T461" t="s">
        <v>169</v>
      </c>
      <c r="U461">
        <v>3.1538229095822462E-2</v>
      </c>
      <c r="V461" t="s">
        <v>163</v>
      </c>
    </row>
    <row r="462" spans="19:22" x14ac:dyDescent="0.45">
      <c r="S462" t="s">
        <v>273</v>
      </c>
      <c r="T462" t="s">
        <v>170</v>
      </c>
      <c r="U462">
        <v>4.0875394578420328E-2</v>
      </c>
      <c r="V462" t="s">
        <v>163</v>
      </c>
    </row>
    <row r="463" spans="19:22" x14ac:dyDescent="0.45">
      <c r="S463" t="s">
        <v>273</v>
      </c>
      <c r="T463" t="s">
        <v>171</v>
      </c>
      <c r="U463">
        <v>2.3419615470225044E-2</v>
      </c>
      <c r="V463" t="s">
        <v>163</v>
      </c>
    </row>
    <row r="464" spans="19:22" x14ac:dyDescent="0.45">
      <c r="S464" t="s">
        <v>273</v>
      </c>
      <c r="T464" t="s">
        <v>172</v>
      </c>
      <c r="U464">
        <v>0.158577944500675</v>
      </c>
      <c r="V464" t="s">
        <v>163</v>
      </c>
    </row>
    <row r="465" spans="19:22" x14ac:dyDescent="0.45">
      <c r="S465" t="s">
        <v>273</v>
      </c>
      <c r="T465" t="s">
        <v>173</v>
      </c>
      <c r="U465">
        <v>0.19220851486539198</v>
      </c>
      <c r="V465" t="s">
        <v>163</v>
      </c>
    </row>
    <row r="466" spans="19:22" x14ac:dyDescent="0.45">
      <c r="S466" t="s">
        <v>273</v>
      </c>
      <c r="T466" t="s">
        <v>174</v>
      </c>
      <c r="U466">
        <v>0.11457156374432771</v>
      </c>
      <c r="V466" t="s">
        <v>163</v>
      </c>
    </row>
    <row r="467" spans="19:22" x14ac:dyDescent="0.45">
      <c r="S467" t="s">
        <v>274</v>
      </c>
      <c r="T467" t="s">
        <v>162</v>
      </c>
      <c r="U467">
        <v>0.12759106510199175</v>
      </c>
      <c r="V467" t="s">
        <v>163</v>
      </c>
    </row>
    <row r="468" spans="19:22" x14ac:dyDescent="0.45">
      <c r="S468" t="s">
        <v>274</v>
      </c>
      <c r="T468" t="s">
        <v>164</v>
      </c>
      <c r="U468">
        <v>0.15651650758597205</v>
      </c>
      <c r="V468" t="s">
        <v>163</v>
      </c>
    </row>
    <row r="469" spans="19:22" x14ac:dyDescent="0.45">
      <c r="S469" t="s">
        <v>274</v>
      </c>
      <c r="T469" t="s">
        <v>165</v>
      </c>
      <c r="U469">
        <v>9.3632630260819777E-2</v>
      </c>
      <c r="V469" t="s">
        <v>163</v>
      </c>
    </row>
    <row r="470" spans="19:22" x14ac:dyDescent="0.45">
      <c r="S470" t="s">
        <v>274</v>
      </c>
      <c r="T470" t="s">
        <v>166</v>
      </c>
      <c r="U470">
        <v>1.9067752420269802E-2</v>
      </c>
      <c r="V470" t="s">
        <v>163</v>
      </c>
    </row>
    <row r="471" spans="19:22" x14ac:dyDescent="0.45">
      <c r="S471" t="s">
        <v>274</v>
      </c>
      <c r="T471" t="s">
        <v>167</v>
      </c>
      <c r="U471">
        <v>2.3152249661253427E-2</v>
      </c>
      <c r="V471" t="s">
        <v>163</v>
      </c>
    </row>
    <row r="472" spans="19:22" x14ac:dyDescent="0.45">
      <c r="S472" t="s">
        <v>274</v>
      </c>
      <c r="T472" t="s">
        <v>168</v>
      </c>
      <c r="U472">
        <v>1.4488671607785887E-2</v>
      </c>
      <c r="V472" t="s">
        <v>163</v>
      </c>
    </row>
    <row r="473" spans="19:22" x14ac:dyDescent="0.45">
      <c r="S473" t="s">
        <v>274</v>
      </c>
      <c r="T473" t="s">
        <v>169</v>
      </c>
      <c r="U473">
        <v>2.1166256684742694E-2</v>
      </c>
      <c r="V473" t="s">
        <v>163</v>
      </c>
    </row>
    <row r="474" spans="19:22" x14ac:dyDescent="0.45">
      <c r="S474" t="s">
        <v>274</v>
      </c>
      <c r="T474" t="s">
        <v>170</v>
      </c>
      <c r="U474">
        <v>2.5474598038805623E-2</v>
      </c>
      <c r="V474" t="s">
        <v>163</v>
      </c>
    </row>
    <row r="475" spans="19:22" x14ac:dyDescent="0.45">
      <c r="S475" t="s">
        <v>274</v>
      </c>
      <c r="T475" t="s">
        <v>171</v>
      </c>
      <c r="U475">
        <v>1.5381588090577002E-2</v>
      </c>
      <c r="V475" t="s">
        <v>163</v>
      </c>
    </row>
    <row r="476" spans="19:22" x14ac:dyDescent="0.45">
      <c r="S476" t="s">
        <v>274</v>
      </c>
      <c r="T476" t="s">
        <v>172</v>
      </c>
      <c r="U476">
        <v>0.16589255967199851</v>
      </c>
      <c r="V476" t="s">
        <v>163</v>
      </c>
    </row>
    <row r="477" spans="19:22" x14ac:dyDescent="0.45">
      <c r="S477" t="s">
        <v>274</v>
      </c>
      <c r="T477" t="s">
        <v>173</v>
      </c>
      <c r="U477">
        <v>0.21255715504715064</v>
      </c>
      <c r="V477" t="s">
        <v>163</v>
      </c>
    </row>
    <row r="478" spans="19:22" x14ac:dyDescent="0.45">
      <c r="S478" t="s">
        <v>274</v>
      </c>
      <c r="T478" t="s">
        <v>174</v>
      </c>
      <c r="U478">
        <v>0.12507896582863348</v>
      </c>
      <c r="V478" t="s">
        <v>163</v>
      </c>
    </row>
    <row r="479" spans="19:22" x14ac:dyDescent="0.45">
      <c r="S479" t="s">
        <v>275</v>
      </c>
      <c r="T479" t="s">
        <v>162</v>
      </c>
      <c r="U479">
        <v>0.14327296704322914</v>
      </c>
      <c r="V479" t="s">
        <v>163</v>
      </c>
    </row>
    <row r="480" spans="19:22" x14ac:dyDescent="0.45">
      <c r="S480" t="s">
        <v>275</v>
      </c>
      <c r="T480" t="s">
        <v>164</v>
      </c>
      <c r="U480">
        <v>0.1619440531618318</v>
      </c>
      <c r="V480" t="s">
        <v>163</v>
      </c>
    </row>
    <row r="481" spans="19:22" x14ac:dyDescent="0.45">
      <c r="S481" t="s">
        <v>275</v>
      </c>
      <c r="T481" t="s">
        <v>165</v>
      </c>
      <c r="U481">
        <v>0.10278762022691958</v>
      </c>
      <c r="V481" t="s">
        <v>163</v>
      </c>
    </row>
    <row r="482" spans="19:22" x14ac:dyDescent="0.45">
      <c r="S482" t="s">
        <v>275</v>
      </c>
      <c r="T482" t="s">
        <v>166</v>
      </c>
      <c r="U482">
        <v>2.0491227271695334E-2</v>
      </c>
      <c r="V482" t="s">
        <v>163</v>
      </c>
    </row>
    <row r="483" spans="19:22" x14ac:dyDescent="0.45">
      <c r="S483" t="s">
        <v>275</v>
      </c>
      <c r="T483" t="s">
        <v>167</v>
      </c>
      <c r="U483">
        <v>2.6294205758700236E-2</v>
      </c>
      <c r="V483" t="s">
        <v>163</v>
      </c>
    </row>
    <row r="484" spans="19:22" x14ac:dyDescent="0.45">
      <c r="S484" t="s">
        <v>275</v>
      </c>
      <c r="T484" t="s">
        <v>168</v>
      </c>
      <c r="U484">
        <v>1.5803921675585534E-2</v>
      </c>
      <c r="V484" t="s">
        <v>163</v>
      </c>
    </row>
    <row r="485" spans="19:22" x14ac:dyDescent="0.45">
      <c r="S485" t="s">
        <v>275</v>
      </c>
      <c r="T485" t="s">
        <v>169</v>
      </c>
      <c r="U485">
        <v>1.6635590959699572E-2</v>
      </c>
      <c r="V485" t="s">
        <v>163</v>
      </c>
    </row>
    <row r="486" spans="19:22" x14ac:dyDescent="0.45">
      <c r="S486" t="s">
        <v>275</v>
      </c>
      <c r="T486" t="s">
        <v>170</v>
      </c>
      <c r="U486">
        <v>2.2104075252854651E-2</v>
      </c>
      <c r="V486" t="s">
        <v>163</v>
      </c>
    </row>
    <row r="487" spans="19:22" x14ac:dyDescent="0.45">
      <c r="S487" t="s">
        <v>275</v>
      </c>
      <c r="T487" t="s">
        <v>171</v>
      </c>
      <c r="U487">
        <v>1.3523323944971553E-2</v>
      </c>
      <c r="V487" t="s">
        <v>163</v>
      </c>
    </row>
    <row r="488" spans="19:22" x14ac:dyDescent="0.45">
      <c r="S488" t="s">
        <v>275</v>
      </c>
      <c r="T488" t="s">
        <v>172</v>
      </c>
      <c r="U488">
        <v>0.15707380878483282</v>
      </c>
      <c r="V488" t="s">
        <v>163</v>
      </c>
    </row>
    <row r="489" spans="19:22" x14ac:dyDescent="0.45">
      <c r="S489" t="s">
        <v>275</v>
      </c>
      <c r="T489" t="s">
        <v>173</v>
      </c>
      <c r="U489">
        <v>0.19570619434423442</v>
      </c>
      <c r="V489" t="s">
        <v>163</v>
      </c>
    </row>
    <row r="490" spans="19:22" x14ac:dyDescent="0.45">
      <c r="S490" t="s">
        <v>275</v>
      </c>
      <c r="T490" t="s">
        <v>174</v>
      </c>
      <c r="U490">
        <v>0.12436301157544513</v>
      </c>
      <c r="V490" t="s">
        <v>163</v>
      </c>
    </row>
    <row r="491" spans="19:22" x14ac:dyDescent="0.45">
      <c r="S491" t="s">
        <v>276</v>
      </c>
      <c r="T491" t="s">
        <v>162</v>
      </c>
      <c r="U491">
        <v>0.14693409215838302</v>
      </c>
      <c r="V491" t="s">
        <v>163</v>
      </c>
    </row>
    <row r="492" spans="19:22" x14ac:dyDescent="0.45">
      <c r="S492" t="s">
        <v>276</v>
      </c>
      <c r="T492" t="s">
        <v>164</v>
      </c>
      <c r="U492">
        <v>0.17530081685686616</v>
      </c>
      <c r="V492" t="s">
        <v>163</v>
      </c>
    </row>
    <row r="493" spans="19:22" x14ac:dyDescent="0.45">
      <c r="S493" t="s">
        <v>276</v>
      </c>
      <c r="T493" t="s">
        <v>165</v>
      </c>
      <c r="U493">
        <v>0.1057376286437932</v>
      </c>
      <c r="V493" t="s">
        <v>163</v>
      </c>
    </row>
    <row r="494" spans="19:22" x14ac:dyDescent="0.45">
      <c r="S494" t="s">
        <v>276</v>
      </c>
      <c r="T494" t="s">
        <v>166</v>
      </c>
      <c r="U494">
        <v>2.7992513234349804E-2</v>
      </c>
      <c r="V494" t="s">
        <v>163</v>
      </c>
    </row>
    <row r="495" spans="19:22" x14ac:dyDescent="0.45">
      <c r="S495" t="s">
        <v>276</v>
      </c>
      <c r="T495" t="s">
        <v>167</v>
      </c>
      <c r="U495">
        <v>3.4163618978064386E-2</v>
      </c>
      <c r="V495" t="s">
        <v>163</v>
      </c>
    </row>
    <row r="496" spans="19:22" x14ac:dyDescent="0.45">
      <c r="S496" t="s">
        <v>276</v>
      </c>
      <c r="T496" t="s">
        <v>168</v>
      </c>
      <c r="U496">
        <v>2.2257972689345634E-2</v>
      </c>
      <c r="V496" t="s">
        <v>163</v>
      </c>
    </row>
    <row r="497" spans="19:22" x14ac:dyDescent="0.45">
      <c r="S497" t="s">
        <v>276</v>
      </c>
      <c r="T497" t="s">
        <v>169</v>
      </c>
      <c r="U497">
        <v>1.0699777979660218E-2</v>
      </c>
      <c r="V497" t="s">
        <v>163</v>
      </c>
    </row>
    <row r="498" spans="19:22" x14ac:dyDescent="0.45">
      <c r="S498" t="s">
        <v>276</v>
      </c>
      <c r="T498" t="s">
        <v>170</v>
      </c>
      <c r="U498">
        <v>1.5255179723773219E-2</v>
      </c>
      <c r="V498" t="s">
        <v>163</v>
      </c>
    </row>
    <row r="499" spans="19:22" x14ac:dyDescent="0.45">
      <c r="S499" t="s">
        <v>276</v>
      </c>
      <c r="T499" t="s">
        <v>171</v>
      </c>
      <c r="U499">
        <v>8.8070474066889552E-3</v>
      </c>
      <c r="V499" t="s">
        <v>163</v>
      </c>
    </row>
    <row r="500" spans="19:22" x14ac:dyDescent="0.45">
      <c r="S500" t="s">
        <v>276</v>
      </c>
      <c r="T500" t="s">
        <v>172</v>
      </c>
      <c r="U500">
        <v>0.16021843263180646</v>
      </c>
      <c r="V500" t="s">
        <v>163</v>
      </c>
    </row>
    <row r="501" spans="19:22" x14ac:dyDescent="0.45">
      <c r="S501" t="s">
        <v>276</v>
      </c>
      <c r="T501" t="s">
        <v>173</v>
      </c>
      <c r="U501">
        <v>0.17868837253954359</v>
      </c>
      <c r="V501" t="s">
        <v>163</v>
      </c>
    </row>
    <row r="502" spans="19:22" x14ac:dyDescent="0.45">
      <c r="S502" t="s">
        <v>276</v>
      </c>
      <c r="T502" t="s">
        <v>174</v>
      </c>
      <c r="U502">
        <v>0.11394454715772782</v>
      </c>
      <c r="V502" t="s">
        <v>163</v>
      </c>
    </row>
    <row r="503" spans="19:22" x14ac:dyDescent="0.45">
      <c r="S503" t="s">
        <v>277</v>
      </c>
      <c r="T503" t="s">
        <v>162</v>
      </c>
      <c r="U503">
        <v>0.14094621752491251</v>
      </c>
      <c r="V503" t="s">
        <v>163</v>
      </c>
    </row>
    <row r="504" spans="19:22" x14ac:dyDescent="0.45">
      <c r="S504" t="s">
        <v>277</v>
      </c>
      <c r="T504" t="s">
        <v>164</v>
      </c>
      <c r="U504">
        <v>0.18887758862457207</v>
      </c>
      <c r="V504" t="s">
        <v>163</v>
      </c>
    </row>
    <row r="505" spans="19:22" x14ac:dyDescent="0.45">
      <c r="S505" t="s">
        <v>277</v>
      </c>
      <c r="T505" t="s">
        <v>165</v>
      </c>
      <c r="U505">
        <v>0.10544217484559697</v>
      </c>
      <c r="V505" t="s">
        <v>163</v>
      </c>
    </row>
    <row r="506" spans="19:22" x14ac:dyDescent="0.45">
      <c r="S506" t="s">
        <v>277</v>
      </c>
      <c r="T506" t="s">
        <v>166</v>
      </c>
      <c r="U506">
        <v>2.7208804235359041E-2</v>
      </c>
      <c r="V506" t="s">
        <v>163</v>
      </c>
    </row>
    <row r="507" spans="19:22" x14ac:dyDescent="0.45">
      <c r="S507" t="s">
        <v>277</v>
      </c>
      <c r="T507" t="s">
        <v>167</v>
      </c>
      <c r="U507">
        <v>3.9009030984237122E-2</v>
      </c>
      <c r="V507" t="s">
        <v>163</v>
      </c>
    </row>
    <row r="508" spans="19:22" x14ac:dyDescent="0.45">
      <c r="S508" t="s">
        <v>277</v>
      </c>
      <c r="T508" t="s">
        <v>168</v>
      </c>
      <c r="U508">
        <v>2.0242421645184094E-2</v>
      </c>
      <c r="V508" t="s">
        <v>163</v>
      </c>
    </row>
    <row r="509" spans="19:22" x14ac:dyDescent="0.45">
      <c r="S509" t="s">
        <v>277</v>
      </c>
      <c r="T509" t="s">
        <v>169</v>
      </c>
      <c r="U509">
        <v>7.7656469240271666E-3</v>
      </c>
      <c r="V509" t="s">
        <v>163</v>
      </c>
    </row>
    <row r="510" spans="19:22" x14ac:dyDescent="0.45">
      <c r="S510" t="s">
        <v>277</v>
      </c>
      <c r="T510" t="s">
        <v>170</v>
      </c>
      <c r="U510">
        <v>1.5531943301502295E-2</v>
      </c>
      <c r="V510" t="s">
        <v>163</v>
      </c>
    </row>
    <row r="511" spans="19:22" x14ac:dyDescent="0.45">
      <c r="S511" t="s">
        <v>277</v>
      </c>
      <c r="T511" t="s">
        <v>171</v>
      </c>
      <c r="U511">
        <v>7.9588396792128618E-3</v>
      </c>
      <c r="V511" t="s">
        <v>163</v>
      </c>
    </row>
    <row r="512" spans="19:22" x14ac:dyDescent="0.45">
      <c r="S512" t="s">
        <v>277</v>
      </c>
      <c r="T512" t="s">
        <v>172</v>
      </c>
      <c r="U512">
        <v>0.15094916651423923</v>
      </c>
      <c r="V512" t="s">
        <v>163</v>
      </c>
    </row>
    <row r="513" spans="19:22" x14ac:dyDescent="0.45">
      <c r="S513" t="s">
        <v>277</v>
      </c>
      <c r="T513" t="s">
        <v>173</v>
      </c>
      <c r="U513">
        <v>0.18008939674093463</v>
      </c>
      <c r="V513" t="s">
        <v>163</v>
      </c>
    </row>
    <row r="514" spans="19:22" x14ac:dyDescent="0.45">
      <c r="S514" t="s">
        <v>277</v>
      </c>
      <c r="T514" t="s">
        <v>174</v>
      </c>
      <c r="U514">
        <v>0.11597876898022282</v>
      </c>
      <c r="V514" t="s">
        <v>163</v>
      </c>
    </row>
    <row r="515" spans="19:22" x14ac:dyDescent="0.45">
      <c r="S515" t="s">
        <v>278</v>
      </c>
      <c r="T515" t="s">
        <v>162</v>
      </c>
      <c r="U515">
        <v>0.15563451820595625</v>
      </c>
      <c r="V515" t="s">
        <v>163</v>
      </c>
    </row>
    <row r="516" spans="19:22" x14ac:dyDescent="0.45">
      <c r="S516" t="s">
        <v>278</v>
      </c>
      <c r="T516" t="s">
        <v>164</v>
      </c>
      <c r="U516">
        <v>0.1705554655940735</v>
      </c>
      <c r="V516" t="s">
        <v>163</v>
      </c>
    </row>
    <row r="517" spans="19:22" x14ac:dyDescent="0.45">
      <c r="S517" t="s">
        <v>278</v>
      </c>
      <c r="T517" t="s">
        <v>165</v>
      </c>
      <c r="U517">
        <v>0.10880480056802909</v>
      </c>
      <c r="V517" t="s">
        <v>163</v>
      </c>
    </row>
    <row r="518" spans="19:22" x14ac:dyDescent="0.45">
      <c r="S518" t="s">
        <v>278</v>
      </c>
      <c r="T518" t="s">
        <v>166</v>
      </c>
      <c r="U518">
        <v>2.3447737966816897E-2</v>
      </c>
      <c r="V518" t="s">
        <v>163</v>
      </c>
    </row>
    <row r="519" spans="19:22" x14ac:dyDescent="0.45">
      <c r="S519" t="s">
        <v>278</v>
      </c>
      <c r="T519" t="s">
        <v>167</v>
      </c>
      <c r="U519">
        <v>3.2002823852384628E-2</v>
      </c>
      <c r="V519" t="s">
        <v>163</v>
      </c>
    </row>
    <row r="520" spans="19:22" x14ac:dyDescent="0.45">
      <c r="S520" t="s">
        <v>278</v>
      </c>
      <c r="T520" t="s">
        <v>168</v>
      </c>
      <c r="U520">
        <v>2.1801998450889096E-2</v>
      </c>
      <c r="V520" t="s">
        <v>163</v>
      </c>
    </row>
    <row r="521" spans="19:22" x14ac:dyDescent="0.45">
      <c r="S521" t="s">
        <v>278</v>
      </c>
      <c r="T521" t="s">
        <v>169</v>
      </c>
      <c r="U521">
        <v>1.3921119318741954E-2</v>
      </c>
      <c r="V521" t="s">
        <v>163</v>
      </c>
    </row>
    <row r="522" spans="19:22" x14ac:dyDescent="0.45">
      <c r="S522" t="s">
        <v>278</v>
      </c>
      <c r="T522" t="s">
        <v>170</v>
      </c>
      <c r="U522">
        <v>1.9202127872388095E-2</v>
      </c>
      <c r="V522" t="s">
        <v>163</v>
      </c>
    </row>
    <row r="523" spans="19:22" x14ac:dyDescent="0.45">
      <c r="S523" t="s">
        <v>278</v>
      </c>
      <c r="T523" t="s">
        <v>171</v>
      </c>
      <c r="U523">
        <v>1.1839722966595294E-2</v>
      </c>
      <c r="V523" t="s">
        <v>163</v>
      </c>
    </row>
    <row r="524" spans="19:22" x14ac:dyDescent="0.45">
      <c r="S524" t="s">
        <v>278</v>
      </c>
      <c r="T524" t="s">
        <v>172</v>
      </c>
      <c r="U524">
        <v>0.15355890776177372</v>
      </c>
      <c r="V524" t="s">
        <v>163</v>
      </c>
    </row>
    <row r="525" spans="19:22" x14ac:dyDescent="0.45">
      <c r="S525" t="s">
        <v>278</v>
      </c>
      <c r="T525" t="s">
        <v>173</v>
      </c>
      <c r="U525">
        <v>0.17379762901063375</v>
      </c>
      <c r="V525" t="s">
        <v>163</v>
      </c>
    </row>
    <row r="526" spans="19:22" x14ac:dyDescent="0.45">
      <c r="S526" t="s">
        <v>278</v>
      </c>
      <c r="T526" t="s">
        <v>174</v>
      </c>
      <c r="U526">
        <v>0.11543314843171673</v>
      </c>
      <c r="V526" t="s">
        <v>163</v>
      </c>
    </row>
    <row r="527" spans="19:22" x14ac:dyDescent="0.45">
      <c r="S527" t="s">
        <v>279</v>
      </c>
      <c r="T527" t="s">
        <v>162</v>
      </c>
      <c r="U527">
        <v>0.1448581933625557</v>
      </c>
      <c r="V527" t="s">
        <v>163</v>
      </c>
    </row>
    <row r="528" spans="19:22" x14ac:dyDescent="0.45">
      <c r="S528" t="s">
        <v>279</v>
      </c>
      <c r="T528" t="s">
        <v>164</v>
      </c>
      <c r="U528">
        <v>0.15761936827679518</v>
      </c>
      <c r="V528" t="s">
        <v>163</v>
      </c>
    </row>
    <row r="529" spans="19:22" x14ac:dyDescent="0.45">
      <c r="S529" t="s">
        <v>279</v>
      </c>
      <c r="T529" t="s">
        <v>165</v>
      </c>
      <c r="U529">
        <v>0.10171641637679887</v>
      </c>
      <c r="V529" t="s">
        <v>163</v>
      </c>
    </row>
    <row r="530" spans="19:22" x14ac:dyDescent="0.45">
      <c r="S530" t="s">
        <v>279</v>
      </c>
      <c r="T530" t="s">
        <v>166</v>
      </c>
      <c r="U530">
        <v>2.2024006153536023E-2</v>
      </c>
      <c r="V530" t="s">
        <v>163</v>
      </c>
    </row>
    <row r="531" spans="19:22" x14ac:dyDescent="0.45">
      <c r="S531" t="s">
        <v>279</v>
      </c>
      <c r="T531" t="s">
        <v>167</v>
      </c>
      <c r="U531">
        <v>2.6628406450388813E-2</v>
      </c>
      <c r="V531" t="s">
        <v>163</v>
      </c>
    </row>
    <row r="532" spans="19:22" x14ac:dyDescent="0.45">
      <c r="S532" t="s">
        <v>279</v>
      </c>
      <c r="T532" t="s">
        <v>168</v>
      </c>
      <c r="U532">
        <v>1.848460807158538E-2</v>
      </c>
      <c r="V532" t="s">
        <v>163</v>
      </c>
    </row>
    <row r="533" spans="19:22" x14ac:dyDescent="0.45">
      <c r="S533" t="s">
        <v>279</v>
      </c>
      <c r="T533" t="s">
        <v>169</v>
      </c>
      <c r="U533">
        <v>2.0692851368218829E-2</v>
      </c>
      <c r="V533" t="s">
        <v>163</v>
      </c>
    </row>
    <row r="534" spans="19:22" x14ac:dyDescent="0.45">
      <c r="S534" t="s">
        <v>279</v>
      </c>
      <c r="T534" t="s">
        <v>170</v>
      </c>
      <c r="U534">
        <v>2.3395842449282604E-2</v>
      </c>
      <c r="V534" t="s">
        <v>163</v>
      </c>
    </row>
    <row r="535" spans="19:22" x14ac:dyDescent="0.45">
      <c r="S535" t="s">
        <v>279</v>
      </c>
      <c r="T535" t="s">
        <v>171</v>
      </c>
      <c r="U535">
        <v>1.5782038276177728E-2</v>
      </c>
      <c r="V535" t="s">
        <v>163</v>
      </c>
    </row>
    <row r="536" spans="19:22" x14ac:dyDescent="0.45">
      <c r="S536" t="s">
        <v>279</v>
      </c>
      <c r="T536" t="s">
        <v>172</v>
      </c>
      <c r="U536">
        <v>0.16143267643781112</v>
      </c>
      <c r="V536" t="s">
        <v>163</v>
      </c>
    </row>
    <row r="537" spans="19:22" x14ac:dyDescent="0.45">
      <c r="S537" t="s">
        <v>279</v>
      </c>
      <c r="T537" t="s">
        <v>173</v>
      </c>
      <c r="U537">
        <v>0.1866756752465055</v>
      </c>
      <c r="V537" t="s">
        <v>163</v>
      </c>
    </row>
    <row r="538" spans="19:22" x14ac:dyDescent="0.45">
      <c r="S538" t="s">
        <v>279</v>
      </c>
      <c r="T538" t="s">
        <v>174</v>
      </c>
      <c r="U538">
        <v>0.12068991753034522</v>
      </c>
      <c r="V538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87F5-2F84-4C79-B78D-D6065275608A}">
  <dimension ref="A9:AN18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123</v>
      </c>
      <c r="K10" t="s">
        <v>160</v>
      </c>
      <c r="L10" t="s">
        <v>30</v>
      </c>
      <c r="N10" t="s">
        <v>13</v>
      </c>
      <c r="O10" t="s">
        <v>123</v>
      </c>
      <c r="P10" t="s">
        <v>160</v>
      </c>
      <c r="Q10" t="s">
        <v>30</v>
      </c>
      <c r="S10" t="s">
        <v>13</v>
      </c>
      <c r="T10" t="s">
        <v>123</v>
      </c>
      <c r="U10" t="s">
        <v>160</v>
      </c>
      <c r="V10" t="s">
        <v>30</v>
      </c>
      <c r="X10" t="s">
        <v>280</v>
      </c>
      <c r="Y10" t="s">
        <v>160</v>
      </c>
      <c r="Z10" t="s">
        <v>123</v>
      </c>
      <c r="AA10" t="s">
        <v>13</v>
      </c>
      <c r="AC10" t="s">
        <v>13</v>
      </c>
      <c r="AD10" t="s">
        <v>123</v>
      </c>
      <c r="AE10" t="s">
        <v>160</v>
      </c>
      <c r="AG10" t="s">
        <v>13</v>
      </c>
      <c r="AH10" t="s">
        <v>123</v>
      </c>
      <c r="AI10" t="s">
        <v>286</v>
      </c>
      <c r="AK10" t="s">
        <v>47</v>
      </c>
      <c r="AL10" t="s">
        <v>123</v>
      </c>
      <c r="AM10" t="s">
        <v>287</v>
      </c>
      <c r="AN10" t="s">
        <v>288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290</v>
      </c>
      <c r="G11" t="s">
        <v>152</v>
      </c>
      <c r="I11" t="s">
        <v>161</v>
      </c>
      <c r="J11" t="s">
        <v>162</v>
      </c>
      <c r="K11">
        <v>1.3401002083383616E-2</v>
      </c>
      <c r="L11" t="s">
        <v>163</v>
      </c>
      <c r="N11" t="s">
        <v>205</v>
      </c>
      <c r="O11" t="s">
        <v>162</v>
      </c>
      <c r="P11">
        <v>0.11606976862334042</v>
      </c>
      <c r="Q11" t="s">
        <v>163</v>
      </c>
      <c r="S11" t="s">
        <v>236</v>
      </c>
      <c r="T11" t="s">
        <v>162</v>
      </c>
      <c r="U11">
        <v>0.11585268519952914</v>
      </c>
      <c r="V11" t="s">
        <v>163</v>
      </c>
      <c r="X11">
        <v>0.1095890410958904</v>
      </c>
      <c r="Y11">
        <v>6.0741366879645972E-2</v>
      </c>
      <c r="Z11" t="s">
        <v>162</v>
      </c>
      <c r="AA11" t="s">
        <v>25</v>
      </c>
      <c r="AC11" t="s">
        <v>22</v>
      </c>
      <c r="AD11" t="s">
        <v>162</v>
      </c>
      <c r="AE11">
        <v>0.12841636406893181</v>
      </c>
      <c r="AG11" t="s">
        <v>98</v>
      </c>
      <c r="AH11" t="s">
        <v>162</v>
      </c>
      <c r="AI11">
        <v>0.15936808958089044</v>
      </c>
      <c r="AK11">
        <v>2020</v>
      </c>
      <c r="AL11" t="s">
        <v>151</v>
      </c>
      <c r="AM11">
        <v>0.2986852335423717</v>
      </c>
      <c r="AN11" t="s">
        <v>289</v>
      </c>
    </row>
    <row r="12" spans="1:40" x14ac:dyDescent="0.45">
      <c r="C12" t="s">
        <v>155</v>
      </c>
      <c r="E12" t="s">
        <v>156</v>
      </c>
      <c r="G12" t="s">
        <v>152</v>
      </c>
      <c r="I12" t="s">
        <v>161</v>
      </c>
      <c r="J12" t="s">
        <v>164</v>
      </c>
      <c r="K12">
        <v>5.3162832030571018E-2</v>
      </c>
      <c r="L12" t="s">
        <v>163</v>
      </c>
      <c r="N12" t="s">
        <v>205</v>
      </c>
      <c r="O12" t="s">
        <v>164</v>
      </c>
      <c r="P12">
        <v>2.7060585419214411E-2</v>
      </c>
      <c r="Q12" t="s">
        <v>163</v>
      </c>
      <c r="S12" t="s">
        <v>236</v>
      </c>
      <c r="T12" t="s">
        <v>164</v>
      </c>
      <c r="U12">
        <v>2.8100658986349728E-2</v>
      </c>
      <c r="V12" t="s">
        <v>163</v>
      </c>
      <c r="X12">
        <v>2.7397260273972601E-2</v>
      </c>
      <c r="Y12">
        <v>3.4845735027223247E-2</v>
      </c>
      <c r="Z12" t="s">
        <v>164</v>
      </c>
      <c r="AA12" t="s">
        <v>25</v>
      </c>
      <c r="AC12" t="s">
        <v>22</v>
      </c>
      <c r="AD12" t="s">
        <v>164</v>
      </c>
      <c r="AE12">
        <v>3.3764607767237997E-2</v>
      </c>
      <c r="AG12" t="s">
        <v>98</v>
      </c>
      <c r="AH12" t="s">
        <v>164</v>
      </c>
      <c r="AI12">
        <v>0.14793086726438132</v>
      </c>
      <c r="AK12">
        <v>2020</v>
      </c>
      <c r="AL12" t="s">
        <v>155</v>
      </c>
      <c r="AM12">
        <v>0.36444123468678119</v>
      </c>
      <c r="AN12" t="s">
        <v>289</v>
      </c>
    </row>
    <row r="13" spans="1:40" x14ac:dyDescent="0.45">
      <c r="C13" t="s">
        <v>157</v>
      </c>
      <c r="E13" t="s">
        <v>158</v>
      </c>
      <c r="G13" t="s">
        <v>152</v>
      </c>
      <c r="I13" t="s">
        <v>161</v>
      </c>
      <c r="J13" t="s">
        <v>165</v>
      </c>
      <c r="K13">
        <v>0.11241127905964435</v>
      </c>
      <c r="L13" t="s">
        <v>163</v>
      </c>
      <c r="N13" t="s">
        <v>205</v>
      </c>
      <c r="O13" t="s">
        <v>165</v>
      </c>
      <c r="P13">
        <v>4.0725405373070532E-2</v>
      </c>
      <c r="Q13" t="s">
        <v>163</v>
      </c>
      <c r="S13" t="s">
        <v>236</v>
      </c>
      <c r="T13" t="s">
        <v>165</v>
      </c>
      <c r="U13">
        <v>4.1005883499314139E-2</v>
      </c>
      <c r="V13" t="s">
        <v>163</v>
      </c>
      <c r="X13">
        <v>4.1095890410958902E-2</v>
      </c>
      <c r="Y13">
        <v>5.0876364269199219E-2</v>
      </c>
      <c r="Z13" t="s">
        <v>165</v>
      </c>
      <c r="AA13" t="s">
        <v>25</v>
      </c>
      <c r="AC13" t="s">
        <v>22</v>
      </c>
      <c r="AD13" t="s">
        <v>165</v>
      </c>
      <c r="AE13">
        <v>4.8735969755163235E-2</v>
      </c>
      <c r="AG13" t="s">
        <v>98</v>
      </c>
      <c r="AH13" t="s">
        <v>165</v>
      </c>
      <c r="AI13">
        <v>0.16884544534451185</v>
      </c>
      <c r="AK13">
        <v>2020</v>
      </c>
      <c r="AL13" t="s">
        <v>157</v>
      </c>
      <c r="AM13">
        <v>0.37609571191660751</v>
      </c>
      <c r="AN13" t="s">
        <v>289</v>
      </c>
    </row>
    <row r="14" spans="1:40" x14ac:dyDescent="0.45">
      <c r="C14" t="s">
        <v>159</v>
      </c>
      <c r="E14" t="s">
        <v>291</v>
      </c>
      <c r="G14" t="s">
        <v>152</v>
      </c>
      <c r="I14" t="s">
        <v>161</v>
      </c>
      <c r="J14" t="s">
        <v>297</v>
      </c>
      <c r="K14">
        <v>0.15168979752801109</v>
      </c>
      <c r="L14" t="s">
        <v>163</v>
      </c>
      <c r="N14" t="s">
        <v>205</v>
      </c>
      <c r="O14" t="s">
        <v>297</v>
      </c>
      <c r="P14">
        <v>7.3274485130379985E-2</v>
      </c>
      <c r="Q14" t="s">
        <v>163</v>
      </c>
      <c r="S14" t="s">
        <v>236</v>
      </c>
      <c r="T14" t="s">
        <v>297</v>
      </c>
      <c r="U14">
        <v>6.6193113924952182E-2</v>
      </c>
      <c r="V14" t="s">
        <v>163</v>
      </c>
      <c r="X14">
        <v>6.8493150684931503E-2</v>
      </c>
      <c r="Y14">
        <v>0.10990726698655001</v>
      </c>
      <c r="Z14" t="s">
        <v>297</v>
      </c>
      <c r="AA14" t="s">
        <v>25</v>
      </c>
      <c r="AC14" t="s">
        <v>22</v>
      </c>
      <c r="AD14" t="s">
        <v>297</v>
      </c>
      <c r="AE14">
        <v>5.924968844682181E-2</v>
      </c>
      <c r="AG14" t="s">
        <v>98</v>
      </c>
      <c r="AH14" t="s">
        <v>297</v>
      </c>
      <c r="AI14">
        <v>0.20190763066835715</v>
      </c>
      <c r="AK14">
        <v>2020</v>
      </c>
      <c r="AL14" t="s">
        <v>159</v>
      </c>
      <c r="AM14">
        <v>0.41077255810043489</v>
      </c>
      <c r="AN14" t="s">
        <v>289</v>
      </c>
    </row>
    <row r="15" spans="1:40" x14ac:dyDescent="0.45">
      <c r="C15" t="s">
        <v>292</v>
      </c>
      <c r="E15" t="s">
        <v>293</v>
      </c>
      <c r="G15" t="s">
        <v>152</v>
      </c>
      <c r="I15" t="s">
        <v>161</v>
      </c>
      <c r="J15" t="s">
        <v>298</v>
      </c>
      <c r="K15">
        <v>4.905027176583838E-3</v>
      </c>
      <c r="L15" t="s">
        <v>163</v>
      </c>
      <c r="N15" t="s">
        <v>205</v>
      </c>
      <c r="O15" t="s">
        <v>298</v>
      </c>
      <c r="P15">
        <v>1.505211695977275E-2</v>
      </c>
      <c r="Q15" t="s">
        <v>163</v>
      </c>
      <c r="S15" t="s">
        <v>236</v>
      </c>
      <c r="T15" t="s">
        <v>298</v>
      </c>
      <c r="U15">
        <v>1.2707223793598912E-2</v>
      </c>
      <c r="V15" t="s">
        <v>163</v>
      </c>
      <c r="X15">
        <v>1.3698630136986301E-2</v>
      </c>
      <c r="Y15">
        <v>2.0684682892872234E-2</v>
      </c>
      <c r="Z15" t="s">
        <v>298</v>
      </c>
      <c r="AA15" t="s">
        <v>25</v>
      </c>
      <c r="AC15" t="s">
        <v>22</v>
      </c>
      <c r="AD15" t="s">
        <v>298</v>
      </c>
      <c r="AE15">
        <v>1.0234725886715479E-2</v>
      </c>
      <c r="AG15" t="s">
        <v>98</v>
      </c>
      <c r="AH15" t="s">
        <v>298</v>
      </c>
      <c r="AI15">
        <v>0.15306579764692141</v>
      </c>
      <c r="AK15">
        <v>2020</v>
      </c>
      <c r="AL15" t="s">
        <v>292</v>
      </c>
      <c r="AM15">
        <v>0.29070915264945119</v>
      </c>
      <c r="AN15" t="s">
        <v>289</v>
      </c>
    </row>
    <row r="16" spans="1:40" x14ac:dyDescent="0.45">
      <c r="C16" t="s">
        <v>294</v>
      </c>
      <c r="E16" t="s">
        <v>295</v>
      </c>
      <c r="G16" t="s">
        <v>152</v>
      </c>
      <c r="I16" t="s">
        <v>161</v>
      </c>
      <c r="J16" t="s">
        <v>299</v>
      </c>
      <c r="K16">
        <v>0</v>
      </c>
      <c r="L16" t="s">
        <v>163</v>
      </c>
      <c r="N16" t="s">
        <v>205</v>
      </c>
      <c r="O16" t="s">
        <v>299</v>
      </c>
      <c r="P16">
        <v>7.4956470297762035E-2</v>
      </c>
      <c r="Q16" t="s">
        <v>163</v>
      </c>
      <c r="S16" t="s">
        <v>236</v>
      </c>
      <c r="T16" t="s">
        <v>299</v>
      </c>
      <c r="U16">
        <v>7.3256845975861448E-2</v>
      </c>
      <c r="V16" t="s">
        <v>163</v>
      </c>
      <c r="X16">
        <v>6.8493150684931503E-2</v>
      </c>
      <c r="Y16">
        <v>5.1711707232180597E-2</v>
      </c>
      <c r="Z16" t="s">
        <v>299</v>
      </c>
      <c r="AA16" t="s">
        <v>25</v>
      </c>
      <c r="AC16" t="s">
        <v>22</v>
      </c>
      <c r="AD16" t="s">
        <v>299</v>
      </c>
      <c r="AE16">
        <v>6.2842554883093898E-2</v>
      </c>
      <c r="AG16" t="s">
        <v>98</v>
      </c>
      <c r="AH16" t="s">
        <v>299</v>
      </c>
      <c r="AI16">
        <v>0.28209010054140293</v>
      </c>
      <c r="AK16">
        <v>2020</v>
      </c>
      <c r="AL16" t="s">
        <v>294</v>
      </c>
      <c r="AM16">
        <v>0.21426246901692253</v>
      </c>
      <c r="AN16" t="s">
        <v>289</v>
      </c>
    </row>
    <row r="17" spans="3:40" x14ac:dyDescent="0.45">
      <c r="C17" t="s">
        <v>296</v>
      </c>
      <c r="I17" t="s">
        <v>161</v>
      </c>
      <c r="J17" t="s">
        <v>166</v>
      </c>
      <c r="K17">
        <v>7.6791231947047163E-3</v>
      </c>
      <c r="L17" t="s">
        <v>163</v>
      </c>
      <c r="N17" t="s">
        <v>205</v>
      </c>
      <c r="O17" t="s">
        <v>166</v>
      </c>
      <c r="P17">
        <v>2.3027095593679506E-2</v>
      </c>
      <c r="Q17" t="s">
        <v>163</v>
      </c>
      <c r="S17" t="s">
        <v>236</v>
      </c>
      <c r="T17" t="s">
        <v>166</v>
      </c>
      <c r="U17">
        <v>1.581130785959179E-2</v>
      </c>
      <c r="V17" t="s">
        <v>163</v>
      </c>
      <c r="X17">
        <v>2.8310502283105023E-2</v>
      </c>
      <c r="Y17">
        <v>1.5691519777241876E-2</v>
      </c>
      <c r="Z17" t="s">
        <v>166</v>
      </c>
      <c r="AA17" t="s">
        <v>25</v>
      </c>
      <c r="AC17" t="s">
        <v>22</v>
      </c>
      <c r="AD17" t="s">
        <v>166</v>
      </c>
      <c r="AE17">
        <v>2.7083990584680272E-2</v>
      </c>
      <c r="AG17" t="s">
        <v>98</v>
      </c>
      <c r="AH17" t="s">
        <v>166</v>
      </c>
      <c r="AI17">
        <v>5.6460597841943461E-2</v>
      </c>
      <c r="AK17">
        <v>2020</v>
      </c>
      <c r="AL17" t="s">
        <v>296</v>
      </c>
      <c r="AM17">
        <v>0.18819114871112941</v>
      </c>
      <c r="AN17" t="s">
        <v>289</v>
      </c>
    </row>
    <row r="18" spans="3:40" x14ac:dyDescent="0.45">
      <c r="I18" t="s">
        <v>161</v>
      </c>
      <c r="J18" t="s">
        <v>167</v>
      </c>
      <c r="K18">
        <v>1.5779467087164441E-2</v>
      </c>
      <c r="L18" t="s">
        <v>163</v>
      </c>
      <c r="N18" t="s">
        <v>205</v>
      </c>
      <c r="O18" t="s">
        <v>167</v>
      </c>
      <c r="P18">
        <v>5.6429527909766962E-3</v>
      </c>
      <c r="Q18" t="s">
        <v>163</v>
      </c>
      <c r="S18" t="s">
        <v>236</v>
      </c>
      <c r="T18" t="s">
        <v>167</v>
      </c>
      <c r="U18">
        <v>3.5043875103401359E-3</v>
      </c>
      <c r="V18" t="s">
        <v>163</v>
      </c>
      <c r="X18">
        <v>7.0776255707762558E-3</v>
      </c>
      <c r="Y18">
        <v>9.0018148820326695E-3</v>
      </c>
      <c r="Z18" t="s">
        <v>167</v>
      </c>
      <c r="AA18" t="s">
        <v>25</v>
      </c>
      <c r="AC18" t="s">
        <v>22</v>
      </c>
      <c r="AD18" t="s">
        <v>167</v>
      </c>
      <c r="AE18">
        <v>6.8214187959807666E-3</v>
      </c>
      <c r="AG18" t="s">
        <v>98</v>
      </c>
      <c r="AH18" t="s">
        <v>167</v>
      </c>
      <c r="AI18">
        <v>4.3912009993795742E-2</v>
      </c>
      <c r="AK18">
        <v>2021</v>
      </c>
      <c r="AL18" t="s">
        <v>151</v>
      </c>
      <c r="AM18">
        <v>0.27589727322057678</v>
      </c>
      <c r="AN18" t="s">
        <v>289</v>
      </c>
    </row>
    <row r="19" spans="3:40" x14ac:dyDescent="0.45">
      <c r="I19" t="s">
        <v>161</v>
      </c>
      <c r="J19" t="s">
        <v>168</v>
      </c>
      <c r="K19">
        <v>3.2442535338639444E-2</v>
      </c>
      <c r="L19" t="s">
        <v>163</v>
      </c>
      <c r="N19" t="s">
        <v>205</v>
      </c>
      <c r="O19" t="s">
        <v>168</v>
      </c>
      <c r="P19">
        <v>8.4528474395890417E-3</v>
      </c>
      <c r="Q19" t="s">
        <v>163</v>
      </c>
      <c r="S19" t="s">
        <v>236</v>
      </c>
      <c r="T19" t="s">
        <v>168</v>
      </c>
      <c r="U19">
        <v>5.5851519413175951E-3</v>
      </c>
      <c r="V19" t="s">
        <v>163</v>
      </c>
      <c r="X19">
        <v>1.0616438356164383E-2</v>
      </c>
      <c r="Y19">
        <v>1.3143060769543132E-2</v>
      </c>
      <c r="Z19" t="s">
        <v>168</v>
      </c>
      <c r="AA19" t="s">
        <v>25</v>
      </c>
      <c r="AC19" t="s">
        <v>22</v>
      </c>
      <c r="AD19" t="s">
        <v>168</v>
      </c>
      <c r="AE19">
        <v>1.0007482236924494E-2</v>
      </c>
      <c r="AG19" t="s">
        <v>98</v>
      </c>
      <c r="AH19" t="s">
        <v>168</v>
      </c>
      <c r="AI19">
        <v>8.3037686923427056E-2</v>
      </c>
      <c r="AK19">
        <v>2021</v>
      </c>
      <c r="AL19" t="s">
        <v>155</v>
      </c>
      <c r="AM19">
        <v>0.43846562850246529</v>
      </c>
      <c r="AN19" t="s">
        <v>289</v>
      </c>
    </row>
    <row r="20" spans="3:40" x14ac:dyDescent="0.45">
      <c r="I20" t="s">
        <v>161</v>
      </c>
      <c r="J20" t="s">
        <v>300</v>
      </c>
      <c r="K20">
        <v>4.7616262150183213E-2</v>
      </c>
      <c r="L20" t="s">
        <v>163</v>
      </c>
      <c r="N20" t="s">
        <v>205</v>
      </c>
      <c r="O20" t="s">
        <v>300</v>
      </c>
      <c r="P20">
        <v>1.3892121063680107E-2</v>
      </c>
      <c r="Q20" t="s">
        <v>163</v>
      </c>
      <c r="S20" t="s">
        <v>236</v>
      </c>
      <c r="T20" t="s">
        <v>300</v>
      </c>
      <c r="U20">
        <v>9.6566856761035273E-3</v>
      </c>
      <c r="V20" t="s">
        <v>163</v>
      </c>
      <c r="X20">
        <v>1.7694063926940638E-2</v>
      </c>
      <c r="Y20">
        <v>2.8392710638192088E-2</v>
      </c>
      <c r="Z20" t="s">
        <v>300</v>
      </c>
      <c r="AA20" t="s">
        <v>25</v>
      </c>
      <c r="AC20" t="s">
        <v>22</v>
      </c>
      <c r="AD20" t="s">
        <v>300</v>
      </c>
      <c r="AE20">
        <v>1.288731464926767E-2</v>
      </c>
      <c r="AG20" t="s">
        <v>98</v>
      </c>
      <c r="AH20" t="s">
        <v>300</v>
      </c>
      <c r="AI20">
        <v>0.14448876052912807</v>
      </c>
      <c r="AK20">
        <v>2021</v>
      </c>
      <c r="AL20" t="s">
        <v>157</v>
      </c>
      <c r="AM20">
        <v>0.37452073204474479</v>
      </c>
      <c r="AN20" t="s">
        <v>289</v>
      </c>
    </row>
    <row r="21" spans="3:40" x14ac:dyDescent="0.45">
      <c r="I21" t="s">
        <v>161</v>
      </c>
      <c r="J21" t="s">
        <v>301</v>
      </c>
      <c r="K21">
        <v>4.0857147778317459E-3</v>
      </c>
      <c r="L21" t="s">
        <v>163</v>
      </c>
      <c r="N21" t="s">
        <v>205</v>
      </c>
      <c r="O21" t="s">
        <v>301</v>
      </c>
      <c r="P21">
        <v>2.5819600805730273E-3</v>
      </c>
      <c r="Q21" t="s">
        <v>163</v>
      </c>
      <c r="S21" t="s">
        <v>236</v>
      </c>
      <c r="T21" t="s">
        <v>301</v>
      </c>
      <c r="U21">
        <v>1.6316340230029065E-3</v>
      </c>
      <c r="V21" t="s">
        <v>163</v>
      </c>
      <c r="X21">
        <v>3.5388127853881279E-3</v>
      </c>
      <c r="Y21">
        <v>5.3435430806586613E-3</v>
      </c>
      <c r="Z21" t="s">
        <v>301</v>
      </c>
      <c r="AA21" t="s">
        <v>25</v>
      </c>
      <c r="AC21" t="s">
        <v>22</v>
      </c>
      <c r="AD21" t="s">
        <v>301</v>
      </c>
      <c r="AE21">
        <v>2.1579434074304338E-3</v>
      </c>
      <c r="AG21" t="s">
        <v>98</v>
      </c>
      <c r="AH21" t="s">
        <v>301</v>
      </c>
      <c r="AI21">
        <v>3.6797133498605916E-2</v>
      </c>
      <c r="AK21">
        <v>2021</v>
      </c>
      <c r="AL21" t="s">
        <v>159</v>
      </c>
      <c r="AM21">
        <v>0.38682518370610081</v>
      </c>
      <c r="AN21" t="s">
        <v>289</v>
      </c>
    </row>
    <row r="22" spans="3:40" x14ac:dyDescent="0.45">
      <c r="I22" t="s">
        <v>161</v>
      </c>
      <c r="J22" t="s">
        <v>302</v>
      </c>
      <c r="K22">
        <v>1.3438859030441628E-3</v>
      </c>
      <c r="L22" t="s">
        <v>163</v>
      </c>
      <c r="N22" t="s">
        <v>205</v>
      </c>
      <c r="O22" t="s">
        <v>302</v>
      </c>
      <c r="P22">
        <v>1.303278083544851E-2</v>
      </c>
      <c r="Q22" t="s">
        <v>163</v>
      </c>
      <c r="S22" t="s">
        <v>236</v>
      </c>
      <c r="T22" t="s">
        <v>302</v>
      </c>
      <c r="U22">
        <v>9.0232856097791064E-3</v>
      </c>
      <c r="V22" t="s">
        <v>163</v>
      </c>
      <c r="X22">
        <v>1.7694063926940638E-2</v>
      </c>
      <c r="Y22">
        <v>1.3358857701646654E-2</v>
      </c>
      <c r="Z22" t="s">
        <v>302</v>
      </c>
      <c r="AA22" t="s">
        <v>25</v>
      </c>
      <c r="AC22" t="s">
        <v>22</v>
      </c>
      <c r="AD22" t="s">
        <v>302</v>
      </c>
      <c r="AE22">
        <v>1.306861790990156E-2</v>
      </c>
      <c r="AG22" t="s">
        <v>98</v>
      </c>
      <c r="AH22" t="s">
        <v>302</v>
      </c>
      <c r="AI22">
        <v>0.23211858444418709</v>
      </c>
      <c r="AK22">
        <v>2021</v>
      </c>
      <c r="AL22" t="s">
        <v>292</v>
      </c>
      <c r="AM22">
        <v>0.35772164907703857</v>
      </c>
      <c r="AN22" t="s">
        <v>289</v>
      </c>
    </row>
    <row r="23" spans="3:40" x14ac:dyDescent="0.45">
      <c r="I23" t="s">
        <v>161</v>
      </c>
      <c r="J23" t="s">
        <v>169</v>
      </c>
      <c r="K23">
        <v>8.8524329597473774E-3</v>
      </c>
      <c r="L23" t="s">
        <v>163</v>
      </c>
      <c r="N23" t="s">
        <v>205</v>
      </c>
      <c r="O23" t="s">
        <v>169</v>
      </c>
      <c r="P23">
        <v>2.6336283697253361E-2</v>
      </c>
      <c r="Q23" t="s">
        <v>163</v>
      </c>
      <c r="S23" t="s">
        <v>236</v>
      </c>
      <c r="T23" t="s">
        <v>169</v>
      </c>
      <c r="U23">
        <v>2.4124232392420907E-2</v>
      </c>
      <c r="V23" t="s">
        <v>163</v>
      </c>
      <c r="X23">
        <v>2.7397260273972601E-2</v>
      </c>
      <c r="Y23">
        <v>1.5185341719911493E-2</v>
      </c>
      <c r="Z23" t="s">
        <v>169</v>
      </c>
      <c r="AA23" t="s">
        <v>25</v>
      </c>
      <c r="AC23" t="s">
        <v>22</v>
      </c>
      <c r="AD23" t="s">
        <v>169</v>
      </c>
      <c r="AE23">
        <v>2.6923887820315157E-2</v>
      </c>
      <c r="AG23" t="s">
        <v>98</v>
      </c>
      <c r="AH23" t="s">
        <v>169</v>
      </c>
      <c r="AI23">
        <v>0.13543495153322604</v>
      </c>
      <c r="AK23">
        <v>2021</v>
      </c>
      <c r="AL23" t="s">
        <v>294</v>
      </c>
      <c r="AM23">
        <v>0.19081463120434433</v>
      </c>
      <c r="AN23" t="s">
        <v>289</v>
      </c>
    </row>
    <row r="24" spans="3:40" x14ac:dyDescent="0.45">
      <c r="I24" t="s">
        <v>161</v>
      </c>
      <c r="J24" t="s">
        <v>170</v>
      </c>
      <c r="K24">
        <v>1.6533804358192718E-2</v>
      </c>
      <c r="L24" t="s">
        <v>163</v>
      </c>
      <c r="N24" t="s">
        <v>205</v>
      </c>
      <c r="O24" t="s">
        <v>170</v>
      </c>
      <c r="P24">
        <v>6.3601623911248703E-3</v>
      </c>
      <c r="Q24" t="s">
        <v>163</v>
      </c>
      <c r="S24" t="s">
        <v>236</v>
      </c>
      <c r="T24" t="s">
        <v>170</v>
      </c>
      <c r="U24">
        <v>5.2219988324576317E-3</v>
      </c>
      <c r="V24" t="s">
        <v>163</v>
      </c>
      <c r="X24">
        <v>6.8493150684931503E-3</v>
      </c>
      <c r="Y24">
        <v>8.7114337568058101E-3</v>
      </c>
      <c r="Z24" t="s">
        <v>170</v>
      </c>
      <c r="AA24" t="s">
        <v>25</v>
      </c>
      <c r="AC24" t="s">
        <v>22</v>
      </c>
      <c r="AD24" t="s">
        <v>170</v>
      </c>
      <c r="AE24">
        <v>6.712586269447496E-3</v>
      </c>
      <c r="AG24" t="s">
        <v>98</v>
      </c>
      <c r="AH24" t="s">
        <v>170</v>
      </c>
      <c r="AI24">
        <v>0.10762033582623998</v>
      </c>
      <c r="AK24">
        <v>2021</v>
      </c>
      <c r="AL24" t="s">
        <v>296</v>
      </c>
      <c r="AM24">
        <v>0.2543770058487585</v>
      </c>
      <c r="AN24" t="s">
        <v>289</v>
      </c>
    </row>
    <row r="25" spans="3:40" x14ac:dyDescent="0.45">
      <c r="I25" t="s">
        <v>161</v>
      </c>
      <c r="J25" t="s">
        <v>171</v>
      </c>
      <c r="K25">
        <v>3.3763203825089801E-2</v>
      </c>
      <c r="L25" t="s">
        <v>163</v>
      </c>
      <c r="N25" t="s">
        <v>205</v>
      </c>
      <c r="O25" t="s">
        <v>171</v>
      </c>
      <c r="P25">
        <v>1.0070748699386897E-2</v>
      </c>
      <c r="Q25" t="s">
        <v>163</v>
      </c>
      <c r="S25" t="s">
        <v>236</v>
      </c>
      <c r="T25" t="s">
        <v>171</v>
      </c>
      <c r="U25">
        <v>7.9181688418524347E-3</v>
      </c>
      <c r="V25" t="s">
        <v>163</v>
      </c>
      <c r="X25">
        <v>1.0273972602739725E-2</v>
      </c>
      <c r="Y25">
        <v>1.2719091067299805E-2</v>
      </c>
      <c r="Z25" t="s">
        <v>171</v>
      </c>
      <c r="AA25" t="s">
        <v>25</v>
      </c>
      <c r="AC25" t="s">
        <v>22</v>
      </c>
      <c r="AD25" t="s">
        <v>171</v>
      </c>
      <c r="AE25">
        <v>9.6421965343362614E-3</v>
      </c>
      <c r="AG25" t="s">
        <v>98</v>
      </c>
      <c r="AH25" t="s">
        <v>171</v>
      </c>
      <c r="AI25">
        <v>7.1806941952625936E-2</v>
      </c>
      <c r="AK25">
        <v>2022</v>
      </c>
      <c r="AL25" t="s">
        <v>151</v>
      </c>
      <c r="AM25">
        <v>0.25022878059940518</v>
      </c>
      <c r="AN25" t="s">
        <v>289</v>
      </c>
    </row>
    <row r="26" spans="3:40" x14ac:dyDescent="0.45">
      <c r="I26" t="s">
        <v>161</v>
      </c>
      <c r="J26" t="s">
        <v>303</v>
      </c>
      <c r="K26">
        <v>5.1577255456208788E-2</v>
      </c>
      <c r="L26" t="s">
        <v>163</v>
      </c>
      <c r="N26" t="s">
        <v>205</v>
      </c>
      <c r="O26" t="s">
        <v>303</v>
      </c>
      <c r="P26">
        <v>1.7092060658373678E-2</v>
      </c>
      <c r="Q26" t="s">
        <v>163</v>
      </c>
      <c r="S26" t="s">
        <v>236</v>
      </c>
      <c r="T26" t="s">
        <v>303</v>
      </c>
      <c r="U26">
        <v>1.2585966520002259E-2</v>
      </c>
      <c r="V26" t="s">
        <v>163</v>
      </c>
      <c r="X26">
        <v>1.7123287671232876E-2</v>
      </c>
      <c r="Y26">
        <v>2.7476816746637496E-2</v>
      </c>
      <c r="Z26" t="s">
        <v>303</v>
      </c>
      <c r="AA26" t="s">
        <v>25</v>
      </c>
      <c r="AC26" t="s">
        <v>22</v>
      </c>
      <c r="AD26" t="s">
        <v>303</v>
      </c>
      <c r="AE26">
        <v>1.3144911002648852E-2</v>
      </c>
      <c r="AG26" t="s">
        <v>98</v>
      </c>
      <c r="AH26" t="s">
        <v>303</v>
      </c>
      <c r="AI26">
        <v>0.13949659692848981</v>
      </c>
      <c r="AK26">
        <v>2022</v>
      </c>
      <c r="AL26" t="s">
        <v>155</v>
      </c>
      <c r="AM26">
        <v>0.39226340273011517</v>
      </c>
      <c r="AN26" t="s">
        <v>289</v>
      </c>
    </row>
    <row r="27" spans="3:40" x14ac:dyDescent="0.45">
      <c r="I27" t="s">
        <v>161</v>
      </c>
      <c r="J27" t="s">
        <v>304</v>
      </c>
      <c r="K27">
        <v>5.0250819382578844E-3</v>
      </c>
      <c r="L27" t="s">
        <v>163</v>
      </c>
      <c r="N27" t="s">
        <v>205</v>
      </c>
      <c r="O27" t="s">
        <v>304</v>
      </c>
      <c r="P27">
        <v>3.1960457483228176E-3</v>
      </c>
      <c r="Q27" t="s">
        <v>163</v>
      </c>
      <c r="S27" t="s">
        <v>236</v>
      </c>
      <c r="T27" t="s">
        <v>304</v>
      </c>
      <c r="U27">
        <v>2.1388439034379612E-3</v>
      </c>
      <c r="V27" t="s">
        <v>163</v>
      </c>
      <c r="X27">
        <v>3.4246575342465752E-3</v>
      </c>
      <c r="Y27">
        <v>5.1711707232180593E-3</v>
      </c>
      <c r="Z27" t="s">
        <v>304</v>
      </c>
      <c r="AA27" t="s">
        <v>25</v>
      </c>
      <c r="AC27" t="s">
        <v>22</v>
      </c>
      <c r="AD27" t="s">
        <v>304</v>
      </c>
      <c r="AE27">
        <v>2.2698475937479794E-3</v>
      </c>
      <c r="AG27" t="s">
        <v>98</v>
      </c>
      <c r="AH27" t="s">
        <v>304</v>
      </c>
      <c r="AI27">
        <v>9.5692564120456014E-2</v>
      </c>
      <c r="AK27">
        <v>2022</v>
      </c>
      <c r="AL27" t="s">
        <v>157</v>
      </c>
      <c r="AM27">
        <v>0.34672970843183609</v>
      </c>
      <c r="AN27" t="s">
        <v>289</v>
      </c>
    </row>
    <row r="28" spans="3:40" x14ac:dyDescent="0.45">
      <c r="I28" t="s">
        <v>161</v>
      </c>
      <c r="J28" t="s">
        <v>305</v>
      </c>
      <c r="K28">
        <v>2.1245506746804229E-3</v>
      </c>
      <c r="L28" t="s">
        <v>163</v>
      </c>
      <c r="N28" t="s">
        <v>205</v>
      </c>
      <c r="O28" t="s">
        <v>305</v>
      </c>
      <c r="P28">
        <v>1.6295437419619706E-2</v>
      </c>
      <c r="Q28" t="s">
        <v>163</v>
      </c>
      <c r="S28" t="s">
        <v>236</v>
      </c>
      <c r="T28" t="s">
        <v>305</v>
      </c>
      <c r="U28">
        <v>1.2627353823261862E-2</v>
      </c>
      <c r="V28" t="s">
        <v>163</v>
      </c>
      <c r="X28">
        <v>1.7123287671232876E-2</v>
      </c>
      <c r="Y28">
        <v>1.2927926808045149E-2</v>
      </c>
      <c r="Z28" t="s">
        <v>305</v>
      </c>
      <c r="AA28" t="s">
        <v>25</v>
      </c>
      <c r="AC28" t="s">
        <v>22</v>
      </c>
      <c r="AD28" t="s">
        <v>305</v>
      </c>
      <c r="AE28">
        <v>1.332750969308861E-2</v>
      </c>
      <c r="AG28" t="s">
        <v>98</v>
      </c>
      <c r="AH28" t="s">
        <v>305</v>
      </c>
      <c r="AI28">
        <v>0.2198466830217749</v>
      </c>
      <c r="AK28">
        <v>2022</v>
      </c>
      <c r="AL28" t="s">
        <v>159</v>
      </c>
      <c r="AM28">
        <v>0.3505586059635476</v>
      </c>
      <c r="AN28" t="s">
        <v>289</v>
      </c>
    </row>
    <row r="29" spans="3:40" x14ac:dyDescent="0.45">
      <c r="I29" t="s">
        <v>161</v>
      </c>
      <c r="J29" t="s">
        <v>172</v>
      </c>
      <c r="K29">
        <v>1.1462174661822351E-2</v>
      </c>
      <c r="L29" t="s">
        <v>163</v>
      </c>
      <c r="N29" t="s">
        <v>205</v>
      </c>
      <c r="O29" t="s">
        <v>172</v>
      </c>
      <c r="P29">
        <v>4.8771993078302107E-2</v>
      </c>
      <c r="Q29" t="s">
        <v>163</v>
      </c>
      <c r="S29" t="s">
        <v>236</v>
      </c>
      <c r="T29" t="s">
        <v>172</v>
      </c>
      <c r="U29">
        <v>4.4956342979517297E-2</v>
      </c>
      <c r="V29" t="s">
        <v>163</v>
      </c>
      <c r="X29">
        <v>5.6621004566210047E-2</v>
      </c>
      <c r="Y29">
        <v>3.1383039554483752E-2</v>
      </c>
      <c r="Z29" t="s">
        <v>172</v>
      </c>
      <c r="AA29" t="s">
        <v>25</v>
      </c>
      <c r="AC29" t="s">
        <v>22</v>
      </c>
      <c r="AD29" t="s">
        <v>172</v>
      </c>
      <c r="AE29">
        <v>7.6473319614259239E-2</v>
      </c>
      <c r="AG29" t="s">
        <v>98</v>
      </c>
      <c r="AH29" t="s">
        <v>172</v>
      </c>
      <c r="AI29">
        <v>0.19209130952311737</v>
      </c>
      <c r="AK29">
        <v>2022</v>
      </c>
      <c r="AL29" t="s">
        <v>292</v>
      </c>
      <c r="AM29">
        <v>0.36495271867612289</v>
      </c>
      <c r="AN29" t="s">
        <v>289</v>
      </c>
    </row>
    <row r="30" spans="3:40" x14ac:dyDescent="0.45">
      <c r="I30" t="s">
        <v>161</v>
      </c>
      <c r="J30" t="s">
        <v>173</v>
      </c>
      <c r="K30">
        <v>2.6491884948823818E-2</v>
      </c>
      <c r="L30" t="s">
        <v>163</v>
      </c>
      <c r="N30" t="s">
        <v>205</v>
      </c>
      <c r="O30" t="s">
        <v>173</v>
      </c>
      <c r="P30">
        <v>1.0500047824423465E-2</v>
      </c>
      <c r="Q30" t="s">
        <v>163</v>
      </c>
      <c r="S30" t="s">
        <v>236</v>
      </c>
      <c r="T30" t="s">
        <v>173</v>
      </c>
      <c r="U30">
        <v>9.2463392481576083E-3</v>
      </c>
      <c r="V30" t="s">
        <v>163</v>
      </c>
      <c r="X30">
        <v>1.4155251141552512E-2</v>
      </c>
      <c r="Y30">
        <v>1.8003629764065342E-2</v>
      </c>
      <c r="Z30" t="s">
        <v>173</v>
      </c>
      <c r="AA30" t="s">
        <v>25</v>
      </c>
      <c r="AC30" t="s">
        <v>22</v>
      </c>
      <c r="AD30" t="s">
        <v>173</v>
      </c>
      <c r="AE30">
        <v>1.8732007599237502E-2</v>
      </c>
      <c r="AG30" t="s">
        <v>98</v>
      </c>
      <c r="AH30" t="s">
        <v>173</v>
      </c>
      <c r="AI30">
        <v>0.19695085736478468</v>
      </c>
      <c r="AK30">
        <v>2022</v>
      </c>
      <c r="AL30" t="s">
        <v>294</v>
      </c>
      <c r="AM30">
        <v>0.1997063982307633</v>
      </c>
      <c r="AN30" t="s">
        <v>289</v>
      </c>
    </row>
    <row r="31" spans="3:40" x14ac:dyDescent="0.45">
      <c r="I31" t="s">
        <v>161</v>
      </c>
      <c r="J31" t="s">
        <v>174</v>
      </c>
      <c r="K31">
        <v>5.5886063363251248E-2</v>
      </c>
      <c r="L31" t="s">
        <v>163</v>
      </c>
      <c r="N31" t="s">
        <v>205</v>
      </c>
      <c r="O31" t="s">
        <v>174</v>
      </c>
      <c r="P31">
        <v>1.5492071784602662E-2</v>
      </c>
      <c r="Q31" t="s">
        <v>163</v>
      </c>
      <c r="S31" t="s">
        <v>236</v>
      </c>
      <c r="T31" t="s">
        <v>174</v>
      </c>
      <c r="U31">
        <v>1.4897282645723734E-2</v>
      </c>
      <c r="V31" t="s">
        <v>163</v>
      </c>
      <c r="X31">
        <v>2.1232876712328767E-2</v>
      </c>
      <c r="Y31">
        <v>2.6286121539086261E-2</v>
      </c>
      <c r="Z31" t="s">
        <v>174</v>
      </c>
      <c r="AA31" t="s">
        <v>25</v>
      </c>
      <c r="AC31" t="s">
        <v>22</v>
      </c>
      <c r="AD31" t="s">
        <v>174</v>
      </c>
      <c r="AE31">
        <v>2.60835679137984E-2</v>
      </c>
      <c r="AG31" t="s">
        <v>98</v>
      </c>
      <c r="AH31" t="s">
        <v>174</v>
      </c>
      <c r="AI31">
        <v>0.18674364140319399</v>
      </c>
      <c r="AK31">
        <v>2022</v>
      </c>
      <c r="AL31" t="s">
        <v>296</v>
      </c>
      <c r="AM31">
        <v>0.20304278197208869</v>
      </c>
      <c r="AN31" t="s">
        <v>289</v>
      </c>
    </row>
    <row r="32" spans="3:40" x14ac:dyDescent="0.45">
      <c r="I32" t="s">
        <v>161</v>
      </c>
      <c r="J32" t="s">
        <v>306</v>
      </c>
      <c r="K32">
        <v>8.2336696988083338E-2</v>
      </c>
      <c r="L32" t="s">
        <v>163</v>
      </c>
      <c r="N32" t="s">
        <v>205</v>
      </c>
      <c r="O32" t="s">
        <v>306</v>
      </c>
      <c r="P32">
        <v>2.7345454801816035E-2</v>
      </c>
      <c r="Q32" t="s">
        <v>163</v>
      </c>
      <c r="S32" t="s">
        <v>236</v>
      </c>
      <c r="T32" t="s">
        <v>306</v>
      </c>
      <c r="U32">
        <v>2.5189596301439417E-2</v>
      </c>
      <c r="V32" t="s">
        <v>163</v>
      </c>
      <c r="X32">
        <v>3.5388127853881277E-2</v>
      </c>
      <c r="Y32">
        <v>5.6785421276384175E-2</v>
      </c>
      <c r="Z32" t="s">
        <v>306</v>
      </c>
      <c r="AA32" t="s">
        <v>25</v>
      </c>
      <c r="AC32" t="s">
        <v>22</v>
      </c>
      <c r="AD32" t="s">
        <v>306</v>
      </c>
      <c r="AE32">
        <v>3.4553505803425248E-2</v>
      </c>
      <c r="AG32" t="s">
        <v>98</v>
      </c>
      <c r="AH32" t="s">
        <v>306</v>
      </c>
      <c r="AI32">
        <v>0.28950921870227186</v>
      </c>
      <c r="AK32">
        <v>2025</v>
      </c>
      <c r="AL32" t="s">
        <v>151</v>
      </c>
      <c r="AM32">
        <v>0.22512500000000002</v>
      </c>
      <c r="AN32" t="s">
        <v>289</v>
      </c>
    </row>
    <row r="33" spans="9:40" x14ac:dyDescent="0.45">
      <c r="I33" t="s">
        <v>161</v>
      </c>
      <c r="J33" t="s">
        <v>307</v>
      </c>
      <c r="K33">
        <v>6.735646421339044E-3</v>
      </c>
      <c r="L33" t="s">
        <v>163</v>
      </c>
      <c r="N33" t="s">
        <v>205</v>
      </c>
      <c r="O33" t="s">
        <v>307</v>
      </c>
      <c r="P33">
        <v>5.1896886560618893E-3</v>
      </c>
      <c r="Q33" t="s">
        <v>163</v>
      </c>
      <c r="S33" t="s">
        <v>236</v>
      </c>
      <c r="T33" t="s">
        <v>307</v>
      </c>
      <c r="U33">
        <v>4.3378584139767938E-3</v>
      </c>
      <c r="V33" t="s">
        <v>163</v>
      </c>
      <c r="X33">
        <v>7.0776255707762558E-3</v>
      </c>
      <c r="Y33">
        <v>1.0687086161317328E-2</v>
      </c>
      <c r="Z33" t="s">
        <v>307</v>
      </c>
      <c r="AA33" t="s">
        <v>25</v>
      </c>
      <c r="AC33" t="s">
        <v>22</v>
      </c>
      <c r="AD33" t="s">
        <v>307</v>
      </c>
      <c r="AE33">
        <v>5.8395986036066886E-3</v>
      </c>
      <c r="AG33" t="s">
        <v>98</v>
      </c>
      <c r="AH33" t="s">
        <v>307</v>
      </c>
      <c r="AI33">
        <v>9.0732769063187835E-2</v>
      </c>
      <c r="AK33">
        <v>2025</v>
      </c>
      <c r="AL33" t="s">
        <v>155</v>
      </c>
      <c r="AM33">
        <v>0.31769999999999998</v>
      </c>
      <c r="AN33" t="s">
        <v>289</v>
      </c>
    </row>
    <row r="34" spans="9:40" x14ac:dyDescent="0.45">
      <c r="I34" t="s">
        <v>161</v>
      </c>
      <c r="J34" t="s">
        <v>308</v>
      </c>
      <c r="K34">
        <v>1.8308255757387307E-3</v>
      </c>
      <c r="L34" t="s">
        <v>163</v>
      </c>
      <c r="N34" t="s">
        <v>205</v>
      </c>
      <c r="O34" t="s">
        <v>308</v>
      </c>
      <c r="P34">
        <v>2.7976404919973531E-2</v>
      </c>
      <c r="Q34" t="s">
        <v>163</v>
      </c>
      <c r="S34" t="s">
        <v>236</v>
      </c>
      <c r="T34" t="s">
        <v>308</v>
      </c>
      <c r="U34">
        <v>2.6775542178399107E-2</v>
      </c>
      <c r="V34" t="s">
        <v>163</v>
      </c>
      <c r="X34">
        <v>3.5388127853881277E-2</v>
      </c>
      <c r="Y34">
        <v>2.6717715403293308E-2</v>
      </c>
      <c r="Z34" t="s">
        <v>308</v>
      </c>
      <c r="AA34" t="s">
        <v>25</v>
      </c>
      <c r="AC34" t="s">
        <v>22</v>
      </c>
      <c r="AD34" t="s">
        <v>308</v>
      </c>
      <c r="AE34">
        <v>3.3069513722829826E-2</v>
      </c>
      <c r="AG34" t="s">
        <v>98</v>
      </c>
      <c r="AH34" t="s">
        <v>308</v>
      </c>
      <c r="AI34">
        <v>0.30502477694941921</v>
      </c>
      <c r="AK34">
        <v>2025</v>
      </c>
      <c r="AL34" t="s">
        <v>157</v>
      </c>
      <c r="AM34">
        <v>0.2923</v>
      </c>
      <c r="AN34" t="s">
        <v>289</v>
      </c>
    </row>
    <row r="35" spans="9:40" x14ac:dyDescent="0.45">
      <c r="I35" t="s">
        <v>161</v>
      </c>
      <c r="J35" t="s">
        <v>309</v>
      </c>
      <c r="K35">
        <v>5.652635092461244E-3</v>
      </c>
      <c r="L35" t="s">
        <v>163</v>
      </c>
      <c r="N35" t="s">
        <v>205</v>
      </c>
      <c r="O35" t="s">
        <v>309</v>
      </c>
      <c r="P35">
        <v>2.8666345087527027E-2</v>
      </c>
      <c r="Q35" t="s">
        <v>163</v>
      </c>
      <c r="S35" t="s">
        <v>236</v>
      </c>
      <c r="T35" t="s">
        <v>309</v>
      </c>
      <c r="U35">
        <v>2.3708550628868136E-2</v>
      </c>
      <c r="V35" t="s">
        <v>163</v>
      </c>
      <c r="X35">
        <v>2.7397260273972601E-2</v>
      </c>
      <c r="Y35">
        <v>1.5185341719911493E-2</v>
      </c>
      <c r="Z35" t="s">
        <v>309</v>
      </c>
      <c r="AA35" t="s">
        <v>25</v>
      </c>
      <c r="AC35" t="s">
        <v>22</v>
      </c>
      <c r="AD35" t="s">
        <v>309</v>
      </c>
      <c r="AE35">
        <v>2.969484527427137E-2</v>
      </c>
      <c r="AG35" t="s">
        <v>98</v>
      </c>
      <c r="AH35" t="s">
        <v>309</v>
      </c>
      <c r="AI35">
        <v>0.15587826129402305</v>
      </c>
      <c r="AK35">
        <v>2025</v>
      </c>
      <c r="AL35" t="s">
        <v>159</v>
      </c>
      <c r="AM35">
        <v>0.29959999999999998</v>
      </c>
      <c r="AN35" t="s">
        <v>289</v>
      </c>
    </row>
    <row r="36" spans="9:40" x14ac:dyDescent="0.45">
      <c r="I36" t="s">
        <v>161</v>
      </c>
      <c r="J36" t="s">
        <v>310</v>
      </c>
      <c r="K36">
        <v>1.5678636808711816E-2</v>
      </c>
      <c r="L36" t="s">
        <v>163</v>
      </c>
      <c r="N36" t="s">
        <v>205</v>
      </c>
      <c r="O36" t="s">
        <v>310</v>
      </c>
      <c r="P36">
        <v>7.0643834085446248E-3</v>
      </c>
      <c r="Q36" t="s">
        <v>163</v>
      </c>
      <c r="S36" t="s">
        <v>236</v>
      </c>
      <c r="T36" t="s">
        <v>310</v>
      </c>
      <c r="U36">
        <v>6.2055990010510004E-3</v>
      </c>
      <c r="V36" t="s">
        <v>163</v>
      </c>
      <c r="X36">
        <v>6.8493150684931503E-3</v>
      </c>
      <c r="Y36">
        <v>8.7114337568058101E-3</v>
      </c>
      <c r="Z36" t="s">
        <v>310</v>
      </c>
      <c r="AA36" t="s">
        <v>25</v>
      </c>
      <c r="AC36" t="s">
        <v>22</v>
      </c>
      <c r="AD36" t="s">
        <v>310</v>
      </c>
      <c r="AE36">
        <v>7.3171527316702213E-3</v>
      </c>
      <c r="AG36" t="s">
        <v>98</v>
      </c>
      <c r="AH36" t="s">
        <v>310</v>
      </c>
      <c r="AI36">
        <v>0.11603775374995595</v>
      </c>
      <c r="AK36">
        <v>2025</v>
      </c>
      <c r="AL36" t="s">
        <v>292</v>
      </c>
      <c r="AM36">
        <v>0.2853</v>
      </c>
      <c r="AN36" t="s">
        <v>289</v>
      </c>
    </row>
    <row r="37" spans="9:40" x14ac:dyDescent="0.45">
      <c r="I37" t="s">
        <v>161</v>
      </c>
      <c r="J37" t="s">
        <v>311</v>
      </c>
      <c r="K37">
        <v>2.8080428412511245E-2</v>
      </c>
      <c r="L37" t="s">
        <v>163</v>
      </c>
      <c r="N37" t="s">
        <v>205</v>
      </c>
      <c r="O37" t="s">
        <v>311</v>
      </c>
      <c r="P37">
        <v>1.0501392944026088E-2</v>
      </c>
      <c r="Q37" t="s">
        <v>163</v>
      </c>
      <c r="S37" t="s">
        <v>236</v>
      </c>
      <c r="T37" t="s">
        <v>311</v>
      </c>
      <c r="U37">
        <v>9.1746688716207257E-3</v>
      </c>
      <c r="V37" t="s">
        <v>163</v>
      </c>
      <c r="X37">
        <v>1.0273972602739725E-2</v>
      </c>
      <c r="Y37">
        <v>1.2719091067299805E-2</v>
      </c>
      <c r="Z37" t="s">
        <v>311</v>
      </c>
      <c r="AA37" t="s">
        <v>25</v>
      </c>
      <c r="AC37" t="s">
        <v>22</v>
      </c>
      <c r="AD37" t="s">
        <v>311</v>
      </c>
      <c r="AE37">
        <v>1.0240401946108871E-2</v>
      </c>
      <c r="AG37" t="s">
        <v>98</v>
      </c>
      <c r="AH37" t="s">
        <v>311</v>
      </c>
      <c r="AI37">
        <v>0.12014001546002606</v>
      </c>
      <c r="AK37">
        <v>2025</v>
      </c>
      <c r="AL37" t="s">
        <v>294</v>
      </c>
      <c r="AM37">
        <v>0.1671</v>
      </c>
      <c r="AN37" t="s">
        <v>289</v>
      </c>
    </row>
    <row r="38" spans="9:40" x14ac:dyDescent="0.45">
      <c r="I38" t="s">
        <v>161</v>
      </c>
      <c r="J38" t="s">
        <v>312</v>
      </c>
      <c r="K38">
        <v>3.5335312499783486E-2</v>
      </c>
      <c r="L38" t="s">
        <v>163</v>
      </c>
      <c r="N38" t="s">
        <v>205</v>
      </c>
      <c r="O38" t="s">
        <v>312</v>
      </c>
      <c r="P38">
        <v>1.8109670612794518E-2</v>
      </c>
      <c r="Q38" t="s">
        <v>163</v>
      </c>
      <c r="S38" t="s">
        <v>236</v>
      </c>
      <c r="T38" t="s">
        <v>312</v>
      </c>
      <c r="U38">
        <v>1.5802474665141748E-2</v>
      </c>
      <c r="V38" t="s">
        <v>163</v>
      </c>
      <c r="X38">
        <v>1.7123287671232876E-2</v>
      </c>
      <c r="Y38">
        <v>2.7476816746637496E-2</v>
      </c>
      <c r="Z38" t="s">
        <v>312</v>
      </c>
      <c r="AA38" t="s">
        <v>25</v>
      </c>
      <c r="AC38" t="s">
        <v>22</v>
      </c>
      <c r="AD38" t="s">
        <v>312</v>
      </c>
      <c r="AE38">
        <v>1.3688299620090893E-2</v>
      </c>
      <c r="AG38" t="s">
        <v>98</v>
      </c>
      <c r="AH38" t="s">
        <v>312</v>
      </c>
      <c r="AI38">
        <v>0.19276667641497491</v>
      </c>
      <c r="AK38">
        <v>2025</v>
      </c>
      <c r="AL38" t="s">
        <v>296</v>
      </c>
      <c r="AM38">
        <v>0.19570000000000001</v>
      </c>
      <c r="AN38" t="s">
        <v>289</v>
      </c>
    </row>
    <row r="39" spans="9:40" x14ac:dyDescent="0.45">
      <c r="I39" t="s">
        <v>161</v>
      </c>
      <c r="J39" t="s">
        <v>313</v>
      </c>
      <c r="K39">
        <v>1.3627642752631066E-3</v>
      </c>
      <c r="L39" t="s">
        <v>163</v>
      </c>
      <c r="N39" t="s">
        <v>205</v>
      </c>
      <c r="O39" t="s">
        <v>313</v>
      </c>
      <c r="P39">
        <v>3.5622471896909554E-3</v>
      </c>
      <c r="Q39" t="s">
        <v>163</v>
      </c>
      <c r="S39" t="s">
        <v>236</v>
      </c>
      <c r="T39" t="s">
        <v>313</v>
      </c>
      <c r="U39">
        <v>3.2193885764085174E-3</v>
      </c>
      <c r="V39" t="s">
        <v>163</v>
      </c>
      <c r="X39">
        <v>3.4246575342465752E-3</v>
      </c>
      <c r="Y39">
        <v>5.1711707232180593E-3</v>
      </c>
      <c r="Z39" t="s">
        <v>313</v>
      </c>
      <c r="AA39" t="s">
        <v>25</v>
      </c>
      <c r="AC39" t="s">
        <v>22</v>
      </c>
      <c r="AD39" t="s">
        <v>313</v>
      </c>
      <c r="AE39">
        <v>2.3696074483677662E-3</v>
      </c>
      <c r="AG39" t="s">
        <v>98</v>
      </c>
      <c r="AH39" t="s">
        <v>313</v>
      </c>
      <c r="AI39">
        <v>7.5316995354307581E-2</v>
      </c>
      <c r="AK39">
        <v>2026</v>
      </c>
      <c r="AL39" t="s">
        <v>151</v>
      </c>
      <c r="AM39">
        <v>0.229875</v>
      </c>
      <c r="AN39" t="s">
        <v>289</v>
      </c>
    </row>
    <row r="40" spans="9:40" x14ac:dyDescent="0.45">
      <c r="I40" t="s">
        <v>161</v>
      </c>
      <c r="J40" t="s">
        <v>314</v>
      </c>
      <c r="K40">
        <v>0</v>
      </c>
      <c r="L40" t="s">
        <v>163</v>
      </c>
      <c r="N40" t="s">
        <v>205</v>
      </c>
      <c r="O40" t="s">
        <v>314</v>
      </c>
      <c r="P40">
        <v>1.8881136654361867E-2</v>
      </c>
      <c r="Q40" t="s">
        <v>163</v>
      </c>
      <c r="S40" t="s">
        <v>236</v>
      </c>
      <c r="T40" t="s">
        <v>314</v>
      </c>
      <c r="U40">
        <v>1.6073456927244347E-2</v>
      </c>
      <c r="V40" t="s">
        <v>163</v>
      </c>
      <c r="X40">
        <v>1.7123287671232876E-2</v>
      </c>
      <c r="Y40">
        <v>1.2927926808045149E-2</v>
      </c>
      <c r="Z40" t="s">
        <v>314</v>
      </c>
      <c r="AA40" t="s">
        <v>25</v>
      </c>
      <c r="AC40" t="s">
        <v>22</v>
      </c>
      <c r="AD40" t="s">
        <v>314</v>
      </c>
      <c r="AE40">
        <v>1.3595309169852469E-2</v>
      </c>
      <c r="AG40" t="s">
        <v>98</v>
      </c>
      <c r="AH40" t="s">
        <v>314</v>
      </c>
      <c r="AI40">
        <v>0.21989610178090424</v>
      </c>
      <c r="AK40">
        <v>2026</v>
      </c>
      <c r="AL40" t="s">
        <v>155</v>
      </c>
      <c r="AM40">
        <v>0.30680000000000002</v>
      </c>
      <c r="AN40" t="s">
        <v>289</v>
      </c>
    </row>
    <row r="41" spans="9:40" x14ac:dyDescent="0.45">
      <c r="I41" t="s">
        <v>161</v>
      </c>
      <c r="J41" t="s">
        <v>315</v>
      </c>
      <c r="K41">
        <v>3.7609072017744435E-3</v>
      </c>
      <c r="L41" t="s">
        <v>163</v>
      </c>
      <c r="N41" t="s">
        <v>205</v>
      </c>
      <c r="O41" t="s">
        <v>315</v>
      </c>
      <c r="P41">
        <v>6.4535936226036039E-2</v>
      </c>
      <c r="Q41" t="s">
        <v>163</v>
      </c>
      <c r="S41" t="s">
        <v>236</v>
      </c>
      <c r="T41" t="s">
        <v>315</v>
      </c>
      <c r="U41">
        <v>7.3280125263902207E-2</v>
      </c>
      <c r="V41" t="s">
        <v>163</v>
      </c>
      <c r="X41">
        <v>5.5707762557077628E-2</v>
      </c>
      <c r="Y41">
        <v>3.0876861497153366E-2</v>
      </c>
      <c r="Z41" t="s">
        <v>315</v>
      </c>
      <c r="AA41" t="s">
        <v>25</v>
      </c>
      <c r="AC41" t="s">
        <v>22</v>
      </c>
      <c r="AD41" t="s">
        <v>315</v>
      </c>
      <c r="AE41">
        <v>5.5760764415727991E-2</v>
      </c>
      <c r="AG41" t="s">
        <v>98</v>
      </c>
      <c r="AH41" t="s">
        <v>315</v>
      </c>
      <c r="AI41">
        <v>0.14996676132164244</v>
      </c>
      <c r="AK41">
        <v>2026</v>
      </c>
      <c r="AL41" t="s">
        <v>157</v>
      </c>
      <c r="AM41">
        <v>0.30399999999999999</v>
      </c>
      <c r="AN41" t="s">
        <v>289</v>
      </c>
    </row>
    <row r="42" spans="9:40" x14ac:dyDescent="0.45">
      <c r="I42" t="s">
        <v>161</v>
      </c>
      <c r="J42" t="s">
        <v>316</v>
      </c>
      <c r="K42">
        <v>2.1832640376351135E-2</v>
      </c>
      <c r="L42" t="s">
        <v>163</v>
      </c>
      <c r="N42" t="s">
        <v>205</v>
      </c>
      <c r="O42" t="s">
        <v>316</v>
      </c>
      <c r="P42">
        <v>1.6168508244917734E-2</v>
      </c>
      <c r="Q42" t="s">
        <v>163</v>
      </c>
      <c r="S42" t="s">
        <v>236</v>
      </c>
      <c r="T42" t="s">
        <v>316</v>
      </c>
      <c r="U42">
        <v>1.9080291565235726E-2</v>
      </c>
      <c r="V42" t="s">
        <v>163</v>
      </c>
      <c r="X42">
        <v>1.3926940639269407E-2</v>
      </c>
      <c r="Y42">
        <v>1.7713248638838483E-2</v>
      </c>
      <c r="Z42" t="s">
        <v>316</v>
      </c>
      <c r="AA42" t="s">
        <v>25</v>
      </c>
      <c r="AC42" t="s">
        <v>22</v>
      </c>
      <c r="AD42" t="s">
        <v>316</v>
      </c>
      <c r="AE42">
        <v>1.4287729445867882E-2</v>
      </c>
      <c r="AG42" t="s">
        <v>98</v>
      </c>
      <c r="AH42" t="s">
        <v>316</v>
      </c>
      <c r="AI42">
        <v>0.16773931991779301</v>
      </c>
      <c r="AK42">
        <v>2026</v>
      </c>
      <c r="AL42" t="s">
        <v>159</v>
      </c>
      <c r="AM42">
        <v>0.30135000000000001</v>
      </c>
      <c r="AN42" t="s">
        <v>289</v>
      </c>
    </row>
    <row r="43" spans="9:40" x14ac:dyDescent="0.45">
      <c r="I43" t="s">
        <v>161</v>
      </c>
      <c r="J43" t="s">
        <v>317</v>
      </c>
      <c r="K43">
        <v>4.1928714382590292E-2</v>
      </c>
      <c r="L43" t="s">
        <v>163</v>
      </c>
      <c r="N43" t="s">
        <v>205</v>
      </c>
      <c r="O43" t="s">
        <v>317</v>
      </c>
      <c r="P43">
        <v>2.3955336012220857E-2</v>
      </c>
      <c r="Q43" t="s">
        <v>163</v>
      </c>
      <c r="S43" t="s">
        <v>236</v>
      </c>
      <c r="T43" t="s">
        <v>317</v>
      </c>
      <c r="U43">
        <v>2.8758397127565647E-2</v>
      </c>
      <c r="V43" t="s">
        <v>163</v>
      </c>
      <c r="X43">
        <v>2.0890410958904111E-2</v>
      </c>
      <c r="Y43">
        <v>2.5862151836842942E-2</v>
      </c>
      <c r="Z43" t="s">
        <v>317</v>
      </c>
      <c r="AA43" t="s">
        <v>25</v>
      </c>
      <c r="AC43" t="s">
        <v>22</v>
      </c>
      <c r="AD43" t="s">
        <v>317</v>
      </c>
      <c r="AE43">
        <v>2.1141484967365461E-2</v>
      </c>
      <c r="AG43" t="s">
        <v>98</v>
      </c>
      <c r="AH43" t="s">
        <v>317</v>
      </c>
      <c r="AI43">
        <v>0.19353039845737663</v>
      </c>
      <c r="AK43">
        <v>2026</v>
      </c>
      <c r="AL43" t="s">
        <v>292</v>
      </c>
      <c r="AM43">
        <v>0.25330000000000003</v>
      </c>
      <c r="AN43" t="s">
        <v>289</v>
      </c>
    </row>
    <row r="44" spans="9:40" x14ac:dyDescent="0.45">
      <c r="I44" t="s">
        <v>161</v>
      </c>
      <c r="J44" t="s">
        <v>318</v>
      </c>
      <c r="K44">
        <v>4.6139431872936468E-2</v>
      </c>
      <c r="L44" t="s">
        <v>163</v>
      </c>
      <c r="N44" t="s">
        <v>205</v>
      </c>
      <c r="O44" t="s">
        <v>318</v>
      </c>
      <c r="P44">
        <v>4.0202885693480246E-2</v>
      </c>
      <c r="Q44" t="s">
        <v>163</v>
      </c>
      <c r="S44" t="s">
        <v>236</v>
      </c>
      <c r="T44" t="s">
        <v>318</v>
      </c>
      <c r="U44">
        <v>4.8711899940465646E-2</v>
      </c>
      <c r="V44" t="s">
        <v>163</v>
      </c>
      <c r="X44">
        <v>3.4817351598173514E-2</v>
      </c>
      <c r="Y44">
        <v>5.5869527384829587E-2</v>
      </c>
      <c r="Z44" t="s">
        <v>318</v>
      </c>
      <c r="AA44" t="s">
        <v>25</v>
      </c>
      <c r="AC44" t="s">
        <v>22</v>
      </c>
      <c r="AD44" t="s">
        <v>318</v>
      </c>
      <c r="AE44">
        <v>2.6474043670453314E-2</v>
      </c>
      <c r="AG44" t="s">
        <v>98</v>
      </c>
      <c r="AH44" t="s">
        <v>318</v>
      </c>
      <c r="AI44">
        <v>0.19942295506329977</v>
      </c>
      <c r="AK44">
        <v>2026</v>
      </c>
      <c r="AL44" t="s">
        <v>294</v>
      </c>
      <c r="AM44">
        <v>0.16844999999999999</v>
      </c>
      <c r="AN44" t="s">
        <v>289</v>
      </c>
    </row>
    <row r="45" spans="9:40" x14ac:dyDescent="0.45">
      <c r="I45" t="s">
        <v>161</v>
      </c>
      <c r="J45" t="s">
        <v>319</v>
      </c>
      <c r="K45">
        <v>0</v>
      </c>
      <c r="L45" t="s">
        <v>163</v>
      </c>
      <c r="N45" t="s">
        <v>205</v>
      </c>
      <c r="O45" t="s">
        <v>319</v>
      </c>
      <c r="P45">
        <v>7.7175426211456843E-3</v>
      </c>
      <c r="Q45" t="s">
        <v>163</v>
      </c>
      <c r="S45" t="s">
        <v>236</v>
      </c>
      <c r="T45" t="s">
        <v>319</v>
      </c>
      <c r="U45">
        <v>9.3439014345974899E-3</v>
      </c>
      <c r="V45" t="s">
        <v>163</v>
      </c>
      <c r="X45">
        <v>6.9634703196347035E-3</v>
      </c>
      <c r="Y45">
        <v>1.0514713803876726E-2</v>
      </c>
      <c r="Z45" t="s">
        <v>319</v>
      </c>
      <c r="AA45" t="s">
        <v>25</v>
      </c>
      <c r="AC45" t="s">
        <v>22</v>
      </c>
      <c r="AD45" t="s">
        <v>319</v>
      </c>
      <c r="AE45">
        <v>4.4538308807023693E-3</v>
      </c>
      <c r="AG45" t="s">
        <v>98</v>
      </c>
      <c r="AH45" t="s">
        <v>319</v>
      </c>
      <c r="AI45">
        <v>9.1211782585817414E-2</v>
      </c>
      <c r="AK45">
        <v>2026</v>
      </c>
      <c r="AL45" t="s">
        <v>296</v>
      </c>
      <c r="AM45">
        <v>0.1903</v>
      </c>
      <c r="AN45" t="s">
        <v>289</v>
      </c>
    </row>
    <row r="46" spans="9:40" x14ac:dyDescent="0.45">
      <c r="I46" t="s">
        <v>161</v>
      </c>
      <c r="J46" t="s">
        <v>320</v>
      </c>
      <c r="K46">
        <v>0</v>
      </c>
      <c r="L46" t="s">
        <v>163</v>
      </c>
      <c r="N46" t="s">
        <v>205</v>
      </c>
      <c r="O46" t="s">
        <v>320</v>
      </c>
      <c r="P46">
        <v>3.8929016605912706E-2</v>
      </c>
      <c r="Q46" t="s">
        <v>163</v>
      </c>
      <c r="S46" t="s">
        <v>236</v>
      </c>
      <c r="T46" t="s">
        <v>320</v>
      </c>
      <c r="U46">
        <v>4.798572738446736E-2</v>
      </c>
      <c r="V46" t="s">
        <v>163</v>
      </c>
      <c r="X46">
        <v>3.4817351598173514E-2</v>
      </c>
      <c r="Y46">
        <v>2.6286784509691803E-2</v>
      </c>
      <c r="Z46" t="s">
        <v>320</v>
      </c>
      <c r="AA46" t="s">
        <v>25</v>
      </c>
      <c r="AC46" t="s">
        <v>22</v>
      </c>
      <c r="AD46" t="s">
        <v>320</v>
      </c>
      <c r="AE46">
        <v>2.7877648640375601E-2</v>
      </c>
      <c r="AG46" t="s">
        <v>98</v>
      </c>
      <c r="AH46" t="s">
        <v>320</v>
      </c>
      <c r="AI46">
        <v>0.30237149389350426</v>
      </c>
      <c r="AK46">
        <v>2027</v>
      </c>
      <c r="AL46" t="s">
        <v>151</v>
      </c>
      <c r="AM46">
        <v>0.22489999999999999</v>
      </c>
      <c r="AN46" t="s">
        <v>289</v>
      </c>
    </row>
    <row r="47" spans="9:40" x14ac:dyDescent="0.45">
      <c r="I47" t="s">
        <v>161</v>
      </c>
      <c r="J47" t="s">
        <v>321</v>
      </c>
      <c r="K47">
        <v>0</v>
      </c>
      <c r="L47" t="s">
        <v>163</v>
      </c>
      <c r="N47" t="s">
        <v>205</v>
      </c>
      <c r="O47" t="s">
        <v>321</v>
      </c>
      <c r="P47">
        <v>3.0151254810345994E-2</v>
      </c>
      <c r="Q47" t="s">
        <v>163</v>
      </c>
      <c r="S47" t="s">
        <v>236</v>
      </c>
      <c r="T47" t="s">
        <v>321</v>
      </c>
      <c r="U47">
        <v>4.1513768169574194E-2</v>
      </c>
      <c r="V47" t="s">
        <v>163</v>
      </c>
      <c r="X47">
        <v>2.8310502283105023E-2</v>
      </c>
      <c r="Y47">
        <v>1.5691519777241876E-2</v>
      </c>
      <c r="Z47" t="s">
        <v>321</v>
      </c>
      <c r="AA47" t="s">
        <v>25</v>
      </c>
      <c r="AC47" t="s">
        <v>22</v>
      </c>
      <c r="AD47" t="s">
        <v>321</v>
      </c>
      <c r="AE47">
        <v>3.4570172124572349E-2</v>
      </c>
      <c r="AG47" t="s">
        <v>98</v>
      </c>
      <c r="AH47" t="s">
        <v>321</v>
      </c>
      <c r="AI47">
        <v>0.10071846790888461</v>
      </c>
      <c r="AK47">
        <v>2027</v>
      </c>
      <c r="AL47" t="s">
        <v>155</v>
      </c>
      <c r="AM47">
        <v>0.3513</v>
      </c>
      <c r="AN47" t="s">
        <v>289</v>
      </c>
    </row>
    <row r="48" spans="9:40" x14ac:dyDescent="0.45">
      <c r="I48" t="s">
        <v>161</v>
      </c>
      <c r="J48" t="s">
        <v>322</v>
      </c>
      <c r="K48">
        <v>8.3654445899107761E-3</v>
      </c>
      <c r="L48" t="s">
        <v>163</v>
      </c>
      <c r="N48" t="s">
        <v>205</v>
      </c>
      <c r="O48" t="s">
        <v>322</v>
      </c>
      <c r="P48">
        <v>7.5889727084145243E-3</v>
      </c>
      <c r="Q48" t="s">
        <v>163</v>
      </c>
      <c r="S48" t="s">
        <v>236</v>
      </c>
      <c r="T48" t="s">
        <v>322</v>
      </c>
      <c r="U48">
        <v>1.0171438946396475E-2</v>
      </c>
      <c r="V48" t="s">
        <v>163</v>
      </c>
      <c r="X48">
        <v>7.0776255707762558E-3</v>
      </c>
      <c r="Y48">
        <v>9.0018148820326695E-3</v>
      </c>
      <c r="Z48" t="s">
        <v>322</v>
      </c>
      <c r="AA48" t="s">
        <v>25</v>
      </c>
      <c r="AC48" t="s">
        <v>22</v>
      </c>
      <c r="AD48" t="s">
        <v>322</v>
      </c>
      <c r="AE48">
        <v>9.2777318324831631E-3</v>
      </c>
      <c r="AG48" t="s">
        <v>98</v>
      </c>
      <c r="AH48" t="s">
        <v>322</v>
      </c>
      <c r="AI48">
        <v>7.5748959432402563E-2</v>
      </c>
      <c r="AK48">
        <v>2027</v>
      </c>
      <c r="AL48" t="s">
        <v>157</v>
      </c>
      <c r="AM48">
        <v>0.29630000000000001</v>
      </c>
      <c r="AN48" t="s">
        <v>289</v>
      </c>
    </row>
    <row r="49" spans="9:40" x14ac:dyDescent="0.45">
      <c r="I49" t="s">
        <v>161</v>
      </c>
      <c r="J49" t="s">
        <v>323</v>
      </c>
      <c r="K49">
        <v>2.0510807408662929E-2</v>
      </c>
      <c r="L49" t="s">
        <v>163</v>
      </c>
      <c r="N49" t="s">
        <v>205</v>
      </c>
      <c r="O49" t="s">
        <v>323</v>
      </c>
      <c r="P49">
        <v>1.1170602228119875E-2</v>
      </c>
      <c r="Q49" t="s">
        <v>163</v>
      </c>
      <c r="S49" t="s">
        <v>236</v>
      </c>
      <c r="T49" t="s">
        <v>323</v>
      </c>
      <c r="U49">
        <v>1.4824202144044119E-2</v>
      </c>
      <c r="V49" t="s">
        <v>163</v>
      </c>
      <c r="X49">
        <v>1.0616438356164383E-2</v>
      </c>
      <c r="Y49">
        <v>1.3143060769543132E-2</v>
      </c>
      <c r="Z49" t="s">
        <v>323</v>
      </c>
      <c r="AA49" t="s">
        <v>25</v>
      </c>
      <c r="AC49" t="s">
        <v>22</v>
      </c>
      <c r="AD49" t="s">
        <v>323</v>
      </c>
      <c r="AE49">
        <v>1.3088137866619548E-2</v>
      </c>
      <c r="AG49" t="s">
        <v>98</v>
      </c>
      <c r="AH49" t="s">
        <v>323</v>
      </c>
      <c r="AI49">
        <v>0.11799109556271703</v>
      </c>
      <c r="AK49">
        <v>2027</v>
      </c>
      <c r="AL49" t="s">
        <v>159</v>
      </c>
      <c r="AM49">
        <v>0.28475</v>
      </c>
      <c r="AN49" t="s">
        <v>289</v>
      </c>
    </row>
    <row r="50" spans="9:40" x14ac:dyDescent="0.45">
      <c r="I50" t="s">
        <v>161</v>
      </c>
      <c r="J50" t="s">
        <v>324</v>
      </c>
      <c r="K50">
        <v>2.4215729578045592E-2</v>
      </c>
      <c r="L50" t="s">
        <v>163</v>
      </c>
      <c r="N50" t="s">
        <v>205</v>
      </c>
      <c r="O50" t="s">
        <v>324</v>
      </c>
      <c r="P50">
        <v>2.0805763973745218E-2</v>
      </c>
      <c r="Q50" t="s">
        <v>163</v>
      </c>
      <c r="S50" t="s">
        <v>236</v>
      </c>
      <c r="T50" t="s">
        <v>324</v>
      </c>
      <c r="U50">
        <v>2.5732832633443319E-2</v>
      </c>
      <c r="V50" t="s">
        <v>163</v>
      </c>
      <c r="X50">
        <v>1.7694063926940638E-2</v>
      </c>
      <c r="Y50">
        <v>2.8392710638192088E-2</v>
      </c>
      <c r="Z50" t="s">
        <v>324</v>
      </c>
      <c r="AA50" t="s">
        <v>25</v>
      </c>
      <c r="AC50" t="s">
        <v>22</v>
      </c>
      <c r="AD50" t="s">
        <v>324</v>
      </c>
      <c r="AE50">
        <v>1.5109419367658103E-2</v>
      </c>
      <c r="AG50" t="s">
        <v>98</v>
      </c>
      <c r="AH50" t="s">
        <v>324</v>
      </c>
      <c r="AI50">
        <v>0.15662084952558986</v>
      </c>
      <c r="AK50">
        <v>2027</v>
      </c>
      <c r="AL50" t="s">
        <v>292</v>
      </c>
      <c r="AM50">
        <v>0.28110000000000002</v>
      </c>
      <c r="AN50" t="s">
        <v>289</v>
      </c>
    </row>
    <row r="51" spans="9:40" x14ac:dyDescent="0.45">
      <c r="I51" t="s">
        <v>161</v>
      </c>
      <c r="J51" t="s">
        <v>325</v>
      </c>
      <c r="K51">
        <v>0</v>
      </c>
      <c r="L51" t="s">
        <v>163</v>
      </c>
      <c r="N51" t="s">
        <v>205</v>
      </c>
      <c r="O51" t="s">
        <v>325</v>
      </c>
      <c r="P51">
        <v>4.2077609838710719E-3</v>
      </c>
      <c r="Q51" t="s">
        <v>163</v>
      </c>
      <c r="S51" t="s">
        <v>236</v>
      </c>
      <c r="T51" t="s">
        <v>325</v>
      </c>
      <c r="U51">
        <v>5.2417629975191711E-3</v>
      </c>
      <c r="V51" t="s">
        <v>163</v>
      </c>
      <c r="X51">
        <v>3.5388127853881279E-3</v>
      </c>
      <c r="Y51">
        <v>5.3435430806586613E-3</v>
      </c>
      <c r="Z51" t="s">
        <v>325</v>
      </c>
      <c r="AA51" t="s">
        <v>25</v>
      </c>
      <c r="AC51" t="s">
        <v>22</v>
      </c>
      <c r="AD51" t="s">
        <v>325</v>
      </c>
      <c r="AE51">
        <v>2.6008282640500096E-3</v>
      </c>
      <c r="AG51" t="s">
        <v>98</v>
      </c>
      <c r="AH51" t="s">
        <v>325</v>
      </c>
      <c r="AI51">
        <v>0.13356225104971808</v>
      </c>
      <c r="AK51">
        <v>2027</v>
      </c>
      <c r="AL51" t="s">
        <v>294</v>
      </c>
      <c r="AM51">
        <v>0.16614999999999999</v>
      </c>
      <c r="AN51" t="s">
        <v>289</v>
      </c>
    </row>
    <row r="52" spans="9:40" x14ac:dyDescent="0.45">
      <c r="I52" t="s">
        <v>161</v>
      </c>
      <c r="J52" t="s">
        <v>326</v>
      </c>
      <c r="K52">
        <v>0</v>
      </c>
      <c r="L52" t="s">
        <v>163</v>
      </c>
      <c r="N52" t="s">
        <v>205</v>
      </c>
      <c r="O52" t="s">
        <v>326</v>
      </c>
      <c r="P52">
        <v>1.9386254708096184E-2</v>
      </c>
      <c r="Q52" t="s">
        <v>163</v>
      </c>
      <c r="S52" t="s">
        <v>236</v>
      </c>
      <c r="T52" t="s">
        <v>326</v>
      </c>
      <c r="U52">
        <v>2.882312364206719E-2</v>
      </c>
      <c r="V52" t="s">
        <v>163</v>
      </c>
      <c r="X52">
        <v>1.7694063926940638E-2</v>
      </c>
      <c r="Y52">
        <v>1.3358857701646654E-2</v>
      </c>
      <c r="Z52" t="s">
        <v>326</v>
      </c>
      <c r="AA52" t="s">
        <v>25</v>
      </c>
      <c r="AC52" t="s">
        <v>22</v>
      </c>
      <c r="AD52" t="s">
        <v>326</v>
      </c>
      <c r="AE52">
        <v>1.6409461770871873E-2</v>
      </c>
      <c r="AG52" t="s">
        <v>98</v>
      </c>
      <c r="AH52" t="s">
        <v>326</v>
      </c>
      <c r="AI52">
        <v>0.25853953911375616</v>
      </c>
      <c r="AK52">
        <v>2027</v>
      </c>
      <c r="AL52" t="s">
        <v>296</v>
      </c>
      <c r="AM52">
        <v>0.16869999999999999</v>
      </c>
      <c r="AN52" t="s">
        <v>289</v>
      </c>
    </row>
    <row r="53" spans="9:40" x14ac:dyDescent="0.45">
      <c r="I53" t="s">
        <v>175</v>
      </c>
      <c r="J53" t="s">
        <v>162</v>
      </c>
      <c r="K53">
        <v>1.1836798790461182E-2</v>
      </c>
      <c r="L53" t="s">
        <v>163</v>
      </c>
      <c r="N53" t="s">
        <v>206</v>
      </c>
      <c r="O53" t="s">
        <v>162</v>
      </c>
      <c r="P53">
        <v>0.11526487573424331</v>
      </c>
      <c r="Q53" t="s">
        <v>163</v>
      </c>
      <c r="S53" t="s">
        <v>237</v>
      </c>
      <c r="T53" t="s">
        <v>162</v>
      </c>
      <c r="U53">
        <v>0.11618604335466125</v>
      </c>
      <c r="V53" t="s">
        <v>163</v>
      </c>
      <c r="AC53" t="s">
        <v>19</v>
      </c>
      <c r="AD53" t="s">
        <v>162</v>
      </c>
      <c r="AE53">
        <v>0.11053147844269595</v>
      </c>
      <c r="AK53">
        <v>2028</v>
      </c>
      <c r="AL53" t="s">
        <v>151</v>
      </c>
      <c r="AM53">
        <v>0.22542500000000001</v>
      </c>
      <c r="AN53" t="s">
        <v>289</v>
      </c>
    </row>
    <row r="54" spans="9:40" x14ac:dyDescent="0.45">
      <c r="I54" t="s">
        <v>175</v>
      </c>
      <c r="J54" t="s">
        <v>164</v>
      </c>
      <c r="K54">
        <v>5.268059294496124E-2</v>
      </c>
      <c r="L54" t="s">
        <v>163</v>
      </c>
      <c r="N54" t="s">
        <v>206</v>
      </c>
      <c r="O54" t="s">
        <v>164</v>
      </c>
      <c r="P54">
        <v>2.6911411531412268E-2</v>
      </c>
      <c r="Q54" t="s">
        <v>163</v>
      </c>
      <c r="S54" t="s">
        <v>237</v>
      </c>
      <c r="T54" t="s">
        <v>164</v>
      </c>
      <c r="U54">
        <v>2.7989045845682514E-2</v>
      </c>
      <c r="V54" t="s">
        <v>163</v>
      </c>
      <c r="AC54" t="s">
        <v>19</v>
      </c>
      <c r="AD54" t="s">
        <v>164</v>
      </c>
      <c r="AE54">
        <v>2.7741034501700488E-2</v>
      </c>
      <c r="AK54">
        <v>2028</v>
      </c>
      <c r="AL54" t="s">
        <v>155</v>
      </c>
      <c r="AM54">
        <v>0.36299999999999999</v>
      </c>
      <c r="AN54" t="s">
        <v>289</v>
      </c>
    </row>
    <row r="55" spans="9:40" x14ac:dyDescent="0.45">
      <c r="I55" t="s">
        <v>175</v>
      </c>
      <c r="J55" t="s">
        <v>165</v>
      </c>
      <c r="K55">
        <v>0.1144130475256936</v>
      </c>
      <c r="L55" t="s">
        <v>163</v>
      </c>
      <c r="N55" t="s">
        <v>206</v>
      </c>
      <c r="O55" t="s">
        <v>165</v>
      </c>
      <c r="P55">
        <v>4.1179070017040728E-2</v>
      </c>
      <c r="Q55" t="s">
        <v>163</v>
      </c>
      <c r="S55" t="s">
        <v>237</v>
      </c>
      <c r="T55" t="s">
        <v>165</v>
      </c>
      <c r="U55">
        <v>4.1050900407940558E-2</v>
      </c>
      <c r="V55" t="s">
        <v>163</v>
      </c>
      <c r="AC55" t="s">
        <v>19</v>
      </c>
      <c r="AD55" t="s">
        <v>165</v>
      </c>
      <c r="AE55">
        <v>4.1487074343993992E-2</v>
      </c>
      <c r="AK55">
        <v>2028</v>
      </c>
      <c r="AL55" t="s">
        <v>157</v>
      </c>
      <c r="AM55">
        <v>0.30570000000000003</v>
      </c>
      <c r="AN55" t="s">
        <v>289</v>
      </c>
    </row>
    <row r="56" spans="9:40" x14ac:dyDescent="0.45">
      <c r="I56" t="s">
        <v>175</v>
      </c>
      <c r="J56" t="s">
        <v>297</v>
      </c>
      <c r="K56">
        <v>0.15136871559435022</v>
      </c>
      <c r="L56" t="s">
        <v>163</v>
      </c>
      <c r="N56" t="s">
        <v>206</v>
      </c>
      <c r="O56" t="s">
        <v>297</v>
      </c>
      <c r="P56">
        <v>7.2469458836969564E-2</v>
      </c>
      <c r="Q56" t="s">
        <v>163</v>
      </c>
      <c r="S56" t="s">
        <v>237</v>
      </c>
      <c r="T56" t="s">
        <v>297</v>
      </c>
      <c r="U56">
        <v>6.6719577727139448E-2</v>
      </c>
      <c r="V56" t="s">
        <v>163</v>
      </c>
      <c r="AC56" t="s">
        <v>19</v>
      </c>
      <c r="AD56" t="s">
        <v>297</v>
      </c>
      <c r="AE56">
        <v>6.7713562314850026E-2</v>
      </c>
      <c r="AK56">
        <v>2028</v>
      </c>
      <c r="AL56" t="s">
        <v>159</v>
      </c>
      <c r="AM56">
        <v>0.30754999999999999</v>
      </c>
      <c r="AN56" t="s">
        <v>289</v>
      </c>
    </row>
    <row r="57" spans="9:40" x14ac:dyDescent="0.45">
      <c r="I57" t="s">
        <v>175</v>
      </c>
      <c r="J57" t="s">
        <v>298</v>
      </c>
      <c r="K57">
        <v>5.2607766483798507E-3</v>
      </c>
      <c r="L57" t="s">
        <v>163</v>
      </c>
      <c r="N57" t="s">
        <v>206</v>
      </c>
      <c r="O57" t="s">
        <v>298</v>
      </c>
      <c r="P57">
        <v>1.3996499123871022E-2</v>
      </c>
      <c r="Q57" t="s">
        <v>163</v>
      </c>
      <c r="S57" t="s">
        <v>237</v>
      </c>
      <c r="T57" t="s">
        <v>298</v>
      </c>
      <c r="U57">
        <v>1.2502670755661261E-2</v>
      </c>
      <c r="V57" t="s">
        <v>163</v>
      </c>
      <c r="AC57" t="s">
        <v>19</v>
      </c>
      <c r="AD57" t="s">
        <v>298</v>
      </c>
      <c r="AE57">
        <v>1.3437498704290545E-2</v>
      </c>
      <c r="AK57">
        <v>2028</v>
      </c>
      <c r="AL57" t="s">
        <v>292</v>
      </c>
      <c r="AM57">
        <v>0.2482</v>
      </c>
      <c r="AN57" t="s">
        <v>289</v>
      </c>
    </row>
    <row r="58" spans="9:40" x14ac:dyDescent="0.45">
      <c r="I58" t="s">
        <v>175</v>
      </c>
      <c r="J58" t="s">
        <v>299</v>
      </c>
      <c r="K58">
        <v>0</v>
      </c>
      <c r="L58" t="s">
        <v>163</v>
      </c>
      <c r="N58" t="s">
        <v>206</v>
      </c>
      <c r="O58" t="s">
        <v>299</v>
      </c>
      <c r="P58">
        <v>7.4214505539532488E-2</v>
      </c>
      <c r="Q58" t="s">
        <v>163</v>
      </c>
      <c r="S58" t="s">
        <v>237</v>
      </c>
      <c r="T58" t="s">
        <v>299</v>
      </c>
      <c r="U58">
        <v>7.1317480005828687E-2</v>
      </c>
      <c r="V58" t="s">
        <v>163</v>
      </c>
      <c r="AC58" t="s">
        <v>19</v>
      </c>
      <c r="AD58" t="s">
        <v>299</v>
      </c>
      <c r="AE58">
        <v>6.7947599102826384E-2</v>
      </c>
      <c r="AK58">
        <v>2028</v>
      </c>
      <c r="AL58" t="s">
        <v>294</v>
      </c>
      <c r="AM58">
        <v>0.1865</v>
      </c>
      <c r="AN58" t="s">
        <v>289</v>
      </c>
    </row>
    <row r="59" spans="9:40" x14ac:dyDescent="0.45">
      <c r="I59" t="s">
        <v>175</v>
      </c>
      <c r="J59" t="s">
        <v>166</v>
      </c>
      <c r="K59">
        <v>6.9992589556046505E-3</v>
      </c>
      <c r="L59" t="s">
        <v>163</v>
      </c>
      <c r="N59" t="s">
        <v>206</v>
      </c>
      <c r="O59" t="s">
        <v>166</v>
      </c>
      <c r="P59">
        <v>2.1660374841430144E-2</v>
      </c>
      <c r="Q59" t="s">
        <v>163</v>
      </c>
      <c r="S59" t="s">
        <v>237</v>
      </c>
      <c r="T59" t="s">
        <v>166</v>
      </c>
      <c r="U59">
        <v>1.8207514613173971E-2</v>
      </c>
      <c r="V59" t="s">
        <v>163</v>
      </c>
      <c r="AC59" t="s">
        <v>19</v>
      </c>
      <c r="AD59" t="s">
        <v>166</v>
      </c>
      <c r="AE59">
        <v>2.8483733760586057E-2</v>
      </c>
      <c r="AK59">
        <v>2028</v>
      </c>
      <c r="AL59" t="s">
        <v>296</v>
      </c>
      <c r="AM59">
        <v>0.17710000000000001</v>
      </c>
      <c r="AN59" t="s">
        <v>289</v>
      </c>
    </row>
    <row r="60" spans="9:40" x14ac:dyDescent="0.45">
      <c r="I60" t="s">
        <v>175</v>
      </c>
      <c r="J60" t="s">
        <v>167</v>
      </c>
      <c r="K60">
        <v>1.5676613956054568E-2</v>
      </c>
      <c r="L60" t="s">
        <v>163</v>
      </c>
      <c r="N60" t="s">
        <v>206</v>
      </c>
      <c r="O60" t="s">
        <v>167</v>
      </c>
      <c r="P60">
        <v>5.3883183487437279E-3</v>
      </c>
      <c r="Q60" t="s">
        <v>163</v>
      </c>
      <c r="S60" t="s">
        <v>237</v>
      </c>
      <c r="T60" t="s">
        <v>167</v>
      </c>
      <c r="U60">
        <v>4.6265125282511357E-3</v>
      </c>
      <c r="V60" t="s">
        <v>163</v>
      </c>
      <c r="AC60" t="s">
        <v>19</v>
      </c>
      <c r="AD60" t="s">
        <v>167</v>
      </c>
      <c r="AE60">
        <v>7.1242178383163534E-3</v>
      </c>
      <c r="AK60">
        <v>2029</v>
      </c>
      <c r="AL60" t="s">
        <v>151</v>
      </c>
      <c r="AM60">
        <v>0.262625</v>
      </c>
      <c r="AN60" t="s">
        <v>289</v>
      </c>
    </row>
    <row r="61" spans="9:40" x14ac:dyDescent="0.45">
      <c r="I61" t="s">
        <v>175</v>
      </c>
      <c r="J61" t="s">
        <v>168</v>
      </c>
      <c r="K61">
        <v>3.2936560895573258E-2</v>
      </c>
      <c r="L61" t="s">
        <v>163</v>
      </c>
      <c r="N61" t="s">
        <v>206</v>
      </c>
      <c r="O61" t="s">
        <v>168</v>
      </c>
      <c r="P61">
        <v>8.9106328499766116E-3</v>
      </c>
      <c r="Q61" t="s">
        <v>163</v>
      </c>
      <c r="S61" t="s">
        <v>237</v>
      </c>
      <c r="T61" t="s">
        <v>168</v>
      </c>
      <c r="U61">
        <v>7.386580756036658E-3</v>
      </c>
      <c r="V61" t="s">
        <v>163</v>
      </c>
      <c r="AC61" t="s">
        <v>19</v>
      </c>
      <c r="AD61" t="s">
        <v>168</v>
      </c>
      <c r="AE61">
        <v>1.067169347812735E-2</v>
      </c>
      <c r="AK61">
        <v>2029</v>
      </c>
      <c r="AL61" t="s">
        <v>155</v>
      </c>
      <c r="AM61">
        <v>0.43049999999999999</v>
      </c>
      <c r="AN61" t="s">
        <v>289</v>
      </c>
    </row>
    <row r="62" spans="9:40" x14ac:dyDescent="0.45">
      <c r="I62" t="s">
        <v>175</v>
      </c>
      <c r="J62" t="s">
        <v>300</v>
      </c>
      <c r="K62">
        <v>4.7290648103167923E-2</v>
      </c>
      <c r="L62" t="s">
        <v>163</v>
      </c>
      <c r="N62" t="s">
        <v>206</v>
      </c>
      <c r="O62" t="s">
        <v>300</v>
      </c>
      <c r="P62">
        <v>1.48169974421086E-2</v>
      </c>
      <c r="Q62" t="s">
        <v>163</v>
      </c>
      <c r="S62" t="s">
        <v>237</v>
      </c>
      <c r="T62" t="s">
        <v>300</v>
      </c>
      <c r="U62">
        <v>1.183879709339208E-2</v>
      </c>
      <c r="V62" t="s">
        <v>163</v>
      </c>
      <c r="AC62" t="s">
        <v>19</v>
      </c>
      <c r="AD62" t="s">
        <v>300</v>
      </c>
      <c r="AE62">
        <v>1.7539159156818456E-2</v>
      </c>
      <c r="AK62">
        <v>2029</v>
      </c>
      <c r="AL62" t="s">
        <v>157</v>
      </c>
      <c r="AM62">
        <v>0.35389999999999999</v>
      </c>
      <c r="AN62" t="s">
        <v>289</v>
      </c>
    </row>
    <row r="63" spans="9:40" x14ac:dyDescent="0.45">
      <c r="I63" t="s">
        <v>175</v>
      </c>
      <c r="J63" t="s">
        <v>301</v>
      </c>
      <c r="K63">
        <v>4.1439780603052222E-3</v>
      </c>
      <c r="L63" t="s">
        <v>163</v>
      </c>
      <c r="N63" t="s">
        <v>206</v>
      </c>
      <c r="O63" t="s">
        <v>301</v>
      </c>
      <c r="P63">
        <v>2.4944265323896906E-3</v>
      </c>
      <c r="Q63" t="s">
        <v>163</v>
      </c>
      <c r="S63" t="s">
        <v>237</v>
      </c>
      <c r="T63" t="s">
        <v>301</v>
      </c>
      <c r="U63">
        <v>1.9784160302612308E-3</v>
      </c>
      <c r="V63" t="s">
        <v>163</v>
      </c>
      <c r="AC63" t="s">
        <v>19</v>
      </c>
      <c r="AD63" t="s">
        <v>301</v>
      </c>
      <c r="AE63">
        <v>3.48050462528387E-3</v>
      </c>
      <c r="AK63">
        <v>2029</v>
      </c>
      <c r="AL63" t="s">
        <v>159</v>
      </c>
      <c r="AM63">
        <v>0.38514999999999999</v>
      </c>
      <c r="AN63" t="s">
        <v>289</v>
      </c>
    </row>
    <row r="64" spans="9:40" x14ac:dyDescent="0.45">
      <c r="I64" t="s">
        <v>175</v>
      </c>
      <c r="J64" t="s">
        <v>302</v>
      </c>
      <c r="K64">
        <v>1.4278326220410905E-3</v>
      </c>
      <c r="L64" t="s">
        <v>163</v>
      </c>
      <c r="N64" t="s">
        <v>206</v>
      </c>
      <c r="O64" t="s">
        <v>302</v>
      </c>
      <c r="P64">
        <v>1.2877462295742251E-2</v>
      </c>
      <c r="Q64" t="s">
        <v>163</v>
      </c>
      <c r="S64" t="s">
        <v>237</v>
      </c>
      <c r="T64" t="s">
        <v>302</v>
      </c>
      <c r="U64">
        <v>9.9848070871142065E-3</v>
      </c>
      <c r="V64" t="s">
        <v>163</v>
      </c>
      <c r="AC64" t="s">
        <v>19</v>
      </c>
      <c r="AD64" t="s">
        <v>302</v>
      </c>
      <c r="AE64">
        <v>1.7550969123462368E-2</v>
      </c>
      <c r="AK64">
        <v>2029</v>
      </c>
      <c r="AL64" t="s">
        <v>292</v>
      </c>
      <c r="AM64">
        <v>0.29559999999999997</v>
      </c>
      <c r="AN64" t="s">
        <v>289</v>
      </c>
    </row>
    <row r="65" spans="9:40" x14ac:dyDescent="0.45">
      <c r="I65" t="s">
        <v>175</v>
      </c>
      <c r="J65" t="s">
        <v>169</v>
      </c>
      <c r="K65">
        <v>1.0346770177540314E-2</v>
      </c>
      <c r="L65" t="s">
        <v>163</v>
      </c>
      <c r="N65" t="s">
        <v>206</v>
      </c>
      <c r="O65" t="s">
        <v>169</v>
      </c>
      <c r="P65">
        <v>2.8090577942685248E-2</v>
      </c>
      <c r="Q65" t="s">
        <v>163</v>
      </c>
      <c r="S65" t="s">
        <v>237</v>
      </c>
      <c r="T65" t="s">
        <v>169</v>
      </c>
      <c r="U65">
        <v>2.5153834106413149E-2</v>
      </c>
      <c r="V65" t="s">
        <v>163</v>
      </c>
      <c r="AC65" t="s">
        <v>19</v>
      </c>
      <c r="AD65" t="s">
        <v>169</v>
      </c>
      <c r="AE65">
        <v>2.7565925499970782E-2</v>
      </c>
      <c r="AK65">
        <v>2029</v>
      </c>
      <c r="AL65" t="s">
        <v>294</v>
      </c>
      <c r="AM65">
        <v>0.22310000000000002</v>
      </c>
      <c r="AN65" t="s">
        <v>289</v>
      </c>
    </row>
    <row r="66" spans="9:40" x14ac:dyDescent="0.45">
      <c r="I66" t="s">
        <v>175</v>
      </c>
      <c r="J66" t="s">
        <v>170</v>
      </c>
      <c r="K66">
        <v>1.8298734342373647E-2</v>
      </c>
      <c r="L66" t="s">
        <v>163</v>
      </c>
      <c r="N66" t="s">
        <v>206</v>
      </c>
      <c r="O66" t="s">
        <v>170</v>
      </c>
      <c r="P66">
        <v>6.0497225517310354E-3</v>
      </c>
      <c r="Q66" t="s">
        <v>163</v>
      </c>
      <c r="S66" t="s">
        <v>237</v>
      </c>
      <c r="T66" t="s">
        <v>170</v>
      </c>
      <c r="U66">
        <v>5.4410978310820719E-3</v>
      </c>
      <c r="V66" t="s">
        <v>163</v>
      </c>
      <c r="AC66" t="s">
        <v>19</v>
      </c>
      <c r="AD66" t="s">
        <v>170</v>
      </c>
      <c r="AE66">
        <v>6.8902837443859874E-3</v>
      </c>
      <c r="AK66">
        <v>2029</v>
      </c>
      <c r="AL66" t="s">
        <v>296</v>
      </c>
      <c r="AM66">
        <v>0.2359</v>
      </c>
      <c r="AN66" t="s">
        <v>289</v>
      </c>
    </row>
    <row r="67" spans="9:40" x14ac:dyDescent="0.45">
      <c r="I67" t="s">
        <v>175</v>
      </c>
      <c r="J67" t="s">
        <v>171</v>
      </c>
      <c r="K67">
        <v>3.5258038413719141E-2</v>
      </c>
      <c r="L67" t="s">
        <v>163</v>
      </c>
      <c r="N67" t="s">
        <v>206</v>
      </c>
      <c r="O67" t="s">
        <v>171</v>
      </c>
      <c r="P67">
        <v>9.616635426369884E-3</v>
      </c>
      <c r="Q67" t="s">
        <v>163</v>
      </c>
      <c r="S67" t="s">
        <v>237</v>
      </c>
      <c r="T67" t="s">
        <v>171</v>
      </c>
      <c r="U67">
        <v>8.4179735284452793E-3</v>
      </c>
      <c r="V67" t="s">
        <v>163</v>
      </c>
      <c r="AC67" t="s">
        <v>19</v>
      </c>
      <c r="AD67" t="s">
        <v>171</v>
      </c>
      <c r="AE67">
        <v>1.0307631795096341E-2</v>
      </c>
      <c r="AK67">
        <v>2030</v>
      </c>
      <c r="AL67" t="s">
        <v>151</v>
      </c>
      <c r="AM67">
        <v>0.27172499999999999</v>
      </c>
      <c r="AN67" t="s">
        <v>289</v>
      </c>
    </row>
    <row r="68" spans="9:40" x14ac:dyDescent="0.45">
      <c r="I68" t="s">
        <v>175</v>
      </c>
      <c r="J68" t="s">
        <v>303</v>
      </c>
      <c r="K68">
        <v>5.3626300775819202E-2</v>
      </c>
      <c r="L68" t="s">
        <v>163</v>
      </c>
      <c r="N68" t="s">
        <v>206</v>
      </c>
      <c r="O68" t="s">
        <v>303</v>
      </c>
      <c r="P68">
        <v>1.6806362150662401E-2</v>
      </c>
      <c r="Q68" t="s">
        <v>163</v>
      </c>
      <c r="S68" t="s">
        <v>237</v>
      </c>
      <c r="T68" t="s">
        <v>303</v>
      </c>
      <c r="U68">
        <v>1.3350448231483118E-2</v>
      </c>
      <c r="V68" t="s">
        <v>163</v>
      </c>
      <c r="AC68" t="s">
        <v>19</v>
      </c>
      <c r="AD68" t="s">
        <v>303</v>
      </c>
      <c r="AE68">
        <v>1.698882675216493E-2</v>
      </c>
      <c r="AK68">
        <v>2030</v>
      </c>
      <c r="AL68" t="s">
        <v>155</v>
      </c>
      <c r="AM68">
        <v>0.43580000000000002</v>
      </c>
      <c r="AN68" t="s">
        <v>289</v>
      </c>
    </row>
    <row r="69" spans="9:40" x14ac:dyDescent="0.45">
      <c r="I69" t="s">
        <v>175</v>
      </c>
      <c r="J69" t="s">
        <v>304</v>
      </c>
      <c r="K69">
        <v>5.5588272774812061E-3</v>
      </c>
      <c r="L69" t="s">
        <v>163</v>
      </c>
      <c r="N69" t="s">
        <v>206</v>
      </c>
      <c r="O69" t="s">
        <v>304</v>
      </c>
      <c r="P69">
        <v>2.9891211723207011E-3</v>
      </c>
      <c r="Q69" t="s">
        <v>163</v>
      </c>
      <c r="S69" t="s">
        <v>237</v>
      </c>
      <c r="T69" t="s">
        <v>304</v>
      </c>
      <c r="U69">
        <v>2.1978746664022782E-3</v>
      </c>
      <c r="V69" t="s">
        <v>163</v>
      </c>
      <c r="AC69" t="s">
        <v>19</v>
      </c>
      <c r="AD69" t="s">
        <v>304</v>
      </c>
      <c r="AE69">
        <v>3.3743715752083277E-3</v>
      </c>
      <c r="AK69">
        <v>2030</v>
      </c>
      <c r="AL69" t="s">
        <v>157</v>
      </c>
      <c r="AM69">
        <v>0.37180000000000002</v>
      </c>
      <c r="AN69" t="s">
        <v>289</v>
      </c>
    </row>
    <row r="70" spans="9:40" x14ac:dyDescent="0.45">
      <c r="I70" t="s">
        <v>175</v>
      </c>
      <c r="J70" t="s">
        <v>305</v>
      </c>
      <c r="K70">
        <v>2.545993931191043E-3</v>
      </c>
      <c r="L70" t="s">
        <v>163</v>
      </c>
      <c r="N70" t="s">
        <v>206</v>
      </c>
      <c r="O70" t="s">
        <v>305</v>
      </c>
      <c r="P70">
        <v>1.5666084695337867E-2</v>
      </c>
      <c r="Q70" t="s">
        <v>163</v>
      </c>
      <c r="S70" t="s">
        <v>237</v>
      </c>
      <c r="T70" t="s">
        <v>305</v>
      </c>
      <c r="U70">
        <v>1.249296491823664E-2</v>
      </c>
      <c r="V70" t="s">
        <v>163</v>
      </c>
      <c r="AC70" t="s">
        <v>19</v>
      </c>
      <c r="AD70" t="s">
        <v>305</v>
      </c>
      <c r="AE70">
        <v>1.700072110219358E-2</v>
      </c>
      <c r="AK70">
        <v>2030</v>
      </c>
      <c r="AL70" t="s">
        <v>159</v>
      </c>
      <c r="AM70">
        <v>0.3533</v>
      </c>
      <c r="AN70" t="s">
        <v>289</v>
      </c>
    </row>
    <row r="71" spans="9:40" x14ac:dyDescent="0.45">
      <c r="I71" t="s">
        <v>175</v>
      </c>
      <c r="J71" t="s">
        <v>172</v>
      </c>
      <c r="K71">
        <v>9.5193665062237517E-3</v>
      </c>
      <c r="L71" t="s">
        <v>163</v>
      </c>
      <c r="N71" t="s">
        <v>206</v>
      </c>
      <c r="O71" t="s">
        <v>172</v>
      </c>
      <c r="P71">
        <v>4.2541937031346864E-2</v>
      </c>
      <c r="Q71" t="s">
        <v>163</v>
      </c>
      <c r="S71" t="s">
        <v>237</v>
      </c>
      <c r="T71" t="s">
        <v>172</v>
      </c>
      <c r="U71">
        <v>3.806789834422087E-2</v>
      </c>
      <c r="V71" t="s">
        <v>163</v>
      </c>
      <c r="AC71" t="s">
        <v>19</v>
      </c>
      <c r="AD71" t="s">
        <v>172</v>
      </c>
      <c r="AE71">
        <v>5.7425984149200082E-2</v>
      </c>
      <c r="AK71">
        <v>2030</v>
      </c>
      <c r="AL71" t="s">
        <v>292</v>
      </c>
      <c r="AM71">
        <v>0.34260000000000002</v>
      </c>
      <c r="AN71" t="s">
        <v>289</v>
      </c>
    </row>
    <row r="72" spans="9:40" x14ac:dyDescent="0.45">
      <c r="I72" t="s">
        <v>175</v>
      </c>
      <c r="J72" t="s">
        <v>173</v>
      </c>
      <c r="K72">
        <v>2.5169038369971902E-2</v>
      </c>
      <c r="L72" t="s">
        <v>163</v>
      </c>
      <c r="N72" t="s">
        <v>206</v>
      </c>
      <c r="O72" t="s">
        <v>173</v>
      </c>
      <c r="P72">
        <v>8.7217082938593916E-3</v>
      </c>
      <c r="Q72" t="s">
        <v>163</v>
      </c>
      <c r="S72" t="s">
        <v>237</v>
      </c>
      <c r="T72" t="s">
        <v>173</v>
      </c>
      <c r="U72">
        <v>8.2293145488919629E-3</v>
      </c>
      <c r="V72" t="s">
        <v>163</v>
      </c>
      <c r="AC72" t="s">
        <v>19</v>
      </c>
      <c r="AD72" t="s">
        <v>173</v>
      </c>
      <c r="AE72">
        <v>1.4331331274614825E-2</v>
      </c>
      <c r="AK72">
        <v>2030</v>
      </c>
      <c r="AL72" t="s">
        <v>294</v>
      </c>
      <c r="AM72">
        <v>0.21934999999999999</v>
      </c>
      <c r="AN72" t="s">
        <v>289</v>
      </c>
    </row>
    <row r="73" spans="9:40" x14ac:dyDescent="0.45">
      <c r="I73" t="s">
        <v>175</v>
      </c>
      <c r="J73" t="s">
        <v>174</v>
      </c>
      <c r="K73">
        <v>5.4941873038382535E-2</v>
      </c>
      <c r="L73" t="s">
        <v>163</v>
      </c>
      <c r="N73" t="s">
        <v>206</v>
      </c>
      <c r="O73" t="s">
        <v>174</v>
      </c>
      <c r="P73">
        <v>1.3108175910228226E-2</v>
      </c>
      <c r="Q73" t="s">
        <v>163</v>
      </c>
      <c r="S73" t="s">
        <v>237</v>
      </c>
      <c r="T73" t="s">
        <v>174</v>
      </c>
      <c r="U73">
        <v>1.280314338139881E-2</v>
      </c>
      <c r="V73" t="s">
        <v>163</v>
      </c>
      <c r="AC73" t="s">
        <v>19</v>
      </c>
      <c r="AD73" t="s">
        <v>174</v>
      </c>
      <c r="AE73">
        <v>2.1365777482765826E-2</v>
      </c>
      <c r="AK73">
        <v>2030</v>
      </c>
      <c r="AL73" t="s">
        <v>296</v>
      </c>
      <c r="AM73">
        <v>0.2155</v>
      </c>
      <c r="AN73" t="s">
        <v>289</v>
      </c>
    </row>
    <row r="74" spans="9:40" x14ac:dyDescent="0.45">
      <c r="I74" t="s">
        <v>175</v>
      </c>
      <c r="J74" t="s">
        <v>306</v>
      </c>
      <c r="K74">
        <v>7.7089550846789132E-2</v>
      </c>
      <c r="L74" t="s">
        <v>163</v>
      </c>
      <c r="N74" t="s">
        <v>206</v>
      </c>
      <c r="O74" t="s">
        <v>306</v>
      </c>
      <c r="P74">
        <v>2.0950850890559352E-2</v>
      </c>
      <c r="Q74" t="s">
        <v>163</v>
      </c>
      <c r="S74" t="s">
        <v>237</v>
      </c>
      <c r="T74" t="s">
        <v>306</v>
      </c>
      <c r="U74">
        <v>2.0399159620914646E-2</v>
      </c>
      <c r="V74" t="s">
        <v>163</v>
      </c>
      <c r="AC74" t="s">
        <v>19</v>
      </c>
      <c r="AD74" t="s">
        <v>306</v>
      </c>
      <c r="AE74">
        <v>3.5028644767575674E-2</v>
      </c>
      <c r="AK74">
        <v>2031</v>
      </c>
      <c r="AL74" t="s">
        <v>151</v>
      </c>
      <c r="AM74">
        <v>0.27379999999999999</v>
      </c>
      <c r="AN74" t="s">
        <v>289</v>
      </c>
    </row>
    <row r="75" spans="9:40" x14ac:dyDescent="0.45">
      <c r="I75" t="s">
        <v>175</v>
      </c>
      <c r="J75" t="s">
        <v>307</v>
      </c>
      <c r="K75">
        <v>6.1023097523142649E-3</v>
      </c>
      <c r="L75" t="s">
        <v>163</v>
      </c>
      <c r="N75" t="s">
        <v>206</v>
      </c>
      <c r="O75" t="s">
        <v>307</v>
      </c>
      <c r="P75">
        <v>3.8020602976358191E-3</v>
      </c>
      <c r="Q75" t="s">
        <v>163</v>
      </c>
      <c r="S75" t="s">
        <v>237</v>
      </c>
      <c r="T75" t="s">
        <v>307</v>
      </c>
      <c r="U75">
        <v>3.6306715146218571E-3</v>
      </c>
      <c r="V75" t="s">
        <v>163</v>
      </c>
      <c r="AC75" t="s">
        <v>19</v>
      </c>
      <c r="AD75" t="s">
        <v>307</v>
      </c>
      <c r="AE75">
        <v>6.9359580876902456E-3</v>
      </c>
      <c r="AK75">
        <v>2031</v>
      </c>
      <c r="AL75" t="s">
        <v>155</v>
      </c>
      <c r="AM75">
        <v>0.42359999999999998</v>
      </c>
      <c r="AN75" t="s">
        <v>289</v>
      </c>
    </row>
    <row r="76" spans="9:40" x14ac:dyDescent="0.45">
      <c r="I76" t="s">
        <v>175</v>
      </c>
      <c r="J76" t="s">
        <v>308</v>
      </c>
      <c r="K76">
        <v>1.6586771067219291E-3</v>
      </c>
      <c r="L76" t="s">
        <v>163</v>
      </c>
      <c r="N76" t="s">
        <v>206</v>
      </c>
      <c r="O76" t="s">
        <v>308</v>
      </c>
      <c r="P76">
        <v>2.4150453385489132E-2</v>
      </c>
      <c r="Q76" t="s">
        <v>163</v>
      </c>
      <c r="S76" t="s">
        <v>237</v>
      </c>
      <c r="T76" t="s">
        <v>308</v>
      </c>
      <c r="U76">
        <v>2.3275374215238669E-2</v>
      </c>
      <c r="V76" t="s">
        <v>163</v>
      </c>
      <c r="AC76" t="s">
        <v>19</v>
      </c>
      <c r="AD76" t="s">
        <v>308</v>
      </c>
      <c r="AE76">
        <v>3.4931978569127935E-2</v>
      </c>
      <c r="AK76">
        <v>2031</v>
      </c>
      <c r="AL76" t="s">
        <v>157</v>
      </c>
      <c r="AM76">
        <v>0.34210000000000002</v>
      </c>
      <c r="AN76" t="s">
        <v>289</v>
      </c>
    </row>
    <row r="77" spans="9:40" x14ac:dyDescent="0.45">
      <c r="I77" t="s">
        <v>175</v>
      </c>
      <c r="J77" t="s">
        <v>309</v>
      </c>
      <c r="K77">
        <v>4.5868046340698972E-3</v>
      </c>
      <c r="L77" t="s">
        <v>163</v>
      </c>
      <c r="N77" t="s">
        <v>206</v>
      </c>
      <c r="O77" t="s">
        <v>309</v>
      </c>
      <c r="P77">
        <v>3.4073505269761425E-2</v>
      </c>
      <c r="Q77" t="s">
        <v>163</v>
      </c>
      <c r="S77" t="s">
        <v>237</v>
      </c>
      <c r="T77" t="s">
        <v>309</v>
      </c>
      <c r="U77">
        <v>2.8014509565499245E-2</v>
      </c>
      <c r="V77" t="s">
        <v>163</v>
      </c>
      <c r="AC77" t="s">
        <v>19</v>
      </c>
      <c r="AD77" t="s">
        <v>309</v>
      </c>
      <c r="AE77">
        <v>2.7650611102568504E-2</v>
      </c>
      <c r="AK77">
        <v>2031</v>
      </c>
      <c r="AL77" t="s">
        <v>159</v>
      </c>
      <c r="AM77">
        <v>0.36580000000000001</v>
      </c>
      <c r="AN77" t="s">
        <v>289</v>
      </c>
    </row>
    <row r="78" spans="9:40" x14ac:dyDescent="0.45">
      <c r="I78" t="s">
        <v>175</v>
      </c>
      <c r="J78" t="s">
        <v>310</v>
      </c>
      <c r="K78">
        <v>1.5275999688685614E-2</v>
      </c>
      <c r="L78" t="s">
        <v>163</v>
      </c>
      <c r="N78" t="s">
        <v>206</v>
      </c>
      <c r="O78" t="s">
        <v>310</v>
      </c>
      <c r="P78">
        <v>8.172587092427297E-3</v>
      </c>
      <c r="Q78" t="s">
        <v>163</v>
      </c>
      <c r="S78" t="s">
        <v>237</v>
      </c>
      <c r="T78" t="s">
        <v>310</v>
      </c>
      <c r="U78">
        <v>7.3167887881160371E-3</v>
      </c>
      <c r="V78" t="s">
        <v>163</v>
      </c>
      <c r="AC78" t="s">
        <v>19</v>
      </c>
      <c r="AD78" t="s">
        <v>310</v>
      </c>
      <c r="AE78">
        <v>6.9057116243772055E-3</v>
      </c>
      <c r="AK78">
        <v>2031</v>
      </c>
      <c r="AL78" t="s">
        <v>292</v>
      </c>
      <c r="AM78">
        <v>0.31030000000000002</v>
      </c>
      <c r="AN78" t="s">
        <v>289</v>
      </c>
    </row>
    <row r="79" spans="9:40" x14ac:dyDescent="0.45">
      <c r="I79" t="s">
        <v>175</v>
      </c>
      <c r="J79" t="s">
        <v>311</v>
      </c>
      <c r="K79">
        <v>2.8456393941709589E-2</v>
      </c>
      <c r="L79" t="s">
        <v>163</v>
      </c>
      <c r="N79" t="s">
        <v>206</v>
      </c>
      <c r="O79" t="s">
        <v>311</v>
      </c>
      <c r="P79">
        <v>1.2047245463420436E-2</v>
      </c>
      <c r="Q79" t="s">
        <v>163</v>
      </c>
      <c r="S79" t="s">
        <v>237</v>
      </c>
      <c r="T79" t="s">
        <v>311</v>
      </c>
      <c r="U79">
        <v>1.049301756361635E-2</v>
      </c>
      <c r="V79" t="s">
        <v>163</v>
      </c>
      <c r="AC79" t="s">
        <v>19</v>
      </c>
      <c r="AD79" t="s">
        <v>311</v>
      </c>
      <c r="AE79">
        <v>1.0310668744065788E-2</v>
      </c>
      <c r="AK79">
        <v>2031</v>
      </c>
      <c r="AL79" t="s">
        <v>294</v>
      </c>
      <c r="AM79">
        <v>0.22349999999999998</v>
      </c>
      <c r="AN79" t="s">
        <v>289</v>
      </c>
    </row>
    <row r="80" spans="9:40" x14ac:dyDescent="0.45">
      <c r="I80" t="s">
        <v>175</v>
      </c>
      <c r="J80" t="s">
        <v>312</v>
      </c>
      <c r="K80">
        <v>3.9620490258306822E-2</v>
      </c>
      <c r="L80" t="s">
        <v>163</v>
      </c>
      <c r="N80" t="s">
        <v>206</v>
      </c>
      <c r="O80" t="s">
        <v>312</v>
      </c>
      <c r="P80">
        <v>2.0467962777588285E-2</v>
      </c>
      <c r="Q80" t="s">
        <v>163</v>
      </c>
      <c r="S80" t="s">
        <v>237</v>
      </c>
      <c r="T80" t="s">
        <v>312</v>
      </c>
      <c r="U80">
        <v>1.7562581346897147E-2</v>
      </c>
      <c r="V80" t="s">
        <v>163</v>
      </c>
      <c r="AC80" t="s">
        <v>19</v>
      </c>
      <c r="AD80" t="s">
        <v>312</v>
      </c>
      <c r="AE80">
        <v>1.6964339820422447E-2</v>
      </c>
      <c r="AK80">
        <v>2031</v>
      </c>
      <c r="AL80" t="s">
        <v>296</v>
      </c>
      <c r="AM80">
        <v>0.2172</v>
      </c>
      <c r="AN80" t="s">
        <v>289</v>
      </c>
    </row>
    <row r="81" spans="9:40" x14ac:dyDescent="0.45">
      <c r="I81" t="s">
        <v>175</v>
      </c>
      <c r="J81" t="s">
        <v>313</v>
      </c>
      <c r="K81">
        <v>1.6423198180488532E-3</v>
      </c>
      <c r="L81" t="s">
        <v>163</v>
      </c>
      <c r="N81" t="s">
        <v>206</v>
      </c>
      <c r="O81" t="s">
        <v>313</v>
      </c>
      <c r="P81">
        <v>4.012425699729389E-3</v>
      </c>
      <c r="Q81" t="s">
        <v>163</v>
      </c>
      <c r="S81" t="s">
        <v>237</v>
      </c>
      <c r="T81" t="s">
        <v>313</v>
      </c>
      <c r="U81">
        <v>3.4272918461268911E-3</v>
      </c>
      <c r="V81" t="s">
        <v>163</v>
      </c>
      <c r="AC81" t="s">
        <v>19</v>
      </c>
      <c r="AD81" t="s">
        <v>313</v>
      </c>
      <c r="AE81">
        <v>3.3688932851656294E-3</v>
      </c>
      <c r="AK81">
        <v>2032</v>
      </c>
      <c r="AL81" t="s">
        <v>151</v>
      </c>
      <c r="AM81">
        <v>0.25855</v>
      </c>
      <c r="AN81" t="s">
        <v>289</v>
      </c>
    </row>
    <row r="82" spans="9:40" x14ac:dyDescent="0.45">
      <c r="I82" t="s">
        <v>175</v>
      </c>
      <c r="J82" t="s">
        <v>314</v>
      </c>
      <c r="K82">
        <v>0</v>
      </c>
      <c r="L82" t="s">
        <v>163</v>
      </c>
      <c r="N82" t="s">
        <v>206</v>
      </c>
      <c r="O82" t="s">
        <v>314</v>
      </c>
      <c r="P82">
        <v>2.1533140718388608E-2</v>
      </c>
      <c r="Q82" t="s">
        <v>163</v>
      </c>
      <c r="S82" t="s">
        <v>237</v>
      </c>
      <c r="T82" t="s">
        <v>314</v>
      </c>
      <c r="U82">
        <v>1.752359416147262E-2</v>
      </c>
      <c r="V82" t="s">
        <v>163</v>
      </c>
      <c r="AC82" t="s">
        <v>19</v>
      </c>
      <c r="AD82" t="s">
        <v>314</v>
      </c>
      <c r="AE82">
        <v>1.6958282488018839E-2</v>
      </c>
      <c r="AK82">
        <v>2032</v>
      </c>
      <c r="AL82" t="s">
        <v>155</v>
      </c>
      <c r="AM82">
        <v>0.37990000000000002</v>
      </c>
      <c r="AN82" t="s">
        <v>289</v>
      </c>
    </row>
    <row r="83" spans="9:40" x14ac:dyDescent="0.45">
      <c r="I83" t="s">
        <v>175</v>
      </c>
      <c r="J83" t="s">
        <v>315</v>
      </c>
      <c r="K83">
        <v>3.32440209182194E-3</v>
      </c>
      <c r="L83" t="s">
        <v>163</v>
      </c>
      <c r="N83" t="s">
        <v>206</v>
      </c>
      <c r="O83" t="s">
        <v>315</v>
      </c>
      <c r="P83">
        <v>6.9647651599982971E-2</v>
      </c>
      <c r="Q83" t="s">
        <v>163</v>
      </c>
      <c r="S83" t="s">
        <v>237</v>
      </c>
      <c r="T83" t="s">
        <v>315</v>
      </c>
      <c r="U83">
        <v>7.726616805355388E-2</v>
      </c>
      <c r="V83" t="s">
        <v>163</v>
      </c>
      <c r="AC83" t="s">
        <v>19</v>
      </c>
      <c r="AD83" t="s">
        <v>315</v>
      </c>
      <c r="AE83">
        <v>5.6047175414442874E-2</v>
      </c>
      <c r="AK83">
        <v>2032</v>
      </c>
      <c r="AL83" t="s">
        <v>157</v>
      </c>
      <c r="AM83">
        <v>0.39529999999999998</v>
      </c>
      <c r="AN83" t="s">
        <v>289</v>
      </c>
    </row>
    <row r="84" spans="9:40" x14ac:dyDescent="0.45">
      <c r="I84" t="s">
        <v>175</v>
      </c>
      <c r="J84" t="s">
        <v>316</v>
      </c>
      <c r="K84">
        <v>1.9924533316588434E-2</v>
      </c>
      <c r="L84" t="s">
        <v>163</v>
      </c>
      <c r="N84" t="s">
        <v>206</v>
      </c>
      <c r="O84" t="s">
        <v>316</v>
      </c>
      <c r="P84">
        <v>1.7100853796499643E-2</v>
      </c>
      <c r="Q84" t="s">
        <v>163</v>
      </c>
      <c r="S84" t="s">
        <v>237</v>
      </c>
      <c r="T84" t="s">
        <v>316</v>
      </c>
      <c r="U84">
        <v>1.9771499273780854E-2</v>
      </c>
      <c r="V84" t="s">
        <v>163</v>
      </c>
      <c r="AC84" t="s">
        <v>19</v>
      </c>
      <c r="AD84" t="s">
        <v>316</v>
      </c>
      <c r="AE84">
        <v>1.4034432256314519E-2</v>
      </c>
      <c r="AK84">
        <v>2032</v>
      </c>
      <c r="AL84" t="s">
        <v>159</v>
      </c>
      <c r="AM84">
        <v>0.3695</v>
      </c>
      <c r="AN84" t="s">
        <v>289</v>
      </c>
    </row>
    <row r="85" spans="9:40" x14ac:dyDescent="0.45">
      <c r="I85" t="s">
        <v>175</v>
      </c>
      <c r="J85" t="s">
        <v>317</v>
      </c>
      <c r="K85">
        <v>4.2017088124647217E-2</v>
      </c>
      <c r="L85" t="s">
        <v>163</v>
      </c>
      <c r="N85" t="s">
        <v>206</v>
      </c>
      <c r="O85" t="s">
        <v>317</v>
      </c>
      <c r="P85">
        <v>2.545918074133624E-2</v>
      </c>
      <c r="Q85" t="s">
        <v>163</v>
      </c>
      <c r="S85" t="s">
        <v>237</v>
      </c>
      <c r="T85" t="s">
        <v>317</v>
      </c>
      <c r="U85">
        <v>2.9287125876089354E-2</v>
      </c>
      <c r="V85" t="s">
        <v>163</v>
      </c>
      <c r="AC85" t="s">
        <v>19</v>
      </c>
      <c r="AD85" t="s">
        <v>317</v>
      </c>
      <c r="AE85">
        <v>2.1032750875513168E-2</v>
      </c>
      <c r="AK85">
        <v>2032</v>
      </c>
      <c r="AL85" t="s">
        <v>292</v>
      </c>
      <c r="AM85">
        <v>0.29049999999999998</v>
      </c>
      <c r="AN85" t="s">
        <v>289</v>
      </c>
    </row>
    <row r="86" spans="9:40" x14ac:dyDescent="0.45">
      <c r="I86" t="s">
        <v>175</v>
      </c>
      <c r="J86" t="s">
        <v>318</v>
      </c>
      <c r="K86">
        <v>4.9324803964662399E-2</v>
      </c>
      <c r="L86" t="s">
        <v>163</v>
      </c>
      <c r="N86" t="s">
        <v>206</v>
      </c>
      <c r="O86" t="s">
        <v>318</v>
      </c>
      <c r="P86">
        <v>4.2582070186649446E-2</v>
      </c>
      <c r="Q86" t="s">
        <v>163</v>
      </c>
      <c r="S86" t="s">
        <v>237</v>
      </c>
      <c r="T86" t="s">
        <v>318</v>
      </c>
      <c r="U86">
        <v>4.8581258665421699E-2</v>
      </c>
      <c r="V86" t="s">
        <v>163</v>
      </c>
      <c r="AC86" t="s">
        <v>19</v>
      </c>
      <c r="AD86" t="s">
        <v>318</v>
      </c>
      <c r="AE86">
        <v>3.4483849619826951E-2</v>
      </c>
      <c r="AK86">
        <v>2032</v>
      </c>
      <c r="AL86" t="s">
        <v>294</v>
      </c>
      <c r="AM86">
        <v>0.20444999999999999</v>
      </c>
      <c r="AN86" t="s">
        <v>289</v>
      </c>
    </row>
    <row r="87" spans="9:40" x14ac:dyDescent="0.45">
      <c r="I87" t="s">
        <v>175</v>
      </c>
      <c r="J87" t="s">
        <v>319</v>
      </c>
      <c r="K87">
        <v>0</v>
      </c>
      <c r="L87" t="s">
        <v>163</v>
      </c>
      <c r="N87" t="s">
        <v>206</v>
      </c>
      <c r="O87" t="s">
        <v>319</v>
      </c>
      <c r="P87">
        <v>8.3539107694033492E-3</v>
      </c>
      <c r="Q87" t="s">
        <v>163</v>
      </c>
      <c r="S87" t="s">
        <v>237</v>
      </c>
      <c r="T87" t="s">
        <v>319</v>
      </c>
      <c r="U87">
        <v>9.3473757871776891E-3</v>
      </c>
      <c r="V87" t="s">
        <v>163</v>
      </c>
      <c r="AC87" t="s">
        <v>19</v>
      </c>
      <c r="AD87" t="s">
        <v>319</v>
      </c>
      <c r="AE87">
        <v>6.841989219183481E-3</v>
      </c>
      <c r="AK87">
        <v>2032</v>
      </c>
      <c r="AL87" t="s">
        <v>296</v>
      </c>
      <c r="AM87">
        <v>0.23619999999999999</v>
      </c>
      <c r="AN87" t="s">
        <v>289</v>
      </c>
    </row>
    <row r="88" spans="9:40" x14ac:dyDescent="0.45">
      <c r="I88" t="s">
        <v>175</v>
      </c>
      <c r="J88" t="s">
        <v>320</v>
      </c>
      <c r="K88">
        <v>0</v>
      </c>
      <c r="L88" t="s">
        <v>163</v>
      </c>
      <c r="N88" t="s">
        <v>206</v>
      </c>
      <c r="O88" t="s">
        <v>320</v>
      </c>
      <c r="P88">
        <v>4.3457989795830335E-2</v>
      </c>
      <c r="Q88" t="s">
        <v>163</v>
      </c>
      <c r="S88" t="s">
        <v>237</v>
      </c>
      <c r="T88" t="s">
        <v>320</v>
      </c>
      <c r="U88">
        <v>4.9060655209164292E-2</v>
      </c>
      <c r="V88" t="s">
        <v>163</v>
      </c>
      <c r="AC88" t="s">
        <v>19</v>
      </c>
      <c r="AD88" t="s">
        <v>320</v>
      </c>
      <c r="AE88">
        <v>3.4575279458529534E-2</v>
      </c>
      <c r="AK88">
        <v>2033</v>
      </c>
      <c r="AL88" t="s">
        <v>151</v>
      </c>
      <c r="AM88">
        <v>0.26907499999999995</v>
      </c>
      <c r="AN88" t="s">
        <v>289</v>
      </c>
    </row>
    <row r="89" spans="9:40" x14ac:dyDescent="0.45">
      <c r="I89" t="s">
        <v>175</v>
      </c>
      <c r="J89" t="s">
        <v>321</v>
      </c>
      <c r="K89">
        <v>0</v>
      </c>
      <c r="L89" t="s">
        <v>163</v>
      </c>
      <c r="N89" t="s">
        <v>206</v>
      </c>
      <c r="O89" t="s">
        <v>321</v>
      </c>
      <c r="P89">
        <v>2.9547354262432095E-2</v>
      </c>
      <c r="Q89" t="s">
        <v>163</v>
      </c>
      <c r="S89" t="s">
        <v>237</v>
      </c>
      <c r="T89" t="s">
        <v>321</v>
      </c>
      <c r="U89">
        <v>4.0652882203893063E-2</v>
      </c>
      <c r="V89" t="s">
        <v>163</v>
      </c>
      <c r="AC89" t="s">
        <v>19</v>
      </c>
      <c r="AD89" t="s">
        <v>321</v>
      </c>
      <c r="AE89">
        <v>2.8598126127753015E-2</v>
      </c>
      <c r="AK89">
        <v>2033</v>
      </c>
      <c r="AL89" t="s">
        <v>155</v>
      </c>
      <c r="AM89">
        <v>0.37919999999999998</v>
      </c>
      <c r="AN89" t="s">
        <v>289</v>
      </c>
    </row>
    <row r="90" spans="9:40" x14ac:dyDescent="0.45">
      <c r="I90" t="s">
        <v>175</v>
      </c>
      <c r="J90" t="s">
        <v>322</v>
      </c>
      <c r="K90">
        <v>7.6938163348157394E-3</v>
      </c>
      <c r="L90" t="s">
        <v>163</v>
      </c>
      <c r="N90" t="s">
        <v>206</v>
      </c>
      <c r="O90" t="s">
        <v>322</v>
      </c>
      <c r="P90">
        <v>7.3292702724132384E-3</v>
      </c>
      <c r="Q90" t="s">
        <v>163</v>
      </c>
      <c r="S90" t="s">
        <v>237</v>
      </c>
      <c r="T90" t="s">
        <v>322</v>
      </c>
      <c r="U90">
        <v>9.6850332170925445E-3</v>
      </c>
      <c r="V90" t="s">
        <v>163</v>
      </c>
      <c r="AC90" t="s">
        <v>19</v>
      </c>
      <c r="AD90" t="s">
        <v>322</v>
      </c>
      <c r="AE90">
        <v>7.1909072828772258E-3</v>
      </c>
      <c r="AK90">
        <v>2033</v>
      </c>
      <c r="AL90" t="s">
        <v>157</v>
      </c>
      <c r="AM90">
        <v>0.33629999999999999</v>
      </c>
      <c r="AN90" t="s">
        <v>289</v>
      </c>
    </row>
    <row r="91" spans="9:40" x14ac:dyDescent="0.45">
      <c r="I91" t="s">
        <v>175</v>
      </c>
      <c r="J91" t="s">
        <v>323</v>
      </c>
      <c r="K91">
        <v>2.0575722029641752E-2</v>
      </c>
      <c r="L91" t="s">
        <v>163</v>
      </c>
      <c r="N91" t="s">
        <v>206</v>
      </c>
      <c r="O91" t="s">
        <v>323</v>
      </c>
      <c r="P91">
        <v>1.0791260416155425E-2</v>
      </c>
      <c r="Q91" t="s">
        <v>163</v>
      </c>
      <c r="S91" t="s">
        <v>237</v>
      </c>
      <c r="T91" t="s">
        <v>323</v>
      </c>
      <c r="U91">
        <v>1.397159215908458E-2</v>
      </c>
      <c r="V91" t="s">
        <v>163</v>
      </c>
      <c r="AC91" t="s">
        <v>19</v>
      </c>
      <c r="AD91" t="s">
        <v>323</v>
      </c>
      <c r="AE91">
        <v>1.0732395631362631E-2</v>
      </c>
      <c r="AK91">
        <v>2033</v>
      </c>
      <c r="AL91" t="s">
        <v>159</v>
      </c>
      <c r="AM91">
        <v>0.36314999999999997</v>
      </c>
      <c r="AN91" t="s">
        <v>289</v>
      </c>
    </row>
    <row r="92" spans="9:40" x14ac:dyDescent="0.45">
      <c r="I92" t="s">
        <v>175</v>
      </c>
      <c r="J92" t="s">
        <v>324</v>
      </c>
      <c r="K92">
        <v>2.3407321161879685E-2</v>
      </c>
      <c r="L92" t="s">
        <v>163</v>
      </c>
      <c r="N92" t="s">
        <v>206</v>
      </c>
      <c r="O92" t="s">
        <v>324</v>
      </c>
      <c r="P92">
        <v>1.9701817674686269E-2</v>
      </c>
      <c r="Q92" t="s">
        <v>163</v>
      </c>
      <c r="S92" t="s">
        <v>237</v>
      </c>
      <c r="T92" t="s">
        <v>324</v>
      </c>
      <c r="U92">
        <v>2.3118114925447148E-2</v>
      </c>
      <c r="V92" t="s">
        <v>163</v>
      </c>
      <c r="AC92" t="s">
        <v>19</v>
      </c>
      <c r="AD92" t="s">
        <v>324</v>
      </c>
      <c r="AE92">
        <v>1.7450622852844801E-2</v>
      </c>
      <c r="AK92">
        <v>2033</v>
      </c>
      <c r="AL92" t="s">
        <v>292</v>
      </c>
      <c r="AM92">
        <v>0.3004</v>
      </c>
      <c r="AN92" t="s">
        <v>289</v>
      </c>
    </row>
    <row r="93" spans="9:40" x14ac:dyDescent="0.45">
      <c r="I93" t="s">
        <v>175</v>
      </c>
      <c r="J93" t="s">
        <v>325</v>
      </c>
      <c r="K93">
        <v>0</v>
      </c>
      <c r="L93" t="s">
        <v>163</v>
      </c>
      <c r="N93" t="s">
        <v>206</v>
      </c>
      <c r="O93" t="s">
        <v>325</v>
      </c>
      <c r="P93">
        <v>4.0289317038936616E-3</v>
      </c>
      <c r="Q93" t="s">
        <v>163</v>
      </c>
      <c r="S93" t="s">
        <v>237</v>
      </c>
      <c r="T93" t="s">
        <v>325</v>
      </c>
      <c r="U93">
        <v>4.872767266330842E-3</v>
      </c>
      <c r="V93" t="s">
        <v>163</v>
      </c>
      <c r="AC93" t="s">
        <v>19</v>
      </c>
      <c r="AD93" t="s">
        <v>325</v>
      </c>
      <c r="AE93">
        <v>3.4626973048605372E-3</v>
      </c>
      <c r="AK93">
        <v>2033</v>
      </c>
      <c r="AL93" t="s">
        <v>294</v>
      </c>
      <c r="AM93">
        <v>0.20295000000000002</v>
      </c>
      <c r="AN93" t="s">
        <v>289</v>
      </c>
    </row>
    <row r="94" spans="9:40" x14ac:dyDescent="0.45">
      <c r="I94" t="s">
        <v>175</v>
      </c>
      <c r="J94" t="s">
        <v>326</v>
      </c>
      <c r="K94">
        <v>0</v>
      </c>
      <c r="L94" t="s">
        <v>163</v>
      </c>
      <c r="N94" t="s">
        <v>206</v>
      </c>
      <c r="O94" t="s">
        <v>326</v>
      </c>
      <c r="P94">
        <v>1.9015118917714204E-2</v>
      </c>
      <c r="Q94" t="s">
        <v>163</v>
      </c>
      <c r="S94" t="s">
        <v>237</v>
      </c>
      <c r="T94" t="s">
        <v>326</v>
      </c>
      <c r="U94">
        <v>2.6799642978746079E-2</v>
      </c>
      <c r="V94" t="s">
        <v>163</v>
      </c>
      <c r="AC94" t="s">
        <v>19</v>
      </c>
      <c r="AD94" t="s">
        <v>326</v>
      </c>
      <c r="AE94">
        <v>1.7535306698926459E-2</v>
      </c>
      <c r="AK94">
        <v>2033</v>
      </c>
      <c r="AL94" t="s">
        <v>296</v>
      </c>
      <c r="AM94">
        <v>0.21579999999999999</v>
      </c>
      <c r="AN94" t="s">
        <v>289</v>
      </c>
    </row>
    <row r="95" spans="9:40" x14ac:dyDescent="0.45">
      <c r="I95" t="s">
        <v>176</v>
      </c>
      <c r="J95" t="s">
        <v>162</v>
      </c>
      <c r="K95">
        <v>1.5651912121974875E-2</v>
      </c>
      <c r="L95" t="s">
        <v>163</v>
      </c>
      <c r="N95" t="s">
        <v>207</v>
      </c>
      <c r="O95" t="s">
        <v>162</v>
      </c>
      <c r="P95">
        <v>0.11559270762336055</v>
      </c>
      <c r="Q95" t="s">
        <v>163</v>
      </c>
      <c r="S95" t="s">
        <v>238</v>
      </c>
      <c r="T95" t="s">
        <v>162</v>
      </c>
      <c r="U95">
        <v>0.10980046313994188</v>
      </c>
      <c r="V95" t="s">
        <v>163</v>
      </c>
      <c r="AK95">
        <v>2034</v>
      </c>
      <c r="AL95" t="s">
        <v>151</v>
      </c>
      <c r="AM95">
        <v>0.26577499999999998</v>
      </c>
      <c r="AN95" t="s">
        <v>289</v>
      </c>
    </row>
    <row r="96" spans="9:40" x14ac:dyDescent="0.45">
      <c r="I96" t="s">
        <v>176</v>
      </c>
      <c r="J96" t="s">
        <v>164</v>
      </c>
      <c r="K96">
        <v>6.1288686355537032E-2</v>
      </c>
      <c r="L96" t="s">
        <v>163</v>
      </c>
      <c r="N96" t="s">
        <v>207</v>
      </c>
      <c r="O96" t="s">
        <v>164</v>
      </c>
      <c r="P96">
        <v>2.7482059940839375E-2</v>
      </c>
      <c r="Q96" t="s">
        <v>163</v>
      </c>
      <c r="S96" t="s">
        <v>238</v>
      </c>
      <c r="T96" t="s">
        <v>164</v>
      </c>
      <c r="U96">
        <v>2.7597027984123862E-2</v>
      </c>
      <c r="V96" t="s">
        <v>163</v>
      </c>
      <c r="AK96">
        <v>2034</v>
      </c>
      <c r="AL96" t="s">
        <v>155</v>
      </c>
      <c r="AM96">
        <v>0.41120000000000001</v>
      </c>
      <c r="AN96" t="s">
        <v>289</v>
      </c>
    </row>
    <row r="97" spans="9:40" x14ac:dyDescent="0.45">
      <c r="I97" t="s">
        <v>176</v>
      </c>
      <c r="J97" t="s">
        <v>165</v>
      </c>
      <c r="K97">
        <v>0.11889986973212249</v>
      </c>
      <c r="L97" t="s">
        <v>163</v>
      </c>
      <c r="N97" t="s">
        <v>207</v>
      </c>
      <c r="O97" t="s">
        <v>165</v>
      </c>
      <c r="P97">
        <v>4.2914045323477153E-2</v>
      </c>
      <c r="Q97" t="s">
        <v>163</v>
      </c>
      <c r="S97" t="s">
        <v>238</v>
      </c>
      <c r="T97" t="s">
        <v>165</v>
      </c>
      <c r="U97">
        <v>4.2231803921753519E-2</v>
      </c>
      <c r="V97" t="s">
        <v>163</v>
      </c>
      <c r="AK97">
        <v>2034</v>
      </c>
      <c r="AL97" t="s">
        <v>157</v>
      </c>
      <c r="AM97">
        <v>0.35020000000000001</v>
      </c>
      <c r="AN97" t="s">
        <v>289</v>
      </c>
    </row>
    <row r="98" spans="9:40" x14ac:dyDescent="0.45">
      <c r="I98" t="s">
        <v>176</v>
      </c>
      <c r="J98" t="s">
        <v>297</v>
      </c>
      <c r="K98">
        <v>0.15641170429582185</v>
      </c>
      <c r="L98" t="s">
        <v>163</v>
      </c>
      <c r="N98" t="s">
        <v>207</v>
      </c>
      <c r="O98" t="s">
        <v>297</v>
      </c>
      <c r="P98">
        <v>7.7318337340629012E-2</v>
      </c>
      <c r="Q98" t="s">
        <v>163</v>
      </c>
      <c r="S98" t="s">
        <v>238</v>
      </c>
      <c r="T98" t="s">
        <v>297</v>
      </c>
      <c r="U98">
        <v>7.1392535734726065E-2</v>
      </c>
      <c r="V98" t="s">
        <v>163</v>
      </c>
      <c r="AK98">
        <v>2034</v>
      </c>
      <c r="AL98" t="s">
        <v>159</v>
      </c>
      <c r="AM98">
        <v>0.38805000000000001</v>
      </c>
      <c r="AN98" t="s">
        <v>289</v>
      </c>
    </row>
    <row r="99" spans="9:40" x14ac:dyDescent="0.45">
      <c r="I99" t="s">
        <v>176</v>
      </c>
      <c r="J99" t="s">
        <v>298</v>
      </c>
      <c r="K99">
        <v>4.5415499732669208E-3</v>
      </c>
      <c r="L99" t="s">
        <v>163</v>
      </c>
      <c r="N99" t="s">
        <v>207</v>
      </c>
      <c r="O99" t="s">
        <v>298</v>
      </c>
      <c r="P99">
        <v>1.6178217781753317E-2</v>
      </c>
      <c r="Q99" t="s">
        <v>163</v>
      </c>
      <c r="S99" t="s">
        <v>238</v>
      </c>
      <c r="T99" t="s">
        <v>298</v>
      </c>
      <c r="U99">
        <v>1.4432950447939245E-2</v>
      </c>
      <c r="V99" t="s">
        <v>163</v>
      </c>
      <c r="AK99">
        <v>2034</v>
      </c>
      <c r="AL99" t="s">
        <v>292</v>
      </c>
      <c r="AM99">
        <v>0.35</v>
      </c>
      <c r="AN99" t="s">
        <v>289</v>
      </c>
    </row>
    <row r="100" spans="9:40" x14ac:dyDescent="0.45">
      <c r="I100" t="s">
        <v>176</v>
      </c>
      <c r="J100" t="s">
        <v>299</v>
      </c>
      <c r="K100">
        <v>0</v>
      </c>
      <c r="L100" t="s">
        <v>163</v>
      </c>
      <c r="N100" t="s">
        <v>207</v>
      </c>
      <c r="O100" t="s">
        <v>299</v>
      </c>
      <c r="P100">
        <v>7.4172917941208227E-2</v>
      </c>
      <c r="Q100" t="s">
        <v>163</v>
      </c>
      <c r="S100" t="s">
        <v>238</v>
      </c>
      <c r="T100" t="s">
        <v>299</v>
      </c>
      <c r="U100">
        <v>7.3484620447254193E-2</v>
      </c>
      <c r="V100" t="s">
        <v>163</v>
      </c>
      <c r="AK100">
        <v>2034</v>
      </c>
      <c r="AL100" t="s">
        <v>294</v>
      </c>
      <c r="AM100">
        <v>0.20700000000000002</v>
      </c>
      <c r="AN100" t="s">
        <v>289</v>
      </c>
    </row>
    <row r="101" spans="9:40" x14ac:dyDescent="0.45">
      <c r="I101" t="s">
        <v>176</v>
      </c>
      <c r="J101" t="s">
        <v>166</v>
      </c>
      <c r="K101">
        <v>8.9975169492409225E-3</v>
      </c>
      <c r="L101" t="s">
        <v>163</v>
      </c>
      <c r="N101" t="s">
        <v>207</v>
      </c>
      <c r="O101" t="s">
        <v>166</v>
      </c>
      <c r="P101">
        <v>2.7862393402145223E-2</v>
      </c>
      <c r="Q101" t="s">
        <v>163</v>
      </c>
      <c r="S101" t="s">
        <v>238</v>
      </c>
      <c r="T101" t="s">
        <v>166</v>
      </c>
      <c r="U101">
        <v>2.2631378437441372E-2</v>
      </c>
      <c r="V101" t="s">
        <v>163</v>
      </c>
      <c r="AK101">
        <v>2034</v>
      </c>
      <c r="AL101" t="s">
        <v>296</v>
      </c>
      <c r="AM101">
        <v>0.2266</v>
      </c>
      <c r="AN101" t="s">
        <v>289</v>
      </c>
    </row>
    <row r="102" spans="9:40" x14ac:dyDescent="0.45">
      <c r="I102" t="s">
        <v>176</v>
      </c>
      <c r="J102" t="s">
        <v>167</v>
      </c>
      <c r="K102">
        <v>1.5958206080376916E-2</v>
      </c>
      <c r="L102" t="s">
        <v>163</v>
      </c>
      <c r="N102" t="s">
        <v>207</v>
      </c>
      <c r="O102" t="s">
        <v>167</v>
      </c>
      <c r="P102">
        <v>7.2831161685512806E-3</v>
      </c>
      <c r="Q102" t="s">
        <v>163</v>
      </c>
      <c r="S102" t="s">
        <v>238</v>
      </c>
      <c r="T102" t="s">
        <v>167</v>
      </c>
      <c r="U102">
        <v>5.4535378217227624E-3</v>
      </c>
      <c r="V102" t="s">
        <v>163</v>
      </c>
      <c r="AK102">
        <v>2035</v>
      </c>
      <c r="AL102" t="s">
        <v>151</v>
      </c>
      <c r="AM102">
        <v>0.25905</v>
      </c>
      <c r="AN102" t="s">
        <v>289</v>
      </c>
    </row>
    <row r="103" spans="9:40" x14ac:dyDescent="0.45">
      <c r="I103" t="s">
        <v>176</v>
      </c>
      <c r="J103" t="s">
        <v>168</v>
      </c>
      <c r="K103">
        <v>3.057155698437905E-2</v>
      </c>
      <c r="L103" t="s">
        <v>163</v>
      </c>
      <c r="N103" t="s">
        <v>207</v>
      </c>
      <c r="O103" t="s">
        <v>168</v>
      </c>
      <c r="P103">
        <v>1.1169025897622222E-2</v>
      </c>
      <c r="Q103" t="s">
        <v>163</v>
      </c>
      <c r="S103" t="s">
        <v>238</v>
      </c>
      <c r="T103" t="s">
        <v>168</v>
      </c>
      <c r="U103">
        <v>8.3766026942459822E-3</v>
      </c>
      <c r="V103" t="s">
        <v>163</v>
      </c>
      <c r="AK103">
        <v>2035</v>
      </c>
      <c r="AL103" t="s">
        <v>155</v>
      </c>
      <c r="AM103">
        <v>0.36980000000000002</v>
      </c>
      <c r="AN103" t="s">
        <v>289</v>
      </c>
    </row>
    <row r="104" spans="9:40" x14ac:dyDescent="0.45">
      <c r="I104" t="s">
        <v>176</v>
      </c>
      <c r="J104" t="s">
        <v>300</v>
      </c>
      <c r="K104">
        <v>4.0560197332504884E-2</v>
      </c>
      <c r="L104" t="s">
        <v>163</v>
      </c>
      <c r="N104" t="s">
        <v>207</v>
      </c>
      <c r="O104" t="s">
        <v>300</v>
      </c>
      <c r="P104">
        <v>1.9646247555566453E-2</v>
      </c>
      <c r="Q104" t="s">
        <v>163</v>
      </c>
      <c r="S104" t="s">
        <v>238</v>
      </c>
      <c r="T104" t="s">
        <v>300</v>
      </c>
      <c r="U104">
        <v>1.3027665887377684E-2</v>
      </c>
      <c r="V104" t="s">
        <v>163</v>
      </c>
      <c r="AK104">
        <v>2035</v>
      </c>
      <c r="AL104" t="s">
        <v>157</v>
      </c>
      <c r="AM104">
        <v>0.37480000000000002</v>
      </c>
      <c r="AN104" t="s">
        <v>289</v>
      </c>
    </row>
    <row r="105" spans="9:40" x14ac:dyDescent="0.45">
      <c r="I105" t="s">
        <v>176</v>
      </c>
      <c r="J105" t="s">
        <v>301</v>
      </c>
      <c r="K105">
        <v>3.1052238941184683E-3</v>
      </c>
      <c r="L105" t="s">
        <v>163</v>
      </c>
      <c r="N105" t="s">
        <v>207</v>
      </c>
      <c r="O105" t="s">
        <v>301</v>
      </c>
      <c r="P105">
        <v>3.9346934717920633E-3</v>
      </c>
      <c r="Q105" t="s">
        <v>163</v>
      </c>
      <c r="S105" t="s">
        <v>238</v>
      </c>
      <c r="T105" t="s">
        <v>301</v>
      </c>
      <c r="U105">
        <v>2.3091387458462928E-3</v>
      </c>
      <c r="V105" t="s">
        <v>163</v>
      </c>
      <c r="AK105">
        <v>2035</v>
      </c>
      <c r="AL105" t="s">
        <v>159</v>
      </c>
      <c r="AM105">
        <v>0.36160000000000003</v>
      </c>
      <c r="AN105" t="s">
        <v>289</v>
      </c>
    </row>
    <row r="106" spans="9:40" x14ac:dyDescent="0.45">
      <c r="I106" t="s">
        <v>176</v>
      </c>
      <c r="J106" t="s">
        <v>302</v>
      </c>
      <c r="K106">
        <v>8.9538494698229883E-4</v>
      </c>
      <c r="L106" t="s">
        <v>163</v>
      </c>
      <c r="N106" t="s">
        <v>207</v>
      </c>
      <c r="O106" t="s">
        <v>302</v>
      </c>
      <c r="P106">
        <v>1.8089220499522246E-2</v>
      </c>
      <c r="Q106" t="s">
        <v>163</v>
      </c>
      <c r="S106" t="s">
        <v>238</v>
      </c>
      <c r="T106" t="s">
        <v>302</v>
      </c>
      <c r="U106">
        <v>1.276455359620066E-2</v>
      </c>
      <c r="V106" t="s">
        <v>163</v>
      </c>
      <c r="AK106">
        <v>2035</v>
      </c>
      <c r="AL106" t="s">
        <v>292</v>
      </c>
      <c r="AM106">
        <v>0.2893</v>
      </c>
      <c r="AN106" t="s">
        <v>289</v>
      </c>
    </row>
    <row r="107" spans="9:40" x14ac:dyDescent="0.45">
      <c r="I107" t="s">
        <v>176</v>
      </c>
      <c r="J107" t="s">
        <v>169</v>
      </c>
      <c r="K107">
        <v>9.8056956237411591E-3</v>
      </c>
      <c r="L107" t="s">
        <v>163</v>
      </c>
      <c r="N107" t="s">
        <v>207</v>
      </c>
      <c r="O107" t="s">
        <v>169</v>
      </c>
      <c r="P107">
        <v>2.1684396752292653E-2</v>
      </c>
      <c r="Q107" t="s">
        <v>163</v>
      </c>
      <c r="S107" t="s">
        <v>238</v>
      </c>
      <c r="T107" t="s">
        <v>169</v>
      </c>
      <c r="U107">
        <v>2.7094382996257382E-2</v>
      </c>
      <c r="V107" t="s">
        <v>163</v>
      </c>
      <c r="AK107">
        <v>2035</v>
      </c>
      <c r="AL107" t="s">
        <v>294</v>
      </c>
      <c r="AM107">
        <v>0.22299999999999998</v>
      </c>
      <c r="AN107" t="s">
        <v>289</v>
      </c>
    </row>
    <row r="108" spans="9:40" x14ac:dyDescent="0.45">
      <c r="I108" t="s">
        <v>176</v>
      </c>
      <c r="J108" t="s">
        <v>170</v>
      </c>
      <c r="K108">
        <v>1.6001237505960619E-2</v>
      </c>
      <c r="L108" t="s">
        <v>163</v>
      </c>
      <c r="N108" t="s">
        <v>207</v>
      </c>
      <c r="O108" t="s">
        <v>170</v>
      </c>
      <c r="P108">
        <v>4.4707603467516325E-3</v>
      </c>
      <c r="Q108" t="s">
        <v>163</v>
      </c>
      <c r="S108" t="s">
        <v>238</v>
      </c>
      <c r="T108" t="s">
        <v>170</v>
      </c>
      <c r="U108">
        <v>5.8774289823744488E-3</v>
      </c>
      <c r="V108" t="s">
        <v>163</v>
      </c>
      <c r="AK108">
        <v>2035</v>
      </c>
      <c r="AL108" t="s">
        <v>296</v>
      </c>
      <c r="AM108">
        <v>0.2369</v>
      </c>
      <c r="AN108" t="s">
        <v>289</v>
      </c>
    </row>
    <row r="109" spans="9:40" x14ac:dyDescent="0.45">
      <c r="I109" t="s">
        <v>176</v>
      </c>
      <c r="J109" t="s">
        <v>171</v>
      </c>
      <c r="K109">
        <v>2.946905911180794E-2</v>
      </c>
      <c r="L109" t="s">
        <v>163</v>
      </c>
      <c r="N109" t="s">
        <v>207</v>
      </c>
      <c r="O109" t="s">
        <v>171</v>
      </c>
      <c r="P109">
        <v>7.1122104396081475E-3</v>
      </c>
      <c r="Q109" t="s">
        <v>163</v>
      </c>
      <c r="S109" t="s">
        <v>238</v>
      </c>
      <c r="T109" t="s">
        <v>171</v>
      </c>
      <c r="U109">
        <v>9.4190606727982129E-3</v>
      </c>
      <c r="V109" t="s">
        <v>163</v>
      </c>
      <c r="AK109">
        <v>2036</v>
      </c>
      <c r="AL109" t="s">
        <v>151</v>
      </c>
      <c r="AM109">
        <v>0.260575</v>
      </c>
      <c r="AN109" t="s">
        <v>289</v>
      </c>
    </row>
    <row r="110" spans="9:40" x14ac:dyDescent="0.45">
      <c r="I110" t="s">
        <v>176</v>
      </c>
      <c r="J110" t="s">
        <v>303</v>
      </c>
      <c r="K110">
        <v>4.176508182163486E-2</v>
      </c>
      <c r="L110" t="s">
        <v>163</v>
      </c>
      <c r="N110" t="s">
        <v>207</v>
      </c>
      <c r="O110" t="s">
        <v>303</v>
      </c>
      <c r="P110">
        <v>1.2583566312156586E-2</v>
      </c>
      <c r="Q110" t="s">
        <v>163</v>
      </c>
      <c r="S110" t="s">
        <v>238</v>
      </c>
      <c r="T110" t="s">
        <v>303</v>
      </c>
      <c r="U110">
        <v>1.6133597567253848E-2</v>
      </c>
      <c r="V110" t="s">
        <v>163</v>
      </c>
      <c r="AK110">
        <v>2036</v>
      </c>
      <c r="AL110" t="s">
        <v>155</v>
      </c>
      <c r="AM110">
        <v>0.42949999999999999</v>
      </c>
      <c r="AN110" t="s">
        <v>289</v>
      </c>
    </row>
    <row r="111" spans="9:40" x14ac:dyDescent="0.45">
      <c r="I111" t="s">
        <v>176</v>
      </c>
      <c r="J111" t="s">
        <v>304</v>
      </c>
      <c r="K111">
        <v>4.0127543767828674E-3</v>
      </c>
      <c r="L111" t="s">
        <v>163</v>
      </c>
      <c r="N111" t="s">
        <v>207</v>
      </c>
      <c r="O111" t="s">
        <v>304</v>
      </c>
      <c r="P111">
        <v>2.4446978678105431E-3</v>
      </c>
      <c r="Q111" t="s">
        <v>163</v>
      </c>
      <c r="S111" t="s">
        <v>238</v>
      </c>
      <c r="T111" t="s">
        <v>304</v>
      </c>
      <c r="U111">
        <v>2.9615622132767526E-3</v>
      </c>
      <c r="V111" t="s">
        <v>163</v>
      </c>
      <c r="AK111">
        <v>2036</v>
      </c>
      <c r="AL111" t="s">
        <v>157</v>
      </c>
      <c r="AM111">
        <v>0.37890000000000001</v>
      </c>
      <c r="AN111" t="s">
        <v>289</v>
      </c>
    </row>
    <row r="112" spans="9:40" x14ac:dyDescent="0.45">
      <c r="I112" t="s">
        <v>176</v>
      </c>
      <c r="J112" t="s">
        <v>305</v>
      </c>
      <c r="K112">
        <v>1.7833916682260735E-3</v>
      </c>
      <c r="L112" t="s">
        <v>163</v>
      </c>
      <c r="N112" t="s">
        <v>207</v>
      </c>
      <c r="O112" t="s">
        <v>305</v>
      </c>
      <c r="P112">
        <v>1.0597566232758353E-2</v>
      </c>
      <c r="Q112" t="s">
        <v>163</v>
      </c>
      <c r="S112" t="s">
        <v>238</v>
      </c>
      <c r="T112" t="s">
        <v>305</v>
      </c>
      <c r="U112">
        <v>1.5725966863451207E-2</v>
      </c>
      <c r="V112" t="s">
        <v>163</v>
      </c>
      <c r="AK112">
        <v>2036</v>
      </c>
      <c r="AL112" t="s">
        <v>159</v>
      </c>
      <c r="AM112">
        <v>0.34815000000000002</v>
      </c>
      <c r="AN112" t="s">
        <v>289</v>
      </c>
    </row>
    <row r="113" spans="9:40" x14ac:dyDescent="0.45">
      <c r="I113" t="s">
        <v>176</v>
      </c>
      <c r="J113" t="s">
        <v>172</v>
      </c>
      <c r="K113">
        <v>1.3431516245166166E-2</v>
      </c>
      <c r="L113" t="s">
        <v>163</v>
      </c>
      <c r="N113" t="s">
        <v>207</v>
      </c>
      <c r="O113" t="s">
        <v>172</v>
      </c>
      <c r="P113">
        <v>2.3066868379157505E-2</v>
      </c>
      <c r="Q113" t="s">
        <v>163</v>
      </c>
      <c r="S113" t="s">
        <v>238</v>
      </c>
      <c r="T113" t="s">
        <v>172</v>
      </c>
      <c r="U113">
        <v>5.1855725925307537E-2</v>
      </c>
      <c r="V113" t="s">
        <v>163</v>
      </c>
      <c r="AK113">
        <v>2036</v>
      </c>
      <c r="AL113" t="s">
        <v>292</v>
      </c>
      <c r="AM113">
        <v>0.3044</v>
      </c>
      <c r="AN113" t="s">
        <v>289</v>
      </c>
    </row>
    <row r="114" spans="9:40" x14ac:dyDescent="0.45">
      <c r="I114" t="s">
        <v>176</v>
      </c>
      <c r="J114" t="s">
        <v>173</v>
      </c>
      <c r="K114">
        <v>2.7398695949676175E-2</v>
      </c>
      <c r="L114" t="s">
        <v>163</v>
      </c>
      <c r="N114" t="s">
        <v>207</v>
      </c>
      <c r="O114" t="s">
        <v>173</v>
      </c>
      <c r="P114">
        <v>5.3759202003137441E-3</v>
      </c>
      <c r="Q114" t="s">
        <v>163</v>
      </c>
      <c r="S114" t="s">
        <v>238</v>
      </c>
      <c r="T114" t="s">
        <v>173</v>
      </c>
      <c r="U114">
        <v>1.0456777777485425E-2</v>
      </c>
      <c r="V114" t="s">
        <v>163</v>
      </c>
      <c r="AK114">
        <v>2036</v>
      </c>
      <c r="AL114" t="s">
        <v>294</v>
      </c>
      <c r="AM114">
        <v>0.2319</v>
      </c>
      <c r="AN114" t="s">
        <v>289</v>
      </c>
    </row>
    <row r="115" spans="9:40" x14ac:dyDescent="0.45">
      <c r="I115" t="s">
        <v>176</v>
      </c>
      <c r="J115" t="s">
        <v>174</v>
      </c>
      <c r="K115">
        <v>5.4306600869214294E-2</v>
      </c>
      <c r="L115" t="s">
        <v>163</v>
      </c>
      <c r="N115" t="s">
        <v>207</v>
      </c>
      <c r="O115" t="s">
        <v>174</v>
      </c>
      <c r="P115">
        <v>8.2229005848550498E-3</v>
      </c>
      <c r="Q115" t="s">
        <v>163</v>
      </c>
      <c r="S115" t="s">
        <v>238</v>
      </c>
      <c r="T115" t="s">
        <v>174</v>
      </c>
      <c r="U115">
        <v>1.5891646180230222E-2</v>
      </c>
      <c r="V115" t="s">
        <v>163</v>
      </c>
      <c r="AK115">
        <v>2036</v>
      </c>
      <c r="AL115" t="s">
        <v>296</v>
      </c>
      <c r="AM115">
        <v>0.2092</v>
      </c>
      <c r="AN115" t="s">
        <v>289</v>
      </c>
    </row>
    <row r="116" spans="9:40" x14ac:dyDescent="0.45">
      <c r="I116" t="s">
        <v>176</v>
      </c>
      <c r="J116" t="s">
        <v>306</v>
      </c>
      <c r="K116">
        <v>7.7016670073569507E-2</v>
      </c>
      <c r="L116" t="s">
        <v>163</v>
      </c>
      <c r="N116" t="s">
        <v>207</v>
      </c>
      <c r="O116" t="s">
        <v>306</v>
      </c>
      <c r="P116">
        <v>1.343759500023442E-2</v>
      </c>
      <c r="Q116" t="s">
        <v>163</v>
      </c>
      <c r="S116" t="s">
        <v>238</v>
      </c>
      <c r="T116" t="s">
        <v>306</v>
      </c>
      <c r="U116">
        <v>2.6757160549078337E-2</v>
      </c>
      <c r="V116" t="s">
        <v>163</v>
      </c>
      <c r="AK116">
        <v>2037</v>
      </c>
      <c r="AL116" t="s">
        <v>151</v>
      </c>
      <c r="AM116">
        <v>0.28080000000000005</v>
      </c>
      <c r="AN116" t="s">
        <v>289</v>
      </c>
    </row>
    <row r="117" spans="9:40" x14ac:dyDescent="0.45">
      <c r="I117" t="s">
        <v>176</v>
      </c>
      <c r="J117" t="s">
        <v>307</v>
      </c>
      <c r="K117">
        <v>6.3997114036061916E-3</v>
      </c>
      <c r="L117" t="s">
        <v>163</v>
      </c>
      <c r="N117" t="s">
        <v>207</v>
      </c>
      <c r="O117" t="s">
        <v>307</v>
      </c>
      <c r="P117">
        <v>2.5873758482434488E-3</v>
      </c>
      <c r="Q117" t="s">
        <v>163</v>
      </c>
      <c r="S117" t="s">
        <v>238</v>
      </c>
      <c r="T117" t="s">
        <v>307</v>
      </c>
      <c r="U117">
        <v>4.841084307272564E-3</v>
      </c>
      <c r="V117" t="s">
        <v>163</v>
      </c>
      <c r="AK117">
        <v>2037</v>
      </c>
      <c r="AL117" t="s">
        <v>155</v>
      </c>
      <c r="AM117">
        <v>0.36830000000000002</v>
      </c>
      <c r="AN117" t="s">
        <v>289</v>
      </c>
    </row>
    <row r="118" spans="9:40" x14ac:dyDescent="0.45">
      <c r="I118" t="s">
        <v>176</v>
      </c>
      <c r="J118" t="s">
        <v>308</v>
      </c>
      <c r="K118">
        <v>1.9870632335982144E-3</v>
      </c>
      <c r="L118" t="s">
        <v>163</v>
      </c>
      <c r="N118" t="s">
        <v>207</v>
      </c>
      <c r="O118" t="s">
        <v>308</v>
      </c>
      <c r="P118">
        <v>1.245648256904958E-2</v>
      </c>
      <c r="Q118" t="s">
        <v>163</v>
      </c>
      <c r="S118" t="s">
        <v>238</v>
      </c>
      <c r="T118" t="s">
        <v>308</v>
      </c>
      <c r="U118">
        <v>2.9206628414021017E-2</v>
      </c>
      <c r="V118" t="s">
        <v>163</v>
      </c>
      <c r="AK118">
        <v>2037</v>
      </c>
      <c r="AL118" t="s">
        <v>157</v>
      </c>
      <c r="AM118">
        <v>0.39779999999999999</v>
      </c>
      <c r="AN118" t="s">
        <v>289</v>
      </c>
    </row>
    <row r="119" spans="9:40" x14ac:dyDescent="0.45">
      <c r="I119" t="s">
        <v>176</v>
      </c>
      <c r="J119" t="s">
        <v>309</v>
      </c>
      <c r="K119">
        <v>5.5360035709082532E-3</v>
      </c>
      <c r="L119" t="s">
        <v>163</v>
      </c>
      <c r="N119" t="s">
        <v>207</v>
      </c>
      <c r="O119" t="s">
        <v>309</v>
      </c>
      <c r="P119">
        <v>3.5312696911522397E-2</v>
      </c>
      <c r="Q119" t="s">
        <v>163</v>
      </c>
      <c r="S119" t="s">
        <v>238</v>
      </c>
      <c r="T119" t="s">
        <v>309</v>
      </c>
      <c r="U119">
        <v>2.9808038708853912E-2</v>
      </c>
      <c r="V119" t="s">
        <v>163</v>
      </c>
      <c r="AK119">
        <v>2037</v>
      </c>
      <c r="AL119" t="s">
        <v>159</v>
      </c>
      <c r="AM119">
        <v>0.34394999999999998</v>
      </c>
      <c r="AN119" t="s">
        <v>289</v>
      </c>
    </row>
    <row r="120" spans="9:40" x14ac:dyDescent="0.45">
      <c r="I120" t="s">
        <v>176</v>
      </c>
      <c r="J120" t="s">
        <v>310</v>
      </c>
      <c r="K120">
        <v>1.3998880817861421E-2</v>
      </c>
      <c r="L120" t="s">
        <v>163</v>
      </c>
      <c r="N120" t="s">
        <v>207</v>
      </c>
      <c r="O120" t="s">
        <v>310</v>
      </c>
      <c r="P120">
        <v>9.2468125339280772E-3</v>
      </c>
      <c r="Q120" t="s">
        <v>163</v>
      </c>
      <c r="S120" t="s">
        <v>238</v>
      </c>
      <c r="T120" t="s">
        <v>310</v>
      </c>
      <c r="U120">
        <v>6.8932877527933594E-3</v>
      </c>
      <c r="V120" t="s">
        <v>163</v>
      </c>
      <c r="AK120">
        <v>2037</v>
      </c>
      <c r="AL120" t="s">
        <v>292</v>
      </c>
      <c r="AM120">
        <v>0.3256</v>
      </c>
      <c r="AN120" t="s">
        <v>289</v>
      </c>
    </row>
    <row r="121" spans="9:40" x14ac:dyDescent="0.45">
      <c r="I121" t="s">
        <v>176</v>
      </c>
      <c r="J121" t="s">
        <v>311</v>
      </c>
      <c r="K121">
        <v>2.4675667453713423E-2</v>
      </c>
      <c r="L121" t="s">
        <v>163</v>
      </c>
      <c r="N121" t="s">
        <v>207</v>
      </c>
      <c r="O121" t="s">
        <v>311</v>
      </c>
      <c r="P121">
        <v>1.3980224768999391E-2</v>
      </c>
      <c r="Q121" t="s">
        <v>163</v>
      </c>
      <c r="S121" t="s">
        <v>238</v>
      </c>
      <c r="T121" t="s">
        <v>311</v>
      </c>
      <c r="U121">
        <v>1.0433528411074752E-2</v>
      </c>
      <c r="V121" t="s">
        <v>163</v>
      </c>
      <c r="AK121">
        <v>2037</v>
      </c>
      <c r="AL121" t="s">
        <v>294</v>
      </c>
      <c r="AM121">
        <v>0.22625000000000001</v>
      </c>
      <c r="AN121" t="s">
        <v>289</v>
      </c>
    </row>
    <row r="122" spans="9:40" x14ac:dyDescent="0.45">
      <c r="I122" t="s">
        <v>176</v>
      </c>
      <c r="J122" t="s">
        <v>312</v>
      </c>
      <c r="K122">
        <v>3.0734992587655708E-2</v>
      </c>
      <c r="L122" t="s">
        <v>163</v>
      </c>
      <c r="N122" t="s">
        <v>207</v>
      </c>
      <c r="O122" t="s">
        <v>312</v>
      </c>
      <c r="P122">
        <v>2.3453922315015266E-2</v>
      </c>
      <c r="Q122" t="s">
        <v>163</v>
      </c>
      <c r="S122" t="s">
        <v>238</v>
      </c>
      <c r="T122" t="s">
        <v>312</v>
      </c>
      <c r="U122">
        <v>1.779533042315036E-2</v>
      </c>
      <c r="V122" t="s">
        <v>163</v>
      </c>
      <c r="AK122">
        <v>2037</v>
      </c>
      <c r="AL122" t="s">
        <v>296</v>
      </c>
      <c r="AM122">
        <v>0.2208</v>
      </c>
      <c r="AN122" t="s">
        <v>289</v>
      </c>
    </row>
    <row r="123" spans="9:40" x14ac:dyDescent="0.45">
      <c r="I123" t="s">
        <v>176</v>
      </c>
      <c r="J123" t="s">
        <v>313</v>
      </c>
      <c r="K123">
        <v>9.3673613343858979E-4</v>
      </c>
      <c r="L123" t="s">
        <v>163</v>
      </c>
      <c r="N123" t="s">
        <v>207</v>
      </c>
      <c r="O123" t="s">
        <v>313</v>
      </c>
      <c r="P123">
        <v>4.8683628241974154E-3</v>
      </c>
      <c r="Q123" t="s">
        <v>163</v>
      </c>
      <c r="S123" t="s">
        <v>238</v>
      </c>
      <c r="T123" t="s">
        <v>313</v>
      </c>
      <c r="U123">
        <v>3.5049174769720155E-3</v>
      </c>
      <c r="V123" t="s">
        <v>163</v>
      </c>
      <c r="AK123">
        <v>2038</v>
      </c>
      <c r="AL123" t="s">
        <v>151</v>
      </c>
      <c r="AM123">
        <v>0.26027500000000003</v>
      </c>
      <c r="AN123" t="s">
        <v>289</v>
      </c>
    </row>
    <row r="124" spans="9:40" x14ac:dyDescent="0.45">
      <c r="I124" t="s">
        <v>176</v>
      </c>
      <c r="J124" t="s">
        <v>314</v>
      </c>
      <c r="K124">
        <v>0</v>
      </c>
      <c r="L124" t="s">
        <v>163</v>
      </c>
      <c r="N124" t="s">
        <v>207</v>
      </c>
      <c r="O124" t="s">
        <v>314</v>
      </c>
      <c r="P124">
        <v>2.2846045371776851E-2</v>
      </c>
      <c r="Q124" t="s">
        <v>163</v>
      </c>
      <c r="S124" t="s">
        <v>238</v>
      </c>
      <c r="T124" t="s">
        <v>314</v>
      </c>
      <c r="U124">
        <v>1.959359585888041E-2</v>
      </c>
      <c r="V124" t="s">
        <v>163</v>
      </c>
      <c r="AK124">
        <v>2038</v>
      </c>
      <c r="AL124" t="s">
        <v>155</v>
      </c>
      <c r="AM124">
        <v>0.43240000000000001</v>
      </c>
      <c r="AN124" t="s">
        <v>289</v>
      </c>
    </row>
    <row r="125" spans="9:40" x14ac:dyDescent="0.45">
      <c r="I125" t="s">
        <v>176</v>
      </c>
      <c r="J125" t="s">
        <v>315</v>
      </c>
      <c r="K125">
        <v>5.113153784725751E-3</v>
      </c>
      <c r="L125" t="s">
        <v>163</v>
      </c>
      <c r="N125" t="s">
        <v>207</v>
      </c>
      <c r="O125" t="s">
        <v>315</v>
      </c>
      <c r="P125">
        <v>7.614390293204526E-2</v>
      </c>
      <c r="Q125" t="s">
        <v>163</v>
      </c>
      <c r="S125" t="s">
        <v>238</v>
      </c>
      <c r="T125" t="s">
        <v>315</v>
      </c>
      <c r="U125">
        <v>6.6939743568048035E-2</v>
      </c>
      <c r="V125" t="s">
        <v>163</v>
      </c>
      <c r="AK125">
        <v>2038</v>
      </c>
      <c r="AL125" t="s">
        <v>157</v>
      </c>
      <c r="AM125">
        <v>0.3962</v>
      </c>
      <c r="AN125" t="s">
        <v>289</v>
      </c>
    </row>
    <row r="126" spans="9:40" x14ac:dyDescent="0.45">
      <c r="I126" t="s">
        <v>176</v>
      </c>
      <c r="J126" t="s">
        <v>316</v>
      </c>
      <c r="K126">
        <v>2.6553149576878432E-2</v>
      </c>
      <c r="L126" t="s">
        <v>163</v>
      </c>
      <c r="N126" t="s">
        <v>207</v>
      </c>
      <c r="O126" t="s">
        <v>316</v>
      </c>
      <c r="P126">
        <v>1.8735335175318026E-2</v>
      </c>
      <c r="Q126" t="s">
        <v>163</v>
      </c>
      <c r="S126" t="s">
        <v>238</v>
      </c>
      <c r="T126" t="s">
        <v>316</v>
      </c>
      <c r="U126">
        <v>1.7102352324800417E-2</v>
      </c>
      <c r="V126" t="s">
        <v>163</v>
      </c>
      <c r="AK126">
        <v>2038</v>
      </c>
      <c r="AL126" t="s">
        <v>159</v>
      </c>
      <c r="AM126">
        <v>0.36314999999999997</v>
      </c>
      <c r="AN126" t="s">
        <v>289</v>
      </c>
    </row>
    <row r="127" spans="9:40" x14ac:dyDescent="0.45">
      <c r="I127" t="s">
        <v>176</v>
      </c>
      <c r="J127" t="s">
        <v>317</v>
      </c>
      <c r="K127">
        <v>4.5397075944515093E-2</v>
      </c>
      <c r="L127" t="s">
        <v>163</v>
      </c>
      <c r="N127" t="s">
        <v>207</v>
      </c>
      <c r="O127" t="s">
        <v>317</v>
      </c>
      <c r="P127">
        <v>2.8749651941230362E-2</v>
      </c>
      <c r="Q127" t="s">
        <v>163</v>
      </c>
      <c r="S127" t="s">
        <v>238</v>
      </c>
      <c r="T127" t="s">
        <v>317</v>
      </c>
      <c r="U127">
        <v>2.5944802513030031E-2</v>
      </c>
      <c r="V127" t="s">
        <v>163</v>
      </c>
      <c r="AK127">
        <v>2038</v>
      </c>
      <c r="AL127" t="s">
        <v>292</v>
      </c>
      <c r="AM127">
        <v>0.33040000000000003</v>
      </c>
      <c r="AN127" t="s">
        <v>289</v>
      </c>
    </row>
    <row r="128" spans="9:40" x14ac:dyDescent="0.45">
      <c r="I128" t="s">
        <v>176</v>
      </c>
      <c r="J128" t="s">
        <v>318</v>
      </c>
      <c r="K128">
        <v>4.9646141775057738E-2</v>
      </c>
      <c r="L128" t="s">
        <v>163</v>
      </c>
      <c r="N128" t="s">
        <v>207</v>
      </c>
      <c r="O128" t="s">
        <v>318</v>
      </c>
      <c r="P128">
        <v>4.8587006871170908E-2</v>
      </c>
      <c r="Q128" t="s">
        <v>163</v>
      </c>
      <c r="S128" t="s">
        <v>238</v>
      </c>
      <c r="T128" t="s">
        <v>318</v>
      </c>
      <c r="U128">
        <v>4.3251747636309588E-2</v>
      </c>
      <c r="V128" t="s">
        <v>163</v>
      </c>
      <c r="AK128">
        <v>2038</v>
      </c>
      <c r="AL128" t="s">
        <v>294</v>
      </c>
      <c r="AM128">
        <v>0.19939999999999999</v>
      </c>
      <c r="AN128" t="s">
        <v>289</v>
      </c>
    </row>
    <row r="129" spans="9:40" x14ac:dyDescent="0.45">
      <c r="I129" t="s">
        <v>176</v>
      </c>
      <c r="J129" t="s">
        <v>319</v>
      </c>
      <c r="K129">
        <v>0</v>
      </c>
      <c r="L129" t="s">
        <v>163</v>
      </c>
      <c r="N129" t="s">
        <v>207</v>
      </c>
      <c r="O129" t="s">
        <v>319</v>
      </c>
      <c r="P129">
        <v>1.0128290488591285E-2</v>
      </c>
      <c r="Q129" t="s">
        <v>163</v>
      </c>
      <c r="S129" t="s">
        <v>238</v>
      </c>
      <c r="T129" t="s">
        <v>319</v>
      </c>
      <c r="U129">
        <v>8.4901392334665541E-3</v>
      </c>
      <c r="V129" t="s">
        <v>163</v>
      </c>
      <c r="AK129">
        <v>2038</v>
      </c>
      <c r="AL129" t="s">
        <v>296</v>
      </c>
      <c r="AM129">
        <v>0.23480000000000001</v>
      </c>
      <c r="AN129" t="s">
        <v>289</v>
      </c>
    </row>
    <row r="130" spans="9:40" x14ac:dyDescent="0.45">
      <c r="I130" t="s">
        <v>176</v>
      </c>
      <c r="J130" t="s">
        <v>320</v>
      </c>
      <c r="K130">
        <v>0</v>
      </c>
      <c r="L130" t="s">
        <v>163</v>
      </c>
      <c r="N130" t="s">
        <v>207</v>
      </c>
      <c r="O130" t="s">
        <v>320</v>
      </c>
      <c r="P130">
        <v>4.6431179603953272E-2</v>
      </c>
      <c r="Q130" t="s">
        <v>163</v>
      </c>
      <c r="S130" t="s">
        <v>238</v>
      </c>
      <c r="T130" t="s">
        <v>320</v>
      </c>
      <c r="U130">
        <v>4.2725136144222582E-2</v>
      </c>
      <c r="V130" t="s">
        <v>163</v>
      </c>
      <c r="AK130">
        <v>2039</v>
      </c>
      <c r="AL130" t="s">
        <v>151</v>
      </c>
      <c r="AM130">
        <v>0.31187499999999996</v>
      </c>
      <c r="AN130" t="s">
        <v>289</v>
      </c>
    </row>
    <row r="131" spans="9:40" x14ac:dyDescent="0.45">
      <c r="I131" t="s">
        <v>176</v>
      </c>
      <c r="J131" t="s">
        <v>321</v>
      </c>
      <c r="K131">
        <v>0</v>
      </c>
      <c r="L131" t="s">
        <v>163</v>
      </c>
      <c r="N131" t="s">
        <v>207</v>
      </c>
      <c r="O131" t="s">
        <v>321</v>
      </c>
      <c r="P131">
        <v>3.1440111184000037E-2</v>
      </c>
      <c r="Q131" t="s">
        <v>163</v>
      </c>
      <c r="S131" t="s">
        <v>238</v>
      </c>
      <c r="T131" t="s">
        <v>321</v>
      </c>
      <c r="U131">
        <v>2.7874545955962587E-2</v>
      </c>
      <c r="V131" t="s">
        <v>163</v>
      </c>
      <c r="AK131">
        <v>2039</v>
      </c>
      <c r="AL131" t="s">
        <v>155</v>
      </c>
      <c r="AM131">
        <v>0.43309999999999998</v>
      </c>
      <c r="AN131" t="s">
        <v>289</v>
      </c>
    </row>
    <row r="132" spans="9:40" x14ac:dyDescent="0.45">
      <c r="I132" t="s">
        <v>176</v>
      </c>
      <c r="J132" t="s">
        <v>322</v>
      </c>
      <c r="K132">
        <v>1.062636800973492E-2</v>
      </c>
      <c r="L132" t="s">
        <v>163</v>
      </c>
      <c r="N132" t="s">
        <v>207</v>
      </c>
      <c r="O132" t="s">
        <v>322</v>
      </c>
      <c r="P132">
        <v>7.4194773510362581E-3</v>
      </c>
      <c r="Q132" t="s">
        <v>163</v>
      </c>
      <c r="S132" t="s">
        <v>238</v>
      </c>
      <c r="T132" t="s">
        <v>322</v>
      </c>
      <c r="U132">
        <v>7.2393920971183965E-3</v>
      </c>
      <c r="V132" t="s">
        <v>163</v>
      </c>
      <c r="AK132">
        <v>2039</v>
      </c>
      <c r="AL132" t="s">
        <v>157</v>
      </c>
      <c r="AM132">
        <v>0.38419999999999999</v>
      </c>
      <c r="AN132" t="s">
        <v>289</v>
      </c>
    </row>
    <row r="133" spans="9:40" x14ac:dyDescent="0.45">
      <c r="I133" t="s">
        <v>176</v>
      </c>
      <c r="J133" t="s">
        <v>323</v>
      </c>
      <c r="K133">
        <v>2.1927581404326463E-2</v>
      </c>
      <c r="L133" t="s">
        <v>163</v>
      </c>
      <c r="N133" t="s">
        <v>207</v>
      </c>
      <c r="O133" t="s">
        <v>323</v>
      </c>
      <c r="P133">
        <v>1.1567724078662234E-2</v>
      </c>
      <c r="Q133" t="s">
        <v>163</v>
      </c>
      <c r="S133" t="s">
        <v>238</v>
      </c>
      <c r="T133" t="s">
        <v>323</v>
      </c>
      <c r="U133">
        <v>1.1080904266823769E-2</v>
      </c>
      <c r="V133" t="s">
        <v>163</v>
      </c>
      <c r="AK133">
        <v>2039</v>
      </c>
      <c r="AL133" t="s">
        <v>159</v>
      </c>
      <c r="AM133">
        <v>0.4093</v>
      </c>
      <c r="AN133" t="s">
        <v>289</v>
      </c>
    </row>
    <row r="134" spans="9:40" x14ac:dyDescent="0.45">
      <c r="I134" t="s">
        <v>176</v>
      </c>
      <c r="J134" t="s">
        <v>324</v>
      </c>
      <c r="K134">
        <v>2.4594962391871592E-2</v>
      </c>
      <c r="L134" t="s">
        <v>163</v>
      </c>
      <c r="N134" t="s">
        <v>207</v>
      </c>
      <c r="O134" t="s">
        <v>324</v>
      </c>
      <c r="P134">
        <v>2.1258252759107824E-2</v>
      </c>
      <c r="Q134" t="s">
        <v>163</v>
      </c>
      <c r="S134" t="s">
        <v>238</v>
      </c>
      <c r="T134" t="s">
        <v>324</v>
      </c>
      <c r="U134">
        <v>1.9562086910770132E-2</v>
      </c>
      <c r="V134" t="s">
        <v>163</v>
      </c>
      <c r="AK134">
        <v>2039</v>
      </c>
      <c r="AL134" t="s">
        <v>292</v>
      </c>
      <c r="AM134">
        <v>0.40310000000000001</v>
      </c>
      <c r="AN134" t="s">
        <v>289</v>
      </c>
    </row>
    <row r="135" spans="9:40" x14ac:dyDescent="0.45">
      <c r="I135" t="s">
        <v>176</v>
      </c>
      <c r="J135" t="s">
        <v>325</v>
      </c>
      <c r="K135">
        <v>0</v>
      </c>
      <c r="L135" t="s">
        <v>163</v>
      </c>
      <c r="N135" t="s">
        <v>207</v>
      </c>
      <c r="O135" t="s">
        <v>325</v>
      </c>
      <c r="P135">
        <v>4.2897220376289496E-3</v>
      </c>
      <c r="Q135" t="s">
        <v>163</v>
      </c>
      <c r="S135" t="s">
        <v>238</v>
      </c>
      <c r="T135" t="s">
        <v>325</v>
      </c>
      <c r="U135">
        <v>3.9241799947437681E-3</v>
      </c>
      <c r="V135" t="s">
        <v>163</v>
      </c>
      <c r="AK135">
        <v>2039</v>
      </c>
      <c r="AL135" t="s">
        <v>294</v>
      </c>
      <c r="AM135">
        <v>0.24695</v>
      </c>
      <c r="AN135" t="s">
        <v>289</v>
      </c>
    </row>
    <row r="136" spans="9:40" x14ac:dyDescent="0.45">
      <c r="I136" t="s">
        <v>176</v>
      </c>
      <c r="J136" t="s">
        <v>326</v>
      </c>
      <c r="K136">
        <v>0</v>
      </c>
      <c r="L136" t="s">
        <v>163</v>
      </c>
      <c r="N136" t="s">
        <v>207</v>
      </c>
      <c r="O136" t="s">
        <v>326</v>
      </c>
      <c r="P136">
        <v>1.9857957372118852E-2</v>
      </c>
      <c r="Q136" t="s">
        <v>163</v>
      </c>
      <c r="S136" t="s">
        <v>238</v>
      </c>
      <c r="T136" t="s">
        <v>326</v>
      </c>
      <c r="U136">
        <v>1.8112969415597292E-2</v>
      </c>
      <c r="V136" t="s">
        <v>163</v>
      </c>
      <c r="AK136">
        <v>2039</v>
      </c>
      <c r="AL136" t="s">
        <v>296</v>
      </c>
      <c r="AM136">
        <v>0.26889999999999997</v>
      </c>
      <c r="AN136" t="s">
        <v>289</v>
      </c>
    </row>
    <row r="137" spans="9:40" x14ac:dyDescent="0.45">
      <c r="I137" t="s">
        <v>177</v>
      </c>
      <c r="J137" t="s">
        <v>162</v>
      </c>
      <c r="K137">
        <v>1.2521798857822338E-2</v>
      </c>
      <c r="L137" t="s">
        <v>163</v>
      </c>
      <c r="N137" t="s">
        <v>208</v>
      </c>
      <c r="O137" t="s">
        <v>162</v>
      </c>
      <c r="P137">
        <v>0.11676335948602792</v>
      </c>
      <c r="Q137" t="s">
        <v>163</v>
      </c>
      <c r="S137" t="s">
        <v>239</v>
      </c>
      <c r="T137" t="s">
        <v>162</v>
      </c>
      <c r="U137">
        <v>0.1076339842886567</v>
      </c>
      <c r="V137" t="s">
        <v>163</v>
      </c>
      <c r="AK137">
        <v>2040</v>
      </c>
      <c r="AL137" t="s">
        <v>151</v>
      </c>
      <c r="AM137">
        <v>0.31027500000000002</v>
      </c>
      <c r="AN137" t="s">
        <v>289</v>
      </c>
    </row>
    <row r="138" spans="9:40" x14ac:dyDescent="0.45">
      <c r="I138" t="s">
        <v>177</v>
      </c>
      <c r="J138" t="s">
        <v>164</v>
      </c>
      <c r="K138">
        <v>5.3015537237591857E-2</v>
      </c>
      <c r="L138" t="s">
        <v>163</v>
      </c>
      <c r="N138" t="s">
        <v>208</v>
      </c>
      <c r="O138" t="s">
        <v>164</v>
      </c>
      <c r="P138">
        <v>2.8942038000528476E-2</v>
      </c>
      <c r="Q138" t="s">
        <v>163</v>
      </c>
      <c r="S138" t="s">
        <v>239</v>
      </c>
      <c r="T138" t="s">
        <v>164</v>
      </c>
      <c r="U138">
        <v>2.6597104394190895E-2</v>
      </c>
      <c r="V138" t="s">
        <v>163</v>
      </c>
      <c r="AK138">
        <v>2040</v>
      </c>
      <c r="AL138" t="s">
        <v>155</v>
      </c>
      <c r="AM138">
        <v>0.49530000000000002</v>
      </c>
      <c r="AN138" t="s">
        <v>289</v>
      </c>
    </row>
    <row r="139" spans="9:40" x14ac:dyDescent="0.45">
      <c r="I139" t="s">
        <v>177</v>
      </c>
      <c r="J139" t="s">
        <v>165</v>
      </c>
      <c r="K139">
        <v>0.11284774055289054</v>
      </c>
      <c r="L139" t="s">
        <v>163</v>
      </c>
      <c r="N139" t="s">
        <v>208</v>
      </c>
      <c r="O139" t="s">
        <v>165</v>
      </c>
      <c r="P139">
        <v>4.2806940437783374E-2</v>
      </c>
      <c r="Q139" t="s">
        <v>163</v>
      </c>
      <c r="S139" t="s">
        <v>239</v>
      </c>
      <c r="T139" t="s">
        <v>165</v>
      </c>
      <c r="U139">
        <v>4.1202547469317174E-2</v>
      </c>
      <c r="V139" t="s">
        <v>163</v>
      </c>
      <c r="AK139">
        <v>2040</v>
      </c>
      <c r="AL139" t="s">
        <v>157</v>
      </c>
      <c r="AM139">
        <v>0.38790000000000002</v>
      </c>
      <c r="AN139" t="s">
        <v>289</v>
      </c>
    </row>
    <row r="140" spans="9:40" x14ac:dyDescent="0.45">
      <c r="I140" t="s">
        <v>177</v>
      </c>
      <c r="J140" t="s">
        <v>297</v>
      </c>
      <c r="K140">
        <v>0.14954838907479068</v>
      </c>
      <c r="L140" t="s">
        <v>163</v>
      </c>
      <c r="N140" t="s">
        <v>208</v>
      </c>
      <c r="O140" t="s">
        <v>297</v>
      </c>
      <c r="P140">
        <v>6.9574768022770822E-2</v>
      </c>
      <c r="Q140" t="s">
        <v>163</v>
      </c>
      <c r="S140" t="s">
        <v>239</v>
      </c>
      <c r="T140" t="s">
        <v>297</v>
      </c>
      <c r="U140">
        <v>7.1056001344066172E-2</v>
      </c>
      <c r="V140" t="s">
        <v>163</v>
      </c>
      <c r="AK140">
        <v>2040</v>
      </c>
      <c r="AL140" t="s">
        <v>159</v>
      </c>
      <c r="AM140">
        <v>0.39300000000000002</v>
      </c>
      <c r="AN140" t="s">
        <v>289</v>
      </c>
    </row>
    <row r="141" spans="9:40" x14ac:dyDescent="0.45">
      <c r="I141" t="s">
        <v>177</v>
      </c>
      <c r="J141" t="s">
        <v>298</v>
      </c>
      <c r="K141">
        <v>4.9519844590119192E-3</v>
      </c>
      <c r="L141" t="s">
        <v>163</v>
      </c>
      <c r="N141" t="s">
        <v>208</v>
      </c>
      <c r="O141" t="s">
        <v>298</v>
      </c>
      <c r="P141">
        <v>1.3189234705467456E-2</v>
      </c>
      <c r="Q141" t="s">
        <v>163</v>
      </c>
      <c r="S141" t="s">
        <v>239</v>
      </c>
      <c r="T141" t="s">
        <v>298</v>
      </c>
      <c r="U141">
        <v>1.4143027305730239E-2</v>
      </c>
      <c r="V141" t="s">
        <v>163</v>
      </c>
      <c r="AK141">
        <v>2040</v>
      </c>
      <c r="AL141" t="s">
        <v>292</v>
      </c>
      <c r="AM141">
        <v>0.34970000000000001</v>
      </c>
      <c r="AN141" t="s">
        <v>289</v>
      </c>
    </row>
    <row r="142" spans="9:40" x14ac:dyDescent="0.45">
      <c r="I142" t="s">
        <v>177</v>
      </c>
      <c r="J142" t="s">
        <v>299</v>
      </c>
      <c r="K142">
        <v>9.0824246088066208E-7</v>
      </c>
      <c r="L142" t="s">
        <v>163</v>
      </c>
      <c r="N142" t="s">
        <v>208</v>
      </c>
      <c r="O142" t="s">
        <v>299</v>
      </c>
      <c r="P142">
        <v>7.3348846287623892E-2</v>
      </c>
      <c r="Q142" t="s">
        <v>163</v>
      </c>
      <c r="S142" t="s">
        <v>239</v>
      </c>
      <c r="T142" t="s">
        <v>299</v>
      </c>
      <c r="U142">
        <v>7.0877902615377963E-2</v>
      </c>
      <c r="V142" t="s">
        <v>163</v>
      </c>
      <c r="AK142">
        <v>2040</v>
      </c>
      <c r="AL142" t="s">
        <v>294</v>
      </c>
      <c r="AM142">
        <v>0.24709999999999999</v>
      </c>
      <c r="AN142" t="s">
        <v>289</v>
      </c>
    </row>
    <row r="143" spans="9:40" x14ac:dyDescent="0.45">
      <c r="I143" t="s">
        <v>177</v>
      </c>
      <c r="J143" t="s">
        <v>166</v>
      </c>
      <c r="K143">
        <v>7.8972187717175832E-3</v>
      </c>
      <c r="L143" t="s">
        <v>163</v>
      </c>
      <c r="N143" t="s">
        <v>208</v>
      </c>
      <c r="O143" t="s">
        <v>166</v>
      </c>
      <c r="P143">
        <v>1.8899638663447221E-2</v>
      </c>
      <c r="Q143" t="s">
        <v>163</v>
      </c>
      <c r="S143" t="s">
        <v>239</v>
      </c>
      <c r="T143" t="s">
        <v>166</v>
      </c>
      <c r="U143">
        <v>2.3932551770261788E-2</v>
      </c>
      <c r="V143" t="s">
        <v>163</v>
      </c>
      <c r="AK143">
        <v>2040</v>
      </c>
      <c r="AL143" t="s">
        <v>296</v>
      </c>
      <c r="AM143">
        <v>0.2525</v>
      </c>
      <c r="AN143" t="s">
        <v>289</v>
      </c>
    </row>
    <row r="144" spans="9:40" x14ac:dyDescent="0.45">
      <c r="I144" t="s">
        <v>177</v>
      </c>
      <c r="J144" t="s">
        <v>167</v>
      </c>
      <c r="K144">
        <v>1.560695001820655E-2</v>
      </c>
      <c r="L144" t="s">
        <v>163</v>
      </c>
      <c r="N144" t="s">
        <v>208</v>
      </c>
      <c r="O144" t="s">
        <v>167</v>
      </c>
      <c r="P144">
        <v>4.3793411705392044E-3</v>
      </c>
      <c r="Q144" t="s">
        <v>163</v>
      </c>
      <c r="S144" t="s">
        <v>239</v>
      </c>
      <c r="T144" t="s">
        <v>167</v>
      </c>
      <c r="U144">
        <v>5.9234238015264803E-3</v>
      </c>
      <c r="V144" t="s">
        <v>163</v>
      </c>
      <c r="AK144">
        <v>2041</v>
      </c>
      <c r="AL144" t="s">
        <v>151</v>
      </c>
      <c r="AM144">
        <v>0.30454999999999999</v>
      </c>
      <c r="AN144" t="s">
        <v>289</v>
      </c>
    </row>
    <row r="145" spans="9:40" x14ac:dyDescent="0.45">
      <c r="I145" t="s">
        <v>177</v>
      </c>
      <c r="J145" t="s">
        <v>168</v>
      </c>
      <c r="K145">
        <v>3.197887897154475E-2</v>
      </c>
      <c r="L145" t="s">
        <v>163</v>
      </c>
      <c r="N145" t="s">
        <v>208</v>
      </c>
      <c r="O145" t="s">
        <v>168</v>
      </c>
      <c r="P145">
        <v>6.9292081952699886E-3</v>
      </c>
      <c r="Q145" t="s">
        <v>163</v>
      </c>
      <c r="S145" t="s">
        <v>239</v>
      </c>
      <c r="T145" t="s">
        <v>168</v>
      </c>
      <c r="U145">
        <v>8.9998501731070775E-3</v>
      </c>
      <c r="V145" t="s">
        <v>163</v>
      </c>
      <c r="AK145">
        <v>2041</v>
      </c>
      <c r="AL145" t="s">
        <v>155</v>
      </c>
      <c r="AM145">
        <v>0.42659999999999998</v>
      </c>
      <c r="AN145" t="s">
        <v>289</v>
      </c>
    </row>
    <row r="146" spans="9:40" x14ac:dyDescent="0.45">
      <c r="I146" t="s">
        <v>177</v>
      </c>
      <c r="J146" t="s">
        <v>300</v>
      </c>
      <c r="K146">
        <v>4.6099699089517818E-2</v>
      </c>
      <c r="L146" t="s">
        <v>163</v>
      </c>
      <c r="N146" t="s">
        <v>208</v>
      </c>
      <c r="O146" t="s">
        <v>300</v>
      </c>
      <c r="P146">
        <v>1.1579337913189441E-2</v>
      </c>
      <c r="Q146" t="s">
        <v>163</v>
      </c>
      <c r="S146" t="s">
        <v>239</v>
      </c>
      <c r="T146" t="s">
        <v>300</v>
      </c>
      <c r="U146">
        <v>1.4361919653952088E-2</v>
      </c>
      <c r="V146" t="s">
        <v>163</v>
      </c>
      <c r="AK146">
        <v>2041</v>
      </c>
      <c r="AL146" t="s">
        <v>157</v>
      </c>
      <c r="AM146">
        <v>0.43030000000000002</v>
      </c>
      <c r="AN146" t="s">
        <v>289</v>
      </c>
    </row>
    <row r="147" spans="9:40" x14ac:dyDescent="0.45">
      <c r="I147" t="s">
        <v>177</v>
      </c>
      <c r="J147" t="s">
        <v>301</v>
      </c>
      <c r="K147">
        <v>3.9736116172342665E-3</v>
      </c>
      <c r="L147" t="s">
        <v>163</v>
      </c>
      <c r="N147" t="s">
        <v>208</v>
      </c>
      <c r="O147" t="s">
        <v>301</v>
      </c>
      <c r="P147">
        <v>1.8896837388592499E-3</v>
      </c>
      <c r="Q147" t="s">
        <v>163</v>
      </c>
      <c r="S147" t="s">
        <v>239</v>
      </c>
      <c r="T147" t="s">
        <v>301</v>
      </c>
      <c r="U147">
        <v>2.5241213772565414E-3</v>
      </c>
      <c r="V147" t="s">
        <v>163</v>
      </c>
      <c r="AK147">
        <v>2041</v>
      </c>
      <c r="AL147" t="s">
        <v>159</v>
      </c>
      <c r="AM147">
        <v>0.43905</v>
      </c>
      <c r="AN147" t="s">
        <v>289</v>
      </c>
    </row>
    <row r="148" spans="9:40" x14ac:dyDescent="0.45">
      <c r="I148" t="s">
        <v>177</v>
      </c>
      <c r="J148" t="s">
        <v>302</v>
      </c>
      <c r="K148">
        <v>1.4712651022850557E-3</v>
      </c>
      <c r="L148" t="s">
        <v>163</v>
      </c>
      <c r="N148" t="s">
        <v>208</v>
      </c>
      <c r="O148" t="s">
        <v>302</v>
      </c>
      <c r="P148">
        <v>1.063267889347708E-2</v>
      </c>
      <c r="Q148" t="s">
        <v>163</v>
      </c>
      <c r="S148" t="s">
        <v>239</v>
      </c>
      <c r="T148" t="s">
        <v>302</v>
      </c>
      <c r="U148">
        <v>1.3335988203981193E-2</v>
      </c>
      <c r="V148" t="s">
        <v>163</v>
      </c>
      <c r="AK148">
        <v>2041</v>
      </c>
      <c r="AL148" t="s">
        <v>292</v>
      </c>
      <c r="AM148">
        <v>0.3821</v>
      </c>
      <c r="AN148" t="s">
        <v>289</v>
      </c>
    </row>
    <row r="149" spans="9:40" x14ac:dyDescent="0.45">
      <c r="I149" t="s">
        <v>177</v>
      </c>
      <c r="J149" t="s">
        <v>169</v>
      </c>
      <c r="K149">
        <v>9.6771150025144175E-3</v>
      </c>
      <c r="L149" t="s">
        <v>163</v>
      </c>
      <c r="N149" t="s">
        <v>208</v>
      </c>
      <c r="O149" t="s">
        <v>169</v>
      </c>
      <c r="P149">
        <v>2.5272547962533459E-2</v>
      </c>
      <c r="Q149" t="s">
        <v>163</v>
      </c>
      <c r="S149" t="s">
        <v>239</v>
      </c>
      <c r="T149" t="s">
        <v>169</v>
      </c>
      <c r="U149">
        <v>2.9085263123096873E-2</v>
      </c>
      <c r="V149" t="s">
        <v>163</v>
      </c>
      <c r="AK149">
        <v>2041</v>
      </c>
      <c r="AL149" t="s">
        <v>294</v>
      </c>
      <c r="AM149">
        <v>0.23705000000000001</v>
      </c>
      <c r="AN149" t="s">
        <v>289</v>
      </c>
    </row>
    <row r="150" spans="9:40" x14ac:dyDescent="0.45">
      <c r="I150" t="s">
        <v>177</v>
      </c>
      <c r="J150" t="s">
        <v>170</v>
      </c>
      <c r="K150">
        <v>1.6660690103982776E-2</v>
      </c>
      <c r="L150" t="s">
        <v>163</v>
      </c>
      <c r="N150" t="s">
        <v>208</v>
      </c>
      <c r="O150" t="s">
        <v>170</v>
      </c>
      <c r="P150">
        <v>5.4805541919214261E-3</v>
      </c>
      <c r="Q150" t="s">
        <v>163</v>
      </c>
      <c r="S150" t="s">
        <v>239</v>
      </c>
      <c r="T150" t="s">
        <v>170</v>
      </c>
      <c r="U150">
        <v>6.3538765370268705E-3</v>
      </c>
      <c r="V150" t="s">
        <v>163</v>
      </c>
      <c r="AK150">
        <v>2041</v>
      </c>
      <c r="AL150" t="s">
        <v>296</v>
      </c>
      <c r="AM150">
        <v>0.25080000000000002</v>
      </c>
      <c r="AN150" t="s">
        <v>289</v>
      </c>
    </row>
    <row r="151" spans="9:40" x14ac:dyDescent="0.45">
      <c r="I151" t="s">
        <v>177</v>
      </c>
      <c r="J151" t="s">
        <v>171</v>
      </c>
      <c r="K151">
        <v>3.3093543310104341E-2</v>
      </c>
      <c r="L151" t="s">
        <v>163</v>
      </c>
      <c r="N151" t="s">
        <v>208</v>
      </c>
      <c r="O151" t="s">
        <v>171</v>
      </c>
      <c r="P151">
        <v>8.1834212910780989E-3</v>
      </c>
      <c r="Q151" t="s">
        <v>163</v>
      </c>
      <c r="S151" t="s">
        <v>239</v>
      </c>
      <c r="T151" t="s">
        <v>171</v>
      </c>
      <c r="U151">
        <v>1.0086542797005726E-2</v>
      </c>
      <c r="V151" t="s">
        <v>163</v>
      </c>
      <c r="AK151">
        <v>2042</v>
      </c>
      <c r="AL151" t="s">
        <v>151</v>
      </c>
      <c r="AM151">
        <v>0.32124999999999998</v>
      </c>
      <c r="AN151" t="s">
        <v>289</v>
      </c>
    </row>
    <row r="152" spans="9:40" x14ac:dyDescent="0.45">
      <c r="I152" t="s">
        <v>177</v>
      </c>
      <c r="J152" t="s">
        <v>303</v>
      </c>
      <c r="K152">
        <v>5.0326921333919417E-2</v>
      </c>
      <c r="L152" t="s">
        <v>163</v>
      </c>
      <c r="N152" t="s">
        <v>208</v>
      </c>
      <c r="O152" t="s">
        <v>303</v>
      </c>
      <c r="P152">
        <v>1.3057007563046893E-2</v>
      </c>
      <c r="Q152" t="s">
        <v>163</v>
      </c>
      <c r="S152" t="s">
        <v>239</v>
      </c>
      <c r="T152" t="s">
        <v>303</v>
      </c>
      <c r="U152">
        <v>1.8309163240917543E-2</v>
      </c>
      <c r="V152" t="s">
        <v>163</v>
      </c>
      <c r="AK152">
        <v>2042</v>
      </c>
      <c r="AL152" t="s">
        <v>155</v>
      </c>
      <c r="AM152">
        <v>0.44280000000000003</v>
      </c>
      <c r="AN152" t="s">
        <v>289</v>
      </c>
    </row>
    <row r="153" spans="9:40" x14ac:dyDescent="0.45">
      <c r="I153" t="s">
        <v>177</v>
      </c>
      <c r="J153" t="s">
        <v>304</v>
      </c>
      <c r="K153">
        <v>5.1618467065652771E-3</v>
      </c>
      <c r="L153" t="s">
        <v>163</v>
      </c>
      <c r="N153" t="s">
        <v>208</v>
      </c>
      <c r="O153" t="s">
        <v>304</v>
      </c>
      <c r="P153">
        <v>2.284801967476545E-3</v>
      </c>
      <c r="Q153" t="s">
        <v>163</v>
      </c>
      <c r="S153" t="s">
        <v>239</v>
      </c>
      <c r="T153" t="s">
        <v>304</v>
      </c>
      <c r="U153">
        <v>3.3415262702288398E-3</v>
      </c>
      <c r="V153" t="s">
        <v>163</v>
      </c>
      <c r="AK153">
        <v>2042</v>
      </c>
      <c r="AL153" t="s">
        <v>157</v>
      </c>
      <c r="AM153">
        <v>0.40329999999999999</v>
      </c>
      <c r="AN153" t="s">
        <v>289</v>
      </c>
    </row>
    <row r="154" spans="9:40" x14ac:dyDescent="0.45">
      <c r="I154" t="s">
        <v>177</v>
      </c>
      <c r="J154" t="s">
        <v>305</v>
      </c>
      <c r="K154">
        <v>2.3164513881692231E-3</v>
      </c>
      <c r="L154" t="s">
        <v>163</v>
      </c>
      <c r="N154" t="s">
        <v>208</v>
      </c>
      <c r="O154" t="s">
        <v>305</v>
      </c>
      <c r="P154">
        <v>1.2964661305789498E-2</v>
      </c>
      <c r="Q154" t="s">
        <v>163</v>
      </c>
      <c r="S154" t="s">
        <v>239</v>
      </c>
      <c r="T154" t="s">
        <v>305</v>
      </c>
      <c r="U154">
        <v>1.7412742000631105E-2</v>
      </c>
      <c r="V154" t="s">
        <v>163</v>
      </c>
      <c r="AK154">
        <v>2042</v>
      </c>
      <c r="AL154" t="s">
        <v>159</v>
      </c>
      <c r="AM154">
        <v>0.4143</v>
      </c>
      <c r="AN154" t="s">
        <v>289</v>
      </c>
    </row>
    <row r="155" spans="9:40" x14ac:dyDescent="0.45">
      <c r="I155" t="s">
        <v>177</v>
      </c>
      <c r="J155" t="s">
        <v>172</v>
      </c>
      <c r="K155">
        <v>1.1806856651915264E-2</v>
      </c>
      <c r="L155" t="s">
        <v>163</v>
      </c>
      <c r="N155" t="s">
        <v>208</v>
      </c>
      <c r="O155" t="s">
        <v>172</v>
      </c>
      <c r="P155">
        <v>4.4958181458501223E-2</v>
      </c>
      <c r="Q155" t="s">
        <v>163</v>
      </c>
      <c r="S155" t="s">
        <v>239</v>
      </c>
      <c r="T155" t="s">
        <v>172</v>
      </c>
      <c r="U155">
        <v>4.4043274475816532E-2</v>
      </c>
      <c r="V155" t="s">
        <v>163</v>
      </c>
      <c r="AK155">
        <v>2042</v>
      </c>
      <c r="AL155" t="s">
        <v>292</v>
      </c>
      <c r="AM155">
        <v>0.40260000000000001</v>
      </c>
      <c r="AN155" t="s">
        <v>289</v>
      </c>
    </row>
    <row r="156" spans="9:40" x14ac:dyDescent="0.45">
      <c r="I156" t="s">
        <v>177</v>
      </c>
      <c r="J156" t="s">
        <v>173</v>
      </c>
      <c r="K156">
        <v>2.6990858868257167E-2</v>
      </c>
      <c r="L156" t="s">
        <v>163</v>
      </c>
      <c r="N156" t="s">
        <v>208</v>
      </c>
      <c r="O156" t="s">
        <v>173</v>
      </c>
      <c r="P156">
        <v>9.0778186093312258E-3</v>
      </c>
      <c r="Q156" t="s">
        <v>163</v>
      </c>
      <c r="S156" t="s">
        <v>239</v>
      </c>
      <c r="T156" t="s">
        <v>173</v>
      </c>
      <c r="U156">
        <v>9.5256944801446024E-3</v>
      </c>
      <c r="V156" t="s">
        <v>163</v>
      </c>
      <c r="AK156">
        <v>2042</v>
      </c>
      <c r="AL156" t="s">
        <v>294</v>
      </c>
      <c r="AM156">
        <v>0.24014999999999997</v>
      </c>
      <c r="AN156" t="s">
        <v>289</v>
      </c>
    </row>
    <row r="157" spans="9:40" x14ac:dyDescent="0.45">
      <c r="I157" t="s">
        <v>177</v>
      </c>
      <c r="J157" t="s">
        <v>174</v>
      </c>
      <c r="K157">
        <v>5.7369098347403398E-2</v>
      </c>
      <c r="L157" t="s">
        <v>163</v>
      </c>
      <c r="N157" t="s">
        <v>208</v>
      </c>
      <c r="O157" t="s">
        <v>174</v>
      </c>
      <c r="P157">
        <v>1.4344030860804352E-2</v>
      </c>
      <c r="Q157" t="s">
        <v>163</v>
      </c>
      <c r="S157" t="s">
        <v>239</v>
      </c>
      <c r="T157" t="s">
        <v>174</v>
      </c>
      <c r="U157">
        <v>1.3708467212474661E-2</v>
      </c>
      <c r="V157" t="s">
        <v>163</v>
      </c>
      <c r="AK157">
        <v>2042</v>
      </c>
      <c r="AL157" t="s">
        <v>296</v>
      </c>
      <c r="AM157">
        <v>0.23719999999999999</v>
      </c>
      <c r="AN157" t="s">
        <v>289</v>
      </c>
    </row>
    <row r="158" spans="9:40" x14ac:dyDescent="0.45">
      <c r="I158" t="s">
        <v>177</v>
      </c>
      <c r="J158" t="s">
        <v>306</v>
      </c>
      <c r="K158">
        <v>8.5585889560543207E-2</v>
      </c>
      <c r="L158" t="s">
        <v>163</v>
      </c>
      <c r="N158" t="s">
        <v>208</v>
      </c>
      <c r="O158" t="s">
        <v>306</v>
      </c>
      <c r="P158">
        <v>2.3896829733869012E-2</v>
      </c>
      <c r="Q158" t="s">
        <v>163</v>
      </c>
      <c r="S158" t="s">
        <v>239</v>
      </c>
      <c r="T158" t="s">
        <v>306</v>
      </c>
      <c r="U158">
        <v>2.2432693462372932E-2</v>
      </c>
      <c r="V158" t="s">
        <v>163</v>
      </c>
      <c r="AK158">
        <v>2043</v>
      </c>
      <c r="AL158" t="s">
        <v>151</v>
      </c>
      <c r="AM158">
        <v>0.311</v>
      </c>
      <c r="AN158" t="s">
        <v>289</v>
      </c>
    </row>
    <row r="159" spans="9:40" x14ac:dyDescent="0.45">
      <c r="I159" t="s">
        <v>177</v>
      </c>
      <c r="J159" t="s">
        <v>307</v>
      </c>
      <c r="K159">
        <v>7.4331643576512419E-3</v>
      </c>
      <c r="L159" t="s">
        <v>163</v>
      </c>
      <c r="N159" t="s">
        <v>208</v>
      </c>
      <c r="O159" t="s">
        <v>307</v>
      </c>
      <c r="P159">
        <v>4.2036739228053172E-3</v>
      </c>
      <c r="Q159" t="s">
        <v>163</v>
      </c>
      <c r="S159" t="s">
        <v>239</v>
      </c>
      <c r="T159" t="s">
        <v>307</v>
      </c>
      <c r="U159">
        <v>3.9940664799768275E-3</v>
      </c>
      <c r="V159" t="s">
        <v>163</v>
      </c>
      <c r="AK159">
        <v>2043</v>
      </c>
      <c r="AL159" t="s">
        <v>155</v>
      </c>
      <c r="AM159">
        <v>0.49659999999999999</v>
      </c>
      <c r="AN159" t="s">
        <v>289</v>
      </c>
    </row>
    <row r="160" spans="9:40" x14ac:dyDescent="0.45">
      <c r="I160" t="s">
        <v>177</v>
      </c>
      <c r="J160" t="s">
        <v>308</v>
      </c>
      <c r="K160">
        <v>2.4128498654674597E-3</v>
      </c>
      <c r="L160" t="s">
        <v>163</v>
      </c>
      <c r="N160" t="s">
        <v>208</v>
      </c>
      <c r="O160" t="s">
        <v>308</v>
      </c>
      <c r="P160">
        <v>2.7109705566948996E-2</v>
      </c>
      <c r="Q160" t="s">
        <v>163</v>
      </c>
      <c r="S160" t="s">
        <v>239</v>
      </c>
      <c r="T160" t="s">
        <v>308</v>
      </c>
      <c r="U160">
        <v>2.4366449852388207E-2</v>
      </c>
      <c r="V160" t="s">
        <v>163</v>
      </c>
      <c r="AK160">
        <v>2043</v>
      </c>
      <c r="AL160" t="s">
        <v>157</v>
      </c>
      <c r="AM160">
        <v>0.38800000000000001</v>
      </c>
      <c r="AN160" t="s">
        <v>289</v>
      </c>
    </row>
    <row r="161" spans="9:40" x14ac:dyDescent="0.45">
      <c r="I161" t="s">
        <v>177</v>
      </c>
      <c r="J161" t="s">
        <v>309</v>
      </c>
      <c r="K161">
        <v>5.03992640824038E-3</v>
      </c>
      <c r="L161" t="s">
        <v>163</v>
      </c>
      <c r="N161" t="s">
        <v>208</v>
      </c>
      <c r="O161" t="s">
        <v>309</v>
      </c>
      <c r="P161">
        <v>2.5332635308143163E-2</v>
      </c>
      <c r="Q161" t="s">
        <v>163</v>
      </c>
      <c r="S161" t="s">
        <v>239</v>
      </c>
      <c r="T161" t="s">
        <v>309</v>
      </c>
      <c r="U161">
        <v>3.3892879982484567E-2</v>
      </c>
      <c r="V161" t="s">
        <v>163</v>
      </c>
      <c r="AK161">
        <v>2043</v>
      </c>
      <c r="AL161" t="s">
        <v>159</v>
      </c>
      <c r="AM161">
        <v>0.45394999999999996</v>
      </c>
      <c r="AN161" t="s">
        <v>289</v>
      </c>
    </row>
    <row r="162" spans="9:40" x14ac:dyDescent="0.45">
      <c r="I162" t="s">
        <v>177</v>
      </c>
      <c r="J162" t="s">
        <v>310</v>
      </c>
      <c r="K162">
        <v>1.4759115530701623E-2</v>
      </c>
      <c r="L162" t="s">
        <v>163</v>
      </c>
      <c r="N162" t="s">
        <v>208</v>
      </c>
      <c r="O162" t="s">
        <v>310</v>
      </c>
      <c r="P162">
        <v>6.6049082141056868E-3</v>
      </c>
      <c r="Q162" t="s">
        <v>163</v>
      </c>
      <c r="S162" t="s">
        <v>239</v>
      </c>
      <c r="T162" t="s">
        <v>310</v>
      </c>
      <c r="U162">
        <v>8.0192398993576657E-3</v>
      </c>
      <c r="V162" t="s">
        <v>163</v>
      </c>
      <c r="AK162">
        <v>2043</v>
      </c>
      <c r="AL162" t="s">
        <v>292</v>
      </c>
      <c r="AM162">
        <v>0.36649999999999999</v>
      </c>
      <c r="AN162" t="s">
        <v>289</v>
      </c>
    </row>
    <row r="163" spans="9:40" x14ac:dyDescent="0.45">
      <c r="I163" t="s">
        <v>177</v>
      </c>
      <c r="J163" t="s">
        <v>311</v>
      </c>
      <c r="K163">
        <v>2.6086495243966341E-2</v>
      </c>
      <c r="L163" t="s">
        <v>163</v>
      </c>
      <c r="N163" t="s">
        <v>208</v>
      </c>
      <c r="O163" t="s">
        <v>311</v>
      </c>
      <c r="P163">
        <v>9.5255537957633345E-3</v>
      </c>
      <c r="Q163" t="s">
        <v>163</v>
      </c>
      <c r="S163" t="s">
        <v>239</v>
      </c>
      <c r="T163" t="s">
        <v>311</v>
      </c>
      <c r="U163">
        <v>1.1927326027156855E-2</v>
      </c>
      <c r="V163" t="s">
        <v>163</v>
      </c>
      <c r="AK163">
        <v>2043</v>
      </c>
      <c r="AL163" t="s">
        <v>294</v>
      </c>
      <c r="AM163">
        <v>0.25269999999999998</v>
      </c>
      <c r="AN163" t="s">
        <v>289</v>
      </c>
    </row>
    <row r="164" spans="9:40" x14ac:dyDescent="0.45">
      <c r="I164" t="s">
        <v>177</v>
      </c>
      <c r="J164" t="s">
        <v>312</v>
      </c>
      <c r="K164">
        <v>3.4143133400566697E-2</v>
      </c>
      <c r="L164" t="s">
        <v>163</v>
      </c>
      <c r="N164" t="s">
        <v>208</v>
      </c>
      <c r="O164" t="s">
        <v>312</v>
      </c>
      <c r="P164">
        <v>1.5989853843191716E-2</v>
      </c>
      <c r="Q164" t="s">
        <v>163</v>
      </c>
      <c r="S164" t="s">
        <v>239</v>
      </c>
      <c r="T164" t="s">
        <v>312</v>
      </c>
      <c r="U164">
        <v>2.1051311955334839E-2</v>
      </c>
      <c r="V164" t="s">
        <v>163</v>
      </c>
      <c r="AK164">
        <v>2043</v>
      </c>
      <c r="AL164" t="s">
        <v>296</v>
      </c>
      <c r="AM164">
        <v>0.24940000000000001</v>
      </c>
      <c r="AN164" t="s">
        <v>289</v>
      </c>
    </row>
    <row r="165" spans="9:40" x14ac:dyDescent="0.45">
      <c r="I165" t="s">
        <v>177</v>
      </c>
      <c r="J165" t="s">
        <v>313</v>
      </c>
      <c r="K165">
        <v>1.5806321671703121E-3</v>
      </c>
      <c r="L165" t="s">
        <v>163</v>
      </c>
      <c r="N165" t="s">
        <v>208</v>
      </c>
      <c r="O165" t="s">
        <v>313</v>
      </c>
      <c r="P165">
        <v>3.3092936179704266E-3</v>
      </c>
      <c r="Q165" t="s">
        <v>163</v>
      </c>
      <c r="S165" t="s">
        <v>239</v>
      </c>
      <c r="T165" t="s">
        <v>313</v>
      </c>
      <c r="U165">
        <v>4.1647421610091617E-3</v>
      </c>
      <c r="V165" t="s">
        <v>163</v>
      </c>
      <c r="AK165">
        <v>2044</v>
      </c>
      <c r="AL165" t="s">
        <v>151</v>
      </c>
      <c r="AM165">
        <v>0.25790000000000002</v>
      </c>
      <c r="AN165" t="s">
        <v>289</v>
      </c>
    </row>
    <row r="166" spans="9:40" x14ac:dyDescent="0.45">
      <c r="I166" t="s">
        <v>177</v>
      </c>
      <c r="J166" t="s">
        <v>314</v>
      </c>
      <c r="K166">
        <v>0</v>
      </c>
      <c r="L166" t="s">
        <v>163</v>
      </c>
      <c r="N166" t="s">
        <v>208</v>
      </c>
      <c r="O166" t="s">
        <v>314</v>
      </c>
      <c r="P166">
        <v>1.6762568023069888E-2</v>
      </c>
      <c r="Q166" t="s">
        <v>163</v>
      </c>
      <c r="S166" t="s">
        <v>239</v>
      </c>
      <c r="T166" t="s">
        <v>314</v>
      </c>
      <c r="U166">
        <v>2.2333225957568741E-2</v>
      </c>
      <c r="V166" t="s">
        <v>163</v>
      </c>
      <c r="AK166">
        <v>2044</v>
      </c>
      <c r="AL166" t="s">
        <v>155</v>
      </c>
      <c r="AM166">
        <v>0.41289999999999999</v>
      </c>
      <c r="AN166" t="s">
        <v>289</v>
      </c>
    </row>
    <row r="167" spans="9:40" x14ac:dyDescent="0.45">
      <c r="I167" t="s">
        <v>177</v>
      </c>
      <c r="J167" t="s">
        <v>315</v>
      </c>
      <c r="K167">
        <v>3.6084551785700255E-3</v>
      </c>
      <c r="L167" t="s">
        <v>163</v>
      </c>
      <c r="N167" t="s">
        <v>208</v>
      </c>
      <c r="O167" t="s">
        <v>315</v>
      </c>
      <c r="P167">
        <v>7.0560047005391896E-2</v>
      </c>
      <c r="Q167" t="s">
        <v>163</v>
      </c>
      <c r="S167" t="s">
        <v>239</v>
      </c>
      <c r="T167" t="s">
        <v>315</v>
      </c>
      <c r="U167">
        <v>6.8519355747821531E-2</v>
      </c>
      <c r="V167" t="s">
        <v>163</v>
      </c>
      <c r="AK167">
        <v>2044</v>
      </c>
      <c r="AL167" t="s">
        <v>157</v>
      </c>
      <c r="AM167">
        <v>0.36380000000000001</v>
      </c>
      <c r="AN167" t="s">
        <v>289</v>
      </c>
    </row>
    <row r="168" spans="9:40" x14ac:dyDescent="0.45">
      <c r="I168" t="s">
        <v>177</v>
      </c>
      <c r="J168" t="s">
        <v>316</v>
      </c>
      <c r="K168">
        <v>2.2437598703130737E-2</v>
      </c>
      <c r="L168" t="s">
        <v>163</v>
      </c>
      <c r="N168" t="s">
        <v>208</v>
      </c>
      <c r="O168" t="s">
        <v>316</v>
      </c>
      <c r="P168">
        <v>1.8256375143595901E-2</v>
      </c>
      <c r="Q168" t="s">
        <v>163</v>
      </c>
      <c r="S168" t="s">
        <v>239</v>
      </c>
      <c r="T168" t="s">
        <v>316</v>
      </c>
      <c r="U168">
        <v>1.731830502660316E-2</v>
      </c>
      <c r="V168" t="s">
        <v>163</v>
      </c>
      <c r="AK168">
        <v>2044</v>
      </c>
      <c r="AL168" t="s">
        <v>159</v>
      </c>
      <c r="AM168">
        <v>0.38055</v>
      </c>
      <c r="AN168" t="s">
        <v>289</v>
      </c>
    </row>
    <row r="169" spans="9:40" x14ac:dyDescent="0.45">
      <c r="I169" t="s">
        <v>177</v>
      </c>
      <c r="J169" t="s">
        <v>317</v>
      </c>
      <c r="K169">
        <v>4.2525277046176091E-2</v>
      </c>
      <c r="L169" t="s">
        <v>163</v>
      </c>
      <c r="N169" t="s">
        <v>208</v>
      </c>
      <c r="O169" t="s">
        <v>317</v>
      </c>
      <c r="P169">
        <v>2.7194772626094637E-2</v>
      </c>
      <c r="Q169" t="s">
        <v>163</v>
      </c>
      <c r="S169" t="s">
        <v>239</v>
      </c>
      <c r="T169" t="s">
        <v>317</v>
      </c>
      <c r="U169">
        <v>2.5709481571388186E-2</v>
      </c>
      <c r="V169" t="s">
        <v>163</v>
      </c>
      <c r="AK169">
        <v>2044</v>
      </c>
      <c r="AL169" t="s">
        <v>292</v>
      </c>
      <c r="AM169">
        <v>0.29330000000000001</v>
      </c>
      <c r="AN169" t="s">
        <v>289</v>
      </c>
    </row>
    <row r="170" spans="9:40" x14ac:dyDescent="0.45">
      <c r="I170" t="s">
        <v>177</v>
      </c>
      <c r="J170" t="s">
        <v>318</v>
      </c>
      <c r="K170">
        <v>5.0058993127540453E-2</v>
      </c>
      <c r="L170" t="s">
        <v>163</v>
      </c>
      <c r="N170" t="s">
        <v>208</v>
      </c>
      <c r="O170" t="s">
        <v>318</v>
      </c>
      <c r="P170">
        <v>4.5549984613763715E-2</v>
      </c>
      <c r="Q170" t="s">
        <v>163</v>
      </c>
      <c r="S170" t="s">
        <v>239</v>
      </c>
      <c r="T170" t="s">
        <v>318</v>
      </c>
      <c r="U170">
        <v>4.3685041607666709E-2</v>
      </c>
      <c r="V170" t="s">
        <v>163</v>
      </c>
      <c r="AK170">
        <v>2044</v>
      </c>
      <c r="AL170" t="s">
        <v>294</v>
      </c>
      <c r="AM170">
        <v>0.21495</v>
      </c>
      <c r="AN170" t="s">
        <v>289</v>
      </c>
    </row>
    <row r="171" spans="9:40" x14ac:dyDescent="0.45">
      <c r="I171" t="s">
        <v>177</v>
      </c>
      <c r="J171" t="s">
        <v>319</v>
      </c>
      <c r="K171">
        <v>0</v>
      </c>
      <c r="L171" t="s">
        <v>163</v>
      </c>
      <c r="N171" t="s">
        <v>208</v>
      </c>
      <c r="O171" t="s">
        <v>319</v>
      </c>
      <c r="P171">
        <v>8.76842393600109E-3</v>
      </c>
      <c r="Q171" t="s">
        <v>163</v>
      </c>
      <c r="S171" t="s">
        <v>239</v>
      </c>
      <c r="T171" t="s">
        <v>319</v>
      </c>
      <c r="U171">
        <v>8.4427461671444572E-3</v>
      </c>
      <c r="V171" t="s">
        <v>163</v>
      </c>
      <c r="AK171">
        <v>2044</v>
      </c>
      <c r="AL171" t="s">
        <v>296</v>
      </c>
      <c r="AM171">
        <v>0.20530000000000001</v>
      </c>
      <c r="AN171" t="s">
        <v>289</v>
      </c>
    </row>
    <row r="172" spans="9:40" x14ac:dyDescent="0.45">
      <c r="I172" t="s">
        <v>177</v>
      </c>
      <c r="J172" t="s">
        <v>320</v>
      </c>
      <c r="K172">
        <v>0</v>
      </c>
      <c r="L172" t="s">
        <v>163</v>
      </c>
      <c r="N172" t="s">
        <v>208</v>
      </c>
      <c r="O172" t="s">
        <v>320</v>
      </c>
      <c r="P172">
        <v>4.5643449813855451E-2</v>
      </c>
      <c r="Q172" t="s">
        <v>163</v>
      </c>
      <c r="S172" t="s">
        <v>239</v>
      </c>
      <c r="T172" t="s">
        <v>320</v>
      </c>
      <c r="U172">
        <v>4.3535833571677916E-2</v>
      </c>
      <c r="V172" t="s">
        <v>163</v>
      </c>
      <c r="AK172">
        <v>2045</v>
      </c>
      <c r="AL172" t="s">
        <v>151</v>
      </c>
      <c r="AM172">
        <v>0.25492500000000001</v>
      </c>
      <c r="AN172" t="s">
        <v>289</v>
      </c>
    </row>
    <row r="173" spans="9:40" x14ac:dyDescent="0.45">
      <c r="I173" t="s">
        <v>177</v>
      </c>
      <c r="J173" t="s">
        <v>321</v>
      </c>
      <c r="K173">
        <v>0</v>
      </c>
      <c r="L173" t="s">
        <v>163</v>
      </c>
      <c r="N173" t="s">
        <v>208</v>
      </c>
      <c r="O173" t="s">
        <v>321</v>
      </c>
      <c r="P173">
        <v>3.8599497498550892E-2</v>
      </c>
      <c r="Q173" t="s">
        <v>163</v>
      </c>
      <c r="S173" t="s">
        <v>239</v>
      </c>
      <c r="T173" t="s">
        <v>321</v>
      </c>
      <c r="U173">
        <v>2.7780965586483786E-2</v>
      </c>
      <c r="V173" t="s">
        <v>163</v>
      </c>
      <c r="AK173">
        <v>2045</v>
      </c>
      <c r="AL173" t="s">
        <v>155</v>
      </c>
      <c r="AM173">
        <v>0.4047</v>
      </c>
      <c r="AN173" t="s">
        <v>289</v>
      </c>
    </row>
    <row r="174" spans="9:40" x14ac:dyDescent="0.45">
      <c r="I174" t="s">
        <v>177</v>
      </c>
      <c r="J174" t="s">
        <v>322</v>
      </c>
      <c r="K174">
        <v>8.1448233988339527E-3</v>
      </c>
      <c r="L174" t="s">
        <v>163</v>
      </c>
      <c r="N174" t="s">
        <v>208</v>
      </c>
      <c r="O174" t="s">
        <v>322</v>
      </c>
      <c r="P174">
        <v>9.4258724423009772E-3</v>
      </c>
      <c r="Q174" t="s">
        <v>163</v>
      </c>
      <c r="S174" t="s">
        <v>239</v>
      </c>
      <c r="T174" t="s">
        <v>322</v>
      </c>
      <c r="U174">
        <v>7.1365379693809974E-3</v>
      </c>
      <c r="V174" t="s">
        <v>163</v>
      </c>
      <c r="AK174">
        <v>2045</v>
      </c>
      <c r="AL174" t="s">
        <v>157</v>
      </c>
      <c r="AM174">
        <v>0.34949999999999998</v>
      </c>
      <c r="AN174" t="s">
        <v>289</v>
      </c>
    </row>
    <row r="175" spans="9:40" x14ac:dyDescent="0.45">
      <c r="I175" t="s">
        <v>177</v>
      </c>
      <c r="J175" t="s">
        <v>323</v>
      </c>
      <c r="K175">
        <v>1.9882974002470109E-2</v>
      </c>
      <c r="L175" t="s">
        <v>163</v>
      </c>
      <c r="N175" t="s">
        <v>208</v>
      </c>
      <c r="O175" t="s">
        <v>323</v>
      </c>
      <c r="P175">
        <v>1.3859183266535473E-2</v>
      </c>
      <c r="Q175" t="s">
        <v>163</v>
      </c>
      <c r="S175" t="s">
        <v>239</v>
      </c>
      <c r="T175" t="s">
        <v>323</v>
      </c>
      <c r="U175">
        <v>1.0373219189473669E-2</v>
      </c>
      <c r="V175" t="s">
        <v>163</v>
      </c>
      <c r="AK175">
        <v>2045</v>
      </c>
      <c r="AL175" t="s">
        <v>159</v>
      </c>
      <c r="AM175">
        <v>0.34255000000000002</v>
      </c>
      <c r="AN175" t="s">
        <v>289</v>
      </c>
    </row>
    <row r="176" spans="9:40" x14ac:dyDescent="0.45">
      <c r="I176" t="s">
        <v>177</v>
      </c>
      <c r="J176" t="s">
        <v>324</v>
      </c>
      <c r="K176">
        <v>2.2983308301067047E-2</v>
      </c>
      <c r="L176" t="s">
        <v>163</v>
      </c>
      <c r="N176" t="s">
        <v>208</v>
      </c>
      <c r="O176" t="s">
        <v>324</v>
      </c>
      <c r="P176">
        <v>2.3663411514014677E-2</v>
      </c>
      <c r="Q176" t="s">
        <v>163</v>
      </c>
      <c r="S176" t="s">
        <v>239</v>
      </c>
      <c r="T176" t="s">
        <v>324</v>
      </c>
      <c r="U176">
        <v>1.9822827709544518E-2</v>
      </c>
      <c r="V176" t="s">
        <v>163</v>
      </c>
      <c r="AK176">
        <v>2045</v>
      </c>
      <c r="AL176" t="s">
        <v>292</v>
      </c>
      <c r="AM176">
        <v>0.29399999999999998</v>
      </c>
      <c r="AN176" t="s">
        <v>289</v>
      </c>
    </row>
    <row r="177" spans="9:40" x14ac:dyDescent="0.45">
      <c r="I177" t="s">
        <v>177</v>
      </c>
      <c r="J177" t="s">
        <v>325</v>
      </c>
      <c r="K177">
        <v>0</v>
      </c>
      <c r="L177" t="s">
        <v>163</v>
      </c>
      <c r="N177" t="s">
        <v>208</v>
      </c>
      <c r="O177" t="s">
        <v>325</v>
      </c>
      <c r="P177">
        <v>4.9195555035746949E-3</v>
      </c>
      <c r="Q177" t="s">
        <v>163</v>
      </c>
      <c r="S177" t="s">
        <v>239</v>
      </c>
      <c r="T177" t="s">
        <v>325</v>
      </c>
      <c r="U177">
        <v>4.1475007171583207E-3</v>
      </c>
      <c r="V177" t="s">
        <v>163</v>
      </c>
      <c r="AK177">
        <v>2045</v>
      </c>
      <c r="AL177" t="s">
        <v>294</v>
      </c>
      <c r="AM177">
        <v>0.2112</v>
      </c>
      <c r="AN177" t="s">
        <v>289</v>
      </c>
    </row>
    <row r="178" spans="9:40" x14ac:dyDescent="0.45">
      <c r="I178" t="s">
        <v>177</v>
      </c>
      <c r="J178" t="s">
        <v>326</v>
      </c>
      <c r="K178">
        <v>0</v>
      </c>
      <c r="L178" t="s">
        <v>163</v>
      </c>
      <c r="N178" t="s">
        <v>208</v>
      </c>
      <c r="O178" t="s">
        <v>326</v>
      </c>
      <c r="P178">
        <v>2.6266303884986235E-2</v>
      </c>
      <c r="Q178" t="s">
        <v>163</v>
      </c>
      <c r="S178" t="s">
        <v>239</v>
      </c>
      <c r="T178" t="s">
        <v>326</v>
      </c>
      <c r="U178">
        <v>1.8891276823239218E-2</v>
      </c>
      <c r="V178" t="s">
        <v>163</v>
      </c>
      <c r="AK178">
        <v>2045</v>
      </c>
      <c r="AL178" t="s">
        <v>296</v>
      </c>
      <c r="AM178">
        <v>0.20619999999999999</v>
      </c>
      <c r="AN178" t="s">
        <v>289</v>
      </c>
    </row>
    <row r="179" spans="9:40" x14ac:dyDescent="0.45">
      <c r="I179" t="s">
        <v>178</v>
      </c>
      <c r="J179" t="s">
        <v>162</v>
      </c>
      <c r="K179">
        <v>1.3579474878099858E-2</v>
      </c>
      <c r="L179" t="s">
        <v>163</v>
      </c>
      <c r="N179" t="s">
        <v>209</v>
      </c>
      <c r="O179" t="s">
        <v>162</v>
      </c>
      <c r="P179">
        <v>0.13821054239874558</v>
      </c>
      <c r="Q179" t="s">
        <v>163</v>
      </c>
      <c r="S179" t="s">
        <v>240</v>
      </c>
      <c r="T179" t="s">
        <v>162</v>
      </c>
      <c r="U179">
        <v>0.11057494140349144</v>
      </c>
      <c r="V179" t="s">
        <v>163</v>
      </c>
      <c r="AK179">
        <v>2046</v>
      </c>
      <c r="AL179" t="s">
        <v>151</v>
      </c>
      <c r="AM179">
        <v>0.26135000000000003</v>
      </c>
      <c r="AN179" t="s">
        <v>289</v>
      </c>
    </row>
    <row r="180" spans="9:40" x14ac:dyDescent="0.45">
      <c r="I180" t="s">
        <v>178</v>
      </c>
      <c r="J180" t="s">
        <v>164</v>
      </c>
      <c r="K180">
        <v>5.0818273809764739E-2</v>
      </c>
      <c r="L180" t="s">
        <v>163</v>
      </c>
      <c r="N180" t="s">
        <v>209</v>
      </c>
      <c r="O180" t="s">
        <v>164</v>
      </c>
      <c r="P180">
        <v>2.6269476783341895E-2</v>
      </c>
      <c r="Q180" t="s">
        <v>163</v>
      </c>
      <c r="S180" t="s">
        <v>240</v>
      </c>
      <c r="T180" t="s">
        <v>164</v>
      </c>
      <c r="U180">
        <v>2.665186840537077E-2</v>
      </c>
      <c r="V180" t="s">
        <v>163</v>
      </c>
      <c r="AK180">
        <v>2046</v>
      </c>
      <c r="AL180" t="s">
        <v>155</v>
      </c>
      <c r="AM180">
        <v>0.3669</v>
      </c>
      <c r="AN180" t="s">
        <v>289</v>
      </c>
    </row>
    <row r="181" spans="9:40" x14ac:dyDescent="0.45">
      <c r="I181" t="s">
        <v>178</v>
      </c>
      <c r="J181" t="s">
        <v>165</v>
      </c>
      <c r="K181">
        <v>0.10607275318622149</v>
      </c>
      <c r="L181" t="s">
        <v>163</v>
      </c>
      <c r="N181" t="s">
        <v>209</v>
      </c>
      <c r="O181" t="s">
        <v>165</v>
      </c>
      <c r="P181">
        <v>4.9532395625733437E-2</v>
      </c>
      <c r="Q181" t="s">
        <v>163</v>
      </c>
      <c r="S181" t="s">
        <v>240</v>
      </c>
      <c r="T181" t="s">
        <v>165</v>
      </c>
      <c r="U181">
        <v>4.3178021024249114E-2</v>
      </c>
      <c r="V181" t="s">
        <v>163</v>
      </c>
      <c r="AK181">
        <v>2046</v>
      </c>
      <c r="AL181" t="s">
        <v>157</v>
      </c>
      <c r="AM181">
        <v>0.35570000000000002</v>
      </c>
      <c r="AN181" t="s">
        <v>289</v>
      </c>
    </row>
    <row r="182" spans="9:40" x14ac:dyDescent="0.45">
      <c r="I182" t="s">
        <v>178</v>
      </c>
      <c r="J182" t="s">
        <v>297</v>
      </c>
      <c r="K182">
        <v>0.13786452754419581</v>
      </c>
      <c r="L182" t="s">
        <v>163</v>
      </c>
      <c r="N182" t="s">
        <v>209</v>
      </c>
      <c r="O182" t="s">
        <v>297</v>
      </c>
      <c r="P182">
        <v>9.9565959023830086E-2</v>
      </c>
      <c r="Q182" t="s">
        <v>163</v>
      </c>
      <c r="S182" t="s">
        <v>240</v>
      </c>
      <c r="T182" t="s">
        <v>297</v>
      </c>
      <c r="U182">
        <v>7.6093877576786734E-2</v>
      </c>
      <c r="V182" t="s">
        <v>163</v>
      </c>
      <c r="AK182">
        <v>2046</v>
      </c>
      <c r="AL182" t="s">
        <v>159</v>
      </c>
      <c r="AM182">
        <v>0.37464999999999998</v>
      </c>
      <c r="AN182" t="s">
        <v>289</v>
      </c>
    </row>
    <row r="183" spans="9:40" x14ac:dyDescent="0.45">
      <c r="I183" t="s">
        <v>178</v>
      </c>
      <c r="J183" t="s">
        <v>298</v>
      </c>
      <c r="K183">
        <v>4.4293573926454805E-3</v>
      </c>
      <c r="L183" t="s">
        <v>163</v>
      </c>
      <c r="N183" t="s">
        <v>209</v>
      </c>
      <c r="O183" t="s">
        <v>298</v>
      </c>
      <c r="P183">
        <v>2.0031154477687014E-2</v>
      </c>
      <c r="Q183" t="s">
        <v>163</v>
      </c>
      <c r="S183" t="s">
        <v>240</v>
      </c>
      <c r="T183" t="s">
        <v>298</v>
      </c>
      <c r="U183">
        <v>1.5934672375745192E-2</v>
      </c>
      <c r="V183" t="s">
        <v>163</v>
      </c>
      <c r="AK183">
        <v>2046</v>
      </c>
      <c r="AL183" t="s">
        <v>292</v>
      </c>
      <c r="AM183">
        <v>0.3402</v>
      </c>
      <c r="AN183" t="s">
        <v>289</v>
      </c>
    </row>
    <row r="184" spans="9:40" x14ac:dyDescent="0.45">
      <c r="I184" t="s">
        <v>178</v>
      </c>
      <c r="J184" t="s">
        <v>299</v>
      </c>
      <c r="K184">
        <v>0</v>
      </c>
      <c r="L184" t="s">
        <v>163</v>
      </c>
      <c r="N184" t="s">
        <v>209</v>
      </c>
      <c r="O184" t="s">
        <v>299</v>
      </c>
      <c r="P184">
        <v>8.17581085775171E-2</v>
      </c>
      <c r="Q184" t="s">
        <v>163</v>
      </c>
      <c r="S184" t="s">
        <v>240</v>
      </c>
      <c r="T184" t="s">
        <v>299</v>
      </c>
      <c r="U184">
        <v>7.3390661876725091E-2</v>
      </c>
      <c r="V184" t="s">
        <v>163</v>
      </c>
      <c r="AK184">
        <v>2046</v>
      </c>
      <c r="AL184" t="s">
        <v>294</v>
      </c>
      <c r="AM184">
        <v>0.2137</v>
      </c>
      <c r="AN184" t="s">
        <v>289</v>
      </c>
    </row>
    <row r="185" spans="9:40" x14ac:dyDescent="0.45">
      <c r="I185" t="s">
        <v>178</v>
      </c>
      <c r="J185" t="s">
        <v>166</v>
      </c>
      <c r="K185">
        <v>8.3258008009484217E-3</v>
      </c>
      <c r="L185" t="s">
        <v>163</v>
      </c>
      <c r="N185" t="s">
        <v>209</v>
      </c>
      <c r="O185" t="s">
        <v>166</v>
      </c>
      <c r="P185">
        <v>1.6963918964879102E-2</v>
      </c>
      <c r="Q185" t="s">
        <v>163</v>
      </c>
      <c r="S185" t="s">
        <v>240</v>
      </c>
      <c r="T185" t="s">
        <v>166</v>
      </c>
      <c r="U185">
        <v>1.9592019108824806E-2</v>
      </c>
      <c r="V185" t="s">
        <v>163</v>
      </c>
      <c r="AK185">
        <v>2046</v>
      </c>
      <c r="AL185" t="s">
        <v>296</v>
      </c>
      <c r="AM185">
        <v>0.22489999999999999</v>
      </c>
      <c r="AN185" t="s">
        <v>289</v>
      </c>
    </row>
    <row r="186" spans="9:40" x14ac:dyDescent="0.45">
      <c r="I186" t="s">
        <v>178</v>
      </c>
      <c r="J186" t="s">
        <v>167</v>
      </c>
      <c r="K186">
        <v>1.5327735149168343E-2</v>
      </c>
      <c r="L186" t="s">
        <v>163</v>
      </c>
      <c r="N186" t="s">
        <v>209</v>
      </c>
      <c r="O186" t="s">
        <v>167</v>
      </c>
      <c r="P186">
        <v>3.7669833685045236E-3</v>
      </c>
      <c r="Q186" t="s">
        <v>163</v>
      </c>
      <c r="S186" t="s">
        <v>240</v>
      </c>
      <c r="T186" t="s">
        <v>167</v>
      </c>
      <c r="U186">
        <v>4.0547550889694734E-3</v>
      </c>
      <c r="V186" t="s">
        <v>163</v>
      </c>
      <c r="AK186">
        <v>2047</v>
      </c>
      <c r="AL186" t="s">
        <v>151</v>
      </c>
      <c r="AM186">
        <v>0.25842499999999996</v>
      </c>
      <c r="AN186" t="s">
        <v>289</v>
      </c>
    </row>
    <row r="187" spans="9:40" x14ac:dyDescent="0.45">
      <c r="I187" t="s">
        <v>178</v>
      </c>
      <c r="J187" t="s">
        <v>168</v>
      </c>
      <c r="K187">
        <v>3.1764661854099041E-2</v>
      </c>
      <c r="L187" t="s">
        <v>163</v>
      </c>
      <c r="N187" t="s">
        <v>209</v>
      </c>
      <c r="O187" t="s">
        <v>168</v>
      </c>
      <c r="P187">
        <v>7.2831937752094959E-3</v>
      </c>
      <c r="Q187" t="s">
        <v>163</v>
      </c>
      <c r="S187" t="s">
        <v>240</v>
      </c>
      <c r="T187" t="s">
        <v>168</v>
      </c>
      <c r="U187">
        <v>6.619296964513556E-3</v>
      </c>
      <c r="V187" t="s">
        <v>163</v>
      </c>
      <c r="AK187">
        <v>2047</v>
      </c>
      <c r="AL187" t="s">
        <v>155</v>
      </c>
      <c r="AM187">
        <v>0.43130000000000002</v>
      </c>
      <c r="AN187" t="s">
        <v>289</v>
      </c>
    </row>
    <row r="188" spans="9:40" x14ac:dyDescent="0.45">
      <c r="I188" t="s">
        <v>178</v>
      </c>
      <c r="J188" t="s">
        <v>300</v>
      </c>
      <c r="K188">
        <v>4.4497133344516181E-2</v>
      </c>
      <c r="L188" t="s">
        <v>163</v>
      </c>
      <c r="N188" t="s">
        <v>209</v>
      </c>
      <c r="O188" t="s">
        <v>300</v>
      </c>
      <c r="P188">
        <v>1.4543359889256501E-2</v>
      </c>
      <c r="Q188" t="s">
        <v>163</v>
      </c>
      <c r="S188" t="s">
        <v>240</v>
      </c>
      <c r="T188" t="s">
        <v>300</v>
      </c>
      <c r="U188">
        <v>1.1286048065219267E-2</v>
      </c>
      <c r="V188" t="s">
        <v>163</v>
      </c>
      <c r="AK188">
        <v>2047</v>
      </c>
      <c r="AL188" t="s">
        <v>157</v>
      </c>
      <c r="AM188">
        <v>0.3533</v>
      </c>
      <c r="AN188" t="s">
        <v>289</v>
      </c>
    </row>
    <row r="189" spans="9:40" x14ac:dyDescent="0.45">
      <c r="I189" t="s">
        <v>178</v>
      </c>
      <c r="J189" t="s">
        <v>301</v>
      </c>
      <c r="K189">
        <v>4.0187980337508446E-3</v>
      </c>
      <c r="L189" t="s">
        <v>163</v>
      </c>
      <c r="N189" t="s">
        <v>209</v>
      </c>
      <c r="O189" t="s">
        <v>301</v>
      </c>
      <c r="P189">
        <v>2.9755009490619847E-3</v>
      </c>
      <c r="Q189" t="s">
        <v>163</v>
      </c>
      <c r="S189" t="s">
        <v>240</v>
      </c>
      <c r="T189" t="s">
        <v>301</v>
      </c>
      <c r="U189">
        <v>2.2962795008751773E-3</v>
      </c>
      <c r="V189" t="s">
        <v>163</v>
      </c>
      <c r="AK189">
        <v>2047</v>
      </c>
      <c r="AL189" t="s">
        <v>159</v>
      </c>
      <c r="AM189">
        <v>0.33615</v>
      </c>
      <c r="AN189" t="s">
        <v>289</v>
      </c>
    </row>
    <row r="190" spans="9:40" x14ac:dyDescent="0.45">
      <c r="I190" t="s">
        <v>178</v>
      </c>
      <c r="J190" t="s">
        <v>302</v>
      </c>
      <c r="K190">
        <v>1.4386936476299536E-3</v>
      </c>
      <c r="L190" t="s">
        <v>163</v>
      </c>
      <c r="N190" t="s">
        <v>209</v>
      </c>
      <c r="O190" t="s">
        <v>302</v>
      </c>
      <c r="P190">
        <v>1.1906539149189757E-2</v>
      </c>
      <c r="Q190" t="s">
        <v>163</v>
      </c>
      <c r="S190" t="s">
        <v>240</v>
      </c>
      <c r="T190" t="s">
        <v>302</v>
      </c>
      <c r="U190">
        <v>1.0007167382980752E-2</v>
      </c>
      <c r="V190" t="s">
        <v>163</v>
      </c>
      <c r="AK190">
        <v>2047</v>
      </c>
      <c r="AL190" t="s">
        <v>292</v>
      </c>
      <c r="AM190">
        <v>0.33119999999999999</v>
      </c>
      <c r="AN190" t="s">
        <v>289</v>
      </c>
    </row>
    <row r="191" spans="9:40" x14ac:dyDescent="0.45">
      <c r="I191" t="s">
        <v>178</v>
      </c>
      <c r="J191" t="s">
        <v>169</v>
      </c>
      <c r="K191">
        <v>1.0888674845332081E-2</v>
      </c>
      <c r="L191" t="s">
        <v>163</v>
      </c>
      <c r="N191" t="s">
        <v>209</v>
      </c>
      <c r="O191" t="s">
        <v>169</v>
      </c>
      <c r="P191">
        <v>1.0773709042102557E-2</v>
      </c>
      <c r="Q191" t="s">
        <v>163</v>
      </c>
      <c r="S191" t="s">
        <v>240</v>
      </c>
      <c r="T191" t="s">
        <v>169</v>
      </c>
      <c r="U191">
        <v>2.6076656904959368E-2</v>
      </c>
      <c r="V191" t="s">
        <v>163</v>
      </c>
      <c r="AK191">
        <v>2047</v>
      </c>
      <c r="AL191" t="s">
        <v>294</v>
      </c>
      <c r="AM191">
        <v>0.21675</v>
      </c>
      <c r="AN191" t="s">
        <v>289</v>
      </c>
    </row>
    <row r="192" spans="9:40" x14ac:dyDescent="0.45">
      <c r="I192" t="s">
        <v>178</v>
      </c>
      <c r="J192" t="s">
        <v>170</v>
      </c>
      <c r="K192">
        <v>1.730825067548486E-2</v>
      </c>
      <c r="L192" t="s">
        <v>163</v>
      </c>
      <c r="N192" t="s">
        <v>209</v>
      </c>
      <c r="O192" t="s">
        <v>170</v>
      </c>
      <c r="P192">
        <v>2.2570256807556183E-3</v>
      </c>
      <c r="Q192" t="s">
        <v>163</v>
      </c>
      <c r="S192" t="s">
        <v>240</v>
      </c>
      <c r="T192" t="s">
        <v>170</v>
      </c>
      <c r="U192">
        <v>5.8654721104748671E-3</v>
      </c>
      <c r="V192" t="s">
        <v>163</v>
      </c>
      <c r="AK192">
        <v>2047</v>
      </c>
      <c r="AL192" t="s">
        <v>296</v>
      </c>
      <c r="AM192">
        <v>0.215</v>
      </c>
      <c r="AN192" t="s">
        <v>289</v>
      </c>
    </row>
    <row r="193" spans="9:40" x14ac:dyDescent="0.45">
      <c r="I193" t="s">
        <v>178</v>
      </c>
      <c r="J193" t="s">
        <v>171</v>
      </c>
      <c r="K193">
        <v>3.3624185920033925E-2</v>
      </c>
      <c r="L193" t="s">
        <v>163</v>
      </c>
      <c r="N193" t="s">
        <v>209</v>
      </c>
      <c r="O193" t="s">
        <v>171</v>
      </c>
      <c r="P193">
        <v>4.6873144529247773E-3</v>
      </c>
      <c r="Q193" t="s">
        <v>163</v>
      </c>
      <c r="S193" t="s">
        <v>240</v>
      </c>
      <c r="T193" t="s">
        <v>171</v>
      </c>
      <c r="U193">
        <v>9.0750207043358046E-3</v>
      </c>
      <c r="V193" t="s">
        <v>163</v>
      </c>
      <c r="AK193">
        <v>2048</v>
      </c>
      <c r="AL193" t="s">
        <v>151</v>
      </c>
      <c r="AM193">
        <v>0.26347500000000001</v>
      </c>
      <c r="AN193" t="s">
        <v>289</v>
      </c>
    </row>
    <row r="194" spans="9:40" x14ac:dyDescent="0.45">
      <c r="I194" t="s">
        <v>178</v>
      </c>
      <c r="J194" t="s">
        <v>303</v>
      </c>
      <c r="K194">
        <v>5.1545981074054038E-2</v>
      </c>
      <c r="L194" t="s">
        <v>163</v>
      </c>
      <c r="N194" t="s">
        <v>209</v>
      </c>
      <c r="O194" t="s">
        <v>303</v>
      </c>
      <c r="P194">
        <v>9.4788204523949121E-3</v>
      </c>
      <c r="Q194" t="s">
        <v>163</v>
      </c>
      <c r="S194" t="s">
        <v>240</v>
      </c>
      <c r="T194" t="s">
        <v>303</v>
      </c>
      <c r="U194">
        <v>1.4339525970033977E-2</v>
      </c>
      <c r="V194" t="s">
        <v>163</v>
      </c>
      <c r="AK194">
        <v>2048</v>
      </c>
      <c r="AL194" t="s">
        <v>155</v>
      </c>
      <c r="AM194">
        <v>0.38919999999999999</v>
      </c>
      <c r="AN194" t="s">
        <v>289</v>
      </c>
    </row>
    <row r="195" spans="9:40" x14ac:dyDescent="0.45">
      <c r="I195" t="s">
        <v>178</v>
      </c>
      <c r="J195" t="s">
        <v>304</v>
      </c>
      <c r="K195">
        <v>5.3669186852425329E-3</v>
      </c>
      <c r="L195" t="s">
        <v>163</v>
      </c>
      <c r="N195" t="s">
        <v>209</v>
      </c>
      <c r="O195" t="s">
        <v>304</v>
      </c>
      <c r="P195">
        <v>1.7327548455568433E-3</v>
      </c>
      <c r="Q195" t="s">
        <v>163</v>
      </c>
      <c r="S195" t="s">
        <v>240</v>
      </c>
      <c r="T195" t="s">
        <v>304</v>
      </c>
      <c r="U195">
        <v>2.7320321542020393E-3</v>
      </c>
      <c r="V195" t="s">
        <v>163</v>
      </c>
      <c r="AK195">
        <v>2048</v>
      </c>
      <c r="AL195" t="s">
        <v>157</v>
      </c>
      <c r="AM195">
        <v>0.39660000000000001</v>
      </c>
      <c r="AN195" t="s">
        <v>289</v>
      </c>
    </row>
    <row r="196" spans="9:40" x14ac:dyDescent="0.45">
      <c r="I196" t="s">
        <v>178</v>
      </c>
      <c r="J196" t="s">
        <v>305</v>
      </c>
      <c r="K196">
        <v>2.461656768594972E-3</v>
      </c>
      <c r="L196" t="s">
        <v>163</v>
      </c>
      <c r="N196" t="s">
        <v>209</v>
      </c>
      <c r="O196" t="s">
        <v>305</v>
      </c>
      <c r="P196">
        <v>5.6577023858478065E-3</v>
      </c>
      <c r="Q196" t="s">
        <v>163</v>
      </c>
      <c r="S196" t="s">
        <v>240</v>
      </c>
      <c r="T196" t="s">
        <v>305</v>
      </c>
      <c r="U196">
        <v>1.2026096077798584E-2</v>
      </c>
      <c r="V196" t="s">
        <v>163</v>
      </c>
      <c r="AK196">
        <v>2048</v>
      </c>
      <c r="AL196" t="s">
        <v>159</v>
      </c>
      <c r="AM196">
        <v>0.34699999999999998</v>
      </c>
      <c r="AN196" t="s">
        <v>289</v>
      </c>
    </row>
    <row r="197" spans="9:40" x14ac:dyDescent="0.45">
      <c r="I197" t="s">
        <v>178</v>
      </c>
      <c r="J197" t="s">
        <v>172</v>
      </c>
      <c r="K197">
        <v>1.5981399581950086E-2</v>
      </c>
      <c r="L197" t="s">
        <v>163</v>
      </c>
      <c r="N197" t="s">
        <v>209</v>
      </c>
      <c r="O197" t="s">
        <v>172</v>
      </c>
      <c r="P197">
        <v>3.0559888379266747E-2</v>
      </c>
      <c r="Q197" t="s">
        <v>163</v>
      </c>
      <c r="S197" t="s">
        <v>240</v>
      </c>
      <c r="T197" t="s">
        <v>172</v>
      </c>
      <c r="U197">
        <v>3.0357985715235292E-2</v>
      </c>
      <c r="V197" t="s">
        <v>163</v>
      </c>
      <c r="AK197">
        <v>2048</v>
      </c>
      <c r="AL197" t="s">
        <v>292</v>
      </c>
      <c r="AM197">
        <v>0.34079999999999999</v>
      </c>
      <c r="AN197" t="s">
        <v>289</v>
      </c>
    </row>
    <row r="198" spans="9:40" x14ac:dyDescent="0.45">
      <c r="I198" t="s">
        <v>178</v>
      </c>
      <c r="J198" t="s">
        <v>173</v>
      </c>
      <c r="K198">
        <v>3.191112685269322E-2</v>
      </c>
      <c r="L198" t="s">
        <v>163</v>
      </c>
      <c r="N198" t="s">
        <v>209</v>
      </c>
      <c r="O198" t="s">
        <v>173</v>
      </c>
      <c r="P198">
        <v>6.0408323574538125E-3</v>
      </c>
      <c r="Q198" t="s">
        <v>163</v>
      </c>
      <c r="S198" t="s">
        <v>240</v>
      </c>
      <c r="T198" t="s">
        <v>173</v>
      </c>
      <c r="U198">
        <v>7.1048466289484746E-3</v>
      </c>
      <c r="V198" t="s">
        <v>163</v>
      </c>
      <c r="AK198">
        <v>2048</v>
      </c>
      <c r="AL198" t="s">
        <v>294</v>
      </c>
      <c r="AM198">
        <v>0.20685000000000001</v>
      </c>
      <c r="AN198" t="s">
        <v>289</v>
      </c>
    </row>
    <row r="199" spans="9:40" x14ac:dyDescent="0.45">
      <c r="I199" t="s">
        <v>178</v>
      </c>
      <c r="J199" t="s">
        <v>174</v>
      </c>
      <c r="K199">
        <v>6.221111061659218E-2</v>
      </c>
      <c r="L199" t="s">
        <v>163</v>
      </c>
      <c r="N199" t="s">
        <v>209</v>
      </c>
      <c r="O199" t="s">
        <v>174</v>
      </c>
      <c r="P199">
        <v>1.2693386913441473E-2</v>
      </c>
      <c r="Q199" t="s">
        <v>163</v>
      </c>
      <c r="S199" t="s">
        <v>240</v>
      </c>
      <c r="T199" t="s">
        <v>174</v>
      </c>
      <c r="U199">
        <v>1.1358767283034815E-2</v>
      </c>
      <c r="V199" t="s">
        <v>163</v>
      </c>
      <c r="AK199">
        <v>2048</v>
      </c>
      <c r="AL199" t="s">
        <v>296</v>
      </c>
      <c r="AM199">
        <v>0.2266</v>
      </c>
      <c r="AN199" t="s">
        <v>289</v>
      </c>
    </row>
    <row r="200" spans="9:40" x14ac:dyDescent="0.45">
      <c r="I200" t="s">
        <v>178</v>
      </c>
      <c r="J200" t="s">
        <v>306</v>
      </c>
      <c r="K200">
        <v>9.1870907634920645E-2</v>
      </c>
      <c r="L200" t="s">
        <v>163</v>
      </c>
      <c r="N200" t="s">
        <v>209</v>
      </c>
      <c r="O200" t="s">
        <v>306</v>
      </c>
      <c r="P200">
        <v>2.4156894017670252E-2</v>
      </c>
      <c r="Q200" t="s">
        <v>163</v>
      </c>
      <c r="S200" t="s">
        <v>240</v>
      </c>
      <c r="T200" t="s">
        <v>306</v>
      </c>
      <c r="U200">
        <v>1.875069851403878E-2</v>
      </c>
      <c r="V200" t="s">
        <v>163</v>
      </c>
      <c r="AK200">
        <v>2049</v>
      </c>
      <c r="AL200" t="s">
        <v>151</v>
      </c>
      <c r="AM200">
        <v>0.27607500000000001</v>
      </c>
      <c r="AN200" t="s">
        <v>289</v>
      </c>
    </row>
    <row r="201" spans="9:40" x14ac:dyDescent="0.45">
      <c r="I201" t="s">
        <v>178</v>
      </c>
      <c r="J201" t="s">
        <v>307</v>
      </c>
      <c r="K201">
        <v>7.8298805142134088E-3</v>
      </c>
      <c r="L201" t="s">
        <v>163</v>
      </c>
      <c r="N201" t="s">
        <v>209</v>
      </c>
      <c r="O201" t="s">
        <v>307</v>
      </c>
      <c r="P201">
        <v>3.9807353134350427E-3</v>
      </c>
      <c r="Q201" t="s">
        <v>163</v>
      </c>
      <c r="S201" t="s">
        <v>240</v>
      </c>
      <c r="T201" t="s">
        <v>307</v>
      </c>
      <c r="U201">
        <v>3.4897493100395976E-3</v>
      </c>
      <c r="V201" t="s">
        <v>163</v>
      </c>
      <c r="AK201">
        <v>2049</v>
      </c>
      <c r="AL201" t="s">
        <v>155</v>
      </c>
      <c r="AM201">
        <v>0.39789999999999998</v>
      </c>
      <c r="AN201" t="s">
        <v>289</v>
      </c>
    </row>
    <row r="202" spans="9:40" x14ac:dyDescent="0.45">
      <c r="I202" t="s">
        <v>178</v>
      </c>
      <c r="J202" t="s">
        <v>308</v>
      </c>
      <c r="K202">
        <v>2.8595078867504078E-3</v>
      </c>
      <c r="L202" t="s">
        <v>163</v>
      </c>
      <c r="N202" t="s">
        <v>209</v>
      </c>
      <c r="O202" t="s">
        <v>308</v>
      </c>
      <c r="P202">
        <v>1.5718703975414264E-2</v>
      </c>
      <c r="Q202" t="s">
        <v>163</v>
      </c>
      <c r="S202" t="s">
        <v>240</v>
      </c>
      <c r="T202" t="s">
        <v>308</v>
      </c>
      <c r="U202">
        <v>1.7448206057131269E-2</v>
      </c>
      <c r="V202" t="s">
        <v>163</v>
      </c>
      <c r="AK202">
        <v>2049</v>
      </c>
      <c r="AL202" t="s">
        <v>157</v>
      </c>
      <c r="AM202">
        <v>0.35639999999999999</v>
      </c>
      <c r="AN202" t="s">
        <v>289</v>
      </c>
    </row>
    <row r="203" spans="9:40" x14ac:dyDescent="0.45">
      <c r="I203" t="s">
        <v>178</v>
      </c>
      <c r="J203" t="s">
        <v>309</v>
      </c>
      <c r="K203">
        <v>5.5140836900080129E-3</v>
      </c>
      <c r="L203" t="s">
        <v>163</v>
      </c>
      <c r="N203" t="s">
        <v>209</v>
      </c>
      <c r="O203" t="s">
        <v>309</v>
      </c>
      <c r="P203">
        <v>1.9611047338690388E-2</v>
      </c>
      <c r="Q203" t="s">
        <v>163</v>
      </c>
      <c r="S203" t="s">
        <v>240</v>
      </c>
      <c r="T203" t="s">
        <v>309</v>
      </c>
      <c r="U203">
        <v>3.3691218876509429E-2</v>
      </c>
      <c r="V203" t="s">
        <v>163</v>
      </c>
      <c r="AK203">
        <v>2049</v>
      </c>
      <c r="AL203" t="s">
        <v>159</v>
      </c>
      <c r="AM203">
        <v>0.35975000000000001</v>
      </c>
      <c r="AN203" t="s">
        <v>289</v>
      </c>
    </row>
    <row r="204" spans="9:40" x14ac:dyDescent="0.45">
      <c r="I204" t="s">
        <v>178</v>
      </c>
      <c r="J204" t="s">
        <v>310</v>
      </c>
      <c r="K204">
        <v>1.4278626146609215E-2</v>
      </c>
      <c r="L204" t="s">
        <v>163</v>
      </c>
      <c r="N204" t="s">
        <v>209</v>
      </c>
      <c r="O204" t="s">
        <v>310</v>
      </c>
      <c r="P204">
        <v>4.1111272779560185E-3</v>
      </c>
      <c r="Q204" t="s">
        <v>163</v>
      </c>
      <c r="S204" t="s">
        <v>240</v>
      </c>
      <c r="T204" t="s">
        <v>310</v>
      </c>
      <c r="U204">
        <v>8.376954536305093E-3</v>
      </c>
      <c r="V204" t="s">
        <v>163</v>
      </c>
      <c r="AK204">
        <v>2049</v>
      </c>
      <c r="AL204" t="s">
        <v>292</v>
      </c>
      <c r="AM204">
        <v>0.34310000000000002</v>
      </c>
      <c r="AN204" t="s">
        <v>289</v>
      </c>
    </row>
    <row r="205" spans="9:40" x14ac:dyDescent="0.45">
      <c r="I205" t="s">
        <v>178</v>
      </c>
      <c r="J205" t="s">
        <v>311</v>
      </c>
      <c r="K205">
        <v>2.6856052102893022E-2</v>
      </c>
      <c r="L205" t="s">
        <v>163</v>
      </c>
      <c r="N205" t="s">
        <v>209</v>
      </c>
      <c r="O205" t="s">
        <v>311</v>
      </c>
      <c r="P205">
        <v>6.7574921681389562E-3</v>
      </c>
      <c r="Q205" t="s">
        <v>163</v>
      </c>
      <c r="S205" t="s">
        <v>240</v>
      </c>
      <c r="T205" t="s">
        <v>311</v>
      </c>
      <c r="U205">
        <v>1.3224893121072055E-2</v>
      </c>
      <c r="V205" t="s">
        <v>163</v>
      </c>
      <c r="AK205">
        <v>2049</v>
      </c>
      <c r="AL205" t="s">
        <v>294</v>
      </c>
      <c r="AM205">
        <v>0.21065</v>
      </c>
      <c r="AN205" t="s">
        <v>289</v>
      </c>
    </row>
    <row r="206" spans="9:40" x14ac:dyDescent="0.45">
      <c r="I206" t="s">
        <v>178</v>
      </c>
      <c r="J206" t="s">
        <v>312</v>
      </c>
      <c r="K206">
        <v>3.6667127570058369E-2</v>
      </c>
      <c r="L206" t="s">
        <v>163</v>
      </c>
      <c r="N206" t="s">
        <v>209</v>
      </c>
      <c r="O206" t="s">
        <v>312</v>
      </c>
      <c r="P206">
        <v>1.2060000122774365E-2</v>
      </c>
      <c r="Q206" t="s">
        <v>163</v>
      </c>
      <c r="S206" t="s">
        <v>240</v>
      </c>
      <c r="T206" t="s">
        <v>312</v>
      </c>
      <c r="U206">
        <v>2.2739398333992147E-2</v>
      </c>
      <c r="V206" t="s">
        <v>163</v>
      </c>
      <c r="AK206">
        <v>2049</v>
      </c>
      <c r="AL206" t="s">
        <v>296</v>
      </c>
      <c r="AM206">
        <v>0.19639999999999999</v>
      </c>
      <c r="AN206" t="s">
        <v>289</v>
      </c>
    </row>
    <row r="207" spans="9:40" x14ac:dyDescent="0.45">
      <c r="I207" t="s">
        <v>178</v>
      </c>
      <c r="J207" t="s">
        <v>313</v>
      </c>
      <c r="K207">
        <v>1.5122759857751891E-3</v>
      </c>
      <c r="L207" t="s">
        <v>163</v>
      </c>
      <c r="N207" t="s">
        <v>209</v>
      </c>
      <c r="O207" t="s">
        <v>313</v>
      </c>
      <c r="P207">
        <v>2.6793076870377844E-3</v>
      </c>
      <c r="Q207" t="s">
        <v>163</v>
      </c>
      <c r="S207" t="s">
        <v>240</v>
      </c>
      <c r="T207" t="s">
        <v>313</v>
      </c>
      <c r="U207">
        <v>4.6542490411420933E-3</v>
      </c>
      <c r="V207" t="s">
        <v>163</v>
      </c>
      <c r="AK207">
        <v>2050</v>
      </c>
      <c r="AL207" t="s">
        <v>151</v>
      </c>
      <c r="AM207">
        <v>0.2611</v>
      </c>
      <c r="AN207" t="s">
        <v>289</v>
      </c>
    </row>
    <row r="208" spans="9:40" x14ac:dyDescent="0.45">
      <c r="I208" t="s">
        <v>178</v>
      </c>
      <c r="J208" t="s">
        <v>314</v>
      </c>
      <c r="K208">
        <v>0</v>
      </c>
      <c r="L208" t="s">
        <v>163</v>
      </c>
      <c r="N208" t="s">
        <v>209</v>
      </c>
      <c r="O208" t="s">
        <v>314</v>
      </c>
      <c r="P208">
        <v>1.1490923715899583E-2</v>
      </c>
      <c r="Q208" t="s">
        <v>163</v>
      </c>
      <c r="S208" t="s">
        <v>240</v>
      </c>
      <c r="T208" t="s">
        <v>314</v>
      </c>
      <c r="U208">
        <v>2.28139945023502E-2</v>
      </c>
      <c r="V208" t="s">
        <v>163</v>
      </c>
      <c r="AK208">
        <v>2050</v>
      </c>
      <c r="AL208" t="s">
        <v>155</v>
      </c>
      <c r="AM208">
        <v>0.3614</v>
      </c>
      <c r="AN208" t="s">
        <v>289</v>
      </c>
    </row>
    <row r="209" spans="9:40" x14ac:dyDescent="0.45">
      <c r="I209" t="s">
        <v>178</v>
      </c>
      <c r="J209" t="s">
        <v>315</v>
      </c>
      <c r="K209">
        <v>4.0703656385162046E-3</v>
      </c>
      <c r="L209" t="s">
        <v>163</v>
      </c>
      <c r="N209" t="s">
        <v>209</v>
      </c>
      <c r="O209" t="s">
        <v>315</v>
      </c>
      <c r="P209">
        <v>7.095506462988535E-2</v>
      </c>
      <c r="Q209" t="s">
        <v>163</v>
      </c>
      <c r="S209" t="s">
        <v>240</v>
      </c>
      <c r="T209" t="s">
        <v>315</v>
      </c>
      <c r="U209">
        <v>7.5384383116947493E-2</v>
      </c>
      <c r="V209" t="s">
        <v>163</v>
      </c>
      <c r="AK209">
        <v>2050</v>
      </c>
      <c r="AL209" t="s">
        <v>157</v>
      </c>
      <c r="AM209">
        <v>0.35699999999999998</v>
      </c>
      <c r="AN209" t="s">
        <v>289</v>
      </c>
    </row>
    <row r="210" spans="9:40" x14ac:dyDescent="0.45">
      <c r="I210" t="s">
        <v>178</v>
      </c>
      <c r="J210" t="s">
        <v>316</v>
      </c>
      <c r="K210">
        <v>2.23592439727241E-2</v>
      </c>
      <c r="L210" t="s">
        <v>163</v>
      </c>
      <c r="N210" t="s">
        <v>209</v>
      </c>
      <c r="O210" t="s">
        <v>316</v>
      </c>
      <c r="P210">
        <v>1.3766102845567512E-2</v>
      </c>
      <c r="Q210" t="s">
        <v>163</v>
      </c>
      <c r="S210" t="s">
        <v>240</v>
      </c>
      <c r="T210" t="s">
        <v>316</v>
      </c>
      <c r="U210">
        <v>1.8278529482526958E-2</v>
      </c>
      <c r="V210" t="s">
        <v>163</v>
      </c>
      <c r="AK210">
        <v>2050</v>
      </c>
      <c r="AL210" t="s">
        <v>159</v>
      </c>
      <c r="AM210">
        <v>0.39815</v>
      </c>
      <c r="AN210" t="s">
        <v>289</v>
      </c>
    </row>
    <row r="211" spans="9:40" x14ac:dyDescent="0.45">
      <c r="I211" t="s">
        <v>178</v>
      </c>
      <c r="J211" t="s">
        <v>317</v>
      </c>
      <c r="K211">
        <v>4.3697666351310317E-2</v>
      </c>
      <c r="L211" t="s">
        <v>163</v>
      </c>
      <c r="N211" t="s">
        <v>209</v>
      </c>
      <c r="O211" t="s">
        <v>317</v>
      </c>
      <c r="P211">
        <v>2.6007804347847521E-2</v>
      </c>
      <c r="Q211" t="s">
        <v>163</v>
      </c>
      <c r="S211" t="s">
        <v>240</v>
      </c>
      <c r="T211" t="s">
        <v>317</v>
      </c>
      <c r="U211">
        <v>2.8849698261911048E-2</v>
      </c>
      <c r="V211" t="s">
        <v>163</v>
      </c>
      <c r="AK211">
        <v>2050</v>
      </c>
      <c r="AL211" t="s">
        <v>292</v>
      </c>
      <c r="AM211">
        <v>0.30649999999999999</v>
      </c>
      <c r="AN211" t="s">
        <v>289</v>
      </c>
    </row>
    <row r="212" spans="9:40" x14ac:dyDescent="0.45">
      <c r="I212" t="s">
        <v>178</v>
      </c>
      <c r="J212" t="s">
        <v>318</v>
      </c>
      <c r="K212">
        <v>5.0673533191670707E-2</v>
      </c>
      <c r="L212" t="s">
        <v>163</v>
      </c>
      <c r="N212" t="s">
        <v>209</v>
      </c>
      <c r="O212" t="s">
        <v>318</v>
      </c>
      <c r="P212">
        <v>4.8369899032471873E-2</v>
      </c>
      <c r="Q212" t="s">
        <v>163</v>
      </c>
      <c r="S212" t="s">
        <v>240</v>
      </c>
      <c r="T212" t="s">
        <v>318</v>
      </c>
      <c r="U212">
        <v>5.1472193926702936E-2</v>
      </c>
      <c r="V212" t="s">
        <v>163</v>
      </c>
      <c r="AK212">
        <v>2050</v>
      </c>
      <c r="AL212" t="s">
        <v>294</v>
      </c>
      <c r="AM212">
        <v>0.22375</v>
      </c>
      <c r="AN212" t="s">
        <v>289</v>
      </c>
    </row>
    <row r="213" spans="9:40" x14ac:dyDescent="0.45">
      <c r="I213" t="s">
        <v>178</v>
      </c>
      <c r="J213" t="s">
        <v>319</v>
      </c>
      <c r="K213">
        <v>0</v>
      </c>
      <c r="L213" t="s">
        <v>163</v>
      </c>
      <c r="N213" t="s">
        <v>209</v>
      </c>
      <c r="O213" t="s">
        <v>319</v>
      </c>
      <c r="P213">
        <v>9.1933744223051776E-3</v>
      </c>
      <c r="Q213" t="s">
        <v>163</v>
      </c>
      <c r="S213" t="s">
        <v>240</v>
      </c>
      <c r="T213" t="s">
        <v>319</v>
      </c>
      <c r="U213">
        <v>1.0589900301935379E-2</v>
      </c>
      <c r="V213" t="s">
        <v>163</v>
      </c>
      <c r="AK213">
        <v>2050</v>
      </c>
      <c r="AL213" t="s">
        <v>296</v>
      </c>
      <c r="AM213">
        <v>0.21729999999999999</v>
      </c>
      <c r="AN213" t="s">
        <v>289</v>
      </c>
    </row>
    <row r="214" spans="9:40" x14ac:dyDescent="0.45">
      <c r="I214" t="s">
        <v>178</v>
      </c>
      <c r="J214" t="s">
        <v>320</v>
      </c>
      <c r="K214">
        <v>0</v>
      </c>
      <c r="L214" t="s">
        <v>163</v>
      </c>
      <c r="N214" t="s">
        <v>209</v>
      </c>
      <c r="O214" t="s">
        <v>320</v>
      </c>
      <c r="P214">
        <v>4.0606619899523799E-2</v>
      </c>
      <c r="Q214" t="s">
        <v>163</v>
      </c>
      <c r="S214" t="s">
        <v>240</v>
      </c>
      <c r="T214" t="s">
        <v>320</v>
      </c>
      <c r="U214">
        <v>5.0035748909193864E-2</v>
      </c>
      <c r="V214" t="s">
        <v>163</v>
      </c>
    </row>
    <row r="215" spans="9:40" x14ac:dyDescent="0.45">
      <c r="I215" t="s">
        <v>178</v>
      </c>
      <c r="J215" t="s">
        <v>321</v>
      </c>
      <c r="K215">
        <v>0</v>
      </c>
      <c r="L215" t="s">
        <v>163</v>
      </c>
      <c r="N215" t="s">
        <v>209</v>
      </c>
      <c r="O215" t="s">
        <v>321</v>
      </c>
      <c r="P215">
        <v>3.9959406480879971E-2</v>
      </c>
      <c r="Q215" t="s">
        <v>163</v>
      </c>
      <c r="S215" t="s">
        <v>240</v>
      </c>
      <c r="T215" t="s">
        <v>321</v>
      </c>
      <c r="U215">
        <v>3.267016617410002E-2</v>
      </c>
      <c r="V215" t="s">
        <v>163</v>
      </c>
    </row>
    <row r="216" spans="9:40" x14ac:dyDescent="0.45">
      <c r="I216" t="s">
        <v>178</v>
      </c>
      <c r="J216" t="s">
        <v>322</v>
      </c>
      <c r="K216">
        <v>7.1115404391854948E-3</v>
      </c>
      <c r="L216" t="s">
        <v>163</v>
      </c>
      <c r="N216" t="s">
        <v>209</v>
      </c>
      <c r="O216" t="s">
        <v>322</v>
      </c>
      <c r="P216">
        <v>8.9519978629276579E-3</v>
      </c>
      <c r="Q216" t="s">
        <v>163</v>
      </c>
      <c r="S216" t="s">
        <v>240</v>
      </c>
      <c r="T216" t="s">
        <v>322</v>
      </c>
      <c r="U216">
        <v>8.4568617517088111E-3</v>
      </c>
      <c r="V216" t="s">
        <v>163</v>
      </c>
    </row>
    <row r="217" spans="9:40" x14ac:dyDescent="0.45">
      <c r="I217" t="s">
        <v>178</v>
      </c>
      <c r="J217" t="s">
        <v>323</v>
      </c>
      <c r="K217">
        <v>1.7081414403173067E-2</v>
      </c>
      <c r="L217" t="s">
        <v>163</v>
      </c>
      <c r="N217" t="s">
        <v>209</v>
      </c>
      <c r="O217" t="s">
        <v>323</v>
      </c>
      <c r="P217">
        <v>1.9345653170510471E-2</v>
      </c>
      <c r="Q217" t="s">
        <v>163</v>
      </c>
      <c r="S217" t="s">
        <v>240</v>
      </c>
      <c r="T217" t="s">
        <v>323</v>
      </c>
      <c r="U217">
        <v>1.2556563142554093E-2</v>
      </c>
      <c r="V217" t="s">
        <v>163</v>
      </c>
    </row>
    <row r="218" spans="9:40" x14ac:dyDescent="0.45">
      <c r="I218" t="s">
        <v>178</v>
      </c>
      <c r="J218" t="s">
        <v>324</v>
      </c>
      <c r="K218">
        <v>1.8181259811170639E-2</v>
      </c>
      <c r="L218" t="s">
        <v>163</v>
      </c>
      <c r="N218" t="s">
        <v>209</v>
      </c>
      <c r="O218" t="s">
        <v>324</v>
      </c>
      <c r="P218">
        <v>3.5375475829157323E-2</v>
      </c>
      <c r="Q218" t="s">
        <v>163</v>
      </c>
      <c r="S218" t="s">
        <v>240</v>
      </c>
      <c r="T218" t="s">
        <v>324</v>
      </c>
      <c r="U218">
        <v>2.1427430254294614E-2</v>
      </c>
      <c r="V218" t="s">
        <v>163</v>
      </c>
    </row>
    <row r="219" spans="9:40" x14ac:dyDescent="0.45">
      <c r="I219" t="s">
        <v>178</v>
      </c>
      <c r="J219" t="s">
        <v>325</v>
      </c>
      <c r="K219">
        <v>0</v>
      </c>
      <c r="L219" t="s">
        <v>163</v>
      </c>
      <c r="N219" t="s">
        <v>209</v>
      </c>
      <c r="O219" t="s">
        <v>325</v>
      </c>
      <c r="P219">
        <v>6.1427650483205139E-3</v>
      </c>
      <c r="Q219" t="s">
        <v>163</v>
      </c>
      <c r="S219" t="s">
        <v>240</v>
      </c>
      <c r="T219" t="s">
        <v>325</v>
      </c>
      <c r="U219">
        <v>4.4366920958110369E-3</v>
      </c>
      <c r="V219" t="s">
        <v>163</v>
      </c>
    </row>
    <row r="220" spans="9:40" x14ac:dyDescent="0.45">
      <c r="I220" t="s">
        <v>178</v>
      </c>
      <c r="J220" t="s">
        <v>326</v>
      </c>
      <c r="K220">
        <v>0</v>
      </c>
      <c r="L220" t="s">
        <v>163</v>
      </c>
      <c r="N220" t="s">
        <v>209</v>
      </c>
      <c r="O220" t="s">
        <v>326</v>
      </c>
      <c r="P220">
        <v>2.4071037320885523E-2</v>
      </c>
      <c r="Q220" t="s">
        <v>163</v>
      </c>
      <c r="S220" t="s">
        <v>240</v>
      </c>
      <c r="T220" t="s">
        <v>326</v>
      </c>
      <c r="U220">
        <v>2.2036457966959539E-2</v>
      </c>
      <c r="V220" t="s">
        <v>163</v>
      </c>
    </row>
    <row r="221" spans="9:40" x14ac:dyDescent="0.45">
      <c r="I221" t="s">
        <v>179</v>
      </c>
      <c r="J221" t="s">
        <v>162</v>
      </c>
      <c r="K221">
        <v>1.5535666555134693E-2</v>
      </c>
      <c r="L221" t="s">
        <v>163</v>
      </c>
      <c r="N221" t="s">
        <v>210</v>
      </c>
      <c r="O221" t="s">
        <v>162</v>
      </c>
      <c r="P221">
        <v>0.12555923786986814</v>
      </c>
      <c r="Q221" t="s">
        <v>163</v>
      </c>
      <c r="S221" t="s">
        <v>241</v>
      </c>
      <c r="T221" t="s">
        <v>162</v>
      </c>
      <c r="U221">
        <v>0.11603126380830038</v>
      </c>
      <c r="V221" t="s">
        <v>163</v>
      </c>
    </row>
    <row r="222" spans="9:40" x14ac:dyDescent="0.45">
      <c r="I222" t="s">
        <v>179</v>
      </c>
      <c r="J222" t="s">
        <v>164</v>
      </c>
      <c r="K222">
        <v>5.8295018901673171E-2</v>
      </c>
      <c r="L222" t="s">
        <v>163</v>
      </c>
      <c r="N222" t="s">
        <v>210</v>
      </c>
      <c r="O222" t="s">
        <v>164</v>
      </c>
      <c r="P222">
        <v>2.4884094447094395E-2</v>
      </c>
      <c r="Q222" t="s">
        <v>163</v>
      </c>
      <c r="S222" t="s">
        <v>241</v>
      </c>
      <c r="T222" t="s">
        <v>164</v>
      </c>
      <c r="U222">
        <v>3.0036751627965191E-2</v>
      </c>
      <c r="V222" t="s">
        <v>163</v>
      </c>
    </row>
    <row r="223" spans="9:40" x14ac:dyDescent="0.45">
      <c r="I223" t="s">
        <v>179</v>
      </c>
      <c r="J223" t="s">
        <v>165</v>
      </c>
      <c r="K223">
        <v>0.11848234096727824</v>
      </c>
      <c r="L223" t="s">
        <v>163</v>
      </c>
      <c r="N223" t="s">
        <v>210</v>
      </c>
      <c r="O223" t="s">
        <v>165</v>
      </c>
      <c r="P223">
        <v>4.8024053654454488E-2</v>
      </c>
      <c r="Q223" t="s">
        <v>163</v>
      </c>
      <c r="S223" t="s">
        <v>241</v>
      </c>
      <c r="T223" t="s">
        <v>165</v>
      </c>
      <c r="U223">
        <v>4.4071386473877427E-2</v>
      </c>
      <c r="V223" t="s">
        <v>163</v>
      </c>
    </row>
    <row r="224" spans="9:40" x14ac:dyDescent="0.45">
      <c r="I224" t="s">
        <v>179</v>
      </c>
      <c r="J224" t="s">
        <v>297</v>
      </c>
      <c r="K224">
        <v>0.14761037935411342</v>
      </c>
      <c r="L224" t="s">
        <v>163</v>
      </c>
      <c r="N224" t="s">
        <v>210</v>
      </c>
      <c r="O224" t="s">
        <v>297</v>
      </c>
      <c r="P224">
        <v>9.7933941196480676E-2</v>
      </c>
      <c r="Q224" t="s">
        <v>163</v>
      </c>
      <c r="S224" t="s">
        <v>241</v>
      </c>
      <c r="T224" t="s">
        <v>297</v>
      </c>
      <c r="U224">
        <v>7.3883999432753478E-2</v>
      </c>
      <c r="V224" t="s">
        <v>163</v>
      </c>
    </row>
    <row r="225" spans="9:22" x14ac:dyDescent="0.45">
      <c r="I225" t="s">
        <v>179</v>
      </c>
      <c r="J225" t="s">
        <v>298</v>
      </c>
      <c r="K225">
        <v>4.2858354590667126E-3</v>
      </c>
      <c r="L225" t="s">
        <v>163</v>
      </c>
      <c r="N225" t="s">
        <v>210</v>
      </c>
      <c r="O225" t="s">
        <v>298</v>
      </c>
      <c r="P225">
        <v>1.4553994813051266E-2</v>
      </c>
      <c r="Q225" t="s">
        <v>163</v>
      </c>
      <c r="S225" t="s">
        <v>241</v>
      </c>
      <c r="T225" t="s">
        <v>298</v>
      </c>
      <c r="U225">
        <v>1.4493385678291526E-2</v>
      </c>
      <c r="V225" t="s">
        <v>163</v>
      </c>
    </row>
    <row r="226" spans="9:22" x14ac:dyDescent="0.45">
      <c r="I226" t="s">
        <v>179</v>
      </c>
      <c r="J226" t="s">
        <v>299</v>
      </c>
      <c r="K226">
        <v>0</v>
      </c>
      <c r="L226" t="s">
        <v>163</v>
      </c>
      <c r="N226" t="s">
        <v>210</v>
      </c>
      <c r="O226" t="s">
        <v>299</v>
      </c>
      <c r="P226">
        <v>7.1525201089401677E-2</v>
      </c>
      <c r="Q226" t="s">
        <v>163</v>
      </c>
      <c r="S226" t="s">
        <v>241</v>
      </c>
      <c r="T226" t="s">
        <v>299</v>
      </c>
      <c r="U226">
        <v>7.6301972974874219E-2</v>
      </c>
      <c r="V226" t="s">
        <v>163</v>
      </c>
    </row>
    <row r="227" spans="9:22" x14ac:dyDescent="0.45">
      <c r="I227" t="s">
        <v>179</v>
      </c>
      <c r="J227" t="s">
        <v>166</v>
      </c>
      <c r="K227">
        <v>7.8658546664256701E-3</v>
      </c>
      <c r="L227" t="s">
        <v>163</v>
      </c>
      <c r="N227" t="s">
        <v>210</v>
      </c>
      <c r="O227" t="s">
        <v>166</v>
      </c>
      <c r="P227">
        <v>1.3968491666486615E-2</v>
      </c>
      <c r="Q227" t="s">
        <v>163</v>
      </c>
      <c r="S227" t="s">
        <v>241</v>
      </c>
      <c r="T227" t="s">
        <v>166</v>
      </c>
      <c r="U227">
        <v>1.8745695679691834E-2</v>
      </c>
      <c r="V227" t="s">
        <v>163</v>
      </c>
    </row>
    <row r="228" spans="9:22" x14ac:dyDescent="0.45">
      <c r="I228" t="s">
        <v>179</v>
      </c>
      <c r="J228" t="s">
        <v>167</v>
      </c>
      <c r="K228">
        <v>1.4923279200920276E-2</v>
      </c>
      <c r="L228" t="s">
        <v>163</v>
      </c>
      <c r="N228" t="s">
        <v>210</v>
      </c>
      <c r="O228" t="s">
        <v>167</v>
      </c>
      <c r="P228">
        <v>4.2585142357102496E-3</v>
      </c>
      <c r="Q228" t="s">
        <v>163</v>
      </c>
      <c r="S228" t="s">
        <v>241</v>
      </c>
      <c r="T228" t="s">
        <v>167</v>
      </c>
      <c r="U228">
        <v>5.0423006187215466E-3</v>
      </c>
      <c r="V228" t="s">
        <v>163</v>
      </c>
    </row>
    <row r="229" spans="9:22" x14ac:dyDescent="0.45">
      <c r="I229" t="s">
        <v>179</v>
      </c>
      <c r="J229" t="s">
        <v>168</v>
      </c>
      <c r="K229">
        <v>3.065022648369339E-2</v>
      </c>
      <c r="L229" t="s">
        <v>163</v>
      </c>
      <c r="N229" t="s">
        <v>210</v>
      </c>
      <c r="O229" t="s">
        <v>168</v>
      </c>
      <c r="P229">
        <v>8.694851215989792E-3</v>
      </c>
      <c r="Q229" t="s">
        <v>163</v>
      </c>
      <c r="S229" t="s">
        <v>241</v>
      </c>
      <c r="T229" t="s">
        <v>168</v>
      </c>
      <c r="U229">
        <v>7.7544820272179181E-3</v>
      </c>
      <c r="V229" t="s">
        <v>163</v>
      </c>
    </row>
    <row r="230" spans="9:22" x14ac:dyDescent="0.45">
      <c r="I230" t="s">
        <v>179</v>
      </c>
      <c r="J230" t="s">
        <v>300</v>
      </c>
      <c r="K230">
        <v>4.0417491552598057E-2</v>
      </c>
      <c r="L230" t="s">
        <v>163</v>
      </c>
      <c r="N230" t="s">
        <v>210</v>
      </c>
      <c r="O230" t="s">
        <v>300</v>
      </c>
      <c r="P230">
        <v>1.6036377779839326E-2</v>
      </c>
      <c r="Q230" t="s">
        <v>163</v>
      </c>
      <c r="S230" t="s">
        <v>241</v>
      </c>
      <c r="T230" t="s">
        <v>300</v>
      </c>
      <c r="U230">
        <v>1.1997767072528224E-2</v>
      </c>
      <c r="V230" t="s">
        <v>163</v>
      </c>
    </row>
    <row r="231" spans="9:22" x14ac:dyDescent="0.45">
      <c r="I231" t="s">
        <v>179</v>
      </c>
      <c r="J231" t="s">
        <v>301</v>
      </c>
      <c r="K231">
        <v>3.2106225610582912E-3</v>
      </c>
      <c r="L231" t="s">
        <v>163</v>
      </c>
      <c r="N231" t="s">
        <v>210</v>
      </c>
      <c r="O231" t="s">
        <v>301</v>
      </c>
      <c r="P231">
        <v>2.2950180938626922E-3</v>
      </c>
      <c r="Q231" t="s">
        <v>163</v>
      </c>
      <c r="S231" t="s">
        <v>241</v>
      </c>
      <c r="T231" t="s">
        <v>301</v>
      </c>
      <c r="U231">
        <v>1.8482489202671073E-3</v>
      </c>
      <c r="V231" t="s">
        <v>163</v>
      </c>
    </row>
    <row r="232" spans="9:22" x14ac:dyDescent="0.45">
      <c r="I232" t="s">
        <v>179</v>
      </c>
      <c r="J232" t="s">
        <v>302</v>
      </c>
      <c r="K232">
        <v>1.067641636066296E-3</v>
      </c>
      <c r="L232" t="s">
        <v>163</v>
      </c>
      <c r="N232" t="s">
        <v>210</v>
      </c>
      <c r="O232" t="s">
        <v>302</v>
      </c>
      <c r="P232">
        <v>9.93769156314794E-3</v>
      </c>
      <c r="Q232" t="s">
        <v>163</v>
      </c>
      <c r="S232" t="s">
        <v>241</v>
      </c>
      <c r="T232" t="s">
        <v>302</v>
      </c>
      <c r="U232">
        <v>1.0100399481883836E-2</v>
      </c>
      <c r="V232" t="s">
        <v>163</v>
      </c>
    </row>
    <row r="233" spans="9:22" x14ac:dyDescent="0.45">
      <c r="I233" t="s">
        <v>179</v>
      </c>
      <c r="J233" t="s">
        <v>169</v>
      </c>
      <c r="K233">
        <v>1.0395079181807463E-2</v>
      </c>
      <c r="L233" t="s">
        <v>163</v>
      </c>
      <c r="N233" t="s">
        <v>210</v>
      </c>
      <c r="O233" t="s">
        <v>169</v>
      </c>
      <c r="P233">
        <v>1.8040471178154376E-2</v>
      </c>
      <c r="Q233" t="s">
        <v>163</v>
      </c>
      <c r="S233" t="s">
        <v>241</v>
      </c>
      <c r="T233" t="s">
        <v>169</v>
      </c>
      <c r="U233">
        <v>2.5773839405721057E-2</v>
      </c>
      <c r="V233" t="s">
        <v>163</v>
      </c>
    </row>
    <row r="234" spans="9:22" x14ac:dyDescent="0.45">
      <c r="I234" t="s">
        <v>179</v>
      </c>
      <c r="J234" t="s">
        <v>170</v>
      </c>
      <c r="K234">
        <v>1.6626760687823001E-2</v>
      </c>
      <c r="L234" t="s">
        <v>163</v>
      </c>
      <c r="N234" t="s">
        <v>210</v>
      </c>
      <c r="O234" t="s">
        <v>170</v>
      </c>
      <c r="P234">
        <v>4.6892942833379981E-3</v>
      </c>
      <c r="Q234" t="s">
        <v>163</v>
      </c>
      <c r="S234" t="s">
        <v>241</v>
      </c>
      <c r="T234" t="s">
        <v>170</v>
      </c>
      <c r="U234">
        <v>5.3841925243268739E-3</v>
      </c>
      <c r="V234" t="s">
        <v>163</v>
      </c>
    </row>
    <row r="235" spans="9:22" x14ac:dyDescent="0.45">
      <c r="I235" t="s">
        <v>179</v>
      </c>
      <c r="J235" t="s">
        <v>171</v>
      </c>
      <c r="K235">
        <v>3.1039179936141918E-2</v>
      </c>
      <c r="L235" t="s">
        <v>163</v>
      </c>
      <c r="N235" t="s">
        <v>210</v>
      </c>
      <c r="O235" t="s">
        <v>171</v>
      </c>
      <c r="P235">
        <v>9.1546107776768419E-3</v>
      </c>
      <c r="Q235" t="s">
        <v>163</v>
      </c>
      <c r="S235" t="s">
        <v>241</v>
      </c>
      <c r="T235" t="s">
        <v>171</v>
      </c>
      <c r="U235">
        <v>8.7706261146828467E-3</v>
      </c>
      <c r="V235" t="s">
        <v>163</v>
      </c>
    </row>
    <row r="236" spans="9:22" x14ac:dyDescent="0.45">
      <c r="I236" t="s">
        <v>179</v>
      </c>
      <c r="J236" t="s">
        <v>303</v>
      </c>
      <c r="K236">
        <v>4.3643713756665918E-2</v>
      </c>
      <c r="L236" t="s">
        <v>163</v>
      </c>
      <c r="N236" t="s">
        <v>210</v>
      </c>
      <c r="O236" t="s">
        <v>303</v>
      </c>
      <c r="P236">
        <v>1.4855322637291359E-2</v>
      </c>
      <c r="Q236" t="s">
        <v>163</v>
      </c>
      <c r="S236" t="s">
        <v>241</v>
      </c>
      <c r="T236" t="s">
        <v>303</v>
      </c>
      <c r="U236">
        <v>1.4722611443949625E-2</v>
      </c>
      <c r="V236" t="s">
        <v>163</v>
      </c>
    </row>
    <row r="237" spans="9:22" x14ac:dyDescent="0.45">
      <c r="I237" t="s">
        <v>179</v>
      </c>
      <c r="J237" t="s">
        <v>304</v>
      </c>
      <c r="K237">
        <v>4.5369791614921617E-3</v>
      </c>
      <c r="L237" t="s">
        <v>163</v>
      </c>
      <c r="N237" t="s">
        <v>210</v>
      </c>
      <c r="O237" t="s">
        <v>304</v>
      </c>
      <c r="P237">
        <v>1.8027256426145458E-3</v>
      </c>
      <c r="Q237" t="s">
        <v>163</v>
      </c>
      <c r="S237" t="s">
        <v>241</v>
      </c>
      <c r="T237" t="s">
        <v>304</v>
      </c>
      <c r="U237">
        <v>2.6491671021957211E-3</v>
      </c>
      <c r="V237" t="s">
        <v>163</v>
      </c>
    </row>
    <row r="238" spans="9:22" x14ac:dyDescent="0.45">
      <c r="I238" t="s">
        <v>179</v>
      </c>
      <c r="J238" t="s">
        <v>305</v>
      </c>
      <c r="K238">
        <v>2.044590062808444E-3</v>
      </c>
      <c r="L238" t="s">
        <v>163</v>
      </c>
      <c r="N238" t="s">
        <v>210</v>
      </c>
      <c r="O238" t="s">
        <v>305</v>
      </c>
      <c r="P238">
        <v>9.3434363687869715E-3</v>
      </c>
      <c r="Q238" t="s">
        <v>163</v>
      </c>
      <c r="S238" t="s">
        <v>241</v>
      </c>
      <c r="T238" t="s">
        <v>305</v>
      </c>
      <c r="U238">
        <v>1.4996963866701695E-2</v>
      </c>
      <c r="V238" t="s">
        <v>163</v>
      </c>
    </row>
    <row r="239" spans="9:22" x14ac:dyDescent="0.45">
      <c r="I239" t="s">
        <v>179</v>
      </c>
      <c r="J239" t="s">
        <v>172</v>
      </c>
      <c r="K239">
        <v>1.5655335651763611E-2</v>
      </c>
      <c r="L239" t="s">
        <v>163</v>
      </c>
      <c r="N239" t="s">
        <v>210</v>
      </c>
      <c r="O239" t="s">
        <v>172</v>
      </c>
      <c r="P239">
        <v>4.3221401108397804E-2</v>
      </c>
      <c r="Q239" t="s">
        <v>163</v>
      </c>
      <c r="S239" t="s">
        <v>241</v>
      </c>
      <c r="T239" t="s">
        <v>172</v>
      </c>
      <c r="U239">
        <v>5.3825929945536477E-2</v>
      </c>
      <c r="V239" t="s">
        <v>163</v>
      </c>
    </row>
    <row r="240" spans="9:22" x14ac:dyDescent="0.45">
      <c r="I240" t="s">
        <v>179</v>
      </c>
      <c r="J240" t="s">
        <v>173</v>
      </c>
      <c r="K240">
        <v>3.0426406304455679E-2</v>
      </c>
      <c r="L240" t="s">
        <v>163</v>
      </c>
      <c r="N240" t="s">
        <v>210</v>
      </c>
      <c r="O240" t="s">
        <v>173</v>
      </c>
      <c r="P240">
        <v>9.6727118095378851E-3</v>
      </c>
      <c r="Q240" t="s">
        <v>163</v>
      </c>
      <c r="S240" t="s">
        <v>241</v>
      </c>
      <c r="T240" t="s">
        <v>173</v>
      </c>
      <c r="U240">
        <v>1.0722334065102977E-2</v>
      </c>
      <c r="V240" t="s">
        <v>163</v>
      </c>
    </row>
    <row r="241" spans="9:22" x14ac:dyDescent="0.45">
      <c r="I241" t="s">
        <v>179</v>
      </c>
      <c r="J241" t="s">
        <v>174</v>
      </c>
      <c r="K241">
        <v>6.0025872515838567E-2</v>
      </c>
      <c r="L241" t="s">
        <v>163</v>
      </c>
      <c r="N241" t="s">
        <v>210</v>
      </c>
      <c r="O241" t="s">
        <v>174</v>
      </c>
      <c r="P241">
        <v>1.8547829992049476E-2</v>
      </c>
      <c r="Q241" t="s">
        <v>163</v>
      </c>
      <c r="S241" t="s">
        <v>241</v>
      </c>
      <c r="T241" t="s">
        <v>174</v>
      </c>
      <c r="U241">
        <v>1.624505058921227E-2</v>
      </c>
      <c r="V241" t="s">
        <v>163</v>
      </c>
    </row>
    <row r="242" spans="9:22" x14ac:dyDescent="0.45">
      <c r="I242" t="s">
        <v>179</v>
      </c>
      <c r="J242" t="s">
        <v>306</v>
      </c>
      <c r="K242">
        <v>8.4188245303210826E-2</v>
      </c>
      <c r="L242" t="s">
        <v>163</v>
      </c>
      <c r="N242" t="s">
        <v>210</v>
      </c>
      <c r="O242" t="s">
        <v>306</v>
      </c>
      <c r="P242">
        <v>2.9485674529818338E-2</v>
      </c>
      <c r="Q242" t="s">
        <v>163</v>
      </c>
      <c r="S242" t="s">
        <v>241</v>
      </c>
      <c r="T242" t="s">
        <v>306</v>
      </c>
      <c r="U242">
        <v>2.8310601112508865E-2</v>
      </c>
      <c r="V242" t="s">
        <v>163</v>
      </c>
    </row>
    <row r="243" spans="9:22" x14ac:dyDescent="0.45">
      <c r="I243" t="s">
        <v>179</v>
      </c>
      <c r="J243" t="s">
        <v>307</v>
      </c>
      <c r="K243">
        <v>7.1455427913127501E-3</v>
      </c>
      <c r="L243" t="s">
        <v>163</v>
      </c>
      <c r="N243" t="s">
        <v>210</v>
      </c>
      <c r="O243" t="s">
        <v>307</v>
      </c>
      <c r="P243">
        <v>3.3841829599872324E-3</v>
      </c>
      <c r="Q243" t="s">
        <v>163</v>
      </c>
      <c r="S243" t="s">
        <v>241</v>
      </c>
      <c r="T243" t="s">
        <v>307</v>
      </c>
      <c r="U243">
        <v>5.1054780111055983E-3</v>
      </c>
      <c r="V243" t="s">
        <v>163</v>
      </c>
    </row>
    <row r="244" spans="9:22" x14ac:dyDescent="0.45">
      <c r="I244" t="s">
        <v>179</v>
      </c>
      <c r="J244" t="s">
        <v>308</v>
      </c>
      <c r="K244">
        <v>2.5833316670036653E-3</v>
      </c>
      <c r="L244" t="s">
        <v>163</v>
      </c>
      <c r="N244" t="s">
        <v>210</v>
      </c>
      <c r="O244" t="s">
        <v>308</v>
      </c>
      <c r="P244">
        <v>2.0456566922111195E-2</v>
      </c>
      <c r="Q244" t="s">
        <v>163</v>
      </c>
      <c r="S244" t="s">
        <v>241</v>
      </c>
      <c r="T244" t="s">
        <v>308</v>
      </c>
      <c r="U244">
        <v>3.1040832097612912E-2</v>
      </c>
      <c r="V244" t="s">
        <v>163</v>
      </c>
    </row>
    <row r="245" spans="9:22" x14ac:dyDescent="0.45">
      <c r="I245" t="s">
        <v>179</v>
      </c>
      <c r="J245" t="s">
        <v>309</v>
      </c>
      <c r="K245">
        <v>5.6722036918910573E-3</v>
      </c>
      <c r="L245" t="s">
        <v>163</v>
      </c>
      <c r="N245" t="s">
        <v>210</v>
      </c>
      <c r="O245" t="s">
        <v>309</v>
      </c>
      <c r="P245">
        <v>1.9651690040296248E-2</v>
      </c>
      <c r="Q245" t="s">
        <v>163</v>
      </c>
      <c r="S245" t="s">
        <v>241</v>
      </c>
      <c r="T245" t="s">
        <v>309</v>
      </c>
      <c r="U245">
        <v>2.6063223320349507E-2</v>
      </c>
      <c r="V245" t="s">
        <v>163</v>
      </c>
    </row>
    <row r="246" spans="9:22" x14ac:dyDescent="0.45">
      <c r="I246" t="s">
        <v>179</v>
      </c>
      <c r="J246" t="s">
        <v>310</v>
      </c>
      <c r="K246">
        <v>1.4626051685135368E-2</v>
      </c>
      <c r="L246" t="s">
        <v>163</v>
      </c>
      <c r="N246" t="s">
        <v>210</v>
      </c>
      <c r="O246" t="s">
        <v>310</v>
      </c>
      <c r="P246">
        <v>4.681921600683688E-3</v>
      </c>
      <c r="Q246" t="s">
        <v>163</v>
      </c>
      <c r="S246" t="s">
        <v>241</v>
      </c>
      <c r="T246" t="s">
        <v>310</v>
      </c>
      <c r="U246">
        <v>6.3044452216304168E-3</v>
      </c>
      <c r="V246" t="s">
        <v>163</v>
      </c>
    </row>
    <row r="247" spans="9:22" x14ac:dyDescent="0.45">
      <c r="I247" t="s">
        <v>179</v>
      </c>
      <c r="J247" t="s">
        <v>311</v>
      </c>
      <c r="K247">
        <v>2.5441002350989308E-2</v>
      </c>
      <c r="L247" t="s">
        <v>163</v>
      </c>
      <c r="N247" t="s">
        <v>210</v>
      </c>
      <c r="O247" t="s">
        <v>311</v>
      </c>
      <c r="P247">
        <v>8.0051243707112505E-3</v>
      </c>
      <c r="Q247" t="s">
        <v>163</v>
      </c>
      <c r="S247" t="s">
        <v>241</v>
      </c>
      <c r="T247" t="s">
        <v>311</v>
      </c>
      <c r="U247">
        <v>9.4414388948147049E-3</v>
      </c>
      <c r="V247" t="s">
        <v>163</v>
      </c>
    </row>
    <row r="248" spans="9:22" x14ac:dyDescent="0.45">
      <c r="I248" t="s">
        <v>179</v>
      </c>
      <c r="J248" t="s">
        <v>312</v>
      </c>
      <c r="K248">
        <v>3.2790390978054543E-2</v>
      </c>
      <c r="L248" t="s">
        <v>163</v>
      </c>
      <c r="N248" t="s">
        <v>210</v>
      </c>
      <c r="O248" t="s">
        <v>312</v>
      </c>
      <c r="P248">
        <v>1.5798923644228788E-2</v>
      </c>
      <c r="Q248" t="s">
        <v>163</v>
      </c>
      <c r="S248" t="s">
        <v>241</v>
      </c>
      <c r="T248" t="s">
        <v>312</v>
      </c>
      <c r="U248">
        <v>1.599844481001074E-2</v>
      </c>
      <c r="V248" t="s">
        <v>163</v>
      </c>
    </row>
    <row r="249" spans="9:22" x14ac:dyDescent="0.45">
      <c r="I249" t="s">
        <v>179</v>
      </c>
      <c r="J249" t="s">
        <v>313</v>
      </c>
      <c r="K249">
        <v>1.1401698217141172E-3</v>
      </c>
      <c r="L249" t="s">
        <v>163</v>
      </c>
      <c r="N249" t="s">
        <v>210</v>
      </c>
      <c r="O249" t="s">
        <v>313</v>
      </c>
      <c r="P249">
        <v>2.785203210881616E-3</v>
      </c>
      <c r="Q249" t="s">
        <v>163</v>
      </c>
      <c r="S249" t="s">
        <v>241</v>
      </c>
      <c r="T249" t="s">
        <v>313</v>
      </c>
      <c r="U249">
        <v>3.1775230602942525E-3</v>
      </c>
      <c r="V249" t="s">
        <v>163</v>
      </c>
    </row>
    <row r="250" spans="9:22" x14ac:dyDescent="0.45">
      <c r="I250" t="s">
        <v>179</v>
      </c>
      <c r="J250" t="s">
        <v>314</v>
      </c>
      <c r="K250">
        <v>0</v>
      </c>
      <c r="L250" t="s">
        <v>163</v>
      </c>
      <c r="N250" t="s">
        <v>210</v>
      </c>
      <c r="O250" t="s">
        <v>314</v>
      </c>
      <c r="P250">
        <v>1.4308870727519034E-2</v>
      </c>
      <c r="Q250" t="s">
        <v>163</v>
      </c>
      <c r="S250" t="s">
        <v>241</v>
      </c>
      <c r="T250" t="s">
        <v>314</v>
      </c>
      <c r="U250">
        <v>1.699871925146269E-2</v>
      </c>
      <c r="V250" t="s">
        <v>163</v>
      </c>
    </row>
    <row r="251" spans="9:22" x14ac:dyDescent="0.45">
      <c r="I251" t="s">
        <v>179</v>
      </c>
      <c r="J251" t="s">
        <v>315</v>
      </c>
      <c r="K251">
        <v>4.4205845684544666E-3</v>
      </c>
      <c r="L251" t="s">
        <v>163</v>
      </c>
      <c r="N251" t="s">
        <v>210</v>
      </c>
      <c r="O251" t="s">
        <v>315</v>
      </c>
      <c r="P251">
        <v>6.2521998760624087E-2</v>
      </c>
      <c r="Q251" t="s">
        <v>163</v>
      </c>
      <c r="S251" t="s">
        <v>241</v>
      </c>
      <c r="T251" t="s">
        <v>315</v>
      </c>
      <c r="U251">
        <v>6.6538209796323564E-2</v>
      </c>
      <c r="V251" t="s">
        <v>163</v>
      </c>
    </row>
    <row r="252" spans="9:22" x14ac:dyDescent="0.45">
      <c r="I252" t="s">
        <v>179</v>
      </c>
      <c r="J252" t="s">
        <v>316</v>
      </c>
      <c r="K252">
        <v>2.4630119360055939E-2</v>
      </c>
      <c r="L252" t="s">
        <v>163</v>
      </c>
      <c r="N252" t="s">
        <v>210</v>
      </c>
      <c r="O252" t="s">
        <v>316</v>
      </c>
      <c r="P252">
        <v>1.3373294138643707E-2</v>
      </c>
      <c r="Q252" t="s">
        <v>163</v>
      </c>
      <c r="S252" t="s">
        <v>241</v>
      </c>
      <c r="T252" t="s">
        <v>316</v>
      </c>
      <c r="U252">
        <v>1.6927955150935432E-2</v>
      </c>
      <c r="V252" t="s">
        <v>163</v>
      </c>
    </row>
    <row r="253" spans="9:22" x14ac:dyDescent="0.45">
      <c r="I253" t="s">
        <v>179</v>
      </c>
      <c r="J253" t="s">
        <v>317</v>
      </c>
      <c r="K253">
        <v>4.4937497798602642E-2</v>
      </c>
      <c r="L253" t="s">
        <v>163</v>
      </c>
      <c r="N253" t="s">
        <v>210</v>
      </c>
      <c r="O253" t="s">
        <v>317</v>
      </c>
      <c r="P253">
        <v>2.8578512846101578E-2</v>
      </c>
      <c r="Q253" t="s">
        <v>163</v>
      </c>
      <c r="S253" t="s">
        <v>241</v>
      </c>
      <c r="T253" t="s">
        <v>317</v>
      </c>
      <c r="U253">
        <v>2.507502638942383E-2</v>
      </c>
      <c r="V253" t="s">
        <v>163</v>
      </c>
    </row>
    <row r="254" spans="9:22" x14ac:dyDescent="0.45">
      <c r="I254" t="s">
        <v>179</v>
      </c>
      <c r="J254" t="s">
        <v>318</v>
      </c>
      <c r="K254">
        <v>4.9510913119447941E-2</v>
      </c>
      <c r="L254" t="s">
        <v>163</v>
      </c>
      <c r="N254" t="s">
        <v>210</v>
      </c>
      <c r="O254" t="s">
        <v>318</v>
      </c>
      <c r="P254">
        <v>5.1067200820925508E-2</v>
      </c>
      <c r="Q254" t="s">
        <v>163</v>
      </c>
      <c r="S254" t="s">
        <v>241</v>
      </c>
      <c r="T254" t="s">
        <v>318</v>
      </c>
      <c r="U254">
        <v>4.2972865968060818E-2</v>
      </c>
      <c r="V254" t="s">
        <v>163</v>
      </c>
    </row>
    <row r="255" spans="9:22" x14ac:dyDescent="0.45">
      <c r="I255" t="s">
        <v>179</v>
      </c>
      <c r="J255" t="s">
        <v>319</v>
      </c>
      <c r="K255">
        <v>0</v>
      </c>
      <c r="L255" t="s">
        <v>163</v>
      </c>
      <c r="N255" t="s">
        <v>210</v>
      </c>
      <c r="O255" t="s">
        <v>319</v>
      </c>
      <c r="P255">
        <v>7.6495954213507671E-3</v>
      </c>
      <c r="Q255" t="s">
        <v>163</v>
      </c>
      <c r="S255" t="s">
        <v>241</v>
      </c>
      <c r="T255" t="s">
        <v>319</v>
      </c>
      <c r="U255">
        <v>8.6462173671912994E-3</v>
      </c>
      <c r="V255" t="s">
        <v>163</v>
      </c>
    </row>
    <row r="256" spans="9:22" x14ac:dyDescent="0.45">
      <c r="I256" t="s">
        <v>179</v>
      </c>
      <c r="J256" t="s">
        <v>320</v>
      </c>
      <c r="K256">
        <v>0</v>
      </c>
      <c r="L256" t="s">
        <v>163</v>
      </c>
      <c r="N256" t="s">
        <v>210</v>
      </c>
      <c r="O256" t="s">
        <v>320</v>
      </c>
      <c r="P256">
        <v>4.0004622105370993E-2</v>
      </c>
      <c r="Q256" t="s">
        <v>163</v>
      </c>
      <c r="S256" t="s">
        <v>241</v>
      </c>
      <c r="T256" t="s">
        <v>320</v>
      </c>
      <c r="U256">
        <v>4.3610296042052979E-2</v>
      </c>
      <c r="V256" t="s">
        <v>163</v>
      </c>
    </row>
    <row r="257" spans="9:22" x14ac:dyDescent="0.45">
      <c r="I257" t="s">
        <v>179</v>
      </c>
      <c r="J257" t="s">
        <v>321</v>
      </c>
      <c r="K257">
        <v>0</v>
      </c>
      <c r="L257" t="s">
        <v>163</v>
      </c>
      <c r="N257" t="s">
        <v>210</v>
      </c>
      <c r="O257" t="s">
        <v>321</v>
      </c>
      <c r="P257">
        <v>3.4113722388342906E-2</v>
      </c>
      <c r="Q257" t="s">
        <v>163</v>
      </c>
      <c r="S257" t="s">
        <v>241</v>
      </c>
      <c r="T257" t="s">
        <v>321</v>
      </c>
      <c r="U257">
        <v>2.8578731507884123E-2</v>
      </c>
      <c r="V257" t="s">
        <v>163</v>
      </c>
    </row>
    <row r="258" spans="9:22" x14ac:dyDescent="0.45">
      <c r="I258" t="s">
        <v>179</v>
      </c>
      <c r="J258" t="s">
        <v>322</v>
      </c>
      <c r="K258">
        <v>7.8378230628450077E-3</v>
      </c>
      <c r="L258" t="s">
        <v>163</v>
      </c>
      <c r="N258" t="s">
        <v>210</v>
      </c>
      <c r="O258" t="s">
        <v>322</v>
      </c>
      <c r="P258">
        <v>8.6367399956862895E-3</v>
      </c>
      <c r="Q258" t="s">
        <v>163</v>
      </c>
      <c r="S258" t="s">
        <v>241</v>
      </c>
      <c r="T258" t="s">
        <v>322</v>
      </c>
      <c r="U258">
        <v>7.7635567476209968E-3</v>
      </c>
      <c r="V258" t="s">
        <v>163</v>
      </c>
    </row>
    <row r="259" spans="9:22" x14ac:dyDescent="0.45">
      <c r="I259" t="s">
        <v>179</v>
      </c>
      <c r="J259" t="s">
        <v>323</v>
      </c>
      <c r="K259">
        <v>1.8816316521633736E-2</v>
      </c>
      <c r="L259" t="s">
        <v>163</v>
      </c>
      <c r="N259" t="s">
        <v>210</v>
      </c>
      <c r="O259" t="s">
        <v>323</v>
      </c>
      <c r="P259">
        <v>1.6636544986999048E-2</v>
      </c>
      <c r="Q259" t="s">
        <v>163</v>
      </c>
      <c r="S259" t="s">
        <v>241</v>
      </c>
      <c r="T259" t="s">
        <v>323</v>
      </c>
      <c r="U259">
        <v>1.1003085879044552E-2</v>
      </c>
      <c r="V259" t="s">
        <v>163</v>
      </c>
    </row>
    <row r="260" spans="9:22" x14ac:dyDescent="0.45">
      <c r="I260" t="s">
        <v>179</v>
      </c>
      <c r="J260" t="s">
        <v>324</v>
      </c>
      <c r="K260">
        <v>1.9521532682822779E-2</v>
      </c>
      <c r="L260" t="s">
        <v>163</v>
      </c>
      <c r="N260" t="s">
        <v>210</v>
      </c>
      <c r="O260" t="s">
        <v>324</v>
      </c>
      <c r="P260">
        <v>2.8684126077197111E-2</v>
      </c>
      <c r="Q260" t="s">
        <v>163</v>
      </c>
      <c r="S260" t="s">
        <v>241</v>
      </c>
      <c r="T260" t="s">
        <v>324</v>
      </c>
      <c r="U260">
        <v>1.9545722054929646E-2</v>
      </c>
      <c r="V260" t="s">
        <v>163</v>
      </c>
    </row>
    <row r="261" spans="9:22" x14ac:dyDescent="0.45">
      <c r="I261" t="s">
        <v>179</v>
      </c>
      <c r="J261" t="s">
        <v>325</v>
      </c>
      <c r="K261">
        <v>0</v>
      </c>
      <c r="L261" t="s">
        <v>163</v>
      </c>
      <c r="N261" t="s">
        <v>210</v>
      </c>
      <c r="O261" t="s">
        <v>325</v>
      </c>
      <c r="P261">
        <v>4.0249088222368661E-3</v>
      </c>
      <c r="Q261" t="s">
        <v>163</v>
      </c>
      <c r="S261" t="s">
        <v>241</v>
      </c>
      <c r="T261" t="s">
        <v>325</v>
      </c>
      <c r="U261">
        <v>4.1624828770851809E-3</v>
      </c>
      <c r="V261" t="s">
        <v>163</v>
      </c>
    </row>
    <row r="262" spans="9:22" x14ac:dyDescent="0.45">
      <c r="I262" t="s">
        <v>179</v>
      </c>
      <c r="J262" t="s">
        <v>326</v>
      </c>
      <c r="K262">
        <v>0</v>
      </c>
      <c r="L262" t="s">
        <v>163</v>
      </c>
      <c r="N262" t="s">
        <v>210</v>
      </c>
      <c r="O262" t="s">
        <v>326</v>
      </c>
      <c r="P262">
        <v>1.9151304207050111E-2</v>
      </c>
      <c r="Q262" t="s">
        <v>163</v>
      </c>
      <c r="S262" t="s">
        <v>241</v>
      </c>
      <c r="T262" t="s">
        <v>326</v>
      </c>
      <c r="U262">
        <v>1.9336775585853071E-2</v>
      </c>
      <c r="V262" t="s">
        <v>163</v>
      </c>
    </row>
    <row r="263" spans="9:22" x14ac:dyDescent="0.45">
      <c r="I263" t="s">
        <v>180</v>
      </c>
      <c r="J263" t="s">
        <v>162</v>
      </c>
      <c r="K263">
        <v>1.9669790784293067E-2</v>
      </c>
      <c r="L263" t="s">
        <v>163</v>
      </c>
      <c r="N263" t="s">
        <v>211</v>
      </c>
      <c r="O263" t="s">
        <v>162</v>
      </c>
      <c r="P263">
        <v>0.14706077695969114</v>
      </c>
      <c r="Q263" t="s">
        <v>163</v>
      </c>
      <c r="S263" t="s">
        <v>242</v>
      </c>
      <c r="T263" t="s">
        <v>162</v>
      </c>
      <c r="U263">
        <v>0.1161210244270179</v>
      </c>
      <c r="V263" t="s">
        <v>163</v>
      </c>
    </row>
    <row r="264" spans="9:22" x14ac:dyDescent="0.45">
      <c r="I264" t="s">
        <v>180</v>
      </c>
      <c r="J264" t="s">
        <v>164</v>
      </c>
      <c r="K264">
        <v>6.6038429297404042E-2</v>
      </c>
      <c r="L264" t="s">
        <v>163</v>
      </c>
      <c r="N264" t="s">
        <v>211</v>
      </c>
      <c r="O264" t="s">
        <v>164</v>
      </c>
      <c r="P264">
        <v>3.1798523628125581E-2</v>
      </c>
      <c r="Q264" t="s">
        <v>163</v>
      </c>
      <c r="S264" t="s">
        <v>242</v>
      </c>
      <c r="T264" t="s">
        <v>164</v>
      </c>
      <c r="U264">
        <v>2.6922607091028242E-2</v>
      </c>
      <c r="V264" t="s">
        <v>163</v>
      </c>
    </row>
    <row r="265" spans="9:22" x14ac:dyDescent="0.45">
      <c r="I265" t="s">
        <v>180</v>
      </c>
      <c r="J265" t="s">
        <v>165</v>
      </c>
      <c r="K265">
        <v>0.12313920569781081</v>
      </c>
      <c r="L265" t="s">
        <v>163</v>
      </c>
      <c r="N265" t="s">
        <v>211</v>
      </c>
      <c r="O265" t="s">
        <v>165</v>
      </c>
      <c r="P265">
        <v>5.1268221121993515E-2</v>
      </c>
      <c r="Q265" t="s">
        <v>163</v>
      </c>
      <c r="S265" t="s">
        <v>242</v>
      </c>
      <c r="T265" t="s">
        <v>165</v>
      </c>
      <c r="U265">
        <v>4.0638045406730917E-2</v>
      </c>
      <c r="V265" t="s">
        <v>163</v>
      </c>
    </row>
    <row r="266" spans="9:22" x14ac:dyDescent="0.45">
      <c r="I266" t="s">
        <v>180</v>
      </c>
      <c r="J266" t="s">
        <v>297</v>
      </c>
      <c r="K266">
        <v>0.15658739493751456</v>
      </c>
      <c r="L266" t="s">
        <v>163</v>
      </c>
      <c r="N266" t="s">
        <v>211</v>
      </c>
      <c r="O266" t="s">
        <v>297</v>
      </c>
      <c r="P266">
        <v>9.7256666052708871E-2</v>
      </c>
      <c r="Q266" t="s">
        <v>163</v>
      </c>
      <c r="S266" t="s">
        <v>242</v>
      </c>
      <c r="T266" t="s">
        <v>297</v>
      </c>
      <c r="U266">
        <v>7.126451088553315E-2</v>
      </c>
      <c r="V266" t="s">
        <v>163</v>
      </c>
    </row>
    <row r="267" spans="9:22" x14ac:dyDescent="0.45">
      <c r="I267" t="s">
        <v>180</v>
      </c>
      <c r="J267" t="s">
        <v>298</v>
      </c>
      <c r="K267">
        <v>3.4670738451513076E-3</v>
      </c>
      <c r="L267" t="s">
        <v>163</v>
      </c>
      <c r="N267" t="s">
        <v>211</v>
      </c>
      <c r="O267" t="s">
        <v>298</v>
      </c>
      <c r="P267">
        <v>1.9948448323698534E-2</v>
      </c>
      <c r="Q267" t="s">
        <v>163</v>
      </c>
      <c r="S267" t="s">
        <v>242</v>
      </c>
      <c r="T267" t="s">
        <v>298</v>
      </c>
      <c r="U267">
        <v>1.3287862743952328E-2</v>
      </c>
      <c r="V267" t="s">
        <v>163</v>
      </c>
    </row>
    <row r="268" spans="9:22" x14ac:dyDescent="0.45">
      <c r="I268" t="s">
        <v>180</v>
      </c>
      <c r="J268" t="s">
        <v>299</v>
      </c>
      <c r="K268">
        <v>0</v>
      </c>
      <c r="L268" t="s">
        <v>163</v>
      </c>
      <c r="N268" t="s">
        <v>211</v>
      </c>
      <c r="O268" t="s">
        <v>299</v>
      </c>
      <c r="P268">
        <v>8.8561327682978586E-2</v>
      </c>
      <c r="Q268" t="s">
        <v>163</v>
      </c>
      <c r="S268" t="s">
        <v>242</v>
      </c>
      <c r="T268" t="s">
        <v>299</v>
      </c>
      <c r="U268">
        <v>7.3475763146975556E-2</v>
      </c>
      <c r="V268" t="s">
        <v>163</v>
      </c>
    </row>
    <row r="269" spans="9:22" x14ac:dyDescent="0.45">
      <c r="I269" t="s">
        <v>180</v>
      </c>
      <c r="J269" t="s">
        <v>166</v>
      </c>
      <c r="K269">
        <v>7.314822211560241E-3</v>
      </c>
      <c r="L269" t="s">
        <v>163</v>
      </c>
      <c r="N269" t="s">
        <v>211</v>
      </c>
      <c r="O269" t="s">
        <v>166</v>
      </c>
      <c r="P269">
        <v>2.3148931731662555E-2</v>
      </c>
      <c r="Q269" t="s">
        <v>163</v>
      </c>
      <c r="S269" t="s">
        <v>242</v>
      </c>
      <c r="T269" t="s">
        <v>166</v>
      </c>
      <c r="U269">
        <v>1.9716118031157623E-2</v>
      </c>
      <c r="V269" t="s">
        <v>163</v>
      </c>
    </row>
    <row r="270" spans="9:22" x14ac:dyDescent="0.45">
      <c r="I270" t="s">
        <v>180</v>
      </c>
      <c r="J270" t="s">
        <v>167</v>
      </c>
      <c r="K270">
        <v>1.3824183054433604E-2</v>
      </c>
      <c r="L270" t="s">
        <v>163</v>
      </c>
      <c r="N270" t="s">
        <v>211</v>
      </c>
      <c r="O270" t="s">
        <v>167</v>
      </c>
      <c r="P270">
        <v>5.4204282950207298E-3</v>
      </c>
      <c r="Q270" t="s">
        <v>163</v>
      </c>
      <c r="S270" t="s">
        <v>242</v>
      </c>
      <c r="T270" t="s">
        <v>167</v>
      </c>
      <c r="U270">
        <v>4.9688568915304274E-3</v>
      </c>
      <c r="V270" t="s">
        <v>163</v>
      </c>
    </row>
    <row r="271" spans="9:22" x14ac:dyDescent="0.45">
      <c r="I271" t="s">
        <v>180</v>
      </c>
      <c r="J271" t="s">
        <v>168</v>
      </c>
      <c r="K271">
        <v>2.841354525574109E-2</v>
      </c>
      <c r="L271" t="s">
        <v>163</v>
      </c>
      <c r="N271" t="s">
        <v>211</v>
      </c>
      <c r="O271" t="s">
        <v>168</v>
      </c>
      <c r="P271">
        <v>9.1361516260876317E-3</v>
      </c>
      <c r="Q271" t="s">
        <v>163</v>
      </c>
      <c r="S271" t="s">
        <v>242</v>
      </c>
      <c r="T271" t="s">
        <v>168</v>
      </c>
      <c r="U271">
        <v>8.0368354965487387E-3</v>
      </c>
      <c r="V271" t="s">
        <v>163</v>
      </c>
    </row>
    <row r="272" spans="9:22" x14ac:dyDescent="0.45">
      <c r="I272" t="s">
        <v>180</v>
      </c>
      <c r="J272" t="s">
        <v>300</v>
      </c>
      <c r="K272">
        <v>3.5784496364338732E-2</v>
      </c>
      <c r="L272" t="s">
        <v>163</v>
      </c>
      <c r="N272" t="s">
        <v>211</v>
      </c>
      <c r="O272" t="s">
        <v>300</v>
      </c>
      <c r="P272">
        <v>1.8695057418654352E-2</v>
      </c>
      <c r="Q272" t="s">
        <v>163</v>
      </c>
      <c r="S272" t="s">
        <v>242</v>
      </c>
      <c r="T272" t="s">
        <v>300</v>
      </c>
      <c r="U272">
        <v>1.354412984402496E-2</v>
      </c>
      <c r="V272" t="s">
        <v>163</v>
      </c>
    </row>
    <row r="273" spans="9:22" x14ac:dyDescent="0.45">
      <c r="I273" t="s">
        <v>180</v>
      </c>
      <c r="J273" t="s">
        <v>301</v>
      </c>
      <c r="K273">
        <v>2.2754163842965214E-3</v>
      </c>
      <c r="L273" t="s">
        <v>163</v>
      </c>
      <c r="N273" t="s">
        <v>211</v>
      </c>
      <c r="O273" t="s">
        <v>301</v>
      </c>
      <c r="P273">
        <v>3.6998848513790064E-3</v>
      </c>
      <c r="Q273" t="s">
        <v>163</v>
      </c>
      <c r="S273" t="s">
        <v>242</v>
      </c>
      <c r="T273" t="s">
        <v>301</v>
      </c>
      <c r="U273">
        <v>2.2266684258441484E-3</v>
      </c>
      <c r="V273" t="s">
        <v>163</v>
      </c>
    </row>
    <row r="274" spans="9:22" x14ac:dyDescent="0.45">
      <c r="I274" t="s">
        <v>180</v>
      </c>
      <c r="J274" t="s">
        <v>302</v>
      </c>
      <c r="K274">
        <v>6.0641199649555356E-4</v>
      </c>
      <c r="L274" t="s">
        <v>163</v>
      </c>
      <c r="N274" t="s">
        <v>211</v>
      </c>
      <c r="O274" t="s">
        <v>302</v>
      </c>
      <c r="P274">
        <v>1.5227322852974907E-2</v>
      </c>
      <c r="Q274" t="s">
        <v>163</v>
      </c>
      <c r="S274" t="s">
        <v>242</v>
      </c>
      <c r="T274" t="s">
        <v>302</v>
      </c>
      <c r="U274">
        <v>1.1582554642373665E-2</v>
      </c>
      <c r="V274" t="s">
        <v>163</v>
      </c>
    </row>
    <row r="275" spans="9:22" x14ac:dyDescent="0.45">
      <c r="I275" t="s">
        <v>180</v>
      </c>
      <c r="J275" t="s">
        <v>169</v>
      </c>
      <c r="K275">
        <v>9.3256996410024835E-3</v>
      </c>
      <c r="L275" t="s">
        <v>163</v>
      </c>
      <c r="N275" t="s">
        <v>211</v>
      </c>
      <c r="O275" t="s">
        <v>169</v>
      </c>
      <c r="P275">
        <v>1.0639768486274901E-2</v>
      </c>
      <c r="Q275" t="s">
        <v>163</v>
      </c>
      <c r="S275" t="s">
        <v>242</v>
      </c>
      <c r="T275" t="s">
        <v>169</v>
      </c>
      <c r="U275">
        <v>2.8010317710807885E-2</v>
      </c>
      <c r="V275" t="s">
        <v>163</v>
      </c>
    </row>
    <row r="276" spans="9:22" x14ac:dyDescent="0.45">
      <c r="I276" t="s">
        <v>180</v>
      </c>
      <c r="J276" t="s">
        <v>170</v>
      </c>
      <c r="K276">
        <v>1.4750057991804309E-2</v>
      </c>
      <c r="L276" t="s">
        <v>163</v>
      </c>
      <c r="N276" t="s">
        <v>211</v>
      </c>
      <c r="O276" t="s">
        <v>170</v>
      </c>
      <c r="P276">
        <v>2.4645495212281998E-3</v>
      </c>
      <c r="Q276" t="s">
        <v>163</v>
      </c>
      <c r="S276" t="s">
        <v>242</v>
      </c>
      <c r="T276" t="s">
        <v>170</v>
      </c>
      <c r="U276">
        <v>5.9457558782263047E-3</v>
      </c>
      <c r="V276" t="s">
        <v>163</v>
      </c>
    </row>
    <row r="277" spans="9:22" x14ac:dyDescent="0.45">
      <c r="I277" t="s">
        <v>180</v>
      </c>
      <c r="J277" t="s">
        <v>171</v>
      </c>
      <c r="K277">
        <v>2.8310775518619248E-2</v>
      </c>
      <c r="L277" t="s">
        <v>163</v>
      </c>
      <c r="N277" t="s">
        <v>211</v>
      </c>
      <c r="O277" t="s">
        <v>171</v>
      </c>
      <c r="P277">
        <v>4.8079213457842282E-3</v>
      </c>
      <c r="Q277" t="s">
        <v>163</v>
      </c>
      <c r="S277" t="s">
        <v>242</v>
      </c>
      <c r="T277" t="s">
        <v>171</v>
      </c>
      <c r="U277">
        <v>9.3259485176147763E-3</v>
      </c>
      <c r="V277" t="s">
        <v>163</v>
      </c>
    </row>
    <row r="278" spans="9:22" x14ac:dyDescent="0.45">
      <c r="I278" t="s">
        <v>180</v>
      </c>
      <c r="J278" t="s">
        <v>303</v>
      </c>
      <c r="K278">
        <v>3.9800667591399962E-2</v>
      </c>
      <c r="L278" t="s">
        <v>163</v>
      </c>
      <c r="N278" t="s">
        <v>211</v>
      </c>
      <c r="O278" t="s">
        <v>303</v>
      </c>
      <c r="P278">
        <v>1.1431676795504671E-2</v>
      </c>
      <c r="Q278" t="s">
        <v>163</v>
      </c>
      <c r="S278" t="s">
        <v>242</v>
      </c>
      <c r="T278" t="s">
        <v>303</v>
      </c>
      <c r="U278">
        <v>1.5910771097698242E-2</v>
      </c>
      <c r="V278" t="s">
        <v>163</v>
      </c>
    </row>
    <row r="279" spans="9:22" x14ac:dyDescent="0.45">
      <c r="I279" t="s">
        <v>180</v>
      </c>
      <c r="J279" t="s">
        <v>304</v>
      </c>
      <c r="K279">
        <v>3.6120590431502723E-3</v>
      </c>
      <c r="L279" t="s">
        <v>163</v>
      </c>
      <c r="N279" t="s">
        <v>211</v>
      </c>
      <c r="O279" t="s">
        <v>304</v>
      </c>
      <c r="P279">
        <v>2.0897713044575579E-3</v>
      </c>
      <c r="Q279" t="s">
        <v>163</v>
      </c>
      <c r="S279" t="s">
        <v>242</v>
      </c>
      <c r="T279" t="s">
        <v>304</v>
      </c>
      <c r="U279">
        <v>2.5956859684815297E-3</v>
      </c>
      <c r="V279" t="s">
        <v>163</v>
      </c>
    </row>
    <row r="280" spans="9:22" x14ac:dyDescent="0.45">
      <c r="I280" t="s">
        <v>180</v>
      </c>
      <c r="J280" t="s">
        <v>305</v>
      </c>
      <c r="K280">
        <v>1.5254157356264578E-3</v>
      </c>
      <c r="L280" t="s">
        <v>163</v>
      </c>
      <c r="N280" t="s">
        <v>211</v>
      </c>
      <c r="O280" t="s">
        <v>305</v>
      </c>
      <c r="P280">
        <v>8.3374818872431148E-3</v>
      </c>
      <c r="Q280" t="s">
        <v>163</v>
      </c>
      <c r="S280" t="s">
        <v>242</v>
      </c>
      <c r="T280" t="s">
        <v>305</v>
      </c>
      <c r="U280">
        <v>1.4488846208533291E-2</v>
      </c>
      <c r="V280" t="s">
        <v>163</v>
      </c>
    </row>
    <row r="281" spans="9:22" x14ac:dyDescent="0.45">
      <c r="I281" t="s">
        <v>180</v>
      </c>
      <c r="J281" t="s">
        <v>172</v>
      </c>
      <c r="K281">
        <v>1.6061216457248537E-2</v>
      </c>
      <c r="L281" t="s">
        <v>163</v>
      </c>
      <c r="N281" t="s">
        <v>211</v>
      </c>
      <c r="O281" t="s">
        <v>172</v>
      </c>
      <c r="P281">
        <v>2.6040264959282359E-2</v>
      </c>
      <c r="Q281" t="s">
        <v>163</v>
      </c>
      <c r="S281" t="s">
        <v>242</v>
      </c>
      <c r="T281" t="s">
        <v>172</v>
      </c>
      <c r="U281">
        <v>4.3356966012236847E-2</v>
      </c>
      <c r="V281" t="s">
        <v>163</v>
      </c>
    </row>
    <row r="282" spans="9:22" x14ac:dyDescent="0.45">
      <c r="I282" t="s">
        <v>180</v>
      </c>
      <c r="J282" t="s">
        <v>173</v>
      </c>
      <c r="K282">
        <v>2.9680761363488514E-2</v>
      </c>
      <c r="L282" t="s">
        <v>163</v>
      </c>
      <c r="N282" t="s">
        <v>211</v>
      </c>
      <c r="O282" t="s">
        <v>173</v>
      </c>
      <c r="P282">
        <v>5.210721146223409E-3</v>
      </c>
      <c r="Q282" t="s">
        <v>163</v>
      </c>
      <c r="S282" t="s">
        <v>242</v>
      </c>
      <c r="T282" t="s">
        <v>173</v>
      </c>
      <c r="U282">
        <v>8.7266927755854685E-3</v>
      </c>
      <c r="V282" t="s">
        <v>163</v>
      </c>
    </row>
    <row r="283" spans="9:22" x14ac:dyDescent="0.45">
      <c r="I283" t="s">
        <v>180</v>
      </c>
      <c r="J283" t="s">
        <v>174</v>
      </c>
      <c r="K283">
        <v>5.7004780932594187E-2</v>
      </c>
      <c r="L283" t="s">
        <v>163</v>
      </c>
      <c r="N283" t="s">
        <v>211</v>
      </c>
      <c r="O283" t="s">
        <v>174</v>
      </c>
      <c r="P283">
        <v>9.9529529963602731E-3</v>
      </c>
      <c r="Q283" t="s">
        <v>163</v>
      </c>
      <c r="S283" t="s">
        <v>242</v>
      </c>
      <c r="T283" t="s">
        <v>174</v>
      </c>
      <c r="U283">
        <v>1.3317431586481418E-2</v>
      </c>
      <c r="V283" t="s">
        <v>163</v>
      </c>
    </row>
    <row r="284" spans="9:22" x14ac:dyDescent="0.45">
      <c r="I284" t="s">
        <v>180</v>
      </c>
      <c r="J284" t="s">
        <v>306</v>
      </c>
      <c r="K284">
        <v>7.7705601936100432E-2</v>
      </c>
      <c r="L284" t="s">
        <v>163</v>
      </c>
      <c r="N284" t="s">
        <v>211</v>
      </c>
      <c r="O284" t="s">
        <v>306</v>
      </c>
      <c r="P284">
        <v>2.4128640774616419E-2</v>
      </c>
      <c r="Q284" t="s">
        <v>163</v>
      </c>
      <c r="S284" t="s">
        <v>242</v>
      </c>
      <c r="T284" t="s">
        <v>306</v>
      </c>
      <c r="U284">
        <v>2.1792428403434976E-2</v>
      </c>
      <c r="V284" t="s">
        <v>163</v>
      </c>
    </row>
    <row r="285" spans="9:22" x14ac:dyDescent="0.45">
      <c r="I285" t="s">
        <v>180</v>
      </c>
      <c r="J285" t="s">
        <v>307</v>
      </c>
      <c r="K285">
        <v>6.2249875413006219E-3</v>
      </c>
      <c r="L285" t="s">
        <v>163</v>
      </c>
      <c r="N285" t="s">
        <v>211</v>
      </c>
      <c r="O285" t="s">
        <v>307</v>
      </c>
      <c r="P285">
        <v>5.4524003791469591E-3</v>
      </c>
      <c r="Q285" t="s">
        <v>163</v>
      </c>
      <c r="S285" t="s">
        <v>242</v>
      </c>
      <c r="T285" t="s">
        <v>307</v>
      </c>
      <c r="U285">
        <v>3.8897259029245161E-3</v>
      </c>
      <c r="V285" t="s">
        <v>163</v>
      </c>
    </row>
    <row r="286" spans="9:22" x14ac:dyDescent="0.45">
      <c r="I286" t="s">
        <v>180</v>
      </c>
      <c r="J286" t="s">
        <v>308</v>
      </c>
      <c r="K286">
        <v>2.0132601677723748E-3</v>
      </c>
      <c r="L286" t="s">
        <v>163</v>
      </c>
      <c r="N286" t="s">
        <v>211</v>
      </c>
      <c r="O286" t="s">
        <v>308</v>
      </c>
      <c r="P286">
        <v>2.2720125589955873E-2</v>
      </c>
      <c r="Q286" t="s">
        <v>163</v>
      </c>
      <c r="S286" t="s">
        <v>242</v>
      </c>
      <c r="T286" t="s">
        <v>308</v>
      </c>
      <c r="U286">
        <v>2.4967125120779421E-2</v>
      </c>
      <c r="V286" t="s">
        <v>163</v>
      </c>
    </row>
    <row r="287" spans="9:22" x14ac:dyDescent="0.45">
      <c r="I287" t="s">
        <v>180</v>
      </c>
      <c r="J287" t="s">
        <v>309</v>
      </c>
      <c r="K287">
        <v>6.7226994743781144E-3</v>
      </c>
      <c r="L287" t="s">
        <v>163</v>
      </c>
      <c r="N287" t="s">
        <v>211</v>
      </c>
      <c r="O287" t="s">
        <v>309</v>
      </c>
      <c r="P287">
        <v>1.6995368219498715E-2</v>
      </c>
      <c r="Q287" t="s">
        <v>163</v>
      </c>
      <c r="S287" t="s">
        <v>242</v>
      </c>
      <c r="T287" t="s">
        <v>309</v>
      </c>
      <c r="U287">
        <v>3.2896519767926617E-2</v>
      </c>
      <c r="V287" t="s">
        <v>163</v>
      </c>
    </row>
    <row r="288" spans="9:22" x14ac:dyDescent="0.45">
      <c r="I288" t="s">
        <v>180</v>
      </c>
      <c r="J288" t="s">
        <v>310</v>
      </c>
      <c r="K288">
        <v>1.4464682392277059E-2</v>
      </c>
      <c r="L288" t="s">
        <v>163</v>
      </c>
      <c r="N288" t="s">
        <v>211</v>
      </c>
      <c r="O288" t="s">
        <v>310</v>
      </c>
      <c r="P288">
        <v>3.7517522142465924E-3</v>
      </c>
      <c r="Q288" t="s">
        <v>163</v>
      </c>
      <c r="S288" t="s">
        <v>242</v>
      </c>
      <c r="T288" t="s">
        <v>310</v>
      </c>
      <c r="U288">
        <v>7.72241038889321E-3</v>
      </c>
      <c r="V288" t="s">
        <v>163</v>
      </c>
    </row>
    <row r="289" spans="9:22" x14ac:dyDescent="0.45">
      <c r="I289" t="s">
        <v>180</v>
      </c>
      <c r="J289" t="s">
        <v>311</v>
      </c>
      <c r="K289">
        <v>2.5764702643559706E-2</v>
      </c>
      <c r="L289" t="s">
        <v>163</v>
      </c>
      <c r="N289" t="s">
        <v>211</v>
      </c>
      <c r="O289" t="s">
        <v>311</v>
      </c>
      <c r="P289">
        <v>6.2727405146923536E-3</v>
      </c>
      <c r="Q289" t="s">
        <v>163</v>
      </c>
      <c r="S289" t="s">
        <v>242</v>
      </c>
      <c r="T289" t="s">
        <v>311</v>
      </c>
      <c r="U289">
        <v>1.1420997456745869E-2</v>
      </c>
      <c r="V289" t="s">
        <v>163</v>
      </c>
    </row>
    <row r="290" spans="9:22" x14ac:dyDescent="0.45">
      <c r="I290" t="s">
        <v>180</v>
      </c>
      <c r="J290" t="s">
        <v>312</v>
      </c>
      <c r="K290">
        <v>3.2427772396614409E-2</v>
      </c>
      <c r="L290" t="s">
        <v>163</v>
      </c>
      <c r="N290" t="s">
        <v>211</v>
      </c>
      <c r="O290" t="s">
        <v>312</v>
      </c>
      <c r="P290">
        <v>1.1938046707522399E-2</v>
      </c>
      <c r="Q290" t="s">
        <v>163</v>
      </c>
      <c r="S290" t="s">
        <v>242</v>
      </c>
      <c r="T290" t="s">
        <v>312</v>
      </c>
      <c r="U290">
        <v>1.9671926618450679E-2</v>
      </c>
      <c r="V290" t="s">
        <v>163</v>
      </c>
    </row>
    <row r="291" spans="9:22" x14ac:dyDescent="0.45">
      <c r="I291" t="s">
        <v>180</v>
      </c>
      <c r="J291" t="s">
        <v>313</v>
      </c>
      <c r="K291">
        <v>7.3526374781258703E-4</v>
      </c>
      <c r="L291" t="s">
        <v>163</v>
      </c>
      <c r="N291" t="s">
        <v>211</v>
      </c>
      <c r="O291" t="s">
        <v>313</v>
      </c>
      <c r="P291">
        <v>2.3818998670363258E-3</v>
      </c>
      <c r="Q291" t="s">
        <v>163</v>
      </c>
      <c r="S291" t="s">
        <v>242</v>
      </c>
      <c r="T291" t="s">
        <v>313</v>
      </c>
      <c r="U291">
        <v>3.7877356170037961E-3</v>
      </c>
      <c r="V291" t="s">
        <v>163</v>
      </c>
    </row>
    <row r="292" spans="9:22" x14ac:dyDescent="0.45">
      <c r="I292" t="s">
        <v>180</v>
      </c>
      <c r="J292" t="s">
        <v>314</v>
      </c>
      <c r="K292">
        <v>0</v>
      </c>
      <c r="L292" t="s">
        <v>163</v>
      </c>
      <c r="N292" t="s">
        <v>211</v>
      </c>
      <c r="O292" t="s">
        <v>314</v>
      </c>
      <c r="P292">
        <v>1.1228694864703114E-2</v>
      </c>
      <c r="Q292" t="s">
        <v>163</v>
      </c>
      <c r="S292" t="s">
        <v>242</v>
      </c>
      <c r="T292" t="s">
        <v>314</v>
      </c>
      <c r="U292">
        <v>2.0724165687251068E-2</v>
      </c>
      <c r="V292" t="s">
        <v>163</v>
      </c>
    </row>
    <row r="293" spans="9:22" x14ac:dyDescent="0.45">
      <c r="I293" t="s">
        <v>180</v>
      </c>
      <c r="J293" t="s">
        <v>315</v>
      </c>
      <c r="K293">
        <v>5.9071177024862115E-3</v>
      </c>
      <c r="L293" t="s">
        <v>163</v>
      </c>
      <c r="N293" t="s">
        <v>211</v>
      </c>
      <c r="O293" t="s">
        <v>315</v>
      </c>
      <c r="P293">
        <v>6.0624552424239066E-2</v>
      </c>
      <c r="Q293" t="s">
        <v>163</v>
      </c>
      <c r="S293" t="s">
        <v>242</v>
      </c>
      <c r="T293" t="s">
        <v>315</v>
      </c>
      <c r="U293">
        <v>7.2714779256474793E-2</v>
      </c>
      <c r="V293" t="s">
        <v>163</v>
      </c>
    </row>
    <row r="294" spans="9:22" x14ac:dyDescent="0.45">
      <c r="I294" t="s">
        <v>180</v>
      </c>
      <c r="J294" t="s">
        <v>316</v>
      </c>
      <c r="K294">
        <v>2.6525156678546654E-2</v>
      </c>
      <c r="L294" t="s">
        <v>163</v>
      </c>
      <c r="N294" t="s">
        <v>211</v>
      </c>
      <c r="O294" t="s">
        <v>316</v>
      </c>
      <c r="P294">
        <v>1.3517715899556514E-2</v>
      </c>
      <c r="Q294" t="s">
        <v>163</v>
      </c>
      <c r="S294" t="s">
        <v>242</v>
      </c>
      <c r="T294" t="s">
        <v>316</v>
      </c>
      <c r="U294">
        <v>1.782699522742423E-2</v>
      </c>
      <c r="V294" t="s">
        <v>163</v>
      </c>
    </row>
    <row r="295" spans="9:22" x14ac:dyDescent="0.45">
      <c r="I295" t="s">
        <v>180</v>
      </c>
      <c r="J295" t="s">
        <v>317</v>
      </c>
      <c r="K295">
        <v>4.5543370510744058E-2</v>
      </c>
      <c r="L295" t="s">
        <v>163</v>
      </c>
      <c r="N295" t="s">
        <v>211</v>
      </c>
      <c r="O295" t="s">
        <v>317</v>
      </c>
      <c r="P295">
        <v>2.2431461712899784E-2</v>
      </c>
      <c r="Q295" t="s">
        <v>163</v>
      </c>
      <c r="S295" t="s">
        <v>242</v>
      </c>
      <c r="T295" t="s">
        <v>317</v>
      </c>
      <c r="U295">
        <v>2.6694254508719789E-2</v>
      </c>
      <c r="V295" t="s">
        <v>163</v>
      </c>
    </row>
    <row r="296" spans="9:22" x14ac:dyDescent="0.45">
      <c r="I296" t="s">
        <v>180</v>
      </c>
      <c r="J296" t="s">
        <v>318</v>
      </c>
      <c r="K296">
        <v>4.9076452651267713E-2</v>
      </c>
      <c r="L296" t="s">
        <v>163</v>
      </c>
      <c r="N296" t="s">
        <v>211</v>
      </c>
      <c r="O296" t="s">
        <v>318</v>
      </c>
      <c r="P296">
        <v>4.0593359668195932E-2</v>
      </c>
      <c r="Q296" t="s">
        <v>163</v>
      </c>
      <c r="S296" t="s">
        <v>242</v>
      </c>
      <c r="T296" t="s">
        <v>318</v>
      </c>
      <c r="U296">
        <v>4.463070716915523E-2</v>
      </c>
      <c r="V296" t="s">
        <v>163</v>
      </c>
    </row>
    <row r="297" spans="9:22" x14ac:dyDescent="0.45">
      <c r="I297" t="s">
        <v>180</v>
      </c>
      <c r="J297" t="s">
        <v>319</v>
      </c>
      <c r="K297">
        <v>0</v>
      </c>
      <c r="L297" t="s">
        <v>163</v>
      </c>
      <c r="N297" t="s">
        <v>211</v>
      </c>
      <c r="O297" t="s">
        <v>319</v>
      </c>
      <c r="P297">
        <v>8.519042830520655E-3</v>
      </c>
      <c r="Q297" t="s">
        <v>163</v>
      </c>
      <c r="S297" t="s">
        <v>242</v>
      </c>
      <c r="T297" t="s">
        <v>319</v>
      </c>
      <c r="U297">
        <v>8.5539320077697937E-3</v>
      </c>
      <c r="V297" t="s">
        <v>163</v>
      </c>
    </row>
    <row r="298" spans="9:22" x14ac:dyDescent="0.45">
      <c r="I298" t="s">
        <v>180</v>
      </c>
      <c r="J298" t="s">
        <v>320</v>
      </c>
      <c r="K298">
        <v>0</v>
      </c>
      <c r="L298" t="s">
        <v>163</v>
      </c>
      <c r="N298" t="s">
        <v>211</v>
      </c>
      <c r="O298" t="s">
        <v>320</v>
      </c>
      <c r="P298">
        <v>3.6993874948465656E-2</v>
      </c>
      <c r="Q298" t="s">
        <v>163</v>
      </c>
      <c r="S298" t="s">
        <v>242</v>
      </c>
      <c r="T298" t="s">
        <v>320</v>
      </c>
      <c r="U298">
        <v>4.5183505547618165E-2</v>
      </c>
      <c r="V298" t="s">
        <v>163</v>
      </c>
    </row>
    <row r="299" spans="9:22" x14ac:dyDescent="0.45">
      <c r="I299" t="s">
        <v>180</v>
      </c>
      <c r="J299" t="s">
        <v>321</v>
      </c>
      <c r="K299">
        <v>0</v>
      </c>
      <c r="L299" t="s">
        <v>163</v>
      </c>
      <c r="N299" t="s">
        <v>211</v>
      </c>
      <c r="O299" t="s">
        <v>321</v>
      </c>
      <c r="P299">
        <v>4.0650684759643882E-2</v>
      </c>
      <c r="Q299" t="s">
        <v>163</v>
      </c>
      <c r="S299" t="s">
        <v>242</v>
      </c>
      <c r="T299" t="s">
        <v>321</v>
      </c>
      <c r="U299">
        <v>3.0722141614128368E-2</v>
      </c>
      <c r="V299" t="s">
        <v>163</v>
      </c>
    </row>
    <row r="300" spans="9:22" x14ac:dyDescent="0.45">
      <c r="I300" t="s">
        <v>180</v>
      </c>
      <c r="J300" t="s">
        <v>322</v>
      </c>
      <c r="K300">
        <v>9.2137178368458372E-3</v>
      </c>
      <c r="L300" t="s">
        <v>163</v>
      </c>
      <c r="N300" t="s">
        <v>211</v>
      </c>
      <c r="O300" t="s">
        <v>322</v>
      </c>
      <c r="P300">
        <v>8.8580896493662513E-3</v>
      </c>
      <c r="Q300" t="s">
        <v>163</v>
      </c>
      <c r="S300" t="s">
        <v>242</v>
      </c>
      <c r="T300" t="s">
        <v>322</v>
      </c>
      <c r="U300">
        <v>7.6016199444087539E-3</v>
      </c>
      <c r="V300" t="s">
        <v>163</v>
      </c>
    </row>
    <row r="301" spans="9:22" x14ac:dyDescent="0.45">
      <c r="I301" t="s">
        <v>180</v>
      </c>
      <c r="J301" t="s">
        <v>323</v>
      </c>
      <c r="K301">
        <v>1.965449224001356E-2</v>
      </c>
      <c r="L301" t="s">
        <v>163</v>
      </c>
      <c r="N301" t="s">
        <v>211</v>
      </c>
      <c r="O301" t="s">
        <v>323</v>
      </c>
      <c r="P301">
        <v>1.4106445707392319E-2</v>
      </c>
      <c r="Q301" t="s">
        <v>163</v>
      </c>
      <c r="S301" t="s">
        <v>242</v>
      </c>
      <c r="T301" t="s">
        <v>323</v>
      </c>
      <c r="U301">
        <v>1.1200461885132249E-2</v>
      </c>
      <c r="V301" t="s">
        <v>163</v>
      </c>
    </row>
    <row r="302" spans="9:22" x14ac:dyDescent="0.45">
      <c r="I302" t="s">
        <v>180</v>
      </c>
      <c r="J302" t="s">
        <v>324</v>
      </c>
      <c r="K302">
        <v>2.0828517976306461E-2</v>
      </c>
      <c r="L302" t="s">
        <v>163</v>
      </c>
      <c r="N302" t="s">
        <v>211</v>
      </c>
      <c r="O302" t="s">
        <v>324</v>
      </c>
      <c r="P302">
        <v>2.6367066817280304E-2</v>
      </c>
      <c r="Q302" t="s">
        <v>163</v>
      </c>
      <c r="S302" t="s">
        <v>242</v>
      </c>
      <c r="T302" t="s">
        <v>324</v>
      </c>
      <c r="U302">
        <v>1.9972120050966161E-2</v>
      </c>
      <c r="V302" t="s">
        <v>163</v>
      </c>
    </row>
    <row r="303" spans="9:22" x14ac:dyDescent="0.45">
      <c r="I303" t="s">
        <v>180</v>
      </c>
      <c r="J303" t="s">
        <v>325</v>
      </c>
      <c r="K303">
        <v>0</v>
      </c>
      <c r="L303" t="s">
        <v>163</v>
      </c>
      <c r="N303" t="s">
        <v>211</v>
      </c>
      <c r="O303" t="s">
        <v>325</v>
      </c>
      <c r="P303">
        <v>5.3352609174090338E-3</v>
      </c>
      <c r="Q303" t="s">
        <v>163</v>
      </c>
      <c r="S303" t="s">
        <v>242</v>
      </c>
      <c r="T303" t="s">
        <v>325</v>
      </c>
      <c r="U303">
        <v>4.1847746359203949E-3</v>
      </c>
      <c r="V303" t="s">
        <v>163</v>
      </c>
    </row>
    <row r="304" spans="9:22" x14ac:dyDescent="0.45">
      <c r="I304" t="s">
        <v>180</v>
      </c>
      <c r="J304" t="s">
        <v>326</v>
      </c>
      <c r="K304">
        <v>0</v>
      </c>
      <c r="L304" t="s">
        <v>163</v>
      </c>
      <c r="N304" t="s">
        <v>211</v>
      </c>
      <c r="O304" t="s">
        <v>326</v>
      </c>
      <c r="P304">
        <v>2.4935926546277881E-2</v>
      </c>
      <c r="Q304" t="s">
        <v>163</v>
      </c>
      <c r="S304" t="s">
        <v>242</v>
      </c>
      <c r="T304" t="s">
        <v>326</v>
      </c>
      <c r="U304">
        <v>2.0378280400486545E-2</v>
      </c>
      <c r="V304" t="s">
        <v>163</v>
      </c>
    </row>
    <row r="305" spans="9:22" x14ac:dyDescent="0.45">
      <c r="I305" t="s">
        <v>181</v>
      </c>
      <c r="J305" t="s">
        <v>162</v>
      </c>
      <c r="K305">
        <v>2.1262662831101658E-2</v>
      </c>
      <c r="L305" t="s">
        <v>163</v>
      </c>
      <c r="N305" t="s">
        <v>212</v>
      </c>
      <c r="O305" t="s">
        <v>162</v>
      </c>
      <c r="P305">
        <v>0.13673299787170026</v>
      </c>
      <c r="Q305" t="s">
        <v>163</v>
      </c>
      <c r="S305" t="s">
        <v>243</v>
      </c>
      <c r="T305" t="s">
        <v>162</v>
      </c>
      <c r="U305">
        <v>0.1213856756752939</v>
      </c>
      <c r="V305" t="s">
        <v>163</v>
      </c>
    </row>
    <row r="306" spans="9:22" x14ac:dyDescent="0.45">
      <c r="I306" t="s">
        <v>181</v>
      </c>
      <c r="J306" t="s">
        <v>164</v>
      </c>
      <c r="K306">
        <v>7.3229075660218801E-2</v>
      </c>
      <c r="L306" t="s">
        <v>163</v>
      </c>
      <c r="N306" t="s">
        <v>212</v>
      </c>
      <c r="O306" t="s">
        <v>164</v>
      </c>
      <c r="P306">
        <v>2.8811931451331589E-2</v>
      </c>
      <c r="Q306" t="s">
        <v>163</v>
      </c>
      <c r="S306" t="s">
        <v>243</v>
      </c>
      <c r="T306" t="s">
        <v>164</v>
      </c>
      <c r="U306">
        <v>2.5766808531245952E-2</v>
      </c>
      <c r="V306" t="s">
        <v>163</v>
      </c>
    </row>
    <row r="307" spans="9:22" x14ac:dyDescent="0.45">
      <c r="I307" t="s">
        <v>181</v>
      </c>
      <c r="J307" t="s">
        <v>165</v>
      </c>
      <c r="K307">
        <v>0.12838289316449186</v>
      </c>
      <c r="L307" t="s">
        <v>163</v>
      </c>
      <c r="N307" t="s">
        <v>212</v>
      </c>
      <c r="O307" t="s">
        <v>165</v>
      </c>
      <c r="P307">
        <v>6.5370872175359279E-2</v>
      </c>
      <c r="Q307" t="s">
        <v>163</v>
      </c>
      <c r="S307" t="s">
        <v>243</v>
      </c>
      <c r="T307" t="s">
        <v>165</v>
      </c>
      <c r="U307">
        <v>3.5299546307708901E-2</v>
      </c>
      <c r="V307" t="s">
        <v>163</v>
      </c>
    </row>
    <row r="308" spans="9:22" x14ac:dyDescent="0.45">
      <c r="I308" t="s">
        <v>181</v>
      </c>
      <c r="J308" t="s">
        <v>297</v>
      </c>
      <c r="K308">
        <v>0.16070816911925004</v>
      </c>
      <c r="L308" t="s">
        <v>163</v>
      </c>
      <c r="N308" t="s">
        <v>212</v>
      </c>
      <c r="O308" t="s">
        <v>297</v>
      </c>
      <c r="P308">
        <v>0.12823196883758237</v>
      </c>
      <c r="Q308" t="s">
        <v>163</v>
      </c>
      <c r="S308" t="s">
        <v>243</v>
      </c>
      <c r="T308" t="s">
        <v>297</v>
      </c>
      <c r="U308">
        <v>6.3281154823301752E-2</v>
      </c>
      <c r="V308" t="s">
        <v>163</v>
      </c>
    </row>
    <row r="309" spans="9:22" x14ac:dyDescent="0.45">
      <c r="I309" t="s">
        <v>181</v>
      </c>
      <c r="J309" t="s">
        <v>298</v>
      </c>
      <c r="K309">
        <v>3.2695783947493361E-3</v>
      </c>
      <c r="L309" t="s">
        <v>163</v>
      </c>
      <c r="N309" t="s">
        <v>212</v>
      </c>
      <c r="O309" t="s">
        <v>298</v>
      </c>
      <c r="P309">
        <v>2.107590710921842E-2</v>
      </c>
      <c r="Q309" t="s">
        <v>163</v>
      </c>
      <c r="S309" t="s">
        <v>243</v>
      </c>
      <c r="T309" t="s">
        <v>298</v>
      </c>
      <c r="U309">
        <v>1.3558997109551447E-2</v>
      </c>
      <c r="V309" t="s">
        <v>163</v>
      </c>
    </row>
    <row r="310" spans="9:22" x14ac:dyDescent="0.45">
      <c r="I310" t="s">
        <v>181</v>
      </c>
      <c r="J310" t="s">
        <v>299</v>
      </c>
      <c r="K310">
        <v>0</v>
      </c>
      <c r="L310" t="s">
        <v>163</v>
      </c>
      <c r="N310" t="s">
        <v>212</v>
      </c>
      <c r="O310" t="s">
        <v>299</v>
      </c>
      <c r="P310">
        <v>8.0074958342782485E-2</v>
      </c>
      <c r="Q310" t="s">
        <v>163</v>
      </c>
      <c r="S310" t="s">
        <v>243</v>
      </c>
      <c r="T310" t="s">
        <v>299</v>
      </c>
      <c r="U310">
        <v>7.0259963648916277E-2</v>
      </c>
      <c r="V310" t="s">
        <v>163</v>
      </c>
    </row>
    <row r="311" spans="9:22" x14ac:dyDescent="0.45">
      <c r="I311" t="s">
        <v>181</v>
      </c>
      <c r="J311" t="s">
        <v>166</v>
      </c>
      <c r="K311">
        <v>7.7179349604889202E-3</v>
      </c>
      <c r="L311" t="s">
        <v>163</v>
      </c>
      <c r="N311" t="s">
        <v>212</v>
      </c>
      <c r="O311" t="s">
        <v>166</v>
      </c>
      <c r="P311">
        <v>1.8908353442556921E-2</v>
      </c>
      <c r="Q311" t="s">
        <v>163</v>
      </c>
      <c r="S311" t="s">
        <v>243</v>
      </c>
      <c r="T311" t="s">
        <v>166</v>
      </c>
      <c r="U311">
        <v>2.0842623964813772E-2</v>
      </c>
      <c r="V311" t="s">
        <v>163</v>
      </c>
    </row>
    <row r="312" spans="9:22" x14ac:dyDescent="0.45">
      <c r="I312" t="s">
        <v>181</v>
      </c>
      <c r="J312" t="s">
        <v>167</v>
      </c>
      <c r="K312">
        <v>1.3557572922260669E-2</v>
      </c>
      <c r="L312" t="s">
        <v>163</v>
      </c>
      <c r="N312" t="s">
        <v>212</v>
      </c>
      <c r="O312" t="s">
        <v>167</v>
      </c>
      <c r="P312">
        <v>4.9853554674942546E-3</v>
      </c>
      <c r="Q312" t="s">
        <v>163</v>
      </c>
      <c r="S312" t="s">
        <v>243</v>
      </c>
      <c r="T312" t="s">
        <v>167</v>
      </c>
      <c r="U312">
        <v>4.9330067966258228E-3</v>
      </c>
      <c r="V312" t="s">
        <v>163</v>
      </c>
    </row>
    <row r="313" spans="9:22" x14ac:dyDescent="0.45">
      <c r="I313" t="s">
        <v>181</v>
      </c>
      <c r="J313" t="s">
        <v>168</v>
      </c>
      <c r="K313">
        <v>2.7847176183622528E-2</v>
      </c>
      <c r="L313" t="s">
        <v>163</v>
      </c>
      <c r="N313" t="s">
        <v>212</v>
      </c>
      <c r="O313" t="s">
        <v>168</v>
      </c>
      <c r="P313">
        <v>1.1005100390340779E-2</v>
      </c>
      <c r="Q313" t="s">
        <v>163</v>
      </c>
      <c r="S313" t="s">
        <v>243</v>
      </c>
      <c r="T313" t="s">
        <v>168</v>
      </c>
      <c r="U313">
        <v>8.09741744313963E-3</v>
      </c>
      <c r="V313" t="s">
        <v>163</v>
      </c>
    </row>
    <row r="314" spans="9:22" x14ac:dyDescent="0.45">
      <c r="I314" t="s">
        <v>181</v>
      </c>
      <c r="J314" t="s">
        <v>300</v>
      </c>
      <c r="K314">
        <v>3.5686558763809897E-2</v>
      </c>
      <c r="L314" t="s">
        <v>163</v>
      </c>
      <c r="N314" t="s">
        <v>212</v>
      </c>
      <c r="O314" t="s">
        <v>300</v>
      </c>
      <c r="P314">
        <v>2.3985427858357094E-2</v>
      </c>
      <c r="Q314" t="s">
        <v>163</v>
      </c>
      <c r="S314" t="s">
        <v>243</v>
      </c>
      <c r="T314" t="s">
        <v>300</v>
      </c>
      <c r="U314">
        <v>1.3612466110975316E-2</v>
      </c>
      <c r="V314" t="s">
        <v>163</v>
      </c>
    </row>
    <row r="315" spans="9:22" x14ac:dyDescent="0.45">
      <c r="I315" t="s">
        <v>181</v>
      </c>
      <c r="J315" t="s">
        <v>301</v>
      </c>
      <c r="K315">
        <v>2.2725831794744105E-3</v>
      </c>
      <c r="L315" t="s">
        <v>163</v>
      </c>
      <c r="N315" t="s">
        <v>212</v>
      </c>
      <c r="O315" t="s">
        <v>301</v>
      </c>
      <c r="P315">
        <v>4.2267897427847043E-3</v>
      </c>
      <c r="Q315" t="s">
        <v>163</v>
      </c>
      <c r="S315" t="s">
        <v>243</v>
      </c>
      <c r="T315" t="s">
        <v>301</v>
      </c>
      <c r="U315">
        <v>2.7567310509088025E-3</v>
      </c>
      <c r="V315" t="s">
        <v>163</v>
      </c>
    </row>
    <row r="316" spans="9:22" x14ac:dyDescent="0.45">
      <c r="I316" t="s">
        <v>181</v>
      </c>
      <c r="J316" t="s">
        <v>302</v>
      </c>
      <c r="K316">
        <v>3.9196662359648017E-4</v>
      </c>
      <c r="L316" t="s">
        <v>163</v>
      </c>
      <c r="N316" t="s">
        <v>212</v>
      </c>
      <c r="O316" t="s">
        <v>302</v>
      </c>
      <c r="P316">
        <v>1.3888323308792942E-2</v>
      </c>
      <c r="Q316" t="s">
        <v>163</v>
      </c>
      <c r="S316" t="s">
        <v>243</v>
      </c>
      <c r="T316" t="s">
        <v>302</v>
      </c>
      <c r="U316">
        <v>1.2167408561422278E-2</v>
      </c>
      <c r="V316" t="s">
        <v>163</v>
      </c>
    </row>
    <row r="317" spans="9:22" x14ac:dyDescent="0.45">
      <c r="I317" t="s">
        <v>181</v>
      </c>
      <c r="J317" t="s">
        <v>169</v>
      </c>
      <c r="K317">
        <v>6.2434555317137661E-3</v>
      </c>
      <c r="L317" t="s">
        <v>163</v>
      </c>
      <c r="N317" t="s">
        <v>212</v>
      </c>
      <c r="O317" t="s">
        <v>169</v>
      </c>
      <c r="P317">
        <v>8.3098490184107011E-3</v>
      </c>
      <c r="Q317" t="s">
        <v>163</v>
      </c>
      <c r="S317" t="s">
        <v>243</v>
      </c>
      <c r="T317" t="s">
        <v>169</v>
      </c>
      <c r="U317">
        <v>2.6201068182449775E-2</v>
      </c>
      <c r="V317" t="s">
        <v>163</v>
      </c>
    </row>
    <row r="318" spans="9:22" x14ac:dyDescent="0.45">
      <c r="I318" t="s">
        <v>181</v>
      </c>
      <c r="J318" t="s">
        <v>170</v>
      </c>
      <c r="K318">
        <v>1.247128373197701E-2</v>
      </c>
      <c r="L318" t="s">
        <v>163</v>
      </c>
      <c r="N318" t="s">
        <v>212</v>
      </c>
      <c r="O318" t="s">
        <v>170</v>
      </c>
      <c r="P318">
        <v>2.5097648784751445E-3</v>
      </c>
      <c r="Q318" t="s">
        <v>163</v>
      </c>
      <c r="S318" t="s">
        <v>243</v>
      </c>
      <c r="T318" t="s">
        <v>170</v>
      </c>
      <c r="U318">
        <v>6.6592659041720351E-3</v>
      </c>
      <c r="V318" t="s">
        <v>163</v>
      </c>
    </row>
    <row r="319" spans="9:22" x14ac:dyDescent="0.45">
      <c r="I319" t="s">
        <v>181</v>
      </c>
      <c r="J319" t="s">
        <v>171</v>
      </c>
      <c r="K319">
        <v>2.7716483300854629E-2</v>
      </c>
      <c r="L319" t="s">
        <v>163</v>
      </c>
      <c r="N319" t="s">
        <v>212</v>
      </c>
      <c r="O319" t="s">
        <v>171</v>
      </c>
      <c r="P319">
        <v>5.4600983743805448E-3</v>
      </c>
      <c r="Q319" t="s">
        <v>163</v>
      </c>
      <c r="S319" t="s">
        <v>243</v>
      </c>
      <c r="T319" t="s">
        <v>171</v>
      </c>
      <c r="U319">
        <v>1.0754275802303695E-2</v>
      </c>
      <c r="V319" t="s">
        <v>163</v>
      </c>
    </row>
    <row r="320" spans="9:22" x14ac:dyDescent="0.45">
      <c r="I320" t="s">
        <v>181</v>
      </c>
      <c r="J320" t="s">
        <v>303</v>
      </c>
      <c r="K320">
        <v>3.9521648362399998E-2</v>
      </c>
      <c r="L320" t="s">
        <v>163</v>
      </c>
      <c r="N320" t="s">
        <v>212</v>
      </c>
      <c r="O320" t="s">
        <v>303</v>
      </c>
      <c r="P320">
        <v>1.0408118250356913E-2</v>
      </c>
      <c r="Q320" t="s">
        <v>163</v>
      </c>
      <c r="S320" t="s">
        <v>243</v>
      </c>
      <c r="T320" t="s">
        <v>303</v>
      </c>
      <c r="U320">
        <v>1.8985572282431987E-2</v>
      </c>
      <c r="V320" t="s">
        <v>163</v>
      </c>
    </row>
    <row r="321" spans="9:22" x14ac:dyDescent="0.45">
      <c r="I321" t="s">
        <v>181</v>
      </c>
      <c r="J321" t="s">
        <v>304</v>
      </c>
      <c r="K321">
        <v>2.946093523660348E-3</v>
      </c>
      <c r="L321" t="s">
        <v>163</v>
      </c>
      <c r="N321" t="s">
        <v>212</v>
      </c>
      <c r="O321" t="s">
        <v>304</v>
      </c>
      <c r="P321">
        <v>1.5215183696245104E-3</v>
      </c>
      <c r="Q321" t="s">
        <v>163</v>
      </c>
      <c r="S321" t="s">
        <v>243</v>
      </c>
      <c r="T321" t="s">
        <v>304</v>
      </c>
      <c r="U321">
        <v>3.6854789282567985E-3</v>
      </c>
      <c r="V321" t="s">
        <v>163</v>
      </c>
    </row>
    <row r="322" spans="9:22" x14ac:dyDescent="0.45">
      <c r="I322" t="s">
        <v>181</v>
      </c>
      <c r="J322" t="s">
        <v>305</v>
      </c>
      <c r="K322">
        <v>1.0684175006097465E-3</v>
      </c>
      <c r="L322" t="s">
        <v>163</v>
      </c>
      <c r="N322" t="s">
        <v>212</v>
      </c>
      <c r="O322" t="s">
        <v>305</v>
      </c>
      <c r="P322">
        <v>5.0662888579729665E-3</v>
      </c>
      <c r="Q322" t="s">
        <v>163</v>
      </c>
      <c r="S322" t="s">
        <v>243</v>
      </c>
      <c r="T322" t="s">
        <v>305</v>
      </c>
      <c r="U322">
        <v>1.665792113151086E-2</v>
      </c>
      <c r="V322" t="s">
        <v>163</v>
      </c>
    </row>
    <row r="323" spans="9:22" x14ac:dyDescent="0.45">
      <c r="I323" t="s">
        <v>181</v>
      </c>
      <c r="J323" t="s">
        <v>172</v>
      </c>
      <c r="K323">
        <v>1.0461656800899248E-2</v>
      </c>
      <c r="L323" t="s">
        <v>163</v>
      </c>
      <c r="N323" t="s">
        <v>212</v>
      </c>
      <c r="O323" t="s">
        <v>172</v>
      </c>
      <c r="P323">
        <v>1.7376127856395831E-2</v>
      </c>
      <c r="Q323" t="s">
        <v>163</v>
      </c>
      <c r="S323" t="s">
        <v>243</v>
      </c>
      <c r="T323" t="s">
        <v>172</v>
      </c>
      <c r="U323">
        <v>4.7007367569819103E-2</v>
      </c>
      <c r="V323" t="s">
        <v>163</v>
      </c>
    </row>
    <row r="324" spans="9:22" x14ac:dyDescent="0.45">
      <c r="I324" t="s">
        <v>181</v>
      </c>
      <c r="J324" t="s">
        <v>173</v>
      </c>
      <c r="K324">
        <v>2.3407124129032245E-2</v>
      </c>
      <c r="L324" t="s">
        <v>163</v>
      </c>
      <c r="N324" t="s">
        <v>212</v>
      </c>
      <c r="O324" t="s">
        <v>173</v>
      </c>
      <c r="P324">
        <v>4.1549856890517991E-3</v>
      </c>
      <c r="Q324" t="s">
        <v>163</v>
      </c>
      <c r="S324" t="s">
        <v>243</v>
      </c>
      <c r="T324" t="s">
        <v>173</v>
      </c>
      <c r="U324">
        <v>9.4678969201597192E-3</v>
      </c>
      <c r="V324" t="s">
        <v>163</v>
      </c>
    </row>
    <row r="325" spans="9:22" x14ac:dyDescent="0.45">
      <c r="I325" t="s">
        <v>181</v>
      </c>
      <c r="J325" t="s">
        <v>174</v>
      </c>
      <c r="K325">
        <v>5.0068230033739149E-2</v>
      </c>
      <c r="L325" t="s">
        <v>163</v>
      </c>
      <c r="N325" t="s">
        <v>212</v>
      </c>
      <c r="O325" t="s">
        <v>174</v>
      </c>
      <c r="P325">
        <v>9.876546775606428E-3</v>
      </c>
      <c r="Q325" t="s">
        <v>163</v>
      </c>
      <c r="S325" t="s">
        <v>243</v>
      </c>
      <c r="T325" t="s">
        <v>174</v>
      </c>
      <c r="U325">
        <v>1.4984780762466178E-2</v>
      </c>
      <c r="V325" t="s">
        <v>163</v>
      </c>
    </row>
    <row r="326" spans="9:22" x14ac:dyDescent="0.45">
      <c r="I326" t="s">
        <v>181</v>
      </c>
      <c r="J326" t="s">
        <v>306</v>
      </c>
      <c r="K326">
        <v>6.8886358116029653E-2</v>
      </c>
      <c r="L326" t="s">
        <v>163</v>
      </c>
      <c r="N326" t="s">
        <v>212</v>
      </c>
      <c r="O326" t="s">
        <v>306</v>
      </c>
      <c r="P326">
        <v>2.2753576301242411E-2</v>
      </c>
      <c r="Q326" t="s">
        <v>163</v>
      </c>
      <c r="S326" t="s">
        <v>243</v>
      </c>
      <c r="T326" t="s">
        <v>306</v>
      </c>
      <c r="U326">
        <v>3.2701800512177755E-2</v>
      </c>
      <c r="V326" t="s">
        <v>163</v>
      </c>
    </row>
    <row r="327" spans="9:22" x14ac:dyDescent="0.45">
      <c r="I327" t="s">
        <v>181</v>
      </c>
      <c r="J327" t="s">
        <v>307</v>
      </c>
      <c r="K327">
        <v>4.6543263002931058E-3</v>
      </c>
      <c r="L327" t="s">
        <v>163</v>
      </c>
      <c r="N327" t="s">
        <v>212</v>
      </c>
      <c r="O327" t="s">
        <v>307</v>
      </c>
      <c r="P327">
        <v>4.1854078775721542E-3</v>
      </c>
      <c r="Q327" t="s">
        <v>163</v>
      </c>
      <c r="S327" t="s">
        <v>243</v>
      </c>
      <c r="T327" t="s">
        <v>307</v>
      </c>
      <c r="U327">
        <v>7.1976331999722273E-3</v>
      </c>
      <c r="V327" t="s">
        <v>163</v>
      </c>
    </row>
    <row r="328" spans="9:22" x14ac:dyDescent="0.45">
      <c r="I328" t="s">
        <v>181</v>
      </c>
      <c r="J328" t="s">
        <v>308</v>
      </c>
      <c r="K328">
        <v>1.2775192734727878E-3</v>
      </c>
      <c r="L328" t="s">
        <v>163</v>
      </c>
      <c r="N328" t="s">
        <v>212</v>
      </c>
      <c r="O328" t="s">
        <v>308</v>
      </c>
      <c r="P328">
        <v>1.3502415737683321E-2</v>
      </c>
      <c r="Q328" t="s">
        <v>163</v>
      </c>
      <c r="S328" t="s">
        <v>243</v>
      </c>
      <c r="T328" t="s">
        <v>308</v>
      </c>
      <c r="U328">
        <v>3.3076188057738001E-2</v>
      </c>
      <c r="V328" t="s">
        <v>163</v>
      </c>
    </row>
    <row r="329" spans="9:22" x14ac:dyDescent="0.45">
      <c r="I329" t="s">
        <v>181</v>
      </c>
      <c r="J329" t="s">
        <v>309</v>
      </c>
      <c r="K329">
        <v>6.006543487704569E-3</v>
      </c>
      <c r="L329" t="s">
        <v>163</v>
      </c>
      <c r="N329" t="s">
        <v>212</v>
      </c>
      <c r="O329" t="s">
        <v>309</v>
      </c>
      <c r="P329">
        <v>1.7984886303503842E-2</v>
      </c>
      <c r="Q329" t="s">
        <v>163</v>
      </c>
      <c r="S329" t="s">
        <v>243</v>
      </c>
      <c r="T329" t="s">
        <v>309</v>
      </c>
      <c r="U329">
        <v>2.9934594644041849E-2</v>
      </c>
      <c r="V329" t="s">
        <v>163</v>
      </c>
    </row>
    <row r="330" spans="9:22" x14ac:dyDescent="0.45">
      <c r="I330" t="s">
        <v>181</v>
      </c>
      <c r="J330" t="s">
        <v>310</v>
      </c>
      <c r="K330">
        <v>1.3432537057676852E-2</v>
      </c>
      <c r="L330" t="s">
        <v>163</v>
      </c>
      <c r="N330" t="s">
        <v>212</v>
      </c>
      <c r="O330" t="s">
        <v>310</v>
      </c>
      <c r="P330">
        <v>3.8438654235474325E-3</v>
      </c>
      <c r="Q330" t="s">
        <v>163</v>
      </c>
      <c r="S330" t="s">
        <v>243</v>
      </c>
      <c r="T330" t="s">
        <v>310</v>
      </c>
      <c r="U330">
        <v>6.934973155291675E-3</v>
      </c>
      <c r="V330" t="s">
        <v>163</v>
      </c>
    </row>
    <row r="331" spans="9:22" x14ac:dyDescent="0.45">
      <c r="I331" t="s">
        <v>181</v>
      </c>
      <c r="J331" t="s">
        <v>311</v>
      </c>
      <c r="K331">
        <v>2.6420162218145343E-2</v>
      </c>
      <c r="L331" t="s">
        <v>163</v>
      </c>
      <c r="N331" t="s">
        <v>212</v>
      </c>
      <c r="O331" t="s">
        <v>311</v>
      </c>
      <c r="P331">
        <v>7.6676609705774871E-3</v>
      </c>
      <c r="Q331" t="s">
        <v>163</v>
      </c>
      <c r="S331" t="s">
        <v>243</v>
      </c>
      <c r="T331" t="s">
        <v>311</v>
      </c>
      <c r="U331">
        <v>1.0365437151022278E-2</v>
      </c>
      <c r="V331" t="s">
        <v>163</v>
      </c>
    </row>
    <row r="332" spans="9:22" x14ac:dyDescent="0.45">
      <c r="I332" t="s">
        <v>181</v>
      </c>
      <c r="J332" t="s">
        <v>312</v>
      </c>
      <c r="K332">
        <v>3.1796157924798236E-2</v>
      </c>
      <c r="L332" t="s">
        <v>163</v>
      </c>
      <c r="N332" t="s">
        <v>212</v>
      </c>
      <c r="O332" t="s">
        <v>312</v>
      </c>
      <c r="P332">
        <v>1.3966482475460671E-2</v>
      </c>
      <c r="Q332" t="s">
        <v>163</v>
      </c>
      <c r="S332" t="s">
        <v>243</v>
      </c>
      <c r="T332" t="s">
        <v>312</v>
      </c>
      <c r="U332">
        <v>1.8180636604610216E-2</v>
      </c>
      <c r="V332" t="s">
        <v>163</v>
      </c>
    </row>
    <row r="333" spans="9:22" x14ac:dyDescent="0.45">
      <c r="I333" t="s">
        <v>181</v>
      </c>
      <c r="J333" t="s">
        <v>313</v>
      </c>
      <c r="K333">
        <v>3.9017109376457578E-4</v>
      </c>
      <c r="L333" t="s">
        <v>163</v>
      </c>
      <c r="N333" t="s">
        <v>212</v>
      </c>
      <c r="O333" t="s">
        <v>313</v>
      </c>
      <c r="P333">
        <v>2.8379443681576595E-3</v>
      </c>
      <c r="Q333" t="s">
        <v>163</v>
      </c>
      <c r="S333" t="s">
        <v>243</v>
      </c>
      <c r="T333" t="s">
        <v>313</v>
      </c>
      <c r="U333">
        <v>3.9337738902103367E-3</v>
      </c>
      <c r="V333" t="s">
        <v>163</v>
      </c>
    </row>
    <row r="334" spans="9:22" x14ac:dyDescent="0.45">
      <c r="I334" t="s">
        <v>181</v>
      </c>
      <c r="J334" t="s">
        <v>314</v>
      </c>
      <c r="K334">
        <v>0</v>
      </c>
      <c r="L334" t="s">
        <v>163</v>
      </c>
      <c r="N334" t="s">
        <v>212</v>
      </c>
      <c r="O334" t="s">
        <v>314</v>
      </c>
      <c r="P334">
        <v>9.9669570980388152E-3</v>
      </c>
      <c r="Q334" t="s">
        <v>163</v>
      </c>
      <c r="S334" t="s">
        <v>243</v>
      </c>
      <c r="T334" t="s">
        <v>314</v>
      </c>
      <c r="U334">
        <v>1.8997907007182006E-2</v>
      </c>
      <c r="V334" t="s">
        <v>163</v>
      </c>
    </row>
    <row r="335" spans="9:22" x14ac:dyDescent="0.45">
      <c r="I335" t="s">
        <v>181</v>
      </c>
      <c r="J335" t="s">
        <v>315</v>
      </c>
      <c r="K335">
        <v>7.0167319476639699E-3</v>
      </c>
      <c r="L335" t="s">
        <v>163</v>
      </c>
      <c r="N335" t="s">
        <v>212</v>
      </c>
      <c r="O335" t="s">
        <v>315</v>
      </c>
      <c r="P335">
        <v>5.2529438594433923E-2</v>
      </c>
      <c r="Q335" t="s">
        <v>163</v>
      </c>
      <c r="S335" t="s">
        <v>243</v>
      </c>
      <c r="T335" t="s">
        <v>315</v>
      </c>
      <c r="U335">
        <v>6.9927282823866024E-2</v>
      </c>
      <c r="V335" t="s">
        <v>163</v>
      </c>
    </row>
    <row r="336" spans="9:22" x14ac:dyDescent="0.45">
      <c r="I336" t="s">
        <v>181</v>
      </c>
      <c r="J336" t="s">
        <v>316</v>
      </c>
      <c r="K336">
        <v>2.9946720950577505E-2</v>
      </c>
      <c r="L336" t="s">
        <v>163</v>
      </c>
      <c r="N336" t="s">
        <v>212</v>
      </c>
      <c r="O336" t="s">
        <v>316</v>
      </c>
      <c r="P336">
        <v>1.1467506973336702E-2</v>
      </c>
      <c r="Q336" t="s">
        <v>163</v>
      </c>
      <c r="S336" t="s">
        <v>243</v>
      </c>
      <c r="T336" t="s">
        <v>316</v>
      </c>
      <c r="U336">
        <v>1.6352876630804012E-2</v>
      </c>
      <c r="V336" t="s">
        <v>163</v>
      </c>
    </row>
    <row r="337" spans="9:22" x14ac:dyDescent="0.45">
      <c r="I337" t="s">
        <v>181</v>
      </c>
      <c r="J337" t="s">
        <v>317</v>
      </c>
      <c r="K337">
        <v>4.9862959617982178E-2</v>
      </c>
      <c r="L337" t="s">
        <v>163</v>
      </c>
      <c r="N337" t="s">
        <v>212</v>
      </c>
      <c r="O337" t="s">
        <v>317</v>
      </c>
      <c r="P337">
        <v>2.5873478512614477E-2</v>
      </c>
      <c r="Q337" t="s">
        <v>163</v>
      </c>
      <c r="S337" t="s">
        <v>243</v>
      </c>
      <c r="T337" t="s">
        <v>317</v>
      </c>
      <c r="U337">
        <v>2.4741796774396998E-2</v>
      </c>
      <c r="V337" t="s">
        <v>163</v>
      </c>
    </row>
    <row r="338" spans="9:22" x14ac:dyDescent="0.45">
      <c r="I338" t="s">
        <v>181</v>
      </c>
      <c r="J338" t="s">
        <v>318</v>
      </c>
      <c r="K338">
        <v>5.2454106051868801E-2</v>
      </c>
      <c r="L338" t="s">
        <v>163</v>
      </c>
      <c r="N338" t="s">
        <v>212</v>
      </c>
      <c r="O338" t="s">
        <v>318</v>
      </c>
      <c r="P338">
        <v>4.9062319456084226E-2</v>
      </c>
      <c r="Q338" t="s">
        <v>163</v>
      </c>
      <c r="S338" t="s">
        <v>243</v>
      </c>
      <c r="T338" t="s">
        <v>318</v>
      </c>
      <c r="U338">
        <v>4.1207340999898867E-2</v>
      </c>
      <c r="V338" t="s">
        <v>163</v>
      </c>
    </row>
    <row r="339" spans="9:22" x14ac:dyDescent="0.45">
      <c r="I339" t="s">
        <v>181</v>
      </c>
      <c r="J339" t="s">
        <v>319</v>
      </c>
      <c r="K339">
        <v>0</v>
      </c>
      <c r="L339" t="s">
        <v>163</v>
      </c>
      <c r="N339" t="s">
        <v>212</v>
      </c>
      <c r="O339" t="s">
        <v>319</v>
      </c>
      <c r="P339">
        <v>8.3267701399400186E-3</v>
      </c>
      <c r="Q339" t="s">
        <v>163</v>
      </c>
      <c r="S339" t="s">
        <v>243</v>
      </c>
      <c r="T339" t="s">
        <v>319</v>
      </c>
      <c r="U339">
        <v>8.2984319470822271E-3</v>
      </c>
      <c r="V339" t="s">
        <v>163</v>
      </c>
    </row>
    <row r="340" spans="9:22" x14ac:dyDescent="0.45">
      <c r="I340" t="s">
        <v>181</v>
      </c>
      <c r="J340" t="s">
        <v>320</v>
      </c>
      <c r="K340">
        <v>0</v>
      </c>
      <c r="L340" t="s">
        <v>163</v>
      </c>
      <c r="N340" t="s">
        <v>212</v>
      </c>
      <c r="O340" t="s">
        <v>320</v>
      </c>
      <c r="P340">
        <v>3.0470651552701608E-2</v>
      </c>
      <c r="Q340" t="s">
        <v>163</v>
      </c>
      <c r="S340" t="s">
        <v>243</v>
      </c>
      <c r="T340" t="s">
        <v>320</v>
      </c>
      <c r="U340">
        <v>4.0554489864879889E-2</v>
      </c>
      <c r="V340" t="s">
        <v>163</v>
      </c>
    </row>
    <row r="341" spans="9:22" x14ac:dyDescent="0.45">
      <c r="I341" t="s">
        <v>181</v>
      </c>
      <c r="J341" t="s">
        <v>321</v>
      </c>
      <c r="K341">
        <v>0</v>
      </c>
      <c r="L341" t="s">
        <v>163</v>
      </c>
      <c r="N341" t="s">
        <v>212</v>
      </c>
      <c r="O341" t="s">
        <v>321</v>
      </c>
      <c r="P341">
        <v>3.6933398292591138E-2</v>
      </c>
      <c r="Q341" t="s">
        <v>163</v>
      </c>
      <c r="S341" t="s">
        <v>243</v>
      </c>
      <c r="T341" t="s">
        <v>321</v>
      </c>
      <c r="U341">
        <v>3.0119751769380771E-2</v>
      </c>
      <c r="V341" t="s">
        <v>163</v>
      </c>
    </row>
    <row r="342" spans="9:22" x14ac:dyDescent="0.45">
      <c r="I342" t="s">
        <v>181</v>
      </c>
      <c r="J342" t="s">
        <v>322</v>
      </c>
      <c r="K342">
        <v>1.2481818833629435E-2</v>
      </c>
      <c r="L342" t="s">
        <v>163</v>
      </c>
      <c r="N342" t="s">
        <v>212</v>
      </c>
      <c r="O342" t="s">
        <v>322</v>
      </c>
      <c r="P342">
        <v>6.720015022800287E-3</v>
      </c>
      <c r="Q342" t="s">
        <v>163</v>
      </c>
      <c r="S342" t="s">
        <v>243</v>
      </c>
      <c r="T342" t="s">
        <v>322</v>
      </c>
      <c r="U342">
        <v>7.5659523672168966E-3</v>
      </c>
      <c r="V342" t="s">
        <v>163</v>
      </c>
    </row>
    <row r="343" spans="9:22" x14ac:dyDescent="0.45">
      <c r="I343" t="s">
        <v>181</v>
      </c>
      <c r="J343" t="s">
        <v>323</v>
      </c>
      <c r="K343">
        <v>2.3847919897874277E-2</v>
      </c>
      <c r="L343" t="s">
        <v>163</v>
      </c>
      <c r="N343" t="s">
        <v>212</v>
      </c>
      <c r="O343" t="s">
        <v>323</v>
      </c>
      <c r="P343">
        <v>1.7438225436345677E-2</v>
      </c>
      <c r="Q343" t="s">
        <v>163</v>
      </c>
      <c r="S343" t="s">
        <v>243</v>
      </c>
      <c r="T343" t="s">
        <v>323</v>
      </c>
      <c r="U343">
        <v>1.095072980308579E-2</v>
      </c>
      <c r="V343" t="s">
        <v>163</v>
      </c>
    </row>
    <row r="344" spans="9:22" x14ac:dyDescent="0.45">
      <c r="I344" t="s">
        <v>181</v>
      </c>
      <c r="J344" t="s">
        <v>324</v>
      </c>
      <c r="K344">
        <v>2.3295402510569732E-2</v>
      </c>
      <c r="L344" t="s">
        <v>163</v>
      </c>
      <c r="N344" t="s">
        <v>212</v>
      </c>
      <c r="O344" t="s">
        <v>324</v>
      </c>
      <c r="P344">
        <v>3.3950749963281013E-2</v>
      </c>
      <c r="Q344" t="s">
        <v>163</v>
      </c>
      <c r="S344" t="s">
        <v>243</v>
      </c>
      <c r="T344" t="s">
        <v>324</v>
      </c>
      <c r="U344">
        <v>1.9090249805123961E-2</v>
      </c>
      <c r="V344" t="s">
        <v>163</v>
      </c>
    </row>
    <row r="345" spans="9:22" x14ac:dyDescent="0.45">
      <c r="I345" t="s">
        <v>181</v>
      </c>
      <c r="J345" t="s">
        <v>325</v>
      </c>
      <c r="K345">
        <v>0</v>
      </c>
      <c r="L345" t="s">
        <v>163</v>
      </c>
      <c r="N345" t="s">
        <v>212</v>
      </c>
      <c r="O345" t="s">
        <v>325</v>
      </c>
      <c r="P345">
        <v>5.5083115195114409E-3</v>
      </c>
      <c r="Q345" t="s">
        <v>163</v>
      </c>
      <c r="S345" t="s">
        <v>243</v>
      </c>
      <c r="T345" t="s">
        <v>325</v>
      </c>
      <c r="U345">
        <v>4.1007777659280422E-3</v>
      </c>
      <c r="V345" t="s">
        <v>163</v>
      </c>
    </row>
    <row r="346" spans="9:22" x14ac:dyDescent="0.45">
      <c r="I346" t="s">
        <v>181</v>
      </c>
      <c r="J346" t="s">
        <v>326</v>
      </c>
      <c r="K346">
        <v>0</v>
      </c>
      <c r="L346" t="s">
        <v>163</v>
      </c>
      <c r="N346" t="s">
        <v>212</v>
      </c>
      <c r="O346" t="s">
        <v>326</v>
      </c>
      <c r="P346">
        <v>2.3028653911995055E-2</v>
      </c>
      <c r="Q346" t="s">
        <v>163</v>
      </c>
      <c r="S346" t="s">
        <v>243</v>
      </c>
      <c r="T346" t="s">
        <v>326</v>
      </c>
      <c r="U346">
        <v>1.9401947718617026E-2</v>
      </c>
      <c r="V346" t="s">
        <v>163</v>
      </c>
    </row>
    <row r="347" spans="9:22" x14ac:dyDescent="0.45">
      <c r="I347" t="s">
        <v>182</v>
      </c>
      <c r="J347" t="s">
        <v>162</v>
      </c>
      <c r="K347">
        <v>1.8915864966736536E-2</v>
      </c>
      <c r="L347" t="s">
        <v>163</v>
      </c>
      <c r="N347" t="s">
        <v>213</v>
      </c>
      <c r="O347" t="s">
        <v>162</v>
      </c>
      <c r="P347">
        <v>0.15011934123655549</v>
      </c>
      <c r="Q347" t="s">
        <v>163</v>
      </c>
      <c r="S347" t="s">
        <v>244</v>
      </c>
      <c r="T347" t="s">
        <v>162</v>
      </c>
      <c r="U347">
        <v>0.12482953538413709</v>
      </c>
      <c r="V347" t="s">
        <v>163</v>
      </c>
    </row>
    <row r="348" spans="9:22" x14ac:dyDescent="0.45">
      <c r="I348" t="s">
        <v>182</v>
      </c>
      <c r="J348" t="s">
        <v>164</v>
      </c>
      <c r="K348">
        <v>7.1398580636671163E-2</v>
      </c>
      <c r="L348" t="s">
        <v>163</v>
      </c>
      <c r="N348" t="s">
        <v>213</v>
      </c>
      <c r="O348" t="s">
        <v>164</v>
      </c>
      <c r="P348">
        <v>3.3903603052085937E-2</v>
      </c>
      <c r="Q348" t="s">
        <v>163</v>
      </c>
      <c r="S348" t="s">
        <v>244</v>
      </c>
      <c r="T348" t="s">
        <v>164</v>
      </c>
      <c r="U348">
        <v>2.5981469465058884E-2</v>
      </c>
      <c r="V348" t="s">
        <v>163</v>
      </c>
    </row>
    <row r="349" spans="9:22" x14ac:dyDescent="0.45">
      <c r="I349" t="s">
        <v>182</v>
      </c>
      <c r="J349" t="s">
        <v>165</v>
      </c>
      <c r="K349">
        <v>0.12710772765131731</v>
      </c>
      <c r="L349" t="s">
        <v>163</v>
      </c>
      <c r="N349" t="s">
        <v>213</v>
      </c>
      <c r="O349" t="s">
        <v>165</v>
      </c>
      <c r="P349">
        <v>7.0855212266171239E-2</v>
      </c>
      <c r="Q349" t="s">
        <v>163</v>
      </c>
      <c r="S349" t="s">
        <v>244</v>
      </c>
      <c r="T349" t="s">
        <v>165</v>
      </c>
      <c r="U349">
        <v>3.709200923460295E-2</v>
      </c>
      <c r="V349" t="s">
        <v>163</v>
      </c>
    </row>
    <row r="350" spans="9:22" x14ac:dyDescent="0.45">
      <c r="I350" t="s">
        <v>182</v>
      </c>
      <c r="J350" t="s">
        <v>297</v>
      </c>
      <c r="K350">
        <v>0.16699980959982086</v>
      </c>
      <c r="L350" t="s">
        <v>163</v>
      </c>
      <c r="N350" t="s">
        <v>213</v>
      </c>
      <c r="O350" t="s">
        <v>297</v>
      </c>
      <c r="P350">
        <v>0.12702088180279975</v>
      </c>
      <c r="Q350" t="s">
        <v>163</v>
      </c>
      <c r="S350" t="s">
        <v>244</v>
      </c>
      <c r="T350" t="s">
        <v>297</v>
      </c>
      <c r="U350">
        <v>6.7935402936891445E-2</v>
      </c>
      <c r="V350" t="s">
        <v>163</v>
      </c>
    </row>
    <row r="351" spans="9:22" x14ac:dyDescent="0.45">
      <c r="I351" t="s">
        <v>182</v>
      </c>
      <c r="J351" t="s">
        <v>298</v>
      </c>
      <c r="K351">
        <v>4.1836892289697936E-3</v>
      </c>
      <c r="L351" t="s">
        <v>163</v>
      </c>
      <c r="N351" t="s">
        <v>213</v>
      </c>
      <c r="O351" t="s">
        <v>298</v>
      </c>
      <c r="P351">
        <v>1.8085030529594145E-2</v>
      </c>
      <c r="Q351" t="s">
        <v>163</v>
      </c>
      <c r="S351" t="s">
        <v>244</v>
      </c>
      <c r="T351" t="s">
        <v>298</v>
      </c>
      <c r="U351">
        <v>1.4812043126982833E-2</v>
      </c>
      <c r="V351" t="s">
        <v>163</v>
      </c>
    </row>
    <row r="352" spans="9:22" x14ac:dyDescent="0.45">
      <c r="I352" t="s">
        <v>182</v>
      </c>
      <c r="J352" t="s">
        <v>299</v>
      </c>
      <c r="K352">
        <v>0</v>
      </c>
      <c r="L352" t="s">
        <v>163</v>
      </c>
      <c r="N352" t="s">
        <v>213</v>
      </c>
      <c r="O352" t="s">
        <v>299</v>
      </c>
      <c r="P352">
        <v>7.9667082953643165E-2</v>
      </c>
      <c r="Q352" t="s">
        <v>163</v>
      </c>
      <c r="S352" t="s">
        <v>244</v>
      </c>
      <c r="T352" t="s">
        <v>299</v>
      </c>
      <c r="U352">
        <v>7.1635389639542774E-2</v>
      </c>
      <c r="V352" t="s">
        <v>163</v>
      </c>
    </row>
    <row r="353" spans="9:22" x14ac:dyDescent="0.45">
      <c r="I353" t="s">
        <v>182</v>
      </c>
      <c r="J353" t="s">
        <v>166</v>
      </c>
      <c r="K353">
        <v>8.2780137359148211E-3</v>
      </c>
      <c r="L353" t="s">
        <v>163</v>
      </c>
      <c r="N353" t="s">
        <v>213</v>
      </c>
      <c r="O353" t="s">
        <v>166</v>
      </c>
      <c r="P353">
        <v>2.4095594010137875E-2</v>
      </c>
      <c r="Q353" t="s">
        <v>163</v>
      </c>
      <c r="S353" t="s">
        <v>244</v>
      </c>
      <c r="T353" t="s">
        <v>166</v>
      </c>
      <c r="U353">
        <v>2.1741702091370212E-2</v>
      </c>
      <c r="V353" t="s">
        <v>163</v>
      </c>
    </row>
    <row r="354" spans="9:22" x14ac:dyDescent="0.45">
      <c r="I354" t="s">
        <v>182</v>
      </c>
      <c r="J354" t="s">
        <v>167</v>
      </c>
      <c r="K354">
        <v>1.393656855913855E-2</v>
      </c>
      <c r="L354" t="s">
        <v>163</v>
      </c>
      <c r="N354" t="s">
        <v>213</v>
      </c>
      <c r="O354" t="s">
        <v>167</v>
      </c>
      <c r="P354">
        <v>4.7073948912403994E-3</v>
      </c>
      <c r="Q354" t="s">
        <v>163</v>
      </c>
      <c r="S354" t="s">
        <v>244</v>
      </c>
      <c r="T354" t="s">
        <v>167</v>
      </c>
      <c r="U354">
        <v>4.6745271642171533E-3</v>
      </c>
      <c r="V354" t="s">
        <v>163</v>
      </c>
    </row>
    <row r="355" spans="9:22" x14ac:dyDescent="0.45">
      <c r="I355" t="s">
        <v>182</v>
      </c>
      <c r="J355" t="s">
        <v>168</v>
      </c>
      <c r="K355">
        <v>2.7579179880808085E-2</v>
      </c>
      <c r="L355" t="s">
        <v>163</v>
      </c>
      <c r="N355" t="s">
        <v>213</v>
      </c>
      <c r="O355" t="s">
        <v>168</v>
      </c>
      <c r="P355">
        <v>1.2700161124406813E-2</v>
      </c>
      <c r="Q355" t="s">
        <v>163</v>
      </c>
      <c r="S355" t="s">
        <v>244</v>
      </c>
      <c r="T355" t="s">
        <v>168</v>
      </c>
      <c r="U355">
        <v>7.1468612400801676E-3</v>
      </c>
      <c r="V355" t="s">
        <v>163</v>
      </c>
    </row>
    <row r="356" spans="9:22" x14ac:dyDescent="0.45">
      <c r="I356" t="s">
        <v>182</v>
      </c>
      <c r="J356" t="s">
        <v>300</v>
      </c>
      <c r="K356">
        <v>3.5817450311408351E-2</v>
      </c>
      <c r="L356" t="s">
        <v>163</v>
      </c>
      <c r="N356" t="s">
        <v>213</v>
      </c>
      <c r="O356" t="s">
        <v>300</v>
      </c>
      <c r="P356">
        <v>2.2818467890051986E-2</v>
      </c>
      <c r="Q356" t="s">
        <v>163</v>
      </c>
      <c r="S356" t="s">
        <v>244</v>
      </c>
      <c r="T356" t="s">
        <v>300</v>
      </c>
      <c r="U356">
        <v>1.3326778945790261E-2</v>
      </c>
      <c r="V356" t="s">
        <v>163</v>
      </c>
    </row>
    <row r="357" spans="9:22" x14ac:dyDescent="0.45">
      <c r="I357" t="s">
        <v>182</v>
      </c>
      <c r="J357" t="s">
        <v>301</v>
      </c>
      <c r="K357">
        <v>2.543201089541734E-3</v>
      </c>
      <c r="L357" t="s">
        <v>163</v>
      </c>
      <c r="N357" t="s">
        <v>213</v>
      </c>
      <c r="O357" t="s">
        <v>301</v>
      </c>
      <c r="P357">
        <v>3.4048285920154934E-3</v>
      </c>
      <c r="Q357" t="s">
        <v>163</v>
      </c>
      <c r="S357" t="s">
        <v>244</v>
      </c>
      <c r="T357" t="s">
        <v>301</v>
      </c>
      <c r="U357">
        <v>2.7918823704112792E-3</v>
      </c>
      <c r="V357" t="s">
        <v>163</v>
      </c>
    </row>
    <row r="358" spans="9:22" x14ac:dyDescent="0.45">
      <c r="I358" t="s">
        <v>182</v>
      </c>
      <c r="J358" t="s">
        <v>302</v>
      </c>
      <c r="K358">
        <v>5.63413728481387E-4</v>
      </c>
      <c r="L358" t="s">
        <v>163</v>
      </c>
      <c r="N358" t="s">
        <v>213</v>
      </c>
      <c r="O358" t="s">
        <v>302</v>
      </c>
      <c r="P358">
        <v>1.3347161510805831E-2</v>
      </c>
      <c r="Q358" t="s">
        <v>163</v>
      </c>
      <c r="S358" t="s">
        <v>244</v>
      </c>
      <c r="T358" t="s">
        <v>302</v>
      </c>
      <c r="U358">
        <v>1.2979531694452226E-2</v>
      </c>
      <c r="V358" t="s">
        <v>163</v>
      </c>
    </row>
    <row r="359" spans="9:22" x14ac:dyDescent="0.45">
      <c r="I359" t="s">
        <v>182</v>
      </c>
      <c r="J359" t="s">
        <v>169</v>
      </c>
      <c r="K359">
        <v>8.2842444255227417E-3</v>
      </c>
      <c r="L359" t="s">
        <v>163</v>
      </c>
      <c r="N359" t="s">
        <v>213</v>
      </c>
      <c r="O359" t="s">
        <v>169</v>
      </c>
      <c r="P359">
        <v>6.5335596491719484E-3</v>
      </c>
      <c r="Q359" t="s">
        <v>163</v>
      </c>
      <c r="S359" t="s">
        <v>244</v>
      </c>
      <c r="T359" t="s">
        <v>169</v>
      </c>
      <c r="U359">
        <v>2.577185630926106E-2</v>
      </c>
      <c r="V359" t="s">
        <v>163</v>
      </c>
    </row>
    <row r="360" spans="9:22" x14ac:dyDescent="0.45">
      <c r="I360" t="s">
        <v>182</v>
      </c>
      <c r="J360" t="s">
        <v>170</v>
      </c>
      <c r="K360">
        <v>1.4178730642476871E-2</v>
      </c>
      <c r="L360" t="s">
        <v>163</v>
      </c>
      <c r="N360" t="s">
        <v>213</v>
      </c>
      <c r="O360" t="s">
        <v>170</v>
      </c>
      <c r="P360">
        <v>9.9080347704549789E-4</v>
      </c>
      <c r="Q360" t="s">
        <v>163</v>
      </c>
      <c r="S360" t="s">
        <v>244</v>
      </c>
      <c r="T360" t="s">
        <v>170</v>
      </c>
      <c r="U360">
        <v>6.2177452040019041E-3</v>
      </c>
      <c r="V360" t="s">
        <v>163</v>
      </c>
    </row>
    <row r="361" spans="9:22" x14ac:dyDescent="0.45">
      <c r="I361" t="s">
        <v>182</v>
      </c>
      <c r="J361" t="s">
        <v>171</v>
      </c>
      <c r="K361">
        <v>2.7858078018982074E-2</v>
      </c>
      <c r="L361" t="s">
        <v>163</v>
      </c>
      <c r="N361" t="s">
        <v>213</v>
      </c>
      <c r="O361" t="s">
        <v>171</v>
      </c>
      <c r="P361">
        <v>1.8798505902572517E-3</v>
      </c>
      <c r="Q361" t="s">
        <v>163</v>
      </c>
      <c r="S361" t="s">
        <v>244</v>
      </c>
      <c r="T361" t="s">
        <v>171</v>
      </c>
      <c r="U361">
        <v>1.0173853827150046E-2</v>
      </c>
      <c r="V361" t="s">
        <v>163</v>
      </c>
    </row>
    <row r="362" spans="9:22" x14ac:dyDescent="0.45">
      <c r="I362" t="s">
        <v>182</v>
      </c>
      <c r="J362" t="s">
        <v>303</v>
      </c>
      <c r="K362">
        <v>3.8617146123069969E-2</v>
      </c>
      <c r="L362" t="s">
        <v>163</v>
      </c>
      <c r="N362" t="s">
        <v>213</v>
      </c>
      <c r="O362" t="s">
        <v>303</v>
      </c>
      <c r="P362">
        <v>3.1722338876732582E-3</v>
      </c>
      <c r="Q362" t="s">
        <v>163</v>
      </c>
      <c r="S362" t="s">
        <v>244</v>
      </c>
      <c r="T362" t="s">
        <v>303</v>
      </c>
      <c r="U362">
        <v>1.7700130479774548E-2</v>
      </c>
      <c r="V362" t="s">
        <v>163</v>
      </c>
    </row>
    <row r="363" spans="9:22" x14ac:dyDescent="0.45">
      <c r="I363" t="s">
        <v>182</v>
      </c>
      <c r="J363" t="s">
        <v>304</v>
      </c>
      <c r="K363">
        <v>3.153197189682118E-3</v>
      </c>
      <c r="L363" t="s">
        <v>163</v>
      </c>
      <c r="N363" t="s">
        <v>213</v>
      </c>
      <c r="O363" t="s">
        <v>304</v>
      </c>
      <c r="P363">
        <v>4.2955392438500208E-4</v>
      </c>
      <c r="Q363" t="s">
        <v>163</v>
      </c>
      <c r="S363" t="s">
        <v>244</v>
      </c>
      <c r="T363" t="s">
        <v>304</v>
      </c>
      <c r="U363">
        <v>3.5124204645601486E-3</v>
      </c>
      <c r="V363" t="s">
        <v>163</v>
      </c>
    </row>
    <row r="364" spans="9:22" x14ac:dyDescent="0.45">
      <c r="I364" t="s">
        <v>182</v>
      </c>
      <c r="J364" t="s">
        <v>305</v>
      </c>
      <c r="K364">
        <v>1.2899681273311888E-3</v>
      </c>
      <c r="L364" t="s">
        <v>163</v>
      </c>
      <c r="N364" t="s">
        <v>213</v>
      </c>
      <c r="O364" t="s">
        <v>305</v>
      </c>
      <c r="P364">
        <v>2.4299563540665834E-3</v>
      </c>
      <c r="Q364" t="s">
        <v>163</v>
      </c>
      <c r="S364" t="s">
        <v>244</v>
      </c>
      <c r="T364" t="s">
        <v>305</v>
      </c>
      <c r="U364">
        <v>1.5891133374245092E-2</v>
      </c>
      <c r="V364" t="s">
        <v>163</v>
      </c>
    </row>
    <row r="365" spans="9:22" x14ac:dyDescent="0.45">
      <c r="I365" t="s">
        <v>182</v>
      </c>
      <c r="J365" t="s">
        <v>172</v>
      </c>
      <c r="K365">
        <v>1.1806174019674733E-2</v>
      </c>
      <c r="L365" t="s">
        <v>163</v>
      </c>
      <c r="N365" t="s">
        <v>213</v>
      </c>
      <c r="O365" t="s">
        <v>172</v>
      </c>
      <c r="P365">
        <v>3.1166538123615563E-2</v>
      </c>
      <c r="Q365" t="s">
        <v>163</v>
      </c>
      <c r="S365" t="s">
        <v>244</v>
      </c>
      <c r="T365" t="s">
        <v>172</v>
      </c>
      <c r="U365">
        <v>3.9795173502249752E-2</v>
      </c>
      <c r="V365" t="s">
        <v>163</v>
      </c>
    </row>
    <row r="366" spans="9:22" x14ac:dyDescent="0.45">
      <c r="I366" t="s">
        <v>182</v>
      </c>
      <c r="J366" t="s">
        <v>173</v>
      </c>
      <c r="K366">
        <v>2.465654337534031E-2</v>
      </c>
      <c r="L366" t="s">
        <v>163</v>
      </c>
      <c r="N366" t="s">
        <v>213</v>
      </c>
      <c r="O366" t="s">
        <v>173</v>
      </c>
      <c r="P366">
        <v>6.2848560134368299E-3</v>
      </c>
      <c r="Q366" t="s">
        <v>163</v>
      </c>
      <c r="S366" t="s">
        <v>244</v>
      </c>
      <c r="T366" t="s">
        <v>173</v>
      </c>
      <c r="U366">
        <v>8.4043193879498081E-3</v>
      </c>
      <c r="V366" t="s">
        <v>163</v>
      </c>
    </row>
    <row r="367" spans="9:22" x14ac:dyDescent="0.45">
      <c r="I367" t="s">
        <v>182</v>
      </c>
      <c r="J367" t="s">
        <v>174</v>
      </c>
      <c r="K367">
        <v>4.856461155960539E-2</v>
      </c>
      <c r="L367" t="s">
        <v>163</v>
      </c>
      <c r="N367" t="s">
        <v>213</v>
      </c>
      <c r="O367" t="s">
        <v>174</v>
      </c>
      <c r="P367">
        <v>1.2110076075553294E-2</v>
      </c>
      <c r="Q367" t="s">
        <v>163</v>
      </c>
      <c r="S367" t="s">
        <v>244</v>
      </c>
      <c r="T367" t="s">
        <v>174</v>
      </c>
      <c r="U367">
        <v>1.3123340712482105E-2</v>
      </c>
      <c r="V367" t="s">
        <v>163</v>
      </c>
    </row>
    <row r="368" spans="9:22" x14ac:dyDescent="0.45">
      <c r="I368" t="s">
        <v>182</v>
      </c>
      <c r="J368" t="s">
        <v>306</v>
      </c>
      <c r="K368">
        <v>6.8167972470141364E-2</v>
      </c>
      <c r="L368" t="s">
        <v>163</v>
      </c>
      <c r="N368" t="s">
        <v>213</v>
      </c>
      <c r="O368" t="s">
        <v>306</v>
      </c>
      <c r="P368">
        <v>2.0556533324429836E-2</v>
      </c>
      <c r="Q368" t="s">
        <v>163</v>
      </c>
      <c r="S368" t="s">
        <v>244</v>
      </c>
      <c r="T368" t="s">
        <v>306</v>
      </c>
      <c r="U368">
        <v>2.5674575450000181E-2</v>
      </c>
      <c r="V368" t="s">
        <v>163</v>
      </c>
    </row>
    <row r="369" spans="9:22" x14ac:dyDescent="0.45">
      <c r="I369" t="s">
        <v>182</v>
      </c>
      <c r="J369" t="s">
        <v>307</v>
      </c>
      <c r="K369">
        <v>5.0342592969659459E-3</v>
      </c>
      <c r="L369" t="s">
        <v>163</v>
      </c>
      <c r="N369" t="s">
        <v>213</v>
      </c>
      <c r="O369" t="s">
        <v>307</v>
      </c>
      <c r="P369">
        <v>3.1010678864469943E-3</v>
      </c>
      <c r="Q369" t="s">
        <v>163</v>
      </c>
      <c r="S369" t="s">
        <v>244</v>
      </c>
      <c r="T369" t="s">
        <v>307</v>
      </c>
      <c r="U369">
        <v>5.5978908807724475E-3</v>
      </c>
      <c r="V369" t="s">
        <v>163</v>
      </c>
    </row>
    <row r="370" spans="9:22" x14ac:dyDescent="0.45">
      <c r="I370" t="s">
        <v>182</v>
      </c>
      <c r="J370" t="s">
        <v>308</v>
      </c>
      <c r="K370">
        <v>1.5312728161349333E-3</v>
      </c>
      <c r="L370" t="s">
        <v>163</v>
      </c>
      <c r="N370" t="s">
        <v>213</v>
      </c>
      <c r="O370" t="s">
        <v>308</v>
      </c>
      <c r="P370">
        <v>1.511720984990368E-2</v>
      </c>
      <c r="Q370" t="s">
        <v>163</v>
      </c>
      <c r="S370" t="s">
        <v>244</v>
      </c>
      <c r="T370" t="s">
        <v>308</v>
      </c>
      <c r="U370">
        <v>2.5548234180238504E-2</v>
      </c>
      <c r="V370" t="s">
        <v>163</v>
      </c>
    </row>
    <row r="371" spans="9:22" x14ac:dyDescent="0.45">
      <c r="I371" t="s">
        <v>182</v>
      </c>
      <c r="J371" t="s">
        <v>309</v>
      </c>
      <c r="K371">
        <v>5.6973412463624997E-3</v>
      </c>
      <c r="L371" t="s">
        <v>163</v>
      </c>
      <c r="N371" t="s">
        <v>213</v>
      </c>
      <c r="O371" t="s">
        <v>309</v>
      </c>
      <c r="P371">
        <v>1.4272977046298868E-2</v>
      </c>
      <c r="Q371" t="s">
        <v>163</v>
      </c>
      <c r="S371" t="s">
        <v>244</v>
      </c>
      <c r="T371" t="s">
        <v>309</v>
      </c>
      <c r="U371">
        <v>3.0114615690959631E-2</v>
      </c>
      <c r="V371" t="s">
        <v>163</v>
      </c>
    </row>
    <row r="372" spans="9:22" x14ac:dyDescent="0.45">
      <c r="I372" t="s">
        <v>182</v>
      </c>
      <c r="J372" t="s">
        <v>310</v>
      </c>
      <c r="K372">
        <v>1.3197068793052203E-2</v>
      </c>
      <c r="L372" t="s">
        <v>163</v>
      </c>
      <c r="N372" t="s">
        <v>213</v>
      </c>
      <c r="O372" t="s">
        <v>310</v>
      </c>
      <c r="P372">
        <v>3.5321139100255024E-3</v>
      </c>
      <c r="Q372" t="s">
        <v>163</v>
      </c>
      <c r="S372" t="s">
        <v>244</v>
      </c>
      <c r="T372" t="s">
        <v>310</v>
      </c>
      <c r="U372">
        <v>6.7764721578070812E-3</v>
      </c>
      <c r="V372" t="s">
        <v>163</v>
      </c>
    </row>
    <row r="373" spans="9:22" x14ac:dyDescent="0.45">
      <c r="I373" t="s">
        <v>182</v>
      </c>
      <c r="J373" t="s">
        <v>311</v>
      </c>
      <c r="K373">
        <v>2.3937859080383598E-2</v>
      </c>
      <c r="L373" t="s">
        <v>163</v>
      </c>
      <c r="N373" t="s">
        <v>213</v>
      </c>
      <c r="O373" t="s">
        <v>311</v>
      </c>
      <c r="P373">
        <v>7.8421051774293267E-3</v>
      </c>
      <c r="Q373" t="s">
        <v>163</v>
      </c>
      <c r="S373" t="s">
        <v>244</v>
      </c>
      <c r="T373" t="s">
        <v>311</v>
      </c>
      <c r="U373">
        <v>1.0316964468071732E-2</v>
      </c>
      <c r="V373" t="s">
        <v>163</v>
      </c>
    </row>
    <row r="374" spans="9:22" x14ac:dyDescent="0.45">
      <c r="I374" t="s">
        <v>182</v>
      </c>
      <c r="J374" t="s">
        <v>312</v>
      </c>
      <c r="K374">
        <v>2.850735130386086E-2</v>
      </c>
      <c r="L374" t="s">
        <v>163</v>
      </c>
      <c r="N374" t="s">
        <v>213</v>
      </c>
      <c r="O374" t="s">
        <v>312</v>
      </c>
      <c r="P374">
        <v>1.260318185151788E-2</v>
      </c>
      <c r="Q374" t="s">
        <v>163</v>
      </c>
      <c r="S374" t="s">
        <v>244</v>
      </c>
      <c r="T374" t="s">
        <v>312</v>
      </c>
      <c r="U374">
        <v>1.5495997757209416E-2</v>
      </c>
      <c r="V374" t="s">
        <v>163</v>
      </c>
    </row>
    <row r="375" spans="9:22" x14ac:dyDescent="0.45">
      <c r="I375" t="s">
        <v>182</v>
      </c>
      <c r="J375" t="s">
        <v>313</v>
      </c>
      <c r="K375">
        <v>6.1703152239189025E-4</v>
      </c>
      <c r="L375" t="s">
        <v>163</v>
      </c>
      <c r="N375" t="s">
        <v>213</v>
      </c>
      <c r="O375" t="s">
        <v>313</v>
      </c>
      <c r="P375">
        <v>1.9654547887293151E-3</v>
      </c>
      <c r="Q375" t="s">
        <v>163</v>
      </c>
      <c r="S375" t="s">
        <v>244</v>
      </c>
      <c r="T375" t="s">
        <v>313</v>
      </c>
      <c r="U375">
        <v>3.1399708794585153E-3</v>
      </c>
      <c r="V375" t="s">
        <v>163</v>
      </c>
    </row>
    <row r="376" spans="9:22" x14ac:dyDescent="0.45">
      <c r="I376" t="s">
        <v>182</v>
      </c>
      <c r="J376" t="s">
        <v>314</v>
      </c>
      <c r="K376">
        <v>0</v>
      </c>
      <c r="L376" t="s">
        <v>163</v>
      </c>
      <c r="N376" t="s">
        <v>213</v>
      </c>
      <c r="O376" t="s">
        <v>314</v>
      </c>
      <c r="P376">
        <v>6.5605466867688193E-3</v>
      </c>
      <c r="Q376" t="s">
        <v>163</v>
      </c>
      <c r="S376" t="s">
        <v>244</v>
      </c>
      <c r="T376" t="s">
        <v>314</v>
      </c>
      <c r="U376">
        <v>1.6147052264765351E-2</v>
      </c>
      <c r="V376" t="s">
        <v>163</v>
      </c>
    </row>
    <row r="377" spans="9:22" x14ac:dyDescent="0.45">
      <c r="I377" t="s">
        <v>182</v>
      </c>
      <c r="J377" t="s">
        <v>315</v>
      </c>
      <c r="K377">
        <v>6.3188994624709307E-3</v>
      </c>
      <c r="L377" t="s">
        <v>163</v>
      </c>
      <c r="N377" t="s">
        <v>213</v>
      </c>
      <c r="O377" t="s">
        <v>315</v>
      </c>
      <c r="P377">
        <v>5.8863400293909622E-2</v>
      </c>
      <c r="Q377" t="s">
        <v>163</v>
      </c>
      <c r="S377" t="s">
        <v>244</v>
      </c>
      <c r="T377" t="s">
        <v>315</v>
      </c>
      <c r="U377">
        <v>7.1067194890554478E-2</v>
      </c>
      <c r="V377" t="s">
        <v>163</v>
      </c>
    </row>
    <row r="378" spans="9:22" x14ac:dyDescent="0.45">
      <c r="I378" t="s">
        <v>182</v>
      </c>
      <c r="J378" t="s">
        <v>316</v>
      </c>
      <c r="K378">
        <v>2.9723677251771871E-2</v>
      </c>
      <c r="L378" t="s">
        <v>163</v>
      </c>
      <c r="N378" t="s">
        <v>213</v>
      </c>
      <c r="O378" t="s">
        <v>316</v>
      </c>
      <c r="P378">
        <v>1.5420568059264813E-2</v>
      </c>
      <c r="Q378" t="s">
        <v>163</v>
      </c>
      <c r="S378" t="s">
        <v>244</v>
      </c>
      <c r="T378" t="s">
        <v>316</v>
      </c>
      <c r="U378">
        <v>1.6902939033517674E-2</v>
      </c>
      <c r="V378" t="s">
        <v>163</v>
      </c>
    </row>
    <row r="379" spans="9:22" x14ac:dyDescent="0.45">
      <c r="I379" t="s">
        <v>182</v>
      </c>
      <c r="J379" t="s">
        <v>317</v>
      </c>
      <c r="K379">
        <v>4.7779531218087999E-2</v>
      </c>
      <c r="L379" t="s">
        <v>163</v>
      </c>
      <c r="N379" t="s">
        <v>213</v>
      </c>
      <c r="O379" t="s">
        <v>317</v>
      </c>
      <c r="P379">
        <v>2.9324927739013251E-2</v>
      </c>
      <c r="Q379" t="s">
        <v>163</v>
      </c>
      <c r="S379" t="s">
        <v>244</v>
      </c>
      <c r="T379" t="s">
        <v>317</v>
      </c>
      <c r="U379">
        <v>2.5455697058062509E-2</v>
      </c>
      <c r="V379" t="s">
        <v>163</v>
      </c>
    </row>
    <row r="380" spans="9:22" x14ac:dyDescent="0.45">
      <c r="I380" t="s">
        <v>182</v>
      </c>
      <c r="J380" t="s">
        <v>318</v>
      </c>
      <c r="K380">
        <v>5.2035573404686425E-2</v>
      </c>
      <c r="L380" t="s">
        <v>163</v>
      </c>
      <c r="N380" t="s">
        <v>213</v>
      </c>
      <c r="O380" t="s">
        <v>318</v>
      </c>
      <c r="P380">
        <v>4.4880442231841601E-2</v>
      </c>
      <c r="Q380" t="s">
        <v>163</v>
      </c>
      <c r="S380" t="s">
        <v>244</v>
      </c>
      <c r="T380" t="s">
        <v>318</v>
      </c>
      <c r="U380">
        <v>4.3385594090488581E-2</v>
      </c>
      <c r="V380" t="s">
        <v>163</v>
      </c>
    </row>
    <row r="381" spans="9:22" x14ac:dyDescent="0.45">
      <c r="I381" t="s">
        <v>182</v>
      </c>
      <c r="J381" t="s">
        <v>319</v>
      </c>
      <c r="K381">
        <v>0</v>
      </c>
      <c r="L381" t="s">
        <v>163</v>
      </c>
      <c r="N381" t="s">
        <v>213</v>
      </c>
      <c r="O381" t="s">
        <v>319</v>
      </c>
      <c r="P381">
        <v>6.4882723364548785E-3</v>
      </c>
      <c r="Q381" t="s">
        <v>163</v>
      </c>
      <c r="S381" t="s">
        <v>244</v>
      </c>
      <c r="T381" t="s">
        <v>319</v>
      </c>
      <c r="U381">
        <v>8.7301106547436856E-3</v>
      </c>
      <c r="V381" t="s">
        <v>163</v>
      </c>
    </row>
    <row r="382" spans="9:22" x14ac:dyDescent="0.45">
      <c r="I382" t="s">
        <v>182</v>
      </c>
      <c r="J382" t="s">
        <v>320</v>
      </c>
      <c r="K382">
        <v>0</v>
      </c>
      <c r="L382" t="s">
        <v>163</v>
      </c>
      <c r="N382" t="s">
        <v>213</v>
      </c>
      <c r="O382" t="s">
        <v>320</v>
      </c>
      <c r="P382">
        <v>2.8900307950072097E-2</v>
      </c>
      <c r="Q382" t="s">
        <v>163</v>
      </c>
      <c r="S382" t="s">
        <v>244</v>
      </c>
      <c r="T382" t="s">
        <v>320</v>
      </c>
      <c r="U382">
        <v>4.2111423694154958E-2</v>
      </c>
      <c r="V382" t="s">
        <v>163</v>
      </c>
    </row>
    <row r="383" spans="9:22" x14ac:dyDescent="0.45">
      <c r="I383" t="s">
        <v>182</v>
      </c>
      <c r="J383" t="s">
        <v>321</v>
      </c>
      <c r="K383">
        <v>0</v>
      </c>
      <c r="L383" t="s">
        <v>163</v>
      </c>
      <c r="N383" t="s">
        <v>213</v>
      </c>
      <c r="O383" t="s">
        <v>321</v>
      </c>
      <c r="P383">
        <v>3.4117991702201381E-2</v>
      </c>
      <c r="Q383" t="s">
        <v>163</v>
      </c>
      <c r="S383" t="s">
        <v>244</v>
      </c>
      <c r="T383" t="s">
        <v>321</v>
      </c>
      <c r="U383">
        <v>3.5365951991211529E-2</v>
      </c>
      <c r="V383" t="s">
        <v>163</v>
      </c>
    </row>
    <row r="384" spans="9:22" x14ac:dyDescent="0.45">
      <c r="I384" t="s">
        <v>182</v>
      </c>
      <c r="J384" t="s">
        <v>322</v>
      </c>
      <c r="K384">
        <v>1.241662237849173E-2</v>
      </c>
      <c r="L384" t="s">
        <v>163</v>
      </c>
      <c r="N384" t="s">
        <v>213</v>
      </c>
      <c r="O384" t="s">
        <v>322</v>
      </c>
      <c r="P384">
        <v>5.6299417480700116E-3</v>
      </c>
      <c r="Q384" t="s">
        <v>163</v>
      </c>
      <c r="S384" t="s">
        <v>244</v>
      </c>
      <c r="T384" t="s">
        <v>322</v>
      </c>
      <c r="U384">
        <v>8.4814029073986674E-3</v>
      </c>
      <c r="V384" t="s">
        <v>163</v>
      </c>
    </row>
    <row r="385" spans="9:22" x14ac:dyDescent="0.45">
      <c r="I385" t="s">
        <v>182</v>
      </c>
      <c r="J385" t="s">
        <v>323</v>
      </c>
      <c r="K385">
        <v>2.3654416829011055E-2</v>
      </c>
      <c r="L385" t="s">
        <v>163</v>
      </c>
      <c r="N385" t="s">
        <v>213</v>
      </c>
      <c r="O385" t="s">
        <v>323</v>
      </c>
      <c r="P385">
        <v>1.182341110508088E-2</v>
      </c>
      <c r="Q385" t="s">
        <v>163</v>
      </c>
      <c r="S385" t="s">
        <v>244</v>
      </c>
      <c r="T385" t="s">
        <v>323</v>
      </c>
      <c r="U385">
        <v>1.3159537121596041E-2</v>
      </c>
      <c r="V385" t="s">
        <v>163</v>
      </c>
    </row>
    <row r="386" spans="9:22" x14ac:dyDescent="0.45">
      <c r="I386" t="s">
        <v>182</v>
      </c>
      <c r="J386" t="s">
        <v>324</v>
      </c>
      <c r="K386">
        <v>2.5648930055694852E-2</v>
      </c>
      <c r="L386" t="s">
        <v>163</v>
      </c>
      <c r="N386" t="s">
        <v>213</v>
      </c>
      <c r="O386" t="s">
        <v>324</v>
      </c>
      <c r="P386">
        <v>2.6589903839972742E-2</v>
      </c>
      <c r="Q386" t="s">
        <v>163</v>
      </c>
      <c r="S386" t="s">
        <v>244</v>
      </c>
      <c r="T386" t="s">
        <v>324</v>
      </c>
      <c r="U386">
        <v>2.2644270774320567E-2</v>
      </c>
      <c r="V386" t="s">
        <v>163</v>
      </c>
    </row>
    <row r="387" spans="9:22" x14ac:dyDescent="0.45">
      <c r="I387" t="s">
        <v>182</v>
      </c>
      <c r="J387" t="s">
        <v>325</v>
      </c>
      <c r="K387">
        <v>0</v>
      </c>
      <c r="L387" t="s">
        <v>163</v>
      </c>
      <c r="N387" t="s">
        <v>213</v>
      </c>
      <c r="O387" t="s">
        <v>325</v>
      </c>
      <c r="P387">
        <v>4.5561367615289733E-3</v>
      </c>
      <c r="Q387" t="s">
        <v>163</v>
      </c>
      <c r="S387" t="s">
        <v>244</v>
      </c>
      <c r="T387" t="s">
        <v>325</v>
      </c>
      <c r="U387">
        <v>4.6729206414660718E-3</v>
      </c>
      <c r="V387" t="s">
        <v>163</v>
      </c>
    </row>
    <row r="388" spans="9:22" x14ac:dyDescent="0.45">
      <c r="I388" t="s">
        <v>182</v>
      </c>
      <c r="J388" t="s">
        <v>326</v>
      </c>
      <c r="K388">
        <v>0</v>
      </c>
      <c r="L388" t="s">
        <v>163</v>
      </c>
      <c r="N388" t="s">
        <v>213</v>
      </c>
      <c r="O388" t="s">
        <v>326</v>
      </c>
      <c r="P388">
        <v>2.2131317756326912E-2</v>
      </c>
      <c r="Q388" t="s">
        <v>163</v>
      </c>
      <c r="S388" t="s">
        <v>244</v>
      </c>
      <c r="T388" t="s">
        <v>326</v>
      </c>
      <c r="U388">
        <v>2.3674076857994102E-2</v>
      </c>
      <c r="V388" t="s">
        <v>163</v>
      </c>
    </row>
    <row r="389" spans="9:22" x14ac:dyDescent="0.45">
      <c r="I389" t="s">
        <v>183</v>
      </c>
      <c r="J389" t="s">
        <v>162</v>
      </c>
      <c r="K389">
        <v>1.6641977104368436E-2</v>
      </c>
      <c r="L389" t="s">
        <v>163</v>
      </c>
      <c r="N389" t="s">
        <v>214</v>
      </c>
      <c r="O389" t="s">
        <v>162</v>
      </c>
      <c r="P389">
        <v>0.14575372561772562</v>
      </c>
      <c r="Q389" t="s">
        <v>163</v>
      </c>
      <c r="S389" t="s">
        <v>245</v>
      </c>
      <c r="T389" t="s">
        <v>162</v>
      </c>
      <c r="U389">
        <v>0.14476852526982772</v>
      </c>
      <c r="V389" t="s">
        <v>163</v>
      </c>
    </row>
    <row r="390" spans="9:22" x14ac:dyDescent="0.45">
      <c r="I390" t="s">
        <v>183</v>
      </c>
      <c r="J390" t="s">
        <v>164</v>
      </c>
      <c r="K390">
        <v>5.464309746586344E-2</v>
      </c>
      <c r="L390" t="s">
        <v>163</v>
      </c>
      <c r="N390" t="s">
        <v>214</v>
      </c>
      <c r="O390" t="s">
        <v>164</v>
      </c>
      <c r="P390">
        <v>2.8049475415655983E-2</v>
      </c>
      <c r="Q390" t="s">
        <v>163</v>
      </c>
      <c r="S390" t="s">
        <v>245</v>
      </c>
      <c r="T390" t="s">
        <v>164</v>
      </c>
      <c r="U390">
        <v>2.8994393010174296E-2</v>
      </c>
      <c r="V390" t="s">
        <v>163</v>
      </c>
    </row>
    <row r="391" spans="9:22" x14ac:dyDescent="0.45">
      <c r="I391" t="s">
        <v>183</v>
      </c>
      <c r="J391" t="s">
        <v>165</v>
      </c>
      <c r="K391">
        <v>0.10828987029739585</v>
      </c>
      <c r="L391" t="s">
        <v>163</v>
      </c>
      <c r="N391" t="s">
        <v>214</v>
      </c>
      <c r="O391" t="s">
        <v>165</v>
      </c>
      <c r="P391">
        <v>4.7585070525333735E-2</v>
      </c>
      <c r="Q391" t="s">
        <v>163</v>
      </c>
      <c r="S391" t="s">
        <v>245</v>
      </c>
      <c r="T391" t="s">
        <v>165</v>
      </c>
      <c r="U391">
        <v>4.2799206959106849E-2</v>
      </c>
      <c r="V391" t="s">
        <v>163</v>
      </c>
    </row>
    <row r="392" spans="9:22" x14ac:dyDescent="0.45">
      <c r="I392" t="s">
        <v>183</v>
      </c>
      <c r="J392" t="s">
        <v>297</v>
      </c>
      <c r="K392">
        <v>0.14637228825823576</v>
      </c>
      <c r="L392" t="s">
        <v>163</v>
      </c>
      <c r="N392" t="s">
        <v>214</v>
      </c>
      <c r="O392" t="s">
        <v>297</v>
      </c>
      <c r="P392">
        <v>9.1258893882326955E-2</v>
      </c>
      <c r="Q392" t="s">
        <v>163</v>
      </c>
      <c r="S392" t="s">
        <v>245</v>
      </c>
      <c r="T392" t="s">
        <v>297</v>
      </c>
      <c r="U392">
        <v>7.9030258324767469E-2</v>
      </c>
      <c r="V392" t="s">
        <v>163</v>
      </c>
    </row>
    <row r="393" spans="9:22" x14ac:dyDescent="0.45">
      <c r="I393" t="s">
        <v>183</v>
      </c>
      <c r="J393" t="s">
        <v>298</v>
      </c>
      <c r="K393">
        <v>2.9790277305624608E-3</v>
      </c>
      <c r="L393" t="s">
        <v>163</v>
      </c>
      <c r="N393" t="s">
        <v>214</v>
      </c>
      <c r="O393" t="s">
        <v>298</v>
      </c>
      <c r="P393">
        <v>1.8760343785381051E-2</v>
      </c>
      <c r="Q393" t="s">
        <v>163</v>
      </c>
      <c r="S393" t="s">
        <v>245</v>
      </c>
      <c r="T393" t="s">
        <v>298</v>
      </c>
      <c r="U393">
        <v>1.7041108276105044E-2</v>
      </c>
      <c r="V393" t="s">
        <v>163</v>
      </c>
    </row>
    <row r="394" spans="9:22" x14ac:dyDescent="0.45">
      <c r="I394" t="s">
        <v>183</v>
      </c>
      <c r="J394" t="s">
        <v>299</v>
      </c>
      <c r="K394">
        <v>0</v>
      </c>
      <c r="L394" t="s">
        <v>163</v>
      </c>
      <c r="N394" t="s">
        <v>214</v>
      </c>
      <c r="O394" t="s">
        <v>299</v>
      </c>
      <c r="P394">
        <v>8.5705107917386905E-2</v>
      </c>
      <c r="Q394" t="s">
        <v>163</v>
      </c>
      <c r="S394" t="s">
        <v>245</v>
      </c>
      <c r="T394" t="s">
        <v>299</v>
      </c>
      <c r="U394">
        <v>8.0645186097408089E-2</v>
      </c>
      <c r="V394" t="s">
        <v>163</v>
      </c>
    </row>
    <row r="395" spans="9:22" x14ac:dyDescent="0.45">
      <c r="I395" t="s">
        <v>183</v>
      </c>
      <c r="J395" t="s">
        <v>166</v>
      </c>
      <c r="K395">
        <v>1.0362999664282712E-2</v>
      </c>
      <c r="L395" t="s">
        <v>163</v>
      </c>
      <c r="N395" t="s">
        <v>214</v>
      </c>
      <c r="O395" t="s">
        <v>166</v>
      </c>
      <c r="P395">
        <v>2.2551700640765185E-2</v>
      </c>
      <c r="Q395" t="s">
        <v>163</v>
      </c>
      <c r="S395" t="s">
        <v>245</v>
      </c>
      <c r="T395" t="s">
        <v>166</v>
      </c>
      <c r="U395">
        <v>2.2762514540979051E-2</v>
      </c>
      <c r="V395" t="s">
        <v>163</v>
      </c>
    </row>
    <row r="396" spans="9:22" x14ac:dyDescent="0.45">
      <c r="I396" t="s">
        <v>183</v>
      </c>
      <c r="J396" t="s">
        <v>167</v>
      </c>
      <c r="K396">
        <v>1.8116552300969837E-2</v>
      </c>
      <c r="L396" t="s">
        <v>163</v>
      </c>
      <c r="N396" t="s">
        <v>214</v>
      </c>
      <c r="O396" t="s">
        <v>167</v>
      </c>
      <c r="P396">
        <v>5.0727544020522149E-3</v>
      </c>
      <c r="Q396" t="s">
        <v>163</v>
      </c>
      <c r="S396" t="s">
        <v>245</v>
      </c>
      <c r="T396" t="s">
        <v>167</v>
      </c>
      <c r="U396">
        <v>5.0217073577050108E-3</v>
      </c>
      <c r="V396" t="s">
        <v>163</v>
      </c>
    </row>
    <row r="397" spans="9:22" x14ac:dyDescent="0.45">
      <c r="I397" t="s">
        <v>183</v>
      </c>
      <c r="J397" t="s">
        <v>168</v>
      </c>
      <c r="K397">
        <v>3.444604817273185E-2</v>
      </c>
      <c r="L397" t="s">
        <v>163</v>
      </c>
      <c r="N397" t="s">
        <v>214</v>
      </c>
      <c r="O397" t="s">
        <v>168</v>
      </c>
      <c r="P397">
        <v>9.4098861314165939E-3</v>
      </c>
      <c r="Q397" t="s">
        <v>163</v>
      </c>
      <c r="S397" t="s">
        <v>245</v>
      </c>
      <c r="T397" t="s">
        <v>168</v>
      </c>
      <c r="U397">
        <v>8.3718569544172627E-3</v>
      </c>
      <c r="V397" t="s">
        <v>163</v>
      </c>
    </row>
    <row r="398" spans="9:22" x14ac:dyDescent="0.45">
      <c r="I398" t="s">
        <v>183</v>
      </c>
      <c r="J398" t="s">
        <v>300</v>
      </c>
      <c r="K398">
        <v>4.764458596165809E-2</v>
      </c>
      <c r="L398" t="s">
        <v>163</v>
      </c>
      <c r="N398" t="s">
        <v>214</v>
      </c>
      <c r="O398" t="s">
        <v>300</v>
      </c>
      <c r="P398">
        <v>1.9085931628140668E-2</v>
      </c>
      <c r="Q398" t="s">
        <v>163</v>
      </c>
      <c r="S398" t="s">
        <v>245</v>
      </c>
      <c r="T398" t="s">
        <v>300</v>
      </c>
      <c r="U398">
        <v>1.6402581550520115E-2</v>
      </c>
      <c r="V398" t="s">
        <v>163</v>
      </c>
    </row>
    <row r="399" spans="9:22" x14ac:dyDescent="0.45">
      <c r="I399" t="s">
        <v>183</v>
      </c>
      <c r="J399" t="s">
        <v>301</v>
      </c>
      <c r="K399">
        <v>3.1128411999979864E-3</v>
      </c>
      <c r="L399" t="s">
        <v>163</v>
      </c>
      <c r="N399" t="s">
        <v>214</v>
      </c>
      <c r="O399" t="s">
        <v>301</v>
      </c>
      <c r="P399">
        <v>3.7966392627731614E-3</v>
      </c>
      <c r="Q399" t="s">
        <v>163</v>
      </c>
      <c r="S399" t="s">
        <v>245</v>
      </c>
      <c r="T399" t="s">
        <v>301</v>
      </c>
      <c r="U399">
        <v>3.1911103836122223E-3</v>
      </c>
      <c r="V399" t="s">
        <v>163</v>
      </c>
    </row>
    <row r="400" spans="9:22" x14ac:dyDescent="0.45">
      <c r="I400" t="s">
        <v>183</v>
      </c>
      <c r="J400" t="s">
        <v>302</v>
      </c>
      <c r="K400">
        <v>0</v>
      </c>
      <c r="L400" t="s">
        <v>163</v>
      </c>
      <c r="N400" t="s">
        <v>214</v>
      </c>
      <c r="O400" t="s">
        <v>302</v>
      </c>
      <c r="P400">
        <v>1.5767585553917884E-2</v>
      </c>
      <c r="Q400" t="s">
        <v>163</v>
      </c>
      <c r="S400" t="s">
        <v>245</v>
      </c>
      <c r="T400" t="s">
        <v>302</v>
      </c>
      <c r="U400">
        <v>1.3735198977370895E-2</v>
      </c>
      <c r="V400" t="s">
        <v>163</v>
      </c>
    </row>
    <row r="401" spans="9:22" x14ac:dyDescent="0.45">
      <c r="I401" t="s">
        <v>183</v>
      </c>
      <c r="J401" t="s">
        <v>169</v>
      </c>
      <c r="K401">
        <v>5.6787456605002984E-3</v>
      </c>
      <c r="L401" t="s">
        <v>163</v>
      </c>
      <c r="N401" t="s">
        <v>214</v>
      </c>
      <c r="O401" t="s">
        <v>169</v>
      </c>
      <c r="P401">
        <v>1.1910856477766286E-2</v>
      </c>
      <c r="Q401" t="s">
        <v>163</v>
      </c>
      <c r="S401" t="s">
        <v>245</v>
      </c>
      <c r="T401" t="s">
        <v>169</v>
      </c>
      <c r="U401">
        <v>1.8140176818750596E-2</v>
      </c>
      <c r="V401" t="s">
        <v>163</v>
      </c>
    </row>
    <row r="402" spans="9:22" x14ac:dyDescent="0.45">
      <c r="I402" t="s">
        <v>183</v>
      </c>
      <c r="J402" t="s">
        <v>170</v>
      </c>
      <c r="K402">
        <v>1.1158212016605815E-2</v>
      </c>
      <c r="L402" t="s">
        <v>163</v>
      </c>
      <c r="N402" t="s">
        <v>214</v>
      </c>
      <c r="O402" t="s">
        <v>170</v>
      </c>
      <c r="P402">
        <v>2.4172266044902124E-3</v>
      </c>
      <c r="Q402" t="s">
        <v>163</v>
      </c>
      <c r="S402" t="s">
        <v>245</v>
      </c>
      <c r="T402" t="s">
        <v>170</v>
      </c>
      <c r="U402">
        <v>3.9812656177237024E-3</v>
      </c>
      <c r="V402" t="s">
        <v>163</v>
      </c>
    </row>
    <row r="403" spans="9:22" x14ac:dyDescent="0.45">
      <c r="I403" t="s">
        <v>183</v>
      </c>
      <c r="J403" t="s">
        <v>171</v>
      </c>
      <c r="K403">
        <v>2.420679596591278E-2</v>
      </c>
      <c r="L403" t="s">
        <v>163</v>
      </c>
      <c r="N403" t="s">
        <v>214</v>
      </c>
      <c r="O403" t="s">
        <v>171</v>
      </c>
      <c r="P403">
        <v>4.2692524339857417E-3</v>
      </c>
      <c r="Q403" t="s">
        <v>163</v>
      </c>
      <c r="S403" t="s">
        <v>245</v>
      </c>
      <c r="T403" t="s">
        <v>171</v>
      </c>
      <c r="U403">
        <v>6.7101103160898193E-3</v>
      </c>
      <c r="V403" t="s">
        <v>163</v>
      </c>
    </row>
    <row r="404" spans="9:22" x14ac:dyDescent="0.45">
      <c r="I404" t="s">
        <v>183</v>
      </c>
      <c r="J404" t="s">
        <v>303</v>
      </c>
      <c r="K404">
        <v>3.2127563185766955E-2</v>
      </c>
      <c r="L404" t="s">
        <v>163</v>
      </c>
      <c r="N404" t="s">
        <v>214</v>
      </c>
      <c r="O404" t="s">
        <v>303</v>
      </c>
      <c r="P404">
        <v>8.9141247994150487E-3</v>
      </c>
      <c r="Q404" t="s">
        <v>163</v>
      </c>
      <c r="S404" t="s">
        <v>245</v>
      </c>
      <c r="T404" t="s">
        <v>303</v>
      </c>
      <c r="U404">
        <v>1.284942089496492E-2</v>
      </c>
      <c r="V404" t="s">
        <v>163</v>
      </c>
    </row>
    <row r="405" spans="9:22" x14ac:dyDescent="0.45">
      <c r="I405" t="s">
        <v>183</v>
      </c>
      <c r="J405" t="s">
        <v>304</v>
      </c>
      <c r="K405">
        <v>1.850817706570795E-3</v>
      </c>
      <c r="L405" t="s">
        <v>163</v>
      </c>
      <c r="N405" t="s">
        <v>214</v>
      </c>
      <c r="O405" t="s">
        <v>304</v>
      </c>
      <c r="P405">
        <v>2.1491825188200398E-3</v>
      </c>
      <c r="Q405" t="s">
        <v>163</v>
      </c>
      <c r="S405" t="s">
        <v>245</v>
      </c>
      <c r="T405" t="s">
        <v>304</v>
      </c>
      <c r="U405">
        <v>2.7353254224222775E-3</v>
      </c>
      <c r="V405" t="s">
        <v>163</v>
      </c>
    </row>
    <row r="406" spans="9:22" x14ac:dyDescent="0.45">
      <c r="I406" t="s">
        <v>183</v>
      </c>
      <c r="J406" t="s">
        <v>305</v>
      </c>
      <c r="K406">
        <v>1.3539672549832351E-5</v>
      </c>
      <c r="L406" t="s">
        <v>163</v>
      </c>
      <c r="N406" t="s">
        <v>214</v>
      </c>
      <c r="O406" t="s">
        <v>305</v>
      </c>
      <c r="P406">
        <v>8.2954919141969771E-3</v>
      </c>
      <c r="Q406" t="s">
        <v>163</v>
      </c>
      <c r="S406" t="s">
        <v>245</v>
      </c>
      <c r="T406" t="s">
        <v>305</v>
      </c>
      <c r="U406">
        <v>1.1315004564942098E-2</v>
      </c>
      <c r="V406" t="s">
        <v>163</v>
      </c>
    </row>
    <row r="407" spans="9:22" x14ac:dyDescent="0.45">
      <c r="I407" t="s">
        <v>183</v>
      </c>
      <c r="J407" t="s">
        <v>172</v>
      </c>
      <c r="K407">
        <v>1.4804842426480839E-2</v>
      </c>
      <c r="L407" t="s">
        <v>163</v>
      </c>
      <c r="N407" t="s">
        <v>214</v>
      </c>
      <c r="O407" t="s">
        <v>172</v>
      </c>
      <c r="P407">
        <v>3.0512626068761057E-2</v>
      </c>
      <c r="Q407" t="s">
        <v>163</v>
      </c>
      <c r="S407" t="s">
        <v>245</v>
      </c>
      <c r="T407" t="s">
        <v>172</v>
      </c>
      <c r="U407">
        <v>3.5823859669923248E-2</v>
      </c>
      <c r="V407" t="s">
        <v>163</v>
      </c>
    </row>
    <row r="408" spans="9:22" x14ac:dyDescent="0.45">
      <c r="I408" t="s">
        <v>183</v>
      </c>
      <c r="J408" t="s">
        <v>173</v>
      </c>
      <c r="K408">
        <v>3.0803458789020355E-2</v>
      </c>
      <c r="L408" t="s">
        <v>163</v>
      </c>
      <c r="N408" t="s">
        <v>214</v>
      </c>
      <c r="O408" t="s">
        <v>173</v>
      </c>
      <c r="P408">
        <v>5.9663658275384843E-3</v>
      </c>
      <c r="Q408" t="s">
        <v>163</v>
      </c>
      <c r="S408" t="s">
        <v>245</v>
      </c>
      <c r="T408" t="s">
        <v>173</v>
      </c>
      <c r="U408">
        <v>7.1851209721659247E-3</v>
      </c>
      <c r="V408" t="s">
        <v>163</v>
      </c>
    </row>
    <row r="409" spans="9:22" x14ac:dyDescent="0.45">
      <c r="I409" t="s">
        <v>183</v>
      </c>
      <c r="J409" t="s">
        <v>174</v>
      </c>
      <c r="K409">
        <v>6.1216578282762446E-2</v>
      </c>
      <c r="L409" t="s">
        <v>163</v>
      </c>
      <c r="N409" t="s">
        <v>214</v>
      </c>
      <c r="O409" t="s">
        <v>174</v>
      </c>
      <c r="P409">
        <v>1.1285507382266099E-2</v>
      </c>
      <c r="Q409" t="s">
        <v>163</v>
      </c>
      <c r="S409" t="s">
        <v>245</v>
      </c>
      <c r="T409" t="s">
        <v>174</v>
      </c>
      <c r="U409">
        <v>1.2176133234131876E-2</v>
      </c>
      <c r="V409" t="s">
        <v>163</v>
      </c>
    </row>
    <row r="410" spans="9:22" x14ac:dyDescent="0.45">
      <c r="I410" t="s">
        <v>183</v>
      </c>
      <c r="J410" t="s">
        <v>306</v>
      </c>
      <c r="K410">
        <v>8.4522773979551491E-2</v>
      </c>
      <c r="L410" t="s">
        <v>163</v>
      </c>
      <c r="N410" t="s">
        <v>214</v>
      </c>
      <c r="O410" t="s">
        <v>306</v>
      </c>
      <c r="P410">
        <v>2.4663930758368074E-2</v>
      </c>
      <c r="Q410" t="s">
        <v>163</v>
      </c>
      <c r="S410" t="s">
        <v>245</v>
      </c>
      <c r="T410" t="s">
        <v>306</v>
      </c>
      <c r="U410">
        <v>2.5439890482384708E-2</v>
      </c>
      <c r="V410" t="s">
        <v>163</v>
      </c>
    </row>
    <row r="411" spans="9:22" x14ac:dyDescent="0.45">
      <c r="I411" t="s">
        <v>183</v>
      </c>
      <c r="J411" t="s">
        <v>307</v>
      </c>
      <c r="K411">
        <v>5.2909182185595397E-3</v>
      </c>
      <c r="L411" t="s">
        <v>163</v>
      </c>
      <c r="N411" t="s">
        <v>214</v>
      </c>
      <c r="O411" t="s">
        <v>307</v>
      </c>
      <c r="P411">
        <v>5.0667715259153636E-3</v>
      </c>
      <c r="Q411" t="s">
        <v>163</v>
      </c>
      <c r="S411" t="s">
        <v>245</v>
      </c>
      <c r="T411" t="s">
        <v>307</v>
      </c>
      <c r="U411">
        <v>5.3083105723756114E-3</v>
      </c>
      <c r="V411" t="s">
        <v>163</v>
      </c>
    </row>
    <row r="412" spans="9:22" x14ac:dyDescent="0.45">
      <c r="I412" t="s">
        <v>183</v>
      </c>
      <c r="J412" t="s">
        <v>308</v>
      </c>
      <c r="K412">
        <v>7.0681945271049284E-6</v>
      </c>
      <c r="L412" t="s">
        <v>163</v>
      </c>
      <c r="N412" t="s">
        <v>214</v>
      </c>
      <c r="O412" t="s">
        <v>308</v>
      </c>
      <c r="P412">
        <v>2.1758034050702642E-2</v>
      </c>
      <c r="Q412" t="s">
        <v>163</v>
      </c>
      <c r="S412" t="s">
        <v>245</v>
      </c>
      <c r="T412" t="s">
        <v>308</v>
      </c>
      <c r="U412">
        <v>2.3643190819945141E-2</v>
      </c>
      <c r="V412" t="s">
        <v>163</v>
      </c>
    </row>
    <row r="413" spans="9:22" x14ac:dyDescent="0.45">
      <c r="I413" t="s">
        <v>183</v>
      </c>
      <c r="J413" t="s">
        <v>309</v>
      </c>
      <c r="K413">
        <v>7.2238861216211894E-3</v>
      </c>
      <c r="L413" t="s">
        <v>163</v>
      </c>
      <c r="N413" t="s">
        <v>214</v>
      </c>
      <c r="O413" t="s">
        <v>309</v>
      </c>
      <c r="P413">
        <v>2.0289551562686383E-2</v>
      </c>
      <c r="Q413" t="s">
        <v>163</v>
      </c>
      <c r="S413" t="s">
        <v>245</v>
      </c>
      <c r="T413" t="s">
        <v>309</v>
      </c>
      <c r="U413">
        <v>2.3056609196821627E-2</v>
      </c>
      <c r="V413" t="s">
        <v>163</v>
      </c>
    </row>
    <row r="414" spans="9:22" x14ac:dyDescent="0.45">
      <c r="I414" t="s">
        <v>183</v>
      </c>
      <c r="J414" t="s">
        <v>310</v>
      </c>
      <c r="K414">
        <v>1.5817419108389866E-2</v>
      </c>
      <c r="L414" t="s">
        <v>163</v>
      </c>
      <c r="N414" t="s">
        <v>214</v>
      </c>
      <c r="O414" t="s">
        <v>310</v>
      </c>
      <c r="P414">
        <v>4.2640693858179111E-3</v>
      </c>
      <c r="Q414" t="s">
        <v>163</v>
      </c>
      <c r="S414" t="s">
        <v>245</v>
      </c>
      <c r="T414" t="s">
        <v>310</v>
      </c>
      <c r="U414">
        <v>5.0564048823644623E-3</v>
      </c>
      <c r="V414" t="s">
        <v>163</v>
      </c>
    </row>
    <row r="415" spans="9:22" x14ac:dyDescent="0.45">
      <c r="I415" t="s">
        <v>183</v>
      </c>
      <c r="J415" t="s">
        <v>311</v>
      </c>
      <c r="K415">
        <v>2.8309722036879894E-2</v>
      </c>
      <c r="L415" t="s">
        <v>163</v>
      </c>
      <c r="N415" t="s">
        <v>214</v>
      </c>
      <c r="O415" t="s">
        <v>311</v>
      </c>
      <c r="P415">
        <v>6.8098719111910067E-3</v>
      </c>
      <c r="Q415" t="s">
        <v>163</v>
      </c>
      <c r="S415" t="s">
        <v>245</v>
      </c>
      <c r="T415" t="s">
        <v>311</v>
      </c>
      <c r="U415">
        <v>7.7842838374671767E-3</v>
      </c>
      <c r="V415" t="s">
        <v>163</v>
      </c>
    </row>
    <row r="416" spans="9:22" x14ac:dyDescent="0.45">
      <c r="I416" t="s">
        <v>183</v>
      </c>
      <c r="J416" t="s">
        <v>312</v>
      </c>
      <c r="K416">
        <v>3.7420456945945126E-2</v>
      </c>
      <c r="L416" t="s">
        <v>163</v>
      </c>
      <c r="N416" t="s">
        <v>214</v>
      </c>
      <c r="O416" t="s">
        <v>312</v>
      </c>
      <c r="P416">
        <v>1.2405753464940876E-2</v>
      </c>
      <c r="Q416" t="s">
        <v>163</v>
      </c>
      <c r="S416" t="s">
        <v>245</v>
      </c>
      <c r="T416" t="s">
        <v>312</v>
      </c>
      <c r="U416">
        <v>1.364888396220991E-2</v>
      </c>
      <c r="V416" t="s">
        <v>163</v>
      </c>
    </row>
    <row r="417" spans="9:22" x14ac:dyDescent="0.45">
      <c r="I417" t="s">
        <v>183</v>
      </c>
      <c r="J417" t="s">
        <v>313</v>
      </c>
      <c r="K417">
        <v>2.3253461442690267E-4</v>
      </c>
      <c r="L417" t="s">
        <v>163</v>
      </c>
      <c r="N417" t="s">
        <v>214</v>
      </c>
      <c r="O417" t="s">
        <v>313</v>
      </c>
      <c r="P417">
        <v>2.8257830252830119E-3</v>
      </c>
      <c r="Q417" t="s">
        <v>163</v>
      </c>
      <c r="S417" t="s">
        <v>245</v>
      </c>
      <c r="T417" t="s">
        <v>313</v>
      </c>
      <c r="U417">
        <v>2.893583665000424E-3</v>
      </c>
      <c r="V417" t="s">
        <v>163</v>
      </c>
    </row>
    <row r="418" spans="9:22" x14ac:dyDescent="0.45">
      <c r="I418" t="s">
        <v>183</v>
      </c>
      <c r="J418" t="s">
        <v>314</v>
      </c>
      <c r="K418">
        <v>0</v>
      </c>
      <c r="L418" t="s">
        <v>163</v>
      </c>
      <c r="N418" t="s">
        <v>214</v>
      </c>
      <c r="O418" t="s">
        <v>314</v>
      </c>
      <c r="P418">
        <v>1.2511088467929645E-2</v>
      </c>
      <c r="Q418" t="s">
        <v>163</v>
      </c>
      <c r="S418" t="s">
        <v>245</v>
      </c>
      <c r="T418" t="s">
        <v>314</v>
      </c>
      <c r="U418">
        <v>1.3572848105804744E-2</v>
      </c>
      <c r="V418" t="s">
        <v>163</v>
      </c>
    </row>
    <row r="419" spans="9:22" x14ac:dyDescent="0.45">
      <c r="I419" t="s">
        <v>183</v>
      </c>
      <c r="J419" t="s">
        <v>315</v>
      </c>
      <c r="K419">
        <v>7.3505145497289853E-3</v>
      </c>
      <c r="L419" t="s">
        <v>163</v>
      </c>
      <c r="N419" t="s">
        <v>214</v>
      </c>
      <c r="O419" t="s">
        <v>315</v>
      </c>
      <c r="P419">
        <v>6.5297725213803684E-2</v>
      </c>
      <c r="Q419" t="s">
        <v>163</v>
      </c>
      <c r="S419" t="s">
        <v>245</v>
      </c>
      <c r="T419" t="s">
        <v>315</v>
      </c>
      <c r="U419">
        <v>6.8721991349333753E-2</v>
      </c>
      <c r="V419" t="s">
        <v>163</v>
      </c>
    </row>
    <row r="420" spans="9:22" x14ac:dyDescent="0.45">
      <c r="I420" t="s">
        <v>183</v>
      </c>
      <c r="J420" t="s">
        <v>316</v>
      </c>
      <c r="K420">
        <v>2.7042510159021548E-2</v>
      </c>
      <c r="L420" t="s">
        <v>163</v>
      </c>
      <c r="N420" t="s">
        <v>214</v>
      </c>
      <c r="O420" t="s">
        <v>316</v>
      </c>
      <c r="P420">
        <v>1.3619425034491343E-2</v>
      </c>
      <c r="Q420" t="s">
        <v>163</v>
      </c>
      <c r="S420" t="s">
        <v>245</v>
      </c>
      <c r="T420" t="s">
        <v>316</v>
      </c>
      <c r="U420">
        <v>1.5284314695634316E-2</v>
      </c>
      <c r="V420" t="s">
        <v>163</v>
      </c>
    </row>
    <row r="421" spans="9:22" x14ac:dyDescent="0.45">
      <c r="I421" t="s">
        <v>183</v>
      </c>
      <c r="J421" t="s">
        <v>317</v>
      </c>
      <c r="K421">
        <v>4.8985050708385484E-2</v>
      </c>
      <c r="L421" t="s">
        <v>163</v>
      </c>
      <c r="N421" t="s">
        <v>214</v>
      </c>
      <c r="O421" t="s">
        <v>317</v>
      </c>
      <c r="P421">
        <v>2.286593561014312E-2</v>
      </c>
      <c r="Q421" t="s">
        <v>163</v>
      </c>
      <c r="S421" t="s">
        <v>245</v>
      </c>
      <c r="T421" t="s">
        <v>317</v>
      </c>
      <c r="U421">
        <v>2.3220266821293203E-2</v>
      </c>
      <c r="V421" t="s">
        <v>163</v>
      </c>
    </row>
    <row r="422" spans="9:22" x14ac:dyDescent="0.45">
      <c r="I422" t="s">
        <v>183</v>
      </c>
      <c r="J422" t="s">
        <v>318</v>
      </c>
      <c r="K422">
        <v>5.5152248264863618E-2</v>
      </c>
      <c r="L422" t="s">
        <v>163</v>
      </c>
      <c r="N422" t="s">
        <v>214</v>
      </c>
      <c r="O422" t="s">
        <v>318</v>
      </c>
      <c r="P422">
        <v>4.2794930063958028E-2</v>
      </c>
      <c r="Q422" t="s">
        <v>163</v>
      </c>
      <c r="S422" t="s">
        <v>245</v>
      </c>
      <c r="T422" t="s">
        <v>318</v>
      </c>
      <c r="U422">
        <v>4.1332356454213695E-2</v>
      </c>
      <c r="V422" t="s">
        <v>163</v>
      </c>
    </row>
    <row r="423" spans="9:22" x14ac:dyDescent="0.45">
      <c r="I423" t="s">
        <v>183</v>
      </c>
      <c r="J423" t="s">
        <v>319</v>
      </c>
      <c r="K423">
        <v>0</v>
      </c>
      <c r="L423" t="s">
        <v>163</v>
      </c>
      <c r="N423" t="s">
        <v>214</v>
      </c>
      <c r="O423" t="s">
        <v>319</v>
      </c>
      <c r="P423">
        <v>8.805212751969908E-3</v>
      </c>
      <c r="Q423" t="s">
        <v>163</v>
      </c>
      <c r="S423" t="s">
        <v>245</v>
      </c>
      <c r="T423" t="s">
        <v>319</v>
      </c>
      <c r="U423">
        <v>8.5410491106843525E-3</v>
      </c>
      <c r="V423" t="s">
        <v>163</v>
      </c>
    </row>
    <row r="424" spans="9:22" x14ac:dyDescent="0.45">
      <c r="I424" t="s">
        <v>183</v>
      </c>
      <c r="J424" t="s">
        <v>320</v>
      </c>
      <c r="K424">
        <v>0</v>
      </c>
      <c r="L424" t="s">
        <v>163</v>
      </c>
      <c r="N424" t="s">
        <v>214</v>
      </c>
      <c r="O424" t="s">
        <v>320</v>
      </c>
      <c r="P424">
        <v>3.8441733237119531E-2</v>
      </c>
      <c r="Q424" t="s">
        <v>163</v>
      </c>
      <c r="S424" t="s">
        <v>245</v>
      </c>
      <c r="T424" t="s">
        <v>320</v>
      </c>
      <c r="U424">
        <v>3.9007504866750316E-2</v>
      </c>
      <c r="V424" t="s">
        <v>163</v>
      </c>
    </row>
    <row r="425" spans="9:22" x14ac:dyDescent="0.45">
      <c r="I425" t="s">
        <v>183</v>
      </c>
      <c r="J425" t="s">
        <v>321</v>
      </c>
      <c r="K425">
        <v>1.4255386943495393E-3</v>
      </c>
      <c r="L425" t="s">
        <v>163</v>
      </c>
      <c r="N425" t="s">
        <v>214</v>
      </c>
      <c r="O425" t="s">
        <v>321</v>
      </c>
      <c r="P425">
        <v>3.7160447261657376E-2</v>
      </c>
      <c r="Q425" t="s">
        <v>163</v>
      </c>
      <c r="S425" t="s">
        <v>245</v>
      </c>
      <c r="T425" t="s">
        <v>321</v>
      </c>
      <c r="U425">
        <v>3.5710315999135787E-2</v>
      </c>
      <c r="V425" t="s">
        <v>163</v>
      </c>
    </row>
    <row r="426" spans="9:22" x14ac:dyDescent="0.45">
      <c r="I426" t="s">
        <v>183</v>
      </c>
      <c r="J426" t="s">
        <v>322</v>
      </c>
      <c r="K426">
        <v>1.0823377331362386E-2</v>
      </c>
      <c r="L426" t="s">
        <v>163</v>
      </c>
      <c r="N426" t="s">
        <v>214</v>
      </c>
      <c r="O426" t="s">
        <v>322</v>
      </c>
      <c r="P426">
        <v>7.7804718160564869E-3</v>
      </c>
      <c r="Q426" t="s">
        <v>163</v>
      </c>
      <c r="S426" t="s">
        <v>245</v>
      </c>
      <c r="T426" t="s">
        <v>322</v>
      </c>
      <c r="U426">
        <v>7.841082855578654E-3</v>
      </c>
      <c r="V426" t="s">
        <v>163</v>
      </c>
    </row>
    <row r="427" spans="9:22" x14ac:dyDescent="0.45">
      <c r="I427" t="s">
        <v>183</v>
      </c>
      <c r="J427" t="s">
        <v>323</v>
      </c>
      <c r="K427">
        <v>2.1948067870146637E-2</v>
      </c>
      <c r="L427" t="s">
        <v>163</v>
      </c>
      <c r="N427" t="s">
        <v>214</v>
      </c>
      <c r="O427" t="s">
        <v>323</v>
      </c>
      <c r="P427">
        <v>1.5448506367496591E-2</v>
      </c>
      <c r="Q427" t="s">
        <v>163</v>
      </c>
      <c r="S427" t="s">
        <v>245</v>
      </c>
      <c r="T427" t="s">
        <v>323</v>
      </c>
      <c r="U427">
        <v>1.2933100915371875E-2</v>
      </c>
      <c r="V427" t="s">
        <v>163</v>
      </c>
    </row>
    <row r="428" spans="9:22" x14ac:dyDescent="0.45">
      <c r="I428" t="s">
        <v>183</v>
      </c>
      <c r="J428" t="s">
        <v>324</v>
      </c>
      <c r="K428">
        <v>2.3978071340005087E-2</v>
      </c>
      <c r="L428" t="s">
        <v>163</v>
      </c>
      <c r="N428" t="s">
        <v>214</v>
      </c>
      <c r="O428" t="s">
        <v>324</v>
      </c>
      <c r="P428">
        <v>2.877058733422564E-2</v>
      </c>
      <c r="Q428" t="s">
        <v>163</v>
      </c>
      <c r="S428" t="s">
        <v>245</v>
      </c>
      <c r="T428" t="s">
        <v>324</v>
      </c>
      <c r="U428">
        <v>2.4261419606214751E-2</v>
      </c>
      <c r="V428" t="s">
        <v>163</v>
      </c>
    </row>
    <row r="429" spans="9:22" x14ac:dyDescent="0.45">
      <c r="I429" t="s">
        <v>183</v>
      </c>
      <c r="J429" t="s">
        <v>325</v>
      </c>
      <c r="K429">
        <v>0</v>
      </c>
      <c r="L429" t="s">
        <v>163</v>
      </c>
      <c r="N429" t="s">
        <v>214</v>
      </c>
      <c r="O429" t="s">
        <v>325</v>
      </c>
      <c r="P429">
        <v>5.5751269073196644E-3</v>
      </c>
      <c r="Q429" t="s">
        <v>163</v>
      </c>
      <c r="S429" t="s">
        <v>245</v>
      </c>
      <c r="T429" t="s">
        <v>325</v>
      </c>
      <c r="U429">
        <v>5.177676313116766E-3</v>
      </c>
      <c r="V429" t="s">
        <v>163</v>
      </c>
    </row>
    <row r="430" spans="9:22" x14ac:dyDescent="0.45">
      <c r="I430" t="s">
        <v>183</v>
      </c>
      <c r="J430" t="s">
        <v>326</v>
      </c>
      <c r="K430">
        <v>0</v>
      </c>
      <c r="L430" t="s">
        <v>163</v>
      </c>
      <c r="N430" t="s">
        <v>214</v>
      </c>
      <c r="O430" t="s">
        <v>326</v>
      </c>
      <c r="P430">
        <v>2.4327295458806443E-2</v>
      </c>
      <c r="Q430" t="s">
        <v>163</v>
      </c>
      <c r="S430" t="s">
        <v>245</v>
      </c>
      <c r="T430" t="s">
        <v>326</v>
      </c>
      <c r="U430">
        <v>2.3884850275187431E-2</v>
      </c>
      <c r="V430" t="s">
        <v>163</v>
      </c>
    </row>
    <row r="431" spans="9:22" x14ac:dyDescent="0.45">
      <c r="I431" t="s">
        <v>184</v>
      </c>
      <c r="J431" t="s">
        <v>162</v>
      </c>
      <c r="K431">
        <v>1.7604655321907022E-2</v>
      </c>
      <c r="L431" t="s">
        <v>163</v>
      </c>
      <c r="N431" t="s">
        <v>215</v>
      </c>
      <c r="O431" t="s">
        <v>162</v>
      </c>
      <c r="P431">
        <v>0.14549292541132641</v>
      </c>
      <c r="Q431" t="s">
        <v>163</v>
      </c>
      <c r="S431" t="s">
        <v>246</v>
      </c>
      <c r="T431" t="s">
        <v>162</v>
      </c>
      <c r="U431">
        <v>0.11680957148420827</v>
      </c>
      <c r="V431" t="s">
        <v>163</v>
      </c>
    </row>
    <row r="432" spans="9:22" x14ac:dyDescent="0.45">
      <c r="I432" t="s">
        <v>184</v>
      </c>
      <c r="J432" t="s">
        <v>164</v>
      </c>
      <c r="K432">
        <v>5.3487858497445327E-2</v>
      </c>
      <c r="L432" t="s">
        <v>163</v>
      </c>
      <c r="N432" t="s">
        <v>215</v>
      </c>
      <c r="O432" t="s">
        <v>164</v>
      </c>
      <c r="P432">
        <v>2.9907421531592742E-2</v>
      </c>
      <c r="Q432" t="s">
        <v>163</v>
      </c>
      <c r="S432" t="s">
        <v>246</v>
      </c>
      <c r="T432" t="s">
        <v>164</v>
      </c>
      <c r="U432">
        <v>2.6876147135779845E-2</v>
      </c>
      <c r="V432" t="s">
        <v>163</v>
      </c>
    </row>
    <row r="433" spans="9:22" x14ac:dyDescent="0.45">
      <c r="I433" t="s">
        <v>184</v>
      </c>
      <c r="J433" t="s">
        <v>165</v>
      </c>
      <c r="K433">
        <v>0.10585166191689994</v>
      </c>
      <c r="L433" t="s">
        <v>163</v>
      </c>
      <c r="N433" t="s">
        <v>215</v>
      </c>
      <c r="O433" t="s">
        <v>165</v>
      </c>
      <c r="P433">
        <v>5.3627932156053201E-2</v>
      </c>
      <c r="Q433" t="s">
        <v>163</v>
      </c>
      <c r="S433" t="s">
        <v>246</v>
      </c>
      <c r="T433" t="s">
        <v>165</v>
      </c>
      <c r="U433">
        <v>4.0618905908653975E-2</v>
      </c>
      <c r="V433" t="s">
        <v>163</v>
      </c>
    </row>
    <row r="434" spans="9:22" x14ac:dyDescent="0.45">
      <c r="I434" t="s">
        <v>184</v>
      </c>
      <c r="J434" t="s">
        <v>297</v>
      </c>
      <c r="K434">
        <v>0.13410479314617466</v>
      </c>
      <c r="L434" t="s">
        <v>163</v>
      </c>
      <c r="N434" t="s">
        <v>215</v>
      </c>
      <c r="O434" t="s">
        <v>297</v>
      </c>
      <c r="P434">
        <v>9.7841143605977121E-2</v>
      </c>
      <c r="Q434" t="s">
        <v>163</v>
      </c>
      <c r="S434" t="s">
        <v>246</v>
      </c>
      <c r="T434" t="s">
        <v>297</v>
      </c>
      <c r="U434">
        <v>7.3689678551875207E-2</v>
      </c>
      <c r="V434" t="s">
        <v>163</v>
      </c>
    </row>
    <row r="435" spans="9:22" x14ac:dyDescent="0.45">
      <c r="I435" t="s">
        <v>184</v>
      </c>
      <c r="J435" t="s">
        <v>298</v>
      </c>
      <c r="K435">
        <v>1.9326723691309763E-3</v>
      </c>
      <c r="L435" t="s">
        <v>163</v>
      </c>
      <c r="N435" t="s">
        <v>215</v>
      </c>
      <c r="O435" t="s">
        <v>298</v>
      </c>
      <c r="P435">
        <v>1.8633547330157804E-2</v>
      </c>
      <c r="Q435" t="s">
        <v>163</v>
      </c>
      <c r="S435" t="s">
        <v>246</v>
      </c>
      <c r="T435" t="s">
        <v>298</v>
      </c>
      <c r="U435">
        <v>1.508781739784576E-2</v>
      </c>
      <c r="V435" t="s">
        <v>163</v>
      </c>
    </row>
    <row r="436" spans="9:22" x14ac:dyDescent="0.45">
      <c r="I436" t="s">
        <v>184</v>
      </c>
      <c r="J436" t="s">
        <v>299</v>
      </c>
      <c r="K436">
        <v>0</v>
      </c>
      <c r="L436" t="s">
        <v>163</v>
      </c>
      <c r="N436" t="s">
        <v>215</v>
      </c>
      <c r="O436" t="s">
        <v>299</v>
      </c>
      <c r="P436">
        <v>8.6032989764073572E-2</v>
      </c>
      <c r="Q436" t="s">
        <v>163</v>
      </c>
      <c r="S436" t="s">
        <v>246</v>
      </c>
      <c r="T436" t="s">
        <v>299</v>
      </c>
      <c r="U436">
        <v>7.5169185383187537E-2</v>
      </c>
      <c r="V436" t="s">
        <v>163</v>
      </c>
    </row>
    <row r="437" spans="9:22" x14ac:dyDescent="0.45">
      <c r="I437" t="s">
        <v>184</v>
      </c>
      <c r="J437" t="s">
        <v>166</v>
      </c>
      <c r="K437">
        <v>8.4269615259304678E-3</v>
      </c>
      <c r="L437" t="s">
        <v>163</v>
      </c>
      <c r="N437" t="s">
        <v>215</v>
      </c>
      <c r="O437" t="s">
        <v>166</v>
      </c>
      <c r="P437">
        <v>2.3823267724762693E-2</v>
      </c>
      <c r="Q437" t="s">
        <v>163</v>
      </c>
      <c r="S437" t="s">
        <v>246</v>
      </c>
      <c r="T437" t="s">
        <v>166</v>
      </c>
      <c r="U437">
        <v>2.2774158161124203E-2</v>
      </c>
      <c r="V437" t="s">
        <v>163</v>
      </c>
    </row>
    <row r="438" spans="9:22" x14ac:dyDescent="0.45">
      <c r="I438" t="s">
        <v>184</v>
      </c>
      <c r="J438" t="s">
        <v>167</v>
      </c>
      <c r="K438">
        <v>1.570617879588981E-2</v>
      </c>
      <c r="L438" t="s">
        <v>163</v>
      </c>
      <c r="N438" t="s">
        <v>215</v>
      </c>
      <c r="O438" t="s">
        <v>167</v>
      </c>
      <c r="P438">
        <v>5.3632142881492387E-3</v>
      </c>
      <c r="Q438" t="s">
        <v>163</v>
      </c>
      <c r="S438" t="s">
        <v>246</v>
      </c>
      <c r="T438" t="s">
        <v>167</v>
      </c>
      <c r="U438">
        <v>5.5988447572311315E-3</v>
      </c>
      <c r="V438" t="s">
        <v>163</v>
      </c>
    </row>
    <row r="439" spans="9:22" x14ac:dyDescent="0.45">
      <c r="I439" t="s">
        <v>184</v>
      </c>
      <c r="J439" t="s">
        <v>168</v>
      </c>
      <c r="K439">
        <v>3.1198377934778032E-2</v>
      </c>
      <c r="L439" t="s">
        <v>163</v>
      </c>
      <c r="N439" t="s">
        <v>215</v>
      </c>
      <c r="O439" t="s">
        <v>168</v>
      </c>
      <c r="P439">
        <v>9.1522326139564861E-3</v>
      </c>
      <c r="Q439" t="s">
        <v>163</v>
      </c>
      <c r="S439" t="s">
        <v>246</v>
      </c>
      <c r="T439" t="s">
        <v>168</v>
      </c>
      <c r="U439">
        <v>8.4086543695898238E-3</v>
      </c>
      <c r="V439" t="s">
        <v>163</v>
      </c>
    </row>
    <row r="440" spans="9:22" x14ac:dyDescent="0.45">
      <c r="I440" t="s">
        <v>184</v>
      </c>
      <c r="J440" t="s">
        <v>300</v>
      </c>
      <c r="K440">
        <v>4.0584211636195119E-2</v>
      </c>
      <c r="L440" t="s">
        <v>163</v>
      </c>
      <c r="N440" t="s">
        <v>215</v>
      </c>
      <c r="O440" t="s">
        <v>300</v>
      </c>
      <c r="P440">
        <v>1.694445494081083E-2</v>
      </c>
      <c r="Q440" t="s">
        <v>163</v>
      </c>
      <c r="S440" t="s">
        <v>246</v>
      </c>
      <c r="T440" t="s">
        <v>300</v>
      </c>
      <c r="U440">
        <v>1.380392891907278E-2</v>
      </c>
      <c r="V440" t="s">
        <v>163</v>
      </c>
    </row>
    <row r="441" spans="9:22" x14ac:dyDescent="0.45">
      <c r="I441" t="s">
        <v>184</v>
      </c>
      <c r="J441" t="s">
        <v>301</v>
      </c>
      <c r="K441">
        <v>2.0890015108534126E-3</v>
      </c>
      <c r="L441" t="s">
        <v>163</v>
      </c>
      <c r="N441" t="s">
        <v>215</v>
      </c>
      <c r="O441" t="s">
        <v>301</v>
      </c>
      <c r="P441">
        <v>3.3685735996753551E-3</v>
      </c>
      <c r="Q441" t="s">
        <v>163</v>
      </c>
      <c r="S441" t="s">
        <v>246</v>
      </c>
      <c r="T441" t="s">
        <v>301</v>
      </c>
      <c r="U441">
        <v>2.4823008842690258E-3</v>
      </c>
      <c r="V441" t="s">
        <v>163</v>
      </c>
    </row>
    <row r="442" spans="9:22" x14ac:dyDescent="0.45">
      <c r="I442" t="s">
        <v>184</v>
      </c>
      <c r="J442" t="s">
        <v>302</v>
      </c>
      <c r="K442">
        <v>0</v>
      </c>
      <c r="L442" t="s">
        <v>163</v>
      </c>
      <c r="N442" t="s">
        <v>215</v>
      </c>
      <c r="O442" t="s">
        <v>302</v>
      </c>
      <c r="P442">
        <v>1.4103190460303533E-2</v>
      </c>
      <c r="Q442" t="s">
        <v>163</v>
      </c>
      <c r="S442" t="s">
        <v>246</v>
      </c>
      <c r="T442" t="s">
        <v>302</v>
      </c>
      <c r="U442">
        <v>1.2735042855695175E-2</v>
      </c>
      <c r="V442" t="s">
        <v>163</v>
      </c>
    </row>
    <row r="443" spans="9:22" x14ac:dyDescent="0.45">
      <c r="I443" t="s">
        <v>184</v>
      </c>
      <c r="J443" t="s">
        <v>169</v>
      </c>
      <c r="K443">
        <v>5.64368467565748E-3</v>
      </c>
      <c r="L443" t="s">
        <v>163</v>
      </c>
      <c r="N443" t="s">
        <v>215</v>
      </c>
      <c r="O443" t="s">
        <v>169</v>
      </c>
      <c r="P443">
        <v>8.7430112933394449E-3</v>
      </c>
      <c r="Q443" t="s">
        <v>163</v>
      </c>
      <c r="S443" t="s">
        <v>246</v>
      </c>
      <c r="T443" t="s">
        <v>169</v>
      </c>
      <c r="U443">
        <v>2.59400106224623E-2</v>
      </c>
      <c r="V443" t="s">
        <v>163</v>
      </c>
    </row>
    <row r="444" spans="9:22" x14ac:dyDescent="0.45">
      <c r="I444" t="s">
        <v>184</v>
      </c>
      <c r="J444" t="s">
        <v>170</v>
      </c>
      <c r="K444">
        <v>1.1063496534631881E-2</v>
      </c>
      <c r="L444" t="s">
        <v>163</v>
      </c>
      <c r="N444" t="s">
        <v>215</v>
      </c>
      <c r="O444" t="s">
        <v>170</v>
      </c>
      <c r="P444">
        <v>2.0084048432066318E-3</v>
      </c>
      <c r="Q444" t="s">
        <v>163</v>
      </c>
      <c r="S444" t="s">
        <v>246</v>
      </c>
      <c r="T444" t="s">
        <v>170</v>
      </c>
      <c r="U444">
        <v>6.1659876478029072E-3</v>
      </c>
      <c r="V444" t="s">
        <v>163</v>
      </c>
    </row>
    <row r="445" spans="9:22" x14ac:dyDescent="0.45">
      <c r="I445" t="s">
        <v>184</v>
      </c>
      <c r="J445" t="s">
        <v>171</v>
      </c>
      <c r="K445">
        <v>2.2650151596909671E-2</v>
      </c>
      <c r="L445" t="s">
        <v>163</v>
      </c>
      <c r="N445" t="s">
        <v>215</v>
      </c>
      <c r="O445" t="s">
        <v>171</v>
      </c>
      <c r="P445">
        <v>3.4067393727919932E-3</v>
      </c>
      <c r="Q445" t="s">
        <v>163</v>
      </c>
      <c r="S445" t="s">
        <v>246</v>
      </c>
      <c r="T445" t="s">
        <v>171</v>
      </c>
      <c r="U445">
        <v>9.7966919516665404E-3</v>
      </c>
      <c r="V445" t="s">
        <v>163</v>
      </c>
    </row>
    <row r="446" spans="9:22" x14ac:dyDescent="0.45">
      <c r="I446" t="s">
        <v>184</v>
      </c>
      <c r="J446" t="s">
        <v>303</v>
      </c>
      <c r="K446">
        <v>2.6650737909886878E-2</v>
      </c>
      <c r="L446" t="s">
        <v>163</v>
      </c>
      <c r="N446" t="s">
        <v>215</v>
      </c>
      <c r="O446" t="s">
        <v>303</v>
      </c>
      <c r="P446">
        <v>6.9042652100226058E-3</v>
      </c>
      <c r="Q446" t="s">
        <v>163</v>
      </c>
      <c r="S446" t="s">
        <v>246</v>
      </c>
      <c r="T446" t="s">
        <v>303</v>
      </c>
      <c r="U446">
        <v>1.6610453173185834E-2</v>
      </c>
      <c r="V446" t="s">
        <v>163</v>
      </c>
    </row>
    <row r="447" spans="9:22" x14ac:dyDescent="0.45">
      <c r="I447" t="s">
        <v>184</v>
      </c>
      <c r="J447" t="s">
        <v>304</v>
      </c>
      <c r="K447">
        <v>1.3191764073129898E-3</v>
      </c>
      <c r="L447" t="s">
        <v>163</v>
      </c>
      <c r="N447" t="s">
        <v>215</v>
      </c>
      <c r="O447" t="s">
        <v>304</v>
      </c>
      <c r="P447">
        <v>1.2457725812103882E-3</v>
      </c>
      <c r="Q447" t="s">
        <v>163</v>
      </c>
      <c r="S447" t="s">
        <v>246</v>
      </c>
      <c r="T447" t="s">
        <v>304</v>
      </c>
      <c r="U447">
        <v>2.9891564811237122E-3</v>
      </c>
      <c r="V447" t="s">
        <v>163</v>
      </c>
    </row>
    <row r="448" spans="9:22" x14ac:dyDescent="0.45">
      <c r="I448" t="s">
        <v>184</v>
      </c>
      <c r="J448" t="s">
        <v>305</v>
      </c>
      <c r="K448">
        <v>0</v>
      </c>
      <c r="L448" t="s">
        <v>163</v>
      </c>
      <c r="N448" t="s">
        <v>215</v>
      </c>
      <c r="O448" t="s">
        <v>305</v>
      </c>
      <c r="P448">
        <v>5.2297386554373132E-3</v>
      </c>
      <c r="Q448" t="s">
        <v>163</v>
      </c>
      <c r="S448" t="s">
        <v>246</v>
      </c>
      <c r="T448" t="s">
        <v>305</v>
      </c>
      <c r="U448">
        <v>1.6005681092364967E-2</v>
      </c>
      <c r="V448" t="s">
        <v>163</v>
      </c>
    </row>
    <row r="449" spans="9:22" x14ac:dyDescent="0.45">
      <c r="I449" t="s">
        <v>184</v>
      </c>
      <c r="J449" t="s">
        <v>172</v>
      </c>
      <c r="K449">
        <v>1.8209183697630207E-2</v>
      </c>
      <c r="L449" t="s">
        <v>163</v>
      </c>
      <c r="N449" t="s">
        <v>215</v>
      </c>
      <c r="O449" t="s">
        <v>172</v>
      </c>
      <c r="P449">
        <v>3.4179590147975857E-2</v>
      </c>
      <c r="Q449" t="s">
        <v>163</v>
      </c>
      <c r="S449" t="s">
        <v>246</v>
      </c>
      <c r="T449" t="s">
        <v>172</v>
      </c>
      <c r="U449">
        <v>4.7857285290405518E-2</v>
      </c>
      <c r="V449" t="s">
        <v>163</v>
      </c>
    </row>
    <row r="450" spans="9:22" x14ac:dyDescent="0.45">
      <c r="I450" t="s">
        <v>184</v>
      </c>
      <c r="J450" t="s">
        <v>173</v>
      </c>
      <c r="K450">
        <v>3.6273571308803133E-2</v>
      </c>
      <c r="L450" t="s">
        <v>163</v>
      </c>
      <c r="N450" t="s">
        <v>215</v>
      </c>
      <c r="O450" t="s">
        <v>173</v>
      </c>
      <c r="P450">
        <v>8.3066174232888056E-3</v>
      </c>
      <c r="Q450" t="s">
        <v>163</v>
      </c>
      <c r="S450" t="s">
        <v>246</v>
      </c>
      <c r="T450" t="s">
        <v>173</v>
      </c>
      <c r="U450">
        <v>9.9791867915357425E-3</v>
      </c>
      <c r="V450" t="s">
        <v>163</v>
      </c>
    </row>
    <row r="451" spans="9:22" x14ac:dyDescent="0.45">
      <c r="I451" t="s">
        <v>184</v>
      </c>
      <c r="J451" t="s">
        <v>174</v>
      </c>
      <c r="K451">
        <v>6.99864010226907E-2</v>
      </c>
      <c r="L451" t="s">
        <v>163</v>
      </c>
      <c r="N451" t="s">
        <v>215</v>
      </c>
      <c r="O451" t="s">
        <v>174</v>
      </c>
      <c r="P451">
        <v>1.2750771578776614E-2</v>
      </c>
      <c r="Q451" t="s">
        <v>163</v>
      </c>
      <c r="S451" t="s">
        <v>246</v>
      </c>
      <c r="T451" t="s">
        <v>174</v>
      </c>
      <c r="U451">
        <v>1.4754224165919278E-2</v>
      </c>
      <c r="V451" t="s">
        <v>163</v>
      </c>
    </row>
    <row r="452" spans="9:22" x14ac:dyDescent="0.45">
      <c r="I452" t="s">
        <v>184</v>
      </c>
      <c r="J452" t="s">
        <v>306</v>
      </c>
      <c r="K452">
        <v>9.3023004363848596E-2</v>
      </c>
      <c r="L452" t="s">
        <v>163</v>
      </c>
      <c r="N452" t="s">
        <v>215</v>
      </c>
      <c r="O452" t="s">
        <v>306</v>
      </c>
      <c r="P452">
        <v>2.0337763260224916E-2</v>
      </c>
      <c r="Q452" t="s">
        <v>163</v>
      </c>
      <c r="S452" t="s">
        <v>246</v>
      </c>
      <c r="T452" t="s">
        <v>306</v>
      </c>
      <c r="U452">
        <v>2.5620562555227322E-2</v>
      </c>
      <c r="V452" t="s">
        <v>163</v>
      </c>
    </row>
    <row r="453" spans="9:22" x14ac:dyDescent="0.45">
      <c r="I453" t="s">
        <v>184</v>
      </c>
      <c r="J453" t="s">
        <v>307</v>
      </c>
      <c r="K453">
        <v>5.6471023102459524E-3</v>
      </c>
      <c r="L453" t="s">
        <v>163</v>
      </c>
      <c r="N453" t="s">
        <v>215</v>
      </c>
      <c r="O453" t="s">
        <v>307</v>
      </c>
      <c r="P453">
        <v>3.6225504129984913E-3</v>
      </c>
      <c r="Q453" t="s">
        <v>163</v>
      </c>
      <c r="S453" t="s">
        <v>246</v>
      </c>
      <c r="T453" t="s">
        <v>307</v>
      </c>
      <c r="U453">
        <v>4.7795732522632377E-3</v>
      </c>
      <c r="V453" t="s">
        <v>163</v>
      </c>
    </row>
    <row r="454" spans="9:22" x14ac:dyDescent="0.45">
      <c r="I454" t="s">
        <v>184</v>
      </c>
      <c r="J454" t="s">
        <v>308</v>
      </c>
      <c r="K454">
        <v>0</v>
      </c>
      <c r="L454" t="s">
        <v>163</v>
      </c>
      <c r="N454" t="s">
        <v>215</v>
      </c>
      <c r="O454" t="s">
        <v>308</v>
      </c>
      <c r="P454">
        <v>1.610411571380977E-2</v>
      </c>
      <c r="Q454" t="s">
        <v>163</v>
      </c>
      <c r="S454" t="s">
        <v>246</v>
      </c>
      <c r="T454" t="s">
        <v>308</v>
      </c>
      <c r="U454">
        <v>2.6692168891549132E-2</v>
      </c>
      <c r="V454" t="s">
        <v>163</v>
      </c>
    </row>
    <row r="455" spans="9:22" x14ac:dyDescent="0.45">
      <c r="I455" t="s">
        <v>184</v>
      </c>
      <c r="J455" t="s">
        <v>309</v>
      </c>
      <c r="K455">
        <v>8.1911212290881521E-3</v>
      </c>
      <c r="L455" t="s">
        <v>163</v>
      </c>
      <c r="N455" t="s">
        <v>215</v>
      </c>
      <c r="O455" t="s">
        <v>309</v>
      </c>
      <c r="P455">
        <v>1.88496348204839E-2</v>
      </c>
      <c r="Q455" t="s">
        <v>163</v>
      </c>
      <c r="S455" t="s">
        <v>246</v>
      </c>
      <c r="T455" t="s">
        <v>309</v>
      </c>
      <c r="U455">
        <v>2.7795411088434748E-2</v>
      </c>
      <c r="V455" t="s">
        <v>163</v>
      </c>
    </row>
    <row r="456" spans="9:22" x14ac:dyDescent="0.45">
      <c r="I456" t="s">
        <v>184</v>
      </c>
      <c r="J456" t="s">
        <v>310</v>
      </c>
      <c r="K456">
        <v>1.746622454536232E-2</v>
      </c>
      <c r="L456" t="s">
        <v>163</v>
      </c>
      <c r="N456" t="s">
        <v>215</v>
      </c>
      <c r="O456" t="s">
        <v>310</v>
      </c>
      <c r="P456">
        <v>3.954402568017725E-3</v>
      </c>
      <c r="Q456" t="s">
        <v>163</v>
      </c>
      <c r="S456" t="s">
        <v>246</v>
      </c>
      <c r="T456" t="s">
        <v>310</v>
      </c>
      <c r="U456">
        <v>6.8853801369410453E-3</v>
      </c>
      <c r="V456" t="s">
        <v>163</v>
      </c>
    </row>
    <row r="457" spans="9:22" x14ac:dyDescent="0.45">
      <c r="I457" t="s">
        <v>184</v>
      </c>
      <c r="J457" t="s">
        <v>311</v>
      </c>
      <c r="K457">
        <v>3.2028235505615919E-2</v>
      </c>
      <c r="L457" t="s">
        <v>163</v>
      </c>
      <c r="N457" t="s">
        <v>215</v>
      </c>
      <c r="O457" t="s">
        <v>311</v>
      </c>
      <c r="P457">
        <v>6.4666290292392826E-3</v>
      </c>
      <c r="Q457" t="s">
        <v>163</v>
      </c>
      <c r="S457" t="s">
        <v>246</v>
      </c>
      <c r="T457" t="s">
        <v>311</v>
      </c>
      <c r="U457">
        <v>1.0544514876030534E-2</v>
      </c>
      <c r="V457" t="s">
        <v>163</v>
      </c>
    </row>
    <row r="458" spans="9:22" x14ac:dyDescent="0.45">
      <c r="I458" t="s">
        <v>184</v>
      </c>
      <c r="J458" t="s">
        <v>312</v>
      </c>
      <c r="K458">
        <v>4.2047841467908992E-2</v>
      </c>
      <c r="L458" t="s">
        <v>163</v>
      </c>
      <c r="N458" t="s">
        <v>215</v>
      </c>
      <c r="O458" t="s">
        <v>312</v>
      </c>
      <c r="P458">
        <v>1.3793202678053349E-2</v>
      </c>
      <c r="Q458" t="s">
        <v>163</v>
      </c>
      <c r="S458" t="s">
        <v>246</v>
      </c>
      <c r="T458" t="s">
        <v>312</v>
      </c>
      <c r="U458">
        <v>1.8051443999870964E-2</v>
      </c>
      <c r="V458" t="s">
        <v>163</v>
      </c>
    </row>
    <row r="459" spans="9:22" x14ac:dyDescent="0.45">
      <c r="I459" t="s">
        <v>184</v>
      </c>
      <c r="J459" t="s">
        <v>313</v>
      </c>
      <c r="K459">
        <v>9.0253398143297483E-5</v>
      </c>
      <c r="L459" t="s">
        <v>163</v>
      </c>
      <c r="N459" t="s">
        <v>215</v>
      </c>
      <c r="O459" t="s">
        <v>313</v>
      </c>
      <c r="P459">
        <v>3.1535783553470124E-3</v>
      </c>
      <c r="Q459" t="s">
        <v>163</v>
      </c>
      <c r="S459" t="s">
        <v>246</v>
      </c>
      <c r="T459" t="s">
        <v>313</v>
      </c>
      <c r="U459">
        <v>3.4775010049898397E-3</v>
      </c>
      <c r="V459" t="s">
        <v>163</v>
      </c>
    </row>
    <row r="460" spans="9:22" x14ac:dyDescent="0.45">
      <c r="I460" t="s">
        <v>184</v>
      </c>
      <c r="J460" t="s">
        <v>314</v>
      </c>
      <c r="K460">
        <v>0</v>
      </c>
      <c r="L460" t="s">
        <v>163</v>
      </c>
      <c r="N460" t="s">
        <v>215</v>
      </c>
      <c r="O460" t="s">
        <v>314</v>
      </c>
      <c r="P460">
        <v>1.2280618363973213E-2</v>
      </c>
      <c r="Q460" t="s">
        <v>163</v>
      </c>
      <c r="S460" t="s">
        <v>246</v>
      </c>
      <c r="T460" t="s">
        <v>314</v>
      </c>
      <c r="U460">
        <v>1.8552852198742711E-2</v>
      </c>
      <c r="V460" t="s">
        <v>163</v>
      </c>
    </row>
    <row r="461" spans="9:22" x14ac:dyDescent="0.45">
      <c r="I461" t="s">
        <v>184</v>
      </c>
      <c r="J461" t="s">
        <v>315</v>
      </c>
      <c r="K461">
        <v>8.8094773749158202E-3</v>
      </c>
      <c r="L461" t="s">
        <v>163</v>
      </c>
      <c r="N461" t="s">
        <v>215</v>
      </c>
      <c r="O461" t="s">
        <v>315</v>
      </c>
      <c r="P461">
        <v>6.0770880030753989E-2</v>
      </c>
      <c r="Q461" t="s">
        <v>163</v>
      </c>
      <c r="S461" t="s">
        <v>246</v>
      </c>
      <c r="T461" t="s">
        <v>315</v>
      </c>
      <c r="U461">
        <v>6.6603482658954771E-2</v>
      </c>
      <c r="V461" t="s">
        <v>163</v>
      </c>
    </row>
    <row r="462" spans="9:22" x14ac:dyDescent="0.45">
      <c r="I462" t="s">
        <v>184</v>
      </c>
      <c r="J462" t="s">
        <v>316</v>
      </c>
      <c r="K462">
        <v>2.8073252535276563E-2</v>
      </c>
      <c r="L462" t="s">
        <v>163</v>
      </c>
      <c r="N462" t="s">
        <v>215</v>
      </c>
      <c r="O462" t="s">
        <v>316</v>
      </c>
      <c r="P462">
        <v>1.4029173955982807E-2</v>
      </c>
      <c r="Q462" t="s">
        <v>163</v>
      </c>
      <c r="S462" t="s">
        <v>246</v>
      </c>
      <c r="T462" t="s">
        <v>316</v>
      </c>
      <c r="U462">
        <v>1.6544666984358598E-2</v>
      </c>
      <c r="V462" t="s">
        <v>163</v>
      </c>
    </row>
    <row r="463" spans="9:22" x14ac:dyDescent="0.45">
      <c r="I463" t="s">
        <v>184</v>
      </c>
      <c r="J463" t="s">
        <v>317</v>
      </c>
      <c r="K463">
        <v>5.0659383373405864E-2</v>
      </c>
      <c r="L463" t="s">
        <v>163</v>
      </c>
      <c r="N463" t="s">
        <v>215</v>
      </c>
      <c r="O463" t="s">
        <v>317</v>
      </c>
      <c r="P463">
        <v>2.4646820923409005E-2</v>
      </c>
      <c r="Q463" t="s">
        <v>163</v>
      </c>
      <c r="S463" t="s">
        <v>246</v>
      </c>
      <c r="T463" t="s">
        <v>317</v>
      </c>
      <c r="U463">
        <v>2.4704405799602057E-2</v>
      </c>
      <c r="V463" t="s">
        <v>163</v>
      </c>
    </row>
    <row r="464" spans="9:22" x14ac:dyDescent="0.45">
      <c r="I464" t="s">
        <v>184</v>
      </c>
      <c r="J464" t="s">
        <v>318</v>
      </c>
      <c r="K464">
        <v>5.3674978442393273E-2</v>
      </c>
      <c r="L464" t="s">
        <v>163</v>
      </c>
      <c r="N464" t="s">
        <v>215</v>
      </c>
      <c r="O464" t="s">
        <v>318</v>
      </c>
      <c r="P464">
        <v>4.3406724612534184E-2</v>
      </c>
      <c r="Q464" t="s">
        <v>163</v>
      </c>
      <c r="S464" t="s">
        <v>246</v>
      </c>
      <c r="T464" t="s">
        <v>318</v>
      </c>
      <c r="U464">
        <v>4.1692609353804984E-2</v>
      </c>
      <c r="V464" t="s">
        <v>163</v>
      </c>
    </row>
    <row r="465" spans="9:22" x14ac:dyDescent="0.45">
      <c r="I465" t="s">
        <v>184</v>
      </c>
      <c r="J465" t="s">
        <v>319</v>
      </c>
      <c r="K465">
        <v>0</v>
      </c>
      <c r="L465" t="s">
        <v>163</v>
      </c>
      <c r="N465" t="s">
        <v>215</v>
      </c>
      <c r="O465" t="s">
        <v>319</v>
      </c>
      <c r="P465">
        <v>8.5174229922959817E-3</v>
      </c>
      <c r="Q465" t="s">
        <v>163</v>
      </c>
      <c r="S465" t="s">
        <v>246</v>
      </c>
      <c r="T465" t="s">
        <v>319</v>
      </c>
      <c r="U465">
        <v>7.98530050382836E-3</v>
      </c>
      <c r="V465" t="s">
        <v>163</v>
      </c>
    </row>
    <row r="466" spans="9:22" x14ac:dyDescent="0.45">
      <c r="I466" t="s">
        <v>184</v>
      </c>
      <c r="J466" t="s">
        <v>320</v>
      </c>
      <c r="K466">
        <v>0</v>
      </c>
      <c r="L466" t="s">
        <v>163</v>
      </c>
      <c r="N466" t="s">
        <v>215</v>
      </c>
      <c r="O466" t="s">
        <v>320</v>
      </c>
      <c r="P466">
        <v>3.7262431256533619E-2</v>
      </c>
      <c r="Q466" t="s">
        <v>163</v>
      </c>
      <c r="S466" t="s">
        <v>246</v>
      </c>
      <c r="T466" t="s">
        <v>320</v>
      </c>
      <c r="U466">
        <v>4.0364841383947914E-2</v>
      </c>
      <c r="V466" t="s">
        <v>163</v>
      </c>
    </row>
    <row r="467" spans="9:22" x14ac:dyDescent="0.45">
      <c r="I467" t="s">
        <v>184</v>
      </c>
      <c r="J467" t="s">
        <v>321</v>
      </c>
      <c r="K467">
        <v>2.3854385797984663E-3</v>
      </c>
      <c r="L467" t="s">
        <v>163</v>
      </c>
      <c r="N467" t="s">
        <v>215</v>
      </c>
      <c r="O467" t="s">
        <v>321</v>
      </c>
      <c r="P467">
        <v>3.8802287672907852E-2</v>
      </c>
      <c r="Q467" t="s">
        <v>163</v>
      </c>
      <c r="S467" t="s">
        <v>246</v>
      </c>
      <c r="T467" t="s">
        <v>321</v>
      </c>
      <c r="U467">
        <v>3.0606600841790541E-2</v>
      </c>
      <c r="V467" t="s">
        <v>163</v>
      </c>
    </row>
    <row r="468" spans="9:22" x14ac:dyDescent="0.45">
      <c r="I468" t="s">
        <v>184</v>
      </c>
      <c r="J468" t="s">
        <v>322</v>
      </c>
      <c r="K468">
        <v>1.1075514392467987E-2</v>
      </c>
      <c r="L468" t="s">
        <v>163</v>
      </c>
      <c r="N468" t="s">
        <v>215</v>
      </c>
      <c r="O468" t="s">
        <v>322</v>
      </c>
      <c r="P468">
        <v>7.7014779113593022E-3</v>
      </c>
      <c r="Q468" t="s">
        <v>163</v>
      </c>
      <c r="S468" t="s">
        <v>246</v>
      </c>
      <c r="T468" t="s">
        <v>322</v>
      </c>
      <c r="U468">
        <v>7.6370229714765956E-3</v>
      </c>
      <c r="V468" t="s">
        <v>163</v>
      </c>
    </row>
    <row r="469" spans="9:22" x14ac:dyDescent="0.45">
      <c r="I469" t="s">
        <v>184</v>
      </c>
      <c r="J469" t="s">
        <v>323</v>
      </c>
      <c r="K469">
        <v>2.138563014601514E-2</v>
      </c>
      <c r="L469" t="s">
        <v>163</v>
      </c>
      <c r="N469" t="s">
        <v>215</v>
      </c>
      <c r="O469" t="s">
        <v>323</v>
      </c>
      <c r="P469">
        <v>1.605313926100391E-2</v>
      </c>
      <c r="Q469" t="s">
        <v>163</v>
      </c>
      <c r="S469" t="s">
        <v>246</v>
      </c>
      <c r="T469" t="s">
        <v>323</v>
      </c>
      <c r="U469">
        <v>1.152408644005589E-2</v>
      </c>
      <c r="V469" t="s">
        <v>163</v>
      </c>
    </row>
    <row r="470" spans="9:22" x14ac:dyDescent="0.45">
      <c r="I470" t="s">
        <v>184</v>
      </c>
      <c r="J470" t="s">
        <v>324</v>
      </c>
      <c r="K470">
        <v>2.265976652678697E-2</v>
      </c>
      <c r="L470" t="s">
        <v>163</v>
      </c>
      <c r="N470" t="s">
        <v>215</v>
      </c>
      <c r="O470" t="s">
        <v>324</v>
      </c>
      <c r="P470">
        <v>3.1554099159389108E-2</v>
      </c>
      <c r="Q470" t="s">
        <v>163</v>
      </c>
      <c r="S470" t="s">
        <v>246</v>
      </c>
      <c r="T470" t="s">
        <v>324</v>
      </c>
      <c r="U470">
        <v>2.1562979205875039E-2</v>
      </c>
      <c r="V470" t="s">
        <v>163</v>
      </c>
    </row>
    <row r="471" spans="9:22" x14ac:dyDescent="0.45">
      <c r="I471" t="s">
        <v>184</v>
      </c>
      <c r="J471" t="s">
        <v>325</v>
      </c>
      <c r="K471">
        <v>0</v>
      </c>
      <c r="L471" t="s">
        <v>163</v>
      </c>
      <c r="N471" t="s">
        <v>215</v>
      </c>
      <c r="O471" t="s">
        <v>325</v>
      </c>
      <c r="P471">
        <v>5.8909277930634983E-3</v>
      </c>
      <c r="Q471" t="s">
        <v>163</v>
      </c>
      <c r="S471" t="s">
        <v>246</v>
      </c>
      <c r="T471" t="s">
        <v>325</v>
      </c>
      <c r="U471">
        <v>4.3017582353249038E-3</v>
      </c>
      <c r="V471" t="s">
        <v>163</v>
      </c>
    </row>
    <row r="472" spans="9:22" x14ac:dyDescent="0.45">
      <c r="I472" t="s">
        <v>184</v>
      </c>
      <c r="J472" t="s">
        <v>326</v>
      </c>
      <c r="K472">
        <v>0</v>
      </c>
      <c r="L472" t="s">
        <v>163</v>
      </c>
      <c r="N472" t="s">
        <v>215</v>
      </c>
      <c r="O472" t="s">
        <v>326</v>
      </c>
      <c r="P472">
        <v>2.5736314695728943E-2</v>
      </c>
      <c r="Q472" t="s">
        <v>163</v>
      </c>
      <c r="S472" t="s">
        <v>246</v>
      </c>
      <c r="T472" t="s">
        <v>326</v>
      </c>
      <c r="U472">
        <v>1.9919924591934486E-2</v>
      </c>
      <c r="V472" t="s">
        <v>163</v>
      </c>
    </row>
    <row r="473" spans="9:22" x14ac:dyDescent="0.45">
      <c r="I473" t="s">
        <v>185</v>
      </c>
      <c r="J473" t="s">
        <v>162</v>
      </c>
      <c r="K473">
        <v>1.9008943121936833E-2</v>
      </c>
      <c r="L473" t="s">
        <v>163</v>
      </c>
      <c r="N473" t="s">
        <v>216</v>
      </c>
      <c r="O473" t="s">
        <v>162</v>
      </c>
      <c r="P473">
        <v>0.13422819758685728</v>
      </c>
      <c r="Q473" t="s">
        <v>163</v>
      </c>
      <c r="S473" t="s">
        <v>247</v>
      </c>
      <c r="T473" t="s">
        <v>162</v>
      </c>
      <c r="U473">
        <v>0.12966436888750396</v>
      </c>
      <c r="V473" t="s">
        <v>163</v>
      </c>
    </row>
    <row r="474" spans="9:22" x14ac:dyDescent="0.45">
      <c r="I474" t="s">
        <v>185</v>
      </c>
      <c r="J474" t="s">
        <v>164</v>
      </c>
      <c r="K474">
        <v>5.747854831981028E-2</v>
      </c>
      <c r="L474" t="s">
        <v>163</v>
      </c>
      <c r="N474" t="s">
        <v>216</v>
      </c>
      <c r="O474" t="s">
        <v>164</v>
      </c>
      <c r="P474">
        <v>3.2367607788997117E-2</v>
      </c>
      <c r="Q474" t="s">
        <v>163</v>
      </c>
      <c r="S474" t="s">
        <v>247</v>
      </c>
      <c r="T474" t="s">
        <v>164</v>
      </c>
      <c r="U474">
        <v>2.8192913717515072E-2</v>
      </c>
      <c r="V474" t="s">
        <v>163</v>
      </c>
    </row>
    <row r="475" spans="9:22" x14ac:dyDescent="0.45">
      <c r="I475" t="s">
        <v>185</v>
      </c>
      <c r="J475" t="s">
        <v>165</v>
      </c>
      <c r="K475">
        <v>0.10913224137299735</v>
      </c>
      <c r="L475" t="s">
        <v>163</v>
      </c>
      <c r="N475" t="s">
        <v>216</v>
      </c>
      <c r="O475" t="s">
        <v>165</v>
      </c>
      <c r="P475">
        <v>6.6070345739190892E-2</v>
      </c>
      <c r="Q475" t="s">
        <v>163</v>
      </c>
      <c r="S475" t="s">
        <v>247</v>
      </c>
      <c r="T475" t="s">
        <v>165</v>
      </c>
      <c r="U475">
        <v>4.2700416771504199E-2</v>
      </c>
      <c r="V475" t="s">
        <v>163</v>
      </c>
    </row>
    <row r="476" spans="9:22" x14ac:dyDescent="0.45">
      <c r="I476" t="s">
        <v>185</v>
      </c>
      <c r="J476" t="s">
        <v>297</v>
      </c>
      <c r="K476">
        <v>0.14491679698659252</v>
      </c>
      <c r="L476" t="s">
        <v>163</v>
      </c>
      <c r="N476" t="s">
        <v>216</v>
      </c>
      <c r="O476" t="s">
        <v>297</v>
      </c>
      <c r="P476">
        <v>0.13836185803165399</v>
      </c>
      <c r="Q476" t="s">
        <v>163</v>
      </c>
      <c r="S476" t="s">
        <v>247</v>
      </c>
      <c r="T476" t="s">
        <v>297</v>
      </c>
      <c r="U476">
        <v>8.1671479326058602E-2</v>
      </c>
      <c r="V476" t="s">
        <v>163</v>
      </c>
    </row>
    <row r="477" spans="9:22" x14ac:dyDescent="0.45">
      <c r="I477" t="s">
        <v>185</v>
      </c>
      <c r="J477" t="s">
        <v>298</v>
      </c>
      <c r="K477">
        <v>2.5402944045973103E-3</v>
      </c>
      <c r="L477" t="s">
        <v>163</v>
      </c>
      <c r="N477" t="s">
        <v>216</v>
      </c>
      <c r="O477" t="s">
        <v>298</v>
      </c>
      <c r="P477">
        <v>2.6964884274060109E-2</v>
      </c>
      <c r="Q477" t="s">
        <v>163</v>
      </c>
      <c r="S477" t="s">
        <v>247</v>
      </c>
      <c r="T477" t="s">
        <v>298</v>
      </c>
      <c r="U477">
        <v>1.5652697388560483E-2</v>
      </c>
      <c r="V477" t="s">
        <v>163</v>
      </c>
    </row>
    <row r="478" spans="9:22" x14ac:dyDescent="0.45">
      <c r="I478" t="s">
        <v>185</v>
      </c>
      <c r="J478" t="s">
        <v>299</v>
      </c>
      <c r="K478">
        <v>0</v>
      </c>
      <c r="L478" t="s">
        <v>163</v>
      </c>
      <c r="N478" t="s">
        <v>216</v>
      </c>
      <c r="O478" t="s">
        <v>299</v>
      </c>
      <c r="P478">
        <v>0.10476209837932413</v>
      </c>
      <c r="Q478" t="s">
        <v>163</v>
      </c>
      <c r="S478" t="s">
        <v>247</v>
      </c>
      <c r="T478" t="s">
        <v>299</v>
      </c>
      <c r="U478">
        <v>8.1163501104233315E-2</v>
      </c>
      <c r="V478" t="s">
        <v>163</v>
      </c>
    </row>
    <row r="479" spans="9:22" x14ac:dyDescent="0.45">
      <c r="I479" t="s">
        <v>185</v>
      </c>
      <c r="J479" t="s">
        <v>166</v>
      </c>
      <c r="K479">
        <v>1.0276339552494743E-2</v>
      </c>
      <c r="L479" t="s">
        <v>163</v>
      </c>
      <c r="N479" t="s">
        <v>216</v>
      </c>
      <c r="O479" t="s">
        <v>166</v>
      </c>
      <c r="P479">
        <v>1.7197019710708087E-2</v>
      </c>
      <c r="Q479" t="s">
        <v>163</v>
      </c>
      <c r="S479" t="s">
        <v>247</v>
      </c>
      <c r="T479" t="s">
        <v>166</v>
      </c>
      <c r="U479">
        <v>2.0264274852307116E-2</v>
      </c>
      <c r="V479" t="s">
        <v>163</v>
      </c>
    </row>
    <row r="480" spans="9:22" x14ac:dyDescent="0.45">
      <c r="I480" t="s">
        <v>185</v>
      </c>
      <c r="J480" t="s">
        <v>167</v>
      </c>
      <c r="K480">
        <v>1.8466566225714808E-2</v>
      </c>
      <c r="L480" t="s">
        <v>163</v>
      </c>
      <c r="N480" t="s">
        <v>216</v>
      </c>
      <c r="O480" t="s">
        <v>167</v>
      </c>
      <c r="P480">
        <v>3.9020123158420928E-3</v>
      </c>
      <c r="Q480" t="s">
        <v>163</v>
      </c>
      <c r="S480" t="s">
        <v>247</v>
      </c>
      <c r="T480" t="s">
        <v>167</v>
      </c>
      <c r="U480">
        <v>4.595450738864029E-3</v>
      </c>
      <c r="V480" t="s">
        <v>163</v>
      </c>
    </row>
    <row r="481" spans="9:22" x14ac:dyDescent="0.45">
      <c r="I481" t="s">
        <v>185</v>
      </c>
      <c r="J481" t="s">
        <v>168</v>
      </c>
      <c r="K481">
        <v>3.388720519446789E-2</v>
      </c>
      <c r="L481" t="s">
        <v>163</v>
      </c>
      <c r="N481" t="s">
        <v>216</v>
      </c>
      <c r="O481" t="s">
        <v>168</v>
      </c>
      <c r="P481">
        <v>9.313625785147996E-3</v>
      </c>
      <c r="Q481" t="s">
        <v>163</v>
      </c>
      <c r="S481" t="s">
        <v>247</v>
      </c>
      <c r="T481" t="s">
        <v>168</v>
      </c>
      <c r="U481">
        <v>6.5181053612350954E-3</v>
      </c>
      <c r="V481" t="s">
        <v>163</v>
      </c>
    </row>
    <row r="482" spans="9:22" x14ac:dyDescent="0.45">
      <c r="I482" t="s">
        <v>185</v>
      </c>
      <c r="J482" t="s">
        <v>300</v>
      </c>
      <c r="K482">
        <v>4.5160447637193762E-2</v>
      </c>
      <c r="L482" t="s">
        <v>163</v>
      </c>
      <c r="N482" t="s">
        <v>216</v>
      </c>
      <c r="O482" t="s">
        <v>300</v>
      </c>
      <c r="P482">
        <v>2.565733925727633E-2</v>
      </c>
      <c r="Q482" t="s">
        <v>163</v>
      </c>
      <c r="S482" t="s">
        <v>247</v>
      </c>
      <c r="T482" t="s">
        <v>300</v>
      </c>
      <c r="U482">
        <v>1.1511167629378798E-2</v>
      </c>
      <c r="V482" t="s">
        <v>163</v>
      </c>
    </row>
    <row r="483" spans="9:22" x14ac:dyDescent="0.45">
      <c r="I483" t="s">
        <v>185</v>
      </c>
      <c r="J483" t="s">
        <v>301</v>
      </c>
      <c r="K483">
        <v>2.6910074834801847E-3</v>
      </c>
      <c r="L483" t="s">
        <v>163</v>
      </c>
      <c r="N483" t="s">
        <v>216</v>
      </c>
      <c r="O483" t="s">
        <v>301</v>
      </c>
      <c r="P483">
        <v>5.481395519869316E-3</v>
      </c>
      <c r="Q483" t="s">
        <v>163</v>
      </c>
      <c r="S483" t="s">
        <v>247</v>
      </c>
      <c r="T483" t="s">
        <v>301</v>
      </c>
      <c r="U483">
        <v>2.2851150002766449E-3</v>
      </c>
      <c r="V483" t="s">
        <v>163</v>
      </c>
    </row>
    <row r="484" spans="9:22" x14ac:dyDescent="0.45">
      <c r="I484" t="s">
        <v>185</v>
      </c>
      <c r="J484" t="s">
        <v>302</v>
      </c>
      <c r="K484">
        <v>0</v>
      </c>
      <c r="L484" t="s">
        <v>163</v>
      </c>
      <c r="N484" t="s">
        <v>216</v>
      </c>
      <c r="O484" t="s">
        <v>302</v>
      </c>
      <c r="P484">
        <v>1.5059728002455986E-2</v>
      </c>
      <c r="Q484" t="s">
        <v>163</v>
      </c>
      <c r="S484" t="s">
        <v>247</v>
      </c>
      <c r="T484" t="s">
        <v>302</v>
      </c>
      <c r="U484">
        <v>1.1592808906523085E-2</v>
      </c>
      <c r="V484" t="s">
        <v>163</v>
      </c>
    </row>
    <row r="485" spans="9:22" x14ac:dyDescent="0.45">
      <c r="I485" t="s">
        <v>185</v>
      </c>
      <c r="J485" t="s">
        <v>169</v>
      </c>
      <c r="K485">
        <v>4.5357604071340736E-3</v>
      </c>
      <c r="L485" t="s">
        <v>163</v>
      </c>
      <c r="N485" t="s">
        <v>216</v>
      </c>
      <c r="O485" t="s">
        <v>169</v>
      </c>
      <c r="P485">
        <v>8.5510068066190891E-3</v>
      </c>
      <c r="Q485" t="s">
        <v>163</v>
      </c>
      <c r="S485" t="s">
        <v>247</v>
      </c>
      <c r="T485" t="s">
        <v>169</v>
      </c>
      <c r="U485">
        <v>2.0018661418654264E-2</v>
      </c>
      <c r="V485" t="s">
        <v>163</v>
      </c>
    </row>
    <row r="486" spans="9:22" x14ac:dyDescent="0.45">
      <c r="I486" t="s">
        <v>185</v>
      </c>
      <c r="J486" t="s">
        <v>170</v>
      </c>
      <c r="K486">
        <v>9.8620849637876245E-3</v>
      </c>
      <c r="L486" t="s">
        <v>163</v>
      </c>
      <c r="N486" t="s">
        <v>216</v>
      </c>
      <c r="O486" t="s">
        <v>170</v>
      </c>
      <c r="P486">
        <v>1.7380004013088212E-3</v>
      </c>
      <c r="Q486" t="s">
        <v>163</v>
      </c>
      <c r="S486" t="s">
        <v>247</v>
      </c>
      <c r="T486" t="s">
        <v>170</v>
      </c>
      <c r="U486">
        <v>4.6424437053172165E-3</v>
      </c>
      <c r="V486" t="s">
        <v>163</v>
      </c>
    </row>
    <row r="487" spans="9:22" x14ac:dyDescent="0.45">
      <c r="I487" t="s">
        <v>185</v>
      </c>
      <c r="J487" t="s">
        <v>171</v>
      </c>
      <c r="K487">
        <v>2.0365269165193805E-2</v>
      </c>
      <c r="L487" t="s">
        <v>163</v>
      </c>
      <c r="N487" t="s">
        <v>216</v>
      </c>
      <c r="O487" t="s">
        <v>171</v>
      </c>
      <c r="P487">
        <v>3.5352019213127691E-3</v>
      </c>
      <c r="Q487" t="s">
        <v>163</v>
      </c>
      <c r="S487" t="s">
        <v>247</v>
      </c>
      <c r="T487" t="s">
        <v>171</v>
      </c>
      <c r="U487">
        <v>6.6919895719905129E-3</v>
      </c>
      <c r="V487" t="s">
        <v>163</v>
      </c>
    </row>
    <row r="488" spans="9:22" x14ac:dyDescent="0.45">
      <c r="I488" t="s">
        <v>185</v>
      </c>
      <c r="J488" t="s">
        <v>303</v>
      </c>
      <c r="K488">
        <v>2.5643882734592335E-2</v>
      </c>
      <c r="L488" t="s">
        <v>163</v>
      </c>
      <c r="N488" t="s">
        <v>216</v>
      </c>
      <c r="O488" t="s">
        <v>303</v>
      </c>
      <c r="P488">
        <v>9.9782914048944099E-3</v>
      </c>
      <c r="Q488" t="s">
        <v>163</v>
      </c>
      <c r="S488" t="s">
        <v>247</v>
      </c>
      <c r="T488" t="s">
        <v>303</v>
      </c>
      <c r="U488">
        <v>1.1226308249707495E-2</v>
      </c>
      <c r="V488" t="s">
        <v>163</v>
      </c>
    </row>
    <row r="489" spans="9:22" x14ac:dyDescent="0.45">
      <c r="I489" t="s">
        <v>185</v>
      </c>
      <c r="J489" t="s">
        <v>304</v>
      </c>
      <c r="K489">
        <v>1.3630896758834725E-3</v>
      </c>
      <c r="L489" t="s">
        <v>163</v>
      </c>
      <c r="N489" t="s">
        <v>216</v>
      </c>
      <c r="O489" t="s">
        <v>304</v>
      </c>
      <c r="P489">
        <v>2.4697918976721933E-3</v>
      </c>
      <c r="Q489" t="s">
        <v>163</v>
      </c>
      <c r="S489" t="s">
        <v>247</v>
      </c>
      <c r="T489" t="s">
        <v>304</v>
      </c>
      <c r="U489">
        <v>2.1498437751404993E-3</v>
      </c>
      <c r="V489" t="s">
        <v>163</v>
      </c>
    </row>
    <row r="490" spans="9:22" x14ac:dyDescent="0.45">
      <c r="I490" t="s">
        <v>185</v>
      </c>
      <c r="J490" t="s">
        <v>305</v>
      </c>
      <c r="K490">
        <v>0</v>
      </c>
      <c r="L490" t="s">
        <v>163</v>
      </c>
      <c r="N490" t="s">
        <v>216</v>
      </c>
      <c r="O490" t="s">
        <v>305</v>
      </c>
      <c r="P490">
        <v>9.0494314155322893E-3</v>
      </c>
      <c r="Q490" t="s">
        <v>163</v>
      </c>
      <c r="S490" t="s">
        <v>247</v>
      </c>
      <c r="T490" t="s">
        <v>305</v>
      </c>
      <c r="U490">
        <v>1.163768846079612E-2</v>
      </c>
      <c r="V490" t="s">
        <v>163</v>
      </c>
    </row>
    <row r="491" spans="9:22" x14ac:dyDescent="0.45">
      <c r="I491" t="s">
        <v>185</v>
      </c>
      <c r="J491" t="s">
        <v>172</v>
      </c>
      <c r="K491">
        <v>1.4554003933556573E-2</v>
      </c>
      <c r="L491" t="s">
        <v>163</v>
      </c>
      <c r="N491" t="s">
        <v>216</v>
      </c>
      <c r="O491" t="s">
        <v>172</v>
      </c>
      <c r="P491">
        <v>1.5956501797539924E-2</v>
      </c>
      <c r="Q491" t="s">
        <v>163</v>
      </c>
      <c r="S491" t="s">
        <v>247</v>
      </c>
      <c r="T491" t="s">
        <v>172</v>
      </c>
      <c r="U491">
        <v>5.410868860116682E-2</v>
      </c>
      <c r="V491" t="s">
        <v>163</v>
      </c>
    </row>
    <row r="492" spans="9:22" x14ac:dyDescent="0.45">
      <c r="I492" t="s">
        <v>185</v>
      </c>
      <c r="J492" t="s">
        <v>173</v>
      </c>
      <c r="K492">
        <v>3.1840935894190535E-2</v>
      </c>
      <c r="L492" t="s">
        <v>163</v>
      </c>
      <c r="N492" t="s">
        <v>216</v>
      </c>
      <c r="O492" t="s">
        <v>173</v>
      </c>
      <c r="P492">
        <v>2.4042587827877862E-3</v>
      </c>
      <c r="Q492" t="s">
        <v>163</v>
      </c>
      <c r="S492" t="s">
        <v>247</v>
      </c>
      <c r="T492" t="s">
        <v>173</v>
      </c>
      <c r="U492">
        <v>1.0306392326162976E-2</v>
      </c>
      <c r="V492" t="s">
        <v>163</v>
      </c>
    </row>
    <row r="493" spans="9:22" x14ac:dyDescent="0.45">
      <c r="I493" t="s">
        <v>185</v>
      </c>
      <c r="J493" t="s">
        <v>174</v>
      </c>
      <c r="K493">
        <v>6.2445122924767359E-2</v>
      </c>
      <c r="L493" t="s">
        <v>163</v>
      </c>
      <c r="N493" t="s">
        <v>216</v>
      </c>
      <c r="O493" t="s">
        <v>174</v>
      </c>
      <c r="P493">
        <v>5.8490515037591178E-3</v>
      </c>
      <c r="Q493" t="s">
        <v>163</v>
      </c>
      <c r="S493" t="s">
        <v>247</v>
      </c>
      <c r="T493" t="s">
        <v>174</v>
      </c>
      <c r="U493">
        <v>1.5110518479281762E-2</v>
      </c>
      <c r="V493" t="s">
        <v>163</v>
      </c>
    </row>
    <row r="494" spans="9:22" x14ac:dyDescent="0.45">
      <c r="I494" t="s">
        <v>185</v>
      </c>
      <c r="J494" t="s">
        <v>306</v>
      </c>
      <c r="K494">
        <v>8.2403166602223216E-2</v>
      </c>
      <c r="L494" t="s">
        <v>163</v>
      </c>
      <c r="N494" t="s">
        <v>216</v>
      </c>
      <c r="O494" t="s">
        <v>306</v>
      </c>
      <c r="P494">
        <v>1.7823594438276576E-2</v>
      </c>
      <c r="Q494" t="s">
        <v>163</v>
      </c>
      <c r="S494" t="s">
        <v>247</v>
      </c>
      <c r="T494" t="s">
        <v>306</v>
      </c>
      <c r="U494">
        <v>2.5239364178258165E-2</v>
      </c>
      <c r="V494" t="s">
        <v>163</v>
      </c>
    </row>
    <row r="495" spans="9:22" x14ac:dyDescent="0.45">
      <c r="I495" t="s">
        <v>185</v>
      </c>
      <c r="J495" t="s">
        <v>307</v>
      </c>
      <c r="K495">
        <v>4.8600251588233013E-3</v>
      </c>
      <c r="L495" t="s">
        <v>163</v>
      </c>
      <c r="N495" t="s">
        <v>216</v>
      </c>
      <c r="O495" t="s">
        <v>307</v>
      </c>
      <c r="P495">
        <v>4.6155708737261091E-3</v>
      </c>
      <c r="Q495" t="s">
        <v>163</v>
      </c>
      <c r="S495" t="s">
        <v>247</v>
      </c>
      <c r="T495" t="s">
        <v>307</v>
      </c>
      <c r="U495">
        <v>4.4512566476749898E-3</v>
      </c>
      <c r="V495" t="s">
        <v>163</v>
      </c>
    </row>
    <row r="496" spans="9:22" x14ac:dyDescent="0.45">
      <c r="I496" t="s">
        <v>185</v>
      </c>
      <c r="J496" t="s">
        <v>308</v>
      </c>
      <c r="K496">
        <v>0</v>
      </c>
      <c r="L496" t="s">
        <v>163</v>
      </c>
      <c r="N496" t="s">
        <v>216</v>
      </c>
      <c r="O496" t="s">
        <v>308</v>
      </c>
      <c r="P496">
        <v>1.9096270262573371E-2</v>
      </c>
      <c r="Q496" t="s">
        <v>163</v>
      </c>
      <c r="S496" t="s">
        <v>247</v>
      </c>
      <c r="T496" t="s">
        <v>308</v>
      </c>
      <c r="U496">
        <v>2.7821668210127121E-2</v>
      </c>
      <c r="V496" t="s">
        <v>163</v>
      </c>
    </row>
    <row r="497" spans="9:22" x14ac:dyDescent="0.45">
      <c r="I497" t="s">
        <v>185</v>
      </c>
      <c r="J497" t="s">
        <v>309</v>
      </c>
      <c r="K497">
        <v>7.6475253315914154E-3</v>
      </c>
      <c r="L497" t="s">
        <v>163</v>
      </c>
      <c r="N497" t="s">
        <v>216</v>
      </c>
      <c r="O497" t="s">
        <v>309</v>
      </c>
      <c r="P497">
        <v>1.8272326485099587E-2</v>
      </c>
      <c r="Q497" t="s">
        <v>163</v>
      </c>
      <c r="S497" t="s">
        <v>247</v>
      </c>
      <c r="T497" t="s">
        <v>309</v>
      </c>
      <c r="U497">
        <v>2.0109690105597017E-2</v>
      </c>
      <c r="V497" t="s">
        <v>163</v>
      </c>
    </row>
    <row r="498" spans="9:22" x14ac:dyDescent="0.45">
      <c r="I498" t="s">
        <v>185</v>
      </c>
      <c r="J498" t="s">
        <v>310</v>
      </c>
      <c r="K498">
        <v>1.6941187598015404E-2</v>
      </c>
      <c r="L498" t="s">
        <v>163</v>
      </c>
      <c r="N498" t="s">
        <v>216</v>
      </c>
      <c r="O498" t="s">
        <v>310</v>
      </c>
      <c r="P498">
        <v>4.0663219016307366E-3</v>
      </c>
      <c r="Q498" t="s">
        <v>163</v>
      </c>
      <c r="S498" t="s">
        <v>247</v>
      </c>
      <c r="T498" t="s">
        <v>310</v>
      </c>
      <c r="U498">
        <v>4.8267098056236704E-3</v>
      </c>
      <c r="V498" t="s">
        <v>163</v>
      </c>
    </row>
    <row r="499" spans="9:22" x14ac:dyDescent="0.45">
      <c r="I499" t="s">
        <v>185</v>
      </c>
      <c r="J499" t="s">
        <v>311</v>
      </c>
      <c r="K499">
        <v>2.9315185509142725E-2</v>
      </c>
      <c r="L499" t="s">
        <v>163</v>
      </c>
      <c r="N499" t="s">
        <v>216</v>
      </c>
      <c r="O499" t="s">
        <v>311</v>
      </c>
      <c r="P499">
        <v>7.9250177164166113E-3</v>
      </c>
      <c r="Q499" t="s">
        <v>163</v>
      </c>
      <c r="S499" t="s">
        <v>247</v>
      </c>
      <c r="T499" t="s">
        <v>311</v>
      </c>
      <c r="U499">
        <v>7.0409237002972518E-3</v>
      </c>
      <c r="V499" t="s">
        <v>163</v>
      </c>
    </row>
    <row r="500" spans="9:22" x14ac:dyDescent="0.45">
      <c r="I500" t="s">
        <v>185</v>
      </c>
      <c r="J500" t="s">
        <v>312</v>
      </c>
      <c r="K500">
        <v>3.7970457338536656E-2</v>
      </c>
      <c r="L500" t="s">
        <v>163</v>
      </c>
      <c r="N500" t="s">
        <v>216</v>
      </c>
      <c r="O500" t="s">
        <v>312</v>
      </c>
      <c r="P500">
        <v>1.6630462837552786E-2</v>
      </c>
      <c r="Q500" t="s">
        <v>163</v>
      </c>
      <c r="S500" t="s">
        <v>247</v>
      </c>
      <c r="T500" t="s">
        <v>312</v>
      </c>
      <c r="U500">
        <v>1.180674885484255E-2</v>
      </c>
      <c r="V500" t="s">
        <v>163</v>
      </c>
    </row>
    <row r="501" spans="9:22" x14ac:dyDescent="0.45">
      <c r="I501" t="s">
        <v>185</v>
      </c>
      <c r="J501" t="s">
        <v>313</v>
      </c>
      <c r="K501">
        <v>1.6301883910261564E-4</v>
      </c>
      <c r="L501" t="s">
        <v>163</v>
      </c>
      <c r="N501" t="s">
        <v>216</v>
      </c>
      <c r="O501" t="s">
        <v>313</v>
      </c>
      <c r="P501">
        <v>3.8081894760138685E-3</v>
      </c>
      <c r="Q501" t="s">
        <v>163</v>
      </c>
      <c r="S501" t="s">
        <v>247</v>
      </c>
      <c r="T501" t="s">
        <v>313</v>
      </c>
      <c r="U501">
        <v>2.425386682152387E-3</v>
      </c>
      <c r="V501" t="s">
        <v>163</v>
      </c>
    </row>
    <row r="502" spans="9:22" x14ac:dyDescent="0.45">
      <c r="I502" t="s">
        <v>185</v>
      </c>
      <c r="J502" t="s">
        <v>314</v>
      </c>
      <c r="K502">
        <v>0</v>
      </c>
      <c r="L502" t="s">
        <v>163</v>
      </c>
      <c r="N502" t="s">
        <v>216</v>
      </c>
      <c r="O502" t="s">
        <v>314</v>
      </c>
      <c r="P502">
        <v>1.2204123931328444E-2</v>
      </c>
      <c r="Q502" t="s">
        <v>163</v>
      </c>
      <c r="S502" t="s">
        <v>247</v>
      </c>
      <c r="T502" t="s">
        <v>314</v>
      </c>
      <c r="U502">
        <v>1.2591602459143168E-2</v>
      </c>
      <c r="V502" t="s">
        <v>163</v>
      </c>
    </row>
    <row r="503" spans="9:22" x14ac:dyDescent="0.45">
      <c r="I503" t="s">
        <v>185</v>
      </c>
      <c r="J503" t="s">
        <v>315</v>
      </c>
      <c r="K503">
        <v>8.5250312817489685E-3</v>
      </c>
      <c r="L503" t="s">
        <v>163</v>
      </c>
      <c r="N503" t="s">
        <v>216</v>
      </c>
      <c r="O503" t="s">
        <v>315</v>
      </c>
      <c r="P503">
        <v>4.8277707287581961E-2</v>
      </c>
      <c r="Q503" t="s">
        <v>163</v>
      </c>
      <c r="S503" t="s">
        <v>247</v>
      </c>
      <c r="T503" t="s">
        <v>315</v>
      </c>
      <c r="U503">
        <v>6.8436433104864969E-2</v>
      </c>
      <c r="V503" t="s">
        <v>163</v>
      </c>
    </row>
    <row r="504" spans="9:22" x14ac:dyDescent="0.45">
      <c r="I504" t="s">
        <v>185</v>
      </c>
      <c r="J504" t="s">
        <v>316</v>
      </c>
      <c r="K504">
        <v>2.9499489873062425E-2</v>
      </c>
      <c r="L504" t="s">
        <v>163</v>
      </c>
      <c r="N504" t="s">
        <v>216</v>
      </c>
      <c r="O504" t="s">
        <v>316</v>
      </c>
      <c r="P504">
        <v>1.0159999243864175E-2</v>
      </c>
      <c r="Q504" t="s">
        <v>163</v>
      </c>
      <c r="S504" t="s">
        <v>247</v>
      </c>
      <c r="T504" t="s">
        <v>316</v>
      </c>
      <c r="U504">
        <v>1.6951091053344917E-2</v>
      </c>
      <c r="V504" t="s">
        <v>163</v>
      </c>
    </row>
    <row r="505" spans="9:22" x14ac:dyDescent="0.45">
      <c r="I505" t="s">
        <v>185</v>
      </c>
      <c r="J505" t="s">
        <v>317</v>
      </c>
      <c r="K505">
        <v>5.215604884549286E-2</v>
      </c>
      <c r="L505" t="s">
        <v>163</v>
      </c>
      <c r="N505" t="s">
        <v>216</v>
      </c>
      <c r="O505" t="s">
        <v>317</v>
      </c>
      <c r="P505">
        <v>1.8553805338393296E-2</v>
      </c>
      <c r="Q505" t="s">
        <v>163</v>
      </c>
      <c r="S505" t="s">
        <v>247</v>
      </c>
      <c r="T505" t="s">
        <v>317</v>
      </c>
      <c r="U505">
        <v>2.4368939792123595E-2</v>
      </c>
      <c r="V505" t="s">
        <v>163</v>
      </c>
    </row>
    <row r="506" spans="9:22" x14ac:dyDescent="0.45">
      <c r="I506" t="s">
        <v>185</v>
      </c>
      <c r="J506" t="s">
        <v>318</v>
      </c>
      <c r="K506">
        <v>5.6688250737373623E-2</v>
      </c>
      <c r="L506" t="s">
        <v>163</v>
      </c>
      <c r="N506" t="s">
        <v>216</v>
      </c>
      <c r="O506" t="s">
        <v>318</v>
      </c>
      <c r="P506">
        <v>3.7004021905003487E-2</v>
      </c>
      <c r="Q506" t="s">
        <v>163</v>
      </c>
      <c r="S506" t="s">
        <v>247</v>
      </c>
      <c r="T506" t="s">
        <v>318</v>
      </c>
      <c r="U506">
        <v>4.2255561060296272E-2</v>
      </c>
      <c r="V506" t="s">
        <v>163</v>
      </c>
    </row>
    <row r="507" spans="9:22" x14ac:dyDescent="0.45">
      <c r="I507" t="s">
        <v>185</v>
      </c>
      <c r="J507" t="s">
        <v>319</v>
      </c>
      <c r="K507">
        <v>0</v>
      </c>
      <c r="L507" t="s">
        <v>163</v>
      </c>
      <c r="N507" t="s">
        <v>216</v>
      </c>
      <c r="O507" t="s">
        <v>319</v>
      </c>
      <c r="P507">
        <v>9.2707057355509662E-3</v>
      </c>
      <c r="Q507" t="s">
        <v>163</v>
      </c>
      <c r="S507" t="s">
        <v>247</v>
      </c>
      <c r="T507" t="s">
        <v>319</v>
      </c>
      <c r="U507">
        <v>8.3739908406605095E-3</v>
      </c>
      <c r="V507" t="s">
        <v>163</v>
      </c>
    </row>
    <row r="508" spans="9:22" x14ac:dyDescent="0.45">
      <c r="I508" t="s">
        <v>185</v>
      </c>
      <c r="J508" t="s">
        <v>320</v>
      </c>
      <c r="K508">
        <v>0</v>
      </c>
      <c r="L508" t="s">
        <v>163</v>
      </c>
      <c r="N508" t="s">
        <v>216</v>
      </c>
      <c r="O508" t="s">
        <v>320</v>
      </c>
      <c r="P508">
        <v>3.9008821782568322E-2</v>
      </c>
      <c r="Q508" t="s">
        <v>163</v>
      </c>
      <c r="S508" t="s">
        <v>247</v>
      </c>
      <c r="T508" t="s">
        <v>320</v>
      </c>
      <c r="U508">
        <v>4.2188417622354965E-2</v>
      </c>
      <c r="V508" t="s">
        <v>163</v>
      </c>
    </row>
    <row r="509" spans="9:22" x14ac:dyDescent="0.45">
      <c r="I509" t="s">
        <v>185</v>
      </c>
      <c r="J509" t="s">
        <v>321</v>
      </c>
      <c r="K509">
        <v>2.4349224426910118E-3</v>
      </c>
      <c r="L509" t="s">
        <v>163</v>
      </c>
      <c r="N509" t="s">
        <v>216</v>
      </c>
      <c r="O509" t="s">
        <v>321</v>
      </c>
      <c r="P509">
        <v>3.0128878593687337E-2</v>
      </c>
      <c r="Q509" t="s">
        <v>163</v>
      </c>
      <c r="S509" t="s">
        <v>247</v>
      </c>
      <c r="T509" t="s">
        <v>321</v>
      </c>
      <c r="U509">
        <v>3.6881534800229328E-2</v>
      </c>
      <c r="V509" t="s">
        <v>163</v>
      </c>
    </row>
    <row r="510" spans="9:22" x14ac:dyDescent="0.45">
      <c r="I510" t="s">
        <v>185</v>
      </c>
      <c r="J510" t="s">
        <v>322</v>
      </c>
      <c r="K510">
        <v>1.1390853642867798E-2</v>
      </c>
      <c r="L510" t="s">
        <v>163</v>
      </c>
      <c r="N510" t="s">
        <v>216</v>
      </c>
      <c r="O510" t="s">
        <v>322</v>
      </c>
      <c r="P510">
        <v>5.5390982918464464E-3</v>
      </c>
      <c r="Q510" t="s">
        <v>163</v>
      </c>
      <c r="S510" t="s">
        <v>247</v>
      </c>
      <c r="T510" t="s">
        <v>322</v>
      </c>
      <c r="U510">
        <v>9.0717553392567988E-3</v>
      </c>
      <c r="V510" t="s">
        <v>163</v>
      </c>
    </row>
    <row r="511" spans="9:22" x14ac:dyDescent="0.45">
      <c r="I511" t="s">
        <v>185</v>
      </c>
      <c r="J511" t="s">
        <v>323</v>
      </c>
      <c r="K511">
        <v>2.1909858200326086E-2</v>
      </c>
      <c r="L511" t="s">
        <v>163</v>
      </c>
      <c r="N511" t="s">
        <v>216</v>
      </c>
      <c r="O511" t="s">
        <v>323</v>
      </c>
      <c r="P511">
        <v>1.0172163563954338E-2</v>
      </c>
      <c r="Q511" t="s">
        <v>163</v>
      </c>
      <c r="S511" t="s">
        <v>247</v>
      </c>
      <c r="T511" t="s">
        <v>323</v>
      </c>
      <c r="U511">
        <v>1.3240035092683247E-2</v>
      </c>
      <c r="V511" t="s">
        <v>163</v>
      </c>
    </row>
    <row r="512" spans="9:22" x14ac:dyDescent="0.45">
      <c r="I512" t="s">
        <v>185</v>
      </c>
      <c r="J512" t="s">
        <v>324</v>
      </c>
      <c r="K512">
        <v>2.3926438600609667E-2</v>
      </c>
      <c r="L512" t="s">
        <v>163</v>
      </c>
      <c r="N512" t="s">
        <v>216</v>
      </c>
      <c r="O512" t="s">
        <v>324</v>
      </c>
      <c r="P512">
        <v>2.128504950757491E-2</v>
      </c>
      <c r="Q512" t="s">
        <v>163</v>
      </c>
      <c r="S512" t="s">
        <v>247</v>
      </c>
      <c r="T512" t="s">
        <v>324</v>
      </c>
      <c r="U512">
        <v>2.3297473822506427E-2</v>
      </c>
      <c r="V512" t="s">
        <v>163</v>
      </c>
    </row>
    <row r="513" spans="9:22" x14ac:dyDescent="0.45">
      <c r="I513" t="s">
        <v>185</v>
      </c>
      <c r="J513" t="s">
        <v>325</v>
      </c>
      <c r="K513">
        <v>0</v>
      </c>
      <c r="L513" t="s">
        <v>163</v>
      </c>
      <c r="N513" t="s">
        <v>216</v>
      </c>
      <c r="O513" t="s">
        <v>325</v>
      </c>
      <c r="P513">
        <v>4.632515718033677E-3</v>
      </c>
      <c r="Q513" t="s">
        <v>163</v>
      </c>
      <c r="S513" t="s">
        <v>247</v>
      </c>
      <c r="T513" t="s">
        <v>325</v>
      </c>
      <c r="U513">
        <v>4.5661139217297439E-3</v>
      </c>
      <c r="V513" t="s">
        <v>163</v>
      </c>
    </row>
    <row r="514" spans="9:22" x14ac:dyDescent="0.45">
      <c r="I514" t="s">
        <v>185</v>
      </c>
      <c r="J514" t="s">
        <v>326</v>
      </c>
      <c r="K514">
        <v>0</v>
      </c>
      <c r="L514" t="s">
        <v>163</v>
      </c>
      <c r="N514" t="s">
        <v>216</v>
      </c>
      <c r="O514" t="s">
        <v>326</v>
      </c>
      <c r="P514">
        <v>2.2627706786511721E-2</v>
      </c>
      <c r="Q514" t="s">
        <v>163</v>
      </c>
      <c r="S514" t="s">
        <v>247</v>
      </c>
      <c r="T514" t="s">
        <v>326</v>
      </c>
      <c r="U514">
        <v>2.2350468634055591E-2</v>
      </c>
      <c r="V514" t="s">
        <v>163</v>
      </c>
    </row>
    <row r="515" spans="9:22" x14ac:dyDescent="0.45">
      <c r="I515" t="s">
        <v>186</v>
      </c>
      <c r="J515" t="s">
        <v>162</v>
      </c>
      <c r="K515">
        <v>1.0407303697160362E-2</v>
      </c>
      <c r="L515" t="s">
        <v>163</v>
      </c>
      <c r="N515" t="s">
        <v>217</v>
      </c>
      <c r="O515" t="s">
        <v>162</v>
      </c>
      <c r="P515">
        <v>0.14305797129193562</v>
      </c>
      <c r="Q515" t="s">
        <v>163</v>
      </c>
      <c r="S515" t="s">
        <v>248</v>
      </c>
      <c r="T515" t="s">
        <v>162</v>
      </c>
      <c r="U515">
        <v>0.1275371814561248</v>
      </c>
      <c r="V515" t="s">
        <v>163</v>
      </c>
    </row>
    <row r="516" spans="9:22" x14ac:dyDescent="0.45">
      <c r="I516" t="s">
        <v>186</v>
      </c>
      <c r="J516" t="s">
        <v>164</v>
      </c>
      <c r="K516">
        <v>5.5794381836472673E-2</v>
      </c>
      <c r="L516" t="s">
        <v>163</v>
      </c>
      <c r="N516" t="s">
        <v>217</v>
      </c>
      <c r="O516" t="s">
        <v>164</v>
      </c>
      <c r="P516">
        <v>3.2105657663743091E-2</v>
      </c>
      <c r="Q516" t="s">
        <v>163</v>
      </c>
      <c r="S516" t="s">
        <v>248</v>
      </c>
      <c r="T516" t="s">
        <v>164</v>
      </c>
      <c r="U516">
        <v>2.4375020294792847E-2</v>
      </c>
      <c r="V516" t="s">
        <v>163</v>
      </c>
    </row>
    <row r="517" spans="9:22" x14ac:dyDescent="0.45">
      <c r="I517" t="s">
        <v>186</v>
      </c>
      <c r="J517" t="s">
        <v>165</v>
      </c>
      <c r="K517">
        <v>0.11523936091957498</v>
      </c>
      <c r="L517" t="s">
        <v>163</v>
      </c>
      <c r="N517" t="s">
        <v>217</v>
      </c>
      <c r="O517" t="s">
        <v>165</v>
      </c>
      <c r="P517">
        <v>4.5884776781411285E-2</v>
      </c>
      <c r="Q517" t="s">
        <v>163</v>
      </c>
      <c r="S517" t="s">
        <v>248</v>
      </c>
      <c r="T517" t="s">
        <v>165</v>
      </c>
      <c r="U517">
        <v>4.0007816776516665E-2</v>
      </c>
      <c r="V517" t="s">
        <v>163</v>
      </c>
    </row>
    <row r="518" spans="9:22" x14ac:dyDescent="0.45">
      <c r="I518" t="s">
        <v>186</v>
      </c>
      <c r="J518" t="s">
        <v>297</v>
      </c>
      <c r="K518">
        <v>0.1621318792062314</v>
      </c>
      <c r="L518" t="s">
        <v>163</v>
      </c>
      <c r="N518" t="s">
        <v>217</v>
      </c>
      <c r="O518" t="s">
        <v>297</v>
      </c>
      <c r="P518">
        <v>8.4583804873317472E-2</v>
      </c>
      <c r="Q518" t="s">
        <v>163</v>
      </c>
      <c r="S518" t="s">
        <v>248</v>
      </c>
      <c r="T518" t="s">
        <v>297</v>
      </c>
      <c r="U518">
        <v>7.9691236625656359E-2</v>
      </c>
      <c r="V518" t="s">
        <v>163</v>
      </c>
    </row>
    <row r="519" spans="9:22" x14ac:dyDescent="0.45">
      <c r="I519" t="s">
        <v>186</v>
      </c>
      <c r="J519" t="s">
        <v>298</v>
      </c>
      <c r="K519">
        <v>8.2152920946870506E-3</v>
      </c>
      <c r="L519" t="s">
        <v>163</v>
      </c>
      <c r="N519" t="s">
        <v>217</v>
      </c>
      <c r="O519" t="s">
        <v>298</v>
      </c>
      <c r="P519">
        <v>1.9076899013166185E-2</v>
      </c>
      <c r="Q519" t="s">
        <v>163</v>
      </c>
      <c r="S519" t="s">
        <v>248</v>
      </c>
      <c r="T519" t="s">
        <v>298</v>
      </c>
      <c r="U519">
        <v>1.3965148177937595E-2</v>
      </c>
      <c r="V519" t="s">
        <v>163</v>
      </c>
    </row>
    <row r="520" spans="9:22" x14ac:dyDescent="0.45">
      <c r="I520" t="s">
        <v>186</v>
      </c>
      <c r="J520" t="s">
        <v>299</v>
      </c>
      <c r="K520">
        <v>0</v>
      </c>
      <c r="L520" t="s">
        <v>163</v>
      </c>
      <c r="N520" t="s">
        <v>217</v>
      </c>
      <c r="O520" t="s">
        <v>299</v>
      </c>
      <c r="P520">
        <v>8.9540507883498752E-2</v>
      </c>
      <c r="Q520" t="s">
        <v>163</v>
      </c>
      <c r="S520" t="s">
        <v>248</v>
      </c>
      <c r="T520" t="s">
        <v>299</v>
      </c>
      <c r="U520">
        <v>7.4925731635600804E-2</v>
      </c>
      <c r="V520" t="s">
        <v>163</v>
      </c>
    </row>
    <row r="521" spans="9:22" x14ac:dyDescent="0.45">
      <c r="I521" t="s">
        <v>186</v>
      </c>
      <c r="J521" t="s">
        <v>166</v>
      </c>
      <c r="K521">
        <v>8.5980541133161247E-3</v>
      </c>
      <c r="L521" t="s">
        <v>163</v>
      </c>
      <c r="N521" t="s">
        <v>217</v>
      </c>
      <c r="O521" t="s">
        <v>166</v>
      </c>
      <c r="P521">
        <v>2.2579726119517352E-2</v>
      </c>
      <c r="Q521" t="s">
        <v>163</v>
      </c>
      <c r="S521" t="s">
        <v>248</v>
      </c>
      <c r="T521" t="s">
        <v>166</v>
      </c>
      <c r="U521">
        <v>2.1457806771071685E-2</v>
      </c>
      <c r="V521" t="s">
        <v>163</v>
      </c>
    </row>
    <row r="522" spans="9:22" x14ac:dyDescent="0.45">
      <c r="I522" t="s">
        <v>186</v>
      </c>
      <c r="J522" t="s">
        <v>167</v>
      </c>
      <c r="K522">
        <v>1.8079934790562E-2</v>
      </c>
      <c r="L522" t="s">
        <v>163</v>
      </c>
      <c r="N522" t="s">
        <v>217</v>
      </c>
      <c r="O522" t="s">
        <v>167</v>
      </c>
      <c r="P522">
        <v>3.9743671672638377E-3</v>
      </c>
      <c r="Q522" t="s">
        <v>163</v>
      </c>
      <c r="S522" t="s">
        <v>248</v>
      </c>
      <c r="T522" t="s">
        <v>167</v>
      </c>
      <c r="U522">
        <v>5.4322398165754047E-3</v>
      </c>
      <c r="V522" t="s">
        <v>163</v>
      </c>
    </row>
    <row r="523" spans="9:22" x14ac:dyDescent="0.45">
      <c r="I523" t="s">
        <v>186</v>
      </c>
      <c r="J523" t="s">
        <v>168</v>
      </c>
      <c r="K523">
        <v>3.3306070449079753E-2</v>
      </c>
      <c r="L523" t="s">
        <v>163</v>
      </c>
      <c r="N523" t="s">
        <v>217</v>
      </c>
      <c r="O523" t="s">
        <v>168</v>
      </c>
      <c r="P523">
        <v>7.6087836732935633E-3</v>
      </c>
      <c r="Q523" t="s">
        <v>163</v>
      </c>
      <c r="S523" t="s">
        <v>248</v>
      </c>
      <c r="T523" t="s">
        <v>168</v>
      </c>
      <c r="U523">
        <v>8.3010274005118137E-3</v>
      </c>
      <c r="V523" t="s">
        <v>163</v>
      </c>
    </row>
    <row r="524" spans="9:22" x14ac:dyDescent="0.45">
      <c r="I524" t="s">
        <v>186</v>
      </c>
      <c r="J524" t="s">
        <v>300</v>
      </c>
      <c r="K524">
        <v>4.6334221530729358E-2</v>
      </c>
      <c r="L524" t="s">
        <v>163</v>
      </c>
      <c r="N524" t="s">
        <v>217</v>
      </c>
      <c r="O524" t="s">
        <v>300</v>
      </c>
      <c r="P524">
        <v>1.8727137358780805E-2</v>
      </c>
      <c r="Q524" t="s">
        <v>163</v>
      </c>
      <c r="S524" t="s">
        <v>248</v>
      </c>
      <c r="T524" t="s">
        <v>300</v>
      </c>
      <c r="U524">
        <v>1.621230847110738E-2</v>
      </c>
      <c r="V524" t="s">
        <v>163</v>
      </c>
    </row>
    <row r="525" spans="9:22" x14ac:dyDescent="0.45">
      <c r="I525" t="s">
        <v>186</v>
      </c>
      <c r="J525" t="s">
        <v>301</v>
      </c>
      <c r="K525">
        <v>4.3050245133101723E-3</v>
      </c>
      <c r="L525" t="s">
        <v>163</v>
      </c>
      <c r="N525" t="s">
        <v>217</v>
      </c>
      <c r="O525" t="s">
        <v>301</v>
      </c>
      <c r="P525">
        <v>4.3931357577654097E-3</v>
      </c>
      <c r="Q525" t="s">
        <v>163</v>
      </c>
      <c r="S525" t="s">
        <v>248</v>
      </c>
      <c r="T525" t="s">
        <v>301</v>
      </c>
      <c r="U525">
        <v>2.765200834601746E-3</v>
      </c>
      <c r="V525" t="s">
        <v>163</v>
      </c>
    </row>
    <row r="526" spans="9:22" x14ac:dyDescent="0.45">
      <c r="I526" t="s">
        <v>186</v>
      </c>
      <c r="J526" t="s">
        <v>302</v>
      </c>
      <c r="K526">
        <v>1.5029345817961404E-3</v>
      </c>
      <c r="L526" t="s">
        <v>163</v>
      </c>
      <c r="N526" t="s">
        <v>217</v>
      </c>
      <c r="O526" t="s">
        <v>302</v>
      </c>
      <c r="P526">
        <v>1.7463247537524797E-2</v>
      </c>
      <c r="Q526" t="s">
        <v>163</v>
      </c>
      <c r="S526" t="s">
        <v>248</v>
      </c>
      <c r="T526" t="s">
        <v>302</v>
      </c>
      <c r="U526">
        <v>1.3819511792281147E-2</v>
      </c>
      <c r="V526" t="s">
        <v>163</v>
      </c>
    </row>
    <row r="527" spans="9:22" x14ac:dyDescent="0.45">
      <c r="I527" t="s">
        <v>186</v>
      </c>
      <c r="J527" t="s">
        <v>169</v>
      </c>
      <c r="K527">
        <v>4.0588954278162875E-3</v>
      </c>
      <c r="L527" t="s">
        <v>163</v>
      </c>
      <c r="N527" t="s">
        <v>217</v>
      </c>
      <c r="O527" t="s">
        <v>169</v>
      </c>
      <c r="P527">
        <v>1.8061290554531411E-2</v>
      </c>
      <c r="Q527" t="s">
        <v>163</v>
      </c>
      <c r="S527" t="s">
        <v>248</v>
      </c>
      <c r="T527" t="s">
        <v>169</v>
      </c>
      <c r="U527">
        <v>1.5329852899976326E-2</v>
      </c>
      <c r="V527" t="s">
        <v>163</v>
      </c>
    </row>
    <row r="528" spans="9:22" x14ac:dyDescent="0.45">
      <c r="I528" t="s">
        <v>186</v>
      </c>
      <c r="J528" t="s">
        <v>170</v>
      </c>
      <c r="K528">
        <v>1.0789057858034237E-2</v>
      </c>
      <c r="L528" t="s">
        <v>163</v>
      </c>
      <c r="N528" t="s">
        <v>217</v>
      </c>
      <c r="O528" t="s">
        <v>170</v>
      </c>
      <c r="P528">
        <v>3.7682678117021483E-3</v>
      </c>
      <c r="Q528" t="s">
        <v>163</v>
      </c>
      <c r="S528" t="s">
        <v>248</v>
      </c>
      <c r="T528" t="s">
        <v>170</v>
      </c>
      <c r="U528">
        <v>3.660764195889525E-3</v>
      </c>
      <c r="V528" t="s">
        <v>163</v>
      </c>
    </row>
    <row r="529" spans="9:22" x14ac:dyDescent="0.45">
      <c r="I529" t="s">
        <v>186</v>
      </c>
      <c r="J529" t="s">
        <v>171</v>
      </c>
      <c r="K529">
        <v>2.3267708665849172E-2</v>
      </c>
      <c r="L529" t="s">
        <v>163</v>
      </c>
      <c r="N529" t="s">
        <v>217</v>
      </c>
      <c r="O529" t="s">
        <v>171</v>
      </c>
      <c r="P529">
        <v>5.9811601597245532E-3</v>
      </c>
      <c r="Q529" t="s">
        <v>163</v>
      </c>
      <c r="S529" t="s">
        <v>248</v>
      </c>
      <c r="T529" t="s">
        <v>171</v>
      </c>
      <c r="U529">
        <v>6.5947007107094047E-3</v>
      </c>
      <c r="V529" t="s">
        <v>163</v>
      </c>
    </row>
    <row r="530" spans="9:22" x14ac:dyDescent="0.45">
      <c r="I530" t="s">
        <v>186</v>
      </c>
      <c r="J530" t="s">
        <v>303</v>
      </c>
      <c r="K530">
        <v>2.980194171874322E-2</v>
      </c>
      <c r="L530" t="s">
        <v>163</v>
      </c>
      <c r="N530" t="s">
        <v>217</v>
      </c>
      <c r="O530" t="s">
        <v>303</v>
      </c>
      <c r="P530">
        <v>1.2701791722013109E-2</v>
      </c>
      <c r="Q530" t="s">
        <v>163</v>
      </c>
      <c r="S530" t="s">
        <v>248</v>
      </c>
      <c r="T530" t="s">
        <v>303</v>
      </c>
      <c r="U530">
        <v>1.352240364006633E-2</v>
      </c>
      <c r="V530" t="s">
        <v>163</v>
      </c>
    </row>
    <row r="531" spans="9:22" x14ac:dyDescent="0.45">
      <c r="I531" t="s">
        <v>186</v>
      </c>
      <c r="J531" t="s">
        <v>304</v>
      </c>
      <c r="K531">
        <v>2.4302395251781443E-3</v>
      </c>
      <c r="L531" t="s">
        <v>163</v>
      </c>
      <c r="N531" t="s">
        <v>217</v>
      </c>
      <c r="O531" t="s">
        <v>304</v>
      </c>
      <c r="P531">
        <v>2.9342495658456445E-3</v>
      </c>
      <c r="Q531" t="s">
        <v>163</v>
      </c>
      <c r="S531" t="s">
        <v>248</v>
      </c>
      <c r="T531" t="s">
        <v>304</v>
      </c>
      <c r="U531">
        <v>1.746570231625342E-3</v>
      </c>
      <c r="V531" t="s">
        <v>163</v>
      </c>
    </row>
    <row r="532" spans="9:22" x14ac:dyDescent="0.45">
      <c r="I532" t="s">
        <v>186</v>
      </c>
      <c r="J532" t="s">
        <v>305</v>
      </c>
      <c r="K532">
        <v>1.0089174035759407E-3</v>
      </c>
      <c r="L532" t="s">
        <v>163</v>
      </c>
      <c r="N532" t="s">
        <v>217</v>
      </c>
      <c r="O532" t="s">
        <v>305</v>
      </c>
      <c r="P532">
        <v>1.3308622035630964E-2</v>
      </c>
      <c r="Q532" t="s">
        <v>163</v>
      </c>
      <c r="S532" t="s">
        <v>248</v>
      </c>
      <c r="T532" t="s">
        <v>305</v>
      </c>
      <c r="U532">
        <v>9.1374988595518264E-3</v>
      </c>
      <c r="V532" t="s">
        <v>163</v>
      </c>
    </row>
    <row r="533" spans="9:22" x14ac:dyDescent="0.45">
      <c r="I533" t="s">
        <v>186</v>
      </c>
      <c r="J533" t="s">
        <v>172</v>
      </c>
      <c r="K533">
        <v>1.0841375142284188E-2</v>
      </c>
      <c r="L533" t="s">
        <v>163</v>
      </c>
      <c r="N533" t="s">
        <v>217</v>
      </c>
      <c r="O533" t="s">
        <v>172</v>
      </c>
      <c r="P533">
        <v>3.4808886236554516E-2</v>
      </c>
      <c r="Q533" t="s">
        <v>163</v>
      </c>
      <c r="S533" t="s">
        <v>248</v>
      </c>
      <c r="T533" t="s">
        <v>172</v>
      </c>
      <c r="U533">
        <v>5.3597366582209302E-2</v>
      </c>
      <c r="V533" t="s">
        <v>163</v>
      </c>
    </row>
    <row r="534" spans="9:22" x14ac:dyDescent="0.45">
      <c r="I534" t="s">
        <v>186</v>
      </c>
      <c r="J534" t="s">
        <v>173</v>
      </c>
      <c r="K534">
        <v>2.7788602584550803E-2</v>
      </c>
      <c r="L534" t="s">
        <v>163</v>
      </c>
      <c r="N534" t="s">
        <v>217</v>
      </c>
      <c r="O534" t="s">
        <v>173</v>
      </c>
      <c r="P534">
        <v>6.6061279193271386E-3</v>
      </c>
      <c r="Q534" t="s">
        <v>163</v>
      </c>
      <c r="S534" t="s">
        <v>248</v>
      </c>
      <c r="T534" t="s">
        <v>173</v>
      </c>
      <c r="U534">
        <v>9.8536105205290925E-3</v>
      </c>
      <c r="V534" t="s">
        <v>163</v>
      </c>
    </row>
    <row r="535" spans="9:22" x14ac:dyDescent="0.45">
      <c r="I535" t="s">
        <v>186</v>
      </c>
      <c r="J535" t="s">
        <v>174</v>
      </c>
      <c r="K535">
        <v>5.6129233817155733E-2</v>
      </c>
      <c r="L535" t="s">
        <v>163</v>
      </c>
      <c r="N535" t="s">
        <v>217</v>
      </c>
      <c r="O535" t="s">
        <v>174</v>
      </c>
      <c r="P535">
        <v>1.0529002284106527E-2</v>
      </c>
      <c r="Q535" t="s">
        <v>163</v>
      </c>
      <c r="S535" t="s">
        <v>248</v>
      </c>
      <c r="T535" t="s">
        <v>174</v>
      </c>
      <c r="U535">
        <v>1.5668798164941152E-2</v>
      </c>
      <c r="V535" t="s">
        <v>163</v>
      </c>
    </row>
    <row r="536" spans="9:22" x14ac:dyDescent="0.45">
      <c r="I536" t="s">
        <v>186</v>
      </c>
      <c r="J536" t="s">
        <v>306</v>
      </c>
      <c r="K536">
        <v>8.0880263891843246E-2</v>
      </c>
      <c r="L536" t="s">
        <v>163</v>
      </c>
      <c r="N536" t="s">
        <v>217</v>
      </c>
      <c r="O536" t="s">
        <v>306</v>
      </c>
      <c r="P536">
        <v>2.5782862098286195E-2</v>
      </c>
      <c r="Q536" t="s">
        <v>163</v>
      </c>
      <c r="S536" t="s">
        <v>248</v>
      </c>
      <c r="T536" t="s">
        <v>306</v>
      </c>
      <c r="U536">
        <v>3.0559863200454927E-2</v>
      </c>
      <c r="V536" t="s">
        <v>163</v>
      </c>
    </row>
    <row r="537" spans="9:22" x14ac:dyDescent="0.45">
      <c r="I537" t="s">
        <v>186</v>
      </c>
      <c r="J537" t="s">
        <v>307</v>
      </c>
      <c r="K537">
        <v>7.6707157079558318E-3</v>
      </c>
      <c r="L537" t="s">
        <v>163</v>
      </c>
      <c r="N537" t="s">
        <v>217</v>
      </c>
      <c r="O537" t="s">
        <v>307</v>
      </c>
      <c r="P537">
        <v>6.1947986615518893E-3</v>
      </c>
      <c r="Q537" t="s">
        <v>163</v>
      </c>
      <c r="S537" t="s">
        <v>248</v>
      </c>
      <c r="T537" t="s">
        <v>307</v>
      </c>
      <c r="U537">
        <v>4.8085477304056802E-3</v>
      </c>
      <c r="V537" t="s">
        <v>163</v>
      </c>
    </row>
    <row r="538" spans="9:22" x14ac:dyDescent="0.45">
      <c r="I538" t="s">
        <v>186</v>
      </c>
      <c r="J538" t="s">
        <v>308</v>
      </c>
      <c r="K538">
        <v>2.8670610567322345E-3</v>
      </c>
      <c r="L538" t="s">
        <v>163</v>
      </c>
      <c r="N538" t="s">
        <v>217</v>
      </c>
      <c r="O538" t="s">
        <v>308</v>
      </c>
      <c r="P538">
        <v>2.7813831572628425E-2</v>
      </c>
      <c r="Q538" t="s">
        <v>163</v>
      </c>
      <c r="S538" t="s">
        <v>248</v>
      </c>
      <c r="T538" t="s">
        <v>308</v>
      </c>
      <c r="U538">
        <v>2.8257652592919399E-2</v>
      </c>
      <c r="V538" t="s">
        <v>163</v>
      </c>
    </row>
    <row r="539" spans="9:22" x14ac:dyDescent="0.45">
      <c r="I539" t="s">
        <v>186</v>
      </c>
      <c r="J539" t="s">
        <v>309</v>
      </c>
      <c r="K539">
        <v>3.2341436982774867E-3</v>
      </c>
      <c r="L539" t="s">
        <v>163</v>
      </c>
      <c r="N539" t="s">
        <v>217</v>
      </c>
      <c r="O539" t="s">
        <v>309</v>
      </c>
      <c r="P539">
        <v>2.4076327154975086E-2</v>
      </c>
      <c r="Q539" t="s">
        <v>163</v>
      </c>
      <c r="S539" t="s">
        <v>248</v>
      </c>
      <c r="T539" t="s">
        <v>309</v>
      </c>
      <c r="U539">
        <v>2.1075907137230804E-2</v>
      </c>
      <c r="V539" t="s">
        <v>163</v>
      </c>
    </row>
    <row r="540" spans="9:22" x14ac:dyDescent="0.45">
      <c r="I540" t="s">
        <v>186</v>
      </c>
      <c r="J540" t="s">
        <v>310</v>
      </c>
      <c r="K540">
        <v>1.3156698373138362E-2</v>
      </c>
      <c r="L540" t="s">
        <v>163</v>
      </c>
      <c r="N540" t="s">
        <v>217</v>
      </c>
      <c r="O540" t="s">
        <v>310</v>
      </c>
      <c r="P540">
        <v>4.9590542788918853E-3</v>
      </c>
      <c r="Q540" t="s">
        <v>163</v>
      </c>
      <c r="S540" t="s">
        <v>248</v>
      </c>
      <c r="T540" t="s">
        <v>310</v>
      </c>
      <c r="U540">
        <v>4.4164182921362883E-3</v>
      </c>
      <c r="V540" t="s">
        <v>163</v>
      </c>
    </row>
    <row r="541" spans="9:22" x14ac:dyDescent="0.45">
      <c r="I541" t="s">
        <v>186</v>
      </c>
      <c r="J541" t="s">
        <v>311</v>
      </c>
      <c r="K541">
        <v>2.6055947555378319E-2</v>
      </c>
      <c r="L541" t="s">
        <v>163</v>
      </c>
      <c r="N541" t="s">
        <v>217</v>
      </c>
      <c r="O541" t="s">
        <v>311</v>
      </c>
      <c r="P541">
        <v>8.2256495059071007E-3</v>
      </c>
      <c r="Q541" t="s">
        <v>163</v>
      </c>
      <c r="S541" t="s">
        <v>248</v>
      </c>
      <c r="T541" t="s">
        <v>311</v>
      </c>
      <c r="U541">
        <v>6.2873159083451351E-3</v>
      </c>
      <c r="V541" t="s">
        <v>163</v>
      </c>
    </row>
    <row r="542" spans="9:22" x14ac:dyDescent="0.45">
      <c r="I542" t="s">
        <v>186</v>
      </c>
      <c r="J542" t="s">
        <v>312</v>
      </c>
      <c r="K542">
        <v>3.7332094842125713E-2</v>
      </c>
      <c r="L542" t="s">
        <v>163</v>
      </c>
      <c r="N542" t="s">
        <v>217</v>
      </c>
      <c r="O542" t="s">
        <v>312</v>
      </c>
      <c r="P542">
        <v>1.5672467200801479E-2</v>
      </c>
      <c r="Q542" t="s">
        <v>163</v>
      </c>
      <c r="S542" t="s">
        <v>248</v>
      </c>
      <c r="T542" t="s">
        <v>312</v>
      </c>
      <c r="U542">
        <v>1.4788339797790619E-2</v>
      </c>
      <c r="V542" t="s">
        <v>163</v>
      </c>
    </row>
    <row r="543" spans="9:22" x14ac:dyDescent="0.45">
      <c r="I543" t="s">
        <v>186</v>
      </c>
      <c r="J543" t="s">
        <v>313</v>
      </c>
      <c r="K543">
        <v>2.5294570756497687E-3</v>
      </c>
      <c r="L543" t="s">
        <v>163</v>
      </c>
      <c r="N543" t="s">
        <v>217</v>
      </c>
      <c r="O543" t="s">
        <v>313</v>
      </c>
      <c r="P543">
        <v>3.5709907547048208E-3</v>
      </c>
      <c r="Q543" t="s">
        <v>163</v>
      </c>
      <c r="S543" t="s">
        <v>248</v>
      </c>
      <c r="T543" t="s">
        <v>313</v>
      </c>
      <c r="U543">
        <v>3.0626270630629195E-3</v>
      </c>
      <c r="V543" t="s">
        <v>163</v>
      </c>
    </row>
    <row r="544" spans="9:22" x14ac:dyDescent="0.45">
      <c r="I544" t="s">
        <v>186</v>
      </c>
      <c r="J544" t="s">
        <v>314</v>
      </c>
      <c r="K544">
        <v>0</v>
      </c>
      <c r="L544" t="s">
        <v>163</v>
      </c>
      <c r="N544" t="s">
        <v>217</v>
      </c>
      <c r="O544" t="s">
        <v>314</v>
      </c>
      <c r="P544">
        <v>1.5854419762340127E-2</v>
      </c>
      <c r="Q544" t="s">
        <v>163</v>
      </c>
      <c r="S544" t="s">
        <v>248</v>
      </c>
      <c r="T544" t="s">
        <v>314</v>
      </c>
      <c r="U544">
        <v>1.5702830907158238E-2</v>
      </c>
      <c r="V544" t="s">
        <v>163</v>
      </c>
    </row>
    <row r="545" spans="9:22" x14ac:dyDescent="0.45">
      <c r="I545" t="s">
        <v>186</v>
      </c>
      <c r="J545" t="s">
        <v>315</v>
      </c>
      <c r="K545">
        <v>3.4920809167025332E-3</v>
      </c>
      <c r="L545" t="s">
        <v>163</v>
      </c>
      <c r="N545" t="s">
        <v>217</v>
      </c>
      <c r="O545" t="s">
        <v>315</v>
      </c>
      <c r="P545">
        <v>6.2365886322117176E-2</v>
      </c>
      <c r="Q545" t="s">
        <v>163</v>
      </c>
      <c r="S545" t="s">
        <v>248</v>
      </c>
      <c r="T545" t="s">
        <v>315</v>
      </c>
      <c r="U545">
        <v>6.5926912365923393E-2</v>
      </c>
      <c r="V545" t="s">
        <v>163</v>
      </c>
    </row>
    <row r="546" spans="9:22" x14ac:dyDescent="0.45">
      <c r="I546" t="s">
        <v>186</v>
      </c>
      <c r="J546" t="s">
        <v>316</v>
      </c>
      <c r="K546">
        <v>2.2827587995052433E-2</v>
      </c>
      <c r="L546" t="s">
        <v>163</v>
      </c>
      <c r="N546" t="s">
        <v>217</v>
      </c>
      <c r="O546" t="s">
        <v>316</v>
      </c>
      <c r="P546">
        <v>1.2855949053179666E-2</v>
      </c>
      <c r="Q546" t="s">
        <v>163</v>
      </c>
      <c r="S546" t="s">
        <v>248</v>
      </c>
      <c r="T546" t="s">
        <v>316</v>
      </c>
      <c r="U546">
        <v>1.4504575584724257E-2</v>
      </c>
      <c r="V546" t="s">
        <v>163</v>
      </c>
    </row>
    <row r="547" spans="9:22" x14ac:dyDescent="0.45">
      <c r="I547" t="s">
        <v>186</v>
      </c>
      <c r="J547" t="s">
        <v>317</v>
      </c>
      <c r="K547">
        <v>4.5821910992371422E-2</v>
      </c>
      <c r="L547" t="s">
        <v>163</v>
      </c>
      <c r="N547" t="s">
        <v>217</v>
      </c>
      <c r="O547" t="s">
        <v>317</v>
      </c>
      <c r="P547">
        <v>2.0760381075656045E-2</v>
      </c>
      <c r="Q547" t="s">
        <v>163</v>
      </c>
      <c r="S547" t="s">
        <v>248</v>
      </c>
      <c r="T547" t="s">
        <v>317</v>
      </c>
      <c r="U547">
        <v>2.3134070881263145E-2</v>
      </c>
      <c r="V547" t="s">
        <v>163</v>
      </c>
    </row>
    <row r="548" spans="9:22" x14ac:dyDescent="0.45">
      <c r="I548" t="s">
        <v>186</v>
      </c>
      <c r="J548" t="s">
        <v>318</v>
      </c>
      <c r="K548">
        <v>5.9288450710806247E-2</v>
      </c>
      <c r="L548" t="s">
        <v>163</v>
      </c>
      <c r="N548" t="s">
        <v>217</v>
      </c>
      <c r="O548" t="s">
        <v>318</v>
      </c>
      <c r="P548">
        <v>3.8834359444034461E-2</v>
      </c>
      <c r="Q548" t="s">
        <v>163</v>
      </c>
      <c r="S548" t="s">
        <v>248</v>
      </c>
      <c r="T548" t="s">
        <v>318</v>
      </c>
      <c r="U548">
        <v>4.355603839076206E-2</v>
      </c>
      <c r="V548" t="s">
        <v>163</v>
      </c>
    </row>
    <row r="549" spans="9:22" x14ac:dyDescent="0.45">
      <c r="I549" t="s">
        <v>186</v>
      </c>
      <c r="J549" t="s">
        <v>319</v>
      </c>
      <c r="K549">
        <v>0</v>
      </c>
      <c r="L549" t="s">
        <v>163</v>
      </c>
      <c r="N549" t="s">
        <v>217</v>
      </c>
      <c r="O549" t="s">
        <v>319</v>
      </c>
      <c r="P549">
        <v>8.5875218282183436E-3</v>
      </c>
      <c r="Q549" t="s">
        <v>163</v>
      </c>
      <c r="S549" t="s">
        <v>248</v>
      </c>
      <c r="T549" t="s">
        <v>319</v>
      </c>
      <c r="U549">
        <v>8.3183567470004639E-3</v>
      </c>
      <c r="V549" t="s">
        <v>163</v>
      </c>
    </row>
    <row r="550" spans="9:22" x14ac:dyDescent="0.45">
      <c r="I550" t="s">
        <v>186</v>
      </c>
      <c r="J550" t="s">
        <v>320</v>
      </c>
      <c r="K550">
        <v>0</v>
      </c>
      <c r="L550" t="s">
        <v>163</v>
      </c>
      <c r="N550" t="s">
        <v>217</v>
      </c>
      <c r="O550" t="s">
        <v>320</v>
      </c>
      <c r="P550">
        <v>3.8584503432535562E-2</v>
      </c>
      <c r="Q550" t="s">
        <v>163</v>
      </c>
      <c r="S550" t="s">
        <v>248</v>
      </c>
      <c r="T550" t="s">
        <v>320</v>
      </c>
      <c r="U550">
        <v>4.2188262212276562E-2</v>
      </c>
      <c r="V550" t="s">
        <v>163</v>
      </c>
    </row>
    <row r="551" spans="9:22" x14ac:dyDescent="0.45">
      <c r="I551" t="s">
        <v>186</v>
      </c>
      <c r="J551" t="s">
        <v>321</v>
      </c>
      <c r="K551">
        <v>0</v>
      </c>
      <c r="L551" t="s">
        <v>163</v>
      </c>
      <c r="N551" t="s">
        <v>217</v>
      </c>
      <c r="O551" t="s">
        <v>321</v>
      </c>
      <c r="P551">
        <v>3.1518682196648933E-2</v>
      </c>
      <c r="Q551" t="s">
        <v>163</v>
      </c>
      <c r="S551" t="s">
        <v>248</v>
      </c>
      <c r="T551" t="s">
        <v>321</v>
      </c>
      <c r="U551">
        <v>4.0605499677444971E-2</v>
      </c>
      <c r="V551" t="s">
        <v>163</v>
      </c>
    </row>
    <row r="552" spans="9:22" x14ac:dyDescent="0.45">
      <c r="I552" t="s">
        <v>186</v>
      </c>
      <c r="J552" t="s">
        <v>322</v>
      </c>
      <c r="K552">
        <v>1.1070876614811003E-2</v>
      </c>
      <c r="L552" t="s">
        <v>163</v>
      </c>
      <c r="N552" t="s">
        <v>217</v>
      </c>
      <c r="O552" t="s">
        <v>322</v>
      </c>
      <c r="P552">
        <v>6.8452505346035756E-3</v>
      </c>
      <c r="Q552" t="s">
        <v>163</v>
      </c>
      <c r="S552" t="s">
        <v>248</v>
      </c>
      <c r="T552" t="s">
        <v>322</v>
      </c>
      <c r="U552">
        <v>8.8543973346961926E-3</v>
      </c>
      <c r="V552" t="s">
        <v>163</v>
      </c>
    </row>
    <row r="553" spans="9:22" x14ac:dyDescent="0.45">
      <c r="I553" t="s">
        <v>186</v>
      </c>
      <c r="J553" t="s">
        <v>323</v>
      </c>
      <c r="K553">
        <v>2.4205607942123855E-2</v>
      </c>
      <c r="L553" t="s">
        <v>163</v>
      </c>
      <c r="N553" t="s">
        <v>217</v>
      </c>
      <c r="O553" t="s">
        <v>323</v>
      </c>
      <c r="P553">
        <v>9.5062022644505761E-3</v>
      </c>
      <c r="Q553" t="s">
        <v>163</v>
      </c>
      <c r="S553" t="s">
        <v>248</v>
      </c>
      <c r="T553" t="s">
        <v>323</v>
      </c>
      <c r="U553">
        <v>1.4081982207192676E-2</v>
      </c>
      <c r="V553" t="s">
        <v>163</v>
      </c>
    </row>
    <row r="554" spans="9:22" x14ac:dyDescent="0.45">
      <c r="I554" t="s">
        <v>186</v>
      </c>
      <c r="J554" t="s">
        <v>324</v>
      </c>
      <c r="K554">
        <v>2.9536672750924028E-2</v>
      </c>
      <c r="L554" t="s">
        <v>163</v>
      </c>
      <c r="N554" t="s">
        <v>217</v>
      </c>
      <c r="O554" t="s">
        <v>324</v>
      </c>
      <c r="P554">
        <v>1.6149493089566688E-2</v>
      </c>
      <c r="Q554" t="s">
        <v>163</v>
      </c>
      <c r="S554" t="s">
        <v>248</v>
      </c>
      <c r="T554" t="s">
        <v>324</v>
      </c>
      <c r="U554">
        <v>2.4172542277499407E-2</v>
      </c>
      <c r="V554" t="s">
        <v>163</v>
      </c>
    </row>
    <row r="555" spans="9:22" x14ac:dyDescent="0.45">
      <c r="I555" t="s">
        <v>186</v>
      </c>
      <c r="J555" t="s">
        <v>325</v>
      </c>
      <c r="K555">
        <v>0</v>
      </c>
      <c r="L555" t="s">
        <v>163</v>
      </c>
      <c r="N555" t="s">
        <v>217</v>
      </c>
      <c r="O555" t="s">
        <v>325</v>
      </c>
      <c r="P555">
        <v>3.9017717260864944E-3</v>
      </c>
      <c r="Q555" t="s">
        <v>163</v>
      </c>
      <c r="S555" t="s">
        <v>248</v>
      </c>
      <c r="T555" t="s">
        <v>325</v>
      </c>
      <c r="U555">
        <v>4.5650525694719574E-3</v>
      </c>
      <c r="V555" t="s">
        <v>163</v>
      </c>
    </row>
    <row r="556" spans="9:22" x14ac:dyDescent="0.45">
      <c r="I556" t="s">
        <v>186</v>
      </c>
      <c r="J556" t="s">
        <v>326</v>
      </c>
      <c r="K556">
        <v>0</v>
      </c>
      <c r="L556" t="s">
        <v>163</v>
      </c>
      <c r="N556" t="s">
        <v>217</v>
      </c>
      <c r="O556" t="s">
        <v>326</v>
      </c>
      <c r="P556">
        <v>2.0244184632158244E-2</v>
      </c>
      <c r="Q556" t="s">
        <v>163</v>
      </c>
      <c r="S556" t="s">
        <v>248</v>
      </c>
      <c r="T556" t="s">
        <v>326</v>
      </c>
      <c r="U556">
        <v>2.3531011263965632E-2</v>
      </c>
      <c r="V556" t="s">
        <v>163</v>
      </c>
    </row>
    <row r="557" spans="9:22" x14ac:dyDescent="0.45">
      <c r="I557" t="s">
        <v>187</v>
      </c>
      <c r="J557" t="s">
        <v>162</v>
      </c>
      <c r="K557">
        <v>8.3394225374488484E-3</v>
      </c>
      <c r="L557" t="s">
        <v>163</v>
      </c>
      <c r="N557" t="s">
        <v>218</v>
      </c>
      <c r="O557" t="s">
        <v>162</v>
      </c>
      <c r="P557">
        <v>0.10688388177133781</v>
      </c>
      <c r="Q557" t="s">
        <v>163</v>
      </c>
      <c r="S557" t="s">
        <v>249</v>
      </c>
      <c r="T557" t="s">
        <v>162</v>
      </c>
      <c r="U557">
        <v>0.12471399378138595</v>
      </c>
      <c r="V557" t="s">
        <v>163</v>
      </c>
    </row>
    <row r="558" spans="9:22" x14ac:dyDescent="0.45">
      <c r="I558" t="s">
        <v>187</v>
      </c>
      <c r="J558" t="s">
        <v>164</v>
      </c>
      <c r="K558">
        <v>5.2097155396557418E-2</v>
      </c>
      <c r="L558" t="s">
        <v>163</v>
      </c>
      <c r="N558" t="s">
        <v>218</v>
      </c>
      <c r="O558" t="s">
        <v>164</v>
      </c>
      <c r="P558">
        <v>2.7150747918260772E-2</v>
      </c>
      <c r="Q558" t="s">
        <v>163</v>
      </c>
      <c r="S558" t="s">
        <v>249</v>
      </c>
      <c r="T558" t="s">
        <v>164</v>
      </c>
      <c r="U558">
        <v>2.6326550422650287E-2</v>
      </c>
      <c r="V558" t="s">
        <v>163</v>
      </c>
    </row>
    <row r="559" spans="9:22" x14ac:dyDescent="0.45">
      <c r="I559" t="s">
        <v>187</v>
      </c>
      <c r="J559" t="s">
        <v>165</v>
      </c>
      <c r="K559">
        <v>0.11259010440690356</v>
      </c>
      <c r="L559" t="s">
        <v>163</v>
      </c>
      <c r="N559" t="s">
        <v>218</v>
      </c>
      <c r="O559" t="s">
        <v>165</v>
      </c>
      <c r="P559">
        <v>6.9774900320798333E-2</v>
      </c>
      <c r="Q559" t="s">
        <v>163</v>
      </c>
      <c r="S559" t="s">
        <v>249</v>
      </c>
      <c r="T559" t="s">
        <v>165</v>
      </c>
      <c r="U559">
        <v>3.9693915544831461E-2</v>
      </c>
      <c r="V559" t="s">
        <v>163</v>
      </c>
    </row>
    <row r="560" spans="9:22" x14ac:dyDescent="0.45">
      <c r="I560" t="s">
        <v>187</v>
      </c>
      <c r="J560" t="s">
        <v>297</v>
      </c>
      <c r="K560">
        <v>0.15671128625125946</v>
      </c>
      <c r="L560" t="s">
        <v>163</v>
      </c>
      <c r="N560" t="s">
        <v>218</v>
      </c>
      <c r="O560" t="s">
        <v>297</v>
      </c>
      <c r="P560">
        <v>0.14865241185433894</v>
      </c>
      <c r="Q560" t="s">
        <v>163</v>
      </c>
      <c r="S560" t="s">
        <v>249</v>
      </c>
      <c r="T560" t="s">
        <v>297</v>
      </c>
      <c r="U560">
        <v>7.6573067643629575E-2</v>
      </c>
      <c r="V560" t="s">
        <v>163</v>
      </c>
    </row>
    <row r="561" spans="9:22" x14ac:dyDescent="0.45">
      <c r="I561" t="s">
        <v>187</v>
      </c>
      <c r="J561" t="s">
        <v>298</v>
      </c>
      <c r="K561">
        <v>9.3347276236835745E-3</v>
      </c>
      <c r="L561" t="s">
        <v>163</v>
      </c>
      <c r="N561" t="s">
        <v>218</v>
      </c>
      <c r="O561" t="s">
        <v>298</v>
      </c>
      <c r="P561">
        <v>2.3696675538411097E-2</v>
      </c>
      <c r="Q561" t="s">
        <v>163</v>
      </c>
      <c r="S561" t="s">
        <v>249</v>
      </c>
      <c r="T561" t="s">
        <v>298</v>
      </c>
      <c r="U561">
        <v>1.4429731572830694E-2</v>
      </c>
      <c r="V561" t="s">
        <v>163</v>
      </c>
    </row>
    <row r="562" spans="9:22" x14ac:dyDescent="0.45">
      <c r="I562" t="s">
        <v>187</v>
      </c>
      <c r="J562" t="s">
        <v>299</v>
      </c>
      <c r="K562">
        <v>2.0752642919650774E-4</v>
      </c>
      <c r="L562" t="s">
        <v>163</v>
      </c>
      <c r="N562" t="s">
        <v>218</v>
      </c>
      <c r="O562" t="s">
        <v>299</v>
      </c>
      <c r="P562">
        <v>8.4645504834276741E-2</v>
      </c>
      <c r="Q562" t="s">
        <v>163</v>
      </c>
      <c r="S562" t="s">
        <v>249</v>
      </c>
      <c r="T562" t="s">
        <v>299</v>
      </c>
      <c r="U562">
        <v>7.81443895988954E-2</v>
      </c>
      <c r="V562" t="s">
        <v>163</v>
      </c>
    </row>
    <row r="563" spans="9:22" x14ac:dyDescent="0.45">
      <c r="I563" t="s">
        <v>187</v>
      </c>
      <c r="J563" t="s">
        <v>166</v>
      </c>
      <c r="K563">
        <v>7.0109663628340054E-3</v>
      </c>
      <c r="L563" t="s">
        <v>163</v>
      </c>
      <c r="N563" t="s">
        <v>218</v>
      </c>
      <c r="O563" t="s">
        <v>166</v>
      </c>
      <c r="P563">
        <v>5.0572389737845239E-3</v>
      </c>
      <c r="Q563" t="s">
        <v>163</v>
      </c>
      <c r="S563" t="s">
        <v>249</v>
      </c>
      <c r="T563" t="s">
        <v>166</v>
      </c>
      <c r="U563">
        <v>2.2060124278614847E-2</v>
      </c>
      <c r="V563" t="s">
        <v>163</v>
      </c>
    </row>
    <row r="564" spans="9:22" x14ac:dyDescent="0.45">
      <c r="I564" t="s">
        <v>187</v>
      </c>
      <c r="J564" t="s">
        <v>167</v>
      </c>
      <c r="K564">
        <v>1.6612121361626743E-2</v>
      </c>
      <c r="L564" t="s">
        <v>163</v>
      </c>
      <c r="N564" t="s">
        <v>218</v>
      </c>
      <c r="O564" t="s">
        <v>167</v>
      </c>
      <c r="P564">
        <v>1.2182725266614569E-3</v>
      </c>
      <c r="Q564" t="s">
        <v>163</v>
      </c>
      <c r="S564" t="s">
        <v>249</v>
      </c>
      <c r="T564" t="s">
        <v>167</v>
      </c>
      <c r="U564">
        <v>5.0836733647859692E-3</v>
      </c>
      <c r="V564" t="s">
        <v>163</v>
      </c>
    </row>
    <row r="565" spans="9:22" x14ac:dyDescent="0.45">
      <c r="I565" t="s">
        <v>187</v>
      </c>
      <c r="J565" t="s">
        <v>168</v>
      </c>
      <c r="K565">
        <v>3.2793374204904274E-2</v>
      </c>
      <c r="L565" t="s">
        <v>163</v>
      </c>
      <c r="N565" t="s">
        <v>218</v>
      </c>
      <c r="O565" t="s">
        <v>168</v>
      </c>
      <c r="P565">
        <v>6.3827781395229422E-3</v>
      </c>
      <c r="Q565" t="s">
        <v>163</v>
      </c>
      <c r="S565" t="s">
        <v>249</v>
      </c>
      <c r="T565" t="s">
        <v>168</v>
      </c>
      <c r="U565">
        <v>7.0654124346641043E-3</v>
      </c>
      <c r="V565" t="s">
        <v>163</v>
      </c>
    </row>
    <row r="566" spans="9:22" x14ac:dyDescent="0.45">
      <c r="I566" t="s">
        <v>187</v>
      </c>
      <c r="J566" t="s">
        <v>300</v>
      </c>
      <c r="K566">
        <v>4.6698329064179485E-2</v>
      </c>
      <c r="L566" t="s">
        <v>163</v>
      </c>
      <c r="N566" t="s">
        <v>218</v>
      </c>
      <c r="O566" t="s">
        <v>300</v>
      </c>
      <c r="P566">
        <v>2.0955622528901961E-2</v>
      </c>
      <c r="Q566" t="s">
        <v>163</v>
      </c>
      <c r="S566" t="s">
        <v>249</v>
      </c>
      <c r="T566" t="s">
        <v>300</v>
      </c>
      <c r="U566">
        <v>1.1871893555450874E-2</v>
      </c>
      <c r="V566" t="s">
        <v>163</v>
      </c>
    </row>
    <row r="567" spans="9:22" x14ac:dyDescent="0.45">
      <c r="I567" t="s">
        <v>187</v>
      </c>
      <c r="J567" t="s">
        <v>301</v>
      </c>
      <c r="K567">
        <v>4.4471521662878266E-3</v>
      </c>
      <c r="L567" t="s">
        <v>163</v>
      </c>
      <c r="N567" t="s">
        <v>218</v>
      </c>
      <c r="O567" t="s">
        <v>301</v>
      </c>
      <c r="P567">
        <v>3.3602071826690895E-3</v>
      </c>
      <c r="Q567" t="s">
        <v>163</v>
      </c>
      <c r="S567" t="s">
        <v>249</v>
      </c>
      <c r="T567" t="s">
        <v>301</v>
      </c>
      <c r="U567">
        <v>2.3146025781188889E-3</v>
      </c>
      <c r="V567" t="s">
        <v>163</v>
      </c>
    </row>
    <row r="568" spans="9:22" x14ac:dyDescent="0.45">
      <c r="I568" t="s">
        <v>187</v>
      </c>
      <c r="J568" t="s">
        <v>302</v>
      </c>
      <c r="K568">
        <v>1.9746046207119372E-3</v>
      </c>
      <c r="L568" t="s">
        <v>163</v>
      </c>
      <c r="N568" t="s">
        <v>218</v>
      </c>
      <c r="O568" t="s">
        <v>302</v>
      </c>
      <c r="P568">
        <v>8.7945393047836259E-3</v>
      </c>
      <c r="Q568" t="s">
        <v>163</v>
      </c>
      <c r="S568" t="s">
        <v>249</v>
      </c>
      <c r="T568" t="s">
        <v>302</v>
      </c>
      <c r="U568">
        <v>1.235022053969294E-2</v>
      </c>
      <c r="V568" t="s">
        <v>163</v>
      </c>
    </row>
    <row r="569" spans="9:22" x14ac:dyDescent="0.45">
      <c r="I569" t="s">
        <v>187</v>
      </c>
      <c r="J569" t="s">
        <v>169</v>
      </c>
      <c r="K569">
        <v>3.8202089466291946E-3</v>
      </c>
      <c r="L569" t="s">
        <v>163</v>
      </c>
      <c r="N569" t="s">
        <v>218</v>
      </c>
      <c r="O569" t="s">
        <v>169</v>
      </c>
      <c r="P569">
        <v>1.0956554686589988E-2</v>
      </c>
      <c r="Q569" t="s">
        <v>163</v>
      </c>
      <c r="S569" t="s">
        <v>249</v>
      </c>
      <c r="T569" t="s">
        <v>169</v>
      </c>
      <c r="U569">
        <v>1.751376765181669E-2</v>
      </c>
      <c r="V569" t="s">
        <v>163</v>
      </c>
    </row>
    <row r="570" spans="9:22" x14ac:dyDescent="0.45">
      <c r="I570" t="s">
        <v>187</v>
      </c>
      <c r="J570" t="s">
        <v>170</v>
      </c>
      <c r="K570">
        <v>1.0223304197337189E-2</v>
      </c>
      <c r="L570" t="s">
        <v>163</v>
      </c>
      <c r="N570" t="s">
        <v>218</v>
      </c>
      <c r="O570" t="s">
        <v>170</v>
      </c>
      <c r="P570">
        <v>3.7907646935068794E-3</v>
      </c>
      <c r="Q570" t="s">
        <v>163</v>
      </c>
      <c r="S570" t="s">
        <v>249</v>
      </c>
      <c r="T570" t="s">
        <v>170</v>
      </c>
      <c r="U570">
        <v>4.4999071218380562E-3</v>
      </c>
      <c r="V570" t="s">
        <v>163</v>
      </c>
    </row>
    <row r="571" spans="9:22" x14ac:dyDescent="0.45">
      <c r="I571" t="s">
        <v>187</v>
      </c>
      <c r="J571" t="s">
        <v>171</v>
      </c>
      <c r="K571">
        <v>2.2675181258841232E-2</v>
      </c>
      <c r="L571" t="s">
        <v>163</v>
      </c>
      <c r="N571" t="s">
        <v>218</v>
      </c>
      <c r="O571" t="s">
        <v>171</v>
      </c>
      <c r="P571">
        <v>6.9793208736500956E-3</v>
      </c>
      <c r="Q571" t="s">
        <v>163</v>
      </c>
      <c r="S571" t="s">
        <v>249</v>
      </c>
      <c r="T571" t="s">
        <v>171</v>
      </c>
      <c r="U571">
        <v>6.8863384206322674E-3</v>
      </c>
      <c r="V571" t="s">
        <v>163</v>
      </c>
    </row>
    <row r="572" spans="9:22" x14ac:dyDescent="0.45">
      <c r="I572" t="s">
        <v>187</v>
      </c>
      <c r="J572" t="s">
        <v>303</v>
      </c>
      <c r="K572">
        <v>3.1699762337449047E-2</v>
      </c>
      <c r="L572" t="s">
        <v>163</v>
      </c>
      <c r="N572" t="s">
        <v>218</v>
      </c>
      <c r="O572" t="s">
        <v>303</v>
      </c>
      <c r="P572">
        <v>1.4950131053809379E-2</v>
      </c>
      <c r="Q572" t="s">
        <v>163</v>
      </c>
      <c r="S572" t="s">
        <v>249</v>
      </c>
      <c r="T572" t="s">
        <v>303</v>
      </c>
      <c r="U572">
        <v>1.1732863143962857E-2</v>
      </c>
      <c r="V572" t="s">
        <v>163</v>
      </c>
    </row>
    <row r="573" spans="9:22" x14ac:dyDescent="0.45">
      <c r="I573" t="s">
        <v>187</v>
      </c>
      <c r="J573" t="s">
        <v>304</v>
      </c>
      <c r="K573">
        <v>2.8523728602081631E-3</v>
      </c>
      <c r="L573" t="s">
        <v>163</v>
      </c>
      <c r="N573" t="s">
        <v>218</v>
      </c>
      <c r="O573" t="s">
        <v>304</v>
      </c>
      <c r="P573">
        <v>2.245762574809654E-3</v>
      </c>
      <c r="Q573" t="s">
        <v>163</v>
      </c>
      <c r="S573" t="s">
        <v>249</v>
      </c>
      <c r="T573" t="s">
        <v>304</v>
      </c>
      <c r="U573">
        <v>1.9578677169776958E-3</v>
      </c>
      <c r="V573" t="s">
        <v>163</v>
      </c>
    </row>
    <row r="574" spans="9:22" x14ac:dyDescent="0.45">
      <c r="I574" t="s">
        <v>187</v>
      </c>
      <c r="J574" t="s">
        <v>305</v>
      </c>
      <c r="K574">
        <v>1.2343818116588865E-3</v>
      </c>
      <c r="L574" t="s">
        <v>163</v>
      </c>
      <c r="N574" t="s">
        <v>218</v>
      </c>
      <c r="O574" t="s">
        <v>305</v>
      </c>
      <c r="P574">
        <v>7.6757893041076953E-3</v>
      </c>
      <c r="Q574" t="s">
        <v>163</v>
      </c>
      <c r="S574" t="s">
        <v>249</v>
      </c>
      <c r="T574" t="s">
        <v>305</v>
      </c>
      <c r="U574">
        <v>1.1159996535413648E-2</v>
      </c>
      <c r="V574" t="s">
        <v>163</v>
      </c>
    </row>
    <row r="575" spans="9:22" x14ac:dyDescent="0.45">
      <c r="I575" t="s">
        <v>187</v>
      </c>
      <c r="J575" t="s">
        <v>172</v>
      </c>
      <c r="K575">
        <v>1.0368111572224895E-2</v>
      </c>
      <c r="L575" t="s">
        <v>163</v>
      </c>
      <c r="N575" t="s">
        <v>218</v>
      </c>
      <c r="O575" t="s">
        <v>172</v>
      </c>
      <c r="P575">
        <v>1.5193002215571577E-2</v>
      </c>
      <c r="Q575" t="s">
        <v>163</v>
      </c>
      <c r="S575" t="s">
        <v>249</v>
      </c>
      <c r="T575" t="s">
        <v>172</v>
      </c>
      <c r="U575">
        <v>5.3322979960739383E-2</v>
      </c>
      <c r="V575" t="s">
        <v>163</v>
      </c>
    </row>
    <row r="576" spans="9:22" x14ac:dyDescent="0.45">
      <c r="I576" t="s">
        <v>187</v>
      </c>
      <c r="J576" t="s">
        <v>173</v>
      </c>
      <c r="K576">
        <v>2.8511048884579462E-2</v>
      </c>
      <c r="L576" t="s">
        <v>163</v>
      </c>
      <c r="N576" t="s">
        <v>218</v>
      </c>
      <c r="O576" t="s">
        <v>173</v>
      </c>
      <c r="P576">
        <v>5.4677045772527832E-3</v>
      </c>
      <c r="Q576" t="s">
        <v>163</v>
      </c>
      <c r="S576" t="s">
        <v>249</v>
      </c>
      <c r="T576" t="s">
        <v>173</v>
      </c>
      <c r="U576">
        <v>9.3041514734459423E-3</v>
      </c>
      <c r="V576" t="s">
        <v>163</v>
      </c>
    </row>
    <row r="577" spans="9:22" x14ac:dyDescent="0.45">
      <c r="I577" t="s">
        <v>187</v>
      </c>
      <c r="J577" t="s">
        <v>174</v>
      </c>
      <c r="K577">
        <v>5.8644276144344615E-2</v>
      </c>
      <c r="L577" t="s">
        <v>163</v>
      </c>
      <c r="N577" t="s">
        <v>218</v>
      </c>
      <c r="O577" t="s">
        <v>174</v>
      </c>
      <c r="P577">
        <v>1.3901892102946629E-2</v>
      </c>
      <c r="Q577" t="s">
        <v>163</v>
      </c>
      <c r="S577" t="s">
        <v>249</v>
      </c>
      <c r="T577" t="s">
        <v>174</v>
      </c>
      <c r="U577">
        <v>1.3516698324834696E-2</v>
      </c>
      <c r="V577" t="s">
        <v>163</v>
      </c>
    </row>
    <row r="578" spans="9:22" x14ac:dyDescent="0.45">
      <c r="I578" t="s">
        <v>187</v>
      </c>
      <c r="J578" t="s">
        <v>306</v>
      </c>
      <c r="K578">
        <v>8.6583397819736202E-2</v>
      </c>
      <c r="L578" t="s">
        <v>163</v>
      </c>
      <c r="N578" t="s">
        <v>218</v>
      </c>
      <c r="O578" t="s">
        <v>306</v>
      </c>
      <c r="P578">
        <v>2.9642471770959404E-2</v>
      </c>
      <c r="Q578" t="s">
        <v>163</v>
      </c>
      <c r="S578" t="s">
        <v>249</v>
      </c>
      <c r="T578" t="s">
        <v>306</v>
      </c>
      <c r="U578">
        <v>2.6931698996364085E-2</v>
      </c>
      <c r="V578" t="s">
        <v>163</v>
      </c>
    </row>
    <row r="579" spans="9:22" x14ac:dyDescent="0.45">
      <c r="I579" t="s">
        <v>187</v>
      </c>
      <c r="J579" t="s">
        <v>307</v>
      </c>
      <c r="K579">
        <v>8.4074769038057287E-3</v>
      </c>
      <c r="L579" t="s">
        <v>163</v>
      </c>
      <c r="N579" t="s">
        <v>218</v>
      </c>
      <c r="O579" t="s">
        <v>307</v>
      </c>
      <c r="P579">
        <v>3.8574010590676903E-3</v>
      </c>
      <c r="Q579" t="s">
        <v>163</v>
      </c>
      <c r="S579" t="s">
        <v>249</v>
      </c>
      <c r="T579" t="s">
        <v>307</v>
      </c>
      <c r="U579">
        <v>4.4358877611543239E-3</v>
      </c>
      <c r="V579" t="s">
        <v>163</v>
      </c>
    </row>
    <row r="580" spans="9:22" x14ac:dyDescent="0.45">
      <c r="I580" t="s">
        <v>187</v>
      </c>
      <c r="J580" t="s">
        <v>308</v>
      </c>
      <c r="K580">
        <v>3.6820790281122621E-3</v>
      </c>
      <c r="L580" t="s">
        <v>163</v>
      </c>
      <c r="N580" t="s">
        <v>218</v>
      </c>
      <c r="O580" t="s">
        <v>308</v>
      </c>
      <c r="P580">
        <v>1.2324349930312903E-2</v>
      </c>
      <c r="Q580" t="s">
        <v>163</v>
      </c>
      <c r="S580" t="s">
        <v>249</v>
      </c>
      <c r="T580" t="s">
        <v>308</v>
      </c>
      <c r="U580">
        <v>2.8535802090001623E-2</v>
      </c>
      <c r="V580" t="s">
        <v>163</v>
      </c>
    </row>
    <row r="581" spans="9:22" x14ac:dyDescent="0.45">
      <c r="I581" t="s">
        <v>187</v>
      </c>
      <c r="J581" t="s">
        <v>309</v>
      </c>
      <c r="K581">
        <v>3.3612315712116809E-3</v>
      </c>
      <c r="L581" t="s">
        <v>163</v>
      </c>
      <c r="N581" t="s">
        <v>218</v>
      </c>
      <c r="O581" t="s">
        <v>309</v>
      </c>
      <c r="P581">
        <v>1.7237068057619348E-2</v>
      </c>
      <c r="Q581" t="s">
        <v>163</v>
      </c>
      <c r="S581" t="s">
        <v>249</v>
      </c>
      <c r="T581" t="s">
        <v>309</v>
      </c>
      <c r="U581">
        <v>2.3624947279732716E-2</v>
      </c>
      <c r="V581" t="s">
        <v>163</v>
      </c>
    </row>
    <row r="582" spans="9:22" x14ac:dyDescent="0.45">
      <c r="I582" t="s">
        <v>187</v>
      </c>
      <c r="J582" t="s">
        <v>310</v>
      </c>
      <c r="K582">
        <v>1.375326787354861E-2</v>
      </c>
      <c r="L582" t="s">
        <v>163</v>
      </c>
      <c r="N582" t="s">
        <v>218</v>
      </c>
      <c r="O582" t="s">
        <v>310</v>
      </c>
      <c r="P582">
        <v>3.726749502685298E-3</v>
      </c>
      <c r="Q582" t="s">
        <v>163</v>
      </c>
      <c r="S582" t="s">
        <v>249</v>
      </c>
      <c r="T582" t="s">
        <v>310</v>
      </c>
      <c r="U582">
        <v>5.6127488676564223E-3</v>
      </c>
      <c r="V582" t="s">
        <v>163</v>
      </c>
    </row>
    <row r="583" spans="9:22" x14ac:dyDescent="0.45">
      <c r="I583" t="s">
        <v>187</v>
      </c>
      <c r="J583" t="s">
        <v>311</v>
      </c>
      <c r="K583">
        <v>2.7109655569403555E-2</v>
      </c>
      <c r="L583" t="s">
        <v>163</v>
      </c>
      <c r="N583" t="s">
        <v>218</v>
      </c>
      <c r="O583" t="s">
        <v>311</v>
      </c>
      <c r="P583">
        <v>6.2808614534039424E-3</v>
      </c>
      <c r="Q583" t="s">
        <v>163</v>
      </c>
      <c r="S583" t="s">
        <v>249</v>
      </c>
      <c r="T583" t="s">
        <v>311</v>
      </c>
      <c r="U583">
        <v>8.2270112040031384E-3</v>
      </c>
      <c r="V583" t="s">
        <v>163</v>
      </c>
    </row>
    <row r="584" spans="9:22" x14ac:dyDescent="0.45">
      <c r="I584" t="s">
        <v>187</v>
      </c>
      <c r="J584" t="s">
        <v>312</v>
      </c>
      <c r="K584">
        <v>3.9190146791014874E-2</v>
      </c>
      <c r="L584" t="s">
        <v>163</v>
      </c>
      <c r="N584" t="s">
        <v>218</v>
      </c>
      <c r="O584" t="s">
        <v>312</v>
      </c>
      <c r="P584">
        <v>1.1244611377932909E-2</v>
      </c>
      <c r="Q584" t="s">
        <v>163</v>
      </c>
      <c r="S584" t="s">
        <v>249</v>
      </c>
      <c r="T584" t="s">
        <v>312</v>
      </c>
      <c r="U584">
        <v>1.4436131682387407E-2</v>
      </c>
      <c r="V584" t="s">
        <v>163</v>
      </c>
    </row>
    <row r="585" spans="9:22" x14ac:dyDescent="0.45">
      <c r="I585" t="s">
        <v>187</v>
      </c>
      <c r="J585" t="s">
        <v>313</v>
      </c>
      <c r="K585">
        <v>3.0271577306643887E-3</v>
      </c>
      <c r="L585" t="s">
        <v>163</v>
      </c>
      <c r="N585" t="s">
        <v>218</v>
      </c>
      <c r="O585" t="s">
        <v>313</v>
      </c>
      <c r="P585">
        <v>1.3820638610813818E-3</v>
      </c>
      <c r="Q585" t="s">
        <v>163</v>
      </c>
      <c r="S585" t="s">
        <v>249</v>
      </c>
      <c r="T585" t="s">
        <v>313</v>
      </c>
      <c r="U585">
        <v>2.8944296730209259E-3</v>
      </c>
      <c r="V585" t="s">
        <v>163</v>
      </c>
    </row>
    <row r="586" spans="9:22" x14ac:dyDescent="0.45">
      <c r="I586" t="s">
        <v>187</v>
      </c>
      <c r="J586" t="s">
        <v>314</v>
      </c>
      <c r="K586">
        <v>0</v>
      </c>
      <c r="L586" t="s">
        <v>163</v>
      </c>
      <c r="N586" t="s">
        <v>218</v>
      </c>
      <c r="O586" t="s">
        <v>314</v>
      </c>
      <c r="P586">
        <v>5.673386436023979E-3</v>
      </c>
      <c r="Q586" t="s">
        <v>163</v>
      </c>
      <c r="S586" t="s">
        <v>249</v>
      </c>
      <c r="T586" t="s">
        <v>314</v>
      </c>
      <c r="U586">
        <v>1.5267949257240546E-2</v>
      </c>
      <c r="V586" t="s">
        <v>163</v>
      </c>
    </row>
    <row r="587" spans="9:22" x14ac:dyDescent="0.45">
      <c r="I587" t="s">
        <v>187</v>
      </c>
      <c r="J587" t="s">
        <v>315</v>
      </c>
      <c r="K587">
        <v>2.7608833157988615E-3</v>
      </c>
      <c r="L587" t="s">
        <v>163</v>
      </c>
      <c r="N587" t="s">
        <v>218</v>
      </c>
      <c r="O587" t="s">
        <v>315</v>
      </c>
      <c r="P587">
        <v>5.1221291297934284E-2</v>
      </c>
      <c r="Q587" t="s">
        <v>163</v>
      </c>
      <c r="S587" t="s">
        <v>249</v>
      </c>
      <c r="T587" t="s">
        <v>315</v>
      </c>
      <c r="U587">
        <v>6.9142778177859437E-2</v>
      </c>
      <c r="V587" t="s">
        <v>163</v>
      </c>
    </row>
    <row r="588" spans="9:22" x14ac:dyDescent="0.45">
      <c r="I588" t="s">
        <v>187</v>
      </c>
      <c r="J588" t="s">
        <v>316</v>
      </c>
      <c r="K588">
        <v>2.2161227921588911E-2</v>
      </c>
      <c r="L588" t="s">
        <v>163</v>
      </c>
      <c r="N588" t="s">
        <v>218</v>
      </c>
      <c r="O588" t="s">
        <v>316</v>
      </c>
      <c r="P588">
        <v>1.1014883135979543E-2</v>
      </c>
      <c r="Q588" t="s">
        <v>163</v>
      </c>
      <c r="S588" t="s">
        <v>249</v>
      </c>
      <c r="T588" t="s">
        <v>316</v>
      </c>
      <c r="U588">
        <v>1.7102861281124274E-2</v>
      </c>
      <c r="V588" t="s">
        <v>163</v>
      </c>
    </row>
    <row r="589" spans="9:22" x14ac:dyDescent="0.45">
      <c r="I589" t="s">
        <v>187</v>
      </c>
      <c r="J589" t="s">
        <v>317</v>
      </c>
      <c r="K589">
        <v>4.6863723310083198E-2</v>
      </c>
      <c r="L589" t="s">
        <v>163</v>
      </c>
      <c r="N589" t="s">
        <v>218</v>
      </c>
      <c r="O589" t="s">
        <v>317</v>
      </c>
      <c r="P589">
        <v>2.4626220307232976E-2</v>
      </c>
      <c r="Q589" t="s">
        <v>163</v>
      </c>
      <c r="S589" t="s">
        <v>249</v>
      </c>
      <c r="T589" t="s">
        <v>317</v>
      </c>
      <c r="U589">
        <v>2.518119994580257E-2</v>
      </c>
      <c r="V589" t="s">
        <v>163</v>
      </c>
    </row>
    <row r="590" spans="9:22" x14ac:dyDescent="0.45">
      <c r="I590" t="s">
        <v>187</v>
      </c>
      <c r="J590" t="s">
        <v>318</v>
      </c>
      <c r="K590">
        <v>6.088814133366361E-2</v>
      </c>
      <c r="L590" t="s">
        <v>163</v>
      </c>
      <c r="N590" t="s">
        <v>218</v>
      </c>
      <c r="O590" t="s">
        <v>318</v>
      </c>
      <c r="P590">
        <v>5.2821268071970025E-2</v>
      </c>
      <c r="Q590" t="s">
        <v>163</v>
      </c>
      <c r="S590" t="s">
        <v>249</v>
      </c>
      <c r="T590" t="s">
        <v>318</v>
      </c>
      <c r="U590">
        <v>4.3627517720060467E-2</v>
      </c>
      <c r="V590" t="s">
        <v>163</v>
      </c>
    </row>
    <row r="591" spans="9:22" x14ac:dyDescent="0.45">
      <c r="I591" t="s">
        <v>187</v>
      </c>
      <c r="J591" t="s">
        <v>319</v>
      </c>
      <c r="K591">
        <v>3.3029649882028005E-4</v>
      </c>
      <c r="L591" t="s">
        <v>163</v>
      </c>
      <c r="N591" t="s">
        <v>218</v>
      </c>
      <c r="O591" t="s">
        <v>319</v>
      </c>
      <c r="P591">
        <v>8.7847574653564346E-3</v>
      </c>
      <c r="Q591" t="s">
        <v>163</v>
      </c>
      <c r="S591" t="s">
        <v>249</v>
      </c>
      <c r="T591" t="s">
        <v>319</v>
      </c>
      <c r="U591">
        <v>8.3677444654378565E-3</v>
      </c>
      <c r="V591" t="s">
        <v>163</v>
      </c>
    </row>
    <row r="592" spans="9:22" x14ac:dyDescent="0.45">
      <c r="I592" t="s">
        <v>187</v>
      </c>
      <c r="J592" t="s">
        <v>320</v>
      </c>
      <c r="K592">
        <v>0</v>
      </c>
      <c r="L592" t="s">
        <v>163</v>
      </c>
      <c r="N592" t="s">
        <v>218</v>
      </c>
      <c r="O592" t="s">
        <v>320</v>
      </c>
      <c r="P592">
        <v>3.4953304317833708E-2</v>
      </c>
      <c r="Q592" t="s">
        <v>163</v>
      </c>
      <c r="S592" t="s">
        <v>249</v>
      </c>
      <c r="T592" t="s">
        <v>320</v>
      </c>
      <c r="U592">
        <v>4.3047507203965579E-2</v>
      </c>
      <c r="V592" t="s">
        <v>163</v>
      </c>
    </row>
    <row r="593" spans="9:22" x14ac:dyDescent="0.45">
      <c r="I593" t="s">
        <v>187</v>
      </c>
      <c r="J593" t="s">
        <v>321</v>
      </c>
      <c r="K593">
        <v>0</v>
      </c>
      <c r="L593" t="s">
        <v>163</v>
      </c>
      <c r="N593" t="s">
        <v>218</v>
      </c>
      <c r="O593" t="s">
        <v>321</v>
      </c>
      <c r="P593">
        <v>3.3707071358166391E-2</v>
      </c>
      <c r="Q593" t="s">
        <v>163</v>
      </c>
      <c r="S593" t="s">
        <v>249</v>
      </c>
      <c r="T593" t="s">
        <v>321</v>
      </c>
      <c r="U593">
        <v>3.8875468482564436E-2</v>
      </c>
      <c r="V593" t="s">
        <v>163</v>
      </c>
    </row>
    <row r="594" spans="9:22" x14ac:dyDescent="0.45">
      <c r="I594" t="s">
        <v>187</v>
      </c>
      <c r="J594" t="s">
        <v>322</v>
      </c>
      <c r="K594">
        <v>9.8406148172643319E-3</v>
      </c>
      <c r="L594" t="s">
        <v>163</v>
      </c>
      <c r="N594" t="s">
        <v>218</v>
      </c>
      <c r="O594" t="s">
        <v>322</v>
      </c>
      <c r="P594">
        <v>8.3307053389107232E-3</v>
      </c>
      <c r="Q594" t="s">
        <v>163</v>
      </c>
      <c r="S594" t="s">
        <v>249</v>
      </c>
      <c r="T594" t="s">
        <v>322</v>
      </c>
      <c r="U594">
        <v>9.12223081207841E-3</v>
      </c>
      <c r="V594" t="s">
        <v>163</v>
      </c>
    </row>
    <row r="595" spans="9:22" x14ac:dyDescent="0.45">
      <c r="I595" t="s">
        <v>187</v>
      </c>
      <c r="J595" t="s">
        <v>323</v>
      </c>
      <c r="K595">
        <v>2.3290839135734161E-2</v>
      </c>
      <c r="L595" t="s">
        <v>163</v>
      </c>
      <c r="N595" t="s">
        <v>218</v>
      </c>
      <c r="O595" t="s">
        <v>323</v>
      </c>
      <c r="P595">
        <v>1.9531675258464044E-2</v>
      </c>
      <c r="Q595" t="s">
        <v>163</v>
      </c>
      <c r="S595" t="s">
        <v>249</v>
      </c>
      <c r="T595" t="s">
        <v>323</v>
      </c>
      <c r="U595">
        <v>1.3372204989919841E-2</v>
      </c>
      <c r="V595" t="s">
        <v>163</v>
      </c>
    </row>
    <row r="596" spans="9:22" x14ac:dyDescent="0.45">
      <c r="I596" t="s">
        <v>187</v>
      </c>
      <c r="J596" t="s">
        <v>324</v>
      </c>
      <c r="K596">
        <v>2.9904441940681339E-2</v>
      </c>
      <c r="L596" t="s">
        <v>163</v>
      </c>
      <c r="N596" t="s">
        <v>218</v>
      </c>
      <c r="O596" t="s">
        <v>324</v>
      </c>
      <c r="P596">
        <v>4.2428661858891097E-2</v>
      </c>
      <c r="Q596" t="s">
        <v>163</v>
      </c>
      <c r="S596" t="s">
        <v>249</v>
      </c>
      <c r="T596" t="s">
        <v>324</v>
      </c>
      <c r="U596">
        <v>2.3207426641209651E-2</v>
      </c>
      <c r="V596" t="s">
        <v>163</v>
      </c>
    </row>
    <row r="597" spans="9:22" x14ac:dyDescent="0.45">
      <c r="I597" t="s">
        <v>187</v>
      </c>
      <c r="J597" t="s">
        <v>325</v>
      </c>
      <c r="K597">
        <v>0</v>
      </c>
      <c r="L597" t="s">
        <v>163</v>
      </c>
      <c r="N597" t="s">
        <v>218</v>
      </c>
      <c r="O597" t="s">
        <v>325</v>
      </c>
      <c r="P597">
        <v>6.5191190033682843E-3</v>
      </c>
      <c r="Q597" t="s">
        <v>163</v>
      </c>
      <c r="S597" t="s">
        <v>249</v>
      </c>
      <c r="T597" t="s">
        <v>325</v>
      </c>
      <c r="U597">
        <v>4.6506463180257997E-3</v>
      </c>
      <c r="V597" t="s">
        <v>163</v>
      </c>
    </row>
    <row r="598" spans="9:22" x14ac:dyDescent="0.45">
      <c r="I598" t="s">
        <v>187</v>
      </c>
      <c r="J598" t="s">
        <v>326</v>
      </c>
      <c r="K598">
        <v>0</v>
      </c>
      <c r="L598" t="s">
        <v>163</v>
      </c>
      <c r="N598" t="s">
        <v>218</v>
      </c>
      <c r="O598" t="s">
        <v>326</v>
      </c>
      <c r="P598">
        <v>2.6958376160811402E-2</v>
      </c>
      <c r="Q598" t="s">
        <v>163</v>
      </c>
      <c r="S598" t="s">
        <v>249</v>
      </c>
      <c r="T598" t="s">
        <v>326</v>
      </c>
      <c r="U598">
        <v>2.3813661485178262E-2</v>
      </c>
      <c r="V598" t="s">
        <v>163</v>
      </c>
    </row>
    <row r="599" spans="9:22" x14ac:dyDescent="0.45">
      <c r="I599" t="s">
        <v>188</v>
      </c>
      <c r="J599" t="s">
        <v>162</v>
      </c>
      <c r="K599">
        <v>3.8509476167289465E-3</v>
      </c>
      <c r="L599" t="s">
        <v>163</v>
      </c>
      <c r="N599" t="s">
        <v>219</v>
      </c>
      <c r="O599" t="s">
        <v>162</v>
      </c>
      <c r="P599">
        <v>0.12661091405022726</v>
      </c>
      <c r="Q599" t="s">
        <v>163</v>
      </c>
      <c r="S599" t="s">
        <v>250</v>
      </c>
      <c r="T599" t="s">
        <v>162</v>
      </c>
      <c r="U599">
        <v>0.14736409488735644</v>
      </c>
      <c r="V599" t="s">
        <v>163</v>
      </c>
    </row>
    <row r="600" spans="9:22" x14ac:dyDescent="0.45">
      <c r="I600" t="s">
        <v>188</v>
      </c>
      <c r="J600" t="s">
        <v>164</v>
      </c>
      <c r="K600">
        <v>4.217198790753874E-2</v>
      </c>
      <c r="L600" t="s">
        <v>163</v>
      </c>
      <c r="N600" t="s">
        <v>219</v>
      </c>
      <c r="O600" t="s">
        <v>164</v>
      </c>
      <c r="P600">
        <v>3.1074221319176854E-2</v>
      </c>
      <c r="Q600" t="s">
        <v>163</v>
      </c>
      <c r="S600" t="s">
        <v>250</v>
      </c>
      <c r="T600" t="s">
        <v>164</v>
      </c>
      <c r="U600">
        <v>3.4395505723796613E-2</v>
      </c>
      <c r="V600" t="s">
        <v>163</v>
      </c>
    </row>
    <row r="601" spans="9:22" x14ac:dyDescent="0.45">
      <c r="I601" t="s">
        <v>188</v>
      </c>
      <c r="J601" t="s">
        <v>165</v>
      </c>
      <c r="K601">
        <v>0.10667950501858929</v>
      </c>
      <c r="L601" t="s">
        <v>163</v>
      </c>
      <c r="N601" t="s">
        <v>219</v>
      </c>
      <c r="O601" t="s">
        <v>165</v>
      </c>
      <c r="P601">
        <v>4.6046691422285596E-2</v>
      </c>
      <c r="Q601" t="s">
        <v>163</v>
      </c>
      <c r="S601" t="s">
        <v>250</v>
      </c>
      <c r="T601" t="s">
        <v>165</v>
      </c>
      <c r="U601">
        <v>5.6758035494515892E-2</v>
      </c>
      <c r="V601" t="s">
        <v>163</v>
      </c>
    </row>
    <row r="602" spans="9:22" x14ac:dyDescent="0.45">
      <c r="I602" t="s">
        <v>188</v>
      </c>
      <c r="J602" t="s">
        <v>297</v>
      </c>
      <c r="K602">
        <v>0.16455923398878464</v>
      </c>
      <c r="L602" t="s">
        <v>163</v>
      </c>
      <c r="N602" t="s">
        <v>219</v>
      </c>
      <c r="O602" t="s">
        <v>297</v>
      </c>
      <c r="P602">
        <v>7.7793717339213073E-2</v>
      </c>
      <c r="Q602" t="s">
        <v>163</v>
      </c>
      <c r="S602" t="s">
        <v>250</v>
      </c>
      <c r="T602" t="s">
        <v>297</v>
      </c>
      <c r="U602">
        <v>9.9648498539896782E-2</v>
      </c>
      <c r="V602" t="s">
        <v>163</v>
      </c>
    </row>
    <row r="603" spans="9:22" x14ac:dyDescent="0.45">
      <c r="I603" t="s">
        <v>188</v>
      </c>
      <c r="J603" t="s">
        <v>298</v>
      </c>
      <c r="K603">
        <v>1.3560494090687989E-2</v>
      </c>
      <c r="L603" t="s">
        <v>163</v>
      </c>
      <c r="N603" t="s">
        <v>219</v>
      </c>
      <c r="O603" t="s">
        <v>298</v>
      </c>
      <c r="P603">
        <v>1.5864715471792586E-2</v>
      </c>
      <c r="Q603" t="s">
        <v>163</v>
      </c>
      <c r="S603" t="s">
        <v>250</v>
      </c>
      <c r="T603" t="s">
        <v>298</v>
      </c>
      <c r="U603">
        <v>1.9389895576220902E-2</v>
      </c>
      <c r="V603" t="s">
        <v>163</v>
      </c>
    </row>
    <row r="604" spans="9:22" x14ac:dyDescent="0.45">
      <c r="I604" t="s">
        <v>188</v>
      </c>
      <c r="J604" t="s">
        <v>299</v>
      </c>
      <c r="K604">
        <v>1.905243120865575E-3</v>
      </c>
      <c r="L604" t="s">
        <v>163</v>
      </c>
      <c r="N604" t="s">
        <v>219</v>
      </c>
      <c r="O604" t="s">
        <v>299</v>
      </c>
      <c r="P604">
        <v>7.8268766244938934E-2</v>
      </c>
      <c r="Q604" t="s">
        <v>163</v>
      </c>
      <c r="S604" t="s">
        <v>250</v>
      </c>
      <c r="T604" t="s">
        <v>299</v>
      </c>
      <c r="U604">
        <v>9.0577130861014626E-2</v>
      </c>
      <c r="V604" t="s">
        <v>163</v>
      </c>
    </row>
    <row r="605" spans="9:22" x14ac:dyDescent="0.45">
      <c r="I605" t="s">
        <v>188</v>
      </c>
      <c r="J605" t="s">
        <v>166</v>
      </c>
      <c r="K605">
        <v>3.6332912924602139E-3</v>
      </c>
      <c r="L605" t="s">
        <v>163</v>
      </c>
      <c r="N605" t="s">
        <v>219</v>
      </c>
      <c r="O605" t="s">
        <v>166</v>
      </c>
      <c r="P605">
        <v>1.9608416735614104E-2</v>
      </c>
      <c r="Q605" t="s">
        <v>163</v>
      </c>
      <c r="S605" t="s">
        <v>250</v>
      </c>
      <c r="T605" t="s">
        <v>166</v>
      </c>
      <c r="U605">
        <v>2.117190377784272E-2</v>
      </c>
      <c r="V605" t="s">
        <v>163</v>
      </c>
    </row>
    <row r="606" spans="9:22" x14ac:dyDescent="0.45">
      <c r="I606" t="s">
        <v>188</v>
      </c>
      <c r="J606" t="s">
        <v>167</v>
      </c>
      <c r="K606">
        <v>1.2941793745334983E-2</v>
      </c>
      <c r="L606" t="s">
        <v>163</v>
      </c>
      <c r="N606" t="s">
        <v>219</v>
      </c>
      <c r="O606" t="s">
        <v>167</v>
      </c>
      <c r="P606">
        <v>4.3504157129200752E-3</v>
      </c>
      <c r="Q606" t="s">
        <v>163</v>
      </c>
      <c r="S606" t="s">
        <v>250</v>
      </c>
      <c r="T606" t="s">
        <v>167</v>
      </c>
      <c r="U606">
        <v>5.0285275014429857E-3</v>
      </c>
      <c r="V606" t="s">
        <v>163</v>
      </c>
    </row>
    <row r="607" spans="9:22" x14ac:dyDescent="0.45">
      <c r="I607" t="s">
        <v>188</v>
      </c>
      <c r="J607" t="s">
        <v>168</v>
      </c>
      <c r="K607">
        <v>2.9636071656966072E-2</v>
      </c>
      <c r="L607" t="s">
        <v>163</v>
      </c>
      <c r="N607" t="s">
        <v>219</v>
      </c>
      <c r="O607" t="s">
        <v>168</v>
      </c>
      <c r="P607">
        <v>7.1050283222351763E-3</v>
      </c>
      <c r="Q607" t="s">
        <v>163</v>
      </c>
      <c r="S607" t="s">
        <v>250</v>
      </c>
      <c r="T607" t="s">
        <v>168</v>
      </c>
      <c r="U607">
        <v>8.4553283599662545E-3</v>
      </c>
      <c r="V607" t="s">
        <v>163</v>
      </c>
    </row>
    <row r="608" spans="9:22" x14ac:dyDescent="0.45">
      <c r="I608" t="s">
        <v>188</v>
      </c>
      <c r="J608" t="s">
        <v>300</v>
      </c>
      <c r="K608">
        <v>4.5268625265037582E-2</v>
      </c>
      <c r="L608" t="s">
        <v>163</v>
      </c>
      <c r="N608" t="s">
        <v>219</v>
      </c>
      <c r="O608" t="s">
        <v>300</v>
      </c>
      <c r="P608">
        <v>1.3559470853507527E-2</v>
      </c>
      <c r="Q608" t="s">
        <v>163</v>
      </c>
      <c r="S608" t="s">
        <v>250</v>
      </c>
      <c r="T608" t="s">
        <v>300</v>
      </c>
      <c r="U608">
        <v>1.5174859454495978E-2</v>
      </c>
      <c r="V608" t="s">
        <v>163</v>
      </c>
    </row>
    <row r="609" spans="9:22" x14ac:dyDescent="0.45">
      <c r="I609" t="s">
        <v>188</v>
      </c>
      <c r="J609" t="s">
        <v>301</v>
      </c>
      <c r="K609">
        <v>4.5015214504805908E-3</v>
      </c>
      <c r="L609" t="s">
        <v>163</v>
      </c>
      <c r="N609" t="s">
        <v>219</v>
      </c>
      <c r="O609" t="s">
        <v>301</v>
      </c>
      <c r="P609">
        <v>2.8381732701810397E-3</v>
      </c>
      <c r="Q609" t="s">
        <v>163</v>
      </c>
      <c r="S609" t="s">
        <v>250</v>
      </c>
      <c r="T609" t="s">
        <v>301</v>
      </c>
      <c r="U609">
        <v>2.9054686523476776E-3</v>
      </c>
      <c r="V609" t="s">
        <v>163</v>
      </c>
    </row>
    <row r="610" spans="9:22" x14ac:dyDescent="0.45">
      <c r="I610" t="s">
        <v>188</v>
      </c>
      <c r="J610" t="s">
        <v>302</v>
      </c>
      <c r="K610">
        <v>2.0617052117222518E-3</v>
      </c>
      <c r="L610" t="s">
        <v>163</v>
      </c>
      <c r="N610" t="s">
        <v>219</v>
      </c>
      <c r="O610" t="s">
        <v>302</v>
      </c>
      <c r="P610">
        <v>1.3362398226426429E-2</v>
      </c>
      <c r="Q610" t="s">
        <v>163</v>
      </c>
      <c r="S610" t="s">
        <v>250</v>
      </c>
      <c r="T610" t="s">
        <v>302</v>
      </c>
      <c r="U610">
        <v>1.3327074033583887E-2</v>
      </c>
      <c r="V610" t="s">
        <v>163</v>
      </c>
    </row>
    <row r="611" spans="9:22" x14ac:dyDescent="0.45">
      <c r="I611" t="s">
        <v>188</v>
      </c>
      <c r="J611" t="s">
        <v>169</v>
      </c>
      <c r="K611">
        <v>2.1267573362293555E-3</v>
      </c>
      <c r="L611" t="s">
        <v>163</v>
      </c>
      <c r="N611" t="s">
        <v>219</v>
      </c>
      <c r="O611" t="s">
        <v>169</v>
      </c>
      <c r="P611">
        <v>2.1842260130111375E-2</v>
      </c>
      <c r="Q611" t="s">
        <v>163</v>
      </c>
      <c r="S611" t="s">
        <v>250</v>
      </c>
      <c r="T611" t="s">
        <v>169</v>
      </c>
      <c r="U611">
        <v>7.6513090583325977E-3</v>
      </c>
      <c r="V611" t="s">
        <v>163</v>
      </c>
    </row>
    <row r="612" spans="9:22" x14ac:dyDescent="0.45">
      <c r="I612" t="s">
        <v>188</v>
      </c>
      <c r="J612" t="s">
        <v>170</v>
      </c>
      <c r="K612">
        <v>7.3778598699047442E-3</v>
      </c>
      <c r="L612" t="s">
        <v>163</v>
      </c>
      <c r="N612" t="s">
        <v>219</v>
      </c>
      <c r="O612" t="s">
        <v>170</v>
      </c>
      <c r="P612">
        <v>5.1001562378706596E-3</v>
      </c>
      <c r="Q612" t="s">
        <v>163</v>
      </c>
      <c r="S612" t="s">
        <v>250</v>
      </c>
      <c r="T612" t="s">
        <v>170</v>
      </c>
      <c r="U612">
        <v>1.7214136616999142E-3</v>
      </c>
      <c r="V612" t="s">
        <v>163</v>
      </c>
    </row>
    <row r="613" spans="9:22" x14ac:dyDescent="0.45">
      <c r="I613" t="s">
        <v>188</v>
      </c>
      <c r="J613" t="s">
        <v>171</v>
      </c>
      <c r="K613">
        <v>1.8880340153591621E-2</v>
      </c>
      <c r="L613" t="s">
        <v>163</v>
      </c>
      <c r="N613" t="s">
        <v>219</v>
      </c>
      <c r="O613" t="s">
        <v>171</v>
      </c>
      <c r="P613">
        <v>7.9858788945003541E-3</v>
      </c>
      <c r="Q613" t="s">
        <v>163</v>
      </c>
      <c r="S613" t="s">
        <v>250</v>
      </c>
      <c r="T613" t="s">
        <v>171</v>
      </c>
      <c r="U613">
        <v>2.4605688750013264E-3</v>
      </c>
      <c r="V613" t="s">
        <v>163</v>
      </c>
    </row>
    <row r="614" spans="9:22" x14ac:dyDescent="0.45">
      <c r="I614" t="s">
        <v>188</v>
      </c>
      <c r="J614" t="s">
        <v>303</v>
      </c>
      <c r="K614">
        <v>2.6970450930745567E-2</v>
      </c>
      <c r="L614" t="s">
        <v>163</v>
      </c>
      <c r="N614" t="s">
        <v>219</v>
      </c>
      <c r="O614" t="s">
        <v>303</v>
      </c>
      <c r="P614">
        <v>1.3556988672768847E-2</v>
      </c>
      <c r="Q614" t="s">
        <v>163</v>
      </c>
      <c r="S614" t="s">
        <v>250</v>
      </c>
      <c r="T614" t="s">
        <v>303</v>
      </c>
      <c r="U614">
        <v>5.0235685809739347E-3</v>
      </c>
      <c r="V614" t="s">
        <v>163</v>
      </c>
    </row>
    <row r="615" spans="9:22" x14ac:dyDescent="0.45">
      <c r="I615" t="s">
        <v>188</v>
      </c>
      <c r="J615" t="s">
        <v>304</v>
      </c>
      <c r="K615">
        <v>2.2957853098408885E-3</v>
      </c>
      <c r="L615" t="s">
        <v>163</v>
      </c>
      <c r="N615" t="s">
        <v>219</v>
      </c>
      <c r="O615" t="s">
        <v>304</v>
      </c>
      <c r="P615">
        <v>2.6764864352770705E-3</v>
      </c>
      <c r="Q615" t="s">
        <v>163</v>
      </c>
      <c r="S615" t="s">
        <v>250</v>
      </c>
      <c r="T615" t="s">
        <v>304</v>
      </c>
      <c r="U615">
        <v>8.6520851564355857E-4</v>
      </c>
      <c r="V615" t="s">
        <v>163</v>
      </c>
    </row>
    <row r="616" spans="9:22" x14ac:dyDescent="0.45">
      <c r="I616" t="s">
        <v>188</v>
      </c>
      <c r="J616" t="s">
        <v>305</v>
      </c>
      <c r="K616">
        <v>1.0878515894407121E-3</v>
      </c>
      <c r="L616" t="s">
        <v>163</v>
      </c>
      <c r="N616" t="s">
        <v>219</v>
      </c>
      <c r="O616" t="s">
        <v>305</v>
      </c>
      <c r="P616">
        <v>1.3519842585363819E-2</v>
      </c>
      <c r="Q616" t="s">
        <v>163</v>
      </c>
      <c r="S616" t="s">
        <v>250</v>
      </c>
      <c r="T616" t="s">
        <v>305</v>
      </c>
      <c r="U616">
        <v>4.6331340841899759E-3</v>
      </c>
      <c r="V616" t="s">
        <v>163</v>
      </c>
    </row>
    <row r="617" spans="9:22" x14ac:dyDescent="0.45">
      <c r="I617" t="s">
        <v>188</v>
      </c>
      <c r="J617" t="s">
        <v>172</v>
      </c>
      <c r="K617">
        <v>6.9756995114848112E-3</v>
      </c>
      <c r="L617" t="s">
        <v>163</v>
      </c>
      <c r="N617" t="s">
        <v>219</v>
      </c>
      <c r="O617" t="s">
        <v>172</v>
      </c>
      <c r="P617">
        <v>4.1493662212889519E-2</v>
      </c>
      <c r="Q617" t="s">
        <v>163</v>
      </c>
      <c r="S617" t="s">
        <v>250</v>
      </c>
      <c r="T617" t="s">
        <v>172</v>
      </c>
      <c r="U617">
        <v>3.3540008571539721E-2</v>
      </c>
      <c r="V617" t="s">
        <v>163</v>
      </c>
    </row>
    <row r="618" spans="9:22" x14ac:dyDescent="0.45">
      <c r="I618" t="s">
        <v>188</v>
      </c>
      <c r="J618" t="s">
        <v>173</v>
      </c>
      <c r="K618">
        <v>2.8063029115188095E-2</v>
      </c>
      <c r="L618" t="s">
        <v>163</v>
      </c>
      <c r="N618" t="s">
        <v>219</v>
      </c>
      <c r="O618" t="s">
        <v>173</v>
      </c>
      <c r="P618">
        <v>9.9780258899048613E-3</v>
      </c>
      <c r="Q618" t="s">
        <v>163</v>
      </c>
      <c r="S618" t="s">
        <v>250</v>
      </c>
      <c r="T618" t="s">
        <v>173</v>
      </c>
      <c r="U618">
        <v>6.9072451276318246E-3</v>
      </c>
      <c r="V618" t="s">
        <v>163</v>
      </c>
    </row>
    <row r="619" spans="9:22" x14ac:dyDescent="0.45">
      <c r="I619" t="s">
        <v>188</v>
      </c>
      <c r="J619" t="s">
        <v>174</v>
      </c>
      <c r="K619">
        <v>6.3616857017828973E-2</v>
      </c>
      <c r="L619" t="s">
        <v>163</v>
      </c>
      <c r="N619" t="s">
        <v>219</v>
      </c>
      <c r="O619" t="s">
        <v>174</v>
      </c>
      <c r="P619">
        <v>1.5189169715777452E-2</v>
      </c>
      <c r="Q619" t="s">
        <v>163</v>
      </c>
      <c r="S619" t="s">
        <v>250</v>
      </c>
      <c r="T619" t="s">
        <v>174</v>
      </c>
      <c r="U619">
        <v>1.0859941078455509E-2</v>
      </c>
      <c r="V619" t="s">
        <v>163</v>
      </c>
    </row>
    <row r="620" spans="9:22" x14ac:dyDescent="0.45">
      <c r="I620" t="s">
        <v>188</v>
      </c>
      <c r="J620" t="s">
        <v>306</v>
      </c>
      <c r="K620">
        <v>9.8201396145232087E-2</v>
      </c>
      <c r="L620" t="s">
        <v>163</v>
      </c>
      <c r="N620" t="s">
        <v>219</v>
      </c>
      <c r="O620" t="s">
        <v>306</v>
      </c>
      <c r="P620">
        <v>2.7354324485805718E-2</v>
      </c>
      <c r="Q620" t="s">
        <v>163</v>
      </c>
      <c r="S620" t="s">
        <v>250</v>
      </c>
      <c r="T620" t="s">
        <v>306</v>
      </c>
      <c r="U620">
        <v>2.024079594777304E-2</v>
      </c>
      <c r="V620" t="s">
        <v>163</v>
      </c>
    </row>
    <row r="621" spans="9:22" x14ac:dyDescent="0.45">
      <c r="I621" t="s">
        <v>188</v>
      </c>
      <c r="J621" t="s">
        <v>307</v>
      </c>
      <c r="K621">
        <v>1.0359340079671549E-2</v>
      </c>
      <c r="L621" t="s">
        <v>163</v>
      </c>
      <c r="N621" t="s">
        <v>219</v>
      </c>
      <c r="O621" t="s">
        <v>307</v>
      </c>
      <c r="P621">
        <v>5.6795832849537778E-3</v>
      </c>
      <c r="Q621" t="s">
        <v>163</v>
      </c>
      <c r="S621" t="s">
        <v>250</v>
      </c>
      <c r="T621" t="s">
        <v>307</v>
      </c>
      <c r="U621">
        <v>3.8809612912826144E-3</v>
      </c>
      <c r="V621" t="s">
        <v>163</v>
      </c>
    </row>
    <row r="622" spans="9:22" x14ac:dyDescent="0.45">
      <c r="I622" t="s">
        <v>188</v>
      </c>
      <c r="J622" t="s">
        <v>308</v>
      </c>
      <c r="K622">
        <v>5.0874963377316399E-3</v>
      </c>
      <c r="L622" t="s">
        <v>163</v>
      </c>
      <c r="N622" t="s">
        <v>219</v>
      </c>
      <c r="O622" t="s">
        <v>308</v>
      </c>
      <c r="P622">
        <v>2.6956567676761592E-2</v>
      </c>
      <c r="Q622" t="s">
        <v>163</v>
      </c>
      <c r="S622" t="s">
        <v>250</v>
      </c>
      <c r="T622" t="s">
        <v>308</v>
      </c>
      <c r="U622">
        <v>1.8983602292163781E-2</v>
      </c>
      <c r="V622" t="s">
        <v>163</v>
      </c>
    </row>
    <row r="623" spans="9:22" x14ac:dyDescent="0.45">
      <c r="I623" t="s">
        <v>188</v>
      </c>
      <c r="J623" t="s">
        <v>309</v>
      </c>
      <c r="K623">
        <v>2.29333922363345E-3</v>
      </c>
      <c r="L623" t="s">
        <v>163</v>
      </c>
      <c r="N623" t="s">
        <v>219</v>
      </c>
      <c r="O623" t="s">
        <v>309</v>
      </c>
      <c r="P623">
        <v>2.4786897728104447E-2</v>
      </c>
      <c r="Q623" t="s">
        <v>163</v>
      </c>
      <c r="S623" t="s">
        <v>250</v>
      </c>
      <c r="T623" t="s">
        <v>309</v>
      </c>
      <c r="U623">
        <v>1.7153810134518419E-2</v>
      </c>
      <c r="V623" t="s">
        <v>163</v>
      </c>
    </row>
    <row r="624" spans="9:22" x14ac:dyDescent="0.45">
      <c r="I624" t="s">
        <v>188</v>
      </c>
      <c r="J624" t="s">
        <v>310</v>
      </c>
      <c r="K624">
        <v>1.183491154904507E-2</v>
      </c>
      <c r="L624" t="s">
        <v>163</v>
      </c>
      <c r="N624" t="s">
        <v>219</v>
      </c>
      <c r="O624" t="s">
        <v>310</v>
      </c>
      <c r="P624">
        <v>6.1291402983253591E-3</v>
      </c>
      <c r="Q624" t="s">
        <v>163</v>
      </c>
      <c r="S624" t="s">
        <v>250</v>
      </c>
      <c r="T624" t="s">
        <v>310</v>
      </c>
      <c r="U624">
        <v>4.2487456742362302E-3</v>
      </c>
      <c r="V624" t="s">
        <v>163</v>
      </c>
    </row>
    <row r="625" spans="9:22" x14ac:dyDescent="0.45">
      <c r="I625" t="s">
        <v>188</v>
      </c>
      <c r="J625" t="s">
        <v>311</v>
      </c>
      <c r="K625">
        <v>2.7497470407983685E-2</v>
      </c>
      <c r="L625" t="s">
        <v>163</v>
      </c>
      <c r="N625" t="s">
        <v>219</v>
      </c>
      <c r="O625" t="s">
        <v>311</v>
      </c>
      <c r="P625">
        <v>9.3823299063289598E-3</v>
      </c>
      <c r="Q625" t="s">
        <v>163</v>
      </c>
      <c r="S625" t="s">
        <v>250</v>
      </c>
      <c r="T625" t="s">
        <v>311</v>
      </c>
      <c r="U625">
        <v>6.9607819675775052E-3</v>
      </c>
      <c r="V625" t="s">
        <v>163</v>
      </c>
    </row>
    <row r="626" spans="9:22" x14ac:dyDescent="0.45">
      <c r="I626" t="s">
        <v>188</v>
      </c>
      <c r="J626" t="s">
        <v>312</v>
      </c>
      <c r="K626">
        <v>4.2978782538109613E-2</v>
      </c>
      <c r="L626" t="s">
        <v>163</v>
      </c>
      <c r="N626" t="s">
        <v>219</v>
      </c>
      <c r="O626" t="s">
        <v>312</v>
      </c>
      <c r="P626">
        <v>1.6367624180028371E-2</v>
      </c>
      <c r="Q626" t="s">
        <v>163</v>
      </c>
      <c r="S626" t="s">
        <v>250</v>
      </c>
      <c r="T626" t="s">
        <v>312</v>
      </c>
      <c r="U626">
        <v>1.1821029192142465E-2</v>
      </c>
      <c r="V626" t="s">
        <v>163</v>
      </c>
    </row>
    <row r="627" spans="9:22" x14ac:dyDescent="0.45">
      <c r="I627" t="s">
        <v>188</v>
      </c>
      <c r="J627" t="s">
        <v>313</v>
      </c>
      <c r="K627">
        <v>3.6169552378311973E-3</v>
      </c>
      <c r="L627" t="s">
        <v>163</v>
      </c>
      <c r="N627" t="s">
        <v>219</v>
      </c>
      <c r="O627" t="s">
        <v>313</v>
      </c>
      <c r="P627">
        <v>3.3545030714646302E-3</v>
      </c>
      <c r="Q627" t="s">
        <v>163</v>
      </c>
      <c r="S627" t="s">
        <v>250</v>
      </c>
      <c r="T627" t="s">
        <v>313</v>
      </c>
      <c r="U627">
        <v>2.3559998116812406E-3</v>
      </c>
      <c r="V627" t="s">
        <v>163</v>
      </c>
    </row>
    <row r="628" spans="9:22" x14ac:dyDescent="0.45">
      <c r="I628" t="s">
        <v>188</v>
      </c>
      <c r="J628" t="s">
        <v>314</v>
      </c>
      <c r="K628">
        <v>8.8699336286075835E-6</v>
      </c>
      <c r="L628" t="s">
        <v>163</v>
      </c>
      <c r="N628" t="s">
        <v>219</v>
      </c>
      <c r="O628" t="s">
        <v>314</v>
      </c>
      <c r="P628">
        <v>1.6016722084090364E-2</v>
      </c>
      <c r="Q628" t="s">
        <v>163</v>
      </c>
      <c r="S628" t="s">
        <v>250</v>
      </c>
      <c r="T628" t="s">
        <v>314</v>
      </c>
      <c r="U628">
        <v>1.1219604153823925E-2</v>
      </c>
      <c r="V628" t="s">
        <v>163</v>
      </c>
    </row>
    <row r="629" spans="9:22" x14ac:dyDescent="0.45">
      <c r="I629" t="s">
        <v>188</v>
      </c>
      <c r="J629" t="s">
        <v>315</v>
      </c>
      <c r="K629">
        <v>1.5868401151148967E-3</v>
      </c>
      <c r="L629" t="s">
        <v>163</v>
      </c>
      <c r="N629" t="s">
        <v>219</v>
      </c>
      <c r="O629" t="s">
        <v>315</v>
      </c>
      <c r="P629">
        <v>6.3940888435861945E-2</v>
      </c>
      <c r="Q629" t="s">
        <v>163</v>
      </c>
      <c r="S629" t="s">
        <v>250</v>
      </c>
      <c r="T629" t="s">
        <v>315</v>
      </c>
      <c r="U629">
        <v>6.0345167796166617E-2</v>
      </c>
      <c r="V629" t="s">
        <v>163</v>
      </c>
    </row>
    <row r="630" spans="9:22" x14ac:dyDescent="0.45">
      <c r="I630" t="s">
        <v>188</v>
      </c>
      <c r="J630" t="s">
        <v>316</v>
      </c>
      <c r="K630">
        <v>2.081150281138314E-2</v>
      </c>
      <c r="L630" t="s">
        <v>163</v>
      </c>
      <c r="N630" t="s">
        <v>219</v>
      </c>
      <c r="O630" t="s">
        <v>316</v>
      </c>
      <c r="P630">
        <v>1.534346849631189E-2</v>
      </c>
      <c r="Q630" t="s">
        <v>163</v>
      </c>
      <c r="S630" t="s">
        <v>250</v>
      </c>
      <c r="T630" t="s">
        <v>316</v>
      </c>
      <c r="U630">
        <v>1.4913757853246621E-2</v>
      </c>
      <c r="V630" t="s">
        <v>163</v>
      </c>
    </row>
    <row r="631" spans="9:22" x14ac:dyDescent="0.45">
      <c r="I631" t="s">
        <v>188</v>
      </c>
      <c r="J631" t="s">
        <v>317</v>
      </c>
      <c r="K631">
        <v>5.0047984161075386E-2</v>
      </c>
      <c r="L631" t="s">
        <v>163</v>
      </c>
      <c r="N631" t="s">
        <v>219</v>
      </c>
      <c r="O631" t="s">
        <v>317</v>
      </c>
      <c r="P631">
        <v>2.3777037371478679E-2</v>
      </c>
      <c r="Q631" t="s">
        <v>163</v>
      </c>
      <c r="S631" t="s">
        <v>250</v>
      </c>
      <c r="T631" t="s">
        <v>317</v>
      </c>
      <c r="U631">
        <v>2.4212569185755331E-2</v>
      </c>
      <c r="V631" t="s">
        <v>163</v>
      </c>
    </row>
    <row r="632" spans="9:22" x14ac:dyDescent="0.45">
      <c r="I632" t="s">
        <v>188</v>
      </c>
      <c r="J632" t="s">
        <v>318</v>
      </c>
      <c r="K632">
        <v>6.8634862876312763E-2</v>
      </c>
      <c r="L632" t="s">
        <v>163</v>
      </c>
      <c r="N632" t="s">
        <v>219</v>
      </c>
      <c r="O632" t="s">
        <v>318</v>
      </c>
      <c r="P632">
        <v>4.0669879012836654E-2</v>
      </c>
      <c r="Q632" t="s">
        <v>163</v>
      </c>
      <c r="S632" t="s">
        <v>250</v>
      </c>
      <c r="T632" t="s">
        <v>318</v>
      </c>
      <c r="U632">
        <v>4.2408076018927071E-2</v>
      </c>
      <c r="V632" t="s">
        <v>163</v>
      </c>
    </row>
    <row r="633" spans="9:22" x14ac:dyDescent="0.45">
      <c r="I633" t="s">
        <v>188</v>
      </c>
      <c r="J633" t="s">
        <v>319</v>
      </c>
      <c r="K633">
        <v>1.2946429406313236E-3</v>
      </c>
      <c r="L633" t="s">
        <v>163</v>
      </c>
      <c r="N633" t="s">
        <v>219</v>
      </c>
      <c r="O633" t="s">
        <v>319</v>
      </c>
      <c r="P633">
        <v>8.1490748567179284E-3</v>
      </c>
      <c r="Q633" t="s">
        <v>163</v>
      </c>
      <c r="S633" t="s">
        <v>250</v>
      </c>
      <c r="T633" t="s">
        <v>319</v>
      </c>
      <c r="U633">
        <v>8.3998722014395795E-3</v>
      </c>
      <c r="V633" t="s">
        <v>163</v>
      </c>
    </row>
    <row r="634" spans="9:22" x14ac:dyDescent="0.45">
      <c r="I634" t="s">
        <v>188</v>
      </c>
      <c r="J634" t="s">
        <v>320</v>
      </c>
      <c r="K634">
        <v>0</v>
      </c>
      <c r="L634" t="s">
        <v>163</v>
      </c>
      <c r="N634" t="s">
        <v>219</v>
      </c>
      <c r="O634" t="s">
        <v>320</v>
      </c>
      <c r="P634">
        <v>3.8585419026951034E-2</v>
      </c>
      <c r="Q634" t="s">
        <v>163</v>
      </c>
      <c r="S634" t="s">
        <v>250</v>
      </c>
      <c r="T634" t="s">
        <v>320</v>
      </c>
      <c r="U634">
        <v>4.0252011659216803E-2</v>
      </c>
      <c r="V634" t="s">
        <v>163</v>
      </c>
    </row>
    <row r="635" spans="9:22" x14ac:dyDescent="0.45">
      <c r="I635" t="s">
        <v>188</v>
      </c>
      <c r="J635" t="s">
        <v>321</v>
      </c>
      <c r="K635">
        <v>0</v>
      </c>
      <c r="L635" t="s">
        <v>163</v>
      </c>
      <c r="N635" t="s">
        <v>219</v>
      </c>
      <c r="O635" t="s">
        <v>321</v>
      </c>
      <c r="P635">
        <v>3.5272804101443969E-2</v>
      </c>
      <c r="Q635" t="s">
        <v>163</v>
      </c>
      <c r="S635" t="s">
        <v>250</v>
      </c>
      <c r="T635" t="s">
        <v>321</v>
      </c>
      <c r="U635">
        <v>4.474787389290457E-2</v>
      </c>
      <c r="V635" t="s">
        <v>163</v>
      </c>
    </row>
    <row r="636" spans="9:22" x14ac:dyDescent="0.45">
      <c r="I636" t="s">
        <v>188</v>
      </c>
      <c r="J636" t="s">
        <v>322</v>
      </c>
      <c r="K636">
        <v>9.3243792807147004E-3</v>
      </c>
      <c r="L636" t="s">
        <v>163</v>
      </c>
      <c r="N636" t="s">
        <v>219</v>
      </c>
      <c r="O636" t="s">
        <v>322</v>
      </c>
      <c r="P636">
        <v>9.144216278444698E-3</v>
      </c>
      <c r="Q636" t="s">
        <v>163</v>
      </c>
      <c r="S636" t="s">
        <v>250</v>
      </c>
      <c r="T636" t="s">
        <v>322</v>
      </c>
      <c r="U636">
        <v>8.8107441912252619E-3</v>
      </c>
      <c r="V636" t="s">
        <v>163</v>
      </c>
    </row>
    <row r="637" spans="9:22" x14ac:dyDescent="0.45">
      <c r="I637" t="s">
        <v>188</v>
      </c>
      <c r="J637" t="s">
        <v>323</v>
      </c>
      <c r="K637">
        <v>2.4796232711960072E-2</v>
      </c>
      <c r="L637" t="s">
        <v>163</v>
      </c>
      <c r="N637" t="s">
        <v>219</v>
      </c>
      <c r="O637" t="s">
        <v>323</v>
      </c>
      <c r="P637">
        <v>1.3510052599475665E-2</v>
      </c>
      <c r="Q637" t="s">
        <v>163</v>
      </c>
      <c r="S637" t="s">
        <v>250</v>
      </c>
      <c r="T637" t="s">
        <v>323</v>
      </c>
      <c r="U637">
        <v>1.4125164600082419E-2</v>
      </c>
      <c r="V637" t="s">
        <v>163</v>
      </c>
    </row>
    <row r="638" spans="9:22" x14ac:dyDescent="0.45">
      <c r="I638" t="s">
        <v>188</v>
      </c>
      <c r="J638" t="s">
        <v>324</v>
      </c>
      <c r="K638">
        <v>3.3459942450490811E-2</v>
      </c>
      <c r="L638" t="s">
        <v>163</v>
      </c>
      <c r="N638" t="s">
        <v>219</v>
      </c>
      <c r="O638" t="s">
        <v>324</v>
      </c>
      <c r="P638">
        <v>2.2489813448188834E-2</v>
      </c>
      <c r="Q638" t="s">
        <v>163</v>
      </c>
      <c r="S638" t="s">
        <v>250</v>
      </c>
      <c r="T638" t="s">
        <v>324</v>
      </c>
      <c r="U638">
        <v>2.5010648920315941E-2</v>
      </c>
      <c r="V638" t="s">
        <v>163</v>
      </c>
    </row>
    <row r="639" spans="9:22" x14ac:dyDescent="0.45">
      <c r="I639" t="s">
        <v>188</v>
      </c>
      <c r="J639" t="s">
        <v>325</v>
      </c>
      <c r="K639">
        <v>0</v>
      </c>
      <c r="L639" t="s">
        <v>163</v>
      </c>
      <c r="N639" t="s">
        <v>219</v>
      </c>
      <c r="O639" t="s">
        <v>325</v>
      </c>
      <c r="P639">
        <v>4.3188006039860645E-3</v>
      </c>
      <c r="Q639" t="s">
        <v>163</v>
      </c>
      <c r="S639" t="s">
        <v>250</v>
      </c>
      <c r="T639" t="s">
        <v>325</v>
      </c>
      <c r="U639">
        <v>5.3000183393023493E-3</v>
      </c>
      <c r="V639" t="s">
        <v>163</v>
      </c>
    </row>
    <row r="640" spans="9:22" x14ac:dyDescent="0.45">
      <c r="I640" t="s">
        <v>188</v>
      </c>
      <c r="J640" t="s">
        <v>326</v>
      </c>
      <c r="K640">
        <v>0</v>
      </c>
      <c r="L640" t="s">
        <v>163</v>
      </c>
      <c r="N640" t="s">
        <v>219</v>
      </c>
      <c r="O640" t="s">
        <v>326</v>
      </c>
      <c r="P640">
        <v>2.094545330945875E-2</v>
      </c>
      <c r="Q640" t="s">
        <v>163</v>
      </c>
      <c r="S640" t="s">
        <v>250</v>
      </c>
      <c r="T640" t="s">
        <v>326</v>
      </c>
      <c r="U640">
        <v>2.6750044460269871E-2</v>
      </c>
      <c r="V640" t="s">
        <v>163</v>
      </c>
    </row>
    <row r="641" spans="9:22" x14ac:dyDescent="0.45">
      <c r="I641" t="s">
        <v>189</v>
      </c>
      <c r="J641" t="s">
        <v>162</v>
      </c>
      <c r="K641">
        <v>5.057563636771417E-3</v>
      </c>
      <c r="L641" t="s">
        <v>163</v>
      </c>
      <c r="N641" t="s">
        <v>220</v>
      </c>
      <c r="O641" t="s">
        <v>162</v>
      </c>
      <c r="P641">
        <v>0.12787101584922569</v>
      </c>
      <c r="Q641" t="s">
        <v>163</v>
      </c>
      <c r="S641" t="s">
        <v>251</v>
      </c>
      <c r="T641" t="s">
        <v>162</v>
      </c>
      <c r="U641">
        <v>0.13832519311516564</v>
      </c>
      <c r="V641" t="s">
        <v>163</v>
      </c>
    </row>
    <row r="642" spans="9:22" x14ac:dyDescent="0.45">
      <c r="I642" t="s">
        <v>189</v>
      </c>
      <c r="J642" t="s">
        <v>164</v>
      </c>
      <c r="K642">
        <v>4.6989313347371359E-2</v>
      </c>
      <c r="L642" t="s">
        <v>163</v>
      </c>
      <c r="N642" t="s">
        <v>220</v>
      </c>
      <c r="O642" t="s">
        <v>164</v>
      </c>
      <c r="P642">
        <v>2.7292942064690431E-2</v>
      </c>
      <c r="Q642" t="s">
        <v>163</v>
      </c>
      <c r="S642" t="s">
        <v>251</v>
      </c>
      <c r="T642" t="s">
        <v>164</v>
      </c>
      <c r="U642">
        <v>3.2929550028431315E-2</v>
      </c>
      <c r="V642" t="s">
        <v>163</v>
      </c>
    </row>
    <row r="643" spans="9:22" x14ac:dyDescent="0.45">
      <c r="I643" t="s">
        <v>189</v>
      </c>
      <c r="J643" t="s">
        <v>165</v>
      </c>
      <c r="K643">
        <v>0.11126199400267556</v>
      </c>
      <c r="L643" t="s">
        <v>163</v>
      </c>
      <c r="N643" t="s">
        <v>220</v>
      </c>
      <c r="O643" t="s">
        <v>165</v>
      </c>
      <c r="P643">
        <v>4.2436137062576297E-2</v>
      </c>
      <c r="Q643" t="s">
        <v>163</v>
      </c>
      <c r="S643" t="s">
        <v>251</v>
      </c>
      <c r="T643" t="s">
        <v>165</v>
      </c>
      <c r="U643">
        <v>5.1577211100422335E-2</v>
      </c>
      <c r="V643" t="s">
        <v>163</v>
      </c>
    </row>
    <row r="644" spans="9:22" x14ac:dyDescent="0.45">
      <c r="I644" t="s">
        <v>189</v>
      </c>
      <c r="J644" t="s">
        <v>297</v>
      </c>
      <c r="K644">
        <v>0.16761140203596642</v>
      </c>
      <c r="L644" t="s">
        <v>163</v>
      </c>
      <c r="N644" t="s">
        <v>220</v>
      </c>
      <c r="O644" t="s">
        <v>297</v>
      </c>
      <c r="P644">
        <v>8.0256657505094253E-2</v>
      </c>
      <c r="Q644" t="s">
        <v>163</v>
      </c>
      <c r="S644" t="s">
        <v>251</v>
      </c>
      <c r="T644" t="s">
        <v>297</v>
      </c>
      <c r="U644">
        <v>9.3025555920452099E-2</v>
      </c>
      <c r="V644" t="s">
        <v>163</v>
      </c>
    </row>
    <row r="645" spans="9:22" x14ac:dyDescent="0.45">
      <c r="I645" t="s">
        <v>189</v>
      </c>
      <c r="J645" t="s">
        <v>298</v>
      </c>
      <c r="K645">
        <v>1.3070590120104003E-2</v>
      </c>
      <c r="L645" t="s">
        <v>163</v>
      </c>
      <c r="N645" t="s">
        <v>220</v>
      </c>
      <c r="O645" t="s">
        <v>298</v>
      </c>
      <c r="P645">
        <v>1.6328887918736736E-2</v>
      </c>
      <c r="Q645" t="s">
        <v>163</v>
      </c>
      <c r="S645" t="s">
        <v>251</v>
      </c>
      <c r="T645" t="s">
        <v>298</v>
      </c>
      <c r="U645">
        <v>1.9143654985491535E-2</v>
      </c>
      <c r="V645" t="s">
        <v>163</v>
      </c>
    </row>
    <row r="646" spans="9:22" x14ac:dyDescent="0.45">
      <c r="I646" t="s">
        <v>189</v>
      </c>
      <c r="J646" t="s">
        <v>299</v>
      </c>
      <c r="K646">
        <v>1.6020410280297153E-3</v>
      </c>
      <c r="L646" t="s">
        <v>163</v>
      </c>
      <c r="N646" t="s">
        <v>220</v>
      </c>
      <c r="O646" t="s">
        <v>299</v>
      </c>
      <c r="P646">
        <v>7.6910336525067E-2</v>
      </c>
      <c r="Q646" t="s">
        <v>163</v>
      </c>
      <c r="S646" t="s">
        <v>251</v>
      </c>
      <c r="T646" t="s">
        <v>299</v>
      </c>
      <c r="U646">
        <v>8.7419947729645578E-2</v>
      </c>
      <c r="V646" t="s">
        <v>163</v>
      </c>
    </row>
    <row r="647" spans="9:22" x14ac:dyDescent="0.45">
      <c r="I647" t="s">
        <v>189</v>
      </c>
      <c r="J647" t="s">
        <v>166</v>
      </c>
      <c r="K647">
        <v>5.6406070244671615E-3</v>
      </c>
      <c r="L647" t="s">
        <v>163</v>
      </c>
      <c r="N647" t="s">
        <v>220</v>
      </c>
      <c r="O647" t="s">
        <v>166</v>
      </c>
      <c r="P647">
        <v>2.3190082941416137E-2</v>
      </c>
      <c r="Q647" t="s">
        <v>163</v>
      </c>
      <c r="S647" t="s">
        <v>251</v>
      </c>
      <c r="T647" t="s">
        <v>166</v>
      </c>
      <c r="U647">
        <v>2.593756295168248E-2</v>
      </c>
      <c r="V647" t="s">
        <v>163</v>
      </c>
    </row>
    <row r="648" spans="9:22" x14ac:dyDescent="0.45">
      <c r="I648" t="s">
        <v>189</v>
      </c>
      <c r="J648" t="s">
        <v>167</v>
      </c>
      <c r="K648">
        <v>1.5368336026920035E-2</v>
      </c>
      <c r="L648" t="s">
        <v>163</v>
      </c>
      <c r="N648" t="s">
        <v>220</v>
      </c>
      <c r="O648" t="s">
        <v>167</v>
      </c>
      <c r="P648">
        <v>4.8628792491999156E-3</v>
      </c>
      <c r="Q648" t="s">
        <v>163</v>
      </c>
      <c r="S648" t="s">
        <v>251</v>
      </c>
      <c r="T648" t="s">
        <v>167</v>
      </c>
      <c r="U648">
        <v>5.9768229722644501E-3</v>
      </c>
      <c r="V648" t="s">
        <v>163</v>
      </c>
    </row>
    <row r="649" spans="9:22" x14ac:dyDescent="0.45">
      <c r="I649" t="s">
        <v>189</v>
      </c>
      <c r="J649" t="s">
        <v>168</v>
      </c>
      <c r="K649">
        <v>3.2076708259064869E-2</v>
      </c>
      <c r="L649" t="s">
        <v>163</v>
      </c>
      <c r="N649" t="s">
        <v>220</v>
      </c>
      <c r="O649" t="s">
        <v>168</v>
      </c>
      <c r="P649">
        <v>7.868629140071505E-3</v>
      </c>
      <c r="Q649" t="s">
        <v>163</v>
      </c>
      <c r="S649" t="s">
        <v>251</v>
      </c>
      <c r="T649" t="s">
        <v>168</v>
      </c>
      <c r="U649">
        <v>9.058539120277171E-3</v>
      </c>
      <c r="V649" t="s">
        <v>163</v>
      </c>
    </row>
    <row r="650" spans="9:22" x14ac:dyDescent="0.45">
      <c r="I650" t="s">
        <v>189</v>
      </c>
      <c r="J650" t="s">
        <v>300</v>
      </c>
      <c r="K650">
        <v>4.7481236501919051E-2</v>
      </c>
      <c r="L650" t="s">
        <v>163</v>
      </c>
      <c r="N650" t="s">
        <v>220</v>
      </c>
      <c r="O650" t="s">
        <v>300</v>
      </c>
      <c r="P650">
        <v>1.5349097713401613E-2</v>
      </c>
      <c r="Q650" t="s">
        <v>163</v>
      </c>
      <c r="S650" t="s">
        <v>251</v>
      </c>
      <c r="T650" t="s">
        <v>300</v>
      </c>
      <c r="U650">
        <v>1.608527090054148E-2</v>
      </c>
      <c r="V650" t="s">
        <v>163</v>
      </c>
    </row>
    <row r="651" spans="9:22" x14ac:dyDescent="0.45">
      <c r="I651" t="s">
        <v>189</v>
      </c>
      <c r="J651" t="s">
        <v>301</v>
      </c>
      <c r="K651">
        <v>5.0120934067090636E-3</v>
      </c>
      <c r="L651" t="s">
        <v>163</v>
      </c>
      <c r="N651" t="s">
        <v>220</v>
      </c>
      <c r="O651" t="s">
        <v>301</v>
      </c>
      <c r="P651">
        <v>3.087054553551133E-3</v>
      </c>
      <c r="Q651" t="s">
        <v>163</v>
      </c>
      <c r="S651" t="s">
        <v>251</v>
      </c>
      <c r="T651" t="s">
        <v>301</v>
      </c>
      <c r="U651">
        <v>3.3578778787197545E-3</v>
      </c>
      <c r="V651" t="s">
        <v>163</v>
      </c>
    </row>
    <row r="652" spans="9:22" x14ac:dyDescent="0.45">
      <c r="I652" t="s">
        <v>189</v>
      </c>
      <c r="J652" t="s">
        <v>302</v>
      </c>
      <c r="K652">
        <v>2.3515610011561857E-3</v>
      </c>
      <c r="L652" t="s">
        <v>163</v>
      </c>
      <c r="N652" t="s">
        <v>220</v>
      </c>
      <c r="O652" t="s">
        <v>302</v>
      </c>
      <c r="P652">
        <v>1.4127300726255902E-2</v>
      </c>
      <c r="Q652" t="s">
        <v>163</v>
      </c>
      <c r="S652" t="s">
        <v>251</v>
      </c>
      <c r="T652" t="s">
        <v>302</v>
      </c>
      <c r="U652">
        <v>1.5291455231906337E-2</v>
      </c>
      <c r="V652" t="s">
        <v>163</v>
      </c>
    </row>
    <row r="653" spans="9:22" x14ac:dyDescent="0.45">
      <c r="I653" t="s">
        <v>189</v>
      </c>
      <c r="J653" t="s">
        <v>169</v>
      </c>
      <c r="K653">
        <v>2.4169691243284899E-3</v>
      </c>
      <c r="L653" t="s">
        <v>163</v>
      </c>
      <c r="N653" t="s">
        <v>220</v>
      </c>
      <c r="O653" t="s">
        <v>169</v>
      </c>
      <c r="P653">
        <v>9.5444654293652346E-3</v>
      </c>
      <c r="Q653" t="s">
        <v>163</v>
      </c>
      <c r="S653" t="s">
        <v>251</v>
      </c>
      <c r="T653" t="s">
        <v>169</v>
      </c>
      <c r="U653">
        <v>9.8939839527230952E-3</v>
      </c>
      <c r="V653" t="s">
        <v>163</v>
      </c>
    </row>
    <row r="654" spans="9:22" x14ac:dyDescent="0.45">
      <c r="I654" t="s">
        <v>189</v>
      </c>
      <c r="J654" t="s">
        <v>170</v>
      </c>
      <c r="K654">
        <v>7.5913610312659582E-3</v>
      </c>
      <c r="L654" t="s">
        <v>163</v>
      </c>
      <c r="N654" t="s">
        <v>220</v>
      </c>
      <c r="O654" t="s">
        <v>170</v>
      </c>
      <c r="P654">
        <v>2.4356820387831579E-3</v>
      </c>
      <c r="Q654" t="s">
        <v>163</v>
      </c>
      <c r="S654" t="s">
        <v>251</v>
      </c>
      <c r="T654" t="s">
        <v>170</v>
      </c>
      <c r="U654">
        <v>2.2008074505907756E-3</v>
      </c>
      <c r="V654" t="s">
        <v>163</v>
      </c>
    </row>
    <row r="655" spans="9:22" x14ac:dyDescent="0.45">
      <c r="I655" t="s">
        <v>189</v>
      </c>
      <c r="J655" t="s">
        <v>171</v>
      </c>
      <c r="K655">
        <v>1.8738469690754652E-2</v>
      </c>
      <c r="L655" t="s">
        <v>163</v>
      </c>
      <c r="N655" t="s">
        <v>220</v>
      </c>
      <c r="O655" t="s">
        <v>171</v>
      </c>
      <c r="P655">
        <v>3.752086299390433E-3</v>
      </c>
      <c r="Q655" t="s">
        <v>163</v>
      </c>
      <c r="S655" t="s">
        <v>251</v>
      </c>
      <c r="T655" t="s">
        <v>171</v>
      </c>
      <c r="U655">
        <v>3.7199974692861118E-3</v>
      </c>
      <c r="V655" t="s">
        <v>163</v>
      </c>
    </row>
    <row r="656" spans="9:22" x14ac:dyDescent="0.45">
      <c r="I656" t="s">
        <v>189</v>
      </c>
      <c r="J656" t="s">
        <v>303</v>
      </c>
      <c r="K656">
        <v>2.8550573207427373E-2</v>
      </c>
      <c r="L656" t="s">
        <v>163</v>
      </c>
      <c r="N656" t="s">
        <v>220</v>
      </c>
      <c r="O656" t="s">
        <v>303</v>
      </c>
      <c r="P656">
        <v>8.5034241715011283E-3</v>
      </c>
      <c r="Q656" t="s">
        <v>163</v>
      </c>
      <c r="S656" t="s">
        <v>251</v>
      </c>
      <c r="T656" t="s">
        <v>303</v>
      </c>
      <c r="U656">
        <v>6.6602030150998319E-3</v>
      </c>
      <c r="V656" t="s">
        <v>163</v>
      </c>
    </row>
    <row r="657" spans="9:22" x14ac:dyDescent="0.45">
      <c r="I657" t="s">
        <v>189</v>
      </c>
      <c r="J657" t="s">
        <v>304</v>
      </c>
      <c r="K657">
        <v>2.6281573292368477E-3</v>
      </c>
      <c r="L657" t="s">
        <v>163</v>
      </c>
      <c r="N657" t="s">
        <v>220</v>
      </c>
      <c r="O657" t="s">
        <v>304</v>
      </c>
      <c r="P657">
        <v>1.6248688153807083E-3</v>
      </c>
      <c r="Q657" t="s">
        <v>163</v>
      </c>
      <c r="S657" t="s">
        <v>251</v>
      </c>
      <c r="T657" t="s">
        <v>304</v>
      </c>
      <c r="U657">
        <v>1.371936494796739E-3</v>
      </c>
      <c r="V657" t="s">
        <v>163</v>
      </c>
    </row>
    <row r="658" spans="9:22" x14ac:dyDescent="0.45">
      <c r="I658" t="s">
        <v>189</v>
      </c>
      <c r="J658" t="s">
        <v>305</v>
      </c>
      <c r="K658">
        <v>1.2121444762418839E-3</v>
      </c>
      <c r="L658" t="s">
        <v>163</v>
      </c>
      <c r="N658" t="s">
        <v>220</v>
      </c>
      <c r="O658" t="s">
        <v>305</v>
      </c>
      <c r="P658">
        <v>6.6644806780805557E-3</v>
      </c>
      <c r="Q658" t="s">
        <v>163</v>
      </c>
      <c r="S658" t="s">
        <v>251</v>
      </c>
      <c r="T658" t="s">
        <v>305</v>
      </c>
      <c r="U658">
        <v>6.7991319606144664E-3</v>
      </c>
      <c r="V658" t="s">
        <v>163</v>
      </c>
    </row>
    <row r="659" spans="9:22" x14ac:dyDescent="0.45">
      <c r="I659" t="s">
        <v>189</v>
      </c>
      <c r="J659" t="s">
        <v>172</v>
      </c>
      <c r="K659">
        <v>7.8274215385910444E-3</v>
      </c>
      <c r="L659" t="s">
        <v>163</v>
      </c>
      <c r="N659" t="s">
        <v>220</v>
      </c>
      <c r="O659" t="s">
        <v>172</v>
      </c>
      <c r="P659">
        <v>6.1077443014991559E-2</v>
      </c>
      <c r="Q659" t="s">
        <v>163</v>
      </c>
      <c r="S659" t="s">
        <v>251</v>
      </c>
      <c r="T659" t="s">
        <v>172</v>
      </c>
      <c r="U659">
        <v>3.385540733198758E-2</v>
      </c>
      <c r="V659" t="s">
        <v>163</v>
      </c>
    </row>
    <row r="660" spans="9:22" x14ac:dyDescent="0.45">
      <c r="I660" t="s">
        <v>189</v>
      </c>
      <c r="J660" t="s">
        <v>173</v>
      </c>
      <c r="K660">
        <v>2.7384265694847854E-2</v>
      </c>
      <c r="L660" t="s">
        <v>163</v>
      </c>
      <c r="N660" t="s">
        <v>220</v>
      </c>
      <c r="O660" t="s">
        <v>173</v>
      </c>
      <c r="P660">
        <v>1.4468661392342914E-2</v>
      </c>
      <c r="Q660" t="s">
        <v>163</v>
      </c>
      <c r="S660" t="s">
        <v>251</v>
      </c>
      <c r="T660" t="s">
        <v>173</v>
      </c>
      <c r="U660">
        <v>7.699191907398692E-3</v>
      </c>
      <c r="V660" t="s">
        <v>163</v>
      </c>
    </row>
    <row r="661" spans="9:22" x14ac:dyDescent="0.45">
      <c r="I661" t="s">
        <v>189</v>
      </c>
      <c r="J661" t="s">
        <v>174</v>
      </c>
      <c r="K661">
        <v>6.0284294973101414E-2</v>
      </c>
      <c r="L661" t="s">
        <v>163</v>
      </c>
      <c r="N661" t="s">
        <v>220</v>
      </c>
      <c r="O661" t="s">
        <v>174</v>
      </c>
      <c r="P661">
        <v>2.272570682689214E-2</v>
      </c>
      <c r="Q661" t="s">
        <v>163</v>
      </c>
      <c r="S661" t="s">
        <v>251</v>
      </c>
      <c r="T661" t="s">
        <v>174</v>
      </c>
      <c r="U661">
        <v>1.2842495436359938E-2</v>
      </c>
      <c r="V661" t="s">
        <v>163</v>
      </c>
    </row>
    <row r="662" spans="9:22" x14ac:dyDescent="0.45">
      <c r="I662" t="s">
        <v>189</v>
      </c>
      <c r="J662" t="s">
        <v>306</v>
      </c>
      <c r="K662">
        <v>9.0126723391069169E-2</v>
      </c>
      <c r="L662" t="s">
        <v>163</v>
      </c>
      <c r="N662" t="s">
        <v>220</v>
      </c>
      <c r="O662" t="s">
        <v>306</v>
      </c>
      <c r="P662">
        <v>3.7442311562889657E-2</v>
      </c>
      <c r="Q662" t="s">
        <v>163</v>
      </c>
      <c r="S662" t="s">
        <v>251</v>
      </c>
      <c r="T662" t="s">
        <v>306</v>
      </c>
      <c r="U662">
        <v>2.3676079714019218E-2</v>
      </c>
      <c r="V662" t="s">
        <v>163</v>
      </c>
    </row>
    <row r="663" spans="9:22" x14ac:dyDescent="0.45">
      <c r="I663" t="s">
        <v>189</v>
      </c>
      <c r="J663" t="s">
        <v>307</v>
      </c>
      <c r="K663">
        <v>9.2967529182229353E-3</v>
      </c>
      <c r="L663" t="s">
        <v>163</v>
      </c>
      <c r="N663" t="s">
        <v>220</v>
      </c>
      <c r="O663" t="s">
        <v>307</v>
      </c>
      <c r="P663">
        <v>6.6975018341822127E-3</v>
      </c>
      <c r="Q663" t="s">
        <v>163</v>
      </c>
      <c r="S663" t="s">
        <v>251</v>
      </c>
      <c r="T663" t="s">
        <v>307</v>
      </c>
      <c r="U663">
        <v>4.8081678035382493E-3</v>
      </c>
      <c r="V663" t="s">
        <v>163</v>
      </c>
    </row>
    <row r="664" spans="9:22" x14ac:dyDescent="0.45">
      <c r="I664" t="s">
        <v>189</v>
      </c>
      <c r="J664" t="s">
        <v>308</v>
      </c>
      <c r="K664">
        <v>4.4363369820513161E-3</v>
      </c>
      <c r="L664" t="s">
        <v>163</v>
      </c>
      <c r="N664" t="s">
        <v>220</v>
      </c>
      <c r="O664" t="s">
        <v>308</v>
      </c>
      <c r="P664">
        <v>3.0318390810489409E-2</v>
      </c>
      <c r="Q664" t="s">
        <v>163</v>
      </c>
      <c r="S664" t="s">
        <v>251</v>
      </c>
      <c r="T664" t="s">
        <v>308</v>
      </c>
      <c r="U664">
        <v>2.1872545795925527E-2</v>
      </c>
      <c r="V664" t="s">
        <v>163</v>
      </c>
    </row>
    <row r="665" spans="9:22" x14ac:dyDescent="0.45">
      <c r="I665" t="s">
        <v>189</v>
      </c>
      <c r="J665" t="s">
        <v>309</v>
      </c>
      <c r="K665">
        <v>2.4739272198408676E-3</v>
      </c>
      <c r="L665" t="s">
        <v>163</v>
      </c>
      <c r="N665" t="s">
        <v>220</v>
      </c>
      <c r="O665" t="s">
        <v>309</v>
      </c>
      <c r="P665">
        <v>1.7006634330696484E-2</v>
      </c>
      <c r="Q665" t="s">
        <v>163</v>
      </c>
      <c r="S665" t="s">
        <v>251</v>
      </c>
      <c r="T665" t="s">
        <v>309</v>
      </c>
      <c r="U665">
        <v>2.0761832056057538E-2</v>
      </c>
      <c r="V665" t="s">
        <v>163</v>
      </c>
    </row>
    <row r="666" spans="9:22" x14ac:dyDescent="0.45">
      <c r="I666" t="s">
        <v>189</v>
      </c>
      <c r="J666" t="s">
        <v>310</v>
      </c>
      <c r="K666">
        <v>1.1835135216750772E-2</v>
      </c>
      <c r="L666" t="s">
        <v>163</v>
      </c>
      <c r="N666" t="s">
        <v>220</v>
      </c>
      <c r="O666" t="s">
        <v>310</v>
      </c>
      <c r="P666">
        <v>3.7638823622424362E-3</v>
      </c>
      <c r="Q666" t="s">
        <v>163</v>
      </c>
      <c r="S666" t="s">
        <v>251</v>
      </c>
      <c r="T666" t="s">
        <v>310</v>
      </c>
      <c r="U666">
        <v>4.504326750441095E-3</v>
      </c>
      <c r="V666" t="s">
        <v>163</v>
      </c>
    </row>
    <row r="667" spans="9:22" x14ac:dyDescent="0.45">
      <c r="I667" t="s">
        <v>189</v>
      </c>
      <c r="J667" t="s">
        <v>311</v>
      </c>
      <c r="K667">
        <v>2.6008029092906847E-2</v>
      </c>
      <c r="L667" t="s">
        <v>163</v>
      </c>
      <c r="N667" t="s">
        <v>220</v>
      </c>
      <c r="O667" t="s">
        <v>311</v>
      </c>
      <c r="P667">
        <v>5.949794740917589E-3</v>
      </c>
      <c r="Q667" t="s">
        <v>163</v>
      </c>
      <c r="S667" t="s">
        <v>251</v>
      </c>
      <c r="T667" t="s">
        <v>311</v>
      </c>
      <c r="U667">
        <v>7.4688215303069221E-3</v>
      </c>
      <c r="V667" t="s">
        <v>163</v>
      </c>
    </row>
    <row r="668" spans="9:22" x14ac:dyDescent="0.45">
      <c r="I668" t="s">
        <v>189</v>
      </c>
      <c r="J668" t="s">
        <v>312</v>
      </c>
      <c r="K668">
        <v>3.9091186875505099E-2</v>
      </c>
      <c r="L668" t="s">
        <v>163</v>
      </c>
      <c r="N668" t="s">
        <v>220</v>
      </c>
      <c r="O668" t="s">
        <v>312</v>
      </c>
      <c r="P668">
        <v>1.1651625070094459E-2</v>
      </c>
      <c r="Q668" t="s">
        <v>163</v>
      </c>
      <c r="S668" t="s">
        <v>251</v>
      </c>
      <c r="T668" t="s">
        <v>312</v>
      </c>
      <c r="U668">
        <v>1.303683768361193E-2</v>
      </c>
      <c r="V668" t="s">
        <v>163</v>
      </c>
    </row>
    <row r="669" spans="9:22" x14ac:dyDescent="0.45">
      <c r="I669" t="s">
        <v>189</v>
      </c>
      <c r="J669" t="s">
        <v>313</v>
      </c>
      <c r="K669">
        <v>3.1917203234664588E-3</v>
      </c>
      <c r="L669" t="s">
        <v>163</v>
      </c>
      <c r="N669" t="s">
        <v>220</v>
      </c>
      <c r="O669" t="s">
        <v>313</v>
      </c>
      <c r="P669">
        <v>2.7346017105446224E-3</v>
      </c>
      <c r="Q669" t="s">
        <v>163</v>
      </c>
      <c r="S669" t="s">
        <v>251</v>
      </c>
      <c r="T669" t="s">
        <v>313</v>
      </c>
      <c r="U669">
        <v>2.7556259152219553E-3</v>
      </c>
      <c r="V669" t="s">
        <v>163</v>
      </c>
    </row>
    <row r="670" spans="9:22" x14ac:dyDescent="0.45">
      <c r="I670" t="s">
        <v>189</v>
      </c>
      <c r="J670" t="s">
        <v>314</v>
      </c>
      <c r="K670">
        <v>8.046293754842709E-7</v>
      </c>
      <c r="L670" t="s">
        <v>163</v>
      </c>
      <c r="N670" t="s">
        <v>220</v>
      </c>
      <c r="O670" t="s">
        <v>314</v>
      </c>
      <c r="P670">
        <v>1.2784085804167001E-2</v>
      </c>
      <c r="Q670" t="s">
        <v>163</v>
      </c>
      <c r="S670" t="s">
        <v>251</v>
      </c>
      <c r="T670" t="s">
        <v>314</v>
      </c>
      <c r="U670">
        <v>1.3630625321058541E-2</v>
      </c>
      <c r="V670" t="s">
        <v>163</v>
      </c>
    </row>
    <row r="671" spans="9:22" x14ac:dyDescent="0.45">
      <c r="I671" t="s">
        <v>189</v>
      </c>
      <c r="J671" t="s">
        <v>315</v>
      </c>
      <c r="K671">
        <v>1.7220721316697388E-3</v>
      </c>
      <c r="L671" t="s">
        <v>163</v>
      </c>
      <c r="N671" t="s">
        <v>220</v>
      </c>
      <c r="O671" t="s">
        <v>315</v>
      </c>
      <c r="P671">
        <v>6.0808166781811508E-2</v>
      </c>
      <c r="Q671" t="s">
        <v>163</v>
      </c>
      <c r="S671" t="s">
        <v>251</v>
      </c>
      <c r="T671" t="s">
        <v>315</v>
      </c>
      <c r="U671">
        <v>6.6548766004492665E-2</v>
      </c>
      <c r="V671" t="s">
        <v>163</v>
      </c>
    </row>
    <row r="672" spans="9:22" x14ac:dyDescent="0.45">
      <c r="I672" t="s">
        <v>189</v>
      </c>
      <c r="J672" t="s">
        <v>316</v>
      </c>
      <c r="K672">
        <v>2.1127359943815961E-2</v>
      </c>
      <c r="L672" t="s">
        <v>163</v>
      </c>
      <c r="N672" t="s">
        <v>220</v>
      </c>
      <c r="O672" t="s">
        <v>316</v>
      </c>
      <c r="P672">
        <v>1.4994338157095673E-2</v>
      </c>
      <c r="Q672" t="s">
        <v>163</v>
      </c>
      <c r="S672" t="s">
        <v>251</v>
      </c>
      <c r="T672" t="s">
        <v>316</v>
      </c>
      <c r="U672">
        <v>1.400345362294762E-2</v>
      </c>
      <c r="V672" t="s">
        <v>163</v>
      </c>
    </row>
    <row r="673" spans="9:22" x14ac:dyDescent="0.45">
      <c r="I673" t="s">
        <v>189</v>
      </c>
      <c r="J673" t="s">
        <v>317</v>
      </c>
      <c r="K673">
        <v>4.8563594177628282E-2</v>
      </c>
      <c r="L673" t="s">
        <v>163</v>
      </c>
      <c r="N673" t="s">
        <v>220</v>
      </c>
      <c r="O673" t="s">
        <v>317</v>
      </c>
      <c r="P673">
        <v>2.2782455962679381E-2</v>
      </c>
      <c r="Q673" t="s">
        <v>163</v>
      </c>
      <c r="S673" t="s">
        <v>251</v>
      </c>
      <c r="T673" t="s">
        <v>317</v>
      </c>
      <c r="U673">
        <v>2.131338984111043E-2</v>
      </c>
      <c r="V673" t="s">
        <v>163</v>
      </c>
    </row>
    <row r="674" spans="9:22" x14ac:dyDescent="0.45">
      <c r="I674" t="s">
        <v>189</v>
      </c>
      <c r="J674" t="s">
        <v>318</v>
      </c>
      <c r="K674">
        <v>6.5918936035191028E-2</v>
      </c>
      <c r="L674" t="s">
        <v>163</v>
      </c>
      <c r="N674" t="s">
        <v>220</v>
      </c>
      <c r="O674" t="s">
        <v>318</v>
      </c>
      <c r="P674">
        <v>3.9708263819768136E-2</v>
      </c>
      <c r="Q674" t="s">
        <v>163</v>
      </c>
      <c r="S674" t="s">
        <v>251</v>
      </c>
      <c r="T674" t="s">
        <v>318</v>
      </c>
      <c r="U674">
        <v>3.9165049743948903E-2</v>
      </c>
      <c r="V674" t="s">
        <v>163</v>
      </c>
    </row>
    <row r="675" spans="9:22" x14ac:dyDescent="0.45">
      <c r="I675" t="s">
        <v>189</v>
      </c>
      <c r="J675" t="s">
        <v>319</v>
      </c>
      <c r="K675">
        <v>1.0393782302724115E-3</v>
      </c>
      <c r="L675" t="s">
        <v>163</v>
      </c>
      <c r="N675" t="s">
        <v>220</v>
      </c>
      <c r="O675" t="s">
        <v>319</v>
      </c>
      <c r="P675">
        <v>8.3980676173496093E-3</v>
      </c>
      <c r="Q675" t="s">
        <v>163</v>
      </c>
      <c r="S675" t="s">
        <v>251</v>
      </c>
      <c r="T675" t="s">
        <v>319</v>
      </c>
      <c r="U675">
        <v>8.3729185560638894E-3</v>
      </c>
      <c r="V675" t="s">
        <v>163</v>
      </c>
    </row>
    <row r="676" spans="9:22" x14ac:dyDescent="0.45">
      <c r="I676" t="s">
        <v>189</v>
      </c>
      <c r="J676" t="s">
        <v>320</v>
      </c>
      <c r="K676">
        <v>0</v>
      </c>
      <c r="L676" t="s">
        <v>163</v>
      </c>
      <c r="N676" t="s">
        <v>220</v>
      </c>
      <c r="O676" t="s">
        <v>320</v>
      </c>
      <c r="P676">
        <v>3.7908471904600671E-2</v>
      </c>
      <c r="Q676" t="s">
        <v>163</v>
      </c>
      <c r="S676" t="s">
        <v>251</v>
      </c>
      <c r="T676" t="s">
        <v>320</v>
      </c>
      <c r="U676">
        <v>4.085229378344641E-2</v>
      </c>
      <c r="V676" t="s">
        <v>163</v>
      </c>
    </row>
    <row r="677" spans="9:22" x14ac:dyDescent="0.45">
      <c r="I677" t="s">
        <v>189</v>
      </c>
      <c r="J677" t="s">
        <v>321</v>
      </c>
      <c r="K677">
        <v>0</v>
      </c>
      <c r="L677" t="s">
        <v>163</v>
      </c>
      <c r="N677" t="s">
        <v>220</v>
      </c>
      <c r="O677" t="s">
        <v>321</v>
      </c>
      <c r="P677">
        <v>3.6777427734362475E-2</v>
      </c>
      <c r="Q677" t="s">
        <v>163</v>
      </c>
      <c r="S677" t="s">
        <v>251</v>
      </c>
      <c r="T677" t="s">
        <v>321</v>
      </c>
      <c r="U677">
        <v>3.9496229599999932E-2</v>
      </c>
      <c r="V677" t="s">
        <v>163</v>
      </c>
    </row>
    <row r="678" spans="9:22" x14ac:dyDescent="0.45">
      <c r="I678" t="s">
        <v>189</v>
      </c>
      <c r="J678" t="s">
        <v>322</v>
      </c>
      <c r="K678">
        <v>9.319492854884176E-3</v>
      </c>
      <c r="L678" t="s">
        <v>163</v>
      </c>
      <c r="N678" t="s">
        <v>220</v>
      </c>
      <c r="O678" t="s">
        <v>322</v>
      </c>
      <c r="P678">
        <v>9.0011218526017383E-3</v>
      </c>
      <c r="Q678" t="s">
        <v>163</v>
      </c>
      <c r="S678" t="s">
        <v>251</v>
      </c>
      <c r="T678" t="s">
        <v>322</v>
      </c>
      <c r="U678">
        <v>8.7073240090777392E-3</v>
      </c>
      <c r="V678" t="s">
        <v>163</v>
      </c>
    </row>
    <row r="679" spans="9:22" x14ac:dyDescent="0.45">
      <c r="I679" t="s">
        <v>189</v>
      </c>
      <c r="J679" t="s">
        <v>323</v>
      </c>
      <c r="K679">
        <v>2.4312971760524237E-2</v>
      </c>
      <c r="L679" t="s">
        <v>163</v>
      </c>
      <c r="N679" t="s">
        <v>220</v>
      </c>
      <c r="O679" t="s">
        <v>323</v>
      </c>
      <c r="P679">
        <v>1.5439705446672723E-2</v>
      </c>
      <c r="Q679" t="s">
        <v>163</v>
      </c>
      <c r="S679" t="s">
        <v>251</v>
      </c>
      <c r="T679" t="s">
        <v>323</v>
      </c>
      <c r="U679">
        <v>1.379844025676979E-2</v>
      </c>
      <c r="V679" t="s">
        <v>163</v>
      </c>
    </row>
    <row r="680" spans="9:22" x14ac:dyDescent="0.45">
      <c r="I680" t="s">
        <v>189</v>
      </c>
      <c r="J680" t="s">
        <v>324</v>
      </c>
      <c r="K680">
        <v>3.1378474759873307E-2</v>
      </c>
      <c r="L680" t="s">
        <v>163</v>
      </c>
      <c r="N680" t="s">
        <v>220</v>
      </c>
      <c r="O680" t="s">
        <v>324</v>
      </c>
      <c r="P680">
        <v>2.694422509481802E-2</v>
      </c>
      <c r="Q680" t="s">
        <v>163</v>
      </c>
      <c r="S680" t="s">
        <v>251</v>
      </c>
      <c r="T680" t="s">
        <v>324</v>
      </c>
      <c r="U680">
        <v>2.3783341645161129E-2</v>
      </c>
      <c r="V680" t="s">
        <v>163</v>
      </c>
    </row>
    <row r="681" spans="9:22" x14ac:dyDescent="0.45">
      <c r="I681" t="s">
        <v>189</v>
      </c>
      <c r="J681" t="s">
        <v>325</v>
      </c>
      <c r="K681">
        <v>0</v>
      </c>
      <c r="L681" t="s">
        <v>163</v>
      </c>
      <c r="N681" t="s">
        <v>220</v>
      </c>
      <c r="O681" t="s">
        <v>325</v>
      </c>
      <c r="P681">
        <v>5.1605214154153206E-3</v>
      </c>
      <c r="Q681" t="s">
        <v>163</v>
      </c>
      <c r="S681" t="s">
        <v>251</v>
      </c>
      <c r="T681" t="s">
        <v>325</v>
      </c>
      <c r="U681">
        <v>4.7726715526232926E-3</v>
      </c>
      <c r="V681" t="s">
        <v>163</v>
      </c>
    </row>
    <row r="682" spans="9:22" x14ac:dyDescent="0.45">
      <c r="I682" t="s">
        <v>189</v>
      </c>
      <c r="J682" t="s">
        <v>326</v>
      </c>
      <c r="K682">
        <v>0</v>
      </c>
      <c r="L682" t="s">
        <v>163</v>
      </c>
      <c r="N682" t="s">
        <v>220</v>
      </c>
      <c r="O682" t="s">
        <v>326</v>
      </c>
      <c r="P682">
        <v>2.3350566070585169E-2</v>
      </c>
      <c r="Q682" t="s">
        <v>163</v>
      </c>
      <c r="S682" t="s">
        <v>251</v>
      </c>
      <c r="T682" t="s">
        <v>326</v>
      </c>
      <c r="U682">
        <v>2.3499461860319312E-2</v>
      </c>
      <c r="V682" t="s">
        <v>163</v>
      </c>
    </row>
    <row r="683" spans="9:22" x14ac:dyDescent="0.45">
      <c r="I683" t="s">
        <v>190</v>
      </c>
      <c r="J683" t="s">
        <v>162</v>
      </c>
      <c r="K683">
        <v>6.8289277521758436E-3</v>
      </c>
      <c r="L683" t="s">
        <v>163</v>
      </c>
      <c r="N683" t="s">
        <v>221</v>
      </c>
      <c r="O683" t="s">
        <v>162</v>
      </c>
      <c r="P683">
        <v>0.14592282462433687</v>
      </c>
      <c r="Q683" t="s">
        <v>163</v>
      </c>
      <c r="S683" t="s">
        <v>252</v>
      </c>
      <c r="T683" t="s">
        <v>162</v>
      </c>
      <c r="U683">
        <v>0.15315056492810433</v>
      </c>
      <c r="V683" t="s">
        <v>163</v>
      </c>
    </row>
    <row r="684" spans="9:22" x14ac:dyDescent="0.45">
      <c r="I684" t="s">
        <v>190</v>
      </c>
      <c r="J684" t="s">
        <v>164</v>
      </c>
      <c r="K684">
        <v>4.5686617112448175E-2</v>
      </c>
      <c r="L684" t="s">
        <v>163</v>
      </c>
      <c r="N684" t="s">
        <v>221</v>
      </c>
      <c r="O684" t="s">
        <v>164</v>
      </c>
      <c r="P684">
        <v>3.38882794889451E-2</v>
      </c>
      <c r="Q684" t="s">
        <v>163</v>
      </c>
      <c r="S684" t="s">
        <v>252</v>
      </c>
      <c r="T684" t="s">
        <v>164</v>
      </c>
      <c r="U684">
        <v>3.5026362540181488E-2</v>
      </c>
      <c r="V684" t="s">
        <v>163</v>
      </c>
    </row>
    <row r="685" spans="9:22" x14ac:dyDescent="0.45">
      <c r="I685" t="s">
        <v>190</v>
      </c>
      <c r="J685" t="s">
        <v>165</v>
      </c>
      <c r="K685">
        <v>0.10735318590066024</v>
      </c>
      <c r="L685" t="s">
        <v>163</v>
      </c>
      <c r="N685" t="s">
        <v>221</v>
      </c>
      <c r="O685" t="s">
        <v>165</v>
      </c>
      <c r="P685">
        <v>5.2966875793828243E-2</v>
      </c>
      <c r="Q685" t="s">
        <v>163</v>
      </c>
      <c r="S685" t="s">
        <v>252</v>
      </c>
      <c r="T685" t="s">
        <v>165</v>
      </c>
      <c r="U685">
        <v>5.8136202357463349E-2</v>
      </c>
      <c r="V685" t="s">
        <v>163</v>
      </c>
    </row>
    <row r="686" spans="9:22" x14ac:dyDescent="0.45">
      <c r="I686" t="s">
        <v>190</v>
      </c>
      <c r="J686" t="s">
        <v>297</v>
      </c>
      <c r="K686">
        <v>0.15588607842167318</v>
      </c>
      <c r="L686" t="s">
        <v>163</v>
      </c>
      <c r="N686" t="s">
        <v>221</v>
      </c>
      <c r="O686" t="s">
        <v>297</v>
      </c>
      <c r="P686">
        <v>9.3717546215022221E-2</v>
      </c>
      <c r="Q686" t="s">
        <v>163</v>
      </c>
      <c r="S686" t="s">
        <v>252</v>
      </c>
      <c r="T686" t="s">
        <v>297</v>
      </c>
      <c r="U686">
        <v>0.10280250558681085</v>
      </c>
      <c r="V686" t="s">
        <v>163</v>
      </c>
    </row>
    <row r="687" spans="9:22" x14ac:dyDescent="0.45">
      <c r="I687" t="s">
        <v>190</v>
      </c>
      <c r="J687" t="s">
        <v>298</v>
      </c>
      <c r="K687">
        <v>1.0162204845635202E-2</v>
      </c>
      <c r="L687" t="s">
        <v>163</v>
      </c>
      <c r="N687" t="s">
        <v>221</v>
      </c>
      <c r="O687" t="s">
        <v>298</v>
      </c>
      <c r="P687">
        <v>1.7706240479203213E-2</v>
      </c>
      <c r="Q687" t="s">
        <v>163</v>
      </c>
      <c r="S687" t="s">
        <v>252</v>
      </c>
      <c r="T687" t="s">
        <v>298</v>
      </c>
      <c r="U687">
        <v>1.9722179158843296E-2</v>
      </c>
      <c r="V687" t="s">
        <v>163</v>
      </c>
    </row>
    <row r="688" spans="9:22" x14ac:dyDescent="0.45">
      <c r="I688" t="s">
        <v>190</v>
      </c>
      <c r="J688" t="s">
        <v>299</v>
      </c>
      <c r="K688">
        <v>9.5577839307348187E-4</v>
      </c>
      <c r="L688" t="s">
        <v>163</v>
      </c>
      <c r="N688" t="s">
        <v>221</v>
      </c>
      <c r="O688" t="s">
        <v>299</v>
      </c>
      <c r="P688">
        <v>8.451372102377866E-2</v>
      </c>
      <c r="Q688" t="s">
        <v>163</v>
      </c>
      <c r="S688" t="s">
        <v>252</v>
      </c>
      <c r="T688" t="s">
        <v>299</v>
      </c>
      <c r="U688">
        <v>9.0749964460752189E-2</v>
      </c>
      <c r="V688" t="s">
        <v>163</v>
      </c>
    </row>
    <row r="689" spans="9:22" x14ac:dyDescent="0.45">
      <c r="I689" t="s">
        <v>190</v>
      </c>
      <c r="J689" t="s">
        <v>166</v>
      </c>
      <c r="K689">
        <v>6.7405043254906176E-3</v>
      </c>
      <c r="L689" t="s">
        <v>163</v>
      </c>
      <c r="N689" t="s">
        <v>221</v>
      </c>
      <c r="O689" t="s">
        <v>166</v>
      </c>
      <c r="P689">
        <v>1.8666555445595964E-2</v>
      </c>
      <c r="Q689" t="s">
        <v>163</v>
      </c>
      <c r="S689" t="s">
        <v>252</v>
      </c>
      <c r="T689" t="s">
        <v>166</v>
      </c>
      <c r="U689">
        <v>2.2402035650173565E-2</v>
      </c>
      <c r="V689" t="s">
        <v>163</v>
      </c>
    </row>
    <row r="690" spans="9:22" x14ac:dyDescent="0.45">
      <c r="I690" t="s">
        <v>190</v>
      </c>
      <c r="J690" t="s">
        <v>167</v>
      </c>
      <c r="K690">
        <v>1.6449145765514886E-2</v>
      </c>
      <c r="L690" t="s">
        <v>163</v>
      </c>
      <c r="N690" t="s">
        <v>221</v>
      </c>
      <c r="O690" t="s">
        <v>167</v>
      </c>
      <c r="P690">
        <v>4.1786449570708215E-3</v>
      </c>
      <c r="Q690" t="s">
        <v>163</v>
      </c>
      <c r="S690" t="s">
        <v>252</v>
      </c>
      <c r="T690" t="s">
        <v>167</v>
      </c>
      <c r="U690">
        <v>4.8534467221221251E-3</v>
      </c>
      <c r="V690" t="s">
        <v>163</v>
      </c>
    </row>
    <row r="691" spans="9:22" x14ac:dyDescent="0.45">
      <c r="I691" t="s">
        <v>190</v>
      </c>
      <c r="J691" t="s">
        <v>168</v>
      </c>
      <c r="K691">
        <v>3.404355254723445E-2</v>
      </c>
      <c r="L691" t="s">
        <v>163</v>
      </c>
      <c r="N691" t="s">
        <v>221</v>
      </c>
      <c r="O691" t="s">
        <v>168</v>
      </c>
      <c r="P691">
        <v>8.4938386697857114E-3</v>
      </c>
      <c r="Q691" t="s">
        <v>163</v>
      </c>
      <c r="S691" t="s">
        <v>252</v>
      </c>
      <c r="T691" t="s">
        <v>168</v>
      </c>
      <c r="U691">
        <v>7.9654446016467675E-3</v>
      </c>
      <c r="V691" t="s">
        <v>163</v>
      </c>
    </row>
    <row r="692" spans="9:22" x14ac:dyDescent="0.45">
      <c r="I692" t="s">
        <v>190</v>
      </c>
      <c r="J692" t="s">
        <v>300</v>
      </c>
      <c r="K692">
        <v>5.1018749027672013E-2</v>
      </c>
      <c r="L692" t="s">
        <v>163</v>
      </c>
      <c r="N692" t="s">
        <v>221</v>
      </c>
      <c r="O692" t="s">
        <v>300</v>
      </c>
      <c r="P692">
        <v>1.5068029302041755E-2</v>
      </c>
      <c r="Q692" t="s">
        <v>163</v>
      </c>
      <c r="S692" t="s">
        <v>252</v>
      </c>
      <c r="T692" t="s">
        <v>300</v>
      </c>
      <c r="U692">
        <v>1.4678842086815694E-2</v>
      </c>
      <c r="V692" t="s">
        <v>163</v>
      </c>
    </row>
    <row r="693" spans="9:22" x14ac:dyDescent="0.45">
      <c r="I693" t="s">
        <v>190</v>
      </c>
      <c r="J693" t="s">
        <v>301</v>
      </c>
      <c r="K693">
        <v>5.3137654491423941E-3</v>
      </c>
      <c r="L693" t="s">
        <v>163</v>
      </c>
      <c r="N693" t="s">
        <v>221</v>
      </c>
      <c r="O693" t="s">
        <v>301</v>
      </c>
      <c r="P693">
        <v>2.4263718418312597E-3</v>
      </c>
      <c r="Q693" t="s">
        <v>163</v>
      </c>
      <c r="S693" t="s">
        <v>252</v>
      </c>
      <c r="T693" t="s">
        <v>301</v>
      </c>
      <c r="U693">
        <v>2.7597814303413765E-3</v>
      </c>
      <c r="V693" t="s">
        <v>163</v>
      </c>
    </row>
    <row r="694" spans="9:22" x14ac:dyDescent="0.45">
      <c r="I694" t="s">
        <v>190</v>
      </c>
      <c r="J694" t="s">
        <v>302</v>
      </c>
      <c r="K694">
        <v>2.387711914055039E-3</v>
      </c>
      <c r="L694" t="s">
        <v>163</v>
      </c>
      <c r="N694" t="s">
        <v>221</v>
      </c>
      <c r="O694" t="s">
        <v>302</v>
      </c>
      <c r="P694">
        <v>9.321925344598676E-3</v>
      </c>
      <c r="Q694" t="s">
        <v>163</v>
      </c>
      <c r="S694" t="s">
        <v>252</v>
      </c>
      <c r="T694" t="s">
        <v>302</v>
      </c>
      <c r="U694">
        <v>1.2430700966640038E-2</v>
      </c>
      <c r="V694" t="s">
        <v>163</v>
      </c>
    </row>
    <row r="695" spans="9:22" x14ac:dyDescent="0.45">
      <c r="I695" t="s">
        <v>190</v>
      </c>
      <c r="J695" t="s">
        <v>169</v>
      </c>
      <c r="K695">
        <v>4.183618703399063E-3</v>
      </c>
      <c r="L695" t="s">
        <v>163</v>
      </c>
      <c r="N695" t="s">
        <v>221</v>
      </c>
      <c r="O695" t="s">
        <v>169</v>
      </c>
      <c r="P695">
        <v>6.9834020635609825E-3</v>
      </c>
      <c r="Q695" t="s">
        <v>163</v>
      </c>
      <c r="S695" t="s">
        <v>252</v>
      </c>
      <c r="T695" t="s">
        <v>169</v>
      </c>
      <c r="U695">
        <v>1.0765843186383841E-2</v>
      </c>
      <c r="V695" t="s">
        <v>163</v>
      </c>
    </row>
    <row r="696" spans="9:22" x14ac:dyDescent="0.45">
      <c r="I696" t="s">
        <v>190</v>
      </c>
      <c r="J696" t="s">
        <v>170</v>
      </c>
      <c r="K696">
        <v>1.2057382011233011E-2</v>
      </c>
      <c r="L696" t="s">
        <v>163</v>
      </c>
      <c r="N696" t="s">
        <v>221</v>
      </c>
      <c r="O696" t="s">
        <v>170</v>
      </c>
      <c r="P696">
        <v>9.8971601640823075E-4</v>
      </c>
      <c r="Q696" t="s">
        <v>163</v>
      </c>
      <c r="S696" t="s">
        <v>252</v>
      </c>
      <c r="T696" t="s">
        <v>170</v>
      </c>
      <c r="U696">
        <v>2.2242976060763259E-3</v>
      </c>
      <c r="V696" t="s">
        <v>163</v>
      </c>
    </row>
    <row r="697" spans="9:22" x14ac:dyDescent="0.45">
      <c r="I697" t="s">
        <v>190</v>
      </c>
      <c r="J697" t="s">
        <v>171</v>
      </c>
      <c r="K697">
        <v>2.7196453279530061E-2</v>
      </c>
      <c r="L697" t="s">
        <v>163</v>
      </c>
      <c r="N697" t="s">
        <v>221</v>
      </c>
      <c r="O697" t="s">
        <v>171</v>
      </c>
      <c r="P697">
        <v>1.830499570012978E-3</v>
      </c>
      <c r="Q697" t="s">
        <v>163</v>
      </c>
      <c r="S697" t="s">
        <v>252</v>
      </c>
      <c r="T697" t="s">
        <v>171</v>
      </c>
      <c r="U697">
        <v>3.4158451672560834E-3</v>
      </c>
      <c r="V697" t="s">
        <v>163</v>
      </c>
    </row>
    <row r="698" spans="9:22" x14ac:dyDescent="0.45">
      <c r="I698" t="s">
        <v>190</v>
      </c>
      <c r="J698" t="s">
        <v>303</v>
      </c>
      <c r="K698">
        <v>3.9383326794290546E-2</v>
      </c>
      <c r="L698" t="s">
        <v>163</v>
      </c>
      <c r="N698" t="s">
        <v>221</v>
      </c>
      <c r="O698" t="s">
        <v>303</v>
      </c>
      <c r="P698">
        <v>4.913807260563792E-3</v>
      </c>
      <c r="Q698" t="s">
        <v>163</v>
      </c>
      <c r="S698" t="s">
        <v>252</v>
      </c>
      <c r="T698" t="s">
        <v>303</v>
      </c>
      <c r="U698">
        <v>7.2702482511328012E-3</v>
      </c>
      <c r="V698" t="s">
        <v>163</v>
      </c>
    </row>
    <row r="699" spans="9:22" x14ac:dyDescent="0.45">
      <c r="I699" t="s">
        <v>190</v>
      </c>
      <c r="J699" t="s">
        <v>304</v>
      </c>
      <c r="K699">
        <v>3.7362822707225178E-3</v>
      </c>
      <c r="L699" t="s">
        <v>163</v>
      </c>
      <c r="N699" t="s">
        <v>221</v>
      </c>
      <c r="O699" t="s">
        <v>304</v>
      </c>
      <c r="P699">
        <v>1.0405603781592219E-3</v>
      </c>
      <c r="Q699" t="s">
        <v>163</v>
      </c>
      <c r="S699" t="s">
        <v>252</v>
      </c>
      <c r="T699" t="s">
        <v>304</v>
      </c>
      <c r="U699">
        <v>1.5446156124646849E-3</v>
      </c>
      <c r="V699" t="s">
        <v>163</v>
      </c>
    </row>
    <row r="700" spans="9:22" x14ac:dyDescent="0.45">
      <c r="I700" t="s">
        <v>190</v>
      </c>
      <c r="J700" t="s">
        <v>305</v>
      </c>
      <c r="K700">
        <v>1.6873907342108512E-3</v>
      </c>
      <c r="L700" t="s">
        <v>163</v>
      </c>
      <c r="N700" t="s">
        <v>221</v>
      </c>
      <c r="O700" t="s">
        <v>305</v>
      </c>
      <c r="P700">
        <v>4.2017702031576483E-3</v>
      </c>
      <c r="Q700" t="s">
        <v>163</v>
      </c>
      <c r="S700" t="s">
        <v>252</v>
      </c>
      <c r="T700" t="s">
        <v>305</v>
      </c>
      <c r="U700">
        <v>7.1434649166132397E-3</v>
      </c>
      <c r="V700" t="s">
        <v>163</v>
      </c>
    </row>
    <row r="701" spans="9:22" x14ac:dyDescent="0.45">
      <c r="I701" t="s">
        <v>190</v>
      </c>
      <c r="J701" t="s">
        <v>172</v>
      </c>
      <c r="K701">
        <v>8.7734425574888201E-3</v>
      </c>
      <c r="L701" t="s">
        <v>163</v>
      </c>
      <c r="N701" t="s">
        <v>221</v>
      </c>
      <c r="O701" t="s">
        <v>172</v>
      </c>
      <c r="P701">
        <v>4.7141648038323263E-2</v>
      </c>
      <c r="Q701" t="s">
        <v>163</v>
      </c>
      <c r="S701" t="s">
        <v>252</v>
      </c>
      <c r="T701" t="s">
        <v>172</v>
      </c>
      <c r="U701">
        <v>3.4049051192362415E-2</v>
      </c>
      <c r="V701" t="s">
        <v>163</v>
      </c>
    </row>
    <row r="702" spans="9:22" x14ac:dyDescent="0.45">
      <c r="I702" t="s">
        <v>190</v>
      </c>
      <c r="J702" t="s">
        <v>173</v>
      </c>
      <c r="K702">
        <v>2.7397848892000108E-2</v>
      </c>
      <c r="L702" t="s">
        <v>163</v>
      </c>
      <c r="N702" t="s">
        <v>221</v>
      </c>
      <c r="O702" t="s">
        <v>173</v>
      </c>
      <c r="P702">
        <v>1.1554183803133842E-2</v>
      </c>
      <c r="Q702" t="s">
        <v>163</v>
      </c>
      <c r="S702" t="s">
        <v>252</v>
      </c>
      <c r="T702" t="s">
        <v>173</v>
      </c>
      <c r="U702">
        <v>7.0038581620732792E-3</v>
      </c>
      <c r="V702" t="s">
        <v>163</v>
      </c>
    </row>
    <row r="703" spans="9:22" x14ac:dyDescent="0.45">
      <c r="I703" t="s">
        <v>190</v>
      </c>
      <c r="J703" t="s">
        <v>174</v>
      </c>
      <c r="K703">
        <v>5.9474040991357266E-2</v>
      </c>
      <c r="L703" t="s">
        <v>163</v>
      </c>
      <c r="N703" t="s">
        <v>221</v>
      </c>
      <c r="O703" t="s">
        <v>174</v>
      </c>
      <c r="P703">
        <v>1.9184676012843443E-2</v>
      </c>
      <c r="Q703" t="s">
        <v>163</v>
      </c>
      <c r="S703" t="s">
        <v>252</v>
      </c>
      <c r="T703" t="s">
        <v>174</v>
      </c>
      <c r="U703">
        <v>1.1816307326069305E-2</v>
      </c>
      <c r="V703" t="s">
        <v>163</v>
      </c>
    </row>
    <row r="704" spans="9:22" x14ac:dyDescent="0.45">
      <c r="I704" t="s">
        <v>190</v>
      </c>
      <c r="J704" t="s">
        <v>306</v>
      </c>
      <c r="K704">
        <v>9.0874580951244607E-2</v>
      </c>
      <c r="L704" t="s">
        <v>163</v>
      </c>
      <c r="N704" t="s">
        <v>221</v>
      </c>
      <c r="O704" t="s">
        <v>306</v>
      </c>
      <c r="P704">
        <v>3.2326242183048901E-2</v>
      </c>
      <c r="Q704" t="s">
        <v>163</v>
      </c>
      <c r="S704" t="s">
        <v>252</v>
      </c>
      <c r="T704" t="s">
        <v>306</v>
      </c>
      <c r="U704">
        <v>2.236326680722683E-2</v>
      </c>
      <c r="V704" t="s">
        <v>163</v>
      </c>
    </row>
    <row r="705" spans="9:22" x14ac:dyDescent="0.45">
      <c r="I705" t="s">
        <v>190</v>
      </c>
      <c r="J705" t="s">
        <v>307</v>
      </c>
      <c r="K705">
        <v>9.3677955831725397E-3</v>
      </c>
      <c r="L705" t="s">
        <v>163</v>
      </c>
      <c r="N705" t="s">
        <v>221</v>
      </c>
      <c r="O705" t="s">
        <v>307</v>
      </c>
      <c r="P705">
        <v>5.9281432215724985E-3</v>
      </c>
      <c r="Q705" t="s">
        <v>163</v>
      </c>
      <c r="S705" t="s">
        <v>252</v>
      </c>
      <c r="T705" t="s">
        <v>307</v>
      </c>
      <c r="U705">
        <v>4.4642287321681653E-3</v>
      </c>
      <c r="V705" t="s">
        <v>163</v>
      </c>
    </row>
    <row r="706" spans="9:22" x14ac:dyDescent="0.45">
      <c r="I706" t="s">
        <v>190</v>
      </c>
      <c r="J706" t="s">
        <v>308</v>
      </c>
      <c r="K706">
        <v>4.3514768384873897E-3</v>
      </c>
      <c r="L706" t="s">
        <v>163</v>
      </c>
      <c r="N706" t="s">
        <v>221</v>
      </c>
      <c r="O706" t="s">
        <v>308</v>
      </c>
      <c r="P706">
        <v>2.5633666735287733E-2</v>
      </c>
      <c r="Q706" t="s">
        <v>163</v>
      </c>
      <c r="S706" t="s">
        <v>252</v>
      </c>
      <c r="T706" t="s">
        <v>308</v>
      </c>
      <c r="U706">
        <v>2.0006899097477489E-2</v>
      </c>
      <c r="V706" t="s">
        <v>163</v>
      </c>
    </row>
    <row r="707" spans="9:22" x14ac:dyDescent="0.45">
      <c r="I707" t="s">
        <v>190</v>
      </c>
      <c r="J707" t="s">
        <v>309</v>
      </c>
      <c r="K707">
        <v>2.88504652358552E-3</v>
      </c>
      <c r="L707" t="s">
        <v>163</v>
      </c>
      <c r="N707" t="s">
        <v>221</v>
      </c>
      <c r="O707" t="s">
        <v>309</v>
      </c>
      <c r="P707">
        <v>1.4756444609734352E-2</v>
      </c>
      <c r="Q707" t="s">
        <v>163</v>
      </c>
      <c r="S707" t="s">
        <v>252</v>
      </c>
      <c r="T707" t="s">
        <v>309</v>
      </c>
      <c r="U707">
        <v>1.3567345214249096E-2</v>
      </c>
      <c r="V707" t="s">
        <v>163</v>
      </c>
    </row>
    <row r="708" spans="9:22" x14ac:dyDescent="0.45">
      <c r="I708" t="s">
        <v>190</v>
      </c>
      <c r="J708" t="s">
        <v>310</v>
      </c>
      <c r="K708">
        <v>1.242089652933176E-2</v>
      </c>
      <c r="L708" t="s">
        <v>163</v>
      </c>
      <c r="N708" t="s">
        <v>221</v>
      </c>
      <c r="O708" t="s">
        <v>310</v>
      </c>
      <c r="P708">
        <v>3.271854084794976E-3</v>
      </c>
      <c r="Q708" t="s">
        <v>163</v>
      </c>
      <c r="S708" t="s">
        <v>252</v>
      </c>
      <c r="T708" t="s">
        <v>310</v>
      </c>
      <c r="U708">
        <v>2.7239185788299914E-3</v>
      </c>
      <c r="V708" t="s">
        <v>163</v>
      </c>
    </row>
    <row r="709" spans="9:22" x14ac:dyDescent="0.45">
      <c r="I709" t="s">
        <v>190</v>
      </c>
      <c r="J709" t="s">
        <v>311</v>
      </c>
      <c r="K709">
        <v>2.6683606696512093E-2</v>
      </c>
      <c r="L709" t="s">
        <v>163</v>
      </c>
      <c r="N709" t="s">
        <v>221</v>
      </c>
      <c r="O709" t="s">
        <v>311</v>
      </c>
      <c r="P709">
        <v>5.4841486631155185E-3</v>
      </c>
      <c r="Q709" t="s">
        <v>163</v>
      </c>
      <c r="S709" t="s">
        <v>252</v>
      </c>
      <c r="T709" t="s">
        <v>311</v>
      </c>
      <c r="U709">
        <v>5.4078116901920305E-3</v>
      </c>
      <c r="V709" t="s">
        <v>163</v>
      </c>
    </row>
    <row r="710" spans="9:22" x14ac:dyDescent="0.45">
      <c r="I710" t="s">
        <v>190</v>
      </c>
      <c r="J710" t="s">
        <v>312</v>
      </c>
      <c r="K710">
        <v>3.9052268761274524E-2</v>
      </c>
      <c r="L710" t="s">
        <v>163</v>
      </c>
      <c r="N710" t="s">
        <v>221</v>
      </c>
      <c r="O710" t="s">
        <v>312</v>
      </c>
      <c r="P710">
        <v>1.1180328676651826E-2</v>
      </c>
      <c r="Q710" t="s">
        <v>163</v>
      </c>
      <c r="S710" t="s">
        <v>252</v>
      </c>
      <c r="T710" t="s">
        <v>312</v>
      </c>
      <c r="U710">
        <v>9.7191096292595074E-3</v>
      </c>
      <c r="V710" t="s">
        <v>163</v>
      </c>
    </row>
    <row r="711" spans="9:22" x14ac:dyDescent="0.45">
      <c r="I711" t="s">
        <v>190</v>
      </c>
      <c r="J711" t="s">
        <v>313</v>
      </c>
      <c r="K711">
        <v>3.0058020396855735E-3</v>
      </c>
      <c r="L711" t="s">
        <v>163</v>
      </c>
      <c r="N711" t="s">
        <v>221</v>
      </c>
      <c r="O711" t="s">
        <v>313</v>
      </c>
      <c r="P711">
        <v>2.5304017218109659E-3</v>
      </c>
      <c r="Q711" t="s">
        <v>163</v>
      </c>
      <c r="S711" t="s">
        <v>252</v>
      </c>
      <c r="T711" t="s">
        <v>313</v>
      </c>
      <c r="U711">
        <v>1.9030478813357209E-3</v>
      </c>
      <c r="V711" t="s">
        <v>163</v>
      </c>
    </row>
    <row r="712" spans="9:22" x14ac:dyDescent="0.45">
      <c r="I712" t="s">
        <v>190</v>
      </c>
      <c r="J712" t="s">
        <v>314</v>
      </c>
      <c r="K712">
        <v>1.8942238367364017E-7</v>
      </c>
      <c r="L712" t="s">
        <v>163</v>
      </c>
      <c r="N712" t="s">
        <v>221</v>
      </c>
      <c r="O712" t="s">
        <v>314</v>
      </c>
      <c r="P712">
        <v>9.4285560399608205E-3</v>
      </c>
      <c r="Q712" t="s">
        <v>163</v>
      </c>
      <c r="S712" t="s">
        <v>252</v>
      </c>
      <c r="T712" t="s">
        <v>314</v>
      </c>
      <c r="U712">
        <v>9.0041938377598881E-3</v>
      </c>
      <c r="V712" t="s">
        <v>163</v>
      </c>
    </row>
    <row r="713" spans="9:22" x14ac:dyDescent="0.45">
      <c r="I713" t="s">
        <v>190</v>
      </c>
      <c r="J713" t="s">
        <v>315</v>
      </c>
      <c r="K713">
        <v>1.8948870735202856E-3</v>
      </c>
      <c r="L713" t="s">
        <v>163</v>
      </c>
      <c r="N713" t="s">
        <v>221</v>
      </c>
      <c r="O713" t="s">
        <v>315</v>
      </c>
      <c r="P713">
        <v>5.728859995400639E-2</v>
      </c>
      <c r="Q713" t="s">
        <v>163</v>
      </c>
      <c r="S713" t="s">
        <v>252</v>
      </c>
      <c r="T713" t="s">
        <v>315</v>
      </c>
      <c r="U713">
        <v>6.1830022142644082E-2</v>
      </c>
      <c r="V713" t="s">
        <v>163</v>
      </c>
    </row>
    <row r="714" spans="9:22" x14ac:dyDescent="0.45">
      <c r="I714" t="s">
        <v>190</v>
      </c>
      <c r="J714" t="s">
        <v>316</v>
      </c>
      <c r="K714">
        <v>2.0594316312825607E-2</v>
      </c>
      <c r="L714" t="s">
        <v>163</v>
      </c>
      <c r="N714" t="s">
        <v>221</v>
      </c>
      <c r="O714" t="s">
        <v>316</v>
      </c>
      <c r="P714">
        <v>1.3649176730115196E-2</v>
      </c>
      <c r="Q714" t="s">
        <v>163</v>
      </c>
      <c r="S714" t="s">
        <v>252</v>
      </c>
      <c r="T714" t="s">
        <v>316</v>
      </c>
      <c r="U714">
        <v>1.3173574229820972E-2</v>
      </c>
      <c r="V714" t="s">
        <v>163</v>
      </c>
    </row>
    <row r="715" spans="9:22" x14ac:dyDescent="0.45">
      <c r="I715" t="s">
        <v>190</v>
      </c>
      <c r="J715" t="s">
        <v>317</v>
      </c>
      <c r="K715">
        <v>4.6468541842247309E-2</v>
      </c>
      <c r="L715" t="s">
        <v>163</v>
      </c>
      <c r="N715" t="s">
        <v>221</v>
      </c>
      <c r="O715" t="s">
        <v>317</v>
      </c>
      <c r="P715">
        <v>2.3174601319375401E-2</v>
      </c>
      <c r="Q715" t="s">
        <v>163</v>
      </c>
      <c r="S715" t="s">
        <v>252</v>
      </c>
      <c r="T715" t="s">
        <v>317</v>
      </c>
      <c r="U715">
        <v>2.1999227308770446E-2</v>
      </c>
      <c r="V715" t="s">
        <v>163</v>
      </c>
    </row>
    <row r="716" spans="9:22" x14ac:dyDescent="0.45">
      <c r="I716" t="s">
        <v>190</v>
      </c>
      <c r="J716" t="s">
        <v>318</v>
      </c>
      <c r="K716">
        <v>6.0736764213430515E-2</v>
      </c>
      <c r="L716" t="s">
        <v>163</v>
      </c>
      <c r="N716" t="s">
        <v>221</v>
      </c>
      <c r="O716" t="s">
        <v>318</v>
      </c>
      <c r="P716">
        <v>4.1629515707296789E-2</v>
      </c>
      <c r="Q716" t="s">
        <v>163</v>
      </c>
      <c r="S716" t="s">
        <v>252</v>
      </c>
      <c r="T716" t="s">
        <v>318</v>
      </c>
      <c r="U716">
        <v>3.9629034380566142E-2</v>
      </c>
      <c r="V716" t="s">
        <v>163</v>
      </c>
    </row>
    <row r="717" spans="9:22" x14ac:dyDescent="0.45">
      <c r="I717" t="s">
        <v>190</v>
      </c>
      <c r="J717" t="s">
        <v>319</v>
      </c>
      <c r="K717">
        <v>5.8272868007143419E-4</v>
      </c>
      <c r="L717" t="s">
        <v>163</v>
      </c>
      <c r="N717" t="s">
        <v>221</v>
      </c>
      <c r="O717" t="s">
        <v>319</v>
      </c>
      <c r="P717">
        <v>7.8099566215469578E-3</v>
      </c>
      <c r="Q717" t="s">
        <v>163</v>
      </c>
      <c r="S717" t="s">
        <v>252</v>
      </c>
      <c r="T717" t="s">
        <v>319</v>
      </c>
      <c r="U717">
        <v>7.9079660362033066E-3</v>
      </c>
      <c r="V717" t="s">
        <v>163</v>
      </c>
    </row>
    <row r="718" spans="9:22" x14ac:dyDescent="0.45">
      <c r="I718" t="s">
        <v>190</v>
      </c>
      <c r="J718" t="s">
        <v>320</v>
      </c>
      <c r="K718">
        <v>0</v>
      </c>
      <c r="L718" t="s">
        <v>163</v>
      </c>
      <c r="N718" t="s">
        <v>221</v>
      </c>
      <c r="O718" t="s">
        <v>320</v>
      </c>
      <c r="P718">
        <v>3.6594913284591565E-2</v>
      </c>
      <c r="Q718" t="s">
        <v>163</v>
      </c>
      <c r="S718" t="s">
        <v>252</v>
      </c>
      <c r="T718" t="s">
        <v>320</v>
      </c>
      <c r="U718">
        <v>3.7333729510425996E-2</v>
      </c>
      <c r="V718" t="s">
        <v>163</v>
      </c>
    </row>
    <row r="719" spans="9:22" x14ac:dyDescent="0.45">
      <c r="I719" t="s">
        <v>190</v>
      </c>
      <c r="J719" t="s">
        <v>321</v>
      </c>
      <c r="K719">
        <v>0</v>
      </c>
      <c r="L719" t="s">
        <v>163</v>
      </c>
      <c r="N719" t="s">
        <v>221</v>
      </c>
      <c r="O719" t="s">
        <v>321</v>
      </c>
      <c r="P719">
        <v>3.9289461942496808E-2</v>
      </c>
      <c r="Q719" t="s">
        <v>163</v>
      </c>
      <c r="S719" t="s">
        <v>252</v>
      </c>
      <c r="T719" t="s">
        <v>321</v>
      </c>
      <c r="U719">
        <v>4.0003327038397991E-2</v>
      </c>
      <c r="V719" t="s">
        <v>163</v>
      </c>
    </row>
    <row r="720" spans="9:22" x14ac:dyDescent="0.45">
      <c r="I720" t="s">
        <v>190</v>
      </c>
      <c r="J720" t="s">
        <v>322</v>
      </c>
      <c r="K720">
        <v>7.332626084664313E-3</v>
      </c>
      <c r="L720" t="s">
        <v>163</v>
      </c>
      <c r="N720" t="s">
        <v>221</v>
      </c>
      <c r="O720" t="s">
        <v>322</v>
      </c>
      <c r="P720">
        <v>8.7899170514288173E-3</v>
      </c>
      <c r="Q720" t="s">
        <v>163</v>
      </c>
      <c r="S720" t="s">
        <v>252</v>
      </c>
      <c r="T720" t="s">
        <v>322</v>
      </c>
      <c r="U720">
        <v>8.9039999451693188E-3</v>
      </c>
      <c r="V720" t="s">
        <v>163</v>
      </c>
    </row>
    <row r="721" spans="9:22" x14ac:dyDescent="0.45">
      <c r="I721" t="s">
        <v>190</v>
      </c>
      <c r="J721" t="s">
        <v>323</v>
      </c>
      <c r="K721">
        <v>2.0700929742858847E-2</v>
      </c>
      <c r="L721" t="s">
        <v>163</v>
      </c>
      <c r="N721" t="s">
        <v>221</v>
      </c>
      <c r="O721" t="s">
        <v>323</v>
      </c>
      <c r="P721">
        <v>1.4687419165338559E-2</v>
      </c>
      <c r="Q721" t="s">
        <v>163</v>
      </c>
      <c r="S721" t="s">
        <v>252</v>
      </c>
      <c r="T721" t="s">
        <v>323</v>
      </c>
      <c r="U721">
        <v>1.4758585596107371E-2</v>
      </c>
      <c r="V721" t="s">
        <v>163</v>
      </c>
    </row>
    <row r="722" spans="9:22" x14ac:dyDescent="0.45">
      <c r="I722" t="s">
        <v>190</v>
      </c>
      <c r="J722" t="s">
        <v>324</v>
      </c>
      <c r="K722">
        <v>2.6331535015694955E-2</v>
      </c>
      <c r="L722" t="s">
        <v>163</v>
      </c>
      <c r="N722" t="s">
        <v>221</v>
      </c>
      <c r="O722" t="s">
        <v>324</v>
      </c>
      <c r="P722">
        <v>2.8315214949776558E-2</v>
      </c>
      <c r="Q722" t="s">
        <v>163</v>
      </c>
      <c r="S722" t="s">
        <v>252</v>
      </c>
      <c r="T722" t="s">
        <v>324</v>
      </c>
      <c r="U722">
        <v>2.6078223663289851E-2</v>
      </c>
      <c r="V722" t="s">
        <v>163</v>
      </c>
    </row>
    <row r="723" spans="9:22" x14ac:dyDescent="0.45">
      <c r="I723" t="s">
        <v>190</v>
      </c>
      <c r="J723" t="s">
        <v>325</v>
      </c>
      <c r="K723">
        <v>0</v>
      </c>
      <c r="L723" t="s">
        <v>163</v>
      </c>
      <c r="N723" t="s">
        <v>221</v>
      </c>
      <c r="O723" t="s">
        <v>325</v>
      </c>
      <c r="P723">
        <v>5.7646003052428015E-3</v>
      </c>
      <c r="Q723" t="s">
        <v>163</v>
      </c>
      <c r="S723" t="s">
        <v>252</v>
      </c>
      <c r="T723" t="s">
        <v>325</v>
      </c>
      <c r="U723">
        <v>5.0803700453303183E-3</v>
      </c>
      <c r="V723" t="s">
        <v>163</v>
      </c>
    </row>
    <row r="724" spans="9:22" x14ac:dyDescent="0.45">
      <c r="I724" t="s">
        <v>190</v>
      </c>
      <c r="J724" t="s">
        <v>326</v>
      </c>
      <c r="K724">
        <v>0</v>
      </c>
      <c r="L724" t="s">
        <v>163</v>
      </c>
      <c r="N724" t="s">
        <v>221</v>
      </c>
      <c r="O724" t="s">
        <v>326</v>
      </c>
      <c r="P724">
        <v>2.7755720500605888E-2</v>
      </c>
      <c r="Q724" t="s">
        <v>163</v>
      </c>
      <c r="S724" t="s">
        <v>252</v>
      </c>
      <c r="T724" t="s">
        <v>326</v>
      </c>
      <c r="U724">
        <v>2.4230556724449185E-2</v>
      </c>
      <c r="V724" t="s">
        <v>163</v>
      </c>
    </row>
    <row r="725" spans="9:22" x14ac:dyDescent="0.45">
      <c r="I725" t="s">
        <v>191</v>
      </c>
      <c r="J725" t="s">
        <v>162</v>
      </c>
      <c r="K725">
        <v>4.893283043992851E-3</v>
      </c>
      <c r="L725" t="s">
        <v>163</v>
      </c>
      <c r="N725" t="s">
        <v>222</v>
      </c>
      <c r="O725" t="s">
        <v>162</v>
      </c>
      <c r="P725">
        <v>0.12917809281288542</v>
      </c>
      <c r="Q725" t="s">
        <v>163</v>
      </c>
      <c r="S725" t="s">
        <v>253</v>
      </c>
      <c r="T725" t="s">
        <v>162</v>
      </c>
      <c r="U725">
        <v>0.12465979046494959</v>
      </c>
      <c r="V725" t="s">
        <v>163</v>
      </c>
    </row>
    <row r="726" spans="9:22" x14ac:dyDescent="0.45">
      <c r="I726" t="s">
        <v>191</v>
      </c>
      <c r="J726" t="s">
        <v>164</v>
      </c>
      <c r="K726">
        <v>4.4373878449683393E-2</v>
      </c>
      <c r="L726" t="s">
        <v>163</v>
      </c>
      <c r="N726" t="s">
        <v>222</v>
      </c>
      <c r="O726" t="s">
        <v>164</v>
      </c>
      <c r="P726">
        <v>2.6243315550626201E-2</v>
      </c>
      <c r="Q726" t="s">
        <v>163</v>
      </c>
      <c r="S726" t="s">
        <v>253</v>
      </c>
      <c r="T726" t="s">
        <v>164</v>
      </c>
      <c r="U726">
        <v>3.0397766787130159E-2</v>
      </c>
      <c r="V726" t="s">
        <v>163</v>
      </c>
    </row>
    <row r="727" spans="9:22" x14ac:dyDescent="0.45">
      <c r="I727" t="s">
        <v>191</v>
      </c>
      <c r="J727" t="s">
        <v>165</v>
      </c>
      <c r="K727">
        <v>0.10649156190330485</v>
      </c>
      <c r="L727" t="s">
        <v>163</v>
      </c>
      <c r="N727" t="s">
        <v>222</v>
      </c>
      <c r="O727" t="s">
        <v>165</v>
      </c>
      <c r="P727">
        <v>3.8142133919273687E-2</v>
      </c>
      <c r="Q727" t="s">
        <v>163</v>
      </c>
      <c r="S727" t="s">
        <v>253</v>
      </c>
      <c r="T727" t="s">
        <v>165</v>
      </c>
      <c r="U727">
        <v>4.8646088153932336E-2</v>
      </c>
      <c r="V727" t="s">
        <v>163</v>
      </c>
    </row>
    <row r="728" spans="9:22" x14ac:dyDescent="0.45">
      <c r="I728" t="s">
        <v>191</v>
      </c>
      <c r="J728" t="s">
        <v>297</v>
      </c>
      <c r="K728">
        <v>0.16390030231349373</v>
      </c>
      <c r="L728" t="s">
        <v>163</v>
      </c>
      <c r="N728" t="s">
        <v>222</v>
      </c>
      <c r="O728" t="s">
        <v>297</v>
      </c>
      <c r="P728">
        <v>7.3489719244248852E-2</v>
      </c>
      <c r="Q728" t="s">
        <v>163</v>
      </c>
      <c r="S728" t="s">
        <v>253</v>
      </c>
      <c r="T728" t="s">
        <v>297</v>
      </c>
      <c r="U728">
        <v>8.6181719126611545E-2</v>
      </c>
      <c r="V728" t="s">
        <v>163</v>
      </c>
    </row>
    <row r="729" spans="9:22" x14ac:dyDescent="0.45">
      <c r="I729" t="s">
        <v>191</v>
      </c>
      <c r="J729" t="s">
        <v>298</v>
      </c>
      <c r="K729">
        <v>1.3133227843537305E-2</v>
      </c>
      <c r="L729" t="s">
        <v>163</v>
      </c>
      <c r="N729" t="s">
        <v>222</v>
      </c>
      <c r="O729" t="s">
        <v>298</v>
      </c>
      <c r="P729">
        <v>1.5694676612968063E-2</v>
      </c>
      <c r="Q729" t="s">
        <v>163</v>
      </c>
      <c r="S729" t="s">
        <v>253</v>
      </c>
      <c r="T729" t="s">
        <v>298</v>
      </c>
      <c r="U729">
        <v>1.7423402934484182E-2</v>
      </c>
      <c r="V729" t="s">
        <v>163</v>
      </c>
    </row>
    <row r="730" spans="9:22" x14ac:dyDescent="0.45">
      <c r="I730" t="s">
        <v>191</v>
      </c>
      <c r="J730" t="s">
        <v>299</v>
      </c>
      <c r="K730">
        <v>2.0600837694376159E-3</v>
      </c>
      <c r="L730" t="s">
        <v>163</v>
      </c>
      <c r="N730" t="s">
        <v>222</v>
      </c>
      <c r="O730" t="s">
        <v>299</v>
      </c>
      <c r="P730">
        <v>7.4580373108555809E-2</v>
      </c>
      <c r="Q730" t="s">
        <v>163</v>
      </c>
      <c r="S730" t="s">
        <v>253</v>
      </c>
      <c r="T730" t="s">
        <v>299</v>
      </c>
      <c r="U730">
        <v>8.1950746571857913E-2</v>
      </c>
      <c r="V730" t="s">
        <v>163</v>
      </c>
    </row>
    <row r="731" spans="9:22" x14ac:dyDescent="0.45">
      <c r="I731" t="s">
        <v>191</v>
      </c>
      <c r="J731" t="s">
        <v>166</v>
      </c>
      <c r="K731">
        <v>6.2217356972158952E-3</v>
      </c>
      <c r="L731" t="s">
        <v>163</v>
      </c>
      <c r="N731" t="s">
        <v>222</v>
      </c>
      <c r="O731" t="s">
        <v>166</v>
      </c>
      <c r="P731">
        <v>2.1037515780198465E-2</v>
      </c>
      <c r="Q731" t="s">
        <v>163</v>
      </c>
      <c r="S731" t="s">
        <v>253</v>
      </c>
      <c r="T731" t="s">
        <v>166</v>
      </c>
      <c r="U731">
        <v>2.8636407894554496E-2</v>
      </c>
      <c r="V731" t="s">
        <v>163</v>
      </c>
    </row>
    <row r="732" spans="9:22" x14ac:dyDescent="0.45">
      <c r="I732" t="s">
        <v>191</v>
      </c>
      <c r="J732" t="s">
        <v>167</v>
      </c>
      <c r="K732">
        <v>1.5804269687679586E-2</v>
      </c>
      <c r="L732" t="s">
        <v>163</v>
      </c>
      <c r="N732" t="s">
        <v>222</v>
      </c>
      <c r="O732" t="s">
        <v>167</v>
      </c>
      <c r="P732">
        <v>4.7890279504611347E-3</v>
      </c>
      <c r="Q732" t="s">
        <v>163</v>
      </c>
      <c r="S732" t="s">
        <v>253</v>
      </c>
      <c r="T732" t="s">
        <v>167</v>
      </c>
      <c r="U732">
        <v>6.9749328930928355E-3</v>
      </c>
      <c r="V732" t="s">
        <v>163</v>
      </c>
    </row>
    <row r="733" spans="9:22" x14ac:dyDescent="0.45">
      <c r="I733" t="s">
        <v>191</v>
      </c>
      <c r="J733" t="s">
        <v>168</v>
      </c>
      <c r="K733">
        <v>3.2986871168256736E-2</v>
      </c>
      <c r="L733" t="s">
        <v>163</v>
      </c>
      <c r="N733" t="s">
        <v>222</v>
      </c>
      <c r="O733" t="s">
        <v>168</v>
      </c>
      <c r="P733">
        <v>7.8832601330674906E-3</v>
      </c>
      <c r="Q733" t="s">
        <v>163</v>
      </c>
      <c r="S733" t="s">
        <v>253</v>
      </c>
      <c r="T733" t="s">
        <v>168</v>
      </c>
      <c r="U733">
        <v>1.1092781721203178E-2</v>
      </c>
      <c r="V733" t="s">
        <v>163</v>
      </c>
    </row>
    <row r="734" spans="9:22" x14ac:dyDescent="0.45">
      <c r="I734" t="s">
        <v>191</v>
      </c>
      <c r="J734" t="s">
        <v>300</v>
      </c>
      <c r="K734">
        <v>5.1148275310493187E-2</v>
      </c>
      <c r="L734" t="s">
        <v>163</v>
      </c>
      <c r="N734" t="s">
        <v>222</v>
      </c>
      <c r="O734" t="s">
        <v>300</v>
      </c>
      <c r="P734">
        <v>1.5018755513766632E-2</v>
      </c>
      <c r="Q734" t="s">
        <v>163</v>
      </c>
      <c r="S734" t="s">
        <v>253</v>
      </c>
      <c r="T734" t="s">
        <v>300</v>
      </c>
      <c r="U734">
        <v>2.0310809803837766E-2</v>
      </c>
      <c r="V734" t="s">
        <v>163</v>
      </c>
    </row>
    <row r="735" spans="9:22" x14ac:dyDescent="0.45">
      <c r="I735" t="s">
        <v>191</v>
      </c>
      <c r="J735" t="s">
        <v>301</v>
      </c>
      <c r="K735">
        <v>5.8832822837885579E-3</v>
      </c>
      <c r="L735" t="s">
        <v>163</v>
      </c>
      <c r="N735" t="s">
        <v>222</v>
      </c>
      <c r="O735" t="s">
        <v>301</v>
      </c>
      <c r="P735">
        <v>2.9504231954687733E-3</v>
      </c>
      <c r="Q735" t="s">
        <v>163</v>
      </c>
      <c r="S735" t="s">
        <v>253</v>
      </c>
      <c r="T735" t="s">
        <v>301</v>
      </c>
      <c r="U735">
        <v>3.9679089919046453E-3</v>
      </c>
      <c r="V735" t="s">
        <v>163</v>
      </c>
    </row>
    <row r="736" spans="9:22" x14ac:dyDescent="0.45">
      <c r="I736" t="s">
        <v>191</v>
      </c>
      <c r="J736" t="s">
        <v>302</v>
      </c>
      <c r="K736">
        <v>2.9677247899692993E-3</v>
      </c>
      <c r="L736" t="s">
        <v>163</v>
      </c>
      <c r="N736" t="s">
        <v>222</v>
      </c>
      <c r="O736" t="s">
        <v>302</v>
      </c>
      <c r="P736">
        <v>1.2614974689394223E-2</v>
      </c>
      <c r="Q736" t="s">
        <v>163</v>
      </c>
      <c r="S736" t="s">
        <v>253</v>
      </c>
      <c r="T736" t="s">
        <v>302</v>
      </c>
      <c r="U736">
        <v>1.7822212002251883E-2</v>
      </c>
      <c r="V736" t="s">
        <v>163</v>
      </c>
    </row>
    <row r="737" spans="9:22" x14ac:dyDescent="0.45">
      <c r="I737" t="s">
        <v>191</v>
      </c>
      <c r="J737" t="s">
        <v>169</v>
      </c>
      <c r="K737">
        <v>3.2801609583435819E-3</v>
      </c>
      <c r="L737" t="s">
        <v>163</v>
      </c>
      <c r="N737" t="s">
        <v>222</v>
      </c>
      <c r="O737" t="s">
        <v>169</v>
      </c>
      <c r="P737">
        <v>2.3137561365466346E-2</v>
      </c>
      <c r="Q737" t="s">
        <v>163</v>
      </c>
      <c r="S737" t="s">
        <v>253</v>
      </c>
      <c r="T737" t="s">
        <v>169</v>
      </c>
      <c r="U737">
        <v>1.0017410082682946E-2</v>
      </c>
      <c r="V737" t="s">
        <v>163</v>
      </c>
    </row>
    <row r="738" spans="9:22" x14ac:dyDescent="0.45">
      <c r="I738" t="s">
        <v>191</v>
      </c>
      <c r="J738" t="s">
        <v>170</v>
      </c>
      <c r="K738">
        <v>9.61581316781197E-3</v>
      </c>
      <c r="L738" t="s">
        <v>163</v>
      </c>
      <c r="N738" t="s">
        <v>222</v>
      </c>
      <c r="O738" t="s">
        <v>170</v>
      </c>
      <c r="P738">
        <v>5.4788124793344528E-3</v>
      </c>
      <c r="Q738" t="s">
        <v>163</v>
      </c>
      <c r="S738" t="s">
        <v>253</v>
      </c>
      <c r="T738" t="s">
        <v>170</v>
      </c>
      <c r="U738">
        <v>2.1029229190166268E-3</v>
      </c>
      <c r="V738" t="s">
        <v>163</v>
      </c>
    </row>
    <row r="739" spans="9:22" x14ac:dyDescent="0.45">
      <c r="I739" t="s">
        <v>191</v>
      </c>
      <c r="J739" t="s">
        <v>171</v>
      </c>
      <c r="K739">
        <v>2.2471471578303079E-2</v>
      </c>
      <c r="L739" t="s">
        <v>163</v>
      </c>
      <c r="N739" t="s">
        <v>222</v>
      </c>
      <c r="O739" t="s">
        <v>171</v>
      </c>
      <c r="P739">
        <v>9.4426031547317959E-3</v>
      </c>
      <c r="Q739" t="s">
        <v>163</v>
      </c>
      <c r="S739" t="s">
        <v>253</v>
      </c>
      <c r="T739" t="s">
        <v>171</v>
      </c>
      <c r="U739">
        <v>3.3560622692924286E-3</v>
      </c>
      <c r="V739" t="s">
        <v>163</v>
      </c>
    </row>
    <row r="740" spans="9:22" x14ac:dyDescent="0.45">
      <c r="I740" t="s">
        <v>191</v>
      </c>
      <c r="J740" t="s">
        <v>303</v>
      </c>
      <c r="K740">
        <v>3.4374281608257569E-2</v>
      </c>
      <c r="L740" t="s">
        <v>163</v>
      </c>
      <c r="N740" t="s">
        <v>222</v>
      </c>
      <c r="O740" t="s">
        <v>303</v>
      </c>
      <c r="P740">
        <v>1.728668074473615E-2</v>
      </c>
      <c r="Q740" t="s">
        <v>163</v>
      </c>
      <c r="S740" t="s">
        <v>253</v>
      </c>
      <c r="T740" t="s">
        <v>303</v>
      </c>
      <c r="U740">
        <v>7.7710414647946743E-3</v>
      </c>
      <c r="V740" t="s">
        <v>163</v>
      </c>
    </row>
    <row r="741" spans="9:22" x14ac:dyDescent="0.45">
      <c r="I741" t="s">
        <v>191</v>
      </c>
      <c r="J741" t="s">
        <v>304</v>
      </c>
      <c r="K741">
        <v>3.4331392061586761E-3</v>
      </c>
      <c r="L741" t="s">
        <v>163</v>
      </c>
      <c r="N741" t="s">
        <v>222</v>
      </c>
      <c r="O741" t="s">
        <v>304</v>
      </c>
      <c r="P741">
        <v>3.3386373196308051E-3</v>
      </c>
      <c r="Q741" t="s">
        <v>163</v>
      </c>
      <c r="S741" t="s">
        <v>253</v>
      </c>
      <c r="T741" t="s">
        <v>304</v>
      </c>
      <c r="U741">
        <v>1.8258070433722893E-3</v>
      </c>
      <c r="V741" t="s">
        <v>163</v>
      </c>
    </row>
    <row r="742" spans="9:22" x14ac:dyDescent="0.45">
      <c r="I742" t="s">
        <v>191</v>
      </c>
      <c r="J742" t="s">
        <v>305</v>
      </c>
      <c r="K742">
        <v>1.6868982599189939E-3</v>
      </c>
      <c r="L742" t="s">
        <v>163</v>
      </c>
      <c r="N742" t="s">
        <v>222</v>
      </c>
      <c r="O742" t="s">
        <v>305</v>
      </c>
      <c r="P742">
        <v>1.3979789934811157E-2</v>
      </c>
      <c r="Q742" t="s">
        <v>163</v>
      </c>
      <c r="S742" t="s">
        <v>253</v>
      </c>
      <c r="T742" t="s">
        <v>305</v>
      </c>
      <c r="U742">
        <v>7.9650386411141295E-3</v>
      </c>
      <c r="V742" t="s">
        <v>163</v>
      </c>
    </row>
    <row r="743" spans="9:22" x14ac:dyDescent="0.45">
      <c r="I743" t="s">
        <v>191</v>
      </c>
      <c r="J743" t="s">
        <v>172</v>
      </c>
      <c r="K743">
        <v>7.1206482842584408E-3</v>
      </c>
      <c r="L743" t="s">
        <v>163</v>
      </c>
      <c r="N743" t="s">
        <v>222</v>
      </c>
      <c r="O743" t="s">
        <v>172</v>
      </c>
      <c r="P743">
        <v>3.742686273327106E-2</v>
      </c>
      <c r="Q743" t="s">
        <v>163</v>
      </c>
      <c r="S743" t="s">
        <v>253</v>
      </c>
      <c r="T743" t="s">
        <v>172</v>
      </c>
      <c r="U743">
        <v>3.6328866290407248E-2</v>
      </c>
      <c r="V743" t="s">
        <v>163</v>
      </c>
    </row>
    <row r="744" spans="9:22" x14ac:dyDescent="0.45">
      <c r="I744" t="s">
        <v>191</v>
      </c>
      <c r="J744" t="s">
        <v>173</v>
      </c>
      <c r="K744">
        <v>2.5230624914313132E-2</v>
      </c>
      <c r="L744" t="s">
        <v>163</v>
      </c>
      <c r="N744" t="s">
        <v>222</v>
      </c>
      <c r="O744" t="s">
        <v>173</v>
      </c>
      <c r="P744">
        <v>7.8351488624884766E-3</v>
      </c>
      <c r="Q744" t="s">
        <v>163</v>
      </c>
      <c r="S744" t="s">
        <v>253</v>
      </c>
      <c r="T744" t="s">
        <v>173</v>
      </c>
      <c r="U744">
        <v>9.2765342451665619E-3</v>
      </c>
      <c r="V744" t="s">
        <v>163</v>
      </c>
    </row>
    <row r="745" spans="9:22" x14ac:dyDescent="0.45">
      <c r="I745" t="s">
        <v>191</v>
      </c>
      <c r="J745" t="s">
        <v>174</v>
      </c>
      <c r="K745">
        <v>5.8383776097123898E-2</v>
      </c>
      <c r="L745" t="s">
        <v>163</v>
      </c>
      <c r="N745" t="s">
        <v>222</v>
      </c>
      <c r="O745" t="s">
        <v>174</v>
      </c>
      <c r="P745">
        <v>1.3789935984892412E-2</v>
      </c>
      <c r="Q745" t="s">
        <v>163</v>
      </c>
      <c r="S745" t="s">
        <v>253</v>
      </c>
      <c r="T745" t="s">
        <v>174</v>
      </c>
      <c r="U745">
        <v>1.4976004177188086E-2</v>
      </c>
      <c r="V745" t="s">
        <v>163</v>
      </c>
    </row>
    <row r="746" spans="9:22" x14ac:dyDescent="0.45">
      <c r="I746" t="s">
        <v>191</v>
      </c>
      <c r="J746" t="s">
        <v>306</v>
      </c>
      <c r="K746">
        <v>9.1815045802940892E-2</v>
      </c>
      <c r="L746" t="s">
        <v>163</v>
      </c>
      <c r="N746" t="s">
        <v>222</v>
      </c>
      <c r="O746" t="s">
        <v>306</v>
      </c>
      <c r="P746">
        <v>2.976831906073437E-2</v>
      </c>
      <c r="Q746" t="s">
        <v>163</v>
      </c>
      <c r="S746" t="s">
        <v>253</v>
      </c>
      <c r="T746" t="s">
        <v>306</v>
      </c>
      <c r="U746">
        <v>2.7303917089844004E-2</v>
      </c>
      <c r="V746" t="s">
        <v>163</v>
      </c>
    </row>
    <row r="747" spans="9:22" x14ac:dyDescent="0.45">
      <c r="I747" t="s">
        <v>191</v>
      </c>
      <c r="J747" t="s">
        <v>307</v>
      </c>
      <c r="K747">
        <v>1.0040000450079927E-2</v>
      </c>
      <c r="L747" t="s">
        <v>163</v>
      </c>
      <c r="N747" t="s">
        <v>222</v>
      </c>
      <c r="O747" t="s">
        <v>307</v>
      </c>
      <c r="P747">
        <v>5.9267521099499775E-3</v>
      </c>
      <c r="Q747" t="s">
        <v>163</v>
      </c>
      <c r="S747" t="s">
        <v>253</v>
      </c>
      <c r="T747" t="s">
        <v>307</v>
      </c>
      <c r="U747">
        <v>5.4809411752266054E-3</v>
      </c>
      <c r="V747" t="s">
        <v>163</v>
      </c>
    </row>
    <row r="748" spans="9:22" x14ac:dyDescent="0.45">
      <c r="I748" t="s">
        <v>191</v>
      </c>
      <c r="J748" t="s">
        <v>308</v>
      </c>
      <c r="K748">
        <v>4.9072891420031354E-3</v>
      </c>
      <c r="L748" t="s">
        <v>163</v>
      </c>
      <c r="N748" t="s">
        <v>222</v>
      </c>
      <c r="O748" t="s">
        <v>308</v>
      </c>
      <c r="P748">
        <v>2.5067794609297131E-2</v>
      </c>
      <c r="Q748" t="s">
        <v>163</v>
      </c>
      <c r="S748" t="s">
        <v>253</v>
      </c>
      <c r="T748" t="s">
        <v>308</v>
      </c>
      <c r="U748">
        <v>2.4135156116919187E-2</v>
      </c>
      <c r="V748" t="s">
        <v>163</v>
      </c>
    </row>
    <row r="749" spans="9:22" x14ac:dyDescent="0.45">
      <c r="I749" t="s">
        <v>191</v>
      </c>
      <c r="J749" t="s">
        <v>309</v>
      </c>
      <c r="K749">
        <v>2.6707256404293399E-3</v>
      </c>
      <c r="L749" t="s">
        <v>163</v>
      </c>
      <c r="N749" t="s">
        <v>222</v>
      </c>
      <c r="O749" t="s">
        <v>309</v>
      </c>
      <c r="P749">
        <v>2.7041729684627466E-2</v>
      </c>
      <c r="Q749" t="s">
        <v>163</v>
      </c>
      <c r="S749" t="s">
        <v>253</v>
      </c>
      <c r="T749" t="s">
        <v>309</v>
      </c>
      <c r="U749">
        <v>2.3751523255058703E-2</v>
      </c>
      <c r="V749" t="s">
        <v>163</v>
      </c>
    </row>
    <row r="750" spans="9:22" x14ac:dyDescent="0.45">
      <c r="I750" t="s">
        <v>191</v>
      </c>
      <c r="J750" t="s">
        <v>310</v>
      </c>
      <c r="K750">
        <v>1.2428225867959606E-2</v>
      </c>
      <c r="L750" t="s">
        <v>163</v>
      </c>
      <c r="N750" t="s">
        <v>222</v>
      </c>
      <c r="O750" t="s">
        <v>310</v>
      </c>
      <c r="P750">
        <v>5.881495521143274E-3</v>
      </c>
      <c r="Q750" t="s">
        <v>163</v>
      </c>
      <c r="S750" t="s">
        <v>253</v>
      </c>
      <c r="T750" t="s">
        <v>310</v>
      </c>
      <c r="U750">
        <v>5.7226663452890373E-3</v>
      </c>
      <c r="V750" t="s">
        <v>163</v>
      </c>
    </row>
    <row r="751" spans="9:22" x14ac:dyDescent="0.45">
      <c r="I751" t="s">
        <v>191</v>
      </c>
      <c r="J751" t="s">
        <v>311</v>
      </c>
      <c r="K751">
        <v>2.6950033653208513E-2</v>
      </c>
      <c r="L751" t="s">
        <v>163</v>
      </c>
      <c r="N751" t="s">
        <v>222</v>
      </c>
      <c r="O751" t="s">
        <v>311</v>
      </c>
      <c r="P751">
        <v>9.1021600544981419E-3</v>
      </c>
      <c r="Q751" t="s">
        <v>163</v>
      </c>
      <c r="S751" t="s">
        <v>253</v>
      </c>
      <c r="T751" t="s">
        <v>311</v>
      </c>
      <c r="U751">
        <v>9.3438318169068862E-3</v>
      </c>
      <c r="V751" t="s">
        <v>163</v>
      </c>
    </row>
    <row r="752" spans="9:22" x14ac:dyDescent="0.45">
      <c r="I752" t="s">
        <v>191</v>
      </c>
      <c r="J752" t="s">
        <v>312</v>
      </c>
      <c r="K752">
        <v>4.0241472036923347E-2</v>
      </c>
      <c r="L752" t="s">
        <v>163</v>
      </c>
      <c r="N752" t="s">
        <v>222</v>
      </c>
      <c r="O752" t="s">
        <v>312</v>
      </c>
      <c r="P752">
        <v>1.5444147136179752E-2</v>
      </c>
      <c r="Q752" t="s">
        <v>163</v>
      </c>
      <c r="S752" t="s">
        <v>253</v>
      </c>
      <c r="T752" t="s">
        <v>312</v>
      </c>
      <c r="U752">
        <v>1.6833617879953054E-2</v>
      </c>
      <c r="V752" t="s">
        <v>163</v>
      </c>
    </row>
    <row r="753" spans="9:22" x14ac:dyDescent="0.45">
      <c r="I753" t="s">
        <v>191</v>
      </c>
      <c r="J753" t="s">
        <v>313</v>
      </c>
      <c r="K753">
        <v>3.4069701159496475E-3</v>
      </c>
      <c r="L753" t="s">
        <v>163</v>
      </c>
      <c r="N753" t="s">
        <v>222</v>
      </c>
      <c r="O753" t="s">
        <v>313</v>
      </c>
      <c r="P753">
        <v>3.1727345177474556E-3</v>
      </c>
      <c r="Q753" t="s">
        <v>163</v>
      </c>
      <c r="S753" t="s">
        <v>253</v>
      </c>
      <c r="T753" t="s">
        <v>313</v>
      </c>
      <c r="U753">
        <v>3.3332281227335735E-3</v>
      </c>
      <c r="V753" t="s">
        <v>163</v>
      </c>
    </row>
    <row r="754" spans="9:22" x14ac:dyDescent="0.45">
      <c r="I754" t="s">
        <v>191</v>
      </c>
      <c r="J754" t="s">
        <v>314</v>
      </c>
      <c r="K754">
        <v>2.0038050731758371E-6</v>
      </c>
      <c r="L754" t="s">
        <v>163</v>
      </c>
      <c r="N754" t="s">
        <v>222</v>
      </c>
      <c r="O754" t="s">
        <v>314</v>
      </c>
      <c r="P754">
        <v>1.5320773609294657E-2</v>
      </c>
      <c r="Q754" t="s">
        <v>163</v>
      </c>
      <c r="S754" t="s">
        <v>253</v>
      </c>
      <c r="T754" t="s">
        <v>314</v>
      </c>
      <c r="U754">
        <v>1.493326613230514E-2</v>
      </c>
      <c r="V754" t="s">
        <v>163</v>
      </c>
    </row>
    <row r="755" spans="9:22" x14ac:dyDescent="0.45">
      <c r="I755" t="s">
        <v>191</v>
      </c>
      <c r="J755" t="s">
        <v>315</v>
      </c>
      <c r="K755">
        <v>1.562952613883824E-3</v>
      </c>
      <c r="L755" t="s">
        <v>163</v>
      </c>
      <c r="N755" t="s">
        <v>222</v>
      </c>
      <c r="O755" t="s">
        <v>315</v>
      </c>
      <c r="P755">
        <v>7.0401560836847579E-2</v>
      </c>
      <c r="Q755" t="s">
        <v>163</v>
      </c>
      <c r="S755" t="s">
        <v>253</v>
      </c>
      <c r="T755" t="s">
        <v>315</v>
      </c>
      <c r="U755">
        <v>6.1976806908462752E-2</v>
      </c>
      <c r="V755" t="s">
        <v>163</v>
      </c>
    </row>
    <row r="756" spans="9:22" x14ac:dyDescent="0.45">
      <c r="I756" t="s">
        <v>191</v>
      </c>
      <c r="J756" t="s">
        <v>316</v>
      </c>
      <c r="K756">
        <v>2.075242892902986E-2</v>
      </c>
      <c r="L756" t="s">
        <v>163</v>
      </c>
      <c r="N756" t="s">
        <v>222</v>
      </c>
      <c r="O756" t="s">
        <v>316</v>
      </c>
      <c r="P756">
        <v>1.6082147578345418E-2</v>
      </c>
      <c r="Q756" t="s">
        <v>163</v>
      </c>
      <c r="S756" t="s">
        <v>253</v>
      </c>
      <c r="T756" t="s">
        <v>316</v>
      </c>
      <c r="U756">
        <v>1.3667041048575371E-2</v>
      </c>
      <c r="V756" t="s">
        <v>163</v>
      </c>
    </row>
    <row r="757" spans="9:22" x14ac:dyDescent="0.45">
      <c r="I757" t="s">
        <v>191</v>
      </c>
      <c r="J757" t="s">
        <v>317</v>
      </c>
      <c r="K757">
        <v>4.7453762537960291E-2</v>
      </c>
      <c r="L757" t="s">
        <v>163</v>
      </c>
      <c r="N757" t="s">
        <v>222</v>
      </c>
      <c r="O757" t="s">
        <v>317</v>
      </c>
      <c r="P757">
        <v>2.5202315206938806E-2</v>
      </c>
      <c r="Q757" t="s">
        <v>163</v>
      </c>
      <c r="S757" t="s">
        <v>253</v>
      </c>
      <c r="T757" t="s">
        <v>317</v>
      </c>
      <c r="U757">
        <v>2.1348600079796318E-2</v>
      </c>
      <c r="V757" t="s">
        <v>163</v>
      </c>
    </row>
    <row r="758" spans="9:22" x14ac:dyDescent="0.45">
      <c r="I758" t="s">
        <v>191</v>
      </c>
      <c r="J758" t="s">
        <v>318</v>
      </c>
      <c r="K758">
        <v>6.4617431284727203E-2</v>
      </c>
      <c r="L758" t="s">
        <v>163</v>
      </c>
      <c r="N758" t="s">
        <v>222</v>
      </c>
      <c r="O758" t="s">
        <v>318</v>
      </c>
      <c r="P758">
        <v>4.4135731533769859E-2</v>
      </c>
      <c r="Q758" t="s">
        <v>163</v>
      </c>
      <c r="S758" t="s">
        <v>253</v>
      </c>
      <c r="T758" t="s">
        <v>318</v>
      </c>
      <c r="U758">
        <v>3.8303700560429164E-2</v>
      </c>
      <c r="V758" t="s">
        <v>163</v>
      </c>
    </row>
    <row r="759" spans="9:22" x14ac:dyDescent="0.45">
      <c r="I759" t="s">
        <v>191</v>
      </c>
      <c r="J759" t="s">
        <v>319</v>
      </c>
      <c r="K759">
        <v>1.3176076618761443E-3</v>
      </c>
      <c r="L759" t="s">
        <v>163</v>
      </c>
      <c r="N759" t="s">
        <v>222</v>
      </c>
      <c r="O759" t="s">
        <v>319</v>
      </c>
      <c r="P759">
        <v>8.804601705431736E-3</v>
      </c>
      <c r="Q759" t="s">
        <v>163</v>
      </c>
      <c r="S759" t="s">
        <v>253</v>
      </c>
      <c r="T759" t="s">
        <v>319</v>
      </c>
      <c r="U759">
        <v>8.064926528647879E-3</v>
      </c>
      <c r="V759" t="s">
        <v>163</v>
      </c>
    </row>
    <row r="760" spans="9:22" x14ac:dyDescent="0.45">
      <c r="I760" t="s">
        <v>191</v>
      </c>
      <c r="J760" t="s">
        <v>320</v>
      </c>
      <c r="K760">
        <v>0</v>
      </c>
      <c r="L760" t="s">
        <v>163</v>
      </c>
      <c r="N760" t="s">
        <v>222</v>
      </c>
      <c r="O760" t="s">
        <v>320</v>
      </c>
      <c r="P760">
        <v>4.1462487793179487E-2</v>
      </c>
      <c r="Q760" t="s">
        <v>163</v>
      </c>
      <c r="S760" t="s">
        <v>253</v>
      </c>
      <c r="T760" t="s">
        <v>320</v>
      </c>
      <c r="U760">
        <v>4.0897739711223624E-2</v>
      </c>
      <c r="V760" t="s">
        <v>163</v>
      </c>
    </row>
    <row r="761" spans="9:22" x14ac:dyDescent="0.45">
      <c r="I761" t="s">
        <v>191</v>
      </c>
      <c r="J761" t="s">
        <v>321</v>
      </c>
      <c r="K761">
        <v>0</v>
      </c>
      <c r="L761" t="s">
        <v>163</v>
      </c>
      <c r="N761" t="s">
        <v>222</v>
      </c>
      <c r="O761" t="s">
        <v>321</v>
      </c>
      <c r="P761">
        <v>3.3721139794014886E-2</v>
      </c>
      <c r="Q761" t="s">
        <v>163</v>
      </c>
      <c r="S761" t="s">
        <v>253</v>
      </c>
      <c r="T761" t="s">
        <v>321</v>
      </c>
      <c r="U761">
        <v>3.8809851024608377E-2</v>
      </c>
      <c r="V761" t="s">
        <v>163</v>
      </c>
    </row>
    <row r="762" spans="9:22" x14ac:dyDescent="0.45">
      <c r="I762" t="s">
        <v>191</v>
      </c>
      <c r="J762" t="s">
        <v>322</v>
      </c>
      <c r="K762">
        <v>7.5344642041478309E-3</v>
      </c>
      <c r="L762" t="s">
        <v>163</v>
      </c>
      <c r="N762" t="s">
        <v>222</v>
      </c>
      <c r="O762" t="s">
        <v>322</v>
      </c>
      <c r="P762">
        <v>7.8636126644894087E-3</v>
      </c>
      <c r="Q762" t="s">
        <v>163</v>
      </c>
      <c r="S762" t="s">
        <v>253</v>
      </c>
      <c r="T762" t="s">
        <v>322</v>
      </c>
      <c r="U762">
        <v>9.2559926150046126E-3</v>
      </c>
      <c r="V762" t="s">
        <v>163</v>
      </c>
    </row>
    <row r="763" spans="9:22" x14ac:dyDescent="0.45">
      <c r="I763" t="s">
        <v>191</v>
      </c>
      <c r="J763" t="s">
        <v>323</v>
      </c>
      <c r="K763">
        <v>2.1392870577651719E-2</v>
      </c>
      <c r="L763" t="s">
        <v>163</v>
      </c>
      <c r="N763" t="s">
        <v>222</v>
      </c>
      <c r="O763" t="s">
        <v>323</v>
      </c>
      <c r="P763">
        <v>1.2658668021229053E-2</v>
      </c>
      <c r="Q763" t="s">
        <v>163</v>
      </c>
      <c r="S763" t="s">
        <v>253</v>
      </c>
      <c r="T763" t="s">
        <v>323</v>
      </c>
      <c r="U763">
        <v>1.4070417491975646E-2</v>
      </c>
      <c r="V763" t="s">
        <v>163</v>
      </c>
    </row>
    <row r="764" spans="9:22" x14ac:dyDescent="0.45">
      <c r="I764" t="s">
        <v>191</v>
      </c>
      <c r="J764" t="s">
        <v>324</v>
      </c>
      <c r="K764">
        <v>2.7445405340812492E-2</v>
      </c>
      <c r="L764" t="s">
        <v>163</v>
      </c>
      <c r="N764" t="s">
        <v>222</v>
      </c>
      <c r="O764" t="s">
        <v>324</v>
      </c>
      <c r="P764">
        <v>2.2789906399267562E-2</v>
      </c>
      <c r="Q764" t="s">
        <v>163</v>
      </c>
      <c r="S764" t="s">
        <v>253</v>
      </c>
      <c r="T764" t="s">
        <v>324</v>
      </c>
      <c r="U764">
        <v>2.3693337528755323E-2</v>
      </c>
      <c r="V764" t="s">
        <v>163</v>
      </c>
    </row>
    <row r="765" spans="9:22" x14ac:dyDescent="0.45">
      <c r="I765" t="s">
        <v>191</v>
      </c>
      <c r="J765" t="s">
        <v>325</v>
      </c>
      <c r="K765">
        <v>0</v>
      </c>
      <c r="L765" t="s">
        <v>163</v>
      </c>
      <c r="N765" t="s">
        <v>222</v>
      </c>
      <c r="O765" t="s">
        <v>325</v>
      </c>
      <c r="P765">
        <v>4.6803362865769013E-3</v>
      </c>
      <c r="Q765" t="s">
        <v>163</v>
      </c>
      <c r="S765" t="s">
        <v>253</v>
      </c>
      <c r="T765" t="s">
        <v>325</v>
      </c>
      <c r="U765">
        <v>4.695595123965151E-3</v>
      </c>
      <c r="V765" t="s">
        <v>163</v>
      </c>
    </row>
    <row r="766" spans="9:22" x14ac:dyDescent="0.45">
      <c r="I766" t="s">
        <v>191</v>
      </c>
      <c r="J766" t="s">
        <v>326</v>
      </c>
      <c r="K766">
        <v>0</v>
      </c>
      <c r="L766" t="s">
        <v>163</v>
      </c>
      <c r="N766" t="s">
        <v>222</v>
      </c>
      <c r="O766" t="s">
        <v>326</v>
      </c>
      <c r="P766">
        <v>2.2133284786159245E-2</v>
      </c>
      <c r="Q766" t="s">
        <v>163</v>
      </c>
      <c r="S766" t="s">
        <v>253</v>
      </c>
      <c r="T766" t="s">
        <v>326</v>
      </c>
      <c r="U766">
        <v>2.2693588965475776E-2</v>
      </c>
      <c r="V766" t="s">
        <v>163</v>
      </c>
    </row>
    <row r="767" spans="9:22" x14ac:dyDescent="0.45">
      <c r="I767" t="s">
        <v>192</v>
      </c>
      <c r="J767" t="s">
        <v>162</v>
      </c>
      <c r="K767">
        <v>6.4213503964617429E-3</v>
      </c>
      <c r="L767" t="s">
        <v>163</v>
      </c>
      <c r="N767" t="s">
        <v>223</v>
      </c>
      <c r="O767" t="s">
        <v>162</v>
      </c>
      <c r="P767">
        <v>0.12538024592240568</v>
      </c>
      <c r="Q767" t="s">
        <v>163</v>
      </c>
      <c r="S767" t="s">
        <v>254</v>
      </c>
      <c r="T767" t="s">
        <v>162</v>
      </c>
      <c r="U767">
        <v>0.13560381306926947</v>
      </c>
      <c r="V767" t="s">
        <v>163</v>
      </c>
    </row>
    <row r="768" spans="9:22" x14ac:dyDescent="0.45">
      <c r="I768" t="s">
        <v>192</v>
      </c>
      <c r="J768" t="s">
        <v>164</v>
      </c>
      <c r="K768">
        <v>4.9768198778465611E-2</v>
      </c>
      <c r="L768" t="s">
        <v>163</v>
      </c>
      <c r="N768" t="s">
        <v>223</v>
      </c>
      <c r="O768" t="s">
        <v>164</v>
      </c>
      <c r="P768">
        <v>2.5868789805886531E-2</v>
      </c>
      <c r="Q768" t="s">
        <v>163</v>
      </c>
      <c r="S768" t="s">
        <v>254</v>
      </c>
      <c r="T768" t="s">
        <v>164</v>
      </c>
      <c r="U768">
        <v>3.5103406045610581E-2</v>
      </c>
      <c r="V768" t="s">
        <v>163</v>
      </c>
    </row>
    <row r="769" spans="9:22" x14ac:dyDescent="0.45">
      <c r="I769" t="s">
        <v>192</v>
      </c>
      <c r="J769" t="s">
        <v>165</v>
      </c>
      <c r="K769">
        <v>0.11104083708940021</v>
      </c>
      <c r="L769" t="s">
        <v>163</v>
      </c>
      <c r="N769" t="s">
        <v>223</v>
      </c>
      <c r="O769" t="s">
        <v>165</v>
      </c>
      <c r="P769">
        <v>4.0207416181466747E-2</v>
      </c>
      <c r="Q769" t="s">
        <v>163</v>
      </c>
      <c r="S769" t="s">
        <v>254</v>
      </c>
      <c r="T769" t="s">
        <v>165</v>
      </c>
      <c r="U769">
        <v>5.568158993366399E-2</v>
      </c>
      <c r="V769" t="s">
        <v>163</v>
      </c>
    </row>
    <row r="770" spans="9:22" x14ac:dyDescent="0.45">
      <c r="I770" t="s">
        <v>192</v>
      </c>
      <c r="J770" t="s">
        <v>297</v>
      </c>
      <c r="K770">
        <v>0.16023303701238514</v>
      </c>
      <c r="L770" t="s">
        <v>163</v>
      </c>
      <c r="N770" t="s">
        <v>223</v>
      </c>
      <c r="O770" t="s">
        <v>297</v>
      </c>
      <c r="P770">
        <v>7.8188443713679848E-2</v>
      </c>
      <c r="Q770" t="s">
        <v>163</v>
      </c>
      <c r="S770" t="s">
        <v>254</v>
      </c>
      <c r="T770" t="s">
        <v>297</v>
      </c>
      <c r="U770">
        <v>8.8492867259550925E-2</v>
      </c>
      <c r="V770" t="s">
        <v>163</v>
      </c>
    </row>
    <row r="771" spans="9:22" x14ac:dyDescent="0.45">
      <c r="I771" t="s">
        <v>192</v>
      </c>
      <c r="J771" t="s">
        <v>298</v>
      </c>
      <c r="K771">
        <v>1.1670155297881383E-2</v>
      </c>
      <c r="L771" t="s">
        <v>163</v>
      </c>
      <c r="N771" t="s">
        <v>223</v>
      </c>
      <c r="O771" t="s">
        <v>298</v>
      </c>
      <c r="P771">
        <v>1.4490960986878286E-2</v>
      </c>
      <c r="Q771" t="s">
        <v>163</v>
      </c>
      <c r="S771" t="s">
        <v>254</v>
      </c>
      <c r="T771" t="s">
        <v>298</v>
      </c>
      <c r="U771">
        <v>1.6995011240699548E-2</v>
      </c>
      <c r="V771" t="s">
        <v>163</v>
      </c>
    </row>
    <row r="772" spans="9:22" x14ac:dyDescent="0.45">
      <c r="I772" t="s">
        <v>192</v>
      </c>
      <c r="J772" t="s">
        <v>299</v>
      </c>
      <c r="K772">
        <v>1.0837929248047945E-3</v>
      </c>
      <c r="L772" t="s">
        <v>163</v>
      </c>
      <c r="N772" t="s">
        <v>223</v>
      </c>
      <c r="O772" t="s">
        <v>299</v>
      </c>
      <c r="P772">
        <v>7.8297402608311611E-2</v>
      </c>
      <c r="Q772" t="s">
        <v>163</v>
      </c>
      <c r="S772" t="s">
        <v>254</v>
      </c>
      <c r="T772" t="s">
        <v>299</v>
      </c>
      <c r="U772">
        <v>7.7965600206045621E-2</v>
      </c>
      <c r="V772" t="s">
        <v>163</v>
      </c>
    </row>
    <row r="773" spans="9:22" x14ac:dyDescent="0.45">
      <c r="I773" t="s">
        <v>192</v>
      </c>
      <c r="J773" t="s">
        <v>166</v>
      </c>
      <c r="K773">
        <v>7.138720109002062E-3</v>
      </c>
      <c r="L773" t="s">
        <v>163</v>
      </c>
      <c r="N773" t="s">
        <v>223</v>
      </c>
      <c r="O773" t="s">
        <v>166</v>
      </c>
      <c r="P773">
        <v>2.0676854042467475E-2</v>
      </c>
      <c r="Q773" t="s">
        <v>163</v>
      </c>
      <c r="S773" t="s">
        <v>254</v>
      </c>
      <c r="T773" t="s">
        <v>166</v>
      </c>
      <c r="U773">
        <v>2.8304600898400374E-2</v>
      </c>
      <c r="V773" t="s">
        <v>163</v>
      </c>
    </row>
    <row r="774" spans="9:22" x14ac:dyDescent="0.45">
      <c r="I774" t="s">
        <v>192</v>
      </c>
      <c r="J774" t="s">
        <v>167</v>
      </c>
      <c r="K774">
        <v>1.6870113937233866E-2</v>
      </c>
      <c r="L774" t="s">
        <v>163</v>
      </c>
      <c r="N774" t="s">
        <v>223</v>
      </c>
      <c r="O774" t="s">
        <v>167</v>
      </c>
      <c r="P774">
        <v>4.7749246395916425E-3</v>
      </c>
      <c r="Q774" t="s">
        <v>163</v>
      </c>
      <c r="S774" t="s">
        <v>254</v>
      </c>
      <c r="T774" t="s">
        <v>167</v>
      </c>
      <c r="U774">
        <v>5.9809425799076787E-3</v>
      </c>
      <c r="V774" t="s">
        <v>163</v>
      </c>
    </row>
    <row r="775" spans="9:22" x14ac:dyDescent="0.45">
      <c r="I775" t="s">
        <v>192</v>
      </c>
      <c r="J775" t="s">
        <v>168</v>
      </c>
      <c r="K775">
        <v>3.3148714300353758E-2</v>
      </c>
      <c r="L775" t="s">
        <v>163</v>
      </c>
      <c r="N775" t="s">
        <v>223</v>
      </c>
      <c r="O775" t="s">
        <v>168</v>
      </c>
      <c r="P775">
        <v>7.0626063499286519E-3</v>
      </c>
      <c r="Q775" t="s">
        <v>163</v>
      </c>
      <c r="S775" t="s">
        <v>254</v>
      </c>
      <c r="T775" t="s">
        <v>168</v>
      </c>
      <c r="U775">
        <v>8.7436610116729662E-3</v>
      </c>
      <c r="V775" t="s">
        <v>163</v>
      </c>
    </row>
    <row r="776" spans="9:22" x14ac:dyDescent="0.45">
      <c r="I776" t="s">
        <v>192</v>
      </c>
      <c r="J776" t="s">
        <v>300</v>
      </c>
      <c r="K776">
        <v>4.7889928972926619E-2</v>
      </c>
      <c r="L776" t="s">
        <v>163</v>
      </c>
      <c r="N776" t="s">
        <v>223</v>
      </c>
      <c r="O776" t="s">
        <v>300</v>
      </c>
      <c r="P776">
        <v>1.3444994159526319E-2</v>
      </c>
      <c r="Q776" t="s">
        <v>163</v>
      </c>
      <c r="S776" t="s">
        <v>254</v>
      </c>
      <c r="T776" t="s">
        <v>300</v>
      </c>
      <c r="U776">
        <v>1.6692107793828917E-2</v>
      </c>
      <c r="V776" t="s">
        <v>163</v>
      </c>
    </row>
    <row r="777" spans="9:22" x14ac:dyDescent="0.45">
      <c r="I777" t="s">
        <v>192</v>
      </c>
      <c r="J777" t="s">
        <v>301</v>
      </c>
      <c r="K777">
        <v>4.9605145879885772E-3</v>
      </c>
      <c r="L777" t="s">
        <v>163</v>
      </c>
      <c r="N777" t="s">
        <v>223</v>
      </c>
      <c r="O777" t="s">
        <v>301</v>
      </c>
      <c r="P777">
        <v>2.5328033954155594E-3</v>
      </c>
      <c r="Q777" t="s">
        <v>163</v>
      </c>
      <c r="S777" t="s">
        <v>254</v>
      </c>
      <c r="T777" t="s">
        <v>301</v>
      </c>
      <c r="U777">
        <v>3.618244090211155E-3</v>
      </c>
      <c r="V777" t="s">
        <v>163</v>
      </c>
    </row>
    <row r="778" spans="9:22" x14ac:dyDescent="0.45">
      <c r="I778" t="s">
        <v>192</v>
      </c>
      <c r="J778" t="s">
        <v>302</v>
      </c>
      <c r="K778">
        <v>2.2761358390918809E-3</v>
      </c>
      <c r="L778" t="s">
        <v>163</v>
      </c>
      <c r="N778" t="s">
        <v>223</v>
      </c>
      <c r="O778" t="s">
        <v>302</v>
      </c>
      <c r="P778">
        <v>1.2759041020385045E-2</v>
      </c>
      <c r="Q778" t="s">
        <v>163</v>
      </c>
      <c r="S778" t="s">
        <v>254</v>
      </c>
      <c r="T778" t="s">
        <v>302</v>
      </c>
      <c r="U778">
        <v>1.7623817810346425E-2</v>
      </c>
      <c r="V778" t="s">
        <v>163</v>
      </c>
    </row>
    <row r="779" spans="9:22" x14ac:dyDescent="0.45">
      <c r="I779" t="s">
        <v>192</v>
      </c>
      <c r="J779" t="s">
        <v>169</v>
      </c>
      <c r="K779">
        <v>3.5880436185649241E-3</v>
      </c>
      <c r="L779" t="s">
        <v>163</v>
      </c>
      <c r="N779" t="s">
        <v>223</v>
      </c>
      <c r="O779" t="s">
        <v>169</v>
      </c>
      <c r="P779">
        <v>1.7850132686131802E-2</v>
      </c>
      <c r="Q779" t="s">
        <v>163</v>
      </c>
      <c r="S779" t="s">
        <v>254</v>
      </c>
      <c r="T779" t="s">
        <v>169</v>
      </c>
      <c r="U779">
        <v>8.8745593497556018E-3</v>
      </c>
      <c r="V779" t="s">
        <v>163</v>
      </c>
    </row>
    <row r="780" spans="9:22" x14ac:dyDescent="0.45">
      <c r="I780" t="s">
        <v>192</v>
      </c>
      <c r="J780" t="s">
        <v>170</v>
      </c>
      <c r="K780">
        <v>1.0089884356673552E-2</v>
      </c>
      <c r="L780" t="s">
        <v>163</v>
      </c>
      <c r="N780" t="s">
        <v>223</v>
      </c>
      <c r="O780" t="s">
        <v>170</v>
      </c>
      <c r="P780">
        <v>4.28542248836417E-3</v>
      </c>
      <c r="Q780" t="s">
        <v>163</v>
      </c>
      <c r="S780" t="s">
        <v>254</v>
      </c>
      <c r="T780" t="s">
        <v>170</v>
      </c>
      <c r="U780">
        <v>1.2133598149425399E-3</v>
      </c>
      <c r="V780" t="s">
        <v>163</v>
      </c>
    </row>
    <row r="781" spans="9:22" x14ac:dyDescent="0.45">
      <c r="I781" t="s">
        <v>192</v>
      </c>
      <c r="J781" t="s">
        <v>171</v>
      </c>
      <c r="K781">
        <v>2.2724742541154475E-2</v>
      </c>
      <c r="L781" t="s">
        <v>163</v>
      </c>
      <c r="N781" t="s">
        <v>223</v>
      </c>
      <c r="O781" t="s">
        <v>171</v>
      </c>
      <c r="P781">
        <v>6.7480814194219464E-3</v>
      </c>
      <c r="Q781" t="s">
        <v>163</v>
      </c>
      <c r="S781" t="s">
        <v>254</v>
      </c>
      <c r="T781" t="s">
        <v>171</v>
      </c>
      <c r="U781">
        <v>1.7534491567262843E-3</v>
      </c>
      <c r="V781" t="s">
        <v>163</v>
      </c>
    </row>
    <row r="782" spans="9:22" x14ac:dyDescent="0.45">
      <c r="I782" t="s">
        <v>192</v>
      </c>
      <c r="J782" t="s">
        <v>303</v>
      </c>
      <c r="K782">
        <v>3.1323786890731092E-2</v>
      </c>
      <c r="L782" t="s">
        <v>163</v>
      </c>
      <c r="N782" t="s">
        <v>223</v>
      </c>
      <c r="O782" t="s">
        <v>303</v>
      </c>
      <c r="P782">
        <v>1.2279215962398305E-2</v>
      </c>
      <c r="Q782" t="s">
        <v>163</v>
      </c>
      <c r="S782" t="s">
        <v>254</v>
      </c>
      <c r="T782" t="s">
        <v>303</v>
      </c>
      <c r="U782">
        <v>4.6695730315219567E-3</v>
      </c>
      <c r="V782" t="s">
        <v>163</v>
      </c>
    </row>
    <row r="783" spans="9:22" x14ac:dyDescent="0.45">
      <c r="I783" t="s">
        <v>192</v>
      </c>
      <c r="J783" t="s">
        <v>304</v>
      </c>
      <c r="K783">
        <v>2.8645754101616588E-3</v>
      </c>
      <c r="L783" t="s">
        <v>163</v>
      </c>
      <c r="N783" t="s">
        <v>223</v>
      </c>
      <c r="O783" t="s">
        <v>304</v>
      </c>
      <c r="P783">
        <v>2.0311239417134612E-3</v>
      </c>
      <c r="Q783" t="s">
        <v>163</v>
      </c>
      <c r="S783" t="s">
        <v>254</v>
      </c>
      <c r="T783" t="s">
        <v>304</v>
      </c>
      <c r="U783">
        <v>1.448635125692369E-3</v>
      </c>
      <c r="V783" t="s">
        <v>163</v>
      </c>
    </row>
    <row r="784" spans="9:22" x14ac:dyDescent="0.45">
      <c r="I784" t="s">
        <v>192</v>
      </c>
      <c r="J784" t="s">
        <v>305</v>
      </c>
      <c r="K784">
        <v>1.3307613852513521E-3</v>
      </c>
      <c r="L784" t="s">
        <v>163</v>
      </c>
      <c r="N784" t="s">
        <v>223</v>
      </c>
      <c r="O784" t="s">
        <v>305</v>
      </c>
      <c r="P784">
        <v>1.111745060052723E-2</v>
      </c>
      <c r="Q784" t="s">
        <v>163</v>
      </c>
      <c r="S784" t="s">
        <v>254</v>
      </c>
      <c r="T784" t="s">
        <v>305</v>
      </c>
      <c r="U784">
        <v>7.1460389262649774E-3</v>
      </c>
      <c r="V784" t="s">
        <v>163</v>
      </c>
    </row>
    <row r="785" spans="9:22" x14ac:dyDescent="0.45">
      <c r="I785" t="s">
        <v>192</v>
      </c>
      <c r="J785" t="s">
        <v>172</v>
      </c>
      <c r="K785">
        <v>9.1665000593743537E-3</v>
      </c>
      <c r="L785" t="s">
        <v>163</v>
      </c>
      <c r="N785" t="s">
        <v>223</v>
      </c>
      <c r="O785" t="s">
        <v>172</v>
      </c>
      <c r="P785">
        <v>5.4299758236512299E-2</v>
      </c>
      <c r="Q785" t="s">
        <v>163</v>
      </c>
      <c r="S785" t="s">
        <v>254</v>
      </c>
      <c r="T785" t="s">
        <v>172</v>
      </c>
      <c r="U785">
        <v>3.5859158524821272E-2</v>
      </c>
      <c r="V785" t="s">
        <v>163</v>
      </c>
    </row>
    <row r="786" spans="9:22" x14ac:dyDescent="0.45">
      <c r="I786" t="s">
        <v>192</v>
      </c>
      <c r="J786" t="s">
        <v>173</v>
      </c>
      <c r="K786">
        <v>2.841913505927518E-2</v>
      </c>
      <c r="L786" t="s">
        <v>163</v>
      </c>
      <c r="N786" t="s">
        <v>223</v>
      </c>
      <c r="O786" t="s">
        <v>173</v>
      </c>
      <c r="P786">
        <v>1.0081666204551372E-2</v>
      </c>
      <c r="Q786" t="s">
        <v>163</v>
      </c>
      <c r="S786" t="s">
        <v>254</v>
      </c>
      <c r="T786" t="s">
        <v>173</v>
      </c>
      <c r="U786">
        <v>6.6903287669545048E-3</v>
      </c>
      <c r="V786" t="s">
        <v>163</v>
      </c>
    </row>
    <row r="787" spans="9:22" x14ac:dyDescent="0.45">
      <c r="I787" t="s">
        <v>192</v>
      </c>
      <c r="J787" t="s">
        <v>174</v>
      </c>
      <c r="K787">
        <v>5.8256210500134332E-2</v>
      </c>
      <c r="L787" t="s">
        <v>163</v>
      </c>
      <c r="N787" t="s">
        <v>223</v>
      </c>
      <c r="O787" t="s">
        <v>174</v>
      </c>
      <c r="P787">
        <v>1.5333692902615836E-2</v>
      </c>
      <c r="Q787" t="s">
        <v>163</v>
      </c>
      <c r="S787" t="s">
        <v>254</v>
      </c>
      <c r="T787" t="s">
        <v>174</v>
      </c>
      <c r="U787">
        <v>1.1768634129395985E-2</v>
      </c>
      <c r="V787" t="s">
        <v>163</v>
      </c>
    </row>
    <row r="788" spans="9:22" x14ac:dyDescent="0.45">
      <c r="I788" t="s">
        <v>192</v>
      </c>
      <c r="J788" t="s">
        <v>306</v>
      </c>
      <c r="K788">
        <v>8.6038558949540919E-2</v>
      </c>
      <c r="L788" t="s">
        <v>163</v>
      </c>
      <c r="N788" t="s">
        <v>223</v>
      </c>
      <c r="O788" t="s">
        <v>306</v>
      </c>
      <c r="P788">
        <v>2.9873826810859146E-2</v>
      </c>
      <c r="Q788" t="s">
        <v>163</v>
      </c>
      <c r="S788" t="s">
        <v>254</v>
      </c>
      <c r="T788" t="s">
        <v>306</v>
      </c>
      <c r="U788">
        <v>2.319440576291918E-2</v>
      </c>
      <c r="V788" t="s">
        <v>163</v>
      </c>
    </row>
    <row r="789" spans="9:22" x14ac:dyDescent="0.45">
      <c r="I789" t="s">
        <v>192</v>
      </c>
      <c r="J789" t="s">
        <v>307</v>
      </c>
      <c r="K789">
        <v>8.8834209589681423E-3</v>
      </c>
      <c r="L789" t="s">
        <v>163</v>
      </c>
      <c r="N789" t="s">
        <v>223</v>
      </c>
      <c r="O789" t="s">
        <v>307</v>
      </c>
      <c r="P789">
        <v>4.9901510699797086E-3</v>
      </c>
      <c r="Q789" t="s">
        <v>163</v>
      </c>
      <c r="S789" t="s">
        <v>254</v>
      </c>
      <c r="T789" t="s">
        <v>307</v>
      </c>
      <c r="U789">
        <v>5.4404655369547552E-3</v>
      </c>
      <c r="V789" t="s">
        <v>163</v>
      </c>
    </row>
    <row r="790" spans="9:22" x14ac:dyDescent="0.45">
      <c r="I790" t="s">
        <v>192</v>
      </c>
      <c r="J790" t="s">
        <v>308</v>
      </c>
      <c r="K790">
        <v>4.1624964879604905E-3</v>
      </c>
      <c r="L790" t="s">
        <v>163</v>
      </c>
      <c r="N790" t="s">
        <v>223</v>
      </c>
      <c r="O790" t="s">
        <v>308</v>
      </c>
      <c r="P790">
        <v>3.0245391413432913E-2</v>
      </c>
      <c r="Q790" t="s">
        <v>163</v>
      </c>
      <c r="S790" t="s">
        <v>254</v>
      </c>
      <c r="T790" t="s">
        <v>308</v>
      </c>
      <c r="U790">
        <v>2.4913224141512019E-2</v>
      </c>
      <c r="V790" t="s">
        <v>163</v>
      </c>
    </row>
    <row r="791" spans="9:22" x14ac:dyDescent="0.45">
      <c r="I791" t="s">
        <v>192</v>
      </c>
      <c r="J791" t="s">
        <v>309</v>
      </c>
      <c r="K791">
        <v>2.929649830300805E-3</v>
      </c>
      <c r="L791" t="s">
        <v>163</v>
      </c>
      <c r="N791" t="s">
        <v>223</v>
      </c>
      <c r="O791" t="s">
        <v>309</v>
      </c>
      <c r="P791">
        <v>2.1627264651646657E-2</v>
      </c>
      <c r="Q791" t="s">
        <v>163</v>
      </c>
      <c r="S791" t="s">
        <v>254</v>
      </c>
      <c r="T791" t="s">
        <v>309</v>
      </c>
      <c r="U791">
        <v>2.3783382378756993E-2</v>
      </c>
      <c r="V791" t="s">
        <v>163</v>
      </c>
    </row>
    <row r="792" spans="9:22" x14ac:dyDescent="0.45">
      <c r="I792" t="s">
        <v>192</v>
      </c>
      <c r="J792" t="s">
        <v>310</v>
      </c>
      <c r="K792">
        <v>1.2805670313044085E-2</v>
      </c>
      <c r="L792" t="s">
        <v>163</v>
      </c>
      <c r="N792" t="s">
        <v>223</v>
      </c>
      <c r="O792" t="s">
        <v>310</v>
      </c>
      <c r="P792">
        <v>5.0298533598267577E-3</v>
      </c>
      <c r="Q792" t="s">
        <v>163</v>
      </c>
      <c r="S792" t="s">
        <v>254</v>
      </c>
      <c r="T792" t="s">
        <v>310</v>
      </c>
      <c r="U792">
        <v>4.8345272878253095E-3</v>
      </c>
      <c r="V792" t="s">
        <v>163</v>
      </c>
    </row>
    <row r="793" spans="9:22" x14ac:dyDescent="0.45">
      <c r="I793" t="s">
        <v>192</v>
      </c>
      <c r="J793" t="s">
        <v>311</v>
      </c>
      <c r="K793">
        <v>2.6574518554874766E-2</v>
      </c>
      <c r="L793" t="s">
        <v>163</v>
      </c>
      <c r="N793" t="s">
        <v>223</v>
      </c>
      <c r="O793" t="s">
        <v>311</v>
      </c>
      <c r="P793">
        <v>7.4476909837133129E-3</v>
      </c>
      <c r="Q793" t="s">
        <v>163</v>
      </c>
      <c r="S793" t="s">
        <v>254</v>
      </c>
      <c r="T793" t="s">
        <v>311</v>
      </c>
      <c r="U793">
        <v>8.2375633255537973E-3</v>
      </c>
      <c r="V793" t="s">
        <v>163</v>
      </c>
    </row>
    <row r="794" spans="9:22" x14ac:dyDescent="0.45">
      <c r="I794" t="s">
        <v>192</v>
      </c>
      <c r="J794" t="s">
        <v>312</v>
      </c>
      <c r="K794">
        <v>3.8865843907657113E-2</v>
      </c>
      <c r="L794" t="s">
        <v>163</v>
      </c>
      <c r="N794" t="s">
        <v>223</v>
      </c>
      <c r="O794" t="s">
        <v>312</v>
      </c>
      <c r="P794">
        <v>1.4330711957625253E-2</v>
      </c>
      <c r="Q794" t="s">
        <v>163</v>
      </c>
      <c r="S794" t="s">
        <v>254</v>
      </c>
      <c r="T794" t="s">
        <v>312</v>
      </c>
      <c r="U794">
        <v>1.2106614412109043E-2</v>
      </c>
      <c r="V794" t="s">
        <v>163</v>
      </c>
    </row>
    <row r="795" spans="9:22" x14ac:dyDescent="0.45">
      <c r="I795" t="s">
        <v>192</v>
      </c>
      <c r="J795" t="s">
        <v>313</v>
      </c>
      <c r="K795">
        <v>3.1637389514800707E-3</v>
      </c>
      <c r="L795" t="s">
        <v>163</v>
      </c>
      <c r="N795" t="s">
        <v>223</v>
      </c>
      <c r="O795" t="s">
        <v>313</v>
      </c>
      <c r="P795">
        <v>2.9412729494708231E-3</v>
      </c>
      <c r="Q795" t="s">
        <v>163</v>
      </c>
      <c r="S795" t="s">
        <v>254</v>
      </c>
      <c r="T795" t="s">
        <v>313</v>
      </c>
      <c r="U795">
        <v>2.7912580047291212E-3</v>
      </c>
      <c r="V795" t="s">
        <v>163</v>
      </c>
    </row>
    <row r="796" spans="9:22" x14ac:dyDescent="0.45">
      <c r="I796" t="s">
        <v>192</v>
      </c>
      <c r="J796" t="s">
        <v>314</v>
      </c>
      <c r="K796">
        <v>0</v>
      </c>
      <c r="L796" t="s">
        <v>163</v>
      </c>
      <c r="N796" t="s">
        <v>223</v>
      </c>
      <c r="O796" t="s">
        <v>314</v>
      </c>
      <c r="P796">
        <v>1.502588619920985E-2</v>
      </c>
      <c r="Q796" t="s">
        <v>163</v>
      </c>
      <c r="S796" t="s">
        <v>254</v>
      </c>
      <c r="T796" t="s">
        <v>314</v>
      </c>
      <c r="U796">
        <v>1.3597633026001506E-2</v>
      </c>
      <c r="V796" t="s">
        <v>163</v>
      </c>
    </row>
    <row r="797" spans="9:22" x14ac:dyDescent="0.45">
      <c r="I797" t="s">
        <v>192</v>
      </c>
      <c r="J797" t="s">
        <v>315</v>
      </c>
      <c r="K797">
        <v>1.9446052674136534E-3</v>
      </c>
      <c r="L797" t="s">
        <v>163</v>
      </c>
      <c r="N797" t="s">
        <v>223</v>
      </c>
      <c r="O797" t="s">
        <v>315</v>
      </c>
      <c r="P797">
        <v>6.6251305120359566E-2</v>
      </c>
      <c r="Q797" t="s">
        <v>163</v>
      </c>
      <c r="S797" t="s">
        <v>254</v>
      </c>
      <c r="T797" t="s">
        <v>315</v>
      </c>
      <c r="U797">
        <v>6.4121994613242431E-2</v>
      </c>
      <c r="V797" t="s">
        <v>163</v>
      </c>
    </row>
    <row r="798" spans="9:22" x14ac:dyDescent="0.45">
      <c r="I798" t="s">
        <v>192</v>
      </c>
      <c r="J798" t="s">
        <v>316</v>
      </c>
      <c r="K798">
        <v>2.1934749064147101E-2</v>
      </c>
      <c r="L798" t="s">
        <v>163</v>
      </c>
      <c r="N798" t="s">
        <v>223</v>
      </c>
      <c r="O798" t="s">
        <v>316</v>
      </c>
      <c r="P798">
        <v>1.6020917997695745E-2</v>
      </c>
      <c r="Q798" t="s">
        <v>163</v>
      </c>
      <c r="S798" t="s">
        <v>254</v>
      </c>
      <c r="T798" t="s">
        <v>316</v>
      </c>
      <c r="U798">
        <v>1.3641274476594757E-2</v>
      </c>
      <c r="V798" t="s">
        <v>163</v>
      </c>
    </row>
    <row r="799" spans="9:22" x14ac:dyDescent="0.45">
      <c r="I799" t="s">
        <v>192</v>
      </c>
      <c r="J799" t="s">
        <v>317</v>
      </c>
      <c r="K799">
        <v>4.7422820091295614E-2</v>
      </c>
      <c r="L799" t="s">
        <v>163</v>
      </c>
      <c r="N799" t="s">
        <v>223</v>
      </c>
      <c r="O799" t="s">
        <v>317</v>
      </c>
      <c r="P799">
        <v>2.4129231965619263E-2</v>
      </c>
      <c r="Q799" t="s">
        <v>163</v>
      </c>
      <c r="S799" t="s">
        <v>254</v>
      </c>
      <c r="T799" t="s">
        <v>317</v>
      </c>
      <c r="U799">
        <v>2.3505144215869789E-2</v>
      </c>
      <c r="V799" t="s">
        <v>163</v>
      </c>
    </row>
    <row r="800" spans="9:22" x14ac:dyDescent="0.45">
      <c r="I800" t="s">
        <v>192</v>
      </c>
      <c r="J800" t="s">
        <v>318</v>
      </c>
      <c r="K800">
        <v>6.2438147627120646E-2</v>
      </c>
      <c r="L800" t="s">
        <v>163</v>
      </c>
      <c r="N800" t="s">
        <v>223</v>
      </c>
      <c r="O800" t="s">
        <v>318</v>
      </c>
      <c r="P800">
        <v>4.2802169664357098E-2</v>
      </c>
      <c r="Q800" t="s">
        <v>163</v>
      </c>
      <c r="S800" t="s">
        <v>254</v>
      </c>
      <c r="T800" t="s">
        <v>318</v>
      </c>
      <c r="U800">
        <v>3.5797255759136885E-2</v>
      </c>
      <c r="V800" t="s">
        <v>163</v>
      </c>
    </row>
    <row r="801" spans="9:22" x14ac:dyDescent="0.45">
      <c r="I801" t="s">
        <v>192</v>
      </c>
      <c r="J801" t="s">
        <v>319</v>
      </c>
      <c r="K801">
        <v>6.9070020369698336E-4</v>
      </c>
      <c r="L801" t="s">
        <v>163</v>
      </c>
      <c r="N801" t="s">
        <v>223</v>
      </c>
      <c r="O801" t="s">
        <v>319</v>
      </c>
      <c r="P801">
        <v>8.2226144140407128E-3</v>
      </c>
      <c r="Q801" t="s">
        <v>163</v>
      </c>
      <c r="S801" t="s">
        <v>254</v>
      </c>
      <c r="T801" t="s">
        <v>319</v>
      </c>
      <c r="U801">
        <v>7.7742587444535041E-3</v>
      </c>
      <c r="V801" t="s">
        <v>163</v>
      </c>
    </row>
    <row r="802" spans="9:22" x14ac:dyDescent="0.45">
      <c r="I802" t="s">
        <v>192</v>
      </c>
      <c r="J802" t="s">
        <v>320</v>
      </c>
      <c r="K802">
        <v>0</v>
      </c>
      <c r="L802" t="s">
        <v>163</v>
      </c>
      <c r="N802" t="s">
        <v>223</v>
      </c>
      <c r="O802" t="s">
        <v>320</v>
      </c>
      <c r="P802">
        <v>4.200915501114498E-2</v>
      </c>
      <c r="Q802" t="s">
        <v>163</v>
      </c>
      <c r="S802" t="s">
        <v>254</v>
      </c>
      <c r="T802" t="s">
        <v>320</v>
      </c>
      <c r="U802">
        <v>3.8167100838535389E-2</v>
      </c>
      <c r="V802" t="s">
        <v>163</v>
      </c>
    </row>
    <row r="803" spans="9:22" x14ac:dyDescent="0.45">
      <c r="I803" t="s">
        <v>192</v>
      </c>
      <c r="J803" t="s">
        <v>321</v>
      </c>
      <c r="K803">
        <v>0</v>
      </c>
      <c r="L803" t="s">
        <v>163</v>
      </c>
      <c r="N803" t="s">
        <v>223</v>
      </c>
      <c r="O803" t="s">
        <v>321</v>
      </c>
      <c r="P803">
        <v>3.8169123569621509E-2</v>
      </c>
      <c r="Q803" t="s">
        <v>163</v>
      </c>
      <c r="S803" t="s">
        <v>254</v>
      </c>
      <c r="T803" t="s">
        <v>321</v>
      </c>
      <c r="U803">
        <v>4.4721641662256853E-2</v>
      </c>
      <c r="V803" t="s">
        <v>163</v>
      </c>
    </row>
    <row r="804" spans="9:22" x14ac:dyDescent="0.45">
      <c r="I804" t="s">
        <v>192</v>
      </c>
      <c r="J804" t="s">
        <v>322</v>
      </c>
      <c r="K804">
        <v>9.3341709469994417E-3</v>
      </c>
      <c r="L804" t="s">
        <v>163</v>
      </c>
      <c r="N804" t="s">
        <v>223</v>
      </c>
      <c r="O804" t="s">
        <v>322</v>
      </c>
      <c r="P804">
        <v>8.9799315615830648E-3</v>
      </c>
      <c r="Q804" t="s">
        <v>163</v>
      </c>
      <c r="S804" t="s">
        <v>254</v>
      </c>
      <c r="T804" t="s">
        <v>322</v>
      </c>
      <c r="U804">
        <v>1.0985228703647442E-2</v>
      </c>
      <c r="V804" t="s">
        <v>163</v>
      </c>
    </row>
    <row r="805" spans="9:22" x14ac:dyDescent="0.45">
      <c r="I805" t="s">
        <v>192</v>
      </c>
      <c r="J805" t="s">
        <v>323</v>
      </c>
      <c r="K805">
        <v>2.3292898412515649E-2</v>
      </c>
      <c r="L805" t="s">
        <v>163</v>
      </c>
      <c r="N805" t="s">
        <v>223</v>
      </c>
      <c r="O805" t="s">
        <v>323</v>
      </c>
      <c r="P805">
        <v>1.3511565051548767E-2</v>
      </c>
      <c r="Q805" t="s">
        <v>163</v>
      </c>
      <c r="S805" t="s">
        <v>254</v>
      </c>
      <c r="T805" t="s">
        <v>323</v>
      </c>
      <c r="U805">
        <v>1.6383002012440379E-2</v>
      </c>
      <c r="V805" t="s">
        <v>163</v>
      </c>
    </row>
    <row r="806" spans="9:22" x14ac:dyDescent="0.45">
      <c r="I806" t="s">
        <v>192</v>
      </c>
      <c r="J806" t="s">
        <v>324</v>
      </c>
      <c r="K806">
        <v>2.9252871365667638E-2</v>
      </c>
      <c r="L806" t="s">
        <v>163</v>
      </c>
      <c r="N806" t="s">
        <v>223</v>
      </c>
      <c r="O806" t="s">
        <v>324</v>
      </c>
      <c r="P806">
        <v>2.3396842827724286E-2</v>
      </c>
      <c r="Q806" t="s">
        <v>163</v>
      </c>
      <c r="S806" t="s">
        <v>254</v>
      </c>
      <c r="T806" t="s">
        <v>324</v>
      </c>
      <c r="U806">
        <v>2.6058376054623925E-2</v>
      </c>
      <c r="V806" t="s">
        <v>163</v>
      </c>
    </row>
    <row r="807" spans="9:22" x14ac:dyDescent="0.45">
      <c r="I807" t="s">
        <v>192</v>
      </c>
      <c r="J807" t="s">
        <v>325</v>
      </c>
      <c r="K807">
        <v>0</v>
      </c>
      <c r="L807" t="s">
        <v>163</v>
      </c>
      <c r="N807" t="s">
        <v>223</v>
      </c>
      <c r="O807" t="s">
        <v>325</v>
      </c>
      <c r="P807">
        <v>4.509032624874734E-3</v>
      </c>
      <c r="Q807" t="s">
        <v>163</v>
      </c>
      <c r="S807" t="s">
        <v>254</v>
      </c>
      <c r="T807" t="s">
        <v>325</v>
      </c>
      <c r="U807">
        <v>5.1528165521408662E-3</v>
      </c>
      <c r="V807" t="s">
        <v>163</v>
      </c>
    </row>
    <row r="808" spans="9:22" x14ac:dyDescent="0.45">
      <c r="I808" t="s">
        <v>192</v>
      </c>
      <c r="J808" t="s">
        <v>326</v>
      </c>
      <c r="K808">
        <v>0</v>
      </c>
      <c r="L808" t="s">
        <v>163</v>
      </c>
      <c r="N808" t="s">
        <v>223</v>
      </c>
      <c r="O808" t="s">
        <v>326</v>
      </c>
      <c r="P808">
        <v>2.2775033527485694E-2</v>
      </c>
      <c r="Q808" t="s">
        <v>163</v>
      </c>
      <c r="S808" t="s">
        <v>254</v>
      </c>
      <c r="T808" t="s">
        <v>326</v>
      </c>
      <c r="U808">
        <v>2.4563433725411293E-2</v>
      </c>
      <c r="V808" t="s">
        <v>163</v>
      </c>
    </row>
    <row r="809" spans="9:22" x14ac:dyDescent="0.45">
      <c r="I809" t="s">
        <v>193</v>
      </c>
      <c r="J809" t="s">
        <v>162</v>
      </c>
      <c r="K809">
        <v>1.2986544385400447E-2</v>
      </c>
      <c r="L809" t="s">
        <v>163</v>
      </c>
      <c r="N809" t="s">
        <v>224</v>
      </c>
      <c r="O809" t="s">
        <v>162</v>
      </c>
      <c r="P809">
        <v>0.15787215122211412</v>
      </c>
      <c r="Q809" t="s">
        <v>163</v>
      </c>
      <c r="S809" t="s">
        <v>255</v>
      </c>
      <c r="T809" t="s">
        <v>162</v>
      </c>
      <c r="U809">
        <v>0.12998896957404621</v>
      </c>
      <c r="V809" t="s">
        <v>163</v>
      </c>
    </row>
    <row r="810" spans="9:22" x14ac:dyDescent="0.45">
      <c r="I810" t="s">
        <v>193</v>
      </c>
      <c r="J810" t="s">
        <v>164</v>
      </c>
      <c r="K810">
        <v>4.3729647270331885E-2</v>
      </c>
      <c r="L810" t="s">
        <v>163</v>
      </c>
      <c r="N810" t="s">
        <v>224</v>
      </c>
      <c r="O810" t="s">
        <v>164</v>
      </c>
      <c r="P810">
        <v>3.8148047715832002E-2</v>
      </c>
      <c r="Q810" t="s">
        <v>163</v>
      </c>
      <c r="S810" t="s">
        <v>255</v>
      </c>
      <c r="T810" t="s">
        <v>164</v>
      </c>
      <c r="U810">
        <v>3.1816622984598371E-2</v>
      </c>
      <c r="V810" t="s">
        <v>163</v>
      </c>
    </row>
    <row r="811" spans="9:22" x14ac:dyDescent="0.45">
      <c r="I811" t="s">
        <v>193</v>
      </c>
      <c r="J811" t="s">
        <v>165</v>
      </c>
      <c r="K811">
        <v>9.746386384390883E-2</v>
      </c>
      <c r="L811" t="s">
        <v>163</v>
      </c>
      <c r="N811" t="s">
        <v>224</v>
      </c>
      <c r="O811" t="s">
        <v>165</v>
      </c>
      <c r="P811">
        <v>6.0675217616290432E-2</v>
      </c>
      <c r="Q811" t="s">
        <v>163</v>
      </c>
      <c r="S811" t="s">
        <v>255</v>
      </c>
      <c r="T811" t="s">
        <v>165</v>
      </c>
      <c r="U811">
        <v>4.7735366965378806E-2</v>
      </c>
      <c r="V811" t="s">
        <v>163</v>
      </c>
    </row>
    <row r="812" spans="9:22" x14ac:dyDescent="0.45">
      <c r="I812" t="s">
        <v>193</v>
      </c>
      <c r="J812" t="s">
        <v>297</v>
      </c>
      <c r="K812">
        <v>0.12060275619384532</v>
      </c>
      <c r="L812" t="s">
        <v>163</v>
      </c>
      <c r="N812" t="s">
        <v>224</v>
      </c>
      <c r="O812" t="s">
        <v>297</v>
      </c>
      <c r="P812">
        <v>0.10498341620958125</v>
      </c>
      <c r="Q812" t="s">
        <v>163</v>
      </c>
      <c r="S812" t="s">
        <v>255</v>
      </c>
      <c r="T812" t="s">
        <v>297</v>
      </c>
      <c r="U812">
        <v>7.488397630519171E-2</v>
      </c>
      <c r="V812" t="s">
        <v>163</v>
      </c>
    </row>
    <row r="813" spans="9:22" x14ac:dyDescent="0.45">
      <c r="I813" t="s">
        <v>193</v>
      </c>
      <c r="J813" t="s">
        <v>298</v>
      </c>
      <c r="K813">
        <v>1.7893856471679222E-3</v>
      </c>
      <c r="L813" t="s">
        <v>163</v>
      </c>
      <c r="N813" t="s">
        <v>224</v>
      </c>
      <c r="O813" t="s">
        <v>298</v>
      </c>
      <c r="P813">
        <v>1.9380644011601968E-2</v>
      </c>
      <c r="Q813" t="s">
        <v>163</v>
      </c>
      <c r="S813" t="s">
        <v>255</v>
      </c>
      <c r="T813" t="s">
        <v>298</v>
      </c>
      <c r="U813">
        <v>1.4899006929013038E-2</v>
      </c>
      <c r="V813" t="s">
        <v>163</v>
      </c>
    </row>
    <row r="814" spans="9:22" x14ac:dyDescent="0.45">
      <c r="I814" t="s">
        <v>193</v>
      </c>
      <c r="J814" t="s">
        <v>299</v>
      </c>
      <c r="K814">
        <v>0</v>
      </c>
      <c r="L814" t="s">
        <v>163</v>
      </c>
      <c r="N814" t="s">
        <v>224</v>
      </c>
      <c r="O814" t="s">
        <v>299</v>
      </c>
      <c r="P814">
        <v>9.4454890410432826E-2</v>
      </c>
      <c r="Q814" t="s">
        <v>163</v>
      </c>
      <c r="S814" t="s">
        <v>255</v>
      </c>
      <c r="T814" t="s">
        <v>299</v>
      </c>
      <c r="U814">
        <v>7.533613258838881E-2</v>
      </c>
      <c r="V814" t="s">
        <v>163</v>
      </c>
    </row>
    <row r="815" spans="9:22" x14ac:dyDescent="0.45">
      <c r="I815" t="s">
        <v>193</v>
      </c>
      <c r="J815" t="s">
        <v>166</v>
      </c>
      <c r="K815">
        <v>5.8037296318347517E-3</v>
      </c>
      <c r="L815" t="s">
        <v>163</v>
      </c>
      <c r="N815" t="s">
        <v>224</v>
      </c>
      <c r="O815" t="s">
        <v>166</v>
      </c>
      <c r="P815">
        <v>1.9226040954375339E-2</v>
      </c>
      <c r="Q815" t="s">
        <v>163</v>
      </c>
      <c r="S815" t="s">
        <v>255</v>
      </c>
      <c r="T815" t="s">
        <v>166</v>
      </c>
      <c r="U815">
        <v>2.6081943078160051E-2</v>
      </c>
      <c r="V815" t="s">
        <v>163</v>
      </c>
    </row>
    <row r="816" spans="9:22" x14ac:dyDescent="0.45">
      <c r="I816" t="s">
        <v>193</v>
      </c>
      <c r="J816" t="s">
        <v>167</v>
      </c>
      <c r="K816">
        <v>1.3023243680468271E-2</v>
      </c>
      <c r="L816" t="s">
        <v>163</v>
      </c>
      <c r="N816" t="s">
        <v>224</v>
      </c>
      <c r="O816" t="s">
        <v>167</v>
      </c>
      <c r="P816">
        <v>4.4442861149360862E-3</v>
      </c>
      <c r="Q816" t="s">
        <v>163</v>
      </c>
      <c r="S816" t="s">
        <v>255</v>
      </c>
      <c r="T816" t="s">
        <v>167</v>
      </c>
      <c r="U816">
        <v>5.7665736784338843E-3</v>
      </c>
      <c r="V816" t="s">
        <v>163</v>
      </c>
    </row>
    <row r="817" spans="9:22" x14ac:dyDescent="0.45">
      <c r="I817" t="s">
        <v>193</v>
      </c>
      <c r="J817" t="s">
        <v>168</v>
      </c>
      <c r="K817">
        <v>2.7972501206015903E-2</v>
      </c>
      <c r="L817" t="s">
        <v>163</v>
      </c>
      <c r="N817" t="s">
        <v>224</v>
      </c>
      <c r="O817" t="s">
        <v>168</v>
      </c>
      <c r="P817">
        <v>7.7577057220869078E-3</v>
      </c>
      <c r="Q817" t="s">
        <v>163</v>
      </c>
      <c r="S817" t="s">
        <v>255</v>
      </c>
      <c r="T817" t="s">
        <v>168</v>
      </c>
      <c r="U817">
        <v>8.6861477056812322E-3</v>
      </c>
      <c r="V817" t="s">
        <v>163</v>
      </c>
    </row>
    <row r="818" spans="9:22" x14ac:dyDescent="0.45">
      <c r="I818" t="s">
        <v>193</v>
      </c>
      <c r="J818" t="s">
        <v>300</v>
      </c>
      <c r="K818">
        <v>3.5811013322624104E-2</v>
      </c>
      <c r="L818" t="s">
        <v>163</v>
      </c>
      <c r="N818" t="s">
        <v>224</v>
      </c>
      <c r="O818" t="s">
        <v>300</v>
      </c>
      <c r="P818">
        <v>1.4488900817846194E-2</v>
      </c>
      <c r="Q818" t="s">
        <v>163</v>
      </c>
      <c r="S818" t="s">
        <v>255</v>
      </c>
      <c r="T818" t="s">
        <v>300</v>
      </c>
      <c r="U818">
        <v>1.5928803830949908E-2</v>
      </c>
      <c r="V818" t="s">
        <v>163</v>
      </c>
    </row>
    <row r="819" spans="9:22" x14ac:dyDescent="0.45">
      <c r="I819" t="s">
        <v>193</v>
      </c>
      <c r="J819" t="s">
        <v>301</v>
      </c>
      <c r="K819">
        <v>2.0659123510519705E-3</v>
      </c>
      <c r="L819" t="s">
        <v>163</v>
      </c>
      <c r="N819" t="s">
        <v>224</v>
      </c>
      <c r="O819" t="s">
        <v>301</v>
      </c>
      <c r="P819">
        <v>2.5618906719151835E-3</v>
      </c>
      <c r="Q819" t="s">
        <v>163</v>
      </c>
      <c r="S819" t="s">
        <v>255</v>
      </c>
      <c r="T819" t="s">
        <v>301</v>
      </c>
      <c r="U819">
        <v>3.3672246897358147E-3</v>
      </c>
      <c r="V819" t="s">
        <v>163</v>
      </c>
    </row>
    <row r="820" spans="9:22" x14ac:dyDescent="0.45">
      <c r="I820" t="s">
        <v>193</v>
      </c>
      <c r="J820" t="s">
        <v>302</v>
      </c>
      <c r="K820">
        <v>0</v>
      </c>
      <c r="L820" t="s">
        <v>163</v>
      </c>
      <c r="N820" t="s">
        <v>224</v>
      </c>
      <c r="O820" t="s">
        <v>302</v>
      </c>
      <c r="P820">
        <v>1.1672671816063639E-2</v>
      </c>
      <c r="Q820" t="s">
        <v>163</v>
      </c>
      <c r="S820" t="s">
        <v>255</v>
      </c>
      <c r="T820" t="s">
        <v>302</v>
      </c>
      <c r="U820">
        <v>1.6139076536644009E-2</v>
      </c>
      <c r="V820" t="s">
        <v>163</v>
      </c>
    </row>
    <row r="821" spans="9:22" x14ac:dyDescent="0.45">
      <c r="I821" t="s">
        <v>193</v>
      </c>
      <c r="J821" t="s">
        <v>169</v>
      </c>
      <c r="K821">
        <v>7.2055520406450746E-3</v>
      </c>
      <c r="L821" t="s">
        <v>163</v>
      </c>
      <c r="N821" t="s">
        <v>224</v>
      </c>
      <c r="O821" t="s">
        <v>169</v>
      </c>
      <c r="P821">
        <v>7.6191852474596722E-3</v>
      </c>
      <c r="Q821" t="s">
        <v>163</v>
      </c>
      <c r="S821" t="s">
        <v>255</v>
      </c>
      <c r="T821" t="s">
        <v>169</v>
      </c>
      <c r="U821">
        <v>1.0540450895214208E-2</v>
      </c>
      <c r="V821" t="s">
        <v>163</v>
      </c>
    </row>
    <row r="822" spans="9:22" x14ac:dyDescent="0.45">
      <c r="I822" t="s">
        <v>193</v>
      </c>
      <c r="J822" t="s">
        <v>170</v>
      </c>
      <c r="K822">
        <v>1.5038208712829919E-2</v>
      </c>
      <c r="L822" t="s">
        <v>163</v>
      </c>
      <c r="N822" t="s">
        <v>224</v>
      </c>
      <c r="O822" t="s">
        <v>170</v>
      </c>
      <c r="P822">
        <v>1.2156157098754997E-3</v>
      </c>
      <c r="Q822" t="s">
        <v>163</v>
      </c>
      <c r="S822" t="s">
        <v>255</v>
      </c>
      <c r="T822" t="s">
        <v>170</v>
      </c>
      <c r="U822">
        <v>2.0016634008637232E-3</v>
      </c>
      <c r="V822" t="s">
        <v>163</v>
      </c>
    </row>
    <row r="823" spans="9:22" x14ac:dyDescent="0.45">
      <c r="I823" t="s">
        <v>193</v>
      </c>
      <c r="J823" t="s">
        <v>171</v>
      </c>
      <c r="K823">
        <v>3.0255987930906687E-2</v>
      </c>
      <c r="L823" t="s">
        <v>163</v>
      </c>
      <c r="N823" t="s">
        <v>224</v>
      </c>
      <c r="O823" t="s">
        <v>171</v>
      </c>
      <c r="P823">
        <v>1.7390754093447932E-3</v>
      </c>
      <c r="Q823" t="s">
        <v>163</v>
      </c>
      <c r="S823" t="s">
        <v>255</v>
      </c>
      <c r="T823" t="s">
        <v>171</v>
      </c>
      <c r="U823">
        <v>3.1933316341786226E-3</v>
      </c>
      <c r="V823" t="s">
        <v>163</v>
      </c>
    </row>
    <row r="824" spans="9:22" x14ac:dyDescent="0.45">
      <c r="I824" t="s">
        <v>193</v>
      </c>
      <c r="J824" t="s">
        <v>303</v>
      </c>
      <c r="K824">
        <v>3.8755618518903426E-2</v>
      </c>
      <c r="L824" t="s">
        <v>163</v>
      </c>
      <c r="N824" t="s">
        <v>224</v>
      </c>
      <c r="O824" t="s">
        <v>303</v>
      </c>
      <c r="P824">
        <v>5.2840611987900483E-3</v>
      </c>
      <c r="Q824" t="s">
        <v>163</v>
      </c>
      <c r="S824" t="s">
        <v>255</v>
      </c>
      <c r="T824" t="s">
        <v>303</v>
      </c>
      <c r="U824">
        <v>7.3519857070175375E-3</v>
      </c>
      <c r="V824" t="s">
        <v>163</v>
      </c>
    </row>
    <row r="825" spans="9:22" x14ac:dyDescent="0.45">
      <c r="I825" t="s">
        <v>193</v>
      </c>
      <c r="J825" t="s">
        <v>304</v>
      </c>
      <c r="K825">
        <v>2.3239979253868912E-3</v>
      </c>
      <c r="L825" t="s">
        <v>163</v>
      </c>
      <c r="N825" t="s">
        <v>224</v>
      </c>
      <c r="O825" t="s">
        <v>304</v>
      </c>
      <c r="P825">
        <v>1.2053837649868445E-3</v>
      </c>
      <c r="Q825" t="s">
        <v>163</v>
      </c>
      <c r="S825" t="s">
        <v>255</v>
      </c>
      <c r="T825" t="s">
        <v>304</v>
      </c>
      <c r="U825">
        <v>1.7729298190521329E-3</v>
      </c>
      <c r="V825" t="s">
        <v>163</v>
      </c>
    </row>
    <row r="826" spans="9:22" x14ac:dyDescent="0.45">
      <c r="I826" t="s">
        <v>193</v>
      </c>
      <c r="J826" t="s">
        <v>305</v>
      </c>
      <c r="K826">
        <v>0</v>
      </c>
      <c r="L826" t="s">
        <v>163</v>
      </c>
      <c r="N826" t="s">
        <v>224</v>
      </c>
      <c r="O826" t="s">
        <v>305</v>
      </c>
      <c r="P826">
        <v>5.6476938554047068E-3</v>
      </c>
      <c r="Q826" t="s">
        <v>163</v>
      </c>
      <c r="S826" t="s">
        <v>255</v>
      </c>
      <c r="T826" t="s">
        <v>305</v>
      </c>
      <c r="U826">
        <v>7.549253495613131E-3</v>
      </c>
      <c r="V826" t="s">
        <v>163</v>
      </c>
    </row>
    <row r="827" spans="9:22" x14ac:dyDescent="0.45">
      <c r="I827" t="s">
        <v>193</v>
      </c>
      <c r="J827" t="s">
        <v>172</v>
      </c>
      <c r="K827">
        <v>2.141040131150837E-2</v>
      </c>
      <c r="L827" t="s">
        <v>163</v>
      </c>
      <c r="N827" t="s">
        <v>224</v>
      </c>
      <c r="O827" t="s">
        <v>172</v>
      </c>
      <c r="P827">
        <v>3.2306971436442573E-2</v>
      </c>
      <c r="Q827" t="s">
        <v>163</v>
      </c>
      <c r="S827" t="s">
        <v>255</v>
      </c>
      <c r="T827" t="s">
        <v>172</v>
      </c>
      <c r="U827">
        <v>4.650877621286726E-2</v>
      </c>
      <c r="V827" t="s">
        <v>163</v>
      </c>
    </row>
    <row r="828" spans="9:22" x14ac:dyDescent="0.45">
      <c r="I828" t="s">
        <v>193</v>
      </c>
      <c r="J828" t="s">
        <v>173</v>
      </c>
      <c r="K828">
        <v>4.0334092818389969E-2</v>
      </c>
      <c r="L828" t="s">
        <v>163</v>
      </c>
      <c r="N828" t="s">
        <v>224</v>
      </c>
      <c r="O828" t="s">
        <v>173</v>
      </c>
      <c r="P828">
        <v>7.3721084185615557E-3</v>
      </c>
      <c r="Q828" t="s">
        <v>163</v>
      </c>
      <c r="S828" t="s">
        <v>255</v>
      </c>
      <c r="T828" t="s">
        <v>173</v>
      </c>
      <c r="U828">
        <v>1.0070430319566663E-2</v>
      </c>
      <c r="V828" t="s">
        <v>163</v>
      </c>
    </row>
    <row r="829" spans="9:22" x14ac:dyDescent="0.45">
      <c r="I829" t="s">
        <v>193</v>
      </c>
      <c r="J829" t="s">
        <v>174</v>
      </c>
      <c r="K829">
        <v>7.475321464913022E-2</v>
      </c>
      <c r="L829" t="s">
        <v>163</v>
      </c>
      <c r="N829" t="s">
        <v>224</v>
      </c>
      <c r="O829" t="s">
        <v>174</v>
      </c>
      <c r="P829">
        <v>1.3120173185842824E-2</v>
      </c>
      <c r="Q829" t="s">
        <v>163</v>
      </c>
      <c r="S829" t="s">
        <v>255</v>
      </c>
      <c r="T829" t="s">
        <v>174</v>
      </c>
      <c r="U829">
        <v>1.5966827468399048E-2</v>
      </c>
      <c r="V829" t="s">
        <v>163</v>
      </c>
    </row>
    <row r="830" spans="9:22" x14ac:dyDescent="0.45">
      <c r="I830" t="s">
        <v>193</v>
      </c>
      <c r="J830" t="s">
        <v>306</v>
      </c>
      <c r="K830">
        <v>0.10135117644003186</v>
      </c>
      <c r="L830" t="s">
        <v>163</v>
      </c>
      <c r="N830" t="s">
        <v>224</v>
      </c>
      <c r="O830" t="s">
        <v>306</v>
      </c>
      <c r="P830">
        <v>2.0904158596633634E-2</v>
      </c>
      <c r="Q830" t="s">
        <v>163</v>
      </c>
      <c r="S830" t="s">
        <v>255</v>
      </c>
      <c r="T830" t="s">
        <v>306</v>
      </c>
      <c r="U830">
        <v>3.2255892131220473E-2</v>
      </c>
      <c r="V830" t="s">
        <v>163</v>
      </c>
    </row>
    <row r="831" spans="9:22" x14ac:dyDescent="0.45">
      <c r="I831" t="s">
        <v>193</v>
      </c>
      <c r="J831" t="s">
        <v>307</v>
      </c>
      <c r="K831">
        <v>7.2793309626829677E-3</v>
      </c>
      <c r="L831" t="s">
        <v>163</v>
      </c>
      <c r="N831" t="s">
        <v>224</v>
      </c>
      <c r="O831" t="s">
        <v>307</v>
      </c>
      <c r="P831">
        <v>3.6126474162065333E-3</v>
      </c>
      <c r="Q831" t="s">
        <v>163</v>
      </c>
      <c r="S831" t="s">
        <v>255</v>
      </c>
      <c r="T831" t="s">
        <v>307</v>
      </c>
      <c r="U831">
        <v>7.2838744209062526E-3</v>
      </c>
      <c r="V831" t="s">
        <v>163</v>
      </c>
    </row>
    <row r="832" spans="9:22" x14ac:dyDescent="0.45">
      <c r="I832" t="s">
        <v>193</v>
      </c>
      <c r="J832" t="s">
        <v>308</v>
      </c>
      <c r="K832">
        <v>0</v>
      </c>
      <c r="L832" t="s">
        <v>163</v>
      </c>
      <c r="N832" t="s">
        <v>224</v>
      </c>
      <c r="O832" t="s">
        <v>308</v>
      </c>
      <c r="P832">
        <v>1.6646938031868733E-2</v>
      </c>
      <c r="Q832" t="s">
        <v>163</v>
      </c>
      <c r="S832" t="s">
        <v>255</v>
      </c>
      <c r="T832" t="s">
        <v>308</v>
      </c>
      <c r="U832">
        <v>3.2669855260868901E-2</v>
      </c>
      <c r="V832" t="s">
        <v>163</v>
      </c>
    </row>
    <row r="833" spans="9:22" x14ac:dyDescent="0.45">
      <c r="I833" t="s">
        <v>193</v>
      </c>
      <c r="J833" t="s">
        <v>309</v>
      </c>
      <c r="K833">
        <v>9.0037098428109186E-3</v>
      </c>
      <c r="L833" t="s">
        <v>163</v>
      </c>
      <c r="N833" t="s">
        <v>224</v>
      </c>
      <c r="O833" t="s">
        <v>309</v>
      </c>
      <c r="P833">
        <v>1.3537494813489976E-2</v>
      </c>
      <c r="Q833" t="s">
        <v>163</v>
      </c>
      <c r="S833" t="s">
        <v>255</v>
      </c>
      <c r="T833" t="s">
        <v>309</v>
      </c>
      <c r="U833">
        <v>2.3148491702967584E-2</v>
      </c>
      <c r="V833" t="s">
        <v>163</v>
      </c>
    </row>
    <row r="834" spans="9:22" x14ac:dyDescent="0.45">
      <c r="I834" t="s">
        <v>193</v>
      </c>
      <c r="J834" t="s">
        <v>310</v>
      </c>
      <c r="K834">
        <v>1.8946683704434055E-2</v>
      </c>
      <c r="L834" t="s">
        <v>163</v>
      </c>
      <c r="N834" t="s">
        <v>224</v>
      </c>
      <c r="O834" t="s">
        <v>310</v>
      </c>
      <c r="P834">
        <v>2.9262456422584323E-3</v>
      </c>
      <c r="Q834" t="s">
        <v>163</v>
      </c>
      <c r="S834" t="s">
        <v>255</v>
      </c>
      <c r="T834" t="s">
        <v>310</v>
      </c>
      <c r="U834">
        <v>5.3441333690685544E-3</v>
      </c>
      <c r="V834" t="s">
        <v>163</v>
      </c>
    </row>
    <row r="835" spans="9:22" x14ac:dyDescent="0.45">
      <c r="I835" t="s">
        <v>193</v>
      </c>
      <c r="J835" t="s">
        <v>311</v>
      </c>
      <c r="K835">
        <v>3.3675391912255548E-2</v>
      </c>
      <c r="L835" t="s">
        <v>163</v>
      </c>
      <c r="N835" t="s">
        <v>224</v>
      </c>
      <c r="O835" t="s">
        <v>311</v>
      </c>
      <c r="P835">
        <v>4.1300816747644655E-3</v>
      </c>
      <c r="Q835" t="s">
        <v>163</v>
      </c>
      <c r="S835" t="s">
        <v>255</v>
      </c>
      <c r="T835" t="s">
        <v>311</v>
      </c>
      <c r="U835">
        <v>8.6486788564214909E-3</v>
      </c>
      <c r="V835" t="s">
        <v>163</v>
      </c>
    </row>
    <row r="836" spans="9:22" x14ac:dyDescent="0.45">
      <c r="I836" t="s">
        <v>193</v>
      </c>
      <c r="J836" t="s">
        <v>312</v>
      </c>
      <c r="K836">
        <v>4.5731828136413195E-2</v>
      </c>
      <c r="L836" t="s">
        <v>163</v>
      </c>
      <c r="N836" t="s">
        <v>224</v>
      </c>
      <c r="O836" t="s">
        <v>312</v>
      </c>
      <c r="P836">
        <v>7.9362452230551297E-3</v>
      </c>
      <c r="Q836" t="s">
        <v>163</v>
      </c>
      <c r="S836" t="s">
        <v>255</v>
      </c>
      <c r="T836" t="s">
        <v>312</v>
      </c>
      <c r="U836">
        <v>1.3684248561894629E-2</v>
      </c>
      <c r="V836" t="s">
        <v>163</v>
      </c>
    </row>
    <row r="837" spans="9:22" x14ac:dyDescent="0.45">
      <c r="I837" t="s">
        <v>193</v>
      </c>
      <c r="J837" t="s">
        <v>313</v>
      </c>
      <c r="K837">
        <v>5.8001388302143797E-4</v>
      </c>
      <c r="L837" t="s">
        <v>163</v>
      </c>
      <c r="N837" t="s">
        <v>224</v>
      </c>
      <c r="O837" t="s">
        <v>313</v>
      </c>
      <c r="P837">
        <v>1.9688288569866975E-3</v>
      </c>
      <c r="Q837" t="s">
        <v>163</v>
      </c>
      <c r="S837" t="s">
        <v>255</v>
      </c>
      <c r="T837" t="s">
        <v>313</v>
      </c>
      <c r="U837">
        <v>3.0054841328229754E-3</v>
      </c>
      <c r="V837" t="s">
        <v>163</v>
      </c>
    </row>
    <row r="838" spans="9:22" x14ac:dyDescent="0.45">
      <c r="I838" t="s">
        <v>193</v>
      </c>
      <c r="J838" t="s">
        <v>314</v>
      </c>
      <c r="K838">
        <v>0</v>
      </c>
      <c r="L838" t="s">
        <v>163</v>
      </c>
      <c r="N838" t="s">
        <v>224</v>
      </c>
      <c r="O838" t="s">
        <v>314</v>
      </c>
      <c r="P838">
        <v>8.4358207000030556E-3</v>
      </c>
      <c r="Q838" t="s">
        <v>163</v>
      </c>
      <c r="S838" t="s">
        <v>255</v>
      </c>
      <c r="T838" t="s">
        <v>314</v>
      </c>
      <c r="U838">
        <v>1.53062826259032E-2</v>
      </c>
      <c r="V838" t="s">
        <v>163</v>
      </c>
    </row>
    <row r="839" spans="9:22" x14ac:dyDescent="0.45">
      <c r="I839" t="s">
        <v>193</v>
      </c>
      <c r="J839" t="s">
        <v>315</v>
      </c>
      <c r="K839">
        <v>7.7382954711641824E-3</v>
      </c>
      <c r="L839" t="s">
        <v>163</v>
      </c>
      <c r="N839" t="s">
        <v>224</v>
      </c>
      <c r="O839" t="s">
        <v>315</v>
      </c>
      <c r="P839">
        <v>6.1820134714595049E-2</v>
      </c>
      <c r="Q839" t="s">
        <v>163</v>
      </c>
      <c r="S839" t="s">
        <v>255</v>
      </c>
      <c r="T839" t="s">
        <v>315</v>
      </c>
      <c r="U839">
        <v>6.3940394038640172E-2</v>
      </c>
      <c r="V839" t="s">
        <v>163</v>
      </c>
    </row>
    <row r="840" spans="9:22" x14ac:dyDescent="0.45">
      <c r="I840" t="s">
        <v>193</v>
      </c>
      <c r="J840" t="s">
        <v>316</v>
      </c>
      <c r="K840">
        <v>2.6999274911104144E-2</v>
      </c>
      <c r="L840" t="s">
        <v>163</v>
      </c>
      <c r="N840" t="s">
        <v>224</v>
      </c>
      <c r="O840" t="s">
        <v>316</v>
      </c>
      <c r="P840">
        <v>1.3431997245090361E-2</v>
      </c>
      <c r="Q840" t="s">
        <v>163</v>
      </c>
      <c r="S840" t="s">
        <v>255</v>
      </c>
      <c r="T840" t="s">
        <v>316</v>
      </c>
      <c r="U840">
        <v>1.5611894241916743E-2</v>
      </c>
      <c r="V840" t="s">
        <v>163</v>
      </c>
    </row>
    <row r="841" spans="9:22" x14ac:dyDescent="0.45">
      <c r="I841" t="s">
        <v>193</v>
      </c>
      <c r="J841" t="s">
        <v>317</v>
      </c>
      <c r="K841">
        <v>5.1106150005778922E-2</v>
      </c>
      <c r="L841" t="s">
        <v>163</v>
      </c>
      <c r="N841" t="s">
        <v>224</v>
      </c>
      <c r="O841" t="s">
        <v>317</v>
      </c>
      <c r="P841">
        <v>2.2227503153416081E-2</v>
      </c>
      <c r="Q841" t="s">
        <v>163</v>
      </c>
      <c r="S841" t="s">
        <v>255</v>
      </c>
      <c r="T841" t="s">
        <v>317</v>
      </c>
      <c r="U841">
        <v>2.3894686411105901E-2</v>
      </c>
      <c r="V841" t="s">
        <v>163</v>
      </c>
    </row>
    <row r="842" spans="9:22" x14ac:dyDescent="0.45">
      <c r="I842" t="s">
        <v>193</v>
      </c>
      <c r="J842" t="s">
        <v>318</v>
      </c>
      <c r="K842">
        <v>5.6826055631466962E-2</v>
      </c>
      <c r="L842" t="s">
        <v>163</v>
      </c>
      <c r="N842" t="s">
        <v>224</v>
      </c>
      <c r="O842" t="s">
        <v>318</v>
      </c>
      <c r="P842">
        <v>3.8623692474790867E-2</v>
      </c>
      <c r="Q842" t="s">
        <v>163</v>
      </c>
      <c r="S842" t="s">
        <v>255</v>
      </c>
      <c r="T842" t="s">
        <v>318</v>
      </c>
      <c r="U842">
        <v>3.6721176329106223E-2</v>
      </c>
      <c r="V842" t="s">
        <v>163</v>
      </c>
    </row>
    <row r="843" spans="9:22" x14ac:dyDescent="0.45">
      <c r="I843" t="s">
        <v>193</v>
      </c>
      <c r="J843" t="s">
        <v>319</v>
      </c>
      <c r="K843">
        <v>0</v>
      </c>
      <c r="L843" t="s">
        <v>163</v>
      </c>
      <c r="N843" t="s">
        <v>224</v>
      </c>
      <c r="O843" t="s">
        <v>319</v>
      </c>
      <c r="P843">
        <v>7.5700164805839595E-3</v>
      </c>
      <c r="Q843" t="s">
        <v>163</v>
      </c>
      <c r="S843" t="s">
        <v>255</v>
      </c>
      <c r="T843" t="s">
        <v>319</v>
      </c>
      <c r="U843">
        <v>7.6635245023471826E-3</v>
      </c>
      <c r="V843" t="s">
        <v>163</v>
      </c>
    </row>
    <row r="844" spans="9:22" x14ac:dyDescent="0.45">
      <c r="I844" t="s">
        <v>193</v>
      </c>
      <c r="J844" t="s">
        <v>320</v>
      </c>
      <c r="K844">
        <v>0</v>
      </c>
      <c r="L844" t="s">
        <v>163</v>
      </c>
      <c r="N844" t="s">
        <v>224</v>
      </c>
      <c r="O844" t="s">
        <v>320</v>
      </c>
      <c r="P844">
        <v>3.9421557121151744E-2</v>
      </c>
      <c r="Q844" t="s">
        <v>163</v>
      </c>
      <c r="S844" t="s">
        <v>255</v>
      </c>
      <c r="T844" t="s">
        <v>320</v>
      </c>
      <c r="U844">
        <v>4.0431692676921142E-2</v>
      </c>
      <c r="V844" t="s">
        <v>163</v>
      </c>
    </row>
    <row r="845" spans="9:22" x14ac:dyDescent="0.45">
      <c r="I845" t="s">
        <v>193</v>
      </c>
      <c r="J845" t="s">
        <v>321</v>
      </c>
      <c r="K845">
        <v>1.6217550636571487E-3</v>
      </c>
      <c r="L845" t="s">
        <v>163</v>
      </c>
      <c r="N845" t="s">
        <v>224</v>
      </c>
      <c r="O845" t="s">
        <v>321</v>
      </c>
      <c r="P845">
        <v>4.1713849626238163E-2</v>
      </c>
      <c r="Q845" t="s">
        <v>163</v>
      </c>
      <c r="S845" t="s">
        <v>255</v>
      </c>
      <c r="T845" t="s">
        <v>321</v>
      </c>
      <c r="U845">
        <v>3.8782598039593767E-2</v>
      </c>
      <c r="V845" t="s">
        <v>163</v>
      </c>
    </row>
    <row r="846" spans="9:22" x14ac:dyDescent="0.45">
      <c r="I846" t="s">
        <v>193</v>
      </c>
      <c r="J846" t="s">
        <v>322</v>
      </c>
      <c r="K846">
        <v>8.506679662640149E-3</v>
      </c>
      <c r="L846" t="s">
        <v>163</v>
      </c>
      <c r="N846" t="s">
        <v>224</v>
      </c>
      <c r="O846" t="s">
        <v>322</v>
      </c>
      <c r="P846">
        <v>8.8845024284471743E-3</v>
      </c>
      <c r="Q846" t="s">
        <v>163</v>
      </c>
      <c r="S846" t="s">
        <v>255</v>
      </c>
      <c r="T846" t="s">
        <v>322</v>
      </c>
      <c r="U846">
        <v>9.9671366148330713E-3</v>
      </c>
      <c r="V846" t="s">
        <v>163</v>
      </c>
    </row>
    <row r="847" spans="9:22" x14ac:dyDescent="0.45">
      <c r="I847" t="s">
        <v>193</v>
      </c>
      <c r="J847" t="s">
        <v>323</v>
      </c>
      <c r="K847">
        <v>1.9064246394591238E-2</v>
      </c>
      <c r="L847" t="s">
        <v>163</v>
      </c>
      <c r="N847" t="s">
        <v>224</v>
      </c>
      <c r="O847" t="s">
        <v>323</v>
      </c>
      <c r="P847">
        <v>1.4426888073175036E-2</v>
      </c>
      <c r="Q847" t="s">
        <v>163</v>
      </c>
      <c r="S847" t="s">
        <v>255</v>
      </c>
      <c r="T847" t="s">
        <v>323</v>
      </c>
      <c r="U847">
        <v>1.4677094624094474E-2</v>
      </c>
      <c r="V847" t="s">
        <v>163</v>
      </c>
    </row>
    <row r="848" spans="9:22" x14ac:dyDescent="0.45">
      <c r="I848" t="s">
        <v>193</v>
      </c>
      <c r="J848" t="s">
        <v>324</v>
      </c>
      <c r="K848">
        <v>2.0243736537595765E-2</v>
      </c>
      <c r="L848" t="s">
        <v>163</v>
      </c>
      <c r="N848" t="s">
        <v>224</v>
      </c>
      <c r="O848" t="s">
        <v>324</v>
      </c>
      <c r="P848">
        <v>2.619462570134214E-2</v>
      </c>
      <c r="Q848" t="s">
        <v>163</v>
      </c>
      <c r="S848" t="s">
        <v>255</v>
      </c>
      <c r="T848" t="s">
        <v>324</v>
      </c>
      <c r="U848">
        <v>2.3738751800585971E-2</v>
      </c>
      <c r="V848" t="s">
        <v>163</v>
      </c>
    </row>
    <row r="849" spans="9:22" x14ac:dyDescent="0.45">
      <c r="I849" t="s">
        <v>193</v>
      </c>
      <c r="J849" t="s">
        <v>325</v>
      </c>
      <c r="K849">
        <v>0</v>
      </c>
      <c r="L849" t="s">
        <v>163</v>
      </c>
      <c r="N849" t="s">
        <v>224</v>
      </c>
      <c r="O849" t="s">
        <v>325</v>
      </c>
      <c r="P849">
        <v>5.5575547103631226E-3</v>
      </c>
      <c r="Q849" t="s">
        <v>163</v>
      </c>
      <c r="S849" t="s">
        <v>255</v>
      </c>
      <c r="T849" t="s">
        <v>325</v>
      </c>
      <c r="U849">
        <v>4.662425342815732E-3</v>
      </c>
      <c r="V849" t="s">
        <v>163</v>
      </c>
    </row>
    <row r="850" spans="9:22" x14ac:dyDescent="0.45">
      <c r="I850" t="s">
        <v>193</v>
      </c>
      <c r="J850" t="s">
        <v>326</v>
      </c>
      <c r="K850">
        <v>0</v>
      </c>
      <c r="L850" t="s">
        <v>163</v>
      </c>
      <c r="N850" t="s">
        <v>224</v>
      </c>
      <c r="O850" t="s">
        <v>326</v>
      </c>
      <c r="P850">
        <v>2.8853085805755897E-2</v>
      </c>
      <c r="Q850" t="s">
        <v>163</v>
      </c>
      <c r="S850" t="s">
        <v>255</v>
      </c>
      <c r="T850" t="s">
        <v>326</v>
      </c>
      <c r="U850">
        <v>2.2976190496969522E-2</v>
      </c>
      <c r="V850" t="s">
        <v>163</v>
      </c>
    </row>
    <row r="851" spans="9:22" x14ac:dyDescent="0.45">
      <c r="I851" t="s">
        <v>194</v>
      </c>
      <c r="J851" t="s">
        <v>162</v>
      </c>
      <c r="K851">
        <v>9.9707559327139612E-3</v>
      </c>
      <c r="L851" t="s">
        <v>163</v>
      </c>
      <c r="N851" t="s">
        <v>225</v>
      </c>
      <c r="O851" t="s">
        <v>162</v>
      </c>
      <c r="P851">
        <v>0.14719078227914528</v>
      </c>
      <c r="Q851" t="s">
        <v>163</v>
      </c>
      <c r="S851" t="s">
        <v>256</v>
      </c>
      <c r="T851" t="s">
        <v>162</v>
      </c>
      <c r="U851">
        <v>0.13642630635597608</v>
      </c>
      <c r="V851" t="s">
        <v>163</v>
      </c>
    </row>
    <row r="852" spans="9:22" x14ac:dyDescent="0.45">
      <c r="I852" t="s">
        <v>194</v>
      </c>
      <c r="J852" t="s">
        <v>164</v>
      </c>
      <c r="K852">
        <v>3.8520070358744371E-2</v>
      </c>
      <c r="L852" t="s">
        <v>163</v>
      </c>
      <c r="N852" t="s">
        <v>225</v>
      </c>
      <c r="O852" t="s">
        <v>164</v>
      </c>
      <c r="P852">
        <v>3.3825020621187182E-2</v>
      </c>
      <c r="Q852" t="s">
        <v>163</v>
      </c>
      <c r="S852" t="s">
        <v>256</v>
      </c>
      <c r="T852" t="s">
        <v>164</v>
      </c>
      <c r="U852">
        <v>3.2214219234199225E-2</v>
      </c>
      <c r="V852" t="s">
        <v>163</v>
      </c>
    </row>
    <row r="853" spans="9:22" x14ac:dyDescent="0.45">
      <c r="I853" t="s">
        <v>194</v>
      </c>
      <c r="J853" t="s">
        <v>165</v>
      </c>
      <c r="K853">
        <v>9.2651381812098865E-2</v>
      </c>
      <c r="L853" t="s">
        <v>163</v>
      </c>
      <c r="N853" t="s">
        <v>225</v>
      </c>
      <c r="O853" t="s">
        <v>165</v>
      </c>
      <c r="P853">
        <v>6.1159185083020921E-2</v>
      </c>
      <c r="Q853" t="s">
        <v>163</v>
      </c>
      <c r="S853" t="s">
        <v>256</v>
      </c>
      <c r="T853" t="s">
        <v>165</v>
      </c>
      <c r="U853">
        <v>4.9232087315425679E-2</v>
      </c>
      <c r="V853" t="s">
        <v>163</v>
      </c>
    </row>
    <row r="854" spans="9:22" x14ac:dyDescent="0.45">
      <c r="I854" t="s">
        <v>194</v>
      </c>
      <c r="J854" t="s">
        <v>297</v>
      </c>
      <c r="K854">
        <v>0.12349897296933095</v>
      </c>
      <c r="L854" t="s">
        <v>163</v>
      </c>
      <c r="N854" t="s">
        <v>225</v>
      </c>
      <c r="O854" t="s">
        <v>297</v>
      </c>
      <c r="P854">
        <v>0.11615541203870845</v>
      </c>
      <c r="Q854" t="s">
        <v>163</v>
      </c>
      <c r="S854" t="s">
        <v>256</v>
      </c>
      <c r="T854" t="s">
        <v>297</v>
      </c>
      <c r="U854">
        <v>8.4038352194026458E-2</v>
      </c>
      <c r="V854" t="s">
        <v>163</v>
      </c>
    </row>
    <row r="855" spans="9:22" x14ac:dyDescent="0.45">
      <c r="I855" t="s">
        <v>194</v>
      </c>
      <c r="J855" t="s">
        <v>298</v>
      </c>
      <c r="K855">
        <v>2.5382530808629603E-3</v>
      </c>
      <c r="L855" t="s">
        <v>163</v>
      </c>
      <c r="N855" t="s">
        <v>225</v>
      </c>
      <c r="O855" t="s">
        <v>298</v>
      </c>
      <c r="P855">
        <v>2.1884700701955848E-2</v>
      </c>
      <c r="Q855" t="s">
        <v>163</v>
      </c>
      <c r="S855" t="s">
        <v>256</v>
      </c>
      <c r="T855" t="s">
        <v>298</v>
      </c>
      <c r="U855">
        <v>1.735982059742873E-2</v>
      </c>
      <c r="V855" t="s">
        <v>163</v>
      </c>
    </row>
    <row r="856" spans="9:22" x14ac:dyDescent="0.45">
      <c r="I856" t="s">
        <v>194</v>
      </c>
      <c r="J856" t="s">
        <v>299</v>
      </c>
      <c r="K856">
        <v>0</v>
      </c>
      <c r="L856" t="s">
        <v>163</v>
      </c>
      <c r="N856" t="s">
        <v>225</v>
      </c>
      <c r="O856" t="s">
        <v>299</v>
      </c>
      <c r="P856">
        <v>9.1298842511258138E-2</v>
      </c>
      <c r="Q856" t="s">
        <v>163</v>
      </c>
      <c r="S856" t="s">
        <v>256</v>
      </c>
      <c r="T856" t="s">
        <v>299</v>
      </c>
      <c r="U856">
        <v>8.8432364831016533E-2</v>
      </c>
      <c r="V856" t="s">
        <v>163</v>
      </c>
    </row>
    <row r="857" spans="9:22" x14ac:dyDescent="0.45">
      <c r="I857" t="s">
        <v>194</v>
      </c>
      <c r="J857" t="s">
        <v>166</v>
      </c>
      <c r="K857">
        <v>5.7219635639628574E-3</v>
      </c>
      <c r="L857" t="s">
        <v>163</v>
      </c>
      <c r="N857" t="s">
        <v>225</v>
      </c>
      <c r="O857" t="s">
        <v>166</v>
      </c>
      <c r="P857">
        <v>2.3116727073030398E-2</v>
      </c>
      <c r="Q857" t="s">
        <v>163</v>
      </c>
      <c r="S857" t="s">
        <v>256</v>
      </c>
      <c r="T857" t="s">
        <v>166</v>
      </c>
      <c r="U857">
        <v>2.380026278120919E-2</v>
      </c>
      <c r="V857" t="s">
        <v>163</v>
      </c>
    </row>
    <row r="858" spans="9:22" x14ac:dyDescent="0.45">
      <c r="I858" t="s">
        <v>194</v>
      </c>
      <c r="J858" t="s">
        <v>167</v>
      </c>
      <c r="K858">
        <v>1.3159540274898114E-2</v>
      </c>
      <c r="L858" t="s">
        <v>163</v>
      </c>
      <c r="N858" t="s">
        <v>225</v>
      </c>
      <c r="O858" t="s">
        <v>167</v>
      </c>
      <c r="P858">
        <v>5.5778929615244973E-3</v>
      </c>
      <c r="Q858" t="s">
        <v>163</v>
      </c>
      <c r="S858" t="s">
        <v>256</v>
      </c>
      <c r="T858" t="s">
        <v>167</v>
      </c>
      <c r="U858">
        <v>6.2413042842048867E-3</v>
      </c>
      <c r="V858" t="s">
        <v>163</v>
      </c>
    </row>
    <row r="859" spans="9:22" x14ac:dyDescent="0.45">
      <c r="I859" t="s">
        <v>194</v>
      </c>
      <c r="J859" t="s">
        <v>168</v>
      </c>
      <c r="K859">
        <v>2.7501073537384037E-2</v>
      </c>
      <c r="L859" t="s">
        <v>163</v>
      </c>
      <c r="N859" t="s">
        <v>225</v>
      </c>
      <c r="O859" t="s">
        <v>168</v>
      </c>
      <c r="P859">
        <v>1.0058516209381644E-2</v>
      </c>
      <c r="Q859" t="s">
        <v>163</v>
      </c>
      <c r="S859" t="s">
        <v>256</v>
      </c>
      <c r="T859" t="s">
        <v>168</v>
      </c>
      <c r="U859">
        <v>9.5581805647073394E-3</v>
      </c>
      <c r="V859" t="s">
        <v>163</v>
      </c>
    </row>
    <row r="860" spans="9:22" x14ac:dyDescent="0.45">
      <c r="I860" t="s">
        <v>194</v>
      </c>
      <c r="J860" t="s">
        <v>300</v>
      </c>
      <c r="K860">
        <v>3.6008773447140478E-2</v>
      </c>
      <c r="L860" t="s">
        <v>163</v>
      </c>
      <c r="N860" t="s">
        <v>225</v>
      </c>
      <c r="O860" t="s">
        <v>300</v>
      </c>
      <c r="P860">
        <v>2.1472010201480138E-2</v>
      </c>
      <c r="Q860" t="s">
        <v>163</v>
      </c>
      <c r="S860" t="s">
        <v>256</v>
      </c>
      <c r="T860" t="s">
        <v>300</v>
      </c>
      <c r="U860">
        <v>1.6050041625299202E-2</v>
      </c>
      <c r="V860" t="s">
        <v>163</v>
      </c>
    </row>
    <row r="861" spans="9:22" x14ac:dyDescent="0.45">
      <c r="I861" t="s">
        <v>194</v>
      </c>
      <c r="J861" t="s">
        <v>301</v>
      </c>
      <c r="K861">
        <v>2.1278394567687854E-3</v>
      </c>
      <c r="L861" t="s">
        <v>163</v>
      </c>
      <c r="N861" t="s">
        <v>225</v>
      </c>
      <c r="O861" t="s">
        <v>301</v>
      </c>
      <c r="P861">
        <v>3.9366607728702017E-3</v>
      </c>
      <c r="Q861" t="s">
        <v>163</v>
      </c>
      <c r="S861" t="s">
        <v>256</v>
      </c>
      <c r="T861" t="s">
        <v>301</v>
      </c>
      <c r="U861">
        <v>3.2404878459493043E-3</v>
      </c>
      <c r="V861" t="s">
        <v>163</v>
      </c>
    </row>
    <row r="862" spans="9:22" x14ac:dyDescent="0.45">
      <c r="I862" t="s">
        <v>194</v>
      </c>
      <c r="J862" t="s">
        <v>302</v>
      </c>
      <c r="K862">
        <v>0</v>
      </c>
      <c r="L862" t="s">
        <v>163</v>
      </c>
      <c r="N862" t="s">
        <v>225</v>
      </c>
      <c r="O862" t="s">
        <v>302</v>
      </c>
      <c r="P862">
        <v>1.5455149518963476E-2</v>
      </c>
      <c r="Q862" t="s">
        <v>163</v>
      </c>
      <c r="S862" t="s">
        <v>256</v>
      </c>
      <c r="T862" t="s">
        <v>302</v>
      </c>
      <c r="U862">
        <v>1.5042943540386336E-2</v>
      </c>
      <c r="V862" t="s">
        <v>163</v>
      </c>
    </row>
    <row r="863" spans="9:22" x14ac:dyDescent="0.45">
      <c r="I863" t="s">
        <v>194</v>
      </c>
      <c r="J863" t="s">
        <v>169</v>
      </c>
      <c r="K863">
        <v>8.5288697941272758E-3</v>
      </c>
      <c r="L863" t="s">
        <v>163</v>
      </c>
      <c r="N863" t="s">
        <v>225</v>
      </c>
      <c r="O863" t="s">
        <v>169</v>
      </c>
      <c r="P863">
        <v>7.0380510723868457E-3</v>
      </c>
      <c r="Q863" t="s">
        <v>163</v>
      </c>
      <c r="S863" t="s">
        <v>256</v>
      </c>
      <c r="T863" t="s">
        <v>169</v>
      </c>
      <c r="U863">
        <v>1.5980951257225789E-2</v>
      </c>
      <c r="V863" t="s">
        <v>163</v>
      </c>
    </row>
    <row r="864" spans="9:22" x14ac:dyDescent="0.45">
      <c r="I864" t="s">
        <v>194</v>
      </c>
      <c r="J864" t="s">
        <v>170</v>
      </c>
      <c r="K864">
        <v>1.6554566152496786E-2</v>
      </c>
      <c r="L864" t="s">
        <v>163</v>
      </c>
      <c r="N864" t="s">
        <v>225</v>
      </c>
      <c r="O864" t="s">
        <v>170</v>
      </c>
      <c r="P864">
        <v>1.7635566683553462E-3</v>
      </c>
      <c r="Q864" t="s">
        <v>163</v>
      </c>
      <c r="S864" t="s">
        <v>256</v>
      </c>
      <c r="T864" t="s">
        <v>170</v>
      </c>
      <c r="U864">
        <v>3.5840439682644043E-3</v>
      </c>
      <c r="V864" t="s">
        <v>163</v>
      </c>
    </row>
    <row r="865" spans="9:22" x14ac:dyDescent="0.45">
      <c r="I865" t="s">
        <v>194</v>
      </c>
      <c r="J865" t="s">
        <v>171</v>
      </c>
      <c r="K865">
        <v>3.2689656959778247E-2</v>
      </c>
      <c r="L865" t="s">
        <v>163</v>
      </c>
      <c r="N865" t="s">
        <v>225</v>
      </c>
      <c r="O865" t="s">
        <v>171</v>
      </c>
      <c r="P865">
        <v>3.4871818761607783E-3</v>
      </c>
      <c r="Q865" t="s">
        <v>163</v>
      </c>
      <c r="S865" t="s">
        <v>256</v>
      </c>
      <c r="T865" t="s">
        <v>171</v>
      </c>
      <c r="U865">
        <v>5.5953351987849962E-3</v>
      </c>
      <c r="V865" t="s">
        <v>163</v>
      </c>
    </row>
    <row r="866" spans="9:22" x14ac:dyDescent="0.45">
      <c r="I866" t="s">
        <v>194</v>
      </c>
      <c r="J866" t="s">
        <v>303</v>
      </c>
      <c r="K866">
        <v>4.2604213030152646E-2</v>
      </c>
      <c r="L866" t="s">
        <v>163</v>
      </c>
      <c r="N866" t="s">
        <v>225</v>
      </c>
      <c r="O866" t="s">
        <v>303</v>
      </c>
      <c r="P866">
        <v>9.2257173338591986E-3</v>
      </c>
      <c r="Q866" t="s">
        <v>163</v>
      </c>
      <c r="S866" t="s">
        <v>256</v>
      </c>
      <c r="T866" t="s">
        <v>303</v>
      </c>
      <c r="U866">
        <v>1.0402322644220247E-2</v>
      </c>
      <c r="V866" t="s">
        <v>163</v>
      </c>
    </row>
    <row r="867" spans="9:22" x14ac:dyDescent="0.45">
      <c r="I867" t="s">
        <v>194</v>
      </c>
      <c r="J867" t="s">
        <v>304</v>
      </c>
      <c r="K867">
        <v>2.8460811209438078E-3</v>
      </c>
      <c r="L867" t="s">
        <v>163</v>
      </c>
      <c r="N867" t="s">
        <v>225</v>
      </c>
      <c r="O867" t="s">
        <v>304</v>
      </c>
      <c r="P867">
        <v>1.530261363121247E-3</v>
      </c>
      <c r="Q867" t="s">
        <v>163</v>
      </c>
      <c r="S867" t="s">
        <v>256</v>
      </c>
      <c r="T867" t="s">
        <v>304</v>
      </c>
      <c r="U867">
        <v>2.1957452592491458E-3</v>
      </c>
      <c r="V867" t="s">
        <v>163</v>
      </c>
    </row>
    <row r="868" spans="9:22" x14ac:dyDescent="0.45">
      <c r="I868" t="s">
        <v>194</v>
      </c>
      <c r="J868" t="s">
        <v>305</v>
      </c>
      <c r="K868">
        <v>0</v>
      </c>
      <c r="L868" t="s">
        <v>163</v>
      </c>
      <c r="N868" t="s">
        <v>225</v>
      </c>
      <c r="O868" t="s">
        <v>305</v>
      </c>
      <c r="P868">
        <v>5.591568339664732E-3</v>
      </c>
      <c r="Q868" t="s">
        <v>163</v>
      </c>
      <c r="S868" t="s">
        <v>256</v>
      </c>
      <c r="T868" t="s">
        <v>305</v>
      </c>
      <c r="U868">
        <v>9.9754940151392021E-3</v>
      </c>
      <c r="V868" t="s">
        <v>163</v>
      </c>
    </row>
    <row r="869" spans="9:22" x14ac:dyDescent="0.45">
      <c r="I869" t="s">
        <v>194</v>
      </c>
      <c r="J869" t="s">
        <v>172</v>
      </c>
      <c r="K869">
        <v>2.0915090859920243E-2</v>
      </c>
      <c r="L869" t="s">
        <v>163</v>
      </c>
      <c r="N869" t="s">
        <v>225</v>
      </c>
      <c r="O869" t="s">
        <v>172</v>
      </c>
      <c r="P869">
        <v>2.5277931283276552E-2</v>
      </c>
      <c r="Q869" t="s">
        <v>163</v>
      </c>
      <c r="S869" t="s">
        <v>256</v>
      </c>
      <c r="T869" t="s">
        <v>172</v>
      </c>
      <c r="U869">
        <v>3.8077825226090586E-2</v>
      </c>
      <c r="V869" t="s">
        <v>163</v>
      </c>
    </row>
    <row r="870" spans="9:22" x14ac:dyDescent="0.45">
      <c r="I870" t="s">
        <v>194</v>
      </c>
      <c r="J870" t="s">
        <v>173</v>
      </c>
      <c r="K870">
        <v>3.961191515704416E-2</v>
      </c>
      <c r="L870" t="s">
        <v>163</v>
      </c>
      <c r="N870" t="s">
        <v>225</v>
      </c>
      <c r="O870" t="s">
        <v>173</v>
      </c>
      <c r="P870">
        <v>5.3717669430783047E-3</v>
      </c>
      <c r="Q870" t="s">
        <v>163</v>
      </c>
      <c r="S870" t="s">
        <v>256</v>
      </c>
      <c r="T870" t="s">
        <v>173</v>
      </c>
      <c r="U870">
        <v>8.7402486953604627E-3</v>
      </c>
      <c r="V870" t="s">
        <v>163</v>
      </c>
    </row>
    <row r="871" spans="9:22" x14ac:dyDescent="0.45">
      <c r="I871" t="s">
        <v>194</v>
      </c>
      <c r="J871" t="s">
        <v>174</v>
      </c>
      <c r="K871">
        <v>7.4411846235889395E-2</v>
      </c>
      <c r="L871" t="s">
        <v>163</v>
      </c>
      <c r="N871" t="s">
        <v>225</v>
      </c>
      <c r="O871" t="s">
        <v>174</v>
      </c>
      <c r="P871">
        <v>9.4461634357362097E-3</v>
      </c>
      <c r="Q871" t="s">
        <v>163</v>
      </c>
      <c r="S871" t="s">
        <v>256</v>
      </c>
      <c r="T871" t="s">
        <v>174</v>
      </c>
      <c r="U871">
        <v>1.3004372881264088E-2</v>
      </c>
      <c r="V871" t="s">
        <v>163</v>
      </c>
    </row>
    <row r="872" spans="9:22" x14ac:dyDescent="0.45">
      <c r="I872" t="s">
        <v>194</v>
      </c>
      <c r="J872" t="s">
        <v>306</v>
      </c>
      <c r="K872">
        <v>0.10344325664830954</v>
      </c>
      <c r="L872" t="s">
        <v>163</v>
      </c>
      <c r="N872" t="s">
        <v>225</v>
      </c>
      <c r="O872" t="s">
        <v>306</v>
      </c>
      <c r="P872">
        <v>2.0786353297600136E-2</v>
      </c>
      <c r="Q872" t="s">
        <v>163</v>
      </c>
      <c r="S872" t="s">
        <v>256</v>
      </c>
      <c r="T872" t="s">
        <v>306</v>
      </c>
      <c r="U872">
        <v>2.2489491656537752E-2</v>
      </c>
      <c r="V872" t="s">
        <v>163</v>
      </c>
    </row>
    <row r="873" spans="9:22" x14ac:dyDescent="0.45">
      <c r="I873" t="s">
        <v>194</v>
      </c>
      <c r="J873" t="s">
        <v>307</v>
      </c>
      <c r="K873">
        <v>8.2930592917403369E-3</v>
      </c>
      <c r="L873" t="s">
        <v>163</v>
      </c>
      <c r="N873" t="s">
        <v>225</v>
      </c>
      <c r="O873" t="s">
        <v>307</v>
      </c>
      <c r="P873">
        <v>4.2057380936041848E-3</v>
      </c>
      <c r="Q873" t="s">
        <v>163</v>
      </c>
      <c r="S873" t="s">
        <v>256</v>
      </c>
      <c r="T873" t="s">
        <v>307</v>
      </c>
      <c r="U873">
        <v>4.6797931117398672E-3</v>
      </c>
      <c r="V873" t="s">
        <v>163</v>
      </c>
    </row>
    <row r="874" spans="9:22" x14ac:dyDescent="0.45">
      <c r="I874" t="s">
        <v>194</v>
      </c>
      <c r="J874" t="s">
        <v>308</v>
      </c>
      <c r="K874">
        <v>0</v>
      </c>
      <c r="L874" t="s">
        <v>163</v>
      </c>
      <c r="N874" t="s">
        <v>225</v>
      </c>
      <c r="O874" t="s">
        <v>308</v>
      </c>
      <c r="P874">
        <v>1.7112852936763758E-2</v>
      </c>
      <c r="Q874" t="s">
        <v>163</v>
      </c>
      <c r="S874" t="s">
        <v>256</v>
      </c>
      <c r="T874" t="s">
        <v>308</v>
      </c>
      <c r="U874">
        <v>2.3124505388718904E-2</v>
      </c>
      <c r="V874" t="s">
        <v>163</v>
      </c>
    </row>
    <row r="875" spans="9:22" x14ac:dyDescent="0.45">
      <c r="I875" t="s">
        <v>194</v>
      </c>
      <c r="J875" t="s">
        <v>309</v>
      </c>
      <c r="K875">
        <v>8.7698073606726941E-3</v>
      </c>
      <c r="L875" t="s">
        <v>163</v>
      </c>
      <c r="N875" t="s">
        <v>225</v>
      </c>
      <c r="O875" t="s">
        <v>309</v>
      </c>
      <c r="P875">
        <v>1.7108357177602212E-2</v>
      </c>
      <c r="Q875" t="s">
        <v>163</v>
      </c>
      <c r="S875" t="s">
        <v>256</v>
      </c>
      <c r="T875" t="s">
        <v>309</v>
      </c>
      <c r="U875">
        <v>2.1589225439196173E-2</v>
      </c>
      <c r="V875" t="s">
        <v>163</v>
      </c>
    </row>
    <row r="876" spans="9:22" x14ac:dyDescent="0.45">
      <c r="I876" t="s">
        <v>194</v>
      </c>
      <c r="J876" t="s">
        <v>310</v>
      </c>
      <c r="K876">
        <v>1.8647169929398542E-2</v>
      </c>
      <c r="L876" t="s">
        <v>163</v>
      </c>
      <c r="N876" t="s">
        <v>225</v>
      </c>
      <c r="O876" t="s">
        <v>310</v>
      </c>
      <c r="P876">
        <v>3.7067165269440891E-3</v>
      </c>
      <c r="Q876" t="s">
        <v>163</v>
      </c>
      <c r="S876" t="s">
        <v>256</v>
      </c>
      <c r="T876" t="s">
        <v>310</v>
      </c>
      <c r="U876">
        <v>5.0888637796152689E-3</v>
      </c>
      <c r="V876" t="s">
        <v>163</v>
      </c>
    </row>
    <row r="877" spans="9:22" x14ac:dyDescent="0.45">
      <c r="I877" t="s">
        <v>194</v>
      </c>
      <c r="J877" t="s">
        <v>311</v>
      </c>
      <c r="K877">
        <v>3.3982361291145326E-2</v>
      </c>
      <c r="L877" t="s">
        <v>163</v>
      </c>
      <c r="N877" t="s">
        <v>225</v>
      </c>
      <c r="O877" t="s">
        <v>311</v>
      </c>
      <c r="P877">
        <v>6.3850348433964069E-3</v>
      </c>
      <c r="Q877" t="s">
        <v>163</v>
      </c>
      <c r="S877" t="s">
        <v>256</v>
      </c>
      <c r="T877" t="s">
        <v>311</v>
      </c>
      <c r="U877">
        <v>7.5747626319555327E-3</v>
      </c>
      <c r="V877" t="s">
        <v>163</v>
      </c>
    </row>
    <row r="878" spans="9:22" x14ac:dyDescent="0.45">
      <c r="I878" t="s">
        <v>194</v>
      </c>
      <c r="J878" t="s">
        <v>312</v>
      </c>
      <c r="K878">
        <v>4.6567203287860501E-2</v>
      </c>
      <c r="L878" t="s">
        <v>163</v>
      </c>
      <c r="N878" t="s">
        <v>225</v>
      </c>
      <c r="O878" t="s">
        <v>312</v>
      </c>
      <c r="P878">
        <v>1.3392957773444805E-2</v>
      </c>
      <c r="Q878" t="s">
        <v>163</v>
      </c>
      <c r="S878" t="s">
        <v>256</v>
      </c>
      <c r="T878" t="s">
        <v>312</v>
      </c>
      <c r="U878">
        <v>1.2869779042612602E-2</v>
      </c>
      <c r="V878" t="s">
        <v>163</v>
      </c>
    </row>
    <row r="879" spans="9:22" x14ac:dyDescent="0.45">
      <c r="I879" t="s">
        <v>194</v>
      </c>
      <c r="J879" t="s">
        <v>313</v>
      </c>
      <c r="K879">
        <v>1.2570641205218824E-3</v>
      </c>
      <c r="L879" t="s">
        <v>163</v>
      </c>
      <c r="N879" t="s">
        <v>225</v>
      </c>
      <c r="O879" t="s">
        <v>313</v>
      </c>
      <c r="P879">
        <v>2.8544095980475872E-3</v>
      </c>
      <c r="Q879" t="s">
        <v>163</v>
      </c>
      <c r="S879" t="s">
        <v>256</v>
      </c>
      <c r="T879" t="s">
        <v>313</v>
      </c>
      <c r="U879">
        <v>2.6407604697675498E-3</v>
      </c>
      <c r="V879" t="s">
        <v>163</v>
      </c>
    </row>
    <row r="880" spans="9:22" x14ac:dyDescent="0.45">
      <c r="I880" t="s">
        <v>194</v>
      </c>
      <c r="J880" t="s">
        <v>314</v>
      </c>
      <c r="K880">
        <v>0</v>
      </c>
      <c r="L880" t="s">
        <v>163</v>
      </c>
      <c r="N880" t="s">
        <v>225</v>
      </c>
      <c r="O880" t="s">
        <v>314</v>
      </c>
      <c r="P880">
        <v>1.23278909837044E-2</v>
      </c>
      <c r="Q880" t="s">
        <v>163</v>
      </c>
      <c r="S880" t="s">
        <v>256</v>
      </c>
      <c r="T880" t="s">
        <v>314</v>
      </c>
      <c r="U880">
        <v>1.3502489136753393E-2</v>
      </c>
      <c r="V880" t="s">
        <v>163</v>
      </c>
    </row>
    <row r="881" spans="9:22" x14ac:dyDescent="0.45">
      <c r="I881" t="s">
        <v>194</v>
      </c>
      <c r="J881" t="s">
        <v>315</v>
      </c>
      <c r="K881">
        <v>6.6435864718727066E-3</v>
      </c>
      <c r="L881" t="s">
        <v>163</v>
      </c>
      <c r="N881" t="s">
        <v>225</v>
      </c>
      <c r="O881" t="s">
        <v>315</v>
      </c>
      <c r="P881">
        <v>5.4284821021539191E-2</v>
      </c>
      <c r="Q881" t="s">
        <v>163</v>
      </c>
      <c r="S881" t="s">
        <v>256</v>
      </c>
      <c r="T881" t="s">
        <v>315</v>
      </c>
      <c r="U881">
        <v>5.6880260003637224E-2</v>
      </c>
      <c r="V881" t="s">
        <v>163</v>
      </c>
    </row>
    <row r="882" spans="9:22" x14ac:dyDescent="0.45">
      <c r="I882" t="s">
        <v>194</v>
      </c>
      <c r="J882" t="s">
        <v>316</v>
      </c>
      <c r="K882">
        <v>2.5543763547421789E-2</v>
      </c>
      <c r="L882" t="s">
        <v>163</v>
      </c>
      <c r="N882" t="s">
        <v>225</v>
      </c>
      <c r="O882" t="s">
        <v>316</v>
      </c>
      <c r="P882">
        <v>1.0682709790681706E-2</v>
      </c>
      <c r="Q882" t="s">
        <v>163</v>
      </c>
      <c r="S882" t="s">
        <v>256</v>
      </c>
      <c r="T882" t="s">
        <v>316</v>
      </c>
      <c r="U882">
        <v>1.4815380812053389E-2</v>
      </c>
      <c r="V882" t="s">
        <v>163</v>
      </c>
    </row>
    <row r="883" spans="9:22" x14ac:dyDescent="0.45">
      <c r="I883" t="s">
        <v>194</v>
      </c>
      <c r="J883" t="s">
        <v>317</v>
      </c>
      <c r="K883">
        <v>5.075605815383584E-2</v>
      </c>
      <c r="L883" t="s">
        <v>163</v>
      </c>
      <c r="N883" t="s">
        <v>225</v>
      </c>
      <c r="O883" t="s">
        <v>317</v>
      </c>
      <c r="P883">
        <v>1.9706736010650559E-2</v>
      </c>
      <c r="Q883" t="s">
        <v>163</v>
      </c>
      <c r="S883" t="s">
        <v>256</v>
      </c>
      <c r="T883" t="s">
        <v>317</v>
      </c>
      <c r="U883">
        <v>2.3889956225612009E-2</v>
      </c>
      <c r="V883" t="s">
        <v>163</v>
      </c>
    </row>
    <row r="884" spans="9:22" x14ac:dyDescent="0.45">
      <c r="I884" t="s">
        <v>194</v>
      </c>
      <c r="J884" t="s">
        <v>318</v>
      </c>
      <c r="K884">
        <v>5.947248880437507E-2</v>
      </c>
      <c r="L884" t="s">
        <v>163</v>
      </c>
      <c r="N884" t="s">
        <v>225</v>
      </c>
      <c r="O884" t="s">
        <v>318</v>
      </c>
      <c r="P884">
        <v>3.8548362535720408E-2</v>
      </c>
      <c r="Q884" t="s">
        <v>163</v>
      </c>
      <c r="S884" t="s">
        <v>256</v>
      </c>
      <c r="T884" t="s">
        <v>318</v>
      </c>
      <c r="U884">
        <v>4.0575464501852232E-2</v>
      </c>
      <c r="V884" t="s">
        <v>163</v>
      </c>
    </row>
    <row r="885" spans="9:22" x14ac:dyDescent="0.45">
      <c r="I885" t="s">
        <v>194</v>
      </c>
      <c r="J885" t="s">
        <v>319</v>
      </c>
      <c r="K885">
        <v>0</v>
      </c>
      <c r="L885" t="s">
        <v>163</v>
      </c>
      <c r="N885" t="s">
        <v>225</v>
      </c>
      <c r="O885" t="s">
        <v>319</v>
      </c>
      <c r="P885">
        <v>8.5555200770456932E-3</v>
      </c>
      <c r="Q885" t="s">
        <v>163</v>
      </c>
      <c r="S885" t="s">
        <v>256</v>
      </c>
      <c r="T885" t="s">
        <v>319</v>
      </c>
      <c r="U885">
        <v>8.1074017062197287E-3</v>
      </c>
      <c r="V885" t="s">
        <v>163</v>
      </c>
    </row>
    <row r="886" spans="9:22" x14ac:dyDescent="0.45">
      <c r="I886" t="s">
        <v>194</v>
      </c>
      <c r="J886" t="s">
        <v>320</v>
      </c>
      <c r="K886">
        <v>0</v>
      </c>
      <c r="L886" t="s">
        <v>163</v>
      </c>
      <c r="N886" t="s">
        <v>225</v>
      </c>
      <c r="O886" t="s">
        <v>320</v>
      </c>
      <c r="P886">
        <v>3.9061129319037435E-2</v>
      </c>
      <c r="Q886" t="s">
        <v>163</v>
      </c>
      <c r="S886" t="s">
        <v>256</v>
      </c>
      <c r="T886" t="s">
        <v>320</v>
      </c>
      <c r="U886">
        <v>3.9026816316576084E-2</v>
      </c>
      <c r="V886" t="s">
        <v>163</v>
      </c>
    </row>
    <row r="887" spans="9:22" x14ac:dyDescent="0.45">
      <c r="I887" t="s">
        <v>194</v>
      </c>
      <c r="J887" t="s">
        <v>321</v>
      </c>
      <c r="K887">
        <v>1.385873001736261E-3</v>
      </c>
      <c r="L887" t="s">
        <v>163</v>
      </c>
      <c r="N887" t="s">
        <v>225</v>
      </c>
      <c r="O887" t="s">
        <v>321</v>
      </c>
      <c r="P887">
        <v>3.7920658700764831E-2</v>
      </c>
      <c r="Q887" t="s">
        <v>163</v>
      </c>
      <c r="S887" t="s">
        <v>256</v>
      </c>
      <c r="T887" t="s">
        <v>321</v>
      </c>
      <c r="U887">
        <v>3.9500026323178762E-2</v>
      </c>
      <c r="V887" t="s">
        <v>163</v>
      </c>
    </row>
    <row r="888" spans="9:22" x14ac:dyDescent="0.45">
      <c r="I888" t="s">
        <v>194</v>
      </c>
      <c r="J888" t="s">
        <v>322</v>
      </c>
      <c r="K888">
        <v>7.2196290988891252E-3</v>
      </c>
      <c r="L888" t="s">
        <v>163</v>
      </c>
      <c r="N888" t="s">
        <v>225</v>
      </c>
      <c r="O888" t="s">
        <v>322</v>
      </c>
      <c r="P888">
        <v>8.4575801280344764E-3</v>
      </c>
      <c r="Q888" t="s">
        <v>163</v>
      </c>
      <c r="S888" t="s">
        <v>256</v>
      </c>
      <c r="T888" t="s">
        <v>322</v>
      </c>
      <c r="U888">
        <v>9.1398649609840781E-3</v>
      </c>
      <c r="V888" t="s">
        <v>163</v>
      </c>
    </row>
    <row r="889" spans="9:22" x14ac:dyDescent="0.45">
      <c r="I889" t="s">
        <v>194</v>
      </c>
      <c r="J889" t="s">
        <v>323</v>
      </c>
      <c r="K889">
        <v>1.7995728381644368E-2</v>
      </c>
      <c r="L889" t="s">
        <v>163</v>
      </c>
      <c r="N889" t="s">
        <v>225</v>
      </c>
      <c r="O889" t="s">
        <v>323</v>
      </c>
      <c r="P889">
        <v>1.391222323582368E-2</v>
      </c>
      <c r="Q889" t="s">
        <v>163</v>
      </c>
      <c r="S889" t="s">
        <v>256</v>
      </c>
      <c r="T889" t="s">
        <v>323</v>
      </c>
      <c r="U889">
        <v>1.3403612645969393E-2</v>
      </c>
      <c r="V889" t="s">
        <v>163</v>
      </c>
    </row>
    <row r="890" spans="9:22" x14ac:dyDescent="0.45">
      <c r="I890" t="s">
        <v>194</v>
      </c>
      <c r="J890" t="s">
        <v>324</v>
      </c>
      <c r="K890">
        <v>2.0162086866319342E-2</v>
      </c>
      <c r="L890" t="s">
        <v>163</v>
      </c>
      <c r="N890" t="s">
        <v>225</v>
      </c>
      <c r="O890" t="s">
        <v>324</v>
      </c>
      <c r="P890">
        <v>2.3395360421490256E-2</v>
      </c>
      <c r="Q890" t="s">
        <v>163</v>
      </c>
      <c r="S890" t="s">
        <v>256</v>
      </c>
      <c r="T890" t="s">
        <v>324</v>
      </c>
      <c r="U890">
        <v>2.2725172017300427E-2</v>
      </c>
      <c r="V890" t="s">
        <v>163</v>
      </c>
    </row>
    <row r="891" spans="9:22" x14ac:dyDescent="0.45">
      <c r="I891" t="s">
        <v>194</v>
      </c>
      <c r="J891" t="s">
        <v>325</v>
      </c>
      <c r="K891">
        <v>0</v>
      </c>
      <c r="L891" t="s">
        <v>163</v>
      </c>
      <c r="N891" t="s">
        <v>225</v>
      </c>
      <c r="O891" t="s">
        <v>325</v>
      </c>
      <c r="P891">
        <v>4.7071244352475759E-3</v>
      </c>
      <c r="Q891" t="s">
        <v>163</v>
      </c>
      <c r="S891" t="s">
        <v>256</v>
      </c>
      <c r="T891" t="s">
        <v>325</v>
      </c>
      <c r="U891">
        <v>4.7833985356501626E-3</v>
      </c>
      <c r="V891" t="s">
        <v>163</v>
      </c>
    </row>
    <row r="892" spans="9:22" x14ac:dyDescent="0.45">
      <c r="I892" t="s">
        <v>194</v>
      </c>
      <c r="J892" t="s">
        <v>326</v>
      </c>
      <c r="K892">
        <v>0</v>
      </c>
      <c r="L892" t="s">
        <v>163</v>
      </c>
      <c r="N892" t="s">
        <v>225</v>
      </c>
      <c r="O892" t="s">
        <v>326</v>
      </c>
      <c r="P892">
        <v>2.3024364804689883E-2</v>
      </c>
      <c r="Q892" t="s">
        <v>163</v>
      </c>
      <c r="S892" t="s">
        <v>256</v>
      </c>
      <c r="T892" t="s">
        <v>326</v>
      </c>
      <c r="U892">
        <v>2.4400264978639199E-2</v>
      </c>
      <c r="V892" t="s">
        <v>163</v>
      </c>
    </row>
    <row r="893" spans="9:22" x14ac:dyDescent="0.45">
      <c r="I893" t="s">
        <v>195</v>
      </c>
      <c r="J893" t="s">
        <v>162</v>
      </c>
      <c r="K893">
        <v>6.4645669238217861E-3</v>
      </c>
      <c r="L893" t="s">
        <v>163</v>
      </c>
      <c r="N893" t="s">
        <v>226</v>
      </c>
      <c r="O893" t="s">
        <v>162</v>
      </c>
      <c r="P893">
        <v>0.16320084154919309</v>
      </c>
      <c r="Q893" t="s">
        <v>163</v>
      </c>
      <c r="S893" t="s">
        <v>257</v>
      </c>
      <c r="T893" t="s">
        <v>162</v>
      </c>
      <c r="U893">
        <v>0.12801515241101052</v>
      </c>
      <c r="V893" t="s">
        <v>163</v>
      </c>
    </row>
    <row r="894" spans="9:22" x14ac:dyDescent="0.45">
      <c r="I894" t="s">
        <v>195</v>
      </c>
      <c r="J894" t="s">
        <v>164</v>
      </c>
      <c r="K894">
        <v>3.5861293272145302E-2</v>
      </c>
      <c r="L894" t="s">
        <v>163</v>
      </c>
      <c r="N894" t="s">
        <v>226</v>
      </c>
      <c r="O894" t="s">
        <v>164</v>
      </c>
      <c r="P894">
        <v>4.1709799871812649E-2</v>
      </c>
      <c r="Q894" t="s">
        <v>163</v>
      </c>
      <c r="S894" t="s">
        <v>257</v>
      </c>
      <c r="T894" t="s">
        <v>164</v>
      </c>
      <c r="U894">
        <v>3.1600663748870106E-2</v>
      </c>
      <c r="V894" t="s">
        <v>163</v>
      </c>
    </row>
    <row r="895" spans="9:22" x14ac:dyDescent="0.45">
      <c r="I895" t="s">
        <v>195</v>
      </c>
      <c r="J895" t="s">
        <v>165</v>
      </c>
      <c r="K895">
        <v>9.4904116632847563E-2</v>
      </c>
      <c r="L895" t="s">
        <v>163</v>
      </c>
      <c r="N895" t="s">
        <v>226</v>
      </c>
      <c r="O895" t="s">
        <v>165</v>
      </c>
      <c r="P895">
        <v>9.0013793832846606E-2</v>
      </c>
      <c r="Q895" t="s">
        <v>163</v>
      </c>
      <c r="S895" t="s">
        <v>257</v>
      </c>
      <c r="T895" t="s">
        <v>165</v>
      </c>
      <c r="U895">
        <v>4.8568117829394603E-2</v>
      </c>
      <c r="V895" t="s">
        <v>163</v>
      </c>
    </row>
    <row r="896" spans="9:22" x14ac:dyDescent="0.45">
      <c r="I896" t="s">
        <v>195</v>
      </c>
      <c r="J896" t="s">
        <v>297</v>
      </c>
      <c r="K896">
        <v>0.12748360773504464</v>
      </c>
      <c r="L896" t="s">
        <v>163</v>
      </c>
      <c r="N896" t="s">
        <v>226</v>
      </c>
      <c r="O896" t="s">
        <v>297</v>
      </c>
      <c r="P896">
        <v>0.16003546799513946</v>
      </c>
      <c r="Q896" t="s">
        <v>163</v>
      </c>
      <c r="S896" t="s">
        <v>257</v>
      </c>
      <c r="T896" t="s">
        <v>297</v>
      </c>
      <c r="U896">
        <v>8.2535444461198301E-2</v>
      </c>
      <c r="V896" t="s">
        <v>163</v>
      </c>
    </row>
    <row r="897" spans="9:22" x14ac:dyDescent="0.45">
      <c r="I897" t="s">
        <v>195</v>
      </c>
      <c r="J897" t="s">
        <v>298</v>
      </c>
      <c r="K897">
        <v>4.7734004055796355E-3</v>
      </c>
      <c r="L897" t="s">
        <v>163</v>
      </c>
      <c r="N897" t="s">
        <v>226</v>
      </c>
      <c r="O897" t="s">
        <v>298</v>
      </c>
      <c r="P897">
        <v>2.554000371581331E-2</v>
      </c>
      <c r="Q897" t="s">
        <v>163</v>
      </c>
      <c r="S897" t="s">
        <v>257</v>
      </c>
      <c r="T897" t="s">
        <v>298</v>
      </c>
      <c r="U897">
        <v>1.5925303496698476E-2</v>
      </c>
      <c r="V897" t="s">
        <v>163</v>
      </c>
    </row>
    <row r="898" spans="9:22" x14ac:dyDescent="0.45">
      <c r="I898" t="s">
        <v>195</v>
      </c>
      <c r="J898" t="s">
        <v>299</v>
      </c>
      <c r="K898">
        <v>0</v>
      </c>
      <c r="L898" t="s">
        <v>163</v>
      </c>
      <c r="N898" t="s">
        <v>226</v>
      </c>
      <c r="O898" t="s">
        <v>299</v>
      </c>
      <c r="P898">
        <v>0.10189214343762845</v>
      </c>
      <c r="Q898" t="s">
        <v>163</v>
      </c>
      <c r="S898" t="s">
        <v>257</v>
      </c>
      <c r="T898" t="s">
        <v>299</v>
      </c>
      <c r="U898">
        <v>8.0019500273047633E-2</v>
      </c>
      <c r="V898" t="s">
        <v>163</v>
      </c>
    </row>
    <row r="899" spans="9:22" x14ac:dyDescent="0.45">
      <c r="I899" t="s">
        <v>195</v>
      </c>
      <c r="J899" t="s">
        <v>166</v>
      </c>
      <c r="K899">
        <v>6.2926625673563616E-3</v>
      </c>
      <c r="L899" t="s">
        <v>163</v>
      </c>
      <c r="N899" t="s">
        <v>226</v>
      </c>
      <c r="O899" t="s">
        <v>166</v>
      </c>
      <c r="P899">
        <v>1.8159412027532736E-2</v>
      </c>
      <c r="Q899" t="s">
        <v>163</v>
      </c>
      <c r="S899" t="s">
        <v>257</v>
      </c>
      <c r="T899" t="s">
        <v>166</v>
      </c>
      <c r="U899">
        <v>2.7857620909831845E-2</v>
      </c>
      <c r="V899" t="s">
        <v>163</v>
      </c>
    </row>
    <row r="900" spans="9:22" x14ac:dyDescent="0.45">
      <c r="I900" t="s">
        <v>195</v>
      </c>
      <c r="J900" t="s">
        <v>167</v>
      </c>
      <c r="K900">
        <v>1.5150193753581787E-2</v>
      </c>
      <c r="L900" t="s">
        <v>163</v>
      </c>
      <c r="N900" t="s">
        <v>226</v>
      </c>
      <c r="O900" t="s">
        <v>167</v>
      </c>
      <c r="P900">
        <v>4.9434862585625702E-3</v>
      </c>
      <c r="Q900" t="s">
        <v>163</v>
      </c>
      <c r="S900" t="s">
        <v>257</v>
      </c>
      <c r="T900" t="s">
        <v>167</v>
      </c>
      <c r="U900">
        <v>6.5583143599230861E-3</v>
      </c>
      <c r="V900" t="s">
        <v>163</v>
      </c>
    </row>
    <row r="901" spans="9:22" x14ac:dyDescent="0.45">
      <c r="I901" t="s">
        <v>195</v>
      </c>
      <c r="J901" t="s">
        <v>168</v>
      </c>
      <c r="K901">
        <v>3.1722976758504717E-2</v>
      </c>
      <c r="L901" t="s">
        <v>163</v>
      </c>
      <c r="N901" t="s">
        <v>226</v>
      </c>
      <c r="O901" t="s">
        <v>168</v>
      </c>
      <c r="P901">
        <v>1.1816484116268795E-2</v>
      </c>
      <c r="Q901" t="s">
        <v>163</v>
      </c>
      <c r="S901" t="s">
        <v>257</v>
      </c>
      <c r="T901" t="s">
        <v>168</v>
      </c>
      <c r="U901">
        <v>1.0062569630933065E-2</v>
      </c>
      <c r="V901" t="s">
        <v>163</v>
      </c>
    </row>
    <row r="902" spans="9:22" x14ac:dyDescent="0.45">
      <c r="I902" t="s">
        <v>195</v>
      </c>
      <c r="J902" t="s">
        <v>300</v>
      </c>
      <c r="K902">
        <v>3.9740340343450933E-2</v>
      </c>
      <c r="L902" t="s">
        <v>163</v>
      </c>
      <c r="N902" t="s">
        <v>226</v>
      </c>
      <c r="O902" t="s">
        <v>300</v>
      </c>
      <c r="P902">
        <v>2.3533573094186265E-2</v>
      </c>
      <c r="Q902" t="s">
        <v>163</v>
      </c>
      <c r="S902" t="s">
        <v>257</v>
      </c>
      <c r="T902" t="s">
        <v>300</v>
      </c>
      <c r="U902">
        <v>1.6821368583762809E-2</v>
      </c>
      <c r="V902" t="s">
        <v>163</v>
      </c>
    </row>
    <row r="903" spans="9:22" x14ac:dyDescent="0.45">
      <c r="I903" t="s">
        <v>195</v>
      </c>
      <c r="J903" t="s">
        <v>301</v>
      </c>
      <c r="K903">
        <v>2.3790224517252316E-3</v>
      </c>
      <c r="L903" t="s">
        <v>163</v>
      </c>
      <c r="N903" t="s">
        <v>226</v>
      </c>
      <c r="O903" t="s">
        <v>301</v>
      </c>
      <c r="P903">
        <v>3.7190069823588258E-3</v>
      </c>
      <c r="Q903" t="s">
        <v>163</v>
      </c>
      <c r="S903" t="s">
        <v>257</v>
      </c>
      <c r="T903" t="s">
        <v>301</v>
      </c>
      <c r="U903">
        <v>3.3654156598623259E-3</v>
      </c>
      <c r="V903" t="s">
        <v>163</v>
      </c>
    </row>
    <row r="904" spans="9:22" x14ac:dyDescent="0.45">
      <c r="I904" t="s">
        <v>195</v>
      </c>
      <c r="J904" t="s">
        <v>302</v>
      </c>
      <c r="K904">
        <v>0</v>
      </c>
      <c r="L904" t="s">
        <v>163</v>
      </c>
      <c r="N904" t="s">
        <v>226</v>
      </c>
      <c r="O904" t="s">
        <v>302</v>
      </c>
      <c r="P904">
        <v>1.2013219154665121E-2</v>
      </c>
      <c r="Q904" t="s">
        <v>163</v>
      </c>
      <c r="S904" t="s">
        <v>257</v>
      </c>
      <c r="T904" t="s">
        <v>302</v>
      </c>
      <c r="U904">
        <v>1.6130355992763842E-2</v>
      </c>
      <c r="V904" t="s">
        <v>163</v>
      </c>
    </row>
    <row r="905" spans="9:22" x14ac:dyDescent="0.45">
      <c r="I905" t="s">
        <v>195</v>
      </c>
      <c r="J905" t="s">
        <v>169</v>
      </c>
      <c r="K905">
        <v>7.8552097622251755E-3</v>
      </c>
      <c r="L905" t="s">
        <v>163</v>
      </c>
      <c r="N905" t="s">
        <v>226</v>
      </c>
      <c r="O905" t="s">
        <v>169</v>
      </c>
      <c r="P905">
        <v>3.013445669055361E-3</v>
      </c>
      <c r="Q905" t="s">
        <v>163</v>
      </c>
      <c r="S905" t="s">
        <v>257</v>
      </c>
      <c r="T905" t="s">
        <v>169</v>
      </c>
      <c r="U905">
        <v>1.4137304427243735E-2</v>
      </c>
      <c r="V905" t="s">
        <v>163</v>
      </c>
    </row>
    <row r="906" spans="9:22" x14ac:dyDescent="0.45">
      <c r="I906" t="s">
        <v>195</v>
      </c>
      <c r="J906" t="s">
        <v>170</v>
      </c>
      <c r="K906">
        <v>1.5794220314514832E-2</v>
      </c>
      <c r="L906" t="s">
        <v>163</v>
      </c>
      <c r="N906" t="s">
        <v>226</v>
      </c>
      <c r="O906" t="s">
        <v>170</v>
      </c>
      <c r="P906">
        <v>5.5694509532066064E-4</v>
      </c>
      <c r="Q906" t="s">
        <v>163</v>
      </c>
      <c r="S906" t="s">
        <v>257</v>
      </c>
      <c r="T906" t="s">
        <v>170</v>
      </c>
      <c r="U906">
        <v>3.3838230556995272E-3</v>
      </c>
      <c r="V906" t="s">
        <v>163</v>
      </c>
    </row>
    <row r="907" spans="9:22" x14ac:dyDescent="0.45">
      <c r="I907" t="s">
        <v>195</v>
      </c>
      <c r="J907" t="s">
        <v>171</v>
      </c>
      <c r="K907">
        <v>3.1859915355349461E-2</v>
      </c>
      <c r="L907" t="s">
        <v>163</v>
      </c>
      <c r="N907" t="s">
        <v>226</v>
      </c>
      <c r="O907" t="s">
        <v>171</v>
      </c>
      <c r="P907">
        <v>1.6272469665043632E-3</v>
      </c>
      <c r="Q907" t="s">
        <v>163</v>
      </c>
      <c r="S907" t="s">
        <v>257</v>
      </c>
      <c r="T907" t="s">
        <v>171</v>
      </c>
      <c r="U907">
        <v>5.2905464799936587E-3</v>
      </c>
      <c r="V907" t="s">
        <v>163</v>
      </c>
    </row>
    <row r="908" spans="9:22" x14ac:dyDescent="0.45">
      <c r="I908" t="s">
        <v>195</v>
      </c>
      <c r="J908" t="s">
        <v>303</v>
      </c>
      <c r="K908">
        <v>4.4331413122517004E-2</v>
      </c>
      <c r="L908" t="s">
        <v>163</v>
      </c>
      <c r="N908" t="s">
        <v>226</v>
      </c>
      <c r="O908" t="s">
        <v>303</v>
      </c>
      <c r="P908">
        <v>4.2732776889014947E-3</v>
      </c>
      <c r="Q908" t="s">
        <v>163</v>
      </c>
      <c r="S908" t="s">
        <v>257</v>
      </c>
      <c r="T908" t="s">
        <v>303</v>
      </c>
      <c r="U908">
        <v>1.0042828264519476E-2</v>
      </c>
      <c r="V908" t="s">
        <v>163</v>
      </c>
    </row>
    <row r="909" spans="9:22" x14ac:dyDescent="0.45">
      <c r="I909" t="s">
        <v>195</v>
      </c>
      <c r="J909" t="s">
        <v>304</v>
      </c>
      <c r="K909">
        <v>3.6174135611023945E-3</v>
      </c>
      <c r="L909" t="s">
        <v>163</v>
      </c>
      <c r="N909" t="s">
        <v>226</v>
      </c>
      <c r="O909" t="s">
        <v>304</v>
      </c>
      <c r="P909">
        <v>9.22085680094788E-4</v>
      </c>
      <c r="Q909" t="s">
        <v>163</v>
      </c>
      <c r="S909" t="s">
        <v>257</v>
      </c>
      <c r="T909" t="s">
        <v>304</v>
      </c>
      <c r="U909">
        <v>2.0618904555803567E-3</v>
      </c>
      <c r="V909" t="s">
        <v>163</v>
      </c>
    </row>
    <row r="910" spans="9:22" x14ac:dyDescent="0.45">
      <c r="I910" t="s">
        <v>195</v>
      </c>
      <c r="J910" t="s">
        <v>305</v>
      </c>
      <c r="K910">
        <v>2.0648657888813749E-4</v>
      </c>
      <c r="L910" t="s">
        <v>163</v>
      </c>
      <c r="N910" t="s">
        <v>226</v>
      </c>
      <c r="O910" t="s">
        <v>305</v>
      </c>
      <c r="P910">
        <v>3.1131383828339773E-3</v>
      </c>
      <c r="Q910" t="s">
        <v>163</v>
      </c>
      <c r="S910" t="s">
        <v>257</v>
      </c>
      <c r="T910" t="s">
        <v>305</v>
      </c>
      <c r="U910">
        <v>9.1670539667943716E-3</v>
      </c>
      <c r="V910" t="s">
        <v>163</v>
      </c>
    </row>
    <row r="911" spans="9:22" x14ac:dyDescent="0.45">
      <c r="I911" t="s">
        <v>195</v>
      </c>
      <c r="J911" t="s">
        <v>172</v>
      </c>
      <c r="K911">
        <v>1.6626491761061946E-2</v>
      </c>
      <c r="L911" t="s">
        <v>163</v>
      </c>
      <c r="N911" t="s">
        <v>226</v>
      </c>
      <c r="O911" t="s">
        <v>172</v>
      </c>
      <c r="P911">
        <v>5.9244563587092791E-3</v>
      </c>
      <c r="Q911" t="s">
        <v>163</v>
      </c>
      <c r="S911" t="s">
        <v>257</v>
      </c>
      <c r="T911" t="s">
        <v>172</v>
      </c>
      <c r="U911">
        <v>4.0436166472994327E-2</v>
      </c>
      <c r="V911" t="s">
        <v>163</v>
      </c>
    </row>
    <row r="912" spans="9:22" x14ac:dyDescent="0.45">
      <c r="I912" t="s">
        <v>195</v>
      </c>
      <c r="J912" t="s">
        <v>173</v>
      </c>
      <c r="K912">
        <v>3.525315585347806E-2</v>
      </c>
      <c r="L912" t="s">
        <v>163</v>
      </c>
      <c r="N912" t="s">
        <v>226</v>
      </c>
      <c r="O912" t="s">
        <v>173</v>
      </c>
      <c r="P912">
        <v>1.1679406970561876E-3</v>
      </c>
      <c r="Q912" t="s">
        <v>163</v>
      </c>
      <c r="S912" t="s">
        <v>257</v>
      </c>
      <c r="T912" t="s">
        <v>173</v>
      </c>
      <c r="U912">
        <v>8.9199617137181789E-3</v>
      </c>
      <c r="V912" t="s">
        <v>163</v>
      </c>
    </row>
    <row r="913" spans="9:22" x14ac:dyDescent="0.45">
      <c r="I913" t="s">
        <v>195</v>
      </c>
      <c r="J913" t="s">
        <v>174</v>
      </c>
      <c r="K913">
        <v>7.0710843394252196E-2</v>
      </c>
      <c r="L913" t="s">
        <v>163</v>
      </c>
      <c r="N913" t="s">
        <v>226</v>
      </c>
      <c r="O913" t="s">
        <v>174</v>
      </c>
      <c r="P913">
        <v>4.4361589355621511E-3</v>
      </c>
      <c r="Q913" t="s">
        <v>163</v>
      </c>
      <c r="S913" t="s">
        <v>257</v>
      </c>
      <c r="T913" t="s">
        <v>174</v>
      </c>
      <c r="U913">
        <v>1.4516915743322206E-2</v>
      </c>
      <c r="V913" t="s">
        <v>163</v>
      </c>
    </row>
    <row r="914" spans="9:22" x14ac:dyDescent="0.45">
      <c r="I914" t="s">
        <v>195</v>
      </c>
      <c r="J914" t="s">
        <v>306</v>
      </c>
      <c r="K914">
        <v>0.10150574618198972</v>
      </c>
      <c r="L914" t="s">
        <v>163</v>
      </c>
      <c r="N914" t="s">
        <v>226</v>
      </c>
      <c r="O914" t="s">
        <v>306</v>
      </c>
      <c r="P914">
        <v>8.6669447295764212E-3</v>
      </c>
      <c r="Q914" t="s">
        <v>163</v>
      </c>
      <c r="S914" t="s">
        <v>257</v>
      </c>
      <c r="T914" t="s">
        <v>306</v>
      </c>
      <c r="U914">
        <v>2.7168133359002519E-2</v>
      </c>
      <c r="V914" t="s">
        <v>163</v>
      </c>
    </row>
    <row r="915" spans="9:22" x14ac:dyDescent="0.45">
      <c r="I915" t="s">
        <v>195</v>
      </c>
      <c r="J915" t="s">
        <v>307</v>
      </c>
      <c r="K915">
        <v>8.7153902026741378E-3</v>
      </c>
      <c r="L915" t="s">
        <v>163</v>
      </c>
      <c r="N915" t="s">
        <v>226</v>
      </c>
      <c r="O915" t="s">
        <v>307</v>
      </c>
      <c r="P915">
        <v>1.3896060854346978E-3</v>
      </c>
      <c r="Q915" t="s">
        <v>163</v>
      </c>
      <c r="S915" t="s">
        <v>257</v>
      </c>
      <c r="T915" t="s">
        <v>307</v>
      </c>
      <c r="U915">
        <v>5.645445675676145E-3</v>
      </c>
      <c r="V915" t="s">
        <v>163</v>
      </c>
    </row>
    <row r="916" spans="9:22" x14ac:dyDescent="0.45">
      <c r="I916" t="s">
        <v>195</v>
      </c>
      <c r="J916" t="s">
        <v>308</v>
      </c>
      <c r="K916">
        <v>3.1717926691373412E-4</v>
      </c>
      <c r="L916" t="s">
        <v>163</v>
      </c>
      <c r="N916" t="s">
        <v>226</v>
      </c>
      <c r="O916" t="s">
        <v>308</v>
      </c>
      <c r="P916">
        <v>6.2482901221619742E-3</v>
      </c>
      <c r="Q916" t="s">
        <v>163</v>
      </c>
      <c r="S916" t="s">
        <v>257</v>
      </c>
      <c r="T916" t="s">
        <v>308</v>
      </c>
      <c r="U916">
        <v>2.6354820957050249E-2</v>
      </c>
      <c r="V916" t="s">
        <v>163</v>
      </c>
    </row>
    <row r="917" spans="9:22" x14ac:dyDescent="0.45">
      <c r="I917" t="s">
        <v>195</v>
      </c>
      <c r="J917" t="s">
        <v>309</v>
      </c>
      <c r="K917">
        <v>5.1447605290098923E-3</v>
      </c>
      <c r="L917" t="s">
        <v>163</v>
      </c>
      <c r="N917" t="s">
        <v>226</v>
      </c>
      <c r="O917" t="s">
        <v>309</v>
      </c>
      <c r="P917">
        <v>1.268215492379831E-2</v>
      </c>
      <c r="Q917" t="s">
        <v>163</v>
      </c>
      <c r="S917" t="s">
        <v>257</v>
      </c>
      <c r="T917" t="s">
        <v>309</v>
      </c>
      <c r="U917">
        <v>2.3080822160932445E-2</v>
      </c>
      <c r="V917" t="s">
        <v>163</v>
      </c>
    </row>
    <row r="918" spans="9:22" x14ac:dyDescent="0.45">
      <c r="I918" t="s">
        <v>195</v>
      </c>
      <c r="J918" t="s">
        <v>310</v>
      </c>
      <c r="K918">
        <v>1.7341543011463612E-2</v>
      </c>
      <c r="L918" t="s">
        <v>163</v>
      </c>
      <c r="N918" t="s">
        <v>226</v>
      </c>
      <c r="O918" t="s">
        <v>310</v>
      </c>
      <c r="P918">
        <v>3.2313789625001369E-3</v>
      </c>
      <c r="Q918" t="s">
        <v>163</v>
      </c>
      <c r="S918" t="s">
        <v>257</v>
      </c>
      <c r="T918" t="s">
        <v>310</v>
      </c>
      <c r="U918">
        <v>5.5736594590085758E-3</v>
      </c>
      <c r="V918" t="s">
        <v>163</v>
      </c>
    </row>
    <row r="919" spans="9:22" x14ac:dyDescent="0.45">
      <c r="I919" t="s">
        <v>195</v>
      </c>
      <c r="J919" t="s">
        <v>311</v>
      </c>
      <c r="K919">
        <v>3.4494790105300689E-2</v>
      </c>
      <c r="L919" t="s">
        <v>163</v>
      </c>
      <c r="N919" t="s">
        <v>226</v>
      </c>
      <c r="O919" t="s">
        <v>311</v>
      </c>
      <c r="P919">
        <v>6.3186724668898549E-3</v>
      </c>
      <c r="Q919" t="s">
        <v>163</v>
      </c>
      <c r="S919" t="s">
        <v>257</v>
      </c>
      <c r="T919" t="s">
        <v>311</v>
      </c>
      <c r="U919">
        <v>8.2688767539117539E-3</v>
      </c>
      <c r="V919" t="s">
        <v>163</v>
      </c>
    </row>
    <row r="920" spans="9:22" x14ac:dyDescent="0.45">
      <c r="I920" t="s">
        <v>195</v>
      </c>
      <c r="J920" t="s">
        <v>312</v>
      </c>
      <c r="K920">
        <v>4.8343940250192029E-2</v>
      </c>
      <c r="L920" t="s">
        <v>163</v>
      </c>
      <c r="N920" t="s">
        <v>226</v>
      </c>
      <c r="O920" t="s">
        <v>312</v>
      </c>
      <c r="P920">
        <v>1.3517410859355443E-2</v>
      </c>
      <c r="Q920" t="s">
        <v>163</v>
      </c>
      <c r="S920" t="s">
        <v>257</v>
      </c>
      <c r="T920" t="s">
        <v>312</v>
      </c>
      <c r="U920">
        <v>1.4370390970702449E-2</v>
      </c>
      <c r="V920" t="s">
        <v>163</v>
      </c>
    </row>
    <row r="921" spans="9:22" x14ac:dyDescent="0.45">
      <c r="I921" t="s">
        <v>195</v>
      </c>
      <c r="J921" t="s">
        <v>313</v>
      </c>
      <c r="K921">
        <v>2.4458686856548523E-3</v>
      </c>
      <c r="L921" t="s">
        <v>163</v>
      </c>
      <c r="N921" t="s">
        <v>226</v>
      </c>
      <c r="O921" t="s">
        <v>313</v>
      </c>
      <c r="P921">
        <v>2.851957127484101E-3</v>
      </c>
      <c r="Q921" t="s">
        <v>163</v>
      </c>
      <c r="S921" t="s">
        <v>257</v>
      </c>
      <c r="T921" t="s">
        <v>313</v>
      </c>
      <c r="U921">
        <v>2.949744393159578E-3</v>
      </c>
      <c r="V921" t="s">
        <v>163</v>
      </c>
    </row>
    <row r="922" spans="9:22" x14ac:dyDescent="0.45">
      <c r="I922" t="s">
        <v>195</v>
      </c>
      <c r="J922" t="s">
        <v>314</v>
      </c>
      <c r="K922">
        <v>0</v>
      </c>
      <c r="L922" t="s">
        <v>163</v>
      </c>
      <c r="N922" t="s">
        <v>226</v>
      </c>
      <c r="O922" t="s">
        <v>314</v>
      </c>
      <c r="P922">
        <v>8.7680572896116551E-3</v>
      </c>
      <c r="Q922" t="s">
        <v>163</v>
      </c>
      <c r="S922" t="s">
        <v>257</v>
      </c>
      <c r="T922" t="s">
        <v>314</v>
      </c>
      <c r="U922">
        <v>1.5025958105582564E-2</v>
      </c>
      <c r="V922" t="s">
        <v>163</v>
      </c>
    </row>
    <row r="923" spans="9:22" x14ac:dyDescent="0.45">
      <c r="I923" t="s">
        <v>195</v>
      </c>
      <c r="J923" t="s">
        <v>315</v>
      </c>
      <c r="K923">
        <v>5.7300375017483645E-3</v>
      </c>
      <c r="L923" t="s">
        <v>163</v>
      </c>
      <c r="N923" t="s">
        <v>226</v>
      </c>
      <c r="O923" t="s">
        <v>315</v>
      </c>
      <c r="P923">
        <v>3.9986016329244305E-2</v>
      </c>
      <c r="Q923" t="s">
        <v>163</v>
      </c>
      <c r="S923" t="s">
        <v>257</v>
      </c>
      <c r="T923" t="s">
        <v>315</v>
      </c>
      <c r="U923">
        <v>5.9494128176575303E-2</v>
      </c>
      <c r="V923" t="s">
        <v>163</v>
      </c>
    </row>
    <row r="924" spans="9:22" x14ac:dyDescent="0.45">
      <c r="I924" t="s">
        <v>195</v>
      </c>
      <c r="J924" t="s">
        <v>316</v>
      </c>
      <c r="K924">
        <v>2.4345428715133014E-2</v>
      </c>
      <c r="L924" t="s">
        <v>163</v>
      </c>
      <c r="N924" t="s">
        <v>226</v>
      </c>
      <c r="O924" t="s">
        <v>316</v>
      </c>
      <c r="P924">
        <v>8.9914054564512336E-3</v>
      </c>
      <c r="Q924" t="s">
        <v>163</v>
      </c>
      <c r="S924" t="s">
        <v>257</v>
      </c>
      <c r="T924" t="s">
        <v>316</v>
      </c>
      <c r="U924">
        <v>1.475385726980055E-2</v>
      </c>
      <c r="V924" t="s">
        <v>163</v>
      </c>
    </row>
    <row r="925" spans="9:22" x14ac:dyDescent="0.45">
      <c r="I925" t="s">
        <v>195</v>
      </c>
      <c r="J925" t="s">
        <v>317</v>
      </c>
      <c r="K925">
        <v>5.1824551242173271E-2</v>
      </c>
      <c r="L925" t="s">
        <v>163</v>
      </c>
      <c r="N925" t="s">
        <v>226</v>
      </c>
      <c r="O925" t="s">
        <v>317</v>
      </c>
      <c r="P925">
        <v>1.9953006882213496E-2</v>
      </c>
      <c r="Q925" t="s">
        <v>163</v>
      </c>
      <c r="S925" t="s">
        <v>257</v>
      </c>
      <c r="T925" t="s">
        <v>317</v>
      </c>
      <c r="U925">
        <v>2.3393699110605549E-2</v>
      </c>
      <c r="V925" t="s">
        <v>163</v>
      </c>
    </row>
    <row r="926" spans="9:22" x14ac:dyDescent="0.45">
      <c r="I926" t="s">
        <v>195</v>
      </c>
      <c r="J926" t="s">
        <v>318</v>
      </c>
      <c r="K926">
        <v>6.628843342404156E-2</v>
      </c>
      <c r="L926" t="s">
        <v>163</v>
      </c>
      <c r="N926" t="s">
        <v>226</v>
      </c>
      <c r="O926" t="s">
        <v>318</v>
      </c>
      <c r="P926">
        <v>3.6428159361883213E-2</v>
      </c>
      <c r="Q926" t="s">
        <v>163</v>
      </c>
      <c r="S926" t="s">
        <v>257</v>
      </c>
      <c r="T926" t="s">
        <v>318</v>
      </c>
      <c r="U926">
        <v>4.0968935995155747E-2</v>
      </c>
      <c r="V926" t="s">
        <v>163</v>
      </c>
    </row>
    <row r="927" spans="9:22" x14ac:dyDescent="0.45">
      <c r="I927" t="s">
        <v>195</v>
      </c>
      <c r="J927" t="s">
        <v>319</v>
      </c>
      <c r="K927">
        <v>0</v>
      </c>
      <c r="L927" t="s">
        <v>163</v>
      </c>
      <c r="N927" t="s">
        <v>226</v>
      </c>
      <c r="O927" t="s">
        <v>319</v>
      </c>
      <c r="P927">
        <v>7.3172462799828471E-3</v>
      </c>
      <c r="Q927" t="s">
        <v>163</v>
      </c>
      <c r="S927" t="s">
        <v>257</v>
      </c>
      <c r="T927" t="s">
        <v>319</v>
      </c>
      <c r="U927">
        <v>8.1897737487713167E-3</v>
      </c>
      <c r="V927" t="s">
        <v>163</v>
      </c>
    </row>
    <row r="928" spans="9:22" x14ac:dyDescent="0.45">
      <c r="I928" t="s">
        <v>195</v>
      </c>
      <c r="J928" t="s">
        <v>320</v>
      </c>
      <c r="K928">
        <v>0</v>
      </c>
      <c r="L928" t="s">
        <v>163</v>
      </c>
      <c r="N928" t="s">
        <v>226</v>
      </c>
      <c r="O928" t="s">
        <v>320</v>
      </c>
      <c r="P928">
        <v>2.9871899613707759E-2</v>
      </c>
      <c r="Q928" t="s">
        <v>163</v>
      </c>
      <c r="S928" t="s">
        <v>257</v>
      </c>
      <c r="T928" t="s">
        <v>320</v>
      </c>
      <c r="U928">
        <v>4.0599647992887594E-2</v>
      </c>
      <c r="V928" t="s">
        <v>163</v>
      </c>
    </row>
    <row r="929" spans="9:22" x14ac:dyDescent="0.45">
      <c r="I929" t="s">
        <v>195</v>
      </c>
      <c r="J929" t="s">
        <v>321</v>
      </c>
      <c r="K929">
        <v>8.6887497404756326E-4</v>
      </c>
      <c r="L929" t="s">
        <v>163</v>
      </c>
      <c r="N929" t="s">
        <v>226</v>
      </c>
      <c r="O929" t="s">
        <v>321</v>
      </c>
      <c r="P929">
        <v>3.3535779098349823E-2</v>
      </c>
      <c r="Q929" t="s">
        <v>163</v>
      </c>
      <c r="S929" t="s">
        <v>257</v>
      </c>
      <c r="T929" t="s">
        <v>321</v>
      </c>
      <c r="U929">
        <v>3.697843832558325E-2</v>
      </c>
      <c r="V929" t="s">
        <v>163</v>
      </c>
    </row>
    <row r="930" spans="9:22" x14ac:dyDescent="0.45">
      <c r="I930" t="s">
        <v>195</v>
      </c>
      <c r="J930" t="s">
        <v>322</v>
      </c>
      <c r="K930">
        <v>5.6052978683511301E-3</v>
      </c>
      <c r="L930" t="s">
        <v>163</v>
      </c>
      <c r="N930" t="s">
        <v>226</v>
      </c>
      <c r="O930" t="s">
        <v>322</v>
      </c>
      <c r="P930">
        <v>6.4783788833292517E-3</v>
      </c>
      <c r="Q930" t="s">
        <v>163</v>
      </c>
      <c r="S930" t="s">
        <v>257</v>
      </c>
      <c r="T930" t="s">
        <v>322</v>
      </c>
      <c r="U930">
        <v>9.3405820251835116E-3</v>
      </c>
      <c r="V930" t="s">
        <v>163</v>
      </c>
    </row>
    <row r="931" spans="9:22" x14ac:dyDescent="0.45">
      <c r="I931" t="s">
        <v>195</v>
      </c>
      <c r="J931" t="s">
        <v>323</v>
      </c>
      <c r="K931">
        <v>1.6175123270812733E-2</v>
      </c>
      <c r="L931" t="s">
        <v>163</v>
      </c>
      <c r="N931" t="s">
        <v>226</v>
      </c>
      <c r="O931" t="s">
        <v>323</v>
      </c>
      <c r="P931">
        <v>1.4683247660311805E-2</v>
      </c>
      <c r="Q931" t="s">
        <v>163</v>
      </c>
      <c r="S931" t="s">
        <v>257</v>
      </c>
      <c r="T931" t="s">
        <v>323</v>
      </c>
      <c r="U931">
        <v>1.3826943524155645E-2</v>
      </c>
      <c r="V931" t="s">
        <v>163</v>
      </c>
    </row>
    <row r="932" spans="9:22" x14ac:dyDescent="0.45">
      <c r="I932" t="s">
        <v>195</v>
      </c>
      <c r="J932" t="s">
        <v>324</v>
      </c>
      <c r="K932">
        <v>1.9825704223046407E-2</v>
      </c>
      <c r="L932" t="s">
        <v>163</v>
      </c>
      <c r="N932" t="s">
        <v>226</v>
      </c>
      <c r="O932" t="s">
        <v>324</v>
      </c>
      <c r="P932">
        <v>2.8907201499009307E-2</v>
      </c>
      <c r="Q932" t="s">
        <v>163</v>
      </c>
      <c r="S932" t="s">
        <v>257</v>
      </c>
      <c r="T932" t="s">
        <v>324</v>
      </c>
      <c r="U932">
        <v>2.2237900209740126E-2</v>
      </c>
      <c r="V932" t="s">
        <v>163</v>
      </c>
    </row>
    <row r="933" spans="9:22" x14ac:dyDescent="0.45">
      <c r="I933" t="s">
        <v>195</v>
      </c>
      <c r="J933" t="s">
        <v>325</v>
      </c>
      <c r="K933">
        <v>0</v>
      </c>
      <c r="L933" t="s">
        <v>163</v>
      </c>
      <c r="N933" t="s">
        <v>226</v>
      </c>
      <c r="O933" t="s">
        <v>325</v>
      </c>
      <c r="P933">
        <v>5.1771283700364273E-3</v>
      </c>
      <c r="Q933" t="s">
        <v>163</v>
      </c>
      <c r="S933" t="s">
        <v>257</v>
      </c>
      <c r="T933" t="s">
        <v>325</v>
      </c>
      <c r="U933">
        <v>4.3843361262379515E-3</v>
      </c>
      <c r="V933" t="s">
        <v>163</v>
      </c>
    </row>
    <row r="934" spans="9:22" x14ac:dyDescent="0.45">
      <c r="I934" t="s">
        <v>195</v>
      </c>
      <c r="J934" t="s">
        <v>326</v>
      </c>
      <c r="K934">
        <v>0</v>
      </c>
      <c r="L934" t="s">
        <v>163</v>
      </c>
      <c r="N934" t="s">
        <v>226</v>
      </c>
      <c r="O934" t="s">
        <v>326</v>
      </c>
      <c r="P934">
        <v>2.3384130488621049E-2</v>
      </c>
      <c r="Q934" t="s">
        <v>163</v>
      </c>
      <c r="S934" t="s">
        <v>257</v>
      </c>
      <c r="T934" t="s">
        <v>326</v>
      </c>
      <c r="U934">
        <v>2.1977587723114724E-2</v>
      </c>
      <c r="V934" t="s">
        <v>163</v>
      </c>
    </row>
    <row r="935" spans="9:22" x14ac:dyDescent="0.45">
      <c r="I935" t="s">
        <v>196</v>
      </c>
      <c r="J935" t="s">
        <v>162</v>
      </c>
      <c r="K935">
        <v>9.6215592387225071E-3</v>
      </c>
      <c r="L935" t="s">
        <v>163</v>
      </c>
      <c r="N935" t="s">
        <v>227</v>
      </c>
      <c r="O935" t="s">
        <v>162</v>
      </c>
      <c r="P935">
        <v>0.17134718345345679</v>
      </c>
      <c r="Q935" t="s">
        <v>163</v>
      </c>
      <c r="S935" t="s">
        <v>258</v>
      </c>
      <c r="T935" t="s">
        <v>162</v>
      </c>
      <c r="U935">
        <v>0.13429870726301862</v>
      </c>
      <c r="V935" t="s">
        <v>163</v>
      </c>
    </row>
    <row r="936" spans="9:22" x14ac:dyDescent="0.45">
      <c r="I936" t="s">
        <v>196</v>
      </c>
      <c r="J936" t="s">
        <v>164</v>
      </c>
      <c r="K936">
        <v>4.1721387179759831E-2</v>
      </c>
      <c r="L936" t="s">
        <v>163</v>
      </c>
      <c r="N936" t="s">
        <v>227</v>
      </c>
      <c r="O936" t="s">
        <v>164</v>
      </c>
      <c r="P936">
        <v>4.2814515604019915E-2</v>
      </c>
      <c r="Q936" t="s">
        <v>163</v>
      </c>
      <c r="S936" t="s">
        <v>258</v>
      </c>
      <c r="T936" t="s">
        <v>164</v>
      </c>
      <c r="U936">
        <v>3.2581328673874116E-2</v>
      </c>
      <c r="V936" t="s">
        <v>163</v>
      </c>
    </row>
    <row r="937" spans="9:22" x14ac:dyDescent="0.45">
      <c r="I937" t="s">
        <v>196</v>
      </c>
      <c r="J937" t="s">
        <v>165</v>
      </c>
      <c r="K937">
        <v>9.7888948874987003E-2</v>
      </c>
      <c r="L937" t="s">
        <v>163</v>
      </c>
      <c r="N937" t="s">
        <v>227</v>
      </c>
      <c r="O937" t="s">
        <v>165</v>
      </c>
      <c r="P937">
        <v>8.8303827342935126E-2</v>
      </c>
      <c r="Q937" t="s">
        <v>163</v>
      </c>
      <c r="S937" t="s">
        <v>258</v>
      </c>
      <c r="T937" t="s">
        <v>165</v>
      </c>
      <c r="U937">
        <v>5.2673315449844799E-2</v>
      </c>
      <c r="V937" t="s">
        <v>163</v>
      </c>
    </row>
    <row r="938" spans="9:22" x14ac:dyDescent="0.45">
      <c r="I938" t="s">
        <v>196</v>
      </c>
      <c r="J938" t="s">
        <v>297</v>
      </c>
      <c r="K938">
        <v>0.14126902219951251</v>
      </c>
      <c r="L938" t="s">
        <v>163</v>
      </c>
      <c r="N938" t="s">
        <v>227</v>
      </c>
      <c r="O938" t="s">
        <v>297</v>
      </c>
      <c r="P938">
        <v>0.16019054744854838</v>
      </c>
      <c r="Q938" t="s">
        <v>163</v>
      </c>
      <c r="S938" t="s">
        <v>258</v>
      </c>
      <c r="T938" t="s">
        <v>297</v>
      </c>
      <c r="U938">
        <v>8.7266876706475649E-2</v>
      </c>
      <c r="V938" t="s">
        <v>163</v>
      </c>
    </row>
    <row r="939" spans="9:22" x14ac:dyDescent="0.45">
      <c r="I939" t="s">
        <v>196</v>
      </c>
      <c r="J939" t="s">
        <v>298</v>
      </c>
      <c r="K939">
        <v>6.9965834823067013E-3</v>
      </c>
      <c r="L939" t="s">
        <v>163</v>
      </c>
      <c r="N939" t="s">
        <v>227</v>
      </c>
      <c r="O939" t="s">
        <v>298</v>
      </c>
      <c r="P939">
        <v>2.3231148123978626E-2</v>
      </c>
      <c r="Q939" t="s">
        <v>163</v>
      </c>
      <c r="S939" t="s">
        <v>258</v>
      </c>
      <c r="T939" t="s">
        <v>298</v>
      </c>
      <c r="U939">
        <v>1.6926640347149968E-2</v>
      </c>
      <c r="V939" t="s">
        <v>163</v>
      </c>
    </row>
    <row r="940" spans="9:22" x14ac:dyDescent="0.45">
      <c r="I940" t="s">
        <v>196</v>
      </c>
      <c r="J940" t="s">
        <v>299</v>
      </c>
      <c r="K940">
        <v>2.7292172369244985E-4</v>
      </c>
      <c r="L940" t="s">
        <v>163</v>
      </c>
      <c r="N940" t="s">
        <v>227</v>
      </c>
      <c r="O940" t="s">
        <v>299</v>
      </c>
      <c r="P940">
        <v>9.7872841888747772E-2</v>
      </c>
      <c r="Q940" t="s">
        <v>163</v>
      </c>
      <c r="S940" t="s">
        <v>258</v>
      </c>
      <c r="T940" t="s">
        <v>299</v>
      </c>
      <c r="U940">
        <v>8.1595891631939144E-2</v>
      </c>
      <c r="V940" t="s">
        <v>163</v>
      </c>
    </row>
    <row r="941" spans="9:22" x14ac:dyDescent="0.45">
      <c r="I941" t="s">
        <v>196</v>
      </c>
      <c r="J941" t="s">
        <v>166</v>
      </c>
      <c r="K941">
        <v>5.094480710540846E-3</v>
      </c>
      <c r="L941" t="s">
        <v>163</v>
      </c>
      <c r="N941" t="s">
        <v>227</v>
      </c>
      <c r="O941" t="s">
        <v>166</v>
      </c>
      <c r="P941">
        <v>1.5256620563876408E-2</v>
      </c>
      <c r="Q941" t="s">
        <v>163</v>
      </c>
      <c r="S941" t="s">
        <v>258</v>
      </c>
      <c r="T941" t="s">
        <v>166</v>
      </c>
      <c r="U941">
        <v>2.327492698477911E-2</v>
      </c>
      <c r="V941" t="s">
        <v>163</v>
      </c>
    </row>
    <row r="942" spans="9:22" x14ac:dyDescent="0.45">
      <c r="I942" t="s">
        <v>196</v>
      </c>
      <c r="J942" t="s">
        <v>167</v>
      </c>
      <c r="K942">
        <v>1.2723445914290758E-2</v>
      </c>
      <c r="L942" t="s">
        <v>163</v>
      </c>
      <c r="N942" t="s">
        <v>227</v>
      </c>
      <c r="O942" t="s">
        <v>167</v>
      </c>
      <c r="P942">
        <v>4.8589523362882791E-3</v>
      </c>
      <c r="Q942" t="s">
        <v>163</v>
      </c>
      <c r="S942" t="s">
        <v>258</v>
      </c>
      <c r="T942" t="s">
        <v>167</v>
      </c>
      <c r="U942">
        <v>5.2006468416553632E-3</v>
      </c>
      <c r="V942" t="s">
        <v>163</v>
      </c>
    </row>
    <row r="943" spans="9:22" x14ac:dyDescent="0.45">
      <c r="I943" t="s">
        <v>196</v>
      </c>
      <c r="J943" t="s">
        <v>168</v>
      </c>
      <c r="K943">
        <v>2.7397007489234893E-2</v>
      </c>
      <c r="L943" t="s">
        <v>163</v>
      </c>
      <c r="N943" t="s">
        <v>227</v>
      </c>
      <c r="O943" t="s">
        <v>168</v>
      </c>
      <c r="P943">
        <v>1.2219052100756304E-2</v>
      </c>
      <c r="Q943" t="s">
        <v>163</v>
      </c>
      <c r="S943" t="s">
        <v>258</v>
      </c>
      <c r="T943" t="s">
        <v>168</v>
      </c>
      <c r="U943">
        <v>8.3355287378269038E-3</v>
      </c>
      <c r="V943" t="s">
        <v>163</v>
      </c>
    </row>
    <row r="944" spans="9:22" x14ac:dyDescent="0.45">
      <c r="I944" t="s">
        <v>196</v>
      </c>
      <c r="J944" t="s">
        <v>300</v>
      </c>
      <c r="K944">
        <v>3.7710307962533295E-2</v>
      </c>
      <c r="L944" t="s">
        <v>163</v>
      </c>
      <c r="N944" t="s">
        <v>227</v>
      </c>
      <c r="O944" t="s">
        <v>300</v>
      </c>
      <c r="P944">
        <v>2.3336380826985324E-2</v>
      </c>
      <c r="Q944" t="s">
        <v>163</v>
      </c>
      <c r="S944" t="s">
        <v>258</v>
      </c>
      <c r="T944" t="s">
        <v>300</v>
      </c>
      <c r="U944">
        <v>1.4463525311526563E-2</v>
      </c>
      <c r="V944" t="s">
        <v>163</v>
      </c>
    </row>
    <row r="945" spans="9:22" x14ac:dyDescent="0.45">
      <c r="I945" t="s">
        <v>196</v>
      </c>
      <c r="J945" t="s">
        <v>301</v>
      </c>
      <c r="K945">
        <v>2.6463676120224784E-3</v>
      </c>
      <c r="L945" t="s">
        <v>163</v>
      </c>
      <c r="N945" t="s">
        <v>227</v>
      </c>
      <c r="O945" t="s">
        <v>301</v>
      </c>
      <c r="P945">
        <v>3.203353763379786E-3</v>
      </c>
      <c r="Q945" t="s">
        <v>163</v>
      </c>
      <c r="S945" t="s">
        <v>258</v>
      </c>
      <c r="T945" t="s">
        <v>301</v>
      </c>
      <c r="U945">
        <v>2.7263336174640795E-3</v>
      </c>
      <c r="V945" t="s">
        <v>163</v>
      </c>
    </row>
    <row r="946" spans="9:22" x14ac:dyDescent="0.45">
      <c r="I946" t="s">
        <v>196</v>
      </c>
      <c r="J946" t="s">
        <v>302</v>
      </c>
      <c r="K946">
        <v>5.6215210705027924E-4</v>
      </c>
      <c r="L946" t="s">
        <v>163</v>
      </c>
      <c r="N946" t="s">
        <v>227</v>
      </c>
      <c r="O946" t="s">
        <v>302</v>
      </c>
      <c r="P946">
        <v>9.260542966263937E-3</v>
      </c>
      <c r="Q946" t="s">
        <v>163</v>
      </c>
      <c r="S946" t="s">
        <v>258</v>
      </c>
      <c r="T946" t="s">
        <v>302</v>
      </c>
      <c r="U946">
        <v>1.2475665410003414E-2</v>
      </c>
      <c r="V946" t="s">
        <v>163</v>
      </c>
    </row>
    <row r="947" spans="9:22" x14ac:dyDescent="0.45">
      <c r="I947" t="s">
        <v>196</v>
      </c>
      <c r="J947" t="s">
        <v>169</v>
      </c>
      <c r="K947">
        <v>6.8054190920492147E-3</v>
      </c>
      <c r="L947" t="s">
        <v>163</v>
      </c>
      <c r="N947" t="s">
        <v>227</v>
      </c>
      <c r="O947" t="s">
        <v>169</v>
      </c>
      <c r="P947">
        <v>2.8610493918876127E-3</v>
      </c>
      <c r="Q947" t="s">
        <v>163</v>
      </c>
      <c r="S947" t="s">
        <v>258</v>
      </c>
      <c r="T947" t="s">
        <v>169</v>
      </c>
      <c r="U947">
        <v>6.5571900326554964E-3</v>
      </c>
      <c r="V947" t="s">
        <v>163</v>
      </c>
    </row>
    <row r="948" spans="9:22" x14ac:dyDescent="0.45">
      <c r="I948" t="s">
        <v>196</v>
      </c>
      <c r="J948" t="s">
        <v>170</v>
      </c>
      <c r="K948">
        <v>1.5115283366479604E-2</v>
      </c>
      <c r="L948" t="s">
        <v>163</v>
      </c>
      <c r="N948" t="s">
        <v>227</v>
      </c>
      <c r="O948" t="s">
        <v>170</v>
      </c>
      <c r="P948">
        <v>6.1896526436378387E-4</v>
      </c>
      <c r="Q948" t="s">
        <v>163</v>
      </c>
      <c r="S948" t="s">
        <v>258</v>
      </c>
      <c r="T948" t="s">
        <v>170</v>
      </c>
      <c r="U948">
        <v>1.4133105121726408E-3</v>
      </c>
      <c r="V948" t="s">
        <v>163</v>
      </c>
    </row>
    <row r="949" spans="9:22" x14ac:dyDescent="0.45">
      <c r="I949" t="s">
        <v>196</v>
      </c>
      <c r="J949" t="s">
        <v>171</v>
      </c>
      <c r="K949">
        <v>3.0180532563541848E-2</v>
      </c>
      <c r="L949" t="s">
        <v>163</v>
      </c>
      <c r="N949" t="s">
        <v>227</v>
      </c>
      <c r="O949" t="s">
        <v>171</v>
      </c>
      <c r="P949">
        <v>2.0022656026871875E-3</v>
      </c>
      <c r="Q949" t="s">
        <v>163</v>
      </c>
      <c r="S949" t="s">
        <v>258</v>
      </c>
      <c r="T949" t="s">
        <v>171</v>
      </c>
      <c r="U949">
        <v>2.285659378385289E-3</v>
      </c>
      <c r="V949" t="s">
        <v>163</v>
      </c>
    </row>
    <row r="950" spans="9:22" x14ac:dyDescent="0.45">
      <c r="I950" t="s">
        <v>196</v>
      </c>
      <c r="J950" t="s">
        <v>303</v>
      </c>
      <c r="K950">
        <v>4.3853924652673307E-2</v>
      </c>
      <c r="L950" t="s">
        <v>163</v>
      </c>
      <c r="N950" t="s">
        <v>227</v>
      </c>
      <c r="O950" t="s">
        <v>303</v>
      </c>
      <c r="P950">
        <v>4.69080567590316E-3</v>
      </c>
      <c r="Q950" t="s">
        <v>163</v>
      </c>
      <c r="S950" t="s">
        <v>258</v>
      </c>
      <c r="T950" t="s">
        <v>303</v>
      </c>
      <c r="U950">
        <v>5.3030109890148591E-3</v>
      </c>
      <c r="V950" t="s">
        <v>163</v>
      </c>
    </row>
    <row r="951" spans="9:22" x14ac:dyDescent="0.45">
      <c r="I951" t="s">
        <v>196</v>
      </c>
      <c r="J951" t="s">
        <v>304</v>
      </c>
      <c r="K951">
        <v>3.925648826703803E-3</v>
      </c>
      <c r="L951" t="s">
        <v>163</v>
      </c>
      <c r="N951" t="s">
        <v>227</v>
      </c>
      <c r="O951" t="s">
        <v>304</v>
      </c>
      <c r="P951">
        <v>7.1724397838240537E-4</v>
      </c>
      <c r="Q951" t="s">
        <v>163</v>
      </c>
      <c r="S951" t="s">
        <v>258</v>
      </c>
      <c r="T951" t="s">
        <v>304</v>
      </c>
      <c r="U951">
        <v>1.1175946083530569E-3</v>
      </c>
      <c r="V951" t="s">
        <v>163</v>
      </c>
    </row>
    <row r="952" spans="9:22" x14ac:dyDescent="0.45">
      <c r="I952" t="s">
        <v>196</v>
      </c>
      <c r="J952" t="s">
        <v>305</v>
      </c>
      <c r="K952">
        <v>8.8635784714147226E-4</v>
      </c>
      <c r="L952" t="s">
        <v>163</v>
      </c>
      <c r="N952" t="s">
        <v>227</v>
      </c>
      <c r="O952" t="s">
        <v>305</v>
      </c>
      <c r="P952">
        <v>2.6128747177859867E-3</v>
      </c>
      <c r="Q952" t="s">
        <v>163</v>
      </c>
      <c r="S952" t="s">
        <v>258</v>
      </c>
      <c r="T952" t="s">
        <v>305</v>
      </c>
      <c r="U952">
        <v>4.888491477604044E-3</v>
      </c>
      <c r="V952" t="s">
        <v>163</v>
      </c>
    </row>
    <row r="953" spans="9:22" x14ac:dyDescent="0.45">
      <c r="I953" t="s">
        <v>196</v>
      </c>
      <c r="J953" t="s">
        <v>172</v>
      </c>
      <c r="K953">
        <v>1.5233561613500582E-2</v>
      </c>
      <c r="L953" t="s">
        <v>163</v>
      </c>
      <c r="N953" t="s">
        <v>227</v>
      </c>
      <c r="O953" t="s">
        <v>172</v>
      </c>
      <c r="P953">
        <v>8.4103641131313602E-3</v>
      </c>
      <c r="Q953" t="s">
        <v>163</v>
      </c>
      <c r="S953" t="s">
        <v>258</v>
      </c>
      <c r="T953" t="s">
        <v>172</v>
      </c>
      <c r="U953">
        <v>3.835310520008104E-2</v>
      </c>
      <c r="V953" t="s">
        <v>163</v>
      </c>
    </row>
    <row r="954" spans="9:22" x14ac:dyDescent="0.45">
      <c r="I954" t="s">
        <v>196</v>
      </c>
      <c r="J954" t="s">
        <v>173</v>
      </c>
      <c r="K954">
        <v>3.3509720293047732E-2</v>
      </c>
      <c r="L954" t="s">
        <v>163</v>
      </c>
      <c r="N954" t="s">
        <v>227</v>
      </c>
      <c r="O954" t="s">
        <v>173</v>
      </c>
      <c r="P954">
        <v>2.7853579549336747E-3</v>
      </c>
      <c r="Q954" t="s">
        <v>163</v>
      </c>
      <c r="S954" t="s">
        <v>258</v>
      </c>
      <c r="T954" t="s">
        <v>173</v>
      </c>
      <c r="U954">
        <v>8.4313932877388212E-3</v>
      </c>
      <c r="V954" t="s">
        <v>163</v>
      </c>
    </row>
    <row r="955" spans="9:22" x14ac:dyDescent="0.45">
      <c r="I955" t="s">
        <v>196</v>
      </c>
      <c r="J955" t="s">
        <v>174</v>
      </c>
      <c r="K955">
        <v>6.5833076413465461E-2</v>
      </c>
      <c r="L955" t="s">
        <v>163</v>
      </c>
      <c r="N955" t="s">
        <v>227</v>
      </c>
      <c r="O955" t="s">
        <v>174</v>
      </c>
      <c r="P955">
        <v>9.414602639785356E-3</v>
      </c>
      <c r="Q955" t="s">
        <v>163</v>
      </c>
      <c r="S955" t="s">
        <v>258</v>
      </c>
      <c r="T955" t="s">
        <v>174</v>
      </c>
      <c r="U955">
        <v>1.4279601942484257E-2</v>
      </c>
      <c r="V955" t="s">
        <v>163</v>
      </c>
    </row>
    <row r="956" spans="9:22" x14ac:dyDescent="0.45">
      <c r="I956" t="s">
        <v>196</v>
      </c>
      <c r="J956" t="s">
        <v>306</v>
      </c>
      <c r="K956">
        <v>9.6553045313885921E-2</v>
      </c>
      <c r="L956" t="s">
        <v>163</v>
      </c>
      <c r="N956" t="s">
        <v>227</v>
      </c>
      <c r="O956" t="s">
        <v>306</v>
      </c>
      <c r="P956">
        <v>1.5691025950962501E-2</v>
      </c>
      <c r="Q956" t="s">
        <v>163</v>
      </c>
      <c r="S956" t="s">
        <v>258</v>
      </c>
      <c r="T956" t="s">
        <v>306</v>
      </c>
      <c r="U956">
        <v>2.9206852205211239E-2</v>
      </c>
      <c r="V956" t="s">
        <v>163</v>
      </c>
    </row>
    <row r="957" spans="9:22" x14ac:dyDescent="0.45">
      <c r="I957" t="s">
        <v>196</v>
      </c>
      <c r="J957" t="s">
        <v>307</v>
      </c>
      <c r="K957">
        <v>9.4146134006437964E-3</v>
      </c>
      <c r="L957" t="s">
        <v>163</v>
      </c>
      <c r="N957" t="s">
        <v>227</v>
      </c>
      <c r="O957" t="s">
        <v>307</v>
      </c>
      <c r="P957">
        <v>1.6951446706986437E-3</v>
      </c>
      <c r="Q957" t="s">
        <v>163</v>
      </c>
      <c r="S957" t="s">
        <v>258</v>
      </c>
      <c r="T957" t="s">
        <v>307</v>
      </c>
      <c r="U957">
        <v>6.1368366636700674E-3</v>
      </c>
      <c r="V957" t="s">
        <v>163</v>
      </c>
    </row>
    <row r="958" spans="9:22" x14ac:dyDescent="0.45">
      <c r="I958" t="s">
        <v>196</v>
      </c>
      <c r="J958" t="s">
        <v>308</v>
      </c>
      <c r="K958">
        <v>2.1638816589247311E-3</v>
      </c>
      <c r="L958" t="s">
        <v>163</v>
      </c>
      <c r="N958" t="s">
        <v>227</v>
      </c>
      <c r="O958" t="s">
        <v>308</v>
      </c>
      <c r="P958">
        <v>5.1267053800648291E-3</v>
      </c>
      <c r="Q958" t="s">
        <v>163</v>
      </c>
      <c r="S958" t="s">
        <v>258</v>
      </c>
      <c r="T958" t="s">
        <v>308</v>
      </c>
      <c r="U958">
        <v>2.5527932554113272E-2</v>
      </c>
      <c r="V958" t="s">
        <v>163</v>
      </c>
    </row>
    <row r="959" spans="9:22" x14ac:dyDescent="0.45">
      <c r="I959" t="s">
        <v>196</v>
      </c>
      <c r="J959" t="s">
        <v>309</v>
      </c>
      <c r="K959">
        <v>5.9157248851327577E-3</v>
      </c>
      <c r="L959" t="s">
        <v>163</v>
      </c>
      <c r="N959" t="s">
        <v>227</v>
      </c>
      <c r="O959" t="s">
        <v>309</v>
      </c>
      <c r="P959">
        <v>7.9825665114090869E-3</v>
      </c>
      <c r="Q959" t="s">
        <v>163</v>
      </c>
      <c r="S959" t="s">
        <v>258</v>
      </c>
      <c r="T959" t="s">
        <v>309</v>
      </c>
      <c r="U959">
        <v>2.0301433159963272E-2</v>
      </c>
      <c r="V959" t="s">
        <v>163</v>
      </c>
    </row>
    <row r="960" spans="9:22" x14ac:dyDescent="0.45">
      <c r="I960" t="s">
        <v>196</v>
      </c>
      <c r="J960" t="s">
        <v>310</v>
      </c>
      <c r="K960">
        <v>1.4695586200657305E-2</v>
      </c>
      <c r="L960" t="s">
        <v>163</v>
      </c>
      <c r="N960" t="s">
        <v>227</v>
      </c>
      <c r="O960" t="s">
        <v>310</v>
      </c>
      <c r="P960">
        <v>1.9871953452217381E-3</v>
      </c>
      <c r="Q960" t="s">
        <v>163</v>
      </c>
      <c r="S960" t="s">
        <v>258</v>
      </c>
      <c r="T960" t="s">
        <v>310</v>
      </c>
      <c r="U960">
        <v>5.22953960549435E-3</v>
      </c>
      <c r="V960" t="s">
        <v>163</v>
      </c>
    </row>
    <row r="961" spans="9:22" x14ac:dyDescent="0.45">
      <c r="I961" t="s">
        <v>196</v>
      </c>
      <c r="J961" t="s">
        <v>311</v>
      </c>
      <c r="K961">
        <v>2.8432754121535838E-2</v>
      </c>
      <c r="L961" t="s">
        <v>163</v>
      </c>
      <c r="N961" t="s">
        <v>227</v>
      </c>
      <c r="O961" t="s">
        <v>311</v>
      </c>
      <c r="P961">
        <v>4.03832340887798E-3</v>
      </c>
      <c r="Q961" t="s">
        <v>163</v>
      </c>
      <c r="S961" t="s">
        <v>258</v>
      </c>
      <c r="T961" t="s">
        <v>311</v>
      </c>
      <c r="U961">
        <v>8.3326005673785182E-3</v>
      </c>
      <c r="V961" t="s">
        <v>163</v>
      </c>
    </row>
    <row r="962" spans="9:22" x14ac:dyDescent="0.45">
      <c r="I962" t="s">
        <v>196</v>
      </c>
      <c r="J962" t="s">
        <v>312</v>
      </c>
      <c r="K962">
        <v>4.0798346376218264E-2</v>
      </c>
      <c r="L962" t="s">
        <v>163</v>
      </c>
      <c r="N962" t="s">
        <v>227</v>
      </c>
      <c r="O962" t="s">
        <v>312</v>
      </c>
      <c r="P962">
        <v>8.9647032481646356E-3</v>
      </c>
      <c r="Q962" t="s">
        <v>163</v>
      </c>
      <c r="S962" t="s">
        <v>258</v>
      </c>
      <c r="T962" t="s">
        <v>312</v>
      </c>
      <c r="U962">
        <v>1.3232224230644891E-2</v>
      </c>
      <c r="V962" t="s">
        <v>163</v>
      </c>
    </row>
    <row r="963" spans="9:22" x14ac:dyDescent="0.45">
      <c r="I963" t="s">
        <v>196</v>
      </c>
      <c r="J963" t="s">
        <v>313</v>
      </c>
      <c r="K963">
        <v>2.4937944956268136E-3</v>
      </c>
      <c r="L963" t="s">
        <v>163</v>
      </c>
      <c r="N963" t="s">
        <v>227</v>
      </c>
      <c r="O963" t="s">
        <v>313</v>
      </c>
      <c r="P963">
        <v>1.6563091421196419E-3</v>
      </c>
      <c r="Q963" t="s">
        <v>163</v>
      </c>
      <c r="S963" t="s">
        <v>258</v>
      </c>
      <c r="T963" t="s">
        <v>313</v>
      </c>
      <c r="U963">
        <v>2.6994572440341568E-3</v>
      </c>
      <c r="V963" t="s">
        <v>163</v>
      </c>
    </row>
    <row r="964" spans="9:22" x14ac:dyDescent="0.45">
      <c r="I964" t="s">
        <v>196</v>
      </c>
      <c r="J964" t="s">
        <v>314</v>
      </c>
      <c r="K964">
        <v>0</v>
      </c>
      <c r="L964" t="s">
        <v>163</v>
      </c>
      <c r="N964" t="s">
        <v>227</v>
      </c>
      <c r="O964" t="s">
        <v>314</v>
      </c>
      <c r="P964">
        <v>5.8693865902341861E-3</v>
      </c>
      <c r="Q964" t="s">
        <v>163</v>
      </c>
      <c r="S964" t="s">
        <v>258</v>
      </c>
      <c r="T964" t="s">
        <v>314</v>
      </c>
      <c r="U964">
        <v>1.2860626057542502E-2</v>
      </c>
      <c r="V964" t="s">
        <v>163</v>
      </c>
    </row>
    <row r="965" spans="9:22" x14ac:dyDescent="0.45">
      <c r="I965" t="s">
        <v>196</v>
      </c>
      <c r="J965" t="s">
        <v>315</v>
      </c>
      <c r="K965">
        <v>6.1428113202476632E-3</v>
      </c>
      <c r="L965" t="s">
        <v>163</v>
      </c>
      <c r="N965" t="s">
        <v>227</v>
      </c>
      <c r="O965" t="s">
        <v>315</v>
      </c>
      <c r="P965">
        <v>3.9330732633528105E-2</v>
      </c>
      <c r="Q965" t="s">
        <v>163</v>
      </c>
      <c r="S965" t="s">
        <v>258</v>
      </c>
      <c r="T965" t="s">
        <v>315</v>
      </c>
      <c r="U965">
        <v>6.3219219398645513E-2</v>
      </c>
      <c r="V965" t="s">
        <v>163</v>
      </c>
    </row>
    <row r="966" spans="9:22" x14ac:dyDescent="0.45">
      <c r="I966" t="s">
        <v>196</v>
      </c>
      <c r="J966" t="s">
        <v>316</v>
      </c>
      <c r="K966">
        <v>2.5493665986354368E-2</v>
      </c>
      <c r="L966" t="s">
        <v>163</v>
      </c>
      <c r="N966" t="s">
        <v>227</v>
      </c>
      <c r="O966" t="s">
        <v>316</v>
      </c>
      <c r="P966">
        <v>8.3722743811539078E-3</v>
      </c>
      <c r="Q966" t="s">
        <v>163</v>
      </c>
      <c r="S966" t="s">
        <v>258</v>
      </c>
      <c r="T966" t="s">
        <v>316</v>
      </c>
      <c r="U966">
        <v>1.5557720240612574E-2</v>
      </c>
      <c r="V966" t="s">
        <v>163</v>
      </c>
    </row>
    <row r="967" spans="9:22" x14ac:dyDescent="0.45">
      <c r="I967" t="s">
        <v>196</v>
      </c>
      <c r="J967" t="s">
        <v>317</v>
      </c>
      <c r="K967">
        <v>4.8866733999033893E-2</v>
      </c>
      <c r="L967" t="s">
        <v>163</v>
      </c>
      <c r="N967" t="s">
        <v>227</v>
      </c>
      <c r="O967" t="s">
        <v>317</v>
      </c>
      <c r="P967">
        <v>2.1296696848026892E-2</v>
      </c>
      <c r="Q967" t="s">
        <v>163</v>
      </c>
      <c r="S967" t="s">
        <v>258</v>
      </c>
      <c r="T967" t="s">
        <v>317</v>
      </c>
      <c r="U967">
        <v>2.5394917046055773E-2</v>
      </c>
      <c r="V967" t="s">
        <v>163</v>
      </c>
    </row>
    <row r="968" spans="9:22" x14ac:dyDescent="0.45">
      <c r="I968" t="s">
        <v>196</v>
      </c>
      <c r="J968" t="s">
        <v>318</v>
      </c>
      <c r="K968">
        <v>6.5004686923211E-2</v>
      </c>
      <c r="L968" t="s">
        <v>163</v>
      </c>
      <c r="N968" t="s">
        <v>227</v>
      </c>
      <c r="O968" t="s">
        <v>318</v>
      </c>
      <c r="P968">
        <v>3.9400363718210735E-2</v>
      </c>
      <c r="Q968" t="s">
        <v>163</v>
      </c>
      <c r="S968" t="s">
        <v>258</v>
      </c>
      <c r="T968" t="s">
        <v>318</v>
      </c>
      <c r="U968">
        <v>4.29037456427954E-2</v>
      </c>
      <c r="V968" t="s">
        <v>163</v>
      </c>
    </row>
    <row r="969" spans="9:22" x14ac:dyDescent="0.45">
      <c r="I969" t="s">
        <v>196</v>
      </c>
      <c r="J969" t="s">
        <v>319</v>
      </c>
      <c r="K969">
        <v>7.4965907134366759E-4</v>
      </c>
      <c r="L969" t="s">
        <v>163</v>
      </c>
      <c r="N969" t="s">
        <v>227</v>
      </c>
      <c r="O969" t="s">
        <v>319</v>
      </c>
      <c r="P969">
        <v>7.1982627060067179E-3</v>
      </c>
      <c r="Q969" t="s">
        <v>163</v>
      </c>
      <c r="S969" t="s">
        <v>258</v>
      </c>
      <c r="T969" t="s">
        <v>319</v>
      </c>
      <c r="U969">
        <v>8.6540585914119516E-3</v>
      </c>
      <c r="V969" t="s">
        <v>163</v>
      </c>
    </row>
    <row r="970" spans="9:22" x14ac:dyDescent="0.45">
      <c r="I970" t="s">
        <v>196</v>
      </c>
      <c r="J970" t="s">
        <v>320</v>
      </c>
      <c r="K970">
        <v>0</v>
      </c>
      <c r="L970" t="s">
        <v>163</v>
      </c>
      <c r="N970" t="s">
        <v>227</v>
      </c>
      <c r="O970" t="s">
        <v>320</v>
      </c>
      <c r="P970">
        <v>2.7366291876288109E-2</v>
      </c>
      <c r="Q970" t="s">
        <v>163</v>
      </c>
      <c r="S970" t="s">
        <v>258</v>
      </c>
      <c r="T970" t="s">
        <v>320</v>
      </c>
      <c r="U970">
        <v>4.3129755228871476E-2</v>
      </c>
      <c r="V970" t="s">
        <v>163</v>
      </c>
    </row>
    <row r="971" spans="9:22" x14ac:dyDescent="0.45">
      <c r="I971" t="s">
        <v>196</v>
      </c>
      <c r="J971" t="s">
        <v>321</v>
      </c>
      <c r="K971">
        <v>1.5269207875763429E-3</v>
      </c>
      <c r="L971" t="s">
        <v>163</v>
      </c>
      <c r="N971" t="s">
        <v>227</v>
      </c>
      <c r="O971" t="s">
        <v>321</v>
      </c>
      <c r="P971">
        <v>3.8541330115095189E-2</v>
      </c>
      <c r="Q971" t="s">
        <v>163</v>
      </c>
      <c r="S971" t="s">
        <v>258</v>
      </c>
      <c r="T971" t="s">
        <v>321</v>
      </c>
      <c r="U971">
        <v>4.2143876010592898E-2</v>
      </c>
      <c r="V971" t="s">
        <v>163</v>
      </c>
    </row>
    <row r="972" spans="9:22" x14ac:dyDescent="0.45">
      <c r="I972" t="s">
        <v>196</v>
      </c>
      <c r="J972" t="s">
        <v>322</v>
      </c>
      <c r="K972">
        <v>8.5963185168149384E-3</v>
      </c>
      <c r="L972" t="s">
        <v>163</v>
      </c>
      <c r="N972" t="s">
        <v>227</v>
      </c>
      <c r="O972" t="s">
        <v>322</v>
      </c>
      <c r="P972">
        <v>6.0888464323498835E-3</v>
      </c>
      <c r="Q972" t="s">
        <v>163</v>
      </c>
      <c r="S972" t="s">
        <v>258</v>
      </c>
      <c r="T972" t="s">
        <v>322</v>
      </c>
      <c r="U972">
        <v>1.0831621790525827E-2</v>
      </c>
      <c r="V972" t="s">
        <v>163</v>
      </c>
    </row>
    <row r="973" spans="9:22" x14ac:dyDescent="0.45">
      <c r="I973" t="s">
        <v>196</v>
      </c>
      <c r="J973" t="s">
        <v>323</v>
      </c>
      <c r="K973">
        <v>1.9433441035630585E-2</v>
      </c>
      <c r="L973" t="s">
        <v>163</v>
      </c>
      <c r="N973" t="s">
        <v>227</v>
      </c>
      <c r="O973" t="s">
        <v>323</v>
      </c>
      <c r="P973">
        <v>1.3566746410924238E-2</v>
      </c>
      <c r="Q973" t="s">
        <v>163</v>
      </c>
      <c r="S973" t="s">
        <v>258</v>
      </c>
      <c r="T973" t="s">
        <v>323</v>
      </c>
      <c r="U973">
        <v>1.6207314862894791E-2</v>
      </c>
      <c r="V973" t="s">
        <v>163</v>
      </c>
    </row>
    <row r="974" spans="9:22" x14ac:dyDescent="0.45">
      <c r="I974" t="s">
        <v>196</v>
      </c>
      <c r="J974" t="s">
        <v>324</v>
      </c>
      <c r="K974">
        <v>2.4470306743902468E-2</v>
      </c>
      <c r="L974" t="s">
        <v>163</v>
      </c>
      <c r="N974" t="s">
        <v>227</v>
      </c>
      <c r="O974" t="s">
        <v>324</v>
      </c>
      <c r="P974">
        <v>3.0023694492536095E-2</v>
      </c>
      <c r="Q974" t="s">
        <v>163</v>
      </c>
      <c r="S974" t="s">
        <v>258</v>
      </c>
      <c r="T974" t="s">
        <v>324</v>
      </c>
      <c r="U974">
        <v>2.4856699337840037E-2</v>
      </c>
      <c r="V974" t="s">
        <v>163</v>
      </c>
    </row>
    <row r="975" spans="9:22" x14ac:dyDescent="0.45">
      <c r="I975" t="s">
        <v>196</v>
      </c>
      <c r="J975" t="s">
        <v>325</v>
      </c>
      <c r="K975">
        <v>0</v>
      </c>
      <c r="L975" t="s">
        <v>163</v>
      </c>
      <c r="N975" t="s">
        <v>227</v>
      </c>
      <c r="O975" t="s">
        <v>325</v>
      </c>
      <c r="P975">
        <v>5.2301268645973849E-3</v>
      </c>
      <c r="Q975" t="s">
        <v>163</v>
      </c>
      <c r="S975" t="s">
        <v>258</v>
      </c>
      <c r="T975" t="s">
        <v>325</v>
      </c>
      <c r="U975">
        <v>4.6696918033486455E-3</v>
      </c>
      <c r="V975" t="s">
        <v>163</v>
      </c>
    </row>
    <row r="976" spans="9:22" x14ac:dyDescent="0.45">
      <c r="I976" t="s">
        <v>196</v>
      </c>
      <c r="J976" t="s">
        <v>326</v>
      </c>
      <c r="K976">
        <v>0</v>
      </c>
      <c r="L976" t="s">
        <v>163</v>
      </c>
      <c r="N976" t="s">
        <v>227</v>
      </c>
      <c r="O976" t="s">
        <v>326</v>
      </c>
      <c r="P976">
        <v>2.4564777515435732E-2</v>
      </c>
      <c r="Q976" t="s">
        <v>163</v>
      </c>
      <c r="S976" t="s">
        <v>258</v>
      </c>
      <c r="T976" t="s">
        <v>326</v>
      </c>
      <c r="U976">
        <v>2.4455133354305693E-2</v>
      </c>
      <c r="V976" t="s">
        <v>163</v>
      </c>
    </row>
    <row r="977" spans="9:22" x14ac:dyDescent="0.45">
      <c r="I977" t="s">
        <v>197</v>
      </c>
      <c r="J977" t="s">
        <v>162</v>
      </c>
      <c r="K977">
        <v>1.1820052638299196E-2</v>
      </c>
      <c r="L977" t="s">
        <v>163</v>
      </c>
      <c r="N977" t="s">
        <v>228</v>
      </c>
      <c r="O977" t="s">
        <v>162</v>
      </c>
      <c r="P977">
        <v>0.15907081048596505</v>
      </c>
      <c r="Q977" t="s">
        <v>163</v>
      </c>
      <c r="S977" t="s">
        <v>259</v>
      </c>
      <c r="T977" t="s">
        <v>162</v>
      </c>
      <c r="U977">
        <v>0.1573837097177867</v>
      </c>
      <c r="V977" t="s">
        <v>163</v>
      </c>
    </row>
    <row r="978" spans="9:22" x14ac:dyDescent="0.45">
      <c r="I978" t="s">
        <v>197</v>
      </c>
      <c r="J978" t="s">
        <v>164</v>
      </c>
      <c r="K978">
        <v>5.4929134453824406E-2</v>
      </c>
      <c r="L978" t="s">
        <v>163</v>
      </c>
      <c r="N978" t="s">
        <v>228</v>
      </c>
      <c r="O978" t="s">
        <v>164</v>
      </c>
      <c r="P978">
        <v>3.89568206370925E-2</v>
      </c>
      <c r="Q978" t="s">
        <v>163</v>
      </c>
      <c r="S978" t="s">
        <v>259</v>
      </c>
      <c r="T978" t="s">
        <v>164</v>
      </c>
      <c r="U978">
        <v>3.7426112132442638E-2</v>
      </c>
      <c r="V978" t="s">
        <v>163</v>
      </c>
    </row>
    <row r="979" spans="9:22" x14ac:dyDescent="0.45">
      <c r="I979" t="s">
        <v>197</v>
      </c>
      <c r="J979" t="s">
        <v>165</v>
      </c>
      <c r="K979">
        <v>0.11100357883444216</v>
      </c>
      <c r="L979" t="s">
        <v>163</v>
      </c>
      <c r="N979" t="s">
        <v>228</v>
      </c>
      <c r="O979" t="s">
        <v>165</v>
      </c>
      <c r="P979">
        <v>8.7280541054862937E-2</v>
      </c>
      <c r="Q979" t="s">
        <v>163</v>
      </c>
      <c r="S979" t="s">
        <v>259</v>
      </c>
      <c r="T979" t="s">
        <v>165</v>
      </c>
      <c r="U979">
        <v>5.8376880446609485E-2</v>
      </c>
      <c r="V979" t="s">
        <v>163</v>
      </c>
    </row>
    <row r="980" spans="9:22" x14ac:dyDescent="0.45">
      <c r="I980" t="s">
        <v>197</v>
      </c>
      <c r="J980" t="s">
        <v>297</v>
      </c>
      <c r="K980">
        <v>0.15628947291777098</v>
      </c>
      <c r="L980" t="s">
        <v>163</v>
      </c>
      <c r="N980" t="s">
        <v>228</v>
      </c>
      <c r="O980" t="s">
        <v>297</v>
      </c>
      <c r="P980">
        <v>0.15602150801729242</v>
      </c>
      <c r="Q980" t="s">
        <v>163</v>
      </c>
      <c r="S980" t="s">
        <v>259</v>
      </c>
      <c r="T980" t="s">
        <v>297</v>
      </c>
      <c r="U980">
        <v>0.10004385551088726</v>
      </c>
      <c r="V980" t="s">
        <v>163</v>
      </c>
    </row>
    <row r="981" spans="9:22" x14ac:dyDescent="0.45">
      <c r="I981" t="s">
        <v>197</v>
      </c>
      <c r="J981" t="s">
        <v>298</v>
      </c>
      <c r="K981">
        <v>6.4715174622928607E-3</v>
      </c>
      <c r="L981" t="s">
        <v>163</v>
      </c>
      <c r="N981" t="s">
        <v>228</v>
      </c>
      <c r="O981" t="s">
        <v>298</v>
      </c>
      <c r="P981">
        <v>2.3552567825528611E-2</v>
      </c>
      <c r="Q981" t="s">
        <v>163</v>
      </c>
      <c r="S981" t="s">
        <v>259</v>
      </c>
      <c r="T981" t="s">
        <v>298</v>
      </c>
      <c r="U981">
        <v>1.9162364723016082E-2</v>
      </c>
      <c r="V981" t="s">
        <v>163</v>
      </c>
    </row>
    <row r="982" spans="9:22" x14ac:dyDescent="0.45">
      <c r="I982" t="s">
        <v>197</v>
      </c>
      <c r="J982" t="s">
        <v>299</v>
      </c>
      <c r="K982">
        <v>0</v>
      </c>
      <c r="L982" t="s">
        <v>163</v>
      </c>
      <c r="N982" t="s">
        <v>228</v>
      </c>
      <c r="O982" t="s">
        <v>299</v>
      </c>
      <c r="P982">
        <v>9.3558882005711608E-2</v>
      </c>
      <c r="Q982" t="s">
        <v>163</v>
      </c>
      <c r="S982" t="s">
        <v>259</v>
      </c>
      <c r="T982" t="s">
        <v>299</v>
      </c>
      <c r="U982">
        <v>9.4682893345053476E-2</v>
      </c>
      <c r="V982" t="s">
        <v>163</v>
      </c>
    </row>
    <row r="983" spans="9:22" x14ac:dyDescent="0.45">
      <c r="I983" t="s">
        <v>197</v>
      </c>
      <c r="J983" t="s">
        <v>166</v>
      </c>
      <c r="K983">
        <v>7.929651830708007E-3</v>
      </c>
      <c r="L983" t="s">
        <v>163</v>
      </c>
      <c r="N983" t="s">
        <v>228</v>
      </c>
      <c r="O983" t="s">
        <v>166</v>
      </c>
      <c r="P983">
        <v>1.6173809266251553E-2</v>
      </c>
      <c r="Q983" t="s">
        <v>163</v>
      </c>
      <c r="S983" t="s">
        <v>259</v>
      </c>
      <c r="T983" t="s">
        <v>166</v>
      </c>
      <c r="U983">
        <v>2.3137024560672299E-2</v>
      </c>
      <c r="V983" t="s">
        <v>163</v>
      </c>
    </row>
    <row r="984" spans="9:22" x14ac:dyDescent="0.45">
      <c r="I984" t="s">
        <v>197</v>
      </c>
      <c r="J984" t="s">
        <v>167</v>
      </c>
      <c r="K984">
        <v>1.6931782240238898E-2</v>
      </c>
      <c r="L984" t="s">
        <v>163</v>
      </c>
      <c r="N984" t="s">
        <v>228</v>
      </c>
      <c r="O984" t="s">
        <v>167</v>
      </c>
      <c r="P984">
        <v>4.4296805735372889E-3</v>
      </c>
      <c r="Q984" t="s">
        <v>163</v>
      </c>
      <c r="S984" t="s">
        <v>259</v>
      </c>
      <c r="T984" t="s">
        <v>167</v>
      </c>
      <c r="U984">
        <v>5.608703582540172E-3</v>
      </c>
      <c r="V984" t="s">
        <v>163</v>
      </c>
    </row>
    <row r="985" spans="9:22" x14ac:dyDescent="0.45">
      <c r="I985" t="s">
        <v>197</v>
      </c>
      <c r="J985" t="s">
        <v>168</v>
      </c>
      <c r="K985">
        <v>3.2734992528830151E-2</v>
      </c>
      <c r="L985" t="s">
        <v>163</v>
      </c>
      <c r="N985" t="s">
        <v>228</v>
      </c>
      <c r="O985" t="s">
        <v>168</v>
      </c>
      <c r="P985">
        <v>1.1261994062799733E-2</v>
      </c>
      <c r="Q985" t="s">
        <v>163</v>
      </c>
      <c r="S985" t="s">
        <v>259</v>
      </c>
      <c r="T985" t="s">
        <v>168</v>
      </c>
      <c r="U985">
        <v>9.0277039429038902E-3</v>
      </c>
      <c r="V985" t="s">
        <v>163</v>
      </c>
    </row>
    <row r="986" spans="9:22" x14ac:dyDescent="0.45">
      <c r="I986" t="s">
        <v>197</v>
      </c>
      <c r="J986" t="s">
        <v>300</v>
      </c>
      <c r="K986">
        <v>4.6586424182643818E-2</v>
      </c>
      <c r="L986" t="s">
        <v>163</v>
      </c>
      <c r="N986" t="s">
        <v>228</v>
      </c>
      <c r="O986" t="s">
        <v>300</v>
      </c>
      <c r="P986">
        <v>2.1380447069907299E-2</v>
      </c>
      <c r="Q986" t="s">
        <v>163</v>
      </c>
      <c r="S986" t="s">
        <v>259</v>
      </c>
      <c r="T986" t="s">
        <v>300</v>
      </c>
      <c r="U986">
        <v>1.4205051092519759E-2</v>
      </c>
      <c r="V986" t="s">
        <v>163</v>
      </c>
    </row>
    <row r="987" spans="9:22" x14ac:dyDescent="0.45">
      <c r="I987" t="s">
        <v>197</v>
      </c>
      <c r="J987" t="s">
        <v>301</v>
      </c>
      <c r="K987">
        <v>3.6728401032548306E-3</v>
      </c>
      <c r="L987" t="s">
        <v>163</v>
      </c>
      <c r="N987" t="s">
        <v>228</v>
      </c>
      <c r="O987" t="s">
        <v>301</v>
      </c>
      <c r="P987">
        <v>2.87139673545616E-3</v>
      </c>
      <c r="Q987" t="s">
        <v>163</v>
      </c>
      <c r="S987" t="s">
        <v>259</v>
      </c>
      <c r="T987" t="s">
        <v>301</v>
      </c>
      <c r="U987">
        <v>2.7091396322095366E-3</v>
      </c>
      <c r="V987" t="s">
        <v>163</v>
      </c>
    </row>
    <row r="988" spans="9:22" x14ac:dyDescent="0.45">
      <c r="I988" t="s">
        <v>197</v>
      </c>
      <c r="J988" t="s">
        <v>302</v>
      </c>
      <c r="K988">
        <v>5.4074634305746562E-4</v>
      </c>
      <c r="L988" t="s">
        <v>163</v>
      </c>
      <c r="N988" t="s">
        <v>228</v>
      </c>
      <c r="O988" t="s">
        <v>302</v>
      </c>
      <c r="P988">
        <v>1.0891555197747078E-2</v>
      </c>
      <c r="Q988" t="s">
        <v>163</v>
      </c>
      <c r="S988" t="s">
        <v>259</v>
      </c>
      <c r="T988" t="s">
        <v>302</v>
      </c>
      <c r="U988">
        <v>1.31887655496262E-2</v>
      </c>
      <c r="V988" t="s">
        <v>163</v>
      </c>
    </row>
    <row r="989" spans="9:22" x14ac:dyDescent="0.45">
      <c r="I989" t="s">
        <v>197</v>
      </c>
      <c r="J989" t="s">
        <v>169</v>
      </c>
      <c r="K989">
        <v>3.9337474865444207E-3</v>
      </c>
      <c r="L989" t="s">
        <v>163</v>
      </c>
      <c r="N989" t="s">
        <v>228</v>
      </c>
      <c r="O989" t="s">
        <v>169</v>
      </c>
      <c r="P989">
        <v>3.4079303974273076E-3</v>
      </c>
      <c r="Q989" t="s">
        <v>163</v>
      </c>
      <c r="S989" t="s">
        <v>259</v>
      </c>
      <c r="T989" t="s">
        <v>169</v>
      </c>
      <c r="U989">
        <v>8.2559579655894014E-3</v>
      </c>
      <c r="V989" t="s">
        <v>163</v>
      </c>
    </row>
    <row r="990" spans="9:22" x14ac:dyDescent="0.45">
      <c r="I990" t="s">
        <v>197</v>
      </c>
      <c r="J990" t="s">
        <v>170</v>
      </c>
      <c r="K990">
        <v>9.6159618944754565E-3</v>
      </c>
      <c r="L990" t="s">
        <v>163</v>
      </c>
      <c r="N990" t="s">
        <v>228</v>
      </c>
      <c r="O990" t="s">
        <v>170</v>
      </c>
      <c r="P990">
        <v>7.8908199137003822E-4</v>
      </c>
      <c r="Q990" t="s">
        <v>163</v>
      </c>
      <c r="S990" t="s">
        <v>259</v>
      </c>
      <c r="T990" t="s">
        <v>170</v>
      </c>
      <c r="U990">
        <v>1.4189375112507825E-3</v>
      </c>
      <c r="V990" t="s">
        <v>163</v>
      </c>
    </row>
    <row r="991" spans="9:22" x14ac:dyDescent="0.45">
      <c r="I991" t="s">
        <v>197</v>
      </c>
      <c r="J991" t="s">
        <v>171</v>
      </c>
      <c r="K991">
        <v>2.2087760500653454E-2</v>
      </c>
      <c r="L991" t="s">
        <v>163</v>
      </c>
      <c r="N991" t="s">
        <v>228</v>
      </c>
      <c r="O991" t="s">
        <v>171</v>
      </c>
      <c r="P991">
        <v>2.1679007167811283E-3</v>
      </c>
      <c r="Q991" t="s">
        <v>163</v>
      </c>
      <c r="S991" t="s">
        <v>259</v>
      </c>
      <c r="T991" t="s">
        <v>171</v>
      </c>
      <c r="U991">
        <v>1.6120844238338031E-3</v>
      </c>
      <c r="V991" t="s">
        <v>163</v>
      </c>
    </row>
    <row r="992" spans="9:22" x14ac:dyDescent="0.45">
      <c r="I992" t="s">
        <v>197</v>
      </c>
      <c r="J992" t="s">
        <v>303</v>
      </c>
      <c r="K992">
        <v>3.1036898551619709E-2</v>
      </c>
      <c r="L992" t="s">
        <v>163</v>
      </c>
      <c r="N992" t="s">
        <v>228</v>
      </c>
      <c r="O992" t="s">
        <v>303</v>
      </c>
      <c r="P992">
        <v>5.8461815351021264E-3</v>
      </c>
      <c r="Q992" t="s">
        <v>163</v>
      </c>
      <c r="S992" t="s">
        <v>259</v>
      </c>
      <c r="T992" t="s">
        <v>303</v>
      </c>
      <c r="U992">
        <v>3.5208354425522812E-3</v>
      </c>
      <c r="V992" t="s">
        <v>163</v>
      </c>
    </row>
    <row r="993" spans="9:22" x14ac:dyDescent="0.45">
      <c r="I993" t="s">
        <v>197</v>
      </c>
      <c r="J993" t="s">
        <v>304</v>
      </c>
      <c r="K993">
        <v>2.358892564977818E-3</v>
      </c>
      <c r="L993" t="s">
        <v>163</v>
      </c>
      <c r="N993" t="s">
        <v>228</v>
      </c>
      <c r="O993" t="s">
        <v>304</v>
      </c>
      <c r="P993">
        <v>8.0639303128620245E-4</v>
      </c>
      <c r="Q993" t="s">
        <v>163</v>
      </c>
      <c r="S993" t="s">
        <v>259</v>
      </c>
      <c r="T993" t="s">
        <v>304</v>
      </c>
      <c r="U993">
        <v>1.0089954431888256E-3</v>
      </c>
      <c r="V993" t="s">
        <v>163</v>
      </c>
    </row>
    <row r="994" spans="9:22" x14ac:dyDescent="0.45">
      <c r="I994" t="s">
        <v>197</v>
      </c>
      <c r="J994" t="s">
        <v>305</v>
      </c>
      <c r="K994">
        <v>8.763546553939729E-4</v>
      </c>
      <c r="L994" t="s">
        <v>163</v>
      </c>
      <c r="N994" t="s">
        <v>228</v>
      </c>
      <c r="O994" t="s">
        <v>305</v>
      </c>
      <c r="P994">
        <v>2.870726205494284E-3</v>
      </c>
      <c r="Q994" t="s">
        <v>163</v>
      </c>
      <c r="S994" t="s">
        <v>259</v>
      </c>
      <c r="T994" t="s">
        <v>305</v>
      </c>
      <c r="U994">
        <v>5.572899249787505E-3</v>
      </c>
      <c r="V994" t="s">
        <v>163</v>
      </c>
    </row>
    <row r="995" spans="9:22" x14ac:dyDescent="0.45">
      <c r="I995" t="s">
        <v>197</v>
      </c>
      <c r="J995" t="s">
        <v>172</v>
      </c>
      <c r="K995">
        <v>1.2580786750599055E-2</v>
      </c>
      <c r="L995" t="s">
        <v>163</v>
      </c>
      <c r="N995" t="s">
        <v>228</v>
      </c>
      <c r="O995" t="s">
        <v>172</v>
      </c>
      <c r="P995">
        <v>1.6417885521723501E-2</v>
      </c>
      <c r="Q995" t="s">
        <v>163</v>
      </c>
      <c r="S995" t="s">
        <v>259</v>
      </c>
      <c r="T995" t="s">
        <v>172</v>
      </c>
      <c r="U995">
        <v>3.5093262732381017E-2</v>
      </c>
      <c r="V995" t="s">
        <v>163</v>
      </c>
    </row>
    <row r="996" spans="9:22" x14ac:dyDescent="0.45">
      <c r="I996" t="s">
        <v>197</v>
      </c>
      <c r="J996" t="s">
        <v>173</v>
      </c>
      <c r="K996">
        <v>2.9732891676156052E-2</v>
      </c>
      <c r="L996" t="s">
        <v>163</v>
      </c>
      <c r="N996" t="s">
        <v>228</v>
      </c>
      <c r="O996" t="s">
        <v>173</v>
      </c>
      <c r="P996">
        <v>3.8023423605261157E-3</v>
      </c>
      <c r="Q996" t="s">
        <v>163</v>
      </c>
      <c r="S996" t="s">
        <v>259</v>
      </c>
      <c r="T996" t="s">
        <v>173</v>
      </c>
      <c r="U996">
        <v>7.7019770207755484E-3</v>
      </c>
      <c r="V996" t="s">
        <v>163</v>
      </c>
    </row>
    <row r="997" spans="9:22" x14ac:dyDescent="0.45">
      <c r="I997" t="s">
        <v>197</v>
      </c>
      <c r="J997" t="s">
        <v>174</v>
      </c>
      <c r="K997">
        <v>6.0566529345257983E-2</v>
      </c>
      <c r="L997" t="s">
        <v>163</v>
      </c>
      <c r="N997" t="s">
        <v>228</v>
      </c>
      <c r="O997" t="s">
        <v>174</v>
      </c>
      <c r="P997">
        <v>1.0322139859322515E-2</v>
      </c>
      <c r="Q997" t="s">
        <v>163</v>
      </c>
      <c r="S997" t="s">
        <v>259</v>
      </c>
      <c r="T997" t="s">
        <v>174</v>
      </c>
      <c r="U997">
        <v>1.2593996332311917E-2</v>
      </c>
      <c r="V997" t="s">
        <v>163</v>
      </c>
    </row>
    <row r="998" spans="9:22" x14ac:dyDescent="0.45">
      <c r="I998" t="s">
        <v>197</v>
      </c>
      <c r="J998" t="s">
        <v>306</v>
      </c>
      <c r="K998">
        <v>8.6121802218726035E-2</v>
      </c>
      <c r="L998" t="s">
        <v>163</v>
      </c>
      <c r="N998" t="s">
        <v>228</v>
      </c>
      <c r="O998" t="s">
        <v>306</v>
      </c>
      <c r="P998">
        <v>1.8159259796299621E-2</v>
      </c>
      <c r="Q998" t="s">
        <v>163</v>
      </c>
      <c r="S998" t="s">
        <v>259</v>
      </c>
      <c r="T998" t="s">
        <v>306</v>
      </c>
      <c r="U998">
        <v>2.0311375045246091E-2</v>
      </c>
      <c r="V998" t="s">
        <v>163</v>
      </c>
    </row>
    <row r="999" spans="9:22" x14ac:dyDescent="0.45">
      <c r="I999" t="s">
        <v>197</v>
      </c>
      <c r="J999" t="s">
        <v>307</v>
      </c>
      <c r="K999">
        <v>7.1686517245792896E-3</v>
      </c>
      <c r="L999" t="s">
        <v>163</v>
      </c>
      <c r="N999" t="s">
        <v>228</v>
      </c>
      <c r="O999" t="s">
        <v>307</v>
      </c>
      <c r="P999">
        <v>2.6409091391089838E-3</v>
      </c>
      <c r="Q999" t="s">
        <v>163</v>
      </c>
      <c r="S999" t="s">
        <v>259</v>
      </c>
      <c r="T999" t="s">
        <v>307</v>
      </c>
      <c r="U999">
        <v>3.9327492274644962E-3</v>
      </c>
      <c r="V999" t="s">
        <v>163</v>
      </c>
    </row>
    <row r="1000" spans="9:22" x14ac:dyDescent="0.45">
      <c r="I1000" t="s">
        <v>197</v>
      </c>
      <c r="J1000" t="s">
        <v>308</v>
      </c>
      <c r="K1000">
        <v>1.7190396097823111E-3</v>
      </c>
      <c r="L1000" t="s">
        <v>163</v>
      </c>
      <c r="N1000" t="s">
        <v>228</v>
      </c>
      <c r="O1000" t="s">
        <v>308</v>
      </c>
      <c r="P1000">
        <v>9.5441643983382486E-3</v>
      </c>
      <c r="Q1000" t="s">
        <v>163</v>
      </c>
      <c r="S1000" t="s">
        <v>259</v>
      </c>
      <c r="T1000" t="s">
        <v>308</v>
      </c>
      <c r="U1000">
        <v>1.8621965165471401E-2</v>
      </c>
      <c r="V1000" t="s">
        <v>163</v>
      </c>
    </row>
    <row r="1001" spans="9:22" x14ac:dyDescent="0.45">
      <c r="I1001" t="s">
        <v>197</v>
      </c>
      <c r="J1001" t="s">
        <v>309</v>
      </c>
      <c r="K1001">
        <v>4.2309505638077737E-3</v>
      </c>
      <c r="L1001" t="s">
        <v>163</v>
      </c>
      <c r="N1001" t="s">
        <v>228</v>
      </c>
      <c r="O1001" t="s">
        <v>309</v>
      </c>
      <c r="P1001">
        <v>1.017171367032756E-2</v>
      </c>
      <c r="Q1001" t="s">
        <v>163</v>
      </c>
      <c r="S1001" t="s">
        <v>259</v>
      </c>
      <c r="T1001" t="s">
        <v>309</v>
      </c>
      <c r="U1001">
        <v>1.3731337036993745E-2</v>
      </c>
      <c r="V1001" t="s">
        <v>163</v>
      </c>
    </row>
    <row r="1002" spans="9:22" x14ac:dyDescent="0.45">
      <c r="I1002" t="s">
        <v>197</v>
      </c>
      <c r="J1002" t="s">
        <v>310</v>
      </c>
      <c r="K1002">
        <v>1.3799525800608265E-2</v>
      </c>
      <c r="L1002" t="s">
        <v>163</v>
      </c>
      <c r="N1002" t="s">
        <v>228</v>
      </c>
      <c r="O1002" t="s">
        <v>310</v>
      </c>
      <c r="P1002">
        <v>2.4145520889597505E-3</v>
      </c>
      <c r="Q1002" t="s">
        <v>163</v>
      </c>
      <c r="S1002" t="s">
        <v>259</v>
      </c>
      <c r="T1002" t="s">
        <v>310</v>
      </c>
      <c r="U1002">
        <v>3.3043081760134262E-3</v>
      </c>
      <c r="V1002" t="s">
        <v>163</v>
      </c>
    </row>
    <row r="1003" spans="9:22" x14ac:dyDescent="0.45">
      <c r="I1003" t="s">
        <v>197</v>
      </c>
      <c r="J1003" t="s">
        <v>311</v>
      </c>
      <c r="K1003">
        <v>2.7572726015512767E-2</v>
      </c>
      <c r="L1003" t="s">
        <v>163</v>
      </c>
      <c r="N1003" t="s">
        <v>228</v>
      </c>
      <c r="O1003" t="s">
        <v>311</v>
      </c>
      <c r="P1003">
        <v>5.6080211651726962E-3</v>
      </c>
      <c r="Q1003" t="s">
        <v>163</v>
      </c>
      <c r="S1003" t="s">
        <v>259</v>
      </c>
      <c r="T1003" t="s">
        <v>311</v>
      </c>
      <c r="U1003">
        <v>4.7177805963422876E-3</v>
      </c>
      <c r="V1003" t="s">
        <v>163</v>
      </c>
    </row>
    <row r="1004" spans="9:22" x14ac:dyDescent="0.45">
      <c r="I1004" t="s">
        <v>197</v>
      </c>
      <c r="J1004" t="s">
        <v>312</v>
      </c>
      <c r="K1004">
        <v>4.0108265593646102E-2</v>
      </c>
      <c r="L1004" t="s">
        <v>163</v>
      </c>
      <c r="N1004" t="s">
        <v>228</v>
      </c>
      <c r="O1004" t="s">
        <v>312</v>
      </c>
      <c r="P1004">
        <v>9.5303306700808381E-3</v>
      </c>
      <c r="Q1004" t="s">
        <v>163</v>
      </c>
      <c r="S1004" t="s">
        <v>259</v>
      </c>
      <c r="T1004" t="s">
        <v>312</v>
      </c>
      <c r="U1004">
        <v>7.94689277429355E-3</v>
      </c>
      <c r="V1004" t="s">
        <v>163</v>
      </c>
    </row>
    <row r="1005" spans="9:22" x14ac:dyDescent="0.45">
      <c r="I1005" t="s">
        <v>197</v>
      </c>
      <c r="J1005" t="s">
        <v>313</v>
      </c>
      <c r="K1005">
        <v>2.1561802410241726E-3</v>
      </c>
      <c r="L1005" t="s">
        <v>163</v>
      </c>
      <c r="N1005" t="s">
        <v>228</v>
      </c>
      <c r="O1005" t="s">
        <v>313</v>
      </c>
      <c r="P1005">
        <v>1.6832376296863269E-3</v>
      </c>
      <c r="Q1005" t="s">
        <v>163</v>
      </c>
      <c r="S1005" t="s">
        <v>259</v>
      </c>
      <c r="T1005" t="s">
        <v>313</v>
      </c>
      <c r="U1005">
        <v>1.7561328168971446E-3</v>
      </c>
      <c r="V1005" t="s">
        <v>163</v>
      </c>
    </row>
    <row r="1006" spans="9:22" x14ac:dyDescent="0.45">
      <c r="I1006" t="s">
        <v>197</v>
      </c>
      <c r="J1006" t="s">
        <v>314</v>
      </c>
      <c r="K1006">
        <v>0</v>
      </c>
      <c r="L1006" t="s">
        <v>163</v>
      </c>
      <c r="N1006" t="s">
        <v>228</v>
      </c>
      <c r="O1006" t="s">
        <v>314</v>
      </c>
      <c r="P1006">
        <v>7.4698995169373726E-3</v>
      </c>
      <c r="Q1006" t="s">
        <v>163</v>
      </c>
      <c r="S1006" t="s">
        <v>259</v>
      </c>
      <c r="T1006" t="s">
        <v>314</v>
      </c>
      <c r="U1006">
        <v>8.5208838061732114E-3</v>
      </c>
      <c r="V1006" t="s">
        <v>163</v>
      </c>
    </row>
    <row r="1007" spans="9:22" x14ac:dyDescent="0.45">
      <c r="I1007" t="s">
        <v>197</v>
      </c>
      <c r="J1007" t="s">
        <v>315</v>
      </c>
      <c r="K1007">
        <v>4.2318660859503579E-3</v>
      </c>
      <c r="L1007" t="s">
        <v>163</v>
      </c>
      <c r="N1007" t="s">
        <v>228</v>
      </c>
      <c r="O1007" t="s">
        <v>315</v>
      </c>
      <c r="P1007">
        <v>4.8519673831741487E-2</v>
      </c>
      <c r="Q1007" t="s">
        <v>163</v>
      </c>
      <c r="S1007" t="s">
        <v>259</v>
      </c>
      <c r="T1007" t="s">
        <v>315</v>
      </c>
      <c r="U1007">
        <v>6.2212458573103029E-2</v>
      </c>
      <c r="V1007" t="s">
        <v>163</v>
      </c>
    </row>
    <row r="1008" spans="9:22" x14ac:dyDescent="0.45">
      <c r="I1008" t="s">
        <v>197</v>
      </c>
      <c r="J1008" t="s">
        <v>316</v>
      </c>
      <c r="K1008">
        <v>2.2653506344163684E-2</v>
      </c>
      <c r="L1008" t="s">
        <v>163</v>
      </c>
      <c r="N1008" t="s">
        <v>228</v>
      </c>
      <c r="O1008" t="s">
        <v>316</v>
      </c>
      <c r="P1008">
        <v>1.0164507632313708E-2</v>
      </c>
      <c r="Q1008" t="s">
        <v>163</v>
      </c>
      <c r="S1008" t="s">
        <v>259</v>
      </c>
      <c r="T1008" t="s">
        <v>316</v>
      </c>
      <c r="U1008">
        <v>1.3998489903838613E-2</v>
      </c>
      <c r="V1008" t="s">
        <v>163</v>
      </c>
    </row>
    <row r="1009" spans="9:22" x14ac:dyDescent="0.45">
      <c r="I1009" t="s">
        <v>197</v>
      </c>
      <c r="J1009" t="s">
        <v>317</v>
      </c>
      <c r="K1009">
        <v>4.3958691953002033E-2</v>
      </c>
      <c r="L1009" t="s">
        <v>163</v>
      </c>
      <c r="N1009" t="s">
        <v>228</v>
      </c>
      <c r="O1009" t="s">
        <v>317</v>
      </c>
      <c r="P1009">
        <v>2.3127207146009361E-2</v>
      </c>
      <c r="Q1009" t="s">
        <v>163</v>
      </c>
      <c r="S1009" t="s">
        <v>259</v>
      </c>
      <c r="T1009" t="s">
        <v>317</v>
      </c>
      <c r="U1009">
        <v>2.1418993948820755E-2</v>
      </c>
      <c r="V1009" t="s">
        <v>163</v>
      </c>
    </row>
    <row r="1010" spans="9:22" x14ac:dyDescent="0.45">
      <c r="I1010" t="s">
        <v>197</v>
      </c>
      <c r="J1010" t="s">
        <v>318</v>
      </c>
      <c r="K1010">
        <v>5.7588527850055242E-2</v>
      </c>
      <c r="L1010" t="s">
        <v>163</v>
      </c>
      <c r="N1010" t="s">
        <v>228</v>
      </c>
      <c r="O1010" t="s">
        <v>318</v>
      </c>
      <c r="P1010">
        <v>4.0886240629102157E-2</v>
      </c>
      <c r="Q1010" t="s">
        <v>163</v>
      </c>
      <c r="S1010" t="s">
        <v>259</v>
      </c>
      <c r="T1010" t="s">
        <v>318</v>
      </c>
      <c r="U1010">
        <v>3.6307744717657228E-2</v>
      </c>
      <c r="V1010" t="s">
        <v>163</v>
      </c>
    </row>
    <row r="1011" spans="9:22" x14ac:dyDescent="0.45">
      <c r="I1011" t="s">
        <v>197</v>
      </c>
      <c r="J1011" t="s">
        <v>319</v>
      </c>
      <c r="K1011">
        <v>0</v>
      </c>
      <c r="L1011" t="s">
        <v>163</v>
      </c>
      <c r="N1011" t="s">
        <v>228</v>
      </c>
      <c r="O1011" t="s">
        <v>319</v>
      </c>
      <c r="P1011">
        <v>7.1464820578153055E-3</v>
      </c>
      <c r="Q1011" t="s">
        <v>163</v>
      </c>
      <c r="S1011" t="s">
        <v>259</v>
      </c>
      <c r="T1011" t="s">
        <v>319</v>
      </c>
      <c r="U1011">
        <v>7.5373119691934456E-3</v>
      </c>
      <c r="V1011" t="s">
        <v>163</v>
      </c>
    </row>
    <row r="1012" spans="9:22" x14ac:dyDescent="0.45">
      <c r="I1012" t="s">
        <v>197</v>
      </c>
      <c r="J1012" t="s">
        <v>320</v>
      </c>
      <c r="K1012">
        <v>0</v>
      </c>
      <c r="L1012" t="s">
        <v>163</v>
      </c>
      <c r="N1012" t="s">
        <v>228</v>
      </c>
      <c r="O1012" t="s">
        <v>320</v>
      </c>
      <c r="P1012">
        <v>3.0853682927960716E-2</v>
      </c>
      <c r="Q1012" t="s">
        <v>163</v>
      </c>
      <c r="S1012" t="s">
        <v>259</v>
      </c>
      <c r="T1012" t="s">
        <v>320</v>
      </c>
      <c r="U1012">
        <v>3.9334579171911341E-2</v>
      </c>
      <c r="V1012" t="s">
        <v>163</v>
      </c>
    </row>
    <row r="1013" spans="9:22" x14ac:dyDescent="0.45">
      <c r="I1013" t="s">
        <v>197</v>
      </c>
      <c r="J1013" t="s">
        <v>321</v>
      </c>
      <c r="K1013">
        <v>0</v>
      </c>
      <c r="L1013" t="s">
        <v>163</v>
      </c>
      <c r="N1013" t="s">
        <v>228</v>
      </c>
      <c r="O1013" t="s">
        <v>321</v>
      </c>
      <c r="P1013">
        <v>3.0591349437999411E-2</v>
      </c>
      <c r="Q1013" t="s">
        <v>163</v>
      </c>
      <c r="S1013" t="s">
        <v>259</v>
      </c>
      <c r="T1013" t="s">
        <v>321</v>
      </c>
      <c r="U1013">
        <v>4.1233714743623459E-2</v>
      </c>
      <c r="V1013" t="s">
        <v>163</v>
      </c>
    </row>
    <row r="1014" spans="9:22" x14ac:dyDescent="0.45">
      <c r="I1014" t="s">
        <v>197</v>
      </c>
      <c r="J1014" t="s">
        <v>322</v>
      </c>
      <c r="K1014">
        <v>1.2249376319626018E-2</v>
      </c>
      <c r="L1014" t="s">
        <v>163</v>
      </c>
      <c r="N1014" t="s">
        <v>228</v>
      </c>
      <c r="O1014" t="s">
        <v>322</v>
      </c>
      <c r="P1014">
        <v>6.1670904080249559E-3</v>
      </c>
      <c r="Q1014" t="s">
        <v>163</v>
      </c>
      <c r="S1014" t="s">
        <v>259</v>
      </c>
      <c r="T1014" t="s">
        <v>322</v>
      </c>
      <c r="U1014">
        <v>9.0451413552780583E-3</v>
      </c>
      <c r="V1014" t="s">
        <v>163</v>
      </c>
    </row>
    <row r="1015" spans="9:22" x14ac:dyDescent="0.45">
      <c r="I1015" t="s">
        <v>197</v>
      </c>
      <c r="J1015" t="s">
        <v>323</v>
      </c>
      <c r="K1015">
        <v>2.4783022767987935E-2</v>
      </c>
      <c r="L1015" t="s">
        <v>163</v>
      </c>
      <c r="N1015" t="s">
        <v>228</v>
      </c>
      <c r="O1015" t="s">
        <v>323</v>
      </c>
      <c r="P1015">
        <v>1.4378703092383359E-2</v>
      </c>
      <c r="Q1015" t="s">
        <v>163</v>
      </c>
      <c r="S1015" t="s">
        <v>259</v>
      </c>
      <c r="T1015" t="s">
        <v>323</v>
      </c>
      <c r="U1015">
        <v>1.4130594793439925E-2</v>
      </c>
      <c r="V1015" t="s">
        <v>163</v>
      </c>
    </row>
    <row r="1016" spans="9:22" x14ac:dyDescent="0.45">
      <c r="I1016" t="s">
        <v>197</v>
      </c>
      <c r="J1016" t="s">
        <v>324</v>
      </c>
      <c r="K1016">
        <v>2.9957849950488967E-2</v>
      </c>
      <c r="L1016" t="s">
        <v>163</v>
      </c>
      <c r="N1016" t="s">
        <v>228</v>
      </c>
      <c r="O1016" t="s">
        <v>324</v>
      </c>
      <c r="P1016">
        <v>2.4757683785395498E-2</v>
      </c>
      <c r="Q1016" t="s">
        <v>163</v>
      </c>
      <c r="S1016" t="s">
        <v>259</v>
      </c>
      <c r="T1016" t="s">
        <v>324</v>
      </c>
      <c r="U1016">
        <v>2.6020777019265025E-2</v>
      </c>
      <c r="V1016" t="s">
        <v>163</v>
      </c>
    </row>
    <row r="1017" spans="9:22" x14ac:dyDescent="0.45">
      <c r="I1017" t="s">
        <v>197</v>
      </c>
      <c r="J1017" t="s">
        <v>325</v>
      </c>
      <c r="K1017">
        <v>0</v>
      </c>
      <c r="L1017" t="s">
        <v>163</v>
      </c>
      <c r="N1017" t="s">
        <v>228</v>
      </c>
      <c r="O1017" t="s">
        <v>325</v>
      </c>
      <c r="P1017">
        <v>4.274382515310482E-3</v>
      </c>
      <c r="Q1017" t="s">
        <v>163</v>
      </c>
      <c r="S1017" t="s">
        <v>259</v>
      </c>
      <c r="T1017" t="s">
        <v>325</v>
      </c>
      <c r="U1017">
        <v>5.5613324624977575E-3</v>
      </c>
      <c r="V1017" t="s">
        <v>163</v>
      </c>
    </row>
    <row r="1018" spans="9:22" x14ac:dyDescent="0.45">
      <c r="I1018" t="s">
        <v>197</v>
      </c>
      <c r="J1018" t="s">
        <v>326</v>
      </c>
      <c r="K1018">
        <v>0</v>
      </c>
      <c r="L1018" t="s">
        <v>163</v>
      </c>
      <c r="N1018" t="s">
        <v>228</v>
      </c>
      <c r="O1018" t="s">
        <v>326</v>
      </c>
      <c r="P1018">
        <v>2.003031390984852E-2</v>
      </c>
      <c r="Q1018" t="s">
        <v>163</v>
      </c>
      <c r="S1018" t="s">
        <v>259</v>
      </c>
      <c r="T1018" t="s">
        <v>326</v>
      </c>
      <c r="U1018">
        <v>2.8624286338535091E-2</v>
      </c>
      <c r="V1018" t="s">
        <v>163</v>
      </c>
    </row>
    <row r="1019" spans="9:22" x14ac:dyDescent="0.45">
      <c r="I1019" t="s">
        <v>198</v>
      </c>
      <c r="J1019" t="s">
        <v>162</v>
      </c>
      <c r="K1019">
        <v>1.3359889210070435E-2</v>
      </c>
      <c r="L1019" t="s">
        <v>163</v>
      </c>
      <c r="N1019" t="s">
        <v>229</v>
      </c>
      <c r="O1019" t="s">
        <v>162</v>
      </c>
      <c r="P1019">
        <v>0.14368868787044989</v>
      </c>
      <c r="Q1019" t="s">
        <v>163</v>
      </c>
      <c r="S1019" t="s">
        <v>260</v>
      </c>
      <c r="T1019" t="s">
        <v>162</v>
      </c>
      <c r="U1019">
        <v>0.15834569794646611</v>
      </c>
      <c r="V1019" t="s">
        <v>163</v>
      </c>
    </row>
    <row r="1020" spans="9:22" x14ac:dyDescent="0.45">
      <c r="I1020" t="s">
        <v>198</v>
      </c>
      <c r="J1020" t="s">
        <v>164</v>
      </c>
      <c r="K1020">
        <v>5.7857768956146936E-2</v>
      </c>
      <c r="L1020" t="s">
        <v>163</v>
      </c>
      <c r="N1020" t="s">
        <v>229</v>
      </c>
      <c r="O1020" t="s">
        <v>164</v>
      </c>
      <c r="P1020">
        <v>3.3832851421535005E-2</v>
      </c>
      <c r="Q1020" t="s">
        <v>163</v>
      </c>
      <c r="S1020" t="s">
        <v>260</v>
      </c>
      <c r="T1020" t="s">
        <v>164</v>
      </c>
      <c r="U1020">
        <v>3.8067248495532807E-2</v>
      </c>
      <c r="V1020" t="s">
        <v>163</v>
      </c>
    </row>
    <row r="1021" spans="9:22" x14ac:dyDescent="0.45">
      <c r="I1021" t="s">
        <v>198</v>
      </c>
      <c r="J1021" t="s">
        <v>165</v>
      </c>
      <c r="K1021">
        <v>0.1141842739061944</v>
      </c>
      <c r="L1021" t="s">
        <v>163</v>
      </c>
      <c r="N1021" t="s">
        <v>229</v>
      </c>
      <c r="O1021" t="s">
        <v>165</v>
      </c>
      <c r="P1021">
        <v>6.0292069289027458E-2</v>
      </c>
      <c r="Q1021" t="s">
        <v>163</v>
      </c>
      <c r="S1021" t="s">
        <v>260</v>
      </c>
      <c r="T1021" t="s">
        <v>165</v>
      </c>
      <c r="U1021">
        <v>5.7763019884124904E-2</v>
      </c>
      <c r="V1021" t="s">
        <v>163</v>
      </c>
    </row>
    <row r="1022" spans="9:22" x14ac:dyDescent="0.45">
      <c r="I1022" t="s">
        <v>198</v>
      </c>
      <c r="J1022" t="s">
        <v>297</v>
      </c>
      <c r="K1022">
        <v>0.15859655465727027</v>
      </c>
      <c r="L1022" t="s">
        <v>163</v>
      </c>
      <c r="N1022" t="s">
        <v>229</v>
      </c>
      <c r="O1022" t="s">
        <v>297</v>
      </c>
      <c r="P1022">
        <v>0.10752729359340525</v>
      </c>
      <c r="Q1022" t="s">
        <v>163</v>
      </c>
      <c r="S1022" t="s">
        <v>260</v>
      </c>
      <c r="T1022" t="s">
        <v>297</v>
      </c>
      <c r="U1022">
        <v>0.10115685539223483</v>
      </c>
      <c r="V1022" t="s">
        <v>163</v>
      </c>
    </row>
    <row r="1023" spans="9:22" x14ac:dyDescent="0.45">
      <c r="I1023" t="s">
        <v>198</v>
      </c>
      <c r="J1023" t="s">
        <v>298</v>
      </c>
      <c r="K1023">
        <v>5.8797662193596162E-3</v>
      </c>
      <c r="L1023" t="s">
        <v>163</v>
      </c>
      <c r="N1023" t="s">
        <v>229</v>
      </c>
      <c r="O1023" t="s">
        <v>298</v>
      </c>
      <c r="P1023">
        <v>1.984441781384225E-2</v>
      </c>
      <c r="Q1023" t="s">
        <v>163</v>
      </c>
      <c r="S1023" t="s">
        <v>260</v>
      </c>
      <c r="T1023" t="s">
        <v>298</v>
      </c>
      <c r="U1023">
        <v>1.909309494499066E-2</v>
      </c>
      <c r="V1023" t="s">
        <v>163</v>
      </c>
    </row>
    <row r="1024" spans="9:22" x14ac:dyDescent="0.45">
      <c r="I1024" t="s">
        <v>198</v>
      </c>
      <c r="J1024" t="s">
        <v>299</v>
      </c>
      <c r="K1024">
        <v>0</v>
      </c>
      <c r="L1024" t="s">
        <v>163</v>
      </c>
      <c r="N1024" t="s">
        <v>229</v>
      </c>
      <c r="O1024" t="s">
        <v>299</v>
      </c>
      <c r="P1024">
        <v>8.695599069641255E-2</v>
      </c>
      <c r="Q1024" t="s">
        <v>163</v>
      </c>
      <c r="S1024" t="s">
        <v>260</v>
      </c>
      <c r="T1024" t="s">
        <v>299</v>
      </c>
      <c r="U1024">
        <v>9.3738922730841667E-2</v>
      </c>
      <c r="V1024" t="s">
        <v>163</v>
      </c>
    </row>
    <row r="1025" spans="9:22" x14ac:dyDescent="0.45">
      <c r="I1025" t="s">
        <v>198</v>
      </c>
      <c r="J1025" t="s">
        <v>166</v>
      </c>
      <c r="K1025">
        <v>8.6666189725380718E-3</v>
      </c>
      <c r="L1025" t="s">
        <v>163</v>
      </c>
      <c r="N1025" t="s">
        <v>229</v>
      </c>
      <c r="O1025" t="s">
        <v>166</v>
      </c>
      <c r="P1025">
        <v>2.0177395104310821E-2</v>
      </c>
      <c r="Q1025" t="s">
        <v>163</v>
      </c>
      <c r="S1025" t="s">
        <v>260</v>
      </c>
      <c r="T1025" t="s">
        <v>166</v>
      </c>
      <c r="U1025">
        <v>1.4663190369939251E-2</v>
      </c>
      <c r="V1025" t="s">
        <v>163</v>
      </c>
    </row>
    <row r="1026" spans="9:22" x14ac:dyDescent="0.45">
      <c r="I1026" t="s">
        <v>198</v>
      </c>
      <c r="J1026" t="s">
        <v>167</v>
      </c>
      <c r="K1026">
        <v>1.7537830131990492E-2</v>
      </c>
      <c r="L1026" t="s">
        <v>163</v>
      </c>
      <c r="N1026" t="s">
        <v>229</v>
      </c>
      <c r="O1026" t="s">
        <v>167</v>
      </c>
      <c r="P1026">
        <v>4.6561906184482277E-3</v>
      </c>
      <c r="Q1026" t="s">
        <v>163</v>
      </c>
      <c r="S1026" t="s">
        <v>260</v>
      </c>
      <c r="T1026" t="s">
        <v>167</v>
      </c>
      <c r="U1026">
        <v>3.5575448667582673E-3</v>
      </c>
      <c r="V1026" t="s">
        <v>163</v>
      </c>
    </row>
    <row r="1027" spans="9:22" x14ac:dyDescent="0.45">
      <c r="I1027" t="s">
        <v>198</v>
      </c>
      <c r="J1027" t="s">
        <v>168</v>
      </c>
      <c r="K1027">
        <v>3.3674295448618614E-2</v>
      </c>
      <c r="L1027" t="s">
        <v>163</v>
      </c>
      <c r="N1027" t="s">
        <v>229</v>
      </c>
      <c r="O1027" t="s">
        <v>168</v>
      </c>
      <c r="P1027">
        <v>7.987900732583637E-3</v>
      </c>
      <c r="Q1027" t="s">
        <v>163</v>
      </c>
      <c r="S1027" t="s">
        <v>260</v>
      </c>
      <c r="T1027" t="s">
        <v>168</v>
      </c>
      <c r="U1027">
        <v>6.4522109282469445E-3</v>
      </c>
      <c r="V1027" t="s">
        <v>163</v>
      </c>
    </row>
    <row r="1028" spans="9:22" x14ac:dyDescent="0.45">
      <c r="I1028" t="s">
        <v>198</v>
      </c>
      <c r="J1028" t="s">
        <v>300</v>
      </c>
      <c r="K1028">
        <v>4.7592066365975488E-2</v>
      </c>
      <c r="L1028" t="s">
        <v>163</v>
      </c>
      <c r="N1028" t="s">
        <v>229</v>
      </c>
      <c r="O1028" t="s">
        <v>300</v>
      </c>
      <c r="P1028">
        <v>1.4725555117534716E-2</v>
      </c>
      <c r="Q1028" t="s">
        <v>163</v>
      </c>
      <c r="S1028" t="s">
        <v>260</v>
      </c>
      <c r="T1028" t="s">
        <v>300</v>
      </c>
      <c r="U1028">
        <v>1.3616886330604322E-2</v>
      </c>
      <c r="V1028" t="s">
        <v>163</v>
      </c>
    </row>
    <row r="1029" spans="9:22" x14ac:dyDescent="0.45">
      <c r="I1029" t="s">
        <v>198</v>
      </c>
      <c r="J1029" t="s">
        <v>301</v>
      </c>
      <c r="K1029">
        <v>3.7636348329098579E-3</v>
      </c>
      <c r="L1029" t="s">
        <v>163</v>
      </c>
      <c r="N1029" t="s">
        <v>229</v>
      </c>
      <c r="O1029" t="s">
        <v>301</v>
      </c>
      <c r="P1029">
        <v>2.732998653637742E-3</v>
      </c>
      <c r="Q1029" t="s">
        <v>163</v>
      </c>
      <c r="S1029" t="s">
        <v>260</v>
      </c>
      <c r="T1029" t="s">
        <v>301</v>
      </c>
      <c r="U1029">
        <v>2.355516172923869E-3</v>
      </c>
      <c r="V1029" t="s">
        <v>163</v>
      </c>
    </row>
    <row r="1030" spans="9:22" x14ac:dyDescent="0.45">
      <c r="I1030" t="s">
        <v>198</v>
      </c>
      <c r="J1030" t="s">
        <v>302</v>
      </c>
      <c r="K1030">
        <v>5.5304396659872068E-4</v>
      </c>
      <c r="L1030" t="s">
        <v>163</v>
      </c>
      <c r="N1030" t="s">
        <v>229</v>
      </c>
      <c r="O1030" t="s">
        <v>302</v>
      </c>
      <c r="P1030">
        <v>1.2374752509825252E-2</v>
      </c>
      <c r="Q1030" t="s">
        <v>163</v>
      </c>
      <c r="S1030" t="s">
        <v>260</v>
      </c>
      <c r="T1030" t="s">
        <v>302</v>
      </c>
      <c r="U1030">
        <v>9.189668909631462E-3</v>
      </c>
      <c r="V1030" t="s">
        <v>163</v>
      </c>
    </row>
    <row r="1031" spans="9:22" x14ac:dyDescent="0.45">
      <c r="I1031" t="s">
        <v>198</v>
      </c>
      <c r="J1031" t="s">
        <v>169</v>
      </c>
      <c r="K1031">
        <v>5.5194755072771563E-3</v>
      </c>
      <c r="L1031" t="s">
        <v>163</v>
      </c>
      <c r="N1031" t="s">
        <v>229</v>
      </c>
      <c r="O1031" t="s">
        <v>169</v>
      </c>
      <c r="P1031">
        <v>6.920251374613765E-3</v>
      </c>
      <c r="Q1031" t="s">
        <v>163</v>
      </c>
      <c r="S1031" t="s">
        <v>260</v>
      </c>
      <c r="T1031" t="s">
        <v>169</v>
      </c>
      <c r="U1031">
        <v>6.0812512594433906E-3</v>
      </c>
      <c r="V1031" t="s">
        <v>163</v>
      </c>
    </row>
    <row r="1032" spans="9:22" x14ac:dyDescent="0.45">
      <c r="I1032" t="s">
        <v>198</v>
      </c>
      <c r="J1032" t="s">
        <v>170</v>
      </c>
      <c r="K1032">
        <v>1.1902058034759168E-2</v>
      </c>
      <c r="L1032" t="s">
        <v>163</v>
      </c>
      <c r="N1032" t="s">
        <v>229</v>
      </c>
      <c r="O1032" t="s">
        <v>170</v>
      </c>
      <c r="P1032">
        <v>1.5893679613326827E-3</v>
      </c>
      <c r="Q1032" t="s">
        <v>163</v>
      </c>
      <c r="S1032" t="s">
        <v>260</v>
      </c>
      <c r="T1032" t="s">
        <v>170</v>
      </c>
      <c r="U1032">
        <v>1.0010627288665581E-3</v>
      </c>
      <c r="V1032" t="s">
        <v>163</v>
      </c>
    </row>
    <row r="1033" spans="9:22" x14ac:dyDescent="0.45">
      <c r="I1033" t="s">
        <v>198</v>
      </c>
      <c r="J1033" t="s">
        <v>171</v>
      </c>
      <c r="K1033">
        <v>2.5411804538071715E-2</v>
      </c>
      <c r="L1033" t="s">
        <v>163</v>
      </c>
      <c r="N1033" t="s">
        <v>229</v>
      </c>
      <c r="O1033" t="s">
        <v>171</v>
      </c>
      <c r="P1033">
        <v>2.5243105152617821E-3</v>
      </c>
      <c r="Q1033" t="s">
        <v>163</v>
      </c>
      <c r="S1033" t="s">
        <v>260</v>
      </c>
      <c r="T1033" t="s">
        <v>171</v>
      </c>
      <c r="U1033">
        <v>1.4582198178162678E-3</v>
      </c>
      <c r="V1033" t="s">
        <v>163</v>
      </c>
    </row>
    <row r="1034" spans="9:22" x14ac:dyDescent="0.45">
      <c r="I1034" t="s">
        <v>198</v>
      </c>
      <c r="J1034" t="s">
        <v>303</v>
      </c>
      <c r="K1034">
        <v>3.4585455527963702E-2</v>
      </c>
      <c r="L1034" t="s">
        <v>163</v>
      </c>
      <c r="N1034" t="s">
        <v>229</v>
      </c>
      <c r="O1034" t="s">
        <v>303</v>
      </c>
      <c r="P1034">
        <v>4.9491630147147437E-3</v>
      </c>
      <c r="Q1034" t="s">
        <v>163</v>
      </c>
      <c r="S1034" t="s">
        <v>260</v>
      </c>
      <c r="T1034" t="s">
        <v>303</v>
      </c>
      <c r="U1034">
        <v>4.8278348798359424E-3</v>
      </c>
      <c r="V1034" t="s">
        <v>163</v>
      </c>
    </row>
    <row r="1035" spans="9:22" x14ac:dyDescent="0.45">
      <c r="I1035" t="s">
        <v>198</v>
      </c>
      <c r="J1035" t="s">
        <v>304</v>
      </c>
      <c r="K1035">
        <v>2.3880850651540522E-3</v>
      </c>
      <c r="L1035" t="s">
        <v>163</v>
      </c>
      <c r="N1035" t="s">
        <v>229</v>
      </c>
      <c r="O1035" t="s">
        <v>304</v>
      </c>
      <c r="P1035">
        <v>8.6406239185336895E-4</v>
      </c>
      <c r="Q1035" t="s">
        <v>163</v>
      </c>
      <c r="S1035" t="s">
        <v>260</v>
      </c>
      <c r="T1035" t="s">
        <v>304</v>
      </c>
      <c r="U1035">
        <v>1.0198616582689903E-3</v>
      </c>
      <c r="V1035" t="s">
        <v>163</v>
      </c>
    </row>
    <row r="1036" spans="9:22" x14ac:dyDescent="0.45">
      <c r="I1036" t="s">
        <v>198</v>
      </c>
      <c r="J1036" t="s">
        <v>305</v>
      </c>
      <c r="K1036">
        <v>9.1143454717480788E-4</v>
      </c>
      <c r="L1036" t="s">
        <v>163</v>
      </c>
      <c r="N1036" t="s">
        <v>229</v>
      </c>
      <c r="O1036" t="s">
        <v>305</v>
      </c>
      <c r="P1036">
        <v>4.5176056212708881E-3</v>
      </c>
      <c r="Q1036" t="s">
        <v>163</v>
      </c>
      <c r="S1036" t="s">
        <v>260</v>
      </c>
      <c r="T1036" t="s">
        <v>305</v>
      </c>
      <c r="U1036">
        <v>4.0569798697345011E-3</v>
      </c>
      <c r="V1036" t="s">
        <v>163</v>
      </c>
    </row>
    <row r="1037" spans="9:22" x14ac:dyDescent="0.45">
      <c r="I1037" t="s">
        <v>198</v>
      </c>
      <c r="J1037" t="s">
        <v>172</v>
      </c>
      <c r="K1037">
        <v>1.2271341000722908E-2</v>
      </c>
      <c r="L1037" t="s">
        <v>163</v>
      </c>
      <c r="N1037" t="s">
        <v>229</v>
      </c>
      <c r="O1037" t="s">
        <v>172</v>
      </c>
      <c r="P1037">
        <v>3.1879378747079079E-2</v>
      </c>
      <c r="Q1037" t="s">
        <v>163</v>
      </c>
      <c r="S1037" t="s">
        <v>260</v>
      </c>
      <c r="T1037" t="s">
        <v>172</v>
      </c>
      <c r="U1037">
        <v>3.5317745773793194E-2</v>
      </c>
      <c r="V1037" t="s">
        <v>163</v>
      </c>
    </row>
    <row r="1038" spans="9:22" x14ac:dyDescent="0.45">
      <c r="I1038" t="s">
        <v>198</v>
      </c>
      <c r="J1038" t="s">
        <v>173</v>
      </c>
      <c r="K1038">
        <v>2.9284651546331916E-2</v>
      </c>
      <c r="L1038" t="s">
        <v>163</v>
      </c>
      <c r="N1038" t="s">
        <v>229</v>
      </c>
      <c r="O1038" t="s">
        <v>173</v>
      </c>
      <c r="P1038">
        <v>6.7410569433452652E-3</v>
      </c>
      <c r="Q1038" t="s">
        <v>163</v>
      </c>
      <c r="S1038" t="s">
        <v>260</v>
      </c>
      <c r="T1038" t="s">
        <v>173</v>
      </c>
      <c r="U1038">
        <v>8.5884820013487177E-3</v>
      </c>
      <c r="V1038" t="s">
        <v>163</v>
      </c>
    </row>
    <row r="1039" spans="9:22" x14ac:dyDescent="0.45">
      <c r="I1039" t="s">
        <v>198</v>
      </c>
      <c r="J1039" t="s">
        <v>174</v>
      </c>
      <c r="K1039">
        <v>5.8093731063667428E-2</v>
      </c>
      <c r="L1039" t="s">
        <v>163</v>
      </c>
      <c r="N1039" t="s">
        <v>229</v>
      </c>
      <c r="O1039" t="s">
        <v>174</v>
      </c>
      <c r="P1039">
        <v>1.1555081857072699E-2</v>
      </c>
      <c r="Q1039" t="s">
        <v>163</v>
      </c>
      <c r="S1039" t="s">
        <v>260</v>
      </c>
      <c r="T1039" t="s">
        <v>174</v>
      </c>
      <c r="U1039">
        <v>1.5134078355357431E-2</v>
      </c>
      <c r="V1039" t="s">
        <v>163</v>
      </c>
    </row>
    <row r="1040" spans="9:22" x14ac:dyDescent="0.45">
      <c r="I1040" t="s">
        <v>198</v>
      </c>
      <c r="J1040" t="s">
        <v>306</v>
      </c>
      <c r="K1040">
        <v>7.9572174846828811E-2</v>
      </c>
      <c r="L1040" t="s">
        <v>163</v>
      </c>
      <c r="N1040" t="s">
        <v>229</v>
      </c>
      <c r="O1040" t="s">
        <v>306</v>
      </c>
      <c r="P1040">
        <v>2.1747581367409029E-2</v>
      </c>
      <c r="Q1040" t="s">
        <v>163</v>
      </c>
      <c r="S1040" t="s">
        <v>260</v>
      </c>
      <c r="T1040" t="s">
        <v>306</v>
      </c>
      <c r="U1040">
        <v>2.5167598827235148E-2</v>
      </c>
      <c r="V1040" t="s">
        <v>163</v>
      </c>
    </row>
    <row r="1041" spans="9:22" x14ac:dyDescent="0.45">
      <c r="I1041" t="s">
        <v>198</v>
      </c>
      <c r="J1041" t="s">
        <v>307</v>
      </c>
      <c r="K1041">
        <v>6.2087781506599132E-3</v>
      </c>
      <c r="L1041" t="s">
        <v>163</v>
      </c>
      <c r="N1041" t="s">
        <v>229</v>
      </c>
      <c r="O1041" t="s">
        <v>307</v>
      </c>
      <c r="P1041">
        <v>4.0232043198798828E-3</v>
      </c>
      <c r="Q1041" t="s">
        <v>163</v>
      </c>
      <c r="S1041" t="s">
        <v>260</v>
      </c>
      <c r="T1041" t="s">
        <v>307</v>
      </c>
      <c r="U1041">
        <v>4.5757001906989005E-3</v>
      </c>
      <c r="V1041" t="s">
        <v>163</v>
      </c>
    </row>
    <row r="1042" spans="9:22" x14ac:dyDescent="0.45">
      <c r="I1042" t="s">
        <v>198</v>
      </c>
      <c r="J1042" t="s">
        <v>308</v>
      </c>
      <c r="K1042">
        <v>1.1435215733282265E-3</v>
      </c>
      <c r="L1042" t="s">
        <v>163</v>
      </c>
      <c r="N1042" t="s">
        <v>229</v>
      </c>
      <c r="O1042" t="s">
        <v>308</v>
      </c>
      <c r="P1042">
        <v>1.8686868083072582E-2</v>
      </c>
      <c r="Q1042" t="s">
        <v>163</v>
      </c>
      <c r="S1042" t="s">
        <v>260</v>
      </c>
      <c r="T1042" t="s">
        <v>308</v>
      </c>
      <c r="U1042">
        <v>1.9145252373364004E-2</v>
      </c>
      <c r="V1042" t="s">
        <v>163</v>
      </c>
    </row>
    <row r="1043" spans="9:22" x14ac:dyDescent="0.45">
      <c r="I1043" t="s">
        <v>198</v>
      </c>
      <c r="J1043" t="s">
        <v>309</v>
      </c>
      <c r="K1043">
        <v>5.2048698181574992E-3</v>
      </c>
      <c r="L1043" t="s">
        <v>163</v>
      </c>
      <c r="N1043" t="s">
        <v>229</v>
      </c>
      <c r="O1043" t="s">
        <v>309</v>
      </c>
      <c r="P1043">
        <v>1.6788208121983183E-2</v>
      </c>
      <c r="Q1043" t="s">
        <v>163</v>
      </c>
      <c r="S1043" t="s">
        <v>260</v>
      </c>
      <c r="T1043" t="s">
        <v>309</v>
      </c>
      <c r="U1043">
        <v>1.2500692928756723E-2</v>
      </c>
      <c r="V1043" t="s">
        <v>163</v>
      </c>
    </row>
    <row r="1044" spans="9:22" x14ac:dyDescent="0.45">
      <c r="I1044" t="s">
        <v>198</v>
      </c>
      <c r="J1044" t="s">
        <v>310</v>
      </c>
      <c r="K1044">
        <v>1.4309420992775367E-2</v>
      </c>
      <c r="L1044" t="s">
        <v>163</v>
      </c>
      <c r="N1044" t="s">
        <v>229</v>
      </c>
      <c r="O1044" t="s">
        <v>310</v>
      </c>
      <c r="P1044">
        <v>3.7480135146123377E-3</v>
      </c>
      <c r="Q1044" t="s">
        <v>163</v>
      </c>
      <c r="S1044" t="s">
        <v>260</v>
      </c>
      <c r="T1044" t="s">
        <v>310</v>
      </c>
      <c r="U1044">
        <v>2.6236610744078568E-3</v>
      </c>
      <c r="V1044" t="s">
        <v>163</v>
      </c>
    </row>
    <row r="1045" spans="9:22" x14ac:dyDescent="0.45">
      <c r="I1045" t="s">
        <v>198</v>
      </c>
      <c r="J1045" t="s">
        <v>311</v>
      </c>
      <c r="K1045">
        <v>2.694766744421722E-2</v>
      </c>
      <c r="L1045" t="s">
        <v>163</v>
      </c>
      <c r="N1045" t="s">
        <v>229</v>
      </c>
      <c r="O1045" t="s">
        <v>311</v>
      </c>
      <c r="P1045">
        <v>7.3842621360488987E-3</v>
      </c>
      <c r="Q1045" t="s">
        <v>163</v>
      </c>
      <c r="S1045" t="s">
        <v>260</v>
      </c>
      <c r="T1045" t="s">
        <v>311</v>
      </c>
      <c r="U1045">
        <v>4.1058348084229762E-3</v>
      </c>
      <c r="V1045" t="s">
        <v>163</v>
      </c>
    </row>
    <row r="1046" spans="9:22" x14ac:dyDescent="0.45">
      <c r="I1046" t="s">
        <v>198</v>
      </c>
      <c r="J1046" t="s">
        <v>312</v>
      </c>
      <c r="K1046">
        <v>3.6118225076500463E-2</v>
      </c>
      <c r="L1046" t="s">
        <v>163</v>
      </c>
      <c r="N1046" t="s">
        <v>229</v>
      </c>
      <c r="O1046" t="s">
        <v>312</v>
      </c>
      <c r="P1046">
        <v>1.3298537935637631E-2</v>
      </c>
      <c r="Q1046" t="s">
        <v>163</v>
      </c>
      <c r="S1046" t="s">
        <v>260</v>
      </c>
      <c r="T1046" t="s">
        <v>312</v>
      </c>
      <c r="U1046">
        <v>7.8707831593611607E-3</v>
      </c>
      <c r="V1046" t="s">
        <v>163</v>
      </c>
    </row>
    <row r="1047" spans="9:22" x14ac:dyDescent="0.45">
      <c r="I1047" t="s">
        <v>198</v>
      </c>
      <c r="J1047" t="s">
        <v>313</v>
      </c>
      <c r="K1047">
        <v>1.5919535495706192E-3</v>
      </c>
      <c r="L1047" t="s">
        <v>163</v>
      </c>
      <c r="N1047" t="s">
        <v>229</v>
      </c>
      <c r="O1047" t="s">
        <v>313</v>
      </c>
      <c r="P1047">
        <v>2.6736213380103213E-3</v>
      </c>
      <c r="Q1047" t="s">
        <v>163</v>
      </c>
      <c r="S1047" t="s">
        <v>260</v>
      </c>
      <c r="T1047" t="s">
        <v>313</v>
      </c>
      <c r="U1047">
        <v>2.0892430812881699E-3</v>
      </c>
      <c r="V1047" t="s">
        <v>163</v>
      </c>
    </row>
    <row r="1048" spans="9:22" x14ac:dyDescent="0.45">
      <c r="I1048" t="s">
        <v>198</v>
      </c>
      <c r="J1048" t="s">
        <v>314</v>
      </c>
      <c r="K1048">
        <v>0</v>
      </c>
      <c r="L1048" t="s">
        <v>163</v>
      </c>
      <c r="N1048" t="s">
        <v>229</v>
      </c>
      <c r="O1048" t="s">
        <v>314</v>
      </c>
      <c r="P1048">
        <v>1.2354416897615777E-2</v>
      </c>
      <c r="Q1048" t="s">
        <v>163</v>
      </c>
      <c r="S1048" t="s">
        <v>260</v>
      </c>
      <c r="T1048" t="s">
        <v>314</v>
      </c>
      <c r="U1048">
        <v>7.445509095719843E-3</v>
      </c>
      <c r="V1048" t="s">
        <v>163</v>
      </c>
    </row>
    <row r="1049" spans="9:22" x14ac:dyDescent="0.45">
      <c r="I1049" t="s">
        <v>198</v>
      </c>
      <c r="J1049" t="s">
        <v>315</v>
      </c>
      <c r="K1049">
        <v>4.5878535264645354E-3</v>
      </c>
      <c r="L1049" t="s">
        <v>163</v>
      </c>
      <c r="N1049" t="s">
        <v>229</v>
      </c>
      <c r="O1049" t="s">
        <v>315</v>
      </c>
      <c r="P1049">
        <v>6.1370811386517517E-2</v>
      </c>
      <c r="Q1049" t="s">
        <v>163</v>
      </c>
      <c r="S1049" t="s">
        <v>260</v>
      </c>
      <c r="T1049" t="s">
        <v>315</v>
      </c>
      <c r="U1049">
        <v>6.0524825293162048E-2</v>
      </c>
      <c r="V1049" t="s">
        <v>163</v>
      </c>
    </row>
    <row r="1050" spans="9:22" x14ac:dyDescent="0.45">
      <c r="I1050" t="s">
        <v>198</v>
      </c>
      <c r="J1050" t="s">
        <v>316</v>
      </c>
      <c r="K1050">
        <v>2.3137733449024343E-2</v>
      </c>
      <c r="L1050" t="s">
        <v>163</v>
      </c>
      <c r="N1050" t="s">
        <v>229</v>
      </c>
      <c r="O1050" t="s">
        <v>316</v>
      </c>
      <c r="P1050">
        <v>1.4399150455356604E-2</v>
      </c>
      <c r="Q1050" t="s">
        <v>163</v>
      </c>
      <c r="S1050" t="s">
        <v>260</v>
      </c>
      <c r="T1050" t="s">
        <v>316</v>
      </c>
      <c r="U1050">
        <v>1.3663566468085721E-2</v>
      </c>
      <c r="V1050" t="s">
        <v>163</v>
      </c>
    </row>
    <row r="1051" spans="9:22" x14ac:dyDescent="0.45">
      <c r="I1051" t="s">
        <v>198</v>
      </c>
      <c r="J1051" t="s">
        <v>317</v>
      </c>
      <c r="K1051">
        <v>4.3333978046379985E-2</v>
      </c>
      <c r="L1051" t="s">
        <v>163</v>
      </c>
      <c r="N1051" t="s">
        <v>229</v>
      </c>
      <c r="O1051" t="s">
        <v>317</v>
      </c>
      <c r="P1051">
        <v>2.5111032326133528E-2</v>
      </c>
      <c r="Q1051" t="s">
        <v>163</v>
      </c>
      <c r="S1051" t="s">
        <v>260</v>
      </c>
      <c r="T1051" t="s">
        <v>317</v>
      </c>
      <c r="U1051">
        <v>2.3109423754107263E-2</v>
      </c>
      <c r="V1051" t="s">
        <v>163</v>
      </c>
    </row>
    <row r="1052" spans="9:22" x14ac:dyDescent="0.45">
      <c r="I1052" t="s">
        <v>198</v>
      </c>
      <c r="J1052" t="s">
        <v>318</v>
      </c>
      <c r="K1052">
        <v>5.0528170782516937E-2</v>
      </c>
      <c r="L1052" t="s">
        <v>163</v>
      </c>
      <c r="N1052" t="s">
        <v>229</v>
      </c>
      <c r="O1052" t="s">
        <v>318</v>
      </c>
      <c r="P1052">
        <v>4.3737098460445378E-2</v>
      </c>
      <c r="Q1052" t="s">
        <v>163</v>
      </c>
      <c r="S1052" t="s">
        <v>260</v>
      </c>
      <c r="T1052" t="s">
        <v>318</v>
      </c>
      <c r="U1052">
        <v>4.0505257267335039E-2</v>
      </c>
      <c r="V1052" t="s">
        <v>163</v>
      </c>
    </row>
    <row r="1053" spans="9:22" x14ac:dyDescent="0.45">
      <c r="I1053" t="s">
        <v>198</v>
      </c>
      <c r="J1053" t="s">
        <v>319</v>
      </c>
      <c r="K1053">
        <v>0</v>
      </c>
      <c r="L1053" t="s">
        <v>163</v>
      </c>
      <c r="N1053" t="s">
        <v>229</v>
      </c>
      <c r="O1053" t="s">
        <v>319</v>
      </c>
      <c r="P1053">
        <v>8.4976754591214211E-3</v>
      </c>
      <c r="Q1053" t="s">
        <v>163</v>
      </c>
      <c r="S1053" t="s">
        <v>260</v>
      </c>
      <c r="T1053" t="s">
        <v>319</v>
      </c>
      <c r="U1053">
        <v>7.782363012771288E-3</v>
      </c>
      <c r="V1053" t="s">
        <v>163</v>
      </c>
    </row>
    <row r="1054" spans="9:22" x14ac:dyDescent="0.45">
      <c r="I1054" t="s">
        <v>198</v>
      </c>
      <c r="J1054" t="s">
        <v>320</v>
      </c>
      <c r="K1054">
        <v>0</v>
      </c>
      <c r="L1054" t="s">
        <v>163</v>
      </c>
      <c r="N1054" t="s">
        <v>229</v>
      </c>
      <c r="O1054" t="s">
        <v>320</v>
      </c>
      <c r="P1054">
        <v>3.9880784496308996E-2</v>
      </c>
      <c r="Q1054" t="s">
        <v>163</v>
      </c>
      <c r="S1054" t="s">
        <v>260</v>
      </c>
      <c r="T1054" t="s">
        <v>320</v>
      </c>
      <c r="U1054">
        <v>4.0519745040993357E-2</v>
      </c>
      <c r="V1054" t="s">
        <v>163</v>
      </c>
    </row>
    <row r="1055" spans="9:22" x14ac:dyDescent="0.45">
      <c r="I1055" t="s">
        <v>198</v>
      </c>
      <c r="J1055" t="s">
        <v>321</v>
      </c>
      <c r="K1055">
        <v>0</v>
      </c>
      <c r="L1055" t="s">
        <v>163</v>
      </c>
      <c r="N1055" t="s">
        <v>229</v>
      </c>
      <c r="O1055" t="s">
        <v>321</v>
      </c>
      <c r="P1055">
        <v>4.2856805388563145E-2</v>
      </c>
      <c r="Q1055" t="s">
        <v>163</v>
      </c>
      <c r="S1055" t="s">
        <v>260</v>
      </c>
      <c r="T1055" t="s">
        <v>321</v>
      </c>
      <c r="U1055">
        <v>4.3745179342298927E-2</v>
      </c>
      <c r="V1055" t="s">
        <v>163</v>
      </c>
    </row>
    <row r="1056" spans="9:22" x14ac:dyDescent="0.45">
      <c r="I1056" t="s">
        <v>198</v>
      </c>
      <c r="J1056" t="s">
        <v>322</v>
      </c>
      <c r="K1056">
        <v>1.2546245265400843E-2</v>
      </c>
      <c r="L1056" t="s">
        <v>163</v>
      </c>
      <c r="N1056" t="s">
        <v>229</v>
      </c>
      <c r="O1056" t="s">
        <v>322</v>
      </c>
      <c r="P1056">
        <v>8.1768223539493718E-3</v>
      </c>
      <c r="Q1056" t="s">
        <v>163</v>
      </c>
      <c r="S1056" t="s">
        <v>260</v>
      </c>
      <c r="T1056" t="s">
        <v>322</v>
      </c>
      <c r="U1056">
        <v>9.3857605036247512E-3</v>
      </c>
      <c r="V1056" t="s">
        <v>163</v>
      </c>
    </row>
    <row r="1057" spans="9:22" x14ac:dyDescent="0.45">
      <c r="I1057" t="s">
        <v>198</v>
      </c>
      <c r="J1057" t="s">
        <v>323</v>
      </c>
      <c r="K1057">
        <v>2.4652644630275312E-2</v>
      </c>
      <c r="L1057" t="s">
        <v>163</v>
      </c>
      <c r="N1057" t="s">
        <v>229</v>
      </c>
      <c r="O1057" t="s">
        <v>323</v>
      </c>
      <c r="P1057">
        <v>1.4377322526589688E-2</v>
      </c>
      <c r="Q1057" t="s">
        <v>163</v>
      </c>
      <c r="S1057" t="s">
        <v>260</v>
      </c>
      <c r="T1057" t="s">
        <v>323</v>
      </c>
      <c r="U1057">
        <v>1.4974209330883191E-2</v>
      </c>
      <c r="V1057" t="s">
        <v>163</v>
      </c>
    </row>
    <row r="1058" spans="9:22" x14ac:dyDescent="0.45">
      <c r="I1058" t="s">
        <v>198</v>
      </c>
      <c r="J1058" t="s">
        <v>324</v>
      </c>
      <c r="K1058">
        <v>2.8082983349103245E-2</v>
      </c>
      <c r="L1058" t="s">
        <v>163</v>
      </c>
      <c r="N1058" t="s">
        <v>229</v>
      </c>
      <c r="O1058" t="s">
        <v>324</v>
      </c>
      <c r="P1058">
        <v>2.5307265797250802E-2</v>
      </c>
      <c r="Q1058" t="s">
        <v>163</v>
      </c>
      <c r="S1058" t="s">
        <v>260</v>
      </c>
      <c r="T1058" t="s">
        <v>324</v>
      </c>
      <c r="U1058">
        <v>2.8005117380293921E-2</v>
      </c>
      <c r="V1058" t="s">
        <v>163</v>
      </c>
    </row>
    <row r="1059" spans="9:22" x14ac:dyDescent="0.45">
      <c r="I1059" t="s">
        <v>198</v>
      </c>
      <c r="J1059" t="s">
        <v>325</v>
      </c>
      <c r="K1059">
        <v>0</v>
      </c>
      <c r="L1059" t="s">
        <v>163</v>
      </c>
      <c r="N1059" t="s">
        <v>229</v>
      </c>
      <c r="O1059" t="s">
        <v>325</v>
      </c>
      <c r="P1059">
        <v>4.986761502842477E-3</v>
      </c>
      <c r="Q1059" t="s">
        <v>163</v>
      </c>
      <c r="S1059" t="s">
        <v>260</v>
      </c>
      <c r="T1059" t="s">
        <v>325</v>
      </c>
      <c r="U1059">
        <v>6.0126930897406953E-3</v>
      </c>
      <c r="V1059" t="s">
        <v>163</v>
      </c>
    </row>
    <row r="1060" spans="9:22" x14ac:dyDescent="0.45">
      <c r="I1060" t="s">
        <v>198</v>
      </c>
      <c r="J1060" t="s">
        <v>326</v>
      </c>
      <c r="K1060">
        <v>0</v>
      </c>
      <c r="L1060" t="s">
        <v>163</v>
      </c>
      <c r="N1060" t="s">
        <v>229</v>
      </c>
      <c r="O1060" t="s">
        <v>326</v>
      </c>
      <c r="P1060">
        <v>2.4257374285093173E-2</v>
      </c>
      <c r="Q1060" t="s">
        <v>163</v>
      </c>
      <c r="S1060" t="s">
        <v>260</v>
      </c>
      <c r="T1060" t="s">
        <v>326</v>
      </c>
      <c r="U1060">
        <v>3.0762210660691781E-2</v>
      </c>
      <c r="V1060" t="s">
        <v>163</v>
      </c>
    </row>
    <row r="1061" spans="9:22" x14ac:dyDescent="0.45">
      <c r="I1061" t="s">
        <v>199</v>
      </c>
      <c r="J1061" t="s">
        <v>162</v>
      </c>
      <c r="K1061">
        <v>1.209992570550371E-2</v>
      </c>
      <c r="L1061" t="s">
        <v>163</v>
      </c>
      <c r="N1061" t="s">
        <v>230</v>
      </c>
      <c r="O1061" t="s">
        <v>162</v>
      </c>
      <c r="P1061">
        <v>0.13962493237121451</v>
      </c>
      <c r="Q1061" t="s">
        <v>163</v>
      </c>
      <c r="S1061" t="s">
        <v>261</v>
      </c>
      <c r="T1061" t="s">
        <v>162</v>
      </c>
      <c r="U1061">
        <v>0.14589900449638177</v>
      </c>
      <c r="V1061" t="s">
        <v>163</v>
      </c>
    </row>
    <row r="1062" spans="9:22" x14ac:dyDescent="0.45">
      <c r="I1062" t="s">
        <v>199</v>
      </c>
      <c r="J1062" t="s">
        <v>164</v>
      </c>
      <c r="K1062">
        <v>5.9104044777942462E-2</v>
      </c>
      <c r="L1062" t="s">
        <v>163</v>
      </c>
      <c r="N1062" t="s">
        <v>230</v>
      </c>
      <c r="O1062" t="s">
        <v>164</v>
      </c>
      <c r="P1062">
        <v>3.2425529446345309E-2</v>
      </c>
      <c r="Q1062" t="s">
        <v>163</v>
      </c>
      <c r="S1062" t="s">
        <v>261</v>
      </c>
      <c r="T1062" t="s">
        <v>164</v>
      </c>
      <c r="U1062">
        <v>3.3325525306029599E-2</v>
      </c>
      <c r="V1062" t="s">
        <v>163</v>
      </c>
    </row>
    <row r="1063" spans="9:22" x14ac:dyDescent="0.45">
      <c r="I1063" t="s">
        <v>199</v>
      </c>
      <c r="J1063" t="s">
        <v>165</v>
      </c>
      <c r="K1063">
        <v>0.11971593845167547</v>
      </c>
      <c r="L1063" t="s">
        <v>163</v>
      </c>
      <c r="N1063" t="s">
        <v>230</v>
      </c>
      <c r="O1063" t="s">
        <v>165</v>
      </c>
      <c r="P1063">
        <v>5.079224156904405E-2</v>
      </c>
      <c r="Q1063" t="s">
        <v>163</v>
      </c>
      <c r="S1063" t="s">
        <v>261</v>
      </c>
      <c r="T1063" t="s">
        <v>165</v>
      </c>
      <c r="U1063">
        <v>5.1018052055870435E-2</v>
      </c>
      <c r="V1063" t="s">
        <v>163</v>
      </c>
    </row>
    <row r="1064" spans="9:22" x14ac:dyDescent="0.45">
      <c r="I1064" t="s">
        <v>199</v>
      </c>
      <c r="J1064" t="s">
        <v>297</v>
      </c>
      <c r="K1064">
        <v>0.16542669569439267</v>
      </c>
      <c r="L1064" t="s">
        <v>163</v>
      </c>
      <c r="N1064" t="s">
        <v>230</v>
      </c>
      <c r="O1064" t="s">
        <v>297</v>
      </c>
      <c r="P1064">
        <v>9.0075577905022228E-2</v>
      </c>
      <c r="Q1064" t="s">
        <v>163</v>
      </c>
      <c r="S1064" t="s">
        <v>261</v>
      </c>
      <c r="T1064" t="s">
        <v>297</v>
      </c>
      <c r="U1064">
        <v>9.101152739845722E-2</v>
      </c>
      <c r="V1064" t="s">
        <v>163</v>
      </c>
    </row>
    <row r="1065" spans="9:22" x14ac:dyDescent="0.45">
      <c r="I1065" t="s">
        <v>199</v>
      </c>
      <c r="J1065" t="s">
        <v>298</v>
      </c>
      <c r="K1065">
        <v>6.8857692704815537E-3</v>
      </c>
      <c r="L1065" t="s">
        <v>163</v>
      </c>
      <c r="N1065" t="s">
        <v>230</v>
      </c>
      <c r="O1065" t="s">
        <v>298</v>
      </c>
      <c r="P1065">
        <v>1.8460410547221081E-2</v>
      </c>
      <c r="Q1065" t="s">
        <v>163</v>
      </c>
      <c r="S1065" t="s">
        <v>261</v>
      </c>
      <c r="T1065" t="s">
        <v>298</v>
      </c>
      <c r="U1065">
        <v>1.7761232874905566E-2</v>
      </c>
      <c r="V1065" t="s">
        <v>163</v>
      </c>
    </row>
    <row r="1066" spans="9:22" x14ac:dyDescent="0.45">
      <c r="I1066" t="s">
        <v>199</v>
      </c>
      <c r="J1066" t="s">
        <v>299</v>
      </c>
      <c r="K1066">
        <v>0</v>
      </c>
      <c r="L1066" t="s">
        <v>163</v>
      </c>
      <c r="N1066" t="s">
        <v>230</v>
      </c>
      <c r="O1066" t="s">
        <v>299</v>
      </c>
      <c r="P1066">
        <v>8.7921919640150489E-2</v>
      </c>
      <c r="Q1066" t="s">
        <v>163</v>
      </c>
      <c r="S1066" t="s">
        <v>261</v>
      </c>
      <c r="T1066" t="s">
        <v>299</v>
      </c>
      <c r="U1066">
        <v>8.433902537974397E-2</v>
      </c>
      <c r="V1066" t="s">
        <v>163</v>
      </c>
    </row>
    <row r="1067" spans="9:22" x14ac:dyDescent="0.45">
      <c r="I1067" t="s">
        <v>199</v>
      </c>
      <c r="J1067" t="s">
        <v>166</v>
      </c>
      <c r="K1067">
        <v>9.1301270161287598E-3</v>
      </c>
      <c r="L1067" t="s">
        <v>163</v>
      </c>
      <c r="N1067" t="s">
        <v>230</v>
      </c>
      <c r="O1067" t="s">
        <v>166</v>
      </c>
      <c r="P1067">
        <v>2.5431657931561817E-2</v>
      </c>
      <c r="Q1067" t="s">
        <v>163</v>
      </c>
      <c r="S1067" t="s">
        <v>261</v>
      </c>
      <c r="T1067" t="s">
        <v>166</v>
      </c>
      <c r="U1067">
        <v>1.9711352204627792E-2</v>
      </c>
      <c r="V1067" t="s">
        <v>163</v>
      </c>
    </row>
    <row r="1068" spans="9:22" x14ac:dyDescent="0.45">
      <c r="I1068" t="s">
        <v>199</v>
      </c>
      <c r="J1068" t="s">
        <v>167</v>
      </c>
      <c r="K1068">
        <v>1.8268759302826093E-2</v>
      </c>
      <c r="L1068" t="s">
        <v>163</v>
      </c>
      <c r="N1068" t="s">
        <v>230</v>
      </c>
      <c r="O1068" t="s">
        <v>167</v>
      </c>
      <c r="P1068">
        <v>5.7438612894843925E-3</v>
      </c>
      <c r="Q1068" t="s">
        <v>163</v>
      </c>
      <c r="S1068" t="s">
        <v>261</v>
      </c>
      <c r="T1068" t="s">
        <v>167</v>
      </c>
      <c r="U1068">
        <v>4.4577304460918336E-3</v>
      </c>
      <c r="V1068" t="s">
        <v>163</v>
      </c>
    </row>
    <row r="1069" spans="9:22" x14ac:dyDescent="0.45">
      <c r="I1069" t="s">
        <v>199</v>
      </c>
      <c r="J1069" t="s">
        <v>168</v>
      </c>
      <c r="K1069">
        <v>3.4815096179381784E-2</v>
      </c>
      <c r="L1069" t="s">
        <v>163</v>
      </c>
      <c r="N1069" t="s">
        <v>230</v>
      </c>
      <c r="O1069" t="s">
        <v>168</v>
      </c>
      <c r="P1069">
        <v>9.0560849566078561E-3</v>
      </c>
      <c r="Q1069" t="s">
        <v>163</v>
      </c>
      <c r="S1069" t="s">
        <v>261</v>
      </c>
      <c r="T1069" t="s">
        <v>168</v>
      </c>
      <c r="U1069">
        <v>8.561711630061683E-3</v>
      </c>
      <c r="V1069" t="s">
        <v>163</v>
      </c>
    </row>
    <row r="1070" spans="9:22" x14ac:dyDescent="0.45">
      <c r="I1070" t="s">
        <v>199</v>
      </c>
      <c r="J1070" t="s">
        <v>300</v>
      </c>
      <c r="K1070">
        <v>4.7904602974592814E-2</v>
      </c>
      <c r="L1070" t="s">
        <v>163</v>
      </c>
      <c r="N1070" t="s">
        <v>230</v>
      </c>
      <c r="O1070" t="s">
        <v>300</v>
      </c>
      <c r="P1070">
        <v>1.638879274009987E-2</v>
      </c>
      <c r="Q1070" t="s">
        <v>163</v>
      </c>
      <c r="S1070" t="s">
        <v>261</v>
      </c>
      <c r="T1070" t="s">
        <v>300</v>
      </c>
      <c r="U1070">
        <v>1.4560458839151181E-2</v>
      </c>
      <c r="V1070" t="s">
        <v>163</v>
      </c>
    </row>
    <row r="1071" spans="9:22" x14ac:dyDescent="0.45">
      <c r="I1071" t="s">
        <v>199</v>
      </c>
      <c r="J1071" t="s">
        <v>301</v>
      </c>
      <c r="K1071">
        <v>4.1371130414522639E-3</v>
      </c>
      <c r="L1071" t="s">
        <v>163</v>
      </c>
      <c r="N1071" t="s">
        <v>230</v>
      </c>
      <c r="O1071" t="s">
        <v>301</v>
      </c>
      <c r="P1071">
        <v>3.2014978720386511E-3</v>
      </c>
      <c r="Q1071" t="s">
        <v>163</v>
      </c>
      <c r="S1071" t="s">
        <v>261</v>
      </c>
      <c r="T1071" t="s">
        <v>301</v>
      </c>
      <c r="U1071">
        <v>2.4048404572682195E-3</v>
      </c>
      <c r="V1071" t="s">
        <v>163</v>
      </c>
    </row>
    <row r="1072" spans="9:22" x14ac:dyDescent="0.45">
      <c r="I1072" t="s">
        <v>199</v>
      </c>
      <c r="J1072" t="s">
        <v>302</v>
      </c>
      <c r="K1072">
        <v>1.0084029441460062E-3</v>
      </c>
      <c r="L1072" t="s">
        <v>163</v>
      </c>
      <c r="N1072" t="s">
        <v>230</v>
      </c>
      <c r="O1072" t="s">
        <v>302</v>
      </c>
      <c r="P1072">
        <v>1.4465258511079973E-2</v>
      </c>
      <c r="Q1072" t="s">
        <v>163</v>
      </c>
      <c r="S1072" t="s">
        <v>261</v>
      </c>
      <c r="T1072" t="s">
        <v>302</v>
      </c>
      <c r="U1072">
        <v>9.1000260273136988E-3</v>
      </c>
      <c r="V1072" t="s">
        <v>163</v>
      </c>
    </row>
    <row r="1073" spans="9:22" x14ac:dyDescent="0.45">
      <c r="I1073" t="s">
        <v>199</v>
      </c>
      <c r="J1073" t="s">
        <v>169</v>
      </c>
      <c r="K1073">
        <v>5.1471551560382149E-3</v>
      </c>
      <c r="L1073" t="s">
        <v>163</v>
      </c>
      <c r="N1073" t="s">
        <v>230</v>
      </c>
      <c r="O1073" t="s">
        <v>169</v>
      </c>
      <c r="P1073">
        <v>1.3067982757286996E-2</v>
      </c>
      <c r="Q1073" t="s">
        <v>163</v>
      </c>
      <c r="S1073" t="s">
        <v>261</v>
      </c>
      <c r="T1073" t="s">
        <v>169</v>
      </c>
      <c r="U1073">
        <v>6.8778817367208204E-3</v>
      </c>
      <c r="V1073" t="s">
        <v>163</v>
      </c>
    </row>
    <row r="1074" spans="9:22" x14ac:dyDescent="0.45">
      <c r="I1074" t="s">
        <v>199</v>
      </c>
      <c r="J1074" t="s">
        <v>170</v>
      </c>
      <c r="K1074">
        <v>1.2190061899633118E-2</v>
      </c>
      <c r="L1074" t="s">
        <v>163</v>
      </c>
      <c r="N1074" t="s">
        <v>230</v>
      </c>
      <c r="O1074" t="s">
        <v>170</v>
      </c>
      <c r="P1074">
        <v>2.8558049531173303E-3</v>
      </c>
      <c r="Q1074" t="s">
        <v>163</v>
      </c>
      <c r="S1074" t="s">
        <v>261</v>
      </c>
      <c r="T1074" t="s">
        <v>170</v>
      </c>
      <c r="U1074">
        <v>9.328973402030049E-4</v>
      </c>
      <c r="V1074" t="s">
        <v>163</v>
      </c>
    </row>
    <row r="1075" spans="9:22" x14ac:dyDescent="0.45">
      <c r="I1075" t="s">
        <v>199</v>
      </c>
      <c r="J1075" t="s">
        <v>171</v>
      </c>
      <c r="K1075">
        <v>2.4687193193982545E-2</v>
      </c>
      <c r="L1075" t="s">
        <v>163</v>
      </c>
      <c r="N1075" t="s">
        <v>230</v>
      </c>
      <c r="O1075" t="s">
        <v>171</v>
      </c>
      <c r="P1075">
        <v>4.4107540577773812E-3</v>
      </c>
      <c r="Q1075" t="s">
        <v>163</v>
      </c>
      <c r="S1075" t="s">
        <v>261</v>
      </c>
      <c r="T1075" t="s">
        <v>171</v>
      </c>
      <c r="U1075">
        <v>1.6538730470809211E-3</v>
      </c>
      <c r="V1075" t="s">
        <v>163</v>
      </c>
    </row>
    <row r="1076" spans="9:22" x14ac:dyDescent="0.45">
      <c r="I1076" t="s">
        <v>199</v>
      </c>
      <c r="J1076" t="s">
        <v>303</v>
      </c>
      <c r="K1076">
        <v>3.1791775067300194E-2</v>
      </c>
      <c r="L1076" t="s">
        <v>163</v>
      </c>
      <c r="N1076" t="s">
        <v>230</v>
      </c>
      <c r="O1076" t="s">
        <v>303</v>
      </c>
      <c r="P1076">
        <v>8.2222924576376647E-3</v>
      </c>
      <c r="Q1076" t="s">
        <v>163</v>
      </c>
      <c r="S1076" t="s">
        <v>261</v>
      </c>
      <c r="T1076" t="s">
        <v>303</v>
      </c>
      <c r="U1076">
        <v>4.1875488796182768E-3</v>
      </c>
      <c r="V1076" t="s">
        <v>163</v>
      </c>
    </row>
    <row r="1077" spans="9:22" x14ac:dyDescent="0.45">
      <c r="I1077" t="s">
        <v>199</v>
      </c>
      <c r="J1077" t="s">
        <v>304</v>
      </c>
      <c r="K1077">
        <v>2.4699686740501095E-3</v>
      </c>
      <c r="L1077" t="s">
        <v>163</v>
      </c>
      <c r="N1077" t="s">
        <v>230</v>
      </c>
      <c r="O1077" t="s">
        <v>304</v>
      </c>
      <c r="P1077">
        <v>1.7009473219789498E-3</v>
      </c>
      <c r="Q1077" t="s">
        <v>163</v>
      </c>
      <c r="S1077" t="s">
        <v>261</v>
      </c>
      <c r="T1077" t="s">
        <v>304</v>
      </c>
      <c r="U1077">
        <v>9.8740971848900469E-4</v>
      </c>
      <c r="V1077" t="s">
        <v>163</v>
      </c>
    </row>
    <row r="1078" spans="9:22" x14ac:dyDescent="0.45">
      <c r="I1078" t="s">
        <v>199</v>
      </c>
      <c r="J1078" t="s">
        <v>305</v>
      </c>
      <c r="K1078">
        <v>1.0663832245830453E-3</v>
      </c>
      <c r="L1078" t="s">
        <v>163</v>
      </c>
      <c r="N1078" t="s">
        <v>230</v>
      </c>
      <c r="O1078" t="s">
        <v>305</v>
      </c>
      <c r="P1078">
        <v>8.3696450206580467E-3</v>
      </c>
      <c r="Q1078" t="s">
        <v>163</v>
      </c>
      <c r="S1078" t="s">
        <v>261</v>
      </c>
      <c r="T1078" t="s">
        <v>305</v>
      </c>
      <c r="U1078">
        <v>4.1564153370221273E-3</v>
      </c>
      <c r="V1078" t="s">
        <v>163</v>
      </c>
    </row>
    <row r="1079" spans="9:22" x14ac:dyDescent="0.45">
      <c r="I1079" t="s">
        <v>199</v>
      </c>
      <c r="J1079" t="s">
        <v>172</v>
      </c>
      <c r="K1079">
        <v>1.0797261997690991E-2</v>
      </c>
      <c r="L1079" t="s">
        <v>163</v>
      </c>
      <c r="N1079" t="s">
        <v>230</v>
      </c>
      <c r="O1079" t="s">
        <v>172</v>
      </c>
      <c r="P1079">
        <v>3.861376658881218E-2</v>
      </c>
      <c r="Q1079" t="s">
        <v>163</v>
      </c>
      <c r="S1079" t="s">
        <v>261</v>
      </c>
      <c r="T1079" t="s">
        <v>172</v>
      </c>
      <c r="U1079">
        <v>4.9120879974207478E-2</v>
      </c>
      <c r="V1079" t="s">
        <v>163</v>
      </c>
    </row>
    <row r="1080" spans="9:22" x14ac:dyDescent="0.45">
      <c r="I1080" t="s">
        <v>199</v>
      </c>
      <c r="J1080" t="s">
        <v>173</v>
      </c>
      <c r="K1080">
        <v>2.7446125872943608E-2</v>
      </c>
      <c r="L1080" t="s">
        <v>163</v>
      </c>
      <c r="N1080" t="s">
        <v>230</v>
      </c>
      <c r="O1080" t="s">
        <v>173</v>
      </c>
      <c r="P1080">
        <v>8.5242362374272629E-3</v>
      </c>
      <c r="Q1080" t="s">
        <v>163</v>
      </c>
      <c r="S1080" t="s">
        <v>261</v>
      </c>
      <c r="T1080" t="s">
        <v>173</v>
      </c>
      <c r="U1080">
        <v>1.2349340508809739E-2</v>
      </c>
      <c r="V1080" t="s">
        <v>163</v>
      </c>
    </row>
    <row r="1081" spans="9:22" x14ac:dyDescent="0.45">
      <c r="I1081" t="s">
        <v>199</v>
      </c>
      <c r="J1081" t="s">
        <v>174</v>
      </c>
      <c r="K1081">
        <v>5.4766701670824064E-2</v>
      </c>
      <c r="L1081" t="s">
        <v>163</v>
      </c>
      <c r="N1081" t="s">
        <v>230</v>
      </c>
      <c r="O1081" t="s">
        <v>174</v>
      </c>
      <c r="P1081">
        <v>1.3948264133127606E-2</v>
      </c>
      <c r="Q1081" t="s">
        <v>163</v>
      </c>
      <c r="S1081" t="s">
        <v>261</v>
      </c>
      <c r="T1081" t="s">
        <v>174</v>
      </c>
      <c r="U1081">
        <v>2.0484437375234896E-2</v>
      </c>
      <c r="V1081" t="s">
        <v>163</v>
      </c>
    </row>
    <row r="1082" spans="9:22" x14ac:dyDescent="0.45">
      <c r="I1082" t="s">
        <v>199</v>
      </c>
      <c r="J1082" t="s">
        <v>306</v>
      </c>
      <c r="K1082">
        <v>7.6239614705434472E-2</v>
      </c>
      <c r="L1082" t="s">
        <v>163</v>
      </c>
      <c r="N1082" t="s">
        <v>230</v>
      </c>
      <c r="O1082" t="s">
        <v>306</v>
      </c>
      <c r="P1082">
        <v>2.6257049836287315E-2</v>
      </c>
      <c r="Q1082" t="s">
        <v>163</v>
      </c>
      <c r="S1082" t="s">
        <v>261</v>
      </c>
      <c r="T1082" t="s">
        <v>306</v>
      </c>
      <c r="U1082">
        <v>3.4692209092939852E-2</v>
      </c>
      <c r="V1082" t="s">
        <v>163</v>
      </c>
    </row>
    <row r="1083" spans="9:22" x14ac:dyDescent="0.45">
      <c r="I1083" t="s">
        <v>199</v>
      </c>
      <c r="J1083" t="s">
        <v>307</v>
      </c>
      <c r="K1083">
        <v>6.4565264497046387E-3</v>
      </c>
      <c r="L1083" t="s">
        <v>163</v>
      </c>
      <c r="N1083" t="s">
        <v>230</v>
      </c>
      <c r="O1083" t="s">
        <v>307</v>
      </c>
      <c r="P1083">
        <v>5.3567257102204299E-3</v>
      </c>
      <c r="Q1083" t="s">
        <v>163</v>
      </c>
      <c r="S1083" t="s">
        <v>261</v>
      </c>
      <c r="T1083" t="s">
        <v>307</v>
      </c>
      <c r="U1083">
        <v>6.3182172381427868E-3</v>
      </c>
      <c r="V1083" t="s">
        <v>163</v>
      </c>
    </row>
    <row r="1084" spans="9:22" x14ac:dyDescent="0.45">
      <c r="I1084" t="s">
        <v>199</v>
      </c>
      <c r="J1084" t="s">
        <v>308</v>
      </c>
      <c r="K1084">
        <v>1.8164483410529266E-3</v>
      </c>
      <c r="L1084" t="s">
        <v>163</v>
      </c>
      <c r="N1084" t="s">
        <v>230</v>
      </c>
      <c r="O1084" t="s">
        <v>308</v>
      </c>
      <c r="P1084">
        <v>2.4263105286967724E-2</v>
      </c>
      <c r="Q1084" t="s">
        <v>163</v>
      </c>
      <c r="S1084" t="s">
        <v>261</v>
      </c>
      <c r="T1084" t="s">
        <v>308</v>
      </c>
      <c r="U1084">
        <v>2.5892569183048567E-2</v>
      </c>
      <c r="V1084" t="s">
        <v>163</v>
      </c>
    </row>
    <row r="1085" spans="9:22" x14ac:dyDescent="0.45">
      <c r="I1085" t="s">
        <v>199</v>
      </c>
      <c r="J1085" t="s">
        <v>309</v>
      </c>
      <c r="K1085">
        <v>3.9203415129620868E-3</v>
      </c>
      <c r="L1085" t="s">
        <v>163</v>
      </c>
      <c r="N1085" t="s">
        <v>230</v>
      </c>
      <c r="O1085" t="s">
        <v>309</v>
      </c>
      <c r="P1085">
        <v>1.759275280205469E-2</v>
      </c>
      <c r="Q1085" t="s">
        <v>163</v>
      </c>
      <c r="S1085" t="s">
        <v>261</v>
      </c>
      <c r="T1085" t="s">
        <v>309</v>
      </c>
      <c r="U1085">
        <v>1.479053345837633E-2</v>
      </c>
      <c r="V1085" t="s">
        <v>163</v>
      </c>
    </row>
    <row r="1086" spans="9:22" x14ac:dyDescent="0.45">
      <c r="I1086" t="s">
        <v>199</v>
      </c>
      <c r="J1086" t="s">
        <v>310</v>
      </c>
      <c r="K1086">
        <v>1.2964232394819915E-2</v>
      </c>
      <c r="L1086" t="s">
        <v>163</v>
      </c>
      <c r="N1086" t="s">
        <v>230</v>
      </c>
      <c r="O1086" t="s">
        <v>310</v>
      </c>
      <c r="P1086">
        <v>3.8889758717147332E-3</v>
      </c>
      <c r="Q1086" t="s">
        <v>163</v>
      </c>
      <c r="S1086" t="s">
        <v>261</v>
      </c>
      <c r="T1086" t="s">
        <v>310</v>
      </c>
      <c r="U1086">
        <v>3.5868940249388927E-3</v>
      </c>
      <c r="V1086" t="s">
        <v>163</v>
      </c>
    </row>
    <row r="1087" spans="9:22" x14ac:dyDescent="0.45">
      <c r="I1087" t="s">
        <v>199</v>
      </c>
      <c r="J1087" t="s">
        <v>311</v>
      </c>
      <c r="K1087">
        <v>2.4932404770624673E-2</v>
      </c>
      <c r="L1087" t="s">
        <v>163</v>
      </c>
      <c r="N1087" t="s">
        <v>230</v>
      </c>
      <c r="O1087" t="s">
        <v>311</v>
      </c>
      <c r="P1087">
        <v>6.6034032687923971E-3</v>
      </c>
      <c r="Q1087" t="s">
        <v>163</v>
      </c>
      <c r="S1087" t="s">
        <v>261</v>
      </c>
      <c r="T1087" t="s">
        <v>311</v>
      </c>
      <c r="U1087">
        <v>5.611227541666295E-3</v>
      </c>
      <c r="V1087" t="s">
        <v>163</v>
      </c>
    </row>
    <row r="1088" spans="9:22" x14ac:dyDescent="0.45">
      <c r="I1088" t="s">
        <v>199</v>
      </c>
      <c r="J1088" t="s">
        <v>312</v>
      </c>
      <c r="K1088">
        <v>3.456462127087833E-2</v>
      </c>
      <c r="L1088" t="s">
        <v>163</v>
      </c>
      <c r="N1088" t="s">
        <v>230</v>
      </c>
      <c r="O1088" t="s">
        <v>312</v>
      </c>
      <c r="P1088">
        <v>1.1829800206807493E-2</v>
      </c>
      <c r="Q1088" t="s">
        <v>163</v>
      </c>
      <c r="S1088" t="s">
        <v>261</v>
      </c>
      <c r="T1088" t="s">
        <v>312</v>
      </c>
      <c r="U1088">
        <v>1.0522315855591389E-2</v>
      </c>
      <c r="V1088" t="s">
        <v>163</v>
      </c>
    </row>
    <row r="1089" spans="9:22" x14ac:dyDescent="0.45">
      <c r="I1089" t="s">
        <v>199</v>
      </c>
      <c r="J1089" t="s">
        <v>313</v>
      </c>
      <c r="K1089">
        <v>1.8042446382217695E-3</v>
      </c>
      <c r="L1089" t="s">
        <v>163</v>
      </c>
      <c r="N1089" t="s">
        <v>230</v>
      </c>
      <c r="O1089" t="s">
        <v>313</v>
      </c>
      <c r="P1089">
        <v>2.3735356225964587E-3</v>
      </c>
      <c r="Q1089" t="s">
        <v>163</v>
      </c>
      <c r="S1089" t="s">
        <v>261</v>
      </c>
      <c r="T1089" t="s">
        <v>313</v>
      </c>
      <c r="U1089">
        <v>2.3629963317899723E-3</v>
      </c>
      <c r="V1089" t="s">
        <v>163</v>
      </c>
    </row>
    <row r="1090" spans="9:22" x14ac:dyDescent="0.45">
      <c r="I1090" t="s">
        <v>199</v>
      </c>
      <c r="J1090" t="s">
        <v>314</v>
      </c>
      <c r="K1090">
        <v>0</v>
      </c>
      <c r="L1090" t="s">
        <v>163</v>
      </c>
      <c r="N1090" t="s">
        <v>230</v>
      </c>
      <c r="O1090" t="s">
        <v>314</v>
      </c>
      <c r="P1090">
        <v>1.1466647112471855E-2</v>
      </c>
      <c r="Q1090" t="s">
        <v>163</v>
      </c>
      <c r="S1090" t="s">
        <v>261</v>
      </c>
      <c r="T1090" t="s">
        <v>314</v>
      </c>
      <c r="U1090">
        <v>8.7463298752982633E-3</v>
      </c>
      <c r="V1090" t="s">
        <v>163</v>
      </c>
    </row>
    <row r="1091" spans="9:22" x14ac:dyDescent="0.45">
      <c r="I1091" t="s">
        <v>199</v>
      </c>
      <c r="J1091" t="s">
        <v>315</v>
      </c>
      <c r="K1091">
        <v>3.7377027001957641E-3</v>
      </c>
      <c r="L1091" t="s">
        <v>163</v>
      </c>
      <c r="N1091" t="s">
        <v>230</v>
      </c>
      <c r="O1091" t="s">
        <v>315</v>
      </c>
      <c r="P1091">
        <v>6.3369799055561352E-2</v>
      </c>
      <c r="Q1091" t="s">
        <v>163</v>
      </c>
      <c r="S1091" t="s">
        <v>261</v>
      </c>
      <c r="T1091" t="s">
        <v>315</v>
      </c>
      <c r="U1091">
        <v>5.6315142986813921E-2</v>
      </c>
      <c r="V1091" t="s">
        <v>163</v>
      </c>
    </row>
    <row r="1092" spans="9:22" x14ac:dyDescent="0.45">
      <c r="I1092" t="s">
        <v>199</v>
      </c>
      <c r="J1092" t="s">
        <v>316</v>
      </c>
      <c r="K1092">
        <v>2.2658195212967934E-2</v>
      </c>
      <c r="L1092" t="s">
        <v>163</v>
      </c>
      <c r="N1092" t="s">
        <v>230</v>
      </c>
      <c r="O1092" t="s">
        <v>316</v>
      </c>
      <c r="P1092">
        <v>1.3745962384170023E-2</v>
      </c>
      <c r="Q1092" t="s">
        <v>163</v>
      </c>
      <c r="S1092" t="s">
        <v>261</v>
      </c>
      <c r="T1092" t="s">
        <v>316</v>
      </c>
      <c r="U1092">
        <v>1.3669033924150153E-2</v>
      </c>
      <c r="V1092" t="s">
        <v>163</v>
      </c>
    </row>
    <row r="1093" spans="9:22" x14ac:dyDescent="0.45">
      <c r="I1093" t="s">
        <v>199</v>
      </c>
      <c r="J1093" t="s">
        <v>317</v>
      </c>
      <c r="K1093">
        <v>4.3567622194964531E-2</v>
      </c>
      <c r="L1093" t="s">
        <v>163</v>
      </c>
      <c r="N1093" t="s">
        <v>230</v>
      </c>
      <c r="O1093" t="s">
        <v>317</v>
      </c>
      <c r="P1093">
        <v>2.1690904916371358E-2</v>
      </c>
      <c r="Q1093" t="s">
        <v>163</v>
      </c>
      <c r="S1093" t="s">
        <v>261</v>
      </c>
      <c r="T1093" t="s">
        <v>317</v>
      </c>
      <c r="U1093">
        <v>2.2748668965067043E-2</v>
      </c>
      <c r="V1093" t="s">
        <v>163</v>
      </c>
    </row>
    <row r="1094" spans="9:22" x14ac:dyDescent="0.45">
      <c r="I1094" t="s">
        <v>199</v>
      </c>
      <c r="J1094" t="s">
        <v>318</v>
      </c>
      <c r="K1094">
        <v>5.4683994736985035E-2</v>
      </c>
      <c r="L1094" t="s">
        <v>163</v>
      </c>
      <c r="N1094" t="s">
        <v>230</v>
      </c>
      <c r="O1094" t="s">
        <v>318</v>
      </c>
      <c r="P1094">
        <v>3.9668839043194508E-2</v>
      </c>
      <c r="Q1094" t="s">
        <v>163</v>
      </c>
      <c r="S1094" t="s">
        <v>261</v>
      </c>
      <c r="T1094" t="s">
        <v>318</v>
      </c>
      <c r="U1094">
        <v>4.0406476866040542E-2</v>
      </c>
      <c r="V1094" t="s">
        <v>163</v>
      </c>
    </row>
    <row r="1095" spans="9:22" x14ac:dyDescent="0.45">
      <c r="I1095" t="s">
        <v>199</v>
      </c>
      <c r="J1095" t="s">
        <v>319</v>
      </c>
      <c r="K1095">
        <v>0</v>
      </c>
      <c r="L1095" t="s">
        <v>163</v>
      </c>
      <c r="N1095" t="s">
        <v>230</v>
      </c>
      <c r="O1095" t="s">
        <v>319</v>
      </c>
      <c r="P1095">
        <v>7.9966890831551386E-3</v>
      </c>
      <c r="Q1095" t="s">
        <v>163</v>
      </c>
      <c r="S1095" t="s">
        <v>261</v>
      </c>
      <c r="T1095" t="s">
        <v>319</v>
      </c>
      <c r="U1095">
        <v>7.7299528785227277E-3</v>
      </c>
      <c r="V1095" t="s">
        <v>163</v>
      </c>
    </row>
    <row r="1096" spans="9:22" x14ac:dyDescent="0.45">
      <c r="I1096" t="s">
        <v>199</v>
      </c>
      <c r="J1096" t="s">
        <v>320</v>
      </c>
      <c r="K1096">
        <v>0</v>
      </c>
      <c r="L1096" t="s">
        <v>163</v>
      </c>
      <c r="N1096" t="s">
        <v>230</v>
      </c>
      <c r="O1096" t="s">
        <v>320</v>
      </c>
      <c r="P1096">
        <v>3.8292374937775889E-2</v>
      </c>
      <c r="Q1096" t="s">
        <v>163</v>
      </c>
      <c r="S1096" t="s">
        <v>261</v>
      </c>
      <c r="T1096" t="s">
        <v>320</v>
      </c>
      <c r="U1096">
        <v>3.6920162123801281E-2</v>
      </c>
      <c r="V1096" t="s">
        <v>163</v>
      </c>
    </row>
    <row r="1097" spans="9:22" x14ac:dyDescent="0.45">
      <c r="I1097" t="s">
        <v>199</v>
      </c>
      <c r="J1097" t="s">
        <v>321</v>
      </c>
      <c r="K1097">
        <v>0</v>
      </c>
      <c r="L1097" t="s">
        <v>163</v>
      </c>
      <c r="N1097" t="s">
        <v>230</v>
      </c>
      <c r="O1097" t="s">
        <v>321</v>
      </c>
      <c r="P1097">
        <v>3.8306429764208547E-2</v>
      </c>
      <c r="Q1097" t="s">
        <v>163</v>
      </c>
      <c r="S1097" t="s">
        <v>261</v>
      </c>
      <c r="T1097" t="s">
        <v>321</v>
      </c>
      <c r="U1097">
        <v>3.9380668704983024E-2</v>
      </c>
      <c r="V1097" t="s">
        <v>163</v>
      </c>
    </row>
    <row r="1098" spans="9:22" x14ac:dyDescent="0.45">
      <c r="I1098" t="s">
        <v>199</v>
      </c>
      <c r="J1098" t="s">
        <v>322</v>
      </c>
      <c r="K1098">
        <v>1.1493465534552843E-2</v>
      </c>
      <c r="L1098" t="s">
        <v>163</v>
      </c>
      <c r="N1098" t="s">
        <v>230</v>
      </c>
      <c r="O1098" t="s">
        <v>322</v>
      </c>
      <c r="P1098">
        <v>8.6950531849508145E-3</v>
      </c>
      <c r="Q1098" t="s">
        <v>163</v>
      </c>
      <c r="S1098" t="s">
        <v>261</v>
      </c>
      <c r="T1098" t="s">
        <v>322</v>
      </c>
      <c r="U1098">
        <v>9.1117517107832599E-3</v>
      </c>
      <c r="V1098" t="s">
        <v>163</v>
      </c>
    </row>
    <row r="1099" spans="9:22" x14ac:dyDescent="0.45">
      <c r="I1099" t="s">
        <v>199</v>
      </c>
      <c r="J1099" t="s">
        <v>323</v>
      </c>
      <c r="K1099">
        <v>2.4334487922075931E-2</v>
      </c>
      <c r="L1099" t="s">
        <v>163</v>
      </c>
      <c r="N1099" t="s">
        <v>230</v>
      </c>
      <c r="O1099" t="s">
        <v>323</v>
      </c>
      <c r="P1099">
        <v>1.3573831096411202E-2</v>
      </c>
      <c r="Q1099" t="s">
        <v>163</v>
      </c>
      <c r="S1099" t="s">
        <v>261</v>
      </c>
      <c r="T1099" t="s">
        <v>323</v>
      </c>
      <c r="U1099">
        <v>1.5349979274000742E-2</v>
      </c>
      <c r="V1099" t="s">
        <v>163</v>
      </c>
    </row>
    <row r="1100" spans="9:22" x14ac:dyDescent="0.45">
      <c r="I1100" t="s">
        <v>199</v>
      </c>
      <c r="J1100" t="s">
        <v>324</v>
      </c>
      <c r="K1100">
        <v>2.7966995498990524E-2</v>
      </c>
      <c r="L1100" t="s">
        <v>163</v>
      </c>
      <c r="N1100" t="s">
        <v>230</v>
      </c>
      <c r="O1100" t="s">
        <v>324</v>
      </c>
      <c r="P1100">
        <v>2.3836727245011236E-2</v>
      </c>
      <c r="Q1100" t="s">
        <v>163</v>
      </c>
      <c r="S1100" t="s">
        <v>261</v>
      </c>
      <c r="T1100" t="s">
        <v>324</v>
      </c>
      <c r="U1100">
        <v>2.8997080824927142E-2</v>
      </c>
      <c r="V1100" t="s">
        <v>163</v>
      </c>
    </row>
    <row r="1101" spans="9:22" x14ac:dyDescent="0.45">
      <c r="I1101" t="s">
        <v>199</v>
      </c>
      <c r="J1101" t="s">
        <v>325</v>
      </c>
      <c r="K1101">
        <v>0</v>
      </c>
      <c r="L1101" t="s">
        <v>163</v>
      </c>
      <c r="N1101" t="s">
        <v>230</v>
      </c>
      <c r="O1101" t="s">
        <v>325</v>
      </c>
      <c r="P1101">
        <v>4.7916500221948759E-3</v>
      </c>
      <c r="Q1101" t="s">
        <v>163</v>
      </c>
      <c r="S1101" t="s">
        <v>261</v>
      </c>
      <c r="T1101" t="s">
        <v>325</v>
      </c>
      <c r="U1101">
        <v>5.9116595024563444E-3</v>
      </c>
      <c r="V1101" t="s">
        <v>163</v>
      </c>
    </row>
    <row r="1102" spans="9:22" x14ac:dyDescent="0.45">
      <c r="I1102" t="s">
        <v>199</v>
      </c>
      <c r="J1102" t="s">
        <v>326</v>
      </c>
      <c r="K1102">
        <v>0</v>
      </c>
      <c r="L1102" t="s">
        <v>163</v>
      </c>
      <c r="N1102" t="s">
        <v>230</v>
      </c>
      <c r="O1102" t="s">
        <v>326</v>
      </c>
      <c r="P1102">
        <v>2.3098285241390164E-2</v>
      </c>
      <c r="Q1102" t="s">
        <v>163</v>
      </c>
      <c r="S1102" t="s">
        <v>261</v>
      </c>
      <c r="T1102" t="s">
        <v>326</v>
      </c>
      <c r="U1102">
        <v>2.803495860337368E-2</v>
      </c>
      <c r="V1102" t="s">
        <v>163</v>
      </c>
    </row>
    <row r="1103" spans="9:22" x14ac:dyDescent="0.45">
      <c r="I1103" t="s">
        <v>200</v>
      </c>
      <c r="J1103" t="s">
        <v>162</v>
      </c>
      <c r="K1103">
        <v>1.5351074592055513E-2</v>
      </c>
      <c r="L1103" t="s">
        <v>163</v>
      </c>
      <c r="N1103" t="s">
        <v>231</v>
      </c>
      <c r="O1103" t="s">
        <v>162</v>
      </c>
      <c r="P1103">
        <v>0.15208514212624211</v>
      </c>
      <c r="Q1103" t="s">
        <v>163</v>
      </c>
      <c r="S1103" t="s">
        <v>262</v>
      </c>
      <c r="T1103" t="s">
        <v>162</v>
      </c>
      <c r="U1103">
        <v>0.1541258095965064</v>
      </c>
      <c r="V1103" t="s">
        <v>163</v>
      </c>
    </row>
    <row r="1104" spans="9:22" x14ac:dyDescent="0.45">
      <c r="I1104" t="s">
        <v>200</v>
      </c>
      <c r="J1104" t="s">
        <v>164</v>
      </c>
      <c r="K1104">
        <v>6.3933725445929304E-2</v>
      </c>
      <c r="L1104" t="s">
        <v>163</v>
      </c>
      <c r="N1104" t="s">
        <v>231</v>
      </c>
      <c r="O1104" t="s">
        <v>164</v>
      </c>
      <c r="P1104">
        <v>3.5813660037138789E-2</v>
      </c>
      <c r="Q1104" t="s">
        <v>163</v>
      </c>
      <c r="S1104" t="s">
        <v>262</v>
      </c>
      <c r="T1104" t="s">
        <v>164</v>
      </c>
      <c r="U1104">
        <v>3.5279238667524887E-2</v>
      </c>
      <c r="V1104" t="s">
        <v>163</v>
      </c>
    </row>
    <row r="1105" spans="9:22" x14ac:dyDescent="0.45">
      <c r="I1105" t="s">
        <v>200</v>
      </c>
      <c r="J1105" t="s">
        <v>165</v>
      </c>
      <c r="K1105">
        <v>0.12163824112197485</v>
      </c>
      <c r="L1105" t="s">
        <v>163</v>
      </c>
      <c r="N1105" t="s">
        <v>231</v>
      </c>
      <c r="O1105" t="s">
        <v>165</v>
      </c>
      <c r="P1105">
        <v>6.2120446227521116E-2</v>
      </c>
      <c r="Q1105" t="s">
        <v>163</v>
      </c>
      <c r="S1105" t="s">
        <v>262</v>
      </c>
      <c r="T1105" t="s">
        <v>165</v>
      </c>
      <c r="U1105">
        <v>5.3308294133304117E-2</v>
      </c>
      <c r="V1105" t="s">
        <v>163</v>
      </c>
    </row>
    <row r="1106" spans="9:22" x14ac:dyDescent="0.45">
      <c r="I1106" t="s">
        <v>200</v>
      </c>
      <c r="J1106" t="s">
        <v>297</v>
      </c>
      <c r="K1106">
        <v>0.15999239304351739</v>
      </c>
      <c r="L1106" t="s">
        <v>163</v>
      </c>
      <c r="N1106" t="s">
        <v>231</v>
      </c>
      <c r="O1106" t="s">
        <v>297</v>
      </c>
      <c r="P1106">
        <v>0.10901502052460145</v>
      </c>
      <c r="Q1106" t="s">
        <v>163</v>
      </c>
      <c r="S1106" t="s">
        <v>262</v>
      </c>
      <c r="T1106" t="s">
        <v>297</v>
      </c>
      <c r="U1106">
        <v>9.2897731356071697E-2</v>
      </c>
      <c r="V1106" t="s">
        <v>163</v>
      </c>
    </row>
    <row r="1107" spans="9:22" x14ac:dyDescent="0.45">
      <c r="I1107" t="s">
        <v>200</v>
      </c>
      <c r="J1107" t="s">
        <v>298</v>
      </c>
      <c r="K1107">
        <v>5.1252990251146099E-3</v>
      </c>
      <c r="L1107" t="s">
        <v>163</v>
      </c>
      <c r="N1107" t="s">
        <v>231</v>
      </c>
      <c r="O1107" t="s">
        <v>298</v>
      </c>
      <c r="P1107">
        <v>2.0296093557915489E-2</v>
      </c>
      <c r="Q1107" t="s">
        <v>163</v>
      </c>
      <c r="S1107" t="s">
        <v>262</v>
      </c>
      <c r="T1107" t="s">
        <v>298</v>
      </c>
      <c r="U1107">
        <v>1.8006093758888862E-2</v>
      </c>
      <c r="V1107" t="s">
        <v>163</v>
      </c>
    </row>
    <row r="1108" spans="9:22" x14ac:dyDescent="0.45">
      <c r="I1108" t="s">
        <v>200</v>
      </c>
      <c r="J1108" t="s">
        <v>299</v>
      </c>
      <c r="K1108">
        <v>0</v>
      </c>
      <c r="L1108" t="s">
        <v>163</v>
      </c>
      <c r="N1108" t="s">
        <v>231</v>
      </c>
      <c r="O1108" t="s">
        <v>299</v>
      </c>
      <c r="P1108">
        <v>9.15979412979923E-2</v>
      </c>
      <c r="Q1108" t="s">
        <v>163</v>
      </c>
      <c r="S1108" t="s">
        <v>262</v>
      </c>
      <c r="T1108" t="s">
        <v>299</v>
      </c>
      <c r="U1108">
        <v>8.8805287105861608E-2</v>
      </c>
      <c r="V1108" t="s">
        <v>163</v>
      </c>
    </row>
    <row r="1109" spans="9:22" x14ac:dyDescent="0.45">
      <c r="I1109" t="s">
        <v>200</v>
      </c>
      <c r="J1109" t="s">
        <v>166</v>
      </c>
      <c r="K1109">
        <v>8.305490031188691E-3</v>
      </c>
      <c r="L1109" t="s">
        <v>163</v>
      </c>
      <c r="N1109" t="s">
        <v>231</v>
      </c>
      <c r="O1109" t="s">
        <v>166</v>
      </c>
      <c r="P1109">
        <v>2.3615865423235953E-2</v>
      </c>
      <c r="Q1109" t="s">
        <v>163</v>
      </c>
      <c r="S1109" t="s">
        <v>262</v>
      </c>
      <c r="T1109" t="s">
        <v>166</v>
      </c>
      <c r="U1109">
        <v>2.3839187827943208E-2</v>
      </c>
      <c r="V1109" t="s">
        <v>163</v>
      </c>
    </row>
    <row r="1110" spans="9:22" x14ac:dyDescent="0.45">
      <c r="I1110" t="s">
        <v>200</v>
      </c>
      <c r="J1110" t="s">
        <v>167</v>
      </c>
      <c r="K1110">
        <v>1.6650835522369744E-2</v>
      </c>
      <c r="L1110" t="s">
        <v>163</v>
      </c>
      <c r="N1110" t="s">
        <v>231</v>
      </c>
      <c r="O1110" t="s">
        <v>167</v>
      </c>
      <c r="P1110">
        <v>5.5114301436175349E-3</v>
      </c>
      <c r="Q1110" t="s">
        <v>163</v>
      </c>
      <c r="S1110" t="s">
        <v>262</v>
      </c>
      <c r="T1110" t="s">
        <v>167</v>
      </c>
      <c r="U1110">
        <v>5.4997027489284717E-3</v>
      </c>
      <c r="V1110" t="s">
        <v>163</v>
      </c>
    </row>
    <row r="1111" spans="9:22" x14ac:dyDescent="0.45">
      <c r="I1111" t="s">
        <v>200</v>
      </c>
      <c r="J1111" t="s">
        <v>168</v>
      </c>
      <c r="K1111">
        <v>3.3133594961136277E-2</v>
      </c>
      <c r="L1111" t="s">
        <v>163</v>
      </c>
      <c r="N1111" t="s">
        <v>231</v>
      </c>
      <c r="O1111" t="s">
        <v>168</v>
      </c>
      <c r="P1111">
        <v>9.686268980202634E-3</v>
      </c>
      <c r="Q1111" t="s">
        <v>163</v>
      </c>
      <c r="S1111" t="s">
        <v>262</v>
      </c>
      <c r="T1111" t="s">
        <v>168</v>
      </c>
      <c r="U1111">
        <v>9.7975245177328116E-3</v>
      </c>
      <c r="V1111" t="s">
        <v>163</v>
      </c>
    </row>
    <row r="1112" spans="9:22" x14ac:dyDescent="0.45">
      <c r="I1112" t="s">
        <v>200</v>
      </c>
      <c r="J1112" t="s">
        <v>300</v>
      </c>
      <c r="K1112">
        <v>4.4979935447689447E-2</v>
      </c>
      <c r="L1112" t="s">
        <v>163</v>
      </c>
      <c r="N1112" t="s">
        <v>231</v>
      </c>
      <c r="O1112" t="s">
        <v>300</v>
      </c>
      <c r="P1112">
        <v>1.6423207942414499E-2</v>
      </c>
      <c r="Q1112" t="s">
        <v>163</v>
      </c>
      <c r="S1112" t="s">
        <v>262</v>
      </c>
      <c r="T1112" t="s">
        <v>300</v>
      </c>
      <c r="U1112">
        <v>1.7612817247520396E-2</v>
      </c>
      <c r="V1112" t="s">
        <v>163</v>
      </c>
    </row>
    <row r="1113" spans="9:22" x14ac:dyDescent="0.45">
      <c r="I1113" t="s">
        <v>200</v>
      </c>
      <c r="J1113" t="s">
        <v>301</v>
      </c>
      <c r="K1113">
        <v>3.8103709701105253E-3</v>
      </c>
      <c r="L1113" t="s">
        <v>163</v>
      </c>
      <c r="N1113" t="s">
        <v>231</v>
      </c>
      <c r="O1113" t="s">
        <v>301</v>
      </c>
      <c r="P1113">
        <v>2.9308694653127892E-3</v>
      </c>
      <c r="Q1113" t="s">
        <v>163</v>
      </c>
      <c r="S1113" t="s">
        <v>262</v>
      </c>
      <c r="T1113" t="s">
        <v>301</v>
      </c>
      <c r="U1113">
        <v>3.2786279114751559E-3</v>
      </c>
      <c r="V1113" t="s">
        <v>163</v>
      </c>
    </row>
    <row r="1114" spans="9:22" x14ac:dyDescent="0.45">
      <c r="I1114" t="s">
        <v>200</v>
      </c>
      <c r="J1114" t="s">
        <v>302</v>
      </c>
      <c r="K1114">
        <v>9.4619839134946562E-4</v>
      </c>
      <c r="L1114" t="s">
        <v>163</v>
      </c>
      <c r="N1114" t="s">
        <v>231</v>
      </c>
      <c r="O1114" t="s">
        <v>302</v>
      </c>
      <c r="P1114">
        <v>1.3563610159193091E-2</v>
      </c>
      <c r="Q1114" t="s">
        <v>163</v>
      </c>
      <c r="S1114" t="s">
        <v>262</v>
      </c>
      <c r="T1114" t="s">
        <v>302</v>
      </c>
      <c r="U1114">
        <v>1.3206224739155984E-2</v>
      </c>
      <c r="V1114" t="s">
        <v>163</v>
      </c>
    </row>
    <row r="1115" spans="9:22" x14ac:dyDescent="0.45">
      <c r="I1115" t="s">
        <v>200</v>
      </c>
      <c r="J1115" t="s">
        <v>169</v>
      </c>
      <c r="K1115">
        <v>9.0143889650118117E-3</v>
      </c>
      <c r="L1115" t="s">
        <v>163</v>
      </c>
      <c r="N1115" t="s">
        <v>231</v>
      </c>
      <c r="O1115" t="s">
        <v>169</v>
      </c>
      <c r="P1115">
        <v>7.2957929872422694E-3</v>
      </c>
      <c r="Q1115" t="s">
        <v>163</v>
      </c>
      <c r="S1115" t="s">
        <v>262</v>
      </c>
      <c r="T1115" t="s">
        <v>169</v>
      </c>
      <c r="U1115">
        <v>5.8395829724769222E-3</v>
      </c>
      <c r="V1115" t="s">
        <v>163</v>
      </c>
    </row>
    <row r="1116" spans="9:22" x14ac:dyDescent="0.45">
      <c r="I1116" t="s">
        <v>200</v>
      </c>
      <c r="J1116" t="s">
        <v>170</v>
      </c>
      <c r="K1116">
        <v>1.648505622694867E-2</v>
      </c>
      <c r="L1116" t="s">
        <v>163</v>
      </c>
      <c r="N1116" t="s">
        <v>231</v>
      </c>
      <c r="O1116" t="s">
        <v>170</v>
      </c>
      <c r="P1116">
        <v>1.5491049028147372E-3</v>
      </c>
      <c r="Q1116" t="s">
        <v>163</v>
      </c>
      <c r="S1116" t="s">
        <v>262</v>
      </c>
      <c r="T1116" t="s">
        <v>170</v>
      </c>
      <c r="U1116">
        <v>1.0797999001195616E-3</v>
      </c>
      <c r="V1116" t="s">
        <v>163</v>
      </c>
    </row>
    <row r="1117" spans="9:22" x14ac:dyDescent="0.45">
      <c r="I1117" t="s">
        <v>200</v>
      </c>
      <c r="J1117" t="s">
        <v>171</v>
      </c>
      <c r="K1117">
        <v>3.1276747383879366E-2</v>
      </c>
      <c r="L1117" t="s">
        <v>163</v>
      </c>
      <c r="N1117" t="s">
        <v>231</v>
      </c>
      <c r="O1117" t="s">
        <v>171</v>
      </c>
      <c r="P1117">
        <v>2.9321721877167972E-3</v>
      </c>
      <c r="Q1117" t="s">
        <v>163</v>
      </c>
      <c r="S1117" t="s">
        <v>262</v>
      </c>
      <c r="T1117" t="s">
        <v>171</v>
      </c>
      <c r="U1117">
        <v>1.529535288154751E-3</v>
      </c>
      <c r="V1117" t="s">
        <v>163</v>
      </c>
    </row>
    <row r="1118" spans="9:22" x14ac:dyDescent="0.45">
      <c r="I1118" t="s">
        <v>200</v>
      </c>
      <c r="J1118" t="s">
        <v>303</v>
      </c>
      <c r="K1118">
        <v>4.3202682670918396E-2</v>
      </c>
      <c r="L1118" t="s">
        <v>163</v>
      </c>
      <c r="N1118" t="s">
        <v>231</v>
      </c>
      <c r="O1118" t="s">
        <v>303</v>
      </c>
      <c r="P1118">
        <v>7.0892757768472505E-3</v>
      </c>
      <c r="Q1118" t="s">
        <v>163</v>
      </c>
      <c r="S1118" t="s">
        <v>262</v>
      </c>
      <c r="T1118" t="s">
        <v>303</v>
      </c>
      <c r="U1118">
        <v>3.5691357504025242E-3</v>
      </c>
      <c r="V1118" t="s">
        <v>163</v>
      </c>
    </row>
    <row r="1119" spans="9:22" x14ac:dyDescent="0.45">
      <c r="I1119" t="s">
        <v>200</v>
      </c>
      <c r="J1119" t="s">
        <v>304</v>
      </c>
      <c r="K1119">
        <v>3.8111836044630227E-3</v>
      </c>
      <c r="L1119" t="s">
        <v>163</v>
      </c>
      <c r="N1119" t="s">
        <v>231</v>
      </c>
      <c r="O1119" t="s">
        <v>304</v>
      </c>
      <c r="P1119">
        <v>1.3253991384327053E-3</v>
      </c>
      <c r="Q1119" t="s">
        <v>163</v>
      </c>
      <c r="S1119" t="s">
        <v>262</v>
      </c>
      <c r="T1119" t="s">
        <v>304</v>
      </c>
      <c r="U1119">
        <v>8.6318582866041235E-4</v>
      </c>
      <c r="V1119" t="s">
        <v>163</v>
      </c>
    </row>
    <row r="1120" spans="9:22" x14ac:dyDescent="0.45">
      <c r="I1120" t="s">
        <v>200</v>
      </c>
      <c r="J1120" t="s">
        <v>305</v>
      </c>
      <c r="K1120">
        <v>1.5915625144600034E-3</v>
      </c>
      <c r="L1120" t="s">
        <v>163</v>
      </c>
      <c r="N1120" t="s">
        <v>231</v>
      </c>
      <c r="O1120" t="s">
        <v>305</v>
      </c>
      <c r="P1120">
        <v>5.5980550388833499E-3</v>
      </c>
      <c r="Q1120" t="s">
        <v>163</v>
      </c>
      <c r="S1120" t="s">
        <v>262</v>
      </c>
      <c r="T1120" t="s">
        <v>305</v>
      </c>
      <c r="U1120">
        <v>3.5960560188742314E-3</v>
      </c>
      <c r="V1120" t="s">
        <v>163</v>
      </c>
    </row>
    <row r="1121" spans="9:22" x14ac:dyDescent="0.45">
      <c r="I1121" t="s">
        <v>200</v>
      </c>
      <c r="J1121" t="s">
        <v>172</v>
      </c>
      <c r="K1121">
        <v>9.5876916006825824E-3</v>
      </c>
      <c r="L1121" t="s">
        <v>163</v>
      </c>
      <c r="N1121" t="s">
        <v>231</v>
      </c>
      <c r="O1121" t="s">
        <v>172</v>
      </c>
      <c r="P1121">
        <v>2.9951358535595107E-2</v>
      </c>
      <c r="Q1121" t="s">
        <v>163</v>
      </c>
      <c r="S1121" t="s">
        <v>262</v>
      </c>
      <c r="T1121" t="s">
        <v>172</v>
      </c>
      <c r="U1121">
        <v>4.395903226281872E-2</v>
      </c>
      <c r="V1121" t="s">
        <v>163</v>
      </c>
    </row>
    <row r="1122" spans="9:22" x14ac:dyDescent="0.45">
      <c r="I1122" t="s">
        <v>200</v>
      </c>
      <c r="J1122" t="s">
        <v>173</v>
      </c>
      <c r="K1122">
        <v>2.4144266843488724E-2</v>
      </c>
      <c r="L1122" t="s">
        <v>163</v>
      </c>
      <c r="N1122" t="s">
        <v>231</v>
      </c>
      <c r="O1122" t="s">
        <v>173</v>
      </c>
      <c r="P1122">
        <v>6.4219684902000343E-3</v>
      </c>
      <c r="Q1122" t="s">
        <v>163</v>
      </c>
      <c r="S1122" t="s">
        <v>262</v>
      </c>
      <c r="T1122" t="s">
        <v>173</v>
      </c>
      <c r="U1122">
        <v>1.0281841931105857E-2</v>
      </c>
      <c r="V1122" t="s">
        <v>163</v>
      </c>
    </row>
    <row r="1123" spans="9:22" x14ac:dyDescent="0.45">
      <c r="I1123" t="s">
        <v>200</v>
      </c>
      <c r="J1123" t="s">
        <v>174</v>
      </c>
      <c r="K1123">
        <v>5.1831345821879898E-2</v>
      </c>
      <c r="L1123" t="s">
        <v>163</v>
      </c>
      <c r="N1123" t="s">
        <v>231</v>
      </c>
      <c r="O1123" t="s">
        <v>174</v>
      </c>
      <c r="P1123">
        <v>1.1672066401847519E-2</v>
      </c>
      <c r="Q1123" t="s">
        <v>163</v>
      </c>
      <c r="S1123" t="s">
        <v>262</v>
      </c>
      <c r="T1123" t="s">
        <v>174</v>
      </c>
      <c r="U1123">
        <v>1.7395894172568482E-2</v>
      </c>
      <c r="V1123" t="s">
        <v>163</v>
      </c>
    </row>
    <row r="1124" spans="9:22" x14ac:dyDescent="0.45">
      <c r="I1124" t="s">
        <v>200</v>
      </c>
      <c r="J1124" t="s">
        <v>306</v>
      </c>
      <c r="K1124">
        <v>6.8702493201625275E-2</v>
      </c>
      <c r="L1124" t="s">
        <v>163</v>
      </c>
      <c r="N1124" t="s">
        <v>231</v>
      </c>
      <c r="O1124" t="s">
        <v>306</v>
      </c>
      <c r="P1124">
        <v>2.0650924281255211E-2</v>
      </c>
      <c r="Q1124" t="s">
        <v>163</v>
      </c>
      <c r="S1124" t="s">
        <v>262</v>
      </c>
      <c r="T1124" t="s">
        <v>306</v>
      </c>
      <c r="U1124">
        <v>2.9754501468855367E-2</v>
      </c>
      <c r="V1124" t="s">
        <v>163</v>
      </c>
    </row>
    <row r="1125" spans="9:22" x14ac:dyDescent="0.45">
      <c r="I1125" t="s">
        <v>200</v>
      </c>
      <c r="J1125" t="s">
        <v>307</v>
      </c>
      <c r="K1125">
        <v>4.8753211870522957E-3</v>
      </c>
      <c r="L1125" t="s">
        <v>163</v>
      </c>
      <c r="N1125" t="s">
        <v>231</v>
      </c>
      <c r="O1125" t="s">
        <v>307</v>
      </c>
      <c r="P1125">
        <v>3.9035389374416155E-3</v>
      </c>
      <c r="Q1125" t="s">
        <v>163</v>
      </c>
      <c r="S1125" t="s">
        <v>262</v>
      </c>
      <c r="T1125" t="s">
        <v>307</v>
      </c>
      <c r="U1125">
        <v>5.4759290217977026E-3</v>
      </c>
      <c r="V1125" t="s">
        <v>163</v>
      </c>
    </row>
    <row r="1126" spans="9:22" x14ac:dyDescent="0.45">
      <c r="I1126" t="s">
        <v>200</v>
      </c>
      <c r="J1126" t="s">
        <v>308</v>
      </c>
      <c r="K1126">
        <v>9.2761565315630163E-4</v>
      </c>
      <c r="L1126" t="s">
        <v>163</v>
      </c>
      <c r="N1126" t="s">
        <v>231</v>
      </c>
      <c r="O1126" t="s">
        <v>308</v>
      </c>
      <c r="P1126">
        <v>1.7309258868739272E-2</v>
      </c>
      <c r="Q1126" t="s">
        <v>163</v>
      </c>
      <c r="S1126" t="s">
        <v>262</v>
      </c>
      <c r="T1126" t="s">
        <v>308</v>
      </c>
      <c r="U1126">
        <v>2.3446731426146023E-2</v>
      </c>
      <c r="V1126" t="s">
        <v>163</v>
      </c>
    </row>
    <row r="1127" spans="9:22" x14ac:dyDescent="0.45">
      <c r="I1127" t="s">
        <v>200</v>
      </c>
      <c r="J1127" t="s">
        <v>309</v>
      </c>
      <c r="K1127">
        <v>5.1588538946633362E-3</v>
      </c>
      <c r="L1127" t="s">
        <v>163</v>
      </c>
      <c r="N1127" t="s">
        <v>231</v>
      </c>
      <c r="O1127" t="s">
        <v>309</v>
      </c>
      <c r="P1127">
        <v>1.5794813484231535E-2</v>
      </c>
      <c r="Q1127" t="s">
        <v>163</v>
      </c>
      <c r="S1127" t="s">
        <v>262</v>
      </c>
      <c r="T1127" t="s">
        <v>309</v>
      </c>
      <c r="U1127">
        <v>1.2573371297133883E-2</v>
      </c>
      <c r="V1127" t="s">
        <v>163</v>
      </c>
    </row>
    <row r="1128" spans="9:22" x14ac:dyDescent="0.45">
      <c r="I1128" t="s">
        <v>200</v>
      </c>
      <c r="J1128" t="s">
        <v>310</v>
      </c>
      <c r="K1128">
        <v>1.4084236337233184E-2</v>
      </c>
      <c r="L1128" t="s">
        <v>163</v>
      </c>
      <c r="N1128" t="s">
        <v>231</v>
      </c>
      <c r="O1128" t="s">
        <v>310</v>
      </c>
      <c r="P1128">
        <v>3.3880691602029655E-3</v>
      </c>
      <c r="Q1128" t="s">
        <v>163</v>
      </c>
      <c r="S1128" t="s">
        <v>262</v>
      </c>
      <c r="T1128" t="s">
        <v>310</v>
      </c>
      <c r="U1128">
        <v>2.9385530791182263E-3</v>
      </c>
      <c r="V1128" t="s">
        <v>163</v>
      </c>
    </row>
    <row r="1129" spans="9:22" x14ac:dyDescent="0.45">
      <c r="I1129" t="s">
        <v>200</v>
      </c>
      <c r="J1129" t="s">
        <v>311</v>
      </c>
      <c r="K1129">
        <v>2.6174915070008062E-2</v>
      </c>
      <c r="L1129" t="s">
        <v>163</v>
      </c>
      <c r="N1129" t="s">
        <v>231</v>
      </c>
      <c r="O1129" t="s">
        <v>311</v>
      </c>
      <c r="P1129">
        <v>6.30533835745542E-3</v>
      </c>
      <c r="Q1129" t="s">
        <v>163</v>
      </c>
      <c r="S1129" t="s">
        <v>262</v>
      </c>
      <c r="T1129" t="s">
        <v>311</v>
      </c>
      <c r="U1129">
        <v>4.5883380695479698E-3</v>
      </c>
      <c r="V1129" t="s">
        <v>163</v>
      </c>
    </row>
    <row r="1130" spans="9:22" x14ac:dyDescent="0.45">
      <c r="I1130" t="s">
        <v>200</v>
      </c>
      <c r="J1130" t="s">
        <v>312</v>
      </c>
      <c r="K1130">
        <v>3.5785077365403921E-2</v>
      </c>
      <c r="L1130" t="s">
        <v>163</v>
      </c>
      <c r="N1130" t="s">
        <v>231</v>
      </c>
      <c r="O1130" t="s">
        <v>312</v>
      </c>
      <c r="P1130">
        <v>1.0684603803501967E-2</v>
      </c>
      <c r="Q1130" t="s">
        <v>163</v>
      </c>
      <c r="S1130" t="s">
        <v>262</v>
      </c>
      <c r="T1130" t="s">
        <v>312</v>
      </c>
      <c r="U1130">
        <v>8.3952365208436117E-3</v>
      </c>
      <c r="V1130" t="s">
        <v>163</v>
      </c>
    </row>
    <row r="1131" spans="9:22" x14ac:dyDescent="0.45">
      <c r="I1131" t="s">
        <v>200</v>
      </c>
      <c r="J1131" t="s">
        <v>313</v>
      </c>
      <c r="K1131">
        <v>1.139203778822849E-3</v>
      </c>
      <c r="L1131" t="s">
        <v>163</v>
      </c>
      <c r="N1131" t="s">
        <v>231</v>
      </c>
      <c r="O1131" t="s">
        <v>313</v>
      </c>
      <c r="P1131">
        <v>2.0586508094172879E-3</v>
      </c>
      <c r="Q1131" t="s">
        <v>163</v>
      </c>
      <c r="S1131" t="s">
        <v>262</v>
      </c>
      <c r="T1131" t="s">
        <v>313</v>
      </c>
      <c r="U1131">
        <v>1.7884221180615881E-3</v>
      </c>
      <c r="V1131" t="s">
        <v>163</v>
      </c>
    </row>
    <row r="1132" spans="9:22" x14ac:dyDescent="0.45">
      <c r="I1132" t="s">
        <v>200</v>
      </c>
      <c r="J1132" t="s">
        <v>314</v>
      </c>
      <c r="K1132">
        <v>0</v>
      </c>
      <c r="L1132" t="s">
        <v>163</v>
      </c>
      <c r="N1132" t="s">
        <v>231</v>
      </c>
      <c r="O1132" t="s">
        <v>314</v>
      </c>
      <c r="P1132">
        <v>9.9304756684994982E-3</v>
      </c>
      <c r="Q1132" t="s">
        <v>163</v>
      </c>
      <c r="S1132" t="s">
        <v>262</v>
      </c>
      <c r="T1132" t="s">
        <v>314</v>
      </c>
      <c r="U1132">
        <v>6.6993752699651904E-3</v>
      </c>
      <c r="V1132" t="s">
        <v>163</v>
      </c>
    </row>
    <row r="1133" spans="9:22" x14ac:dyDescent="0.45">
      <c r="I1133" t="s">
        <v>200</v>
      </c>
      <c r="J1133" t="s">
        <v>315</v>
      </c>
      <c r="K1133">
        <v>4.6603245201826491E-3</v>
      </c>
      <c r="L1133" t="s">
        <v>163</v>
      </c>
      <c r="N1133" t="s">
        <v>231</v>
      </c>
      <c r="O1133" t="s">
        <v>315</v>
      </c>
      <c r="P1133">
        <v>6.0628051000857351E-2</v>
      </c>
      <c r="Q1133" t="s">
        <v>163</v>
      </c>
      <c r="S1133" t="s">
        <v>262</v>
      </c>
      <c r="T1133" t="s">
        <v>315</v>
      </c>
      <c r="U1133">
        <v>5.8373978799318979E-2</v>
      </c>
      <c r="V1133" t="s">
        <v>163</v>
      </c>
    </row>
    <row r="1134" spans="9:22" x14ac:dyDescent="0.45">
      <c r="I1134" t="s">
        <v>200</v>
      </c>
      <c r="J1134" t="s">
        <v>316</v>
      </c>
      <c r="K1134">
        <v>2.3932692914398715E-2</v>
      </c>
      <c r="L1134" t="s">
        <v>163</v>
      </c>
      <c r="N1134" t="s">
        <v>231</v>
      </c>
      <c r="O1134" t="s">
        <v>316</v>
      </c>
      <c r="P1134">
        <v>1.2354392011771201E-2</v>
      </c>
      <c r="Q1134" t="s">
        <v>163</v>
      </c>
      <c r="S1134" t="s">
        <v>262</v>
      </c>
      <c r="T1134" t="s">
        <v>316</v>
      </c>
      <c r="U1134">
        <v>1.4112033868473671E-2</v>
      </c>
      <c r="V1134" t="s">
        <v>163</v>
      </c>
    </row>
    <row r="1135" spans="9:22" x14ac:dyDescent="0.45">
      <c r="I1135" t="s">
        <v>200</v>
      </c>
      <c r="J1135" t="s">
        <v>317</v>
      </c>
      <c r="K1135">
        <v>4.5087010947852724E-2</v>
      </c>
      <c r="L1135" t="s">
        <v>163</v>
      </c>
      <c r="N1135" t="s">
        <v>231</v>
      </c>
      <c r="O1135" t="s">
        <v>317</v>
      </c>
      <c r="P1135">
        <v>2.0733772476230046E-2</v>
      </c>
      <c r="Q1135" t="s">
        <v>163</v>
      </c>
      <c r="S1135" t="s">
        <v>262</v>
      </c>
      <c r="T1135" t="s">
        <v>317</v>
      </c>
      <c r="U1135">
        <v>2.2409482283135253E-2</v>
      </c>
      <c r="V1135" t="s">
        <v>163</v>
      </c>
    </row>
    <row r="1136" spans="9:22" x14ac:dyDescent="0.45">
      <c r="I1136" t="s">
        <v>200</v>
      </c>
      <c r="J1136" t="s">
        <v>318</v>
      </c>
      <c r="K1136">
        <v>4.8950914212489968E-2</v>
      </c>
      <c r="L1136" t="s">
        <v>163</v>
      </c>
      <c r="N1136" t="s">
        <v>231</v>
      </c>
      <c r="O1136" t="s">
        <v>318</v>
      </c>
      <c r="P1136">
        <v>3.7699624969413884E-2</v>
      </c>
      <c r="Q1136" t="s">
        <v>163</v>
      </c>
      <c r="S1136" t="s">
        <v>262</v>
      </c>
      <c r="T1136" t="s">
        <v>318</v>
      </c>
      <c r="U1136">
        <v>3.9222584821935393E-2</v>
      </c>
      <c r="V1136" t="s">
        <v>163</v>
      </c>
    </row>
    <row r="1137" spans="9:22" x14ac:dyDescent="0.45">
      <c r="I1137" t="s">
        <v>200</v>
      </c>
      <c r="J1137" t="s">
        <v>319</v>
      </c>
      <c r="K1137">
        <v>0</v>
      </c>
      <c r="L1137" t="s">
        <v>163</v>
      </c>
      <c r="N1137" t="s">
        <v>231</v>
      </c>
      <c r="O1137" t="s">
        <v>319</v>
      </c>
      <c r="P1137">
        <v>7.8066562234933448E-3</v>
      </c>
      <c r="Q1137" t="s">
        <v>163</v>
      </c>
      <c r="S1137" t="s">
        <v>262</v>
      </c>
      <c r="T1137" t="s">
        <v>319</v>
      </c>
      <c r="U1137">
        <v>7.5336109481269828E-3</v>
      </c>
      <c r="V1137" t="s">
        <v>163</v>
      </c>
    </row>
    <row r="1138" spans="9:22" x14ac:dyDescent="0.45">
      <c r="I1138" t="s">
        <v>200</v>
      </c>
      <c r="J1138" t="s">
        <v>320</v>
      </c>
      <c r="K1138">
        <v>0</v>
      </c>
      <c r="L1138" t="s">
        <v>163</v>
      </c>
      <c r="N1138" t="s">
        <v>231</v>
      </c>
      <c r="O1138" t="s">
        <v>320</v>
      </c>
      <c r="P1138">
        <v>3.7334881995941829E-2</v>
      </c>
      <c r="Q1138" t="s">
        <v>163</v>
      </c>
      <c r="S1138" t="s">
        <v>262</v>
      </c>
      <c r="T1138" t="s">
        <v>320</v>
      </c>
      <c r="U1138">
        <v>3.9057690830275715E-2</v>
      </c>
      <c r="V1138" t="s">
        <v>163</v>
      </c>
    </row>
    <row r="1139" spans="9:22" x14ac:dyDescent="0.45">
      <c r="I1139" t="s">
        <v>200</v>
      </c>
      <c r="J1139" t="s">
        <v>321</v>
      </c>
      <c r="K1139">
        <v>0</v>
      </c>
      <c r="L1139" t="s">
        <v>163</v>
      </c>
      <c r="N1139" t="s">
        <v>231</v>
      </c>
      <c r="O1139" t="s">
        <v>321</v>
      </c>
      <c r="P1139">
        <v>3.7865526532238451E-2</v>
      </c>
      <c r="Q1139" t="s">
        <v>163</v>
      </c>
      <c r="S1139" t="s">
        <v>262</v>
      </c>
      <c r="T1139" t="s">
        <v>321</v>
      </c>
      <c r="U1139">
        <v>4.0011921734233465E-2</v>
      </c>
      <c r="V1139" t="s">
        <v>163</v>
      </c>
    </row>
    <row r="1140" spans="9:22" x14ac:dyDescent="0.45">
      <c r="I1140" t="s">
        <v>200</v>
      </c>
      <c r="J1140" t="s">
        <v>322</v>
      </c>
      <c r="K1140">
        <v>9.8652443543313824E-3</v>
      </c>
      <c r="L1140" t="s">
        <v>163</v>
      </c>
      <c r="N1140" t="s">
        <v>231</v>
      </c>
      <c r="O1140" t="s">
        <v>322</v>
      </c>
      <c r="P1140">
        <v>8.6605894472918249E-3</v>
      </c>
      <c r="Q1140" t="s">
        <v>163</v>
      </c>
      <c r="S1140" t="s">
        <v>262</v>
      </c>
      <c r="T1140" t="s">
        <v>322</v>
      </c>
      <c r="U1140">
        <v>9.3117236420071966E-3</v>
      </c>
      <c r="V1140" t="s">
        <v>163</v>
      </c>
    </row>
    <row r="1141" spans="9:22" x14ac:dyDescent="0.45">
      <c r="I1141" t="s">
        <v>200</v>
      </c>
      <c r="J1141" t="s">
        <v>323</v>
      </c>
      <c r="K1141">
        <v>2.2116187455512318E-2</v>
      </c>
      <c r="L1141" t="s">
        <v>163</v>
      </c>
      <c r="N1141" t="s">
        <v>231</v>
      </c>
      <c r="O1141" t="s">
        <v>323</v>
      </c>
      <c r="P1141">
        <v>1.4865218511244071E-2</v>
      </c>
      <c r="Q1141" t="s">
        <v>163</v>
      </c>
      <c r="S1141" t="s">
        <v>262</v>
      </c>
      <c r="T1141" t="s">
        <v>323</v>
      </c>
      <c r="U1141">
        <v>1.4329233652929771E-2</v>
      </c>
      <c r="V1141" t="s">
        <v>163</v>
      </c>
    </row>
    <row r="1142" spans="9:22" x14ac:dyDescent="0.45">
      <c r="I1142" t="s">
        <v>200</v>
      </c>
      <c r="J1142" t="s">
        <v>324</v>
      </c>
      <c r="K1142">
        <v>2.3727824923099099E-2</v>
      </c>
      <c r="L1142" t="s">
        <v>163</v>
      </c>
      <c r="N1142" t="s">
        <v>231</v>
      </c>
      <c r="O1142" t="s">
        <v>324</v>
      </c>
      <c r="P1142">
        <v>2.5741396183174635E-2</v>
      </c>
      <c r="Q1142" t="s">
        <v>163</v>
      </c>
      <c r="S1142" t="s">
        <v>262</v>
      </c>
      <c r="T1142" t="s">
        <v>324</v>
      </c>
      <c r="U1142">
        <v>2.5532248357830231E-2</v>
      </c>
      <c r="V1142" t="s">
        <v>163</v>
      </c>
    </row>
    <row r="1143" spans="9:22" x14ac:dyDescent="0.45">
      <c r="I1143" t="s">
        <v>200</v>
      </c>
      <c r="J1143" t="s">
        <v>325</v>
      </c>
      <c r="K1143">
        <v>0</v>
      </c>
      <c r="L1143" t="s">
        <v>163</v>
      </c>
      <c r="N1143" t="s">
        <v>231</v>
      </c>
      <c r="O1143" t="s">
        <v>325</v>
      </c>
      <c r="P1143">
        <v>5.0488761042210535E-3</v>
      </c>
      <c r="Q1143" t="s">
        <v>163</v>
      </c>
      <c r="S1143" t="s">
        <v>262</v>
      </c>
      <c r="T1143" t="s">
        <v>325</v>
      </c>
      <c r="U1143">
        <v>4.9657267885113892E-3</v>
      </c>
      <c r="V1143" t="s">
        <v>163</v>
      </c>
    </row>
    <row r="1144" spans="9:22" x14ac:dyDescent="0.45">
      <c r="I1144" t="s">
        <v>200</v>
      </c>
      <c r="J1144" t="s">
        <v>326</v>
      </c>
      <c r="K1144">
        <v>0</v>
      </c>
      <c r="L1144" t="s">
        <v>163</v>
      </c>
      <c r="N1144" t="s">
        <v>231</v>
      </c>
      <c r="O1144" t="s">
        <v>326</v>
      </c>
      <c r="P1144">
        <v>2.4740591828413309E-2</v>
      </c>
      <c r="Q1144" t="s">
        <v>163</v>
      </c>
      <c r="S1144" t="s">
        <v>262</v>
      </c>
      <c r="T1144" t="s">
        <v>326</v>
      </c>
      <c r="U1144">
        <v>2.5708702265657447E-2</v>
      </c>
      <c r="V1144" t="s">
        <v>163</v>
      </c>
    </row>
    <row r="1145" spans="9:22" x14ac:dyDescent="0.45">
      <c r="I1145" t="s">
        <v>201</v>
      </c>
      <c r="J1145" t="s">
        <v>162</v>
      </c>
      <c r="K1145">
        <v>1.4778130328846523E-2</v>
      </c>
      <c r="L1145" t="s">
        <v>163</v>
      </c>
      <c r="N1145" t="s">
        <v>232</v>
      </c>
      <c r="O1145" t="s">
        <v>162</v>
      </c>
      <c r="P1145">
        <v>0.1433166097967489</v>
      </c>
      <c r="Q1145" t="s">
        <v>163</v>
      </c>
      <c r="S1145" t="s">
        <v>263</v>
      </c>
      <c r="T1145" t="s">
        <v>162</v>
      </c>
      <c r="U1145">
        <v>0.11175586402435447</v>
      </c>
      <c r="V1145" t="s">
        <v>163</v>
      </c>
    </row>
    <row r="1146" spans="9:22" x14ac:dyDescent="0.45">
      <c r="I1146" t="s">
        <v>201</v>
      </c>
      <c r="J1146" t="s">
        <v>164</v>
      </c>
      <c r="K1146">
        <v>6.2323619909138581E-2</v>
      </c>
      <c r="L1146" t="s">
        <v>163</v>
      </c>
      <c r="N1146" t="s">
        <v>232</v>
      </c>
      <c r="O1146" t="s">
        <v>164</v>
      </c>
      <c r="P1146">
        <v>3.6403983267818546E-2</v>
      </c>
      <c r="Q1146" t="s">
        <v>163</v>
      </c>
      <c r="S1146" t="s">
        <v>263</v>
      </c>
      <c r="T1146" t="s">
        <v>164</v>
      </c>
      <c r="U1146">
        <v>2.3121985535874669E-2</v>
      </c>
      <c r="V1146" t="s">
        <v>163</v>
      </c>
    </row>
    <row r="1147" spans="9:22" x14ac:dyDescent="0.45">
      <c r="I1147" t="s">
        <v>201</v>
      </c>
      <c r="J1147" t="s">
        <v>165</v>
      </c>
      <c r="K1147">
        <v>0.11927277128953181</v>
      </c>
      <c r="L1147" t="s">
        <v>163</v>
      </c>
      <c r="N1147" t="s">
        <v>232</v>
      </c>
      <c r="O1147" t="s">
        <v>165</v>
      </c>
      <c r="P1147">
        <v>7.2600721202462942E-2</v>
      </c>
      <c r="Q1147" t="s">
        <v>163</v>
      </c>
      <c r="S1147" t="s">
        <v>263</v>
      </c>
      <c r="T1147" t="s">
        <v>165</v>
      </c>
      <c r="U1147">
        <v>3.5712380366324542E-2</v>
      </c>
      <c r="V1147" t="s">
        <v>163</v>
      </c>
    </row>
    <row r="1148" spans="9:22" x14ac:dyDescent="0.45">
      <c r="I1148" t="s">
        <v>201</v>
      </c>
      <c r="J1148" t="s">
        <v>297</v>
      </c>
      <c r="K1148">
        <v>0.16076920648715587</v>
      </c>
      <c r="L1148" t="s">
        <v>163</v>
      </c>
      <c r="N1148" t="s">
        <v>232</v>
      </c>
      <c r="O1148" t="s">
        <v>297</v>
      </c>
      <c r="P1148">
        <v>0.12372769616816136</v>
      </c>
      <c r="Q1148" t="s">
        <v>163</v>
      </c>
      <c r="S1148" t="s">
        <v>263</v>
      </c>
      <c r="T1148" t="s">
        <v>297</v>
      </c>
      <c r="U1148">
        <v>6.7549073284052838E-2</v>
      </c>
      <c r="V1148" t="s">
        <v>163</v>
      </c>
    </row>
    <row r="1149" spans="9:22" x14ac:dyDescent="0.45">
      <c r="I1149" t="s">
        <v>201</v>
      </c>
      <c r="J1149" t="s">
        <v>298</v>
      </c>
      <c r="K1149">
        <v>5.6211201898106493E-3</v>
      </c>
      <c r="L1149" t="s">
        <v>163</v>
      </c>
      <c r="N1149" t="s">
        <v>232</v>
      </c>
      <c r="O1149" t="s">
        <v>298</v>
      </c>
      <c r="P1149">
        <v>1.9812733192282498E-2</v>
      </c>
      <c r="Q1149" t="s">
        <v>163</v>
      </c>
      <c r="S1149" t="s">
        <v>263</v>
      </c>
      <c r="T1149" t="s">
        <v>298</v>
      </c>
      <c r="U1149">
        <v>1.2602366467160083E-2</v>
      </c>
      <c r="V1149" t="s">
        <v>163</v>
      </c>
    </row>
    <row r="1150" spans="9:22" x14ac:dyDescent="0.45">
      <c r="I1150" t="s">
        <v>201</v>
      </c>
      <c r="J1150" t="s">
        <v>299</v>
      </c>
      <c r="K1150">
        <v>0</v>
      </c>
      <c r="L1150" t="s">
        <v>163</v>
      </c>
      <c r="N1150" t="s">
        <v>232</v>
      </c>
      <c r="O1150" t="s">
        <v>299</v>
      </c>
      <c r="P1150">
        <v>8.4484067788903133E-2</v>
      </c>
      <c r="Q1150" t="s">
        <v>163</v>
      </c>
      <c r="S1150" t="s">
        <v>263</v>
      </c>
      <c r="T1150" t="s">
        <v>299</v>
      </c>
      <c r="U1150">
        <v>7.1524916329408425E-2</v>
      </c>
      <c r="V1150" t="s">
        <v>163</v>
      </c>
    </row>
    <row r="1151" spans="9:22" x14ac:dyDescent="0.45">
      <c r="I1151" t="s">
        <v>201</v>
      </c>
      <c r="J1151" t="s">
        <v>166</v>
      </c>
      <c r="K1151">
        <v>9.7084979081731269E-3</v>
      </c>
      <c r="L1151" t="s">
        <v>163</v>
      </c>
      <c r="N1151" t="s">
        <v>232</v>
      </c>
      <c r="O1151" t="s">
        <v>166</v>
      </c>
      <c r="P1151">
        <v>1.8814939298354188E-2</v>
      </c>
      <c r="Q1151" t="s">
        <v>163</v>
      </c>
      <c r="S1151" t="s">
        <v>263</v>
      </c>
      <c r="T1151" t="s">
        <v>166</v>
      </c>
      <c r="U1151">
        <v>2.5716597203570474E-2</v>
      </c>
      <c r="V1151" t="s">
        <v>163</v>
      </c>
    </row>
    <row r="1152" spans="9:22" x14ac:dyDescent="0.45">
      <c r="I1152" t="s">
        <v>201</v>
      </c>
      <c r="J1152" t="s">
        <v>167</v>
      </c>
      <c r="K1152">
        <v>1.8959362717866031E-2</v>
      </c>
      <c r="L1152" t="s">
        <v>163</v>
      </c>
      <c r="N1152" t="s">
        <v>232</v>
      </c>
      <c r="O1152" t="s">
        <v>167</v>
      </c>
      <c r="P1152">
        <v>4.9480636386908718E-3</v>
      </c>
      <c r="Q1152" t="s">
        <v>163</v>
      </c>
      <c r="S1152" t="s">
        <v>263</v>
      </c>
      <c r="T1152" t="s">
        <v>167</v>
      </c>
      <c r="U1152">
        <v>5.5578390806696959E-3</v>
      </c>
      <c r="V1152" t="s">
        <v>163</v>
      </c>
    </row>
    <row r="1153" spans="9:22" x14ac:dyDescent="0.45">
      <c r="I1153" t="s">
        <v>201</v>
      </c>
      <c r="J1153" t="s">
        <v>168</v>
      </c>
      <c r="K1153">
        <v>3.6320712134896821E-2</v>
      </c>
      <c r="L1153" t="s">
        <v>163</v>
      </c>
      <c r="N1153" t="s">
        <v>232</v>
      </c>
      <c r="O1153" t="s">
        <v>168</v>
      </c>
      <c r="P1153">
        <v>8.2009808220468248E-3</v>
      </c>
      <c r="Q1153" t="s">
        <v>163</v>
      </c>
      <c r="S1153" t="s">
        <v>263</v>
      </c>
      <c r="T1153" t="s">
        <v>168</v>
      </c>
      <c r="U1153">
        <v>8.6234235706355994E-3</v>
      </c>
      <c r="V1153" t="s">
        <v>163</v>
      </c>
    </row>
    <row r="1154" spans="9:22" x14ac:dyDescent="0.45">
      <c r="I1154" t="s">
        <v>201</v>
      </c>
      <c r="J1154" t="s">
        <v>300</v>
      </c>
      <c r="K1154">
        <v>4.9673252086868847E-2</v>
      </c>
      <c r="L1154" t="s">
        <v>163</v>
      </c>
      <c r="N1154" t="s">
        <v>232</v>
      </c>
      <c r="O1154" t="s">
        <v>300</v>
      </c>
      <c r="P1154">
        <v>1.4558252508700992E-2</v>
      </c>
      <c r="Q1154" t="s">
        <v>163</v>
      </c>
      <c r="S1154" t="s">
        <v>263</v>
      </c>
      <c r="T1154" t="s">
        <v>300</v>
      </c>
      <c r="U1154">
        <v>1.6655119853728521E-2</v>
      </c>
      <c r="V1154" t="s">
        <v>163</v>
      </c>
    </row>
    <row r="1155" spans="9:22" x14ac:dyDescent="0.45">
      <c r="I1155" t="s">
        <v>201</v>
      </c>
      <c r="J1155" t="s">
        <v>301</v>
      </c>
      <c r="K1155">
        <v>3.9573229419667452E-3</v>
      </c>
      <c r="L1155" t="s">
        <v>163</v>
      </c>
      <c r="N1155" t="s">
        <v>232</v>
      </c>
      <c r="O1155" t="s">
        <v>301</v>
      </c>
      <c r="P1155">
        <v>2.3604565474797589E-3</v>
      </c>
      <c r="Q1155" t="s">
        <v>163</v>
      </c>
      <c r="S1155" t="s">
        <v>263</v>
      </c>
      <c r="T1155" t="s">
        <v>301</v>
      </c>
      <c r="U1155">
        <v>3.1464697221008668E-3</v>
      </c>
      <c r="V1155" t="s">
        <v>163</v>
      </c>
    </row>
    <row r="1156" spans="9:22" x14ac:dyDescent="0.45">
      <c r="I1156" t="s">
        <v>201</v>
      </c>
      <c r="J1156" t="s">
        <v>302</v>
      </c>
      <c r="K1156">
        <v>7.9609478785935101E-4</v>
      </c>
      <c r="L1156" t="s">
        <v>163</v>
      </c>
      <c r="N1156" t="s">
        <v>232</v>
      </c>
      <c r="O1156" t="s">
        <v>302</v>
      </c>
      <c r="P1156">
        <v>9.5627884228670391E-3</v>
      </c>
      <c r="Q1156" t="s">
        <v>163</v>
      </c>
      <c r="S1156" t="s">
        <v>263</v>
      </c>
      <c r="T1156" t="s">
        <v>302</v>
      </c>
      <c r="U1156">
        <v>1.6558742248306207E-2</v>
      </c>
      <c r="V1156" t="s">
        <v>163</v>
      </c>
    </row>
    <row r="1157" spans="9:22" x14ac:dyDescent="0.45">
      <c r="I1157" t="s">
        <v>201</v>
      </c>
      <c r="J1157" t="s">
        <v>169</v>
      </c>
      <c r="K1157">
        <v>7.2539569938213679E-3</v>
      </c>
      <c r="L1157" t="s">
        <v>163</v>
      </c>
      <c r="N1157" t="s">
        <v>232</v>
      </c>
      <c r="O1157" t="s">
        <v>169</v>
      </c>
      <c r="P1157">
        <v>3.3474209930784826E-3</v>
      </c>
      <c r="Q1157" t="s">
        <v>163</v>
      </c>
      <c r="S1157" t="s">
        <v>263</v>
      </c>
      <c r="T1157" t="s">
        <v>169</v>
      </c>
      <c r="U1157">
        <v>1.4431282504774495E-2</v>
      </c>
      <c r="V1157" t="s">
        <v>163</v>
      </c>
    </row>
    <row r="1158" spans="9:22" x14ac:dyDescent="0.45">
      <c r="I1158" t="s">
        <v>201</v>
      </c>
      <c r="J1158" t="s">
        <v>170</v>
      </c>
      <c r="K1158">
        <v>1.3963778994447014E-2</v>
      </c>
      <c r="L1158" t="s">
        <v>163</v>
      </c>
      <c r="N1158" t="s">
        <v>232</v>
      </c>
      <c r="O1158" t="s">
        <v>170</v>
      </c>
      <c r="P1158">
        <v>8.5147671201218835E-4</v>
      </c>
      <c r="Q1158" t="s">
        <v>163</v>
      </c>
      <c r="S1158" t="s">
        <v>263</v>
      </c>
      <c r="T1158" t="s">
        <v>170</v>
      </c>
      <c r="U1158">
        <v>3.5020397050910894E-3</v>
      </c>
      <c r="V1158" t="s">
        <v>163</v>
      </c>
    </row>
    <row r="1159" spans="9:22" x14ac:dyDescent="0.45">
      <c r="I1159" t="s">
        <v>201</v>
      </c>
      <c r="J1159" t="s">
        <v>171</v>
      </c>
      <c r="K1159">
        <v>2.8007309501986679E-2</v>
      </c>
      <c r="L1159" t="s">
        <v>163</v>
      </c>
      <c r="N1159" t="s">
        <v>232</v>
      </c>
      <c r="O1159" t="s">
        <v>171</v>
      </c>
      <c r="P1159">
        <v>1.8209575364501801E-3</v>
      </c>
      <c r="Q1159" t="s">
        <v>163</v>
      </c>
      <c r="S1159" t="s">
        <v>263</v>
      </c>
      <c r="T1159" t="s">
        <v>171</v>
      </c>
      <c r="U1159">
        <v>5.6884187239500238E-3</v>
      </c>
      <c r="V1159" t="s">
        <v>163</v>
      </c>
    </row>
    <row r="1160" spans="9:22" x14ac:dyDescent="0.45">
      <c r="I1160" t="s">
        <v>201</v>
      </c>
      <c r="J1160" t="s">
        <v>303</v>
      </c>
      <c r="K1160">
        <v>3.9378613372100142E-2</v>
      </c>
      <c r="L1160" t="s">
        <v>163</v>
      </c>
      <c r="N1160" t="s">
        <v>232</v>
      </c>
      <c r="O1160" t="s">
        <v>303</v>
      </c>
      <c r="P1160">
        <v>4.7782229934044511E-3</v>
      </c>
      <c r="Q1160" t="s">
        <v>163</v>
      </c>
      <c r="S1160" t="s">
        <v>263</v>
      </c>
      <c r="T1160" t="s">
        <v>303</v>
      </c>
      <c r="U1160">
        <v>1.0408968491857691E-2</v>
      </c>
      <c r="V1160" t="s">
        <v>163</v>
      </c>
    </row>
    <row r="1161" spans="9:22" x14ac:dyDescent="0.45">
      <c r="I1161" t="s">
        <v>201</v>
      </c>
      <c r="J1161" t="s">
        <v>304</v>
      </c>
      <c r="K1161">
        <v>2.986003544738412E-3</v>
      </c>
      <c r="L1161" t="s">
        <v>163</v>
      </c>
      <c r="N1161" t="s">
        <v>232</v>
      </c>
      <c r="O1161" t="s">
        <v>304</v>
      </c>
      <c r="P1161">
        <v>8.421764700238776E-4</v>
      </c>
      <c r="Q1161" t="s">
        <v>163</v>
      </c>
      <c r="S1161" t="s">
        <v>263</v>
      </c>
      <c r="T1161" t="s">
        <v>304</v>
      </c>
      <c r="U1161">
        <v>1.76717929806219E-3</v>
      </c>
      <c r="V1161" t="s">
        <v>163</v>
      </c>
    </row>
    <row r="1162" spans="9:22" x14ac:dyDescent="0.45">
      <c r="I1162" t="s">
        <v>201</v>
      </c>
      <c r="J1162" t="s">
        <v>305</v>
      </c>
      <c r="K1162">
        <v>1.1856330089696869E-3</v>
      </c>
      <c r="L1162" t="s">
        <v>163</v>
      </c>
      <c r="N1162" t="s">
        <v>232</v>
      </c>
      <c r="O1162" t="s">
        <v>305</v>
      </c>
      <c r="P1162">
        <v>2.5910567813837103E-3</v>
      </c>
      <c r="Q1162" t="s">
        <v>163</v>
      </c>
      <c r="S1162" t="s">
        <v>263</v>
      </c>
      <c r="T1162" t="s">
        <v>305</v>
      </c>
      <c r="U1162">
        <v>9.9774047893911449E-3</v>
      </c>
      <c r="V1162" t="s">
        <v>163</v>
      </c>
    </row>
    <row r="1163" spans="9:22" x14ac:dyDescent="0.45">
      <c r="I1163" t="s">
        <v>201</v>
      </c>
      <c r="J1163" t="s">
        <v>172</v>
      </c>
      <c r="K1163">
        <v>9.4562687293827385E-3</v>
      </c>
      <c r="L1163" t="s">
        <v>163</v>
      </c>
      <c r="N1163" t="s">
        <v>232</v>
      </c>
      <c r="O1163" t="s">
        <v>172</v>
      </c>
      <c r="P1163">
        <v>2.1547881007758458E-2</v>
      </c>
      <c r="Q1163" t="s">
        <v>163</v>
      </c>
      <c r="S1163" t="s">
        <v>263</v>
      </c>
      <c r="T1163" t="s">
        <v>172</v>
      </c>
      <c r="U1163">
        <v>6.4434086988919226E-2</v>
      </c>
      <c r="V1163" t="s">
        <v>163</v>
      </c>
    </row>
    <row r="1164" spans="9:22" x14ac:dyDescent="0.45">
      <c r="I1164" t="s">
        <v>201</v>
      </c>
      <c r="J1164" t="s">
        <v>173</v>
      </c>
      <c r="K1164">
        <v>2.4321957355659576E-2</v>
      </c>
      <c r="L1164" t="s">
        <v>163</v>
      </c>
      <c r="N1164" t="s">
        <v>232</v>
      </c>
      <c r="O1164" t="s">
        <v>173</v>
      </c>
      <c r="P1164">
        <v>5.2041480375995186E-3</v>
      </c>
      <c r="Q1164" t="s">
        <v>163</v>
      </c>
      <c r="S1164" t="s">
        <v>263</v>
      </c>
      <c r="T1164" t="s">
        <v>173</v>
      </c>
      <c r="U1164">
        <v>1.3394599297225664E-2</v>
      </c>
      <c r="V1164" t="s">
        <v>163</v>
      </c>
    </row>
    <row r="1165" spans="9:22" x14ac:dyDescent="0.45">
      <c r="I1165" t="s">
        <v>201</v>
      </c>
      <c r="J1165" t="s">
        <v>174</v>
      </c>
      <c r="K1165">
        <v>5.3102827117023702E-2</v>
      </c>
      <c r="L1165" t="s">
        <v>163</v>
      </c>
      <c r="N1165" t="s">
        <v>232</v>
      </c>
      <c r="O1165" t="s">
        <v>174</v>
      </c>
      <c r="P1165">
        <v>9.4731434831921927E-3</v>
      </c>
      <c r="Q1165" t="s">
        <v>163</v>
      </c>
      <c r="S1165" t="s">
        <v>263</v>
      </c>
      <c r="T1165" t="s">
        <v>174</v>
      </c>
      <c r="U1165">
        <v>2.1527353454502768E-2</v>
      </c>
      <c r="V1165" t="s">
        <v>163</v>
      </c>
    </row>
    <row r="1166" spans="9:22" x14ac:dyDescent="0.45">
      <c r="I1166" t="s">
        <v>201</v>
      </c>
      <c r="J1166" t="s">
        <v>306</v>
      </c>
      <c r="K1166">
        <v>7.1896651201739506E-2</v>
      </c>
      <c r="L1166" t="s">
        <v>163</v>
      </c>
      <c r="N1166" t="s">
        <v>232</v>
      </c>
      <c r="O1166" t="s">
        <v>306</v>
      </c>
      <c r="P1166">
        <v>1.6032741932436638E-2</v>
      </c>
      <c r="Q1166" t="s">
        <v>163</v>
      </c>
      <c r="S1166" t="s">
        <v>263</v>
      </c>
      <c r="T1166" t="s">
        <v>306</v>
      </c>
      <c r="U1166">
        <v>4.2485763508127078E-2</v>
      </c>
      <c r="V1166" t="s">
        <v>163</v>
      </c>
    </row>
    <row r="1167" spans="9:22" x14ac:dyDescent="0.45">
      <c r="I1167" t="s">
        <v>201</v>
      </c>
      <c r="J1167" t="s">
        <v>307</v>
      </c>
      <c r="K1167">
        <v>4.8357640651162104E-3</v>
      </c>
      <c r="L1167" t="s">
        <v>163</v>
      </c>
      <c r="N1167" t="s">
        <v>232</v>
      </c>
      <c r="O1167" t="s">
        <v>307</v>
      </c>
      <c r="P1167">
        <v>2.7554219953472093E-3</v>
      </c>
      <c r="Q1167" t="s">
        <v>163</v>
      </c>
      <c r="S1167" t="s">
        <v>263</v>
      </c>
      <c r="T1167" t="s">
        <v>307</v>
      </c>
      <c r="U1167">
        <v>7.9797476175029053E-3</v>
      </c>
      <c r="V1167" t="s">
        <v>163</v>
      </c>
    </row>
    <row r="1168" spans="9:22" x14ac:dyDescent="0.45">
      <c r="I1168" t="s">
        <v>201</v>
      </c>
      <c r="J1168" t="s">
        <v>308</v>
      </c>
      <c r="K1168">
        <v>8.5316707762137563E-4</v>
      </c>
      <c r="L1168" t="s">
        <v>163</v>
      </c>
      <c r="N1168" t="s">
        <v>232</v>
      </c>
      <c r="O1168" t="s">
        <v>308</v>
      </c>
      <c r="P1168">
        <v>1.2223142601163721E-2</v>
      </c>
      <c r="Q1168" t="s">
        <v>163</v>
      </c>
      <c r="S1168" t="s">
        <v>263</v>
      </c>
      <c r="T1168" t="s">
        <v>308</v>
      </c>
      <c r="U1168">
        <v>4.2453992078226171E-2</v>
      </c>
      <c r="V1168" t="s">
        <v>163</v>
      </c>
    </row>
    <row r="1169" spans="9:22" x14ac:dyDescent="0.45">
      <c r="I1169" t="s">
        <v>201</v>
      </c>
      <c r="J1169" t="s">
        <v>309</v>
      </c>
      <c r="K1169">
        <v>4.9957226976132174E-3</v>
      </c>
      <c r="L1169" t="s">
        <v>163</v>
      </c>
      <c r="N1169" t="s">
        <v>232</v>
      </c>
      <c r="O1169" t="s">
        <v>309</v>
      </c>
      <c r="P1169">
        <v>1.7562007307155295E-2</v>
      </c>
      <c r="Q1169" t="s">
        <v>163</v>
      </c>
      <c r="S1169" t="s">
        <v>263</v>
      </c>
      <c r="T1169" t="s">
        <v>309</v>
      </c>
      <c r="U1169">
        <v>2.2262042728584355E-2</v>
      </c>
      <c r="V1169" t="s">
        <v>163</v>
      </c>
    </row>
    <row r="1170" spans="9:22" x14ac:dyDescent="0.45">
      <c r="I1170" t="s">
        <v>201</v>
      </c>
      <c r="J1170" t="s">
        <v>310</v>
      </c>
      <c r="K1170">
        <v>1.389639945145326E-2</v>
      </c>
      <c r="L1170" t="s">
        <v>163</v>
      </c>
      <c r="N1170" t="s">
        <v>232</v>
      </c>
      <c r="O1170" t="s">
        <v>310</v>
      </c>
      <c r="P1170">
        <v>4.7553852951550072E-3</v>
      </c>
      <c r="Q1170" t="s">
        <v>163</v>
      </c>
      <c r="S1170" t="s">
        <v>263</v>
      </c>
      <c r="T1170" t="s">
        <v>310</v>
      </c>
      <c r="U1170">
        <v>5.2452824689387502E-3</v>
      </c>
      <c r="V1170" t="s">
        <v>163</v>
      </c>
    </row>
    <row r="1171" spans="9:22" x14ac:dyDescent="0.45">
      <c r="I1171" t="s">
        <v>201</v>
      </c>
      <c r="J1171" t="s">
        <v>311</v>
      </c>
      <c r="K1171">
        <v>2.615821565093903E-2</v>
      </c>
      <c r="L1171" t="s">
        <v>163</v>
      </c>
      <c r="N1171" t="s">
        <v>232</v>
      </c>
      <c r="O1171" t="s">
        <v>311</v>
      </c>
      <c r="P1171">
        <v>1.0464536658467255E-2</v>
      </c>
      <c r="Q1171" t="s">
        <v>163</v>
      </c>
      <c r="S1171" t="s">
        <v>263</v>
      </c>
      <c r="T1171" t="s">
        <v>311</v>
      </c>
      <c r="U1171">
        <v>7.6383720769386664E-3</v>
      </c>
      <c r="V1171" t="s">
        <v>163</v>
      </c>
    </row>
    <row r="1172" spans="9:22" x14ac:dyDescent="0.45">
      <c r="I1172" t="s">
        <v>201</v>
      </c>
      <c r="J1172" t="s">
        <v>312</v>
      </c>
      <c r="K1172">
        <v>3.584467793968061E-2</v>
      </c>
      <c r="L1172" t="s">
        <v>163</v>
      </c>
      <c r="N1172" t="s">
        <v>232</v>
      </c>
      <c r="O1172" t="s">
        <v>312</v>
      </c>
      <c r="P1172">
        <v>1.6193163337940214E-2</v>
      </c>
      <c r="Q1172" t="s">
        <v>163</v>
      </c>
      <c r="S1172" t="s">
        <v>263</v>
      </c>
      <c r="T1172" t="s">
        <v>312</v>
      </c>
      <c r="U1172">
        <v>1.4502783701744038E-2</v>
      </c>
      <c r="V1172" t="s">
        <v>163</v>
      </c>
    </row>
    <row r="1173" spans="9:22" x14ac:dyDescent="0.45">
      <c r="I1173" t="s">
        <v>201</v>
      </c>
      <c r="J1173" t="s">
        <v>313</v>
      </c>
      <c r="K1173">
        <v>1.3767007011000639E-3</v>
      </c>
      <c r="L1173" t="s">
        <v>163</v>
      </c>
      <c r="N1173" t="s">
        <v>232</v>
      </c>
      <c r="O1173" t="s">
        <v>313</v>
      </c>
      <c r="P1173">
        <v>2.5157274603110893E-3</v>
      </c>
      <c r="Q1173" t="s">
        <v>163</v>
      </c>
      <c r="S1173" t="s">
        <v>263</v>
      </c>
      <c r="T1173" t="s">
        <v>313</v>
      </c>
      <c r="U1173">
        <v>3.047120219324401E-3</v>
      </c>
      <c r="V1173" t="s">
        <v>163</v>
      </c>
    </row>
    <row r="1174" spans="9:22" x14ac:dyDescent="0.45">
      <c r="I1174" t="s">
        <v>201</v>
      </c>
      <c r="J1174" t="s">
        <v>314</v>
      </c>
      <c r="K1174">
        <v>0</v>
      </c>
      <c r="L1174" t="s">
        <v>163</v>
      </c>
      <c r="N1174" t="s">
        <v>232</v>
      </c>
      <c r="O1174" t="s">
        <v>314</v>
      </c>
      <c r="P1174">
        <v>1.0287647933689754E-2</v>
      </c>
      <c r="Q1174" t="s">
        <v>163</v>
      </c>
      <c r="S1174" t="s">
        <v>263</v>
      </c>
      <c r="T1174" t="s">
        <v>314</v>
      </c>
      <c r="U1174">
        <v>1.6058981813971925E-2</v>
      </c>
      <c r="V1174" t="s">
        <v>163</v>
      </c>
    </row>
    <row r="1175" spans="9:22" x14ac:dyDescent="0.45">
      <c r="I1175" t="s">
        <v>201</v>
      </c>
      <c r="J1175" t="s">
        <v>315</v>
      </c>
      <c r="K1175">
        <v>4.1407613727261058E-3</v>
      </c>
      <c r="L1175" t="s">
        <v>163</v>
      </c>
      <c r="N1175" t="s">
        <v>232</v>
      </c>
      <c r="O1175" t="s">
        <v>315</v>
      </c>
      <c r="P1175">
        <v>6.0218825685302783E-2</v>
      </c>
      <c r="Q1175" t="s">
        <v>163</v>
      </c>
      <c r="S1175" t="s">
        <v>263</v>
      </c>
      <c r="T1175" t="s">
        <v>315</v>
      </c>
      <c r="U1175">
        <v>6.3168699453821753E-2</v>
      </c>
      <c r="V1175" t="s">
        <v>163</v>
      </c>
    </row>
    <row r="1176" spans="9:22" x14ac:dyDescent="0.45">
      <c r="I1176" t="s">
        <v>201</v>
      </c>
      <c r="J1176" t="s">
        <v>316</v>
      </c>
      <c r="K1176">
        <v>2.2850504334575562E-2</v>
      </c>
      <c r="L1176" t="s">
        <v>163</v>
      </c>
      <c r="N1176" t="s">
        <v>232</v>
      </c>
      <c r="O1176" t="s">
        <v>316</v>
      </c>
      <c r="P1176">
        <v>1.4217920452706456E-2</v>
      </c>
      <c r="Q1176" t="s">
        <v>163</v>
      </c>
      <c r="S1176" t="s">
        <v>263</v>
      </c>
      <c r="T1176" t="s">
        <v>316</v>
      </c>
      <c r="U1176">
        <v>1.4964757991284671E-2</v>
      </c>
      <c r="V1176" t="s">
        <v>163</v>
      </c>
    </row>
    <row r="1177" spans="9:22" x14ac:dyDescent="0.45">
      <c r="I1177" t="s">
        <v>201</v>
      </c>
      <c r="J1177" t="s">
        <v>317</v>
      </c>
      <c r="K1177">
        <v>4.3957818013237331E-2</v>
      </c>
      <c r="L1177" t="s">
        <v>163</v>
      </c>
      <c r="N1177" t="s">
        <v>232</v>
      </c>
      <c r="O1177" t="s">
        <v>317</v>
      </c>
      <c r="P1177">
        <v>2.9752949960287482E-2</v>
      </c>
      <c r="Q1177" t="s">
        <v>163</v>
      </c>
      <c r="S1177" t="s">
        <v>263</v>
      </c>
      <c r="T1177" t="s">
        <v>317</v>
      </c>
      <c r="U1177">
        <v>2.247622179312124E-2</v>
      </c>
      <c r="V1177" t="s">
        <v>163</v>
      </c>
    </row>
    <row r="1178" spans="9:22" x14ac:dyDescent="0.45">
      <c r="I1178" t="s">
        <v>201</v>
      </c>
      <c r="J1178" t="s">
        <v>318</v>
      </c>
      <c r="K1178">
        <v>5.1006671025220496E-2</v>
      </c>
      <c r="L1178" t="s">
        <v>163</v>
      </c>
      <c r="N1178" t="s">
        <v>232</v>
      </c>
      <c r="O1178" t="s">
        <v>318</v>
      </c>
      <c r="P1178">
        <v>5.09760080166555E-2</v>
      </c>
      <c r="Q1178" t="s">
        <v>163</v>
      </c>
      <c r="S1178" t="s">
        <v>263</v>
      </c>
      <c r="T1178" t="s">
        <v>318</v>
      </c>
      <c r="U1178">
        <v>3.9781368637635775E-2</v>
      </c>
      <c r="V1178" t="s">
        <v>163</v>
      </c>
    </row>
    <row r="1179" spans="9:22" x14ac:dyDescent="0.45">
      <c r="I1179" t="s">
        <v>201</v>
      </c>
      <c r="J1179" t="s">
        <v>319</v>
      </c>
      <c r="K1179">
        <v>0</v>
      </c>
      <c r="L1179" t="s">
        <v>163</v>
      </c>
      <c r="N1179" t="s">
        <v>232</v>
      </c>
      <c r="O1179" t="s">
        <v>319</v>
      </c>
      <c r="P1179">
        <v>9.3410664434577777E-3</v>
      </c>
      <c r="Q1179" t="s">
        <v>163</v>
      </c>
      <c r="S1179" t="s">
        <v>263</v>
      </c>
      <c r="T1179" t="s">
        <v>319</v>
      </c>
      <c r="U1179">
        <v>7.7360697436648154E-3</v>
      </c>
      <c r="V1179" t="s">
        <v>163</v>
      </c>
    </row>
    <row r="1180" spans="9:22" x14ac:dyDescent="0.45">
      <c r="I1180" t="s">
        <v>201</v>
      </c>
      <c r="J1180" t="s">
        <v>320</v>
      </c>
      <c r="K1180">
        <v>0</v>
      </c>
      <c r="L1180" t="s">
        <v>163</v>
      </c>
      <c r="N1180" t="s">
        <v>232</v>
      </c>
      <c r="O1180" t="s">
        <v>320</v>
      </c>
      <c r="P1180">
        <v>4.23078558847092E-2</v>
      </c>
      <c r="Q1180" t="s">
        <v>163</v>
      </c>
      <c r="S1180" t="s">
        <v>263</v>
      </c>
      <c r="T1180" t="s">
        <v>320</v>
      </c>
      <c r="U1180">
        <v>4.0467346756181535E-2</v>
      </c>
      <c r="V1180" t="s">
        <v>163</v>
      </c>
    </row>
    <row r="1181" spans="9:22" x14ac:dyDescent="0.45">
      <c r="I1181" t="s">
        <v>201</v>
      </c>
      <c r="J1181" t="s">
        <v>321</v>
      </c>
      <c r="K1181">
        <v>0</v>
      </c>
      <c r="L1181" t="s">
        <v>163</v>
      </c>
      <c r="N1181" t="s">
        <v>232</v>
      </c>
      <c r="O1181" t="s">
        <v>321</v>
      </c>
      <c r="P1181">
        <v>3.8683922396938408E-2</v>
      </c>
      <c r="Q1181" t="s">
        <v>163</v>
      </c>
      <c r="S1181" t="s">
        <v>263</v>
      </c>
      <c r="T1181" t="s">
        <v>321</v>
      </c>
      <c r="U1181">
        <v>3.6417638500417265E-2</v>
      </c>
      <c r="V1181" t="s">
        <v>163</v>
      </c>
    </row>
    <row r="1182" spans="9:22" x14ac:dyDescent="0.45">
      <c r="I1182" t="s">
        <v>201</v>
      </c>
      <c r="J1182" t="s">
        <v>322</v>
      </c>
      <c r="K1182">
        <v>9.8389513802556294E-3</v>
      </c>
      <c r="L1182" t="s">
        <v>163</v>
      </c>
      <c r="N1182" t="s">
        <v>232</v>
      </c>
      <c r="O1182" t="s">
        <v>322</v>
      </c>
      <c r="P1182">
        <v>7.9124708921550994E-3</v>
      </c>
      <c r="Q1182" t="s">
        <v>163</v>
      </c>
      <c r="S1182" t="s">
        <v>263</v>
      </c>
      <c r="T1182" t="s">
        <v>322</v>
      </c>
      <c r="U1182">
        <v>8.8951965349582957E-3</v>
      </c>
      <c r="V1182" t="s">
        <v>163</v>
      </c>
    </row>
    <row r="1183" spans="9:22" x14ac:dyDescent="0.45">
      <c r="I1183" t="s">
        <v>201</v>
      </c>
      <c r="J1183" t="s">
        <v>323</v>
      </c>
      <c r="K1183">
        <v>2.2287733327425761E-2</v>
      </c>
      <c r="L1183" t="s">
        <v>163</v>
      </c>
      <c r="N1183" t="s">
        <v>232</v>
      </c>
      <c r="O1183" t="s">
        <v>323</v>
      </c>
      <c r="P1183">
        <v>1.4810248083635293E-2</v>
      </c>
      <c r="Q1183" t="s">
        <v>163</v>
      </c>
      <c r="S1183" t="s">
        <v>263</v>
      </c>
      <c r="T1183" t="s">
        <v>323</v>
      </c>
      <c r="U1183">
        <v>1.3049556675683166E-2</v>
      </c>
      <c r="V1183" t="s">
        <v>163</v>
      </c>
    </row>
    <row r="1184" spans="9:22" x14ac:dyDescent="0.45">
      <c r="I1184" t="s">
        <v>201</v>
      </c>
      <c r="J1184" t="s">
        <v>324</v>
      </c>
      <c r="K1184">
        <v>2.4223822361050987E-2</v>
      </c>
      <c r="L1184" t="s">
        <v>163</v>
      </c>
      <c r="N1184" t="s">
        <v>232</v>
      </c>
      <c r="O1184" t="s">
        <v>324</v>
      </c>
      <c r="P1184">
        <v>2.3329768179347923E-2</v>
      </c>
      <c r="Q1184" t="s">
        <v>163</v>
      </c>
      <c r="S1184" t="s">
        <v>263</v>
      </c>
      <c r="T1184" t="s">
        <v>324</v>
      </c>
      <c r="U1184">
        <v>2.1700255488787804E-2</v>
      </c>
      <c r="V1184" t="s">
        <v>163</v>
      </c>
    </row>
    <row r="1185" spans="9:22" x14ac:dyDescent="0.45">
      <c r="I1185" t="s">
        <v>201</v>
      </c>
      <c r="J1185" t="s">
        <v>325</v>
      </c>
      <c r="K1185">
        <v>0</v>
      </c>
      <c r="L1185" t="s">
        <v>163</v>
      </c>
      <c r="N1185" t="s">
        <v>232</v>
      </c>
      <c r="O1185" t="s">
        <v>325</v>
      </c>
      <c r="P1185">
        <v>4.1927974228372755E-3</v>
      </c>
      <c r="Q1185" t="s">
        <v>163</v>
      </c>
      <c r="S1185" t="s">
        <v>263</v>
      </c>
      <c r="T1185" t="s">
        <v>325</v>
      </c>
      <c r="U1185">
        <v>4.1239190542397899E-3</v>
      </c>
      <c r="V1185" t="s">
        <v>163</v>
      </c>
    </row>
    <row r="1186" spans="9:22" x14ac:dyDescent="0.45">
      <c r="I1186" t="s">
        <v>201</v>
      </c>
      <c r="J1186" t="s">
        <v>326</v>
      </c>
      <c r="K1186">
        <v>0</v>
      </c>
      <c r="L1186" t="s">
        <v>163</v>
      </c>
      <c r="N1186" t="s">
        <v>232</v>
      </c>
      <c r="O1186" t="s">
        <v>326</v>
      </c>
      <c r="P1186">
        <v>2.221861539088528E-2</v>
      </c>
      <c r="Q1186" t="s">
        <v>163</v>
      </c>
      <c r="S1186" t="s">
        <v>263</v>
      </c>
      <c r="T1186" t="s">
        <v>326</v>
      </c>
      <c r="U1186">
        <v>2.1888772216878762E-2</v>
      </c>
      <c r="V1186" t="s">
        <v>163</v>
      </c>
    </row>
    <row r="1187" spans="9:22" x14ac:dyDescent="0.45">
      <c r="I1187" t="s">
        <v>202</v>
      </c>
      <c r="J1187" t="s">
        <v>162</v>
      </c>
      <c r="K1187">
        <v>1.1086776807006218E-2</v>
      </c>
      <c r="L1187" t="s">
        <v>163</v>
      </c>
      <c r="N1187" t="s">
        <v>233</v>
      </c>
      <c r="O1187" t="s">
        <v>162</v>
      </c>
      <c r="P1187">
        <v>0.13736535558199228</v>
      </c>
      <c r="Q1187" t="s">
        <v>163</v>
      </c>
      <c r="S1187" t="s">
        <v>264</v>
      </c>
      <c r="T1187" t="s">
        <v>162</v>
      </c>
      <c r="U1187">
        <v>0.12409859297417639</v>
      </c>
      <c r="V1187" t="s">
        <v>163</v>
      </c>
    </row>
    <row r="1188" spans="9:22" x14ac:dyDescent="0.45">
      <c r="I1188" t="s">
        <v>202</v>
      </c>
      <c r="J1188" t="s">
        <v>164</v>
      </c>
      <c r="K1188">
        <v>4.9250943160495921E-2</v>
      </c>
      <c r="L1188" t="s">
        <v>163</v>
      </c>
      <c r="N1188" t="s">
        <v>233</v>
      </c>
      <c r="O1188" t="s">
        <v>164</v>
      </c>
      <c r="P1188">
        <v>3.5323950766774775E-2</v>
      </c>
      <c r="Q1188" t="s">
        <v>163</v>
      </c>
      <c r="S1188" t="s">
        <v>264</v>
      </c>
      <c r="T1188" t="s">
        <v>164</v>
      </c>
      <c r="U1188">
        <v>2.6020734639608915E-2</v>
      </c>
      <c r="V1188" t="s">
        <v>163</v>
      </c>
    </row>
    <row r="1189" spans="9:22" x14ac:dyDescent="0.45">
      <c r="I1189" t="s">
        <v>202</v>
      </c>
      <c r="J1189" t="s">
        <v>165</v>
      </c>
      <c r="K1189">
        <v>0.11125183352195782</v>
      </c>
      <c r="L1189" t="s">
        <v>163</v>
      </c>
      <c r="N1189" t="s">
        <v>233</v>
      </c>
      <c r="O1189" t="s">
        <v>165</v>
      </c>
      <c r="P1189">
        <v>7.1879172723366747E-2</v>
      </c>
      <c r="Q1189" t="s">
        <v>163</v>
      </c>
      <c r="S1189" t="s">
        <v>264</v>
      </c>
      <c r="T1189" t="s">
        <v>165</v>
      </c>
      <c r="U1189">
        <v>3.9924128321288492E-2</v>
      </c>
      <c r="V1189" t="s">
        <v>163</v>
      </c>
    </row>
    <row r="1190" spans="9:22" x14ac:dyDescent="0.45">
      <c r="I1190" t="s">
        <v>202</v>
      </c>
      <c r="J1190" t="s">
        <v>297</v>
      </c>
      <c r="K1190">
        <v>0.15261467751656888</v>
      </c>
      <c r="L1190" t="s">
        <v>163</v>
      </c>
      <c r="N1190" t="s">
        <v>233</v>
      </c>
      <c r="O1190" t="s">
        <v>297</v>
      </c>
      <c r="P1190">
        <v>0.12714445561094748</v>
      </c>
      <c r="Q1190" t="s">
        <v>163</v>
      </c>
      <c r="S1190" t="s">
        <v>264</v>
      </c>
      <c r="T1190" t="s">
        <v>297</v>
      </c>
      <c r="U1190">
        <v>7.4443015729785719E-2</v>
      </c>
      <c r="V1190" t="s">
        <v>163</v>
      </c>
    </row>
    <row r="1191" spans="9:22" x14ac:dyDescent="0.45">
      <c r="I1191" t="s">
        <v>202</v>
      </c>
      <c r="J1191" t="s">
        <v>298</v>
      </c>
      <c r="K1191">
        <v>6.6135086840432592E-3</v>
      </c>
      <c r="L1191" t="s">
        <v>163</v>
      </c>
      <c r="N1191" t="s">
        <v>233</v>
      </c>
      <c r="O1191" t="s">
        <v>298</v>
      </c>
      <c r="P1191">
        <v>2.0592004135668498E-2</v>
      </c>
      <c r="Q1191" t="s">
        <v>163</v>
      </c>
      <c r="S1191" t="s">
        <v>264</v>
      </c>
      <c r="T1191" t="s">
        <v>298</v>
      </c>
      <c r="U1191">
        <v>1.5270296753674783E-2</v>
      </c>
      <c r="V1191" t="s">
        <v>163</v>
      </c>
    </row>
    <row r="1192" spans="9:22" x14ac:dyDescent="0.45">
      <c r="I1192" t="s">
        <v>202</v>
      </c>
      <c r="J1192" t="s">
        <v>299</v>
      </c>
      <c r="K1192">
        <v>0</v>
      </c>
      <c r="L1192" t="s">
        <v>163</v>
      </c>
      <c r="N1192" t="s">
        <v>233</v>
      </c>
      <c r="O1192" t="s">
        <v>299</v>
      </c>
      <c r="P1192">
        <v>8.5796428263502769E-2</v>
      </c>
      <c r="Q1192" t="s">
        <v>163</v>
      </c>
      <c r="S1192" t="s">
        <v>264</v>
      </c>
      <c r="T1192" t="s">
        <v>299</v>
      </c>
      <c r="U1192">
        <v>7.2754674664576316E-2</v>
      </c>
      <c r="V1192" t="s">
        <v>163</v>
      </c>
    </row>
    <row r="1193" spans="9:22" x14ac:dyDescent="0.45">
      <c r="I1193" t="s">
        <v>202</v>
      </c>
      <c r="J1193" t="s">
        <v>166</v>
      </c>
      <c r="K1193">
        <v>8.3439269311359355E-3</v>
      </c>
      <c r="L1193" t="s">
        <v>163</v>
      </c>
      <c r="N1193" t="s">
        <v>233</v>
      </c>
      <c r="O1193" t="s">
        <v>166</v>
      </c>
      <c r="P1193">
        <v>1.9506150521867827E-2</v>
      </c>
      <c r="Q1193" t="s">
        <v>163</v>
      </c>
      <c r="S1193" t="s">
        <v>264</v>
      </c>
      <c r="T1193" t="s">
        <v>166</v>
      </c>
      <c r="U1193">
        <v>2.3657573926732022E-2</v>
      </c>
      <c r="V1193" t="s">
        <v>163</v>
      </c>
    </row>
    <row r="1194" spans="9:22" x14ac:dyDescent="0.45">
      <c r="I1194" t="s">
        <v>202</v>
      </c>
      <c r="J1194" t="s">
        <v>167</v>
      </c>
      <c r="K1194">
        <v>1.7856733241682087E-2</v>
      </c>
      <c r="L1194" t="s">
        <v>163</v>
      </c>
      <c r="N1194" t="s">
        <v>233</v>
      </c>
      <c r="O1194" t="s">
        <v>167</v>
      </c>
      <c r="P1194">
        <v>5.1376500793468925E-3</v>
      </c>
      <c r="Q1194" t="s">
        <v>163</v>
      </c>
      <c r="S1194" t="s">
        <v>264</v>
      </c>
      <c r="T1194" t="s">
        <v>167</v>
      </c>
      <c r="U1194">
        <v>5.0682023472897308E-3</v>
      </c>
      <c r="V1194" t="s">
        <v>163</v>
      </c>
    </row>
    <row r="1195" spans="9:22" x14ac:dyDescent="0.45">
      <c r="I1195" t="s">
        <v>202</v>
      </c>
      <c r="J1195" t="s">
        <v>168</v>
      </c>
      <c r="K1195">
        <v>3.6039519490066674E-2</v>
      </c>
      <c r="L1195" t="s">
        <v>163</v>
      </c>
      <c r="N1195" t="s">
        <v>233</v>
      </c>
      <c r="O1195" t="s">
        <v>168</v>
      </c>
      <c r="P1195">
        <v>8.8014168339009546E-3</v>
      </c>
      <c r="Q1195" t="s">
        <v>163</v>
      </c>
      <c r="S1195" t="s">
        <v>264</v>
      </c>
      <c r="T1195" t="s">
        <v>168</v>
      </c>
      <c r="U1195">
        <v>7.806570409421093E-3</v>
      </c>
      <c r="V1195" t="s">
        <v>163</v>
      </c>
    </row>
    <row r="1196" spans="9:22" x14ac:dyDescent="0.45">
      <c r="I1196" t="s">
        <v>202</v>
      </c>
      <c r="J1196" t="s">
        <v>300</v>
      </c>
      <c r="K1196">
        <v>5.2069582768651604E-2</v>
      </c>
      <c r="L1196" t="s">
        <v>163</v>
      </c>
      <c r="N1196" t="s">
        <v>233</v>
      </c>
      <c r="O1196" t="s">
        <v>300</v>
      </c>
      <c r="P1196">
        <v>1.5766280314759903E-2</v>
      </c>
      <c r="Q1196" t="s">
        <v>163</v>
      </c>
      <c r="S1196" t="s">
        <v>264</v>
      </c>
      <c r="T1196" t="s">
        <v>300</v>
      </c>
      <c r="U1196">
        <v>1.4389123522782118E-2</v>
      </c>
      <c r="V1196" t="s">
        <v>163</v>
      </c>
    </row>
    <row r="1197" spans="9:22" x14ac:dyDescent="0.45">
      <c r="I1197" t="s">
        <v>202</v>
      </c>
      <c r="J1197" t="s">
        <v>301</v>
      </c>
      <c r="K1197">
        <v>4.5490054695508167E-3</v>
      </c>
      <c r="L1197" t="s">
        <v>163</v>
      </c>
      <c r="N1197" t="s">
        <v>233</v>
      </c>
      <c r="O1197" t="s">
        <v>301</v>
      </c>
      <c r="P1197">
        <v>2.5836676821176631E-3</v>
      </c>
      <c r="Q1197" t="s">
        <v>163</v>
      </c>
      <c r="S1197" t="s">
        <v>264</v>
      </c>
      <c r="T1197" t="s">
        <v>301</v>
      </c>
      <c r="U1197">
        <v>3.0689181458572095E-3</v>
      </c>
      <c r="V1197" t="s">
        <v>163</v>
      </c>
    </row>
    <row r="1198" spans="9:22" x14ac:dyDescent="0.45">
      <c r="I1198" t="s">
        <v>202</v>
      </c>
      <c r="J1198" t="s">
        <v>302</v>
      </c>
      <c r="K1198">
        <v>1.477132718143692E-3</v>
      </c>
      <c r="L1198" t="s">
        <v>163</v>
      </c>
      <c r="N1198" t="s">
        <v>233</v>
      </c>
      <c r="O1198" t="s">
        <v>302</v>
      </c>
      <c r="P1198">
        <v>1.114007933962595E-2</v>
      </c>
      <c r="Q1198" t="s">
        <v>163</v>
      </c>
      <c r="S1198" t="s">
        <v>264</v>
      </c>
      <c r="T1198" t="s">
        <v>302</v>
      </c>
      <c r="U1198">
        <v>1.4342657944453358E-2</v>
      </c>
      <c r="V1198" t="s">
        <v>163</v>
      </c>
    </row>
    <row r="1199" spans="9:22" x14ac:dyDescent="0.45">
      <c r="I1199" t="s">
        <v>202</v>
      </c>
      <c r="J1199" t="s">
        <v>169</v>
      </c>
      <c r="K1199">
        <v>8.100992326432464E-3</v>
      </c>
      <c r="L1199" t="s">
        <v>163</v>
      </c>
      <c r="N1199" t="s">
        <v>233</v>
      </c>
      <c r="O1199" t="s">
        <v>169</v>
      </c>
      <c r="P1199">
        <v>2.8461607392750738E-3</v>
      </c>
      <c r="Q1199" t="s">
        <v>163</v>
      </c>
      <c r="S1199" t="s">
        <v>264</v>
      </c>
      <c r="T1199" t="s">
        <v>169</v>
      </c>
      <c r="U1199">
        <v>9.4942654401008204E-3</v>
      </c>
      <c r="V1199" t="s">
        <v>163</v>
      </c>
    </row>
    <row r="1200" spans="9:22" x14ac:dyDescent="0.45">
      <c r="I1200" t="s">
        <v>202</v>
      </c>
      <c r="J1200" t="s">
        <v>170</v>
      </c>
      <c r="K1200">
        <v>1.6351490145438182E-2</v>
      </c>
      <c r="L1200" t="s">
        <v>163</v>
      </c>
      <c r="N1200" t="s">
        <v>233</v>
      </c>
      <c r="O1200" t="s">
        <v>170</v>
      </c>
      <c r="P1200">
        <v>7.4986582137550912E-4</v>
      </c>
      <c r="Q1200" t="s">
        <v>163</v>
      </c>
      <c r="S1200" t="s">
        <v>264</v>
      </c>
      <c r="T1200" t="s">
        <v>170</v>
      </c>
      <c r="U1200">
        <v>2.3847662914396779E-3</v>
      </c>
      <c r="V1200" t="s">
        <v>163</v>
      </c>
    </row>
    <row r="1201" spans="9:22" x14ac:dyDescent="0.45">
      <c r="I1201" t="s">
        <v>202</v>
      </c>
      <c r="J1201" t="s">
        <v>171</v>
      </c>
      <c r="K1201">
        <v>3.3267069990371274E-2</v>
      </c>
      <c r="L1201" t="s">
        <v>163</v>
      </c>
      <c r="N1201" t="s">
        <v>233</v>
      </c>
      <c r="O1201" t="s">
        <v>171</v>
      </c>
      <c r="P1201">
        <v>1.5889126749983565E-3</v>
      </c>
      <c r="Q1201" t="s">
        <v>163</v>
      </c>
      <c r="S1201" t="s">
        <v>264</v>
      </c>
      <c r="T1201" t="s">
        <v>171</v>
      </c>
      <c r="U1201">
        <v>3.5288495224597783E-3</v>
      </c>
      <c r="V1201" t="s">
        <v>163</v>
      </c>
    </row>
    <row r="1202" spans="9:22" x14ac:dyDescent="0.45">
      <c r="I1202" t="s">
        <v>202</v>
      </c>
      <c r="J1202" t="s">
        <v>303</v>
      </c>
      <c r="K1202">
        <v>4.8262323511475552E-2</v>
      </c>
      <c r="L1202" t="s">
        <v>163</v>
      </c>
      <c r="N1202" t="s">
        <v>233</v>
      </c>
      <c r="O1202" t="s">
        <v>303</v>
      </c>
      <c r="P1202">
        <v>4.180614597246838E-3</v>
      </c>
      <c r="Q1202" t="s">
        <v>163</v>
      </c>
      <c r="S1202" t="s">
        <v>264</v>
      </c>
      <c r="T1202" t="s">
        <v>303</v>
      </c>
      <c r="U1202">
        <v>7.5014054003412602E-3</v>
      </c>
      <c r="V1202" t="s">
        <v>163</v>
      </c>
    </row>
    <row r="1203" spans="9:22" x14ac:dyDescent="0.45">
      <c r="I1203" t="s">
        <v>202</v>
      </c>
      <c r="J1203" t="s">
        <v>304</v>
      </c>
      <c r="K1203">
        <v>4.6955323629307199E-3</v>
      </c>
      <c r="L1203" t="s">
        <v>163</v>
      </c>
      <c r="N1203" t="s">
        <v>233</v>
      </c>
      <c r="O1203" t="s">
        <v>304</v>
      </c>
      <c r="P1203">
        <v>7.5833808484690533E-4</v>
      </c>
      <c r="Q1203" t="s">
        <v>163</v>
      </c>
      <c r="S1203" t="s">
        <v>264</v>
      </c>
      <c r="T1203" t="s">
        <v>304</v>
      </c>
      <c r="U1203">
        <v>1.5755760622084228E-3</v>
      </c>
      <c r="V1203" t="s">
        <v>163</v>
      </c>
    </row>
    <row r="1204" spans="9:22" x14ac:dyDescent="0.45">
      <c r="I1204" t="s">
        <v>202</v>
      </c>
      <c r="J1204" t="s">
        <v>305</v>
      </c>
      <c r="K1204">
        <v>2.0389845801409047E-3</v>
      </c>
      <c r="L1204" t="s">
        <v>163</v>
      </c>
      <c r="N1204" t="s">
        <v>233</v>
      </c>
      <c r="O1204" t="s">
        <v>305</v>
      </c>
      <c r="P1204">
        <v>2.438849782956489E-3</v>
      </c>
      <c r="Q1204" t="s">
        <v>163</v>
      </c>
      <c r="S1204" t="s">
        <v>264</v>
      </c>
      <c r="T1204" t="s">
        <v>305</v>
      </c>
      <c r="U1204">
        <v>6.7902999254606218E-3</v>
      </c>
      <c r="V1204" t="s">
        <v>163</v>
      </c>
    </row>
    <row r="1205" spans="9:22" x14ac:dyDescent="0.45">
      <c r="I1205" t="s">
        <v>202</v>
      </c>
      <c r="J1205" t="s">
        <v>172</v>
      </c>
      <c r="K1205">
        <v>9.0576369533187946E-3</v>
      </c>
      <c r="L1205" t="s">
        <v>163</v>
      </c>
      <c r="N1205" t="s">
        <v>233</v>
      </c>
      <c r="O1205" t="s">
        <v>172</v>
      </c>
      <c r="P1205">
        <v>1.8626930237625249E-2</v>
      </c>
      <c r="Q1205" t="s">
        <v>163</v>
      </c>
      <c r="S1205" t="s">
        <v>264</v>
      </c>
      <c r="T1205" t="s">
        <v>172</v>
      </c>
      <c r="U1205">
        <v>6.7391246084588685E-2</v>
      </c>
      <c r="V1205" t="s">
        <v>163</v>
      </c>
    </row>
    <row r="1206" spans="9:22" x14ac:dyDescent="0.45">
      <c r="I1206" t="s">
        <v>202</v>
      </c>
      <c r="J1206" t="s">
        <v>173</v>
      </c>
      <c r="K1206">
        <v>2.556337490074936E-2</v>
      </c>
      <c r="L1206" t="s">
        <v>163</v>
      </c>
      <c r="N1206" t="s">
        <v>233</v>
      </c>
      <c r="O1206" t="s">
        <v>173</v>
      </c>
      <c r="P1206">
        <v>4.6143917974155657E-3</v>
      </c>
      <c r="Q1206" t="s">
        <v>163</v>
      </c>
      <c r="S1206" t="s">
        <v>264</v>
      </c>
      <c r="T1206" t="s">
        <v>173</v>
      </c>
      <c r="U1206">
        <v>1.5461826526174862E-2</v>
      </c>
      <c r="V1206" t="s">
        <v>163</v>
      </c>
    </row>
    <row r="1207" spans="9:22" x14ac:dyDescent="0.45">
      <c r="I1207" t="s">
        <v>202</v>
      </c>
      <c r="J1207" t="s">
        <v>174</v>
      </c>
      <c r="K1207">
        <v>5.6567309143725555E-2</v>
      </c>
      <c r="L1207" t="s">
        <v>163</v>
      </c>
      <c r="N1207" t="s">
        <v>233</v>
      </c>
      <c r="O1207" t="s">
        <v>174</v>
      </c>
      <c r="P1207">
        <v>9.7676688362014104E-3</v>
      </c>
      <c r="Q1207" t="s">
        <v>163</v>
      </c>
      <c r="S1207" t="s">
        <v>264</v>
      </c>
      <c r="T1207" t="s">
        <v>174</v>
      </c>
      <c r="U1207">
        <v>2.4355697757109634E-2</v>
      </c>
      <c r="V1207" t="s">
        <v>163</v>
      </c>
    </row>
    <row r="1208" spans="9:22" x14ac:dyDescent="0.45">
      <c r="I1208" t="s">
        <v>202</v>
      </c>
      <c r="J1208" t="s">
        <v>306</v>
      </c>
      <c r="K1208">
        <v>7.9635752241238464E-2</v>
      </c>
      <c r="L1208" t="s">
        <v>163</v>
      </c>
      <c r="N1208" t="s">
        <v>233</v>
      </c>
      <c r="O1208" t="s">
        <v>306</v>
      </c>
      <c r="P1208">
        <v>1.8173074237106967E-2</v>
      </c>
      <c r="Q1208" t="s">
        <v>163</v>
      </c>
      <c r="S1208" t="s">
        <v>264</v>
      </c>
      <c r="T1208" t="s">
        <v>306</v>
      </c>
      <c r="U1208">
        <v>4.0273532497731086E-2</v>
      </c>
      <c r="V1208" t="s">
        <v>163</v>
      </c>
    </row>
    <row r="1209" spans="9:22" x14ac:dyDescent="0.45">
      <c r="I1209" t="s">
        <v>202</v>
      </c>
      <c r="J1209" t="s">
        <v>307</v>
      </c>
      <c r="K1209">
        <v>6.4704117818333122E-3</v>
      </c>
      <c r="L1209" t="s">
        <v>163</v>
      </c>
      <c r="N1209" t="s">
        <v>233</v>
      </c>
      <c r="O1209" t="s">
        <v>307</v>
      </c>
      <c r="P1209">
        <v>3.2062399872482966E-3</v>
      </c>
      <c r="Q1209" t="s">
        <v>163</v>
      </c>
      <c r="S1209" t="s">
        <v>264</v>
      </c>
      <c r="T1209" t="s">
        <v>307</v>
      </c>
      <c r="U1209">
        <v>7.7413084065678164E-3</v>
      </c>
      <c r="V1209" t="s">
        <v>163</v>
      </c>
    </row>
    <row r="1210" spans="9:22" x14ac:dyDescent="0.45">
      <c r="I1210" t="s">
        <v>202</v>
      </c>
      <c r="J1210" t="s">
        <v>308</v>
      </c>
      <c r="K1210">
        <v>1.7728038098650803E-3</v>
      </c>
      <c r="L1210" t="s">
        <v>163</v>
      </c>
      <c r="N1210" t="s">
        <v>233</v>
      </c>
      <c r="O1210" t="s">
        <v>308</v>
      </c>
      <c r="P1210">
        <v>1.2610158060718232E-2</v>
      </c>
      <c r="Q1210" t="s">
        <v>163</v>
      </c>
      <c r="S1210" t="s">
        <v>264</v>
      </c>
      <c r="T1210" t="s">
        <v>308</v>
      </c>
      <c r="U1210">
        <v>3.5703074809807687E-2</v>
      </c>
      <c r="V1210" t="s">
        <v>163</v>
      </c>
    </row>
    <row r="1211" spans="9:22" x14ac:dyDescent="0.45">
      <c r="I1211" t="s">
        <v>202</v>
      </c>
      <c r="J1211" t="s">
        <v>309</v>
      </c>
      <c r="K1211">
        <v>4.0455987363453563E-3</v>
      </c>
      <c r="L1211" t="s">
        <v>163</v>
      </c>
      <c r="N1211" t="s">
        <v>233</v>
      </c>
      <c r="O1211" t="s">
        <v>309</v>
      </c>
      <c r="P1211">
        <v>1.6854213502650726E-2</v>
      </c>
      <c r="Q1211" t="s">
        <v>163</v>
      </c>
      <c r="S1211" t="s">
        <v>264</v>
      </c>
      <c r="T1211" t="s">
        <v>309</v>
      </c>
      <c r="U1211">
        <v>1.6945313058963362E-2</v>
      </c>
      <c r="V1211" t="s">
        <v>163</v>
      </c>
    </row>
    <row r="1212" spans="9:22" x14ac:dyDescent="0.45">
      <c r="I1212" t="s">
        <v>202</v>
      </c>
      <c r="J1212" t="s">
        <v>310</v>
      </c>
      <c r="K1212">
        <v>1.5008262670206E-2</v>
      </c>
      <c r="L1212" t="s">
        <v>163</v>
      </c>
      <c r="N1212" t="s">
        <v>233</v>
      </c>
      <c r="O1212" t="s">
        <v>310</v>
      </c>
      <c r="P1212">
        <v>3.2906491399105433E-3</v>
      </c>
      <c r="Q1212" t="s">
        <v>163</v>
      </c>
      <c r="S1212" t="s">
        <v>264</v>
      </c>
      <c r="T1212" t="s">
        <v>310</v>
      </c>
      <c r="U1212">
        <v>4.1141801345425024E-3</v>
      </c>
      <c r="V1212" t="s">
        <v>163</v>
      </c>
    </row>
    <row r="1213" spans="9:22" x14ac:dyDescent="0.45">
      <c r="I1213" t="s">
        <v>202</v>
      </c>
      <c r="J1213" t="s">
        <v>311</v>
      </c>
      <c r="K1213">
        <v>2.887474028887424E-2</v>
      </c>
      <c r="L1213" t="s">
        <v>163</v>
      </c>
      <c r="N1213" t="s">
        <v>233</v>
      </c>
      <c r="O1213" t="s">
        <v>311</v>
      </c>
      <c r="P1213">
        <v>8.1407111733382918E-3</v>
      </c>
      <c r="Q1213" t="s">
        <v>163</v>
      </c>
      <c r="S1213" t="s">
        <v>264</v>
      </c>
      <c r="T1213" t="s">
        <v>311</v>
      </c>
      <c r="U1213">
        <v>6.4062178873784533E-3</v>
      </c>
      <c r="V1213" t="s">
        <v>163</v>
      </c>
    </row>
    <row r="1214" spans="9:22" x14ac:dyDescent="0.45">
      <c r="I1214" t="s">
        <v>202</v>
      </c>
      <c r="J1214" t="s">
        <v>312</v>
      </c>
      <c r="K1214">
        <v>4.0344004492831896E-2</v>
      </c>
      <c r="L1214" t="s">
        <v>163</v>
      </c>
      <c r="N1214" t="s">
        <v>233</v>
      </c>
      <c r="O1214" t="s">
        <v>312</v>
      </c>
      <c r="P1214">
        <v>1.5527946590308539E-2</v>
      </c>
      <c r="Q1214" t="s">
        <v>163</v>
      </c>
      <c r="S1214" t="s">
        <v>264</v>
      </c>
      <c r="T1214" t="s">
        <v>312</v>
      </c>
      <c r="U1214">
        <v>1.1149917637627807E-2</v>
      </c>
      <c r="V1214" t="s">
        <v>163</v>
      </c>
    </row>
    <row r="1215" spans="9:22" x14ac:dyDescent="0.45">
      <c r="I1215" t="s">
        <v>202</v>
      </c>
      <c r="J1215" t="s">
        <v>313</v>
      </c>
      <c r="K1215">
        <v>2.1290544477854216E-3</v>
      </c>
      <c r="L1215" t="s">
        <v>163</v>
      </c>
      <c r="N1215" t="s">
        <v>233</v>
      </c>
      <c r="O1215" t="s">
        <v>313</v>
      </c>
      <c r="P1215">
        <v>2.9179744198926634E-3</v>
      </c>
      <c r="Q1215" t="s">
        <v>163</v>
      </c>
      <c r="S1215" t="s">
        <v>264</v>
      </c>
      <c r="T1215" t="s">
        <v>313</v>
      </c>
      <c r="U1215">
        <v>2.617436254560848E-3</v>
      </c>
      <c r="V1215" t="s">
        <v>163</v>
      </c>
    </row>
    <row r="1216" spans="9:22" x14ac:dyDescent="0.45">
      <c r="I1216" t="s">
        <v>202</v>
      </c>
      <c r="J1216" t="s">
        <v>314</v>
      </c>
      <c r="K1216">
        <v>0</v>
      </c>
      <c r="L1216" t="s">
        <v>163</v>
      </c>
      <c r="N1216" t="s">
        <v>233</v>
      </c>
      <c r="O1216" t="s">
        <v>314</v>
      </c>
      <c r="P1216">
        <v>1.1803917472406833E-2</v>
      </c>
      <c r="Q1216" t="s">
        <v>163</v>
      </c>
      <c r="S1216" t="s">
        <v>264</v>
      </c>
      <c r="T1216" t="s">
        <v>314</v>
      </c>
      <c r="U1216">
        <v>1.327673060880102E-2</v>
      </c>
      <c r="V1216" t="s">
        <v>163</v>
      </c>
    </row>
    <row r="1217" spans="9:22" x14ac:dyDescent="0.45">
      <c r="I1217" t="s">
        <v>202</v>
      </c>
      <c r="J1217" t="s">
        <v>315</v>
      </c>
      <c r="K1217">
        <v>3.2990818356360262E-3</v>
      </c>
      <c r="L1217" t="s">
        <v>163</v>
      </c>
      <c r="N1217" t="s">
        <v>233</v>
      </c>
      <c r="O1217" t="s">
        <v>315</v>
      </c>
      <c r="P1217">
        <v>5.8393903399720067E-2</v>
      </c>
      <c r="Q1217" t="s">
        <v>163</v>
      </c>
      <c r="S1217" t="s">
        <v>264</v>
      </c>
      <c r="T1217" t="s">
        <v>315</v>
      </c>
      <c r="U1217">
        <v>6.2800586820063578E-2</v>
      </c>
      <c r="V1217" t="s">
        <v>163</v>
      </c>
    </row>
    <row r="1218" spans="9:22" x14ac:dyDescent="0.45">
      <c r="I1218" t="s">
        <v>202</v>
      </c>
      <c r="J1218" t="s">
        <v>316</v>
      </c>
      <c r="K1218">
        <v>1.9866174984302588E-2</v>
      </c>
      <c r="L1218" t="s">
        <v>163</v>
      </c>
      <c r="N1218" t="s">
        <v>233</v>
      </c>
      <c r="O1218" t="s">
        <v>316</v>
      </c>
      <c r="P1218">
        <v>1.2798259906261442E-2</v>
      </c>
      <c r="Q1218" t="s">
        <v>163</v>
      </c>
      <c r="S1218" t="s">
        <v>264</v>
      </c>
      <c r="T1218" t="s">
        <v>316</v>
      </c>
      <c r="U1218">
        <v>1.5186625198853082E-2</v>
      </c>
      <c r="V1218" t="s">
        <v>163</v>
      </c>
    </row>
    <row r="1219" spans="9:22" x14ac:dyDescent="0.45">
      <c r="I1219" t="s">
        <v>202</v>
      </c>
      <c r="J1219" t="s">
        <v>317</v>
      </c>
      <c r="K1219">
        <v>4.3008107114526073E-2</v>
      </c>
      <c r="L1219" t="s">
        <v>163</v>
      </c>
      <c r="N1219" t="s">
        <v>233</v>
      </c>
      <c r="O1219" t="s">
        <v>317</v>
      </c>
      <c r="P1219">
        <v>2.9703366637277073E-2</v>
      </c>
      <c r="Q1219" t="s">
        <v>163</v>
      </c>
      <c r="S1219" t="s">
        <v>264</v>
      </c>
      <c r="T1219" t="s">
        <v>317</v>
      </c>
      <c r="U1219">
        <v>2.2529641029680282E-2</v>
      </c>
      <c r="V1219" t="s">
        <v>163</v>
      </c>
    </row>
    <row r="1220" spans="9:22" x14ac:dyDescent="0.45">
      <c r="I1220" t="s">
        <v>202</v>
      </c>
      <c r="J1220" t="s">
        <v>318</v>
      </c>
      <c r="K1220">
        <v>5.6438379679696928E-2</v>
      </c>
      <c r="L1220" t="s">
        <v>163</v>
      </c>
      <c r="N1220" t="s">
        <v>233</v>
      </c>
      <c r="O1220" t="s">
        <v>318</v>
      </c>
      <c r="P1220">
        <v>4.8215707362323744E-2</v>
      </c>
      <c r="Q1220" t="s">
        <v>163</v>
      </c>
      <c r="S1220" t="s">
        <v>264</v>
      </c>
      <c r="T1220" t="s">
        <v>318</v>
      </c>
      <c r="U1220">
        <v>3.9409582487003207E-2</v>
      </c>
      <c r="V1220" t="s">
        <v>163</v>
      </c>
    </row>
    <row r="1221" spans="9:22" x14ac:dyDescent="0.45">
      <c r="I1221" t="s">
        <v>202</v>
      </c>
      <c r="J1221" t="s">
        <v>319</v>
      </c>
      <c r="K1221">
        <v>0</v>
      </c>
      <c r="L1221" t="s">
        <v>163</v>
      </c>
      <c r="N1221" t="s">
        <v>233</v>
      </c>
      <c r="O1221" t="s">
        <v>319</v>
      </c>
      <c r="P1221">
        <v>8.1822878164958431E-3</v>
      </c>
      <c r="Q1221" t="s">
        <v>163</v>
      </c>
      <c r="S1221" t="s">
        <v>264</v>
      </c>
      <c r="T1221" t="s">
        <v>319</v>
      </c>
      <c r="U1221">
        <v>8.2204001899342533E-3</v>
      </c>
      <c r="V1221" t="s">
        <v>163</v>
      </c>
    </row>
    <row r="1222" spans="9:22" x14ac:dyDescent="0.45">
      <c r="I1222" t="s">
        <v>202</v>
      </c>
      <c r="J1222" t="s">
        <v>320</v>
      </c>
      <c r="K1222">
        <v>0</v>
      </c>
      <c r="L1222" t="s">
        <v>163</v>
      </c>
      <c r="N1222" t="s">
        <v>233</v>
      </c>
      <c r="O1222" t="s">
        <v>320</v>
      </c>
      <c r="P1222">
        <v>3.7415962820585152E-2</v>
      </c>
      <c r="Q1222" t="s">
        <v>163</v>
      </c>
      <c r="S1222" t="s">
        <v>264</v>
      </c>
      <c r="T1222" t="s">
        <v>320</v>
      </c>
      <c r="U1222">
        <v>3.8012785556674075E-2</v>
      </c>
      <c r="V1222" t="s">
        <v>163</v>
      </c>
    </row>
    <row r="1223" spans="9:22" x14ac:dyDescent="0.45">
      <c r="I1223" t="s">
        <v>202</v>
      </c>
      <c r="J1223" t="s">
        <v>321</v>
      </c>
      <c r="K1223">
        <v>0</v>
      </c>
      <c r="L1223" t="s">
        <v>163</v>
      </c>
      <c r="N1223" t="s">
        <v>233</v>
      </c>
      <c r="O1223" t="s">
        <v>321</v>
      </c>
      <c r="P1223">
        <v>4.3699020651311808E-2</v>
      </c>
      <c r="Q1223" t="s">
        <v>163</v>
      </c>
      <c r="S1223" t="s">
        <v>264</v>
      </c>
      <c r="T1223" t="s">
        <v>321</v>
      </c>
      <c r="U1223">
        <v>3.7603214339448854E-2</v>
      </c>
      <c r="V1223" t="s">
        <v>163</v>
      </c>
    </row>
    <row r="1224" spans="9:22" x14ac:dyDescent="0.45">
      <c r="I1224" t="s">
        <v>202</v>
      </c>
      <c r="J1224" t="s">
        <v>322</v>
      </c>
      <c r="K1224">
        <v>6.0398292523327407E-3</v>
      </c>
      <c r="L1224" t="s">
        <v>163</v>
      </c>
      <c r="N1224" t="s">
        <v>233</v>
      </c>
      <c r="O1224" t="s">
        <v>322</v>
      </c>
      <c r="P1224">
        <v>8.8917565739286917E-3</v>
      </c>
      <c r="Q1224" t="s">
        <v>163</v>
      </c>
      <c r="S1224" t="s">
        <v>264</v>
      </c>
      <c r="T1224" t="s">
        <v>322</v>
      </c>
      <c r="U1224">
        <v>9.3214628432605057E-3</v>
      </c>
      <c r="V1224" t="s">
        <v>163</v>
      </c>
    </row>
    <row r="1225" spans="9:22" x14ac:dyDescent="0.45">
      <c r="I1225" t="s">
        <v>202</v>
      </c>
      <c r="J1225" t="s">
        <v>323</v>
      </c>
      <c r="K1225">
        <v>1.7071279418884269E-2</v>
      </c>
      <c r="L1225" t="s">
        <v>163</v>
      </c>
      <c r="N1225" t="s">
        <v>233</v>
      </c>
      <c r="O1225" t="s">
        <v>323</v>
      </c>
      <c r="P1225">
        <v>1.8283131753652156E-2</v>
      </c>
      <c r="Q1225" t="s">
        <v>163</v>
      </c>
      <c r="S1225" t="s">
        <v>264</v>
      </c>
      <c r="T1225" t="s">
        <v>323</v>
      </c>
      <c r="U1225">
        <v>1.5320561969344762E-2</v>
      </c>
      <c r="V1225" t="s">
        <v>163</v>
      </c>
    </row>
    <row r="1226" spans="9:22" x14ac:dyDescent="0.45">
      <c r="I1226" t="s">
        <v>202</v>
      </c>
      <c r="J1226" t="s">
        <v>324</v>
      </c>
      <c r="K1226">
        <v>2.0938165021755339E-2</v>
      </c>
      <c r="L1226" t="s">
        <v>163</v>
      </c>
      <c r="N1226" t="s">
        <v>233</v>
      </c>
      <c r="O1226" t="s">
        <v>324</v>
      </c>
      <c r="P1226">
        <v>2.8172722876396245E-2</v>
      </c>
      <c r="Q1226" t="s">
        <v>163</v>
      </c>
      <c r="S1226" t="s">
        <v>264</v>
      </c>
      <c r="T1226" t="s">
        <v>324</v>
      </c>
      <c r="U1226">
        <v>2.596788883439809E-2</v>
      </c>
      <c r="V1226" t="s">
        <v>163</v>
      </c>
    </row>
    <row r="1227" spans="9:22" x14ac:dyDescent="0.45">
      <c r="I1227" t="s">
        <v>202</v>
      </c>
      <c r="J1227" t="s">
        <v>325</v>
      </c>
      <c r="K1227">
        <v>0</v>
      </c>
      <c r="L1227" t="s">
        <v>163</v>
      </c>
      <c r="N1227" t="s">
        <v>233</v>
      </c>
      <c r="O1227" t="s">
        <v>325</v>
      </c>
      <c r="P1227">
        <v>4.6336481753541372E-3</v>
      </c>
      <c r="Q1227" t="s">
        <v>163</v>
      </c>
      <c r="S1227" t="s">
        <v>264</v>
      </c>
      <c r="T1227" t="s">
        <v>325</v>
      </c>
      <c r="U1227">
        <v>5.0632413053016117E-3</v>
      </c>
      <c r="V1227" t="s">
        <v>163</v>
      </c>
    </row>
    <row r="1228" spans="9:22" x14ac:dyDescent="0.45">
      <c r="I1228" t="s">
        <v>202</v>
      </c>
      <c r="J1228" t="s">
        <v>326</v>
      </c>
      <c r="K1228">
        <v>0</v>
      </c>
      <c r="L1228" t="s">
        <v>163</v>
      </c>
      <c r="N1228" t="s">
        <v>233</v>
      </c>
      <c r="O1228" t="s">
        <v>326</v>
      </c>
      <c r="P1228">
        <v>2.2477003017301548E-2</v>
      </c>
      <c r="Q1228" t="s">
        <v>163</v>
      </c>
      <c r="S1228" t="s">
        <v>264</v>
      </c>
      <c r="T1228" t="s">
        <v>326</v>
      </c>
      <c r="U1228">
        <v>2.3007875740532237E-2</v>
      </c>
      <c r="V1228" t="s">
        <v>163</v>
      </c>
    </row>
    <row r="1229" spans="9:22" x14ac:dyDescent="0.45">
      <c r="I1229" t="s">
        <v>203</v>
      </c>
      <c r="J1229" t="s">
        <v>162</v>
      </c>
      <c r="K1229">
        <v>8.9623376915133786E-3</v>
      </c>
      <c r="L1229" t="s">
        <v>163</v>
      </c>
      <c r="N1229" t="s">
        <v>234</v>
      </c>
      <c r="O1229" t="s">
        <v>162</v>
      </c>
      <c r="P1229">
        <v>0.13441559756434154</v>
      </c>
      <c r="Q1229" t="s">
        <v>163</v>
      </c>
      <c r="S1229" t="s">
        <v>265</v>
      </c>
      <c r="T1229" t="s">
        <v>162</v>
      </c>
      <c r="U1229">
        <v>0.1375503650485535</v>
      </c>
      <c r="V1229" t="s">
        <v>163</v>
      </c>
    </row>
    <row r="1230" spans="9:22" x14ac:dyDescent="0.45">
      <c r="I1230" t="s">
        <v>203</v>
      </c>
      <c r="J1230" t="s">
        <v>164</v>
      </c>
      <c r="K1230">
        <v>4.6093055146910429E-2</v>
      </c>
      <c r="L1230" t="s">
        <v>163</v>
      </c>
      <c r="N1230" t="s">
        <v>234</v>
      </c>
      <c r="O1230" t="s">
        <v>164</v>
      </c>
      <c r="P1230">
        <v>3.3892139580380613E-2</v>
      </c>
      <c r="Q1230" t="s">
        <v>163</v>
      </c>
      <c r="S1230" t="s">
        <v>265</v>
      </c>
      <c r="T1230" t="s">
        <v>164</v>
      </c>
      <c r="U1230">
        <v>3.1874572465989126E-2</v>
      </c>
      <c r="V1230" t="s">
        <v>163</v>
      </c>
    </row>
    <row r="1231" spans="9:22" x14ac:dyDescent="0.45">
      <c r="I1231" t="s">
        <v>203</v>
      </c>
      <c r="J1231" t="s">
        <v>165</v>
      </c>
      <c r="K1231">
        <v>0.10569582357062007</v>
      </c>
      <c r="L1231" t="s">
        <v>163</v>
      </c>
      <c r="N1231" t="s">
        <v>234</v>
      </c>
      <c r="O1231" t="s">
        <v>165</v>
      </c>
      <c r="P1231">
        <v>5.5221791336323871E-2</v>
      </c>
      <c r="Q1231" t="s">
        <v>163</v>
      </c>
      <c r="S1231" t="s">
        <v>265</v>
      </c>
      <c r="T1231" t="s">
        <v>165</v>
      </c>
      <c r="U1231">
        <v>4.7745968027963312E-2</v>
      </c>
      <c r="V1231" t="s">
        <v>163</v>
      </c>
    </row>
    <row r="1232" spans="9:22" x14ac:dyDescent="0.45">
      <c r="I1232" t="s">
        <v>203</v>
      </c>
      <c r="J1232" t="s">
        <v>297</v>
      </c>
      <c r="K1232">
        <v>0.15529575251180594</v>
      </c>
      <c r="L1232" t="s">
        <v>163</v>
      </c>
      <c r="N1232" t="s">
        <v>234</v>
      </c>
      <c r="O1232" t="s">
        <v>297</v>
      </c>
      <c r="P1232">
        <v>9.1486576600547945E-2</v>
      </c>
      <c r="Q1232" t="s">
        <v>163</v>
      </c>
      <c r="S1232" t="s">
        <v>265</v>
      </c>
      <c r="T1232" t="s">
        <v>297</v>
      </c>
      <c r="U1232">
        <v>8.2808952919790804E-2</v>
      </c>
      <c r="V1232" t="s">
        <v>163</v>
      </c>
    </row>
    <row r="1233" spans="9:22" x14ac:dyDescent="0.45">
      <c r="I1233" t="s">
        <v>203</v>
      </c>
      <c r="J1233" t="s">
        <v>298</v>
      </c>
      <c r="K1233">
        <v>8.3362337185378613E-3</v>
      </c>
      <c r="L1233" t="s">
        <v>163</v>
      </c>
      <c r="N1233" t="s">
        <v>234</v>
      </c>
      <c r="O1233" t="s">
        <v>298</v>
      </c>
      <c r="P1233">
        <v>1.7221075403053603E-2</v>
      </c>
      <c r="Q1233" t="s">
        <v>163</v>
      </c>
      <c r="S1233" t="s">
        <v>265</v>
      </c>
      <c r="T1233" t="s">
        <v>298</v>
      </c>
      <c r="U1233">
        <v>1.6551213778354997E-2</v>
      </c>
      <c r="V1233" t="s">
        <v>163</v>
      </c>
    </row>
    <row r="1234" spans="9:22" x14ac:dyDescent="0.45">
      <c r="I1234" t="s">
        <v>203</v>
      </c>
      <c r="J1234" t="s">
        <v>299</v>
      </c>
      <c r="K1234">
        <v>1.386744730194136E-4</v>
      </c>
      <c r="L1234" t="s">
        <v>163</v>
      </c>
      <c r="N1234" t="s">
        <v>234</v>
      </c>
      <c r="O1234" t="s">
        <v>299</v>
      </c>
      <c r="P1234">
        <v>8.3190829101777206E-2</v>
      </c>
      <c r="Q1234" t="s">
        <v>163</v>
      </c>
      <c r="S1234" t="s">
        <v>265</v>
      </c>
      <c r="T1234" t="s">
        <v>299</v>
      </c>
      <c r="U1234">
        <v>8.1771144240136151E-2</v>
      </c>
      <c r="V1234" t="s">
        <v>163</v>
      </c>
    </row>
    <row r="1235" spans="9:22" x14ac:dyDescent="0.45">
      <c r="I1235" t="s">
        <v>203</v>
      </c>
      <c r="J1235" t="s">
        <v>166</v>
      </c>
      <c r="K1235">
        <v>8.2491126261191403E-3</v>
      </c>
      <c r="L1235" t="s">
        <v>163</v>
      </c>
      <c r="N1235" t="s">
        <v>234</v>
      </c>
      <c r="O1235" t="s">
        <v>166</v>
      </c>
      <c r="P1235">
        <v>2.3910317281338557E-2</v>
      </c>
      <c r="Q1235" t="s">
        <v>163</v>
      </c>
      <c r="S1235" t="s">
        <v>265</v>
      </c>
      <c r="T1235" t="s">
        <v>166</v>
      </c>
      <c r="U1235">
        <v>2.5152451323548274E-2</v>
      </c>
      <c r="V1235" t="s">
        <v>163</v>
      </c>
    </row>
    <row r="1236" spans="9:22" x14ac:dyDescent="0.45">
      <c r="I1236" t="s">
        <v>203</v>
      </c>
      <c r="J1236" t="s">
        <v>167</v>
      </c>
      <c r="K1236">
        <v>1.744079271771791E-2</v>
      </c>
      <c r="L1236" t="s">
        <v>163</v>
      </c>
      <c r="N1236" t="s">
        <v>234</v>
      </c>
      <c r="O1236" t="s">
        <v>167</v>
      </c>
      <c r="P1236">
        <v>5.8452825569378737E-3</v>
      </c>
      <c r="Q1236" t="s">
        <v>163</v>
      </c>
      <c r="S1236" t="s">
        <v>265</v>
      </c>
      <c r="T1236" t="s">
        <v>167</v>
      </c>
      <c r="U1236">
        <v>5.6762356619094335E-3</v>
      </c>
      <c r="V1236" t="s">
        <v>163</v>
      </c>
    </row>
    <row r="1237" spans="9:22" x14ac:dyDescent="0.45">
      <c r="I1237" t="s">
        <v>203</v>
      </c>
      <c r="J1237" t="s">
        <v>168</v>
      </c>
      <c r="K1237">
        <v>3.3869067686830415E-2</v>
      </c>
      <c r="L1237" t="s">
        <v>163</v>
      </c>
      <c r="N1237" t="s">
        <v>234</v>
      </c>
      <c r="O1237" t="s">
        <v>168</v>
      </c>
      <c r="P1237">
        <v>9.2378878814640859E-3</v>
      </c>
      <c r="Q1237" t="s">
        <v>163</v>
      </c>
      <c r="S1237" t="s">
        <v>265</v>
      </c>
      <c r="T1237" t="s">
        <v>168</v>
      </c>
      <c r="U1237">
        <v>8.5551689666038423E-3</v>
      </c>
      <c r="V1237" t="s">
        <v>163</v>
      </c>
    </row>
    <row r="1238" spans="9:22" x14ac:dyDescent="0.45">
      <c r="I1238" t="s">
        <v>203</v>
      </c>
      <c r="J1238" t="s">
        <v>300</v>
      </c>
      <c r="K1238">
        <v>4.9523421773532944E-2</v>
      </c>
      <c r="L1238" t="s">
        <v>163</v>
      </c>
      <c r="N1238" t="s">
        <v>234</v>
      </c>
      <c r="O1238" t="s">
        <v>300</v>
      </c>
      <c r="P1238">
        <v>1.5803806310684728E-2</v>
      </c>
      <c r="Q1238" t="s">
        <v>163</v>
      </c>
      <c r="S1238" t="s">
        <v>265</v>
      </c>
      <c r="T1238" t="s">
        <v>300</v>
      </c>
      <c r="U1238">
        <v>1.5694136554771577E-2</v>
      </c>
      <c r="V1238" t="s">
        <v>163</v>
      </c>
    </row>
    <row r="1239" spans="9:22" x14ac:dyDescent="0.45">
      <c r="I1239" t="s">
        <v>203</v>
      </c>
      <c r="J1239" t="s">
        <v>301</v>
      </c>
      <c r="K1239">
        <v>4.7576767778451318E-3</v>
      </c>
      <c r="L1239" t="s">
        <v>163</v>
      </c>
      <c r="N1239" t="s">
        <v>234</v>
      </c>
      <c r="O1239" t="s">
        <v>301</v>
      </c>
      <c r="P1239">
        <v>2.9854430876504294E-3</v>
      </c>
      <c r="Q1239" t="s">
        <v>163</v>
      </c>
      <c r="S1239" t="s">
        <v>265</v>
      </c>
      <c r="T1239" t="s">
        <v>301</v>
      </c>
      <c r="U1239">
        <v>3.1640255085298467E-3</v>
      </c>
      <c r="V1239" t="s">
        <v>163</v>
      </c>
    </row>
    <row r="1240" spans="9:22" x14ac:dyDescent="0.45">
      <c r="I1240" t="s">
        <v>203</v>
      </c>
      <c r="J1240" t="s">
        <v>302</v>
      </c>
      <c r="K1240">
        <v>1.9904894510743296E-3</v>
      </c>
      <c r="L1240" t="s">
        <v>163</v>
      </c>
      <c r="N1240" t="s">
        <v>234</v>
      </c>
      <c r="O1240" t="s">
        <v>302</v>
      </c>
      <c r="P1240">
        <v>1.370822468354976E-2</v>
      </c>
      <c r="Q1240" t="s">
        <v>163</v>
      </c>
      <c r="S1240" t="s">
        <v>265</v>
      </c>
      <c r="T1240" t="s">
        <v>302</v>
      </c>
      <c r="U1240">
        <v>1.3931623939716335E-2</v>
      </c>
      <c r="V1240" t="s">
        <v>163</v>
      </c>
    </row>
    <row r="1241" spans="9:22" x14ac:dyDescent="0.45">
      <c r="I1241" t="s">
        <v>203</v>
      </c>
      <c r="J1241" t="s">
        <v>169</v>
      </c>
      <c r="K1241">
        <v>7.1532500935293231E-3</v>
      </c>
      <c r="L1241" t="s">
        <v>163</v>
      </c>
      <c r="N1241" t="s">
        <v>234</v>
      </c>
      <c r="O1241" t="s">
        <v>169</v>
      </c>
      <c r="P1241">
        <v>1.1106194825119238E-2</v>
      </c>
      <c r="Q1241" t="s">
        <v>163</v>
      </c>
      <c r="S1241" t="s">
        <v>265</v>
      </c>
      <c r="T1241" t="s">
        <v>169</v>
      </c>
      <c r="U1241">
        <v>7.7204282154496309E-3</v>
      </c>
      <c r="V1241" t="s">
        <v>163</v>
      </c>
    </row>
    <row r="1242" spans="9:22" x14ac:dyDescent="0.45">
      <c r="I1242" t="s">
        <v>203</v>
      </c>
      <c r="J1242" t="s">
        <v>170</v>
      </c>
      <c r="K1242">
        <v>1.5655177083710572E-2</v>
      </c>
      <c r="L1242" t="s">
        <v>163</v>
      </c>
      <c r="N1242" t="s">
        <v>234</v>
      </c>
      <c r="O1242" t="s">
        <v>170</v>
      </c>
      <c r="P1242">
        <v>2.3846306811411912E-3</v>
      </c>
      <c r="Q1242" t="s">
        <v>163</v>
      </c>
      <c r="S1242" t="s">
        <v>265</v>
      </c>
      <c r="T1242" t="s">
        <v>170</v>
      </c>
      <c r="U1242">
        <v>1.5447184025870315E-3</v>
      </c>
      <c r="V1242" t="s">
        <v>163</v>
      </c>
    </row>
    <row r="1243" spans="9:22" x14ac:dyDescent="0.45">
      <c r="I1243" t="s">
        <v>203</v>
      </c>
      <c r="J1243" t="s">
        <v>171</v>
      </c>
      <c r="K1243">
        <v>3.2026318869873616E-2</v>
      </c>
      <c r="L1243" t="s">
        <v>163</v>
      </c>
      <c r="N1243" t="s">
        <v>234</v>
      </c>
      <c r="O1243" t="s">
        <v>171</v>
      </c>
      <c r="P1243">
        <v>3.8224860312608419E-3</v>
      </c>
      <c r="Q1243" t="s">
        <v>163</v>
      </c>
      <c r="S1243" t="s">
        <v>265</v>
      </c>
      <c r="T1243" t="s">
        <v>171</v>
      </c>
      <c r="U1243">
        <v>2.3689464329001734E-3</v>
      </c>
      <c r="V1243" t="s">
        <v>163</v>
      </c>
    </row>
    <row r="1244" spans="9:22" x14ac:dyDescent="0.45">
      <c r="I1244" t="s">
        <v>203</v>
      </c>
      <c r="J1244" t="s">
        <v>303</v>
      </c>
      <c r="K1244">
        <v>4.8208769014019957E-2</v>
      </c>
      <c r="L1244" t="s">
        <v>163</v>
      </c>
      <c r="N1244" t="s">
        <v>234</v>
      </c>
      <c r="O1244" t="s">
        <v>303</v>
      </c>
      <c r="P1244">
        <v>7.6491751521694526E-3</v>
      </c>
      <c r="Q1244" t="s">
        <v>163</v>
      </c>
      <c r="S1244" t="s">
        <v>265</v>
      </c>
      <c r="T1244" t="s">
        <v>303</v>
      </c>
      <c r="U1244">
        <v>3.9918246067917797E-3</v>
      </c>
      <c r="V1244" t="s">
        <v>163</v>
      </c>
    </row>
    <row r="1245" spans="9:22" x14ac:dyDescent="0.45">
      <c r="I1245" t="s">
        <v>203</v>
      </c>
      <c r="J1245" t="s">
        <v>304</v>
      </c>
      <c r="K1245">
        <v>4.8801309069176155E-3</v>
      </c>
      <c r="L1245" t="s">
        <v>163</v>
      </c>
      <c r="N1245" t="s">
        <v>234</v>
      </c>
      <c r="O1245" t="s">
        <v>304</v>
      </c>
      <c r="P1245">
        <v>1.5311295305697843E-3</v>
      </c>
      <c r="Q1245" t="s">
        <v>163</v>
      </c>
      <c r="S1245" t="s">
        <v>265</v>
      </c>
      <c r="T1245" t="s">
        <v>304</v>
      </c>
      <c r="U1245">
        <v>7.853593661221478E-4</v>
      </c>
      <c r="V1245" t="s">
        <v>163</v>
      </c>
    </row>
    <row r="1246" spans="9:22" x14ac:dyDescent="0.45">
      <c r="I1246" t="s">
        <v>203</v>
      </c>
      <c r="J1246" t="s">
        <v>305</v>
      </c>
      <c r="K1246">
        <v>2.1408956712786033E-3</v>
      </c>
      <c r="L1246" t="s">
        <v>163</v>
      </c>
      <c r="N1246" t="s">
        <v>234</v>
      </c>
      <c r="O1246" t="s">
        <v>305</v>
      </c>
      <c r="P1246">
        <v>7.1866660728470387E-3</v>
      </c>
      <c r="Q1246" t="s">
        <v>163</v>
      </c>
      <c r="S1246" t="s">
        <v>265</v>
      </c>
      <c r="T1246" t="s">
        <v>305</v>
      </c>
      <c r="U1246">
        <v>4.0853269898106035E-3</v>
      </c>
      <c r="V1246" t="s">
        <v>163</v>
      </c>
    </row>
    <row r="1247" spans="9:22" x14ac:dyDescent="0.45">
      <c r="I1247" t="s">
        <v>203</v>
      </c>
      <c r="J1247" t="s">
        <v>172</v>
      </c>
      <c r="K1247">
        <v>1.0203686246865558E-2</v>
      </c>
      <c r="L1247" t="s">
        <v>163</v>
      </c>
      <c r="N1247" t="s">
        <v>234</v>
      </c>
      <c r="O1247" t="s">
        <v>172</v>
      </c>
      <c r="P1247">
        <v>3.5004862697384197E-2</v>
      </c>
      <c r="Q1247" t="s">
        <v>163</v>
      </c>
      <c r="S1247" t="s">
        <v>265</v>
      </c>
      <c r="T1247" t="s">
        <v>172</v>
      </c>
      <c r="U1247">
        <v>5.1995535075561691E-2</v>
      </c>
      <c r="V1247" t="s">
        <v>163</v>
      </c>
    </row>
    <row r="1248" spans="9:22" x14ac:dyDescent="0.45">
      <c r="I1248" t="s">
        <v>203</v>
      </c>
      <c r="J1248" t="s">
        <v>173</v>
      </c>
      <c r="K1248">
        <v>2.6561548810268978E-2</v>
      </c>
      <c r="L1248" t="s">
        <v>163</v>
      </c>
      <c r="N1248" t="s">
        <v>234</v>
      </c>
      <c r="O1248" t="s">
        <v>173</v>
      </c>
      <c r="P1248">
        <v>7.5785237627306349E-3</v>
      </c>
      <c r="Q1248" t="s">
        <v>163</v>
      </c>
      <c r="S1248" t="s">
        <v>265</v>
      </c>
      <c r="T1248" t="s">
        <v>173</v>
      </c>
      <c r="U1248">
        <v>1.2405206331811178E-2</v>
      </c>
      <c r="V1248" t="s">
        <v>163</v>
      </c>
    </row>
    <row r="1249" spans="9:22" x14ac:dyDescent="0.45">
      <c r="I1249" t="s">
        <v>203</v>
      </c>
      <c r="J1249" t="s">
        <v>174</v>
      </c>
      <c r="K1249">
        <v>5.6063989343739087E-2</v>
      </c>
      <c r="L1249" t="s">
        <v>163</v>
      </c>
      <c r="N1249" t="s">
        <v>234</v>
      </c>
      <c r="O1249" t="s">
        <v>174</v>
      </c>
      <c r="P1249">
        <v>1.2166210421664892E-2</v>
      </c>
      <c r="Q1249" t="s">
        <v>163</v>
      </c>
      <c r="S1249" t="s">
        <v>265</v>
      </c>
      <c r="T1249" t="s">
        <v>174</v>
      </c>
      <c r="U1249">
        <v>2.0147034999567267E-2</v>
      </c>
      <c r="V1249" t="s">
        <v>163</v>
      </c>
    </row>
    <row r="1250" spans="9:22" x14ac:dyDescent="0.45">
      <c r="I1250" t="s">
        <v>203</v>
      </c>
      <c r="J1250" t="s">
        <v>306</v>
      </c>
      <c r="K1250">
        <v>8.6034625194686756E-2</v>
      </c>
      <c r="L1250" t="s">
        <v>163</v>
      </c>
      <c r="N1250" t="s">
        <v>234</v>
      </c>
      <c r="O1250" t="s">
        <v>306</v>
      </c>
      <c r="P1250">
        <v>2.2299355652428052E-2</v>
      </c>
      <c r="Q1250" t="s">
        <v>163</v>
      </c>
      <c r="S1250" t="s">
        <v>265</v>
      </c>
      <c r="T1250" t="s">
        <v>306</v>
      </c>
      <c r="U1250">
        <v>3.5020953734401776E-2</v>
      </c>
      <c r="V1250" t="s">
        <v>163</v>
      </c>
    </row>
    <row r="1251" spans="9:22" x14ac:dyDescent="0.45">
      <c r="I1251" t="s">
        <v>203</v>
      </c>
      <c r="J1251" t="s">
        <v>307</v>
      </c>
      <c r="K1251">
        <v>8.3805580084029396E-3</v>
      </c>
      <c r="L1251" t="s">
        <v>163</v>
      </c>
      <c r="N1251" t="s">
        <v>234</v>
      </c>
      <c r="O1251" t="s">
        <v>307</v>
      </c>
      <c r="P1251">
        <v>4.3451337529240904E-3</v>
      </c>
      <c r="Q1251" t="s">
        <v>163</v>
      </c>
      <c r="S1251" t="s">
        <v>265</v>
      </c>
      <c r="T1251" t="s">
        <v>307</v>
      </c>
      <c r="U1251">
        <v>6.7011732482384744E-3</v>
      </c>
      <c r="V1251" t="s">
        <v>163</v>
      </c>
    </row>
    <row r="1252" spans="9:22" x14ac:dyDescent="0.45">
      <c r="I1252" t="s">
        <v>203</v>
      </c>
      <c r="J1252" t="s">
        <v>308</v>
      </c>
      <c r="K1252">
        <v>3.2957562974784585E-3</v>
      </c>
      <c r="L1252" t="s">
        <v>163</v>
      </c>
      <c r="N1252" t="s">
        <v>234</v>
      </c>
      <c r="O1252" t="s">
        <v>308</v>
      </c>
      <c r="P1252">
        <v>2.0829514913606902E-2</v>
      </c>
      <c r="Q1252" t="s">
        <v>163</v>
      </c>
      <c r="S1252" t="s">
        <v>265</v>
      </c>
      <c r="T1252" t="s">
        <v>308</v>
      </c>
      <c r="U1252">
        <v>2.9758773530925792E-2</v>
      </c>
      <c r="V1252" t="s">
        <v>163</v>
      </c>
    </row>
    <row r="1253" spans="9:22" x14ac:dyDescent="0.45">
      <c r="I1253" t="s">
        <v>203</v>
      </c>
      <c r="J1253" t="s">
        <v>309</v>
      </c>
      <c r="K1253">
        <v>3.3374096375681627E-3</v>
      </c>
      <c r="L1253" t="s">
        <v>163</v>
      </c>
      <c r="N1253" t="s">
        <v>234</v>
      </c>
      <c r="O1253" t="s">
        <v>309</v>
      </c>
      <c r="P1253">
        <v>2.1269790732228157E-2</v>
      </c>
      <c r="Q1253" t="s">
        <v>163</v>
      </c>
      <c r="S1253" t="s">
        <v>265</v>
      </c>
      <c r="T1253" t="s">
        <v>309</v>
      </c>
      <c r="U1253">
        <v>1.2747533902220082E-2</v>
      </c>
      <c r="V1253" t="s">
        <v>163</v>
      </c>
    </row>
    <row r="1254" spans="9:22" x14ac:dyDescent="0.45">
      <c r="I1254" t="s">
        <v>203</v>
      </c>
      <c r="J1254" t="s">
        <v>310</v>
      </c>
      <c r="K1254">
        <v>1.3345233023263271E-2</v>
      </c>
      <c r="L1254" t="s">
        <v>163</v>
      </c>
      <c r="N1254" t="s">
        <v>234</v>
      </c>
      <c r="O1254" t="s">
        <v>310</v>
      </c>
      <c r="P1254">
        <v>5.3596318337732676E-3</v>
      </c>
      <c r="Q1254" t="s">
        <v>163</v>
      </c>
      <c r="S1254" t="s">
        <v>265</v>
      </c>
      <c r="T1254" t="s">
        <v>310</v>
      </c>
      <c r="U1254">
        <v>3.1026934519228842E-3</v>
      </c>
      <c r="V1254" t="s">
        <v>163</v>
      </c>
    </row>
    <row r="1255" spans="9:22" x14ac:dyDescent="0.45">
      <c r="I1255" t="s">
        <v>203</v>
      </c>
      <c r="J1255" t="s">
        <v>311</v>
      </c>
      <c r="K1255">
        <v>2.6341468183086792E-2</v>
      </c>
      <c r="L1255" t="s">
        <v>163</v>
      </c>
      <c r="N1255" t="s">
        <v>234</v>
      </c>
      <c r="O1255" t="s">
        <v>311</v>
      </c>
      <c r="P1255">
        <v>8.8136875064101661E-3</v>
      </c>
      <c r="Q1255" t="s">
        <v>163</v>
      </c>
      <c r="S1255" t="s">
        <v>265</v>
      </c>
      <c r="T1255" t="s">
        <v>311</v>
      </c>
      <c r="U1255">
        <v>4.6280559832359352E-3</v>
      </c>
      <c r="V1255" t="s">
        <v>163</v>
      </c>
    </row>
    <row r="1256" spans="9:22" x14ac:dyDescent="0.45">
      <c r="I1256" t="s">
        <v>203</v>
      </c>
      <c r="J1256" t="s">
        <v>312</v>
      </c>
      <c r="K1256">
        <v>3.961093580899816E-2</v>
      </c>
      <c r="L1256" t="s">
        <v>163</v>
      </c>
      <c r="N1256" t="s">
        <v>234</v>
      </c>
      <c r="O1256" t="s">
        <v>312</v>
      </c>
      <c r="P1256">
        <v>1.4189417068559342E-2</v>
      </c>
      <c r="Q1256" t="s">
        <v>163</v>
      </c>
      <c r="S1256" t="s">
        <v>265</v>
      </c>
      <c r="T1256" t="s">
        <v>312</v>
      </c>
      <c r="U1256">
        <v>7.6389469360145573E-3</v>
      </c>
      <c r="V1256" t="s">
        <v>163</v>
      </c>
    </row>
    <row r="1257" spans="9:22" x14ac:dyDescent="0.45">
      <c r="I1257" t="s">
        <v>203</v>
      </c>
      <c r="J1257" t="s">
        <v>313</v>
      </c>
      <c r="K1257">
        <v>2.7217888231778099E-3</v>
      </c>
      <c r="L1257" t="s">
        <v>163</v>
      </c>
      <c r="N1257" t="s">
        <v>234</v>
      </c>
      <c r="O1257" t="s">
        <v>313</v>
      </c>
      <c r="P1257">
        <v>2.7178943009278961E-3</v>
      </c>
      <c r="Q1257" t="s">
        <v>163</v>
      </c>
      <c r="S1257" t="s">
        <v>265</v>
      </c>
      <c r="T1257" t="s">
        <v>313</v>
      </c>
      <c r="U1257">
        <v>1.528470858430398E-3</v>
      </c>
      <c r="V1257" t="s">
        <v>163</v>
      </c>
    </row>
    <row r="1258" spans="9:22" x14ac:dyDescent="0.45">
      <c r="I1258" t="s">
        <v>203</v>
      </c>
      <c r="J1258" t="s">
        <v>314</v>
      </c>
      <c r="K1258">
        <v>0</v>
      </c>
      <c r="L1258" t="s">
        <v>163</v>
      </c>
      <c r="N1258" t="s">
        <v>234</v>
      </c>
      <c r="O1258" t="s">
        <v>314</v>
      </c>
      <c r="P1258">
        <v>1.373460278174192E-2</v>
      </c>
      <c r="Q1258" t="s">
        <v>163</v>
      </c>
      <c r="S1258" t="s">
        <v>265</v>
      </c>
      <c r="T1258" t="s">
        <v>314</v>
      </c>
      <c r="U1258">
        <v>8.4797653008089717E-3</v>
      </c>
      <c r="V1258" t="s">
        <v>163</v>
      </c>
    </row>
    <row r="1259" spans="9:22" x14ac:dyDescent="0.45">
      <c r="I1259" t="s">
        <v>203</v>
      </c>
      <c r="J1259" t="s">
        <v>315</v>
      </c>
      <c r="K1259">
        <v>3.231566259154408E-3</v>
      </c>
      <c r="L1259" t="s">
        <v>163</v>
      </c>
      <c r="N1259" t="s">
        <v>234</v>
      </c>
      <c r="O1259" t="s">
        <v>315</v>
      </c>
      <c r="P1259">
        <v>6.0186304780471989E-2</v>
      </c>
      <c r="Q1259" t="s">
        <v>163</v>
      </c>
      <c r="S1259" t="s">
        <v>265</v>
      </c>
      <c r="T1259" t="s">
        <v>315</v>
      </c>
      <c r="U1259">
        <v>6.0900313559304635E-2</v>
      </c>
      <c r="V1259" t="s">
        <v>163</v>
      </c>
    </row>
    <row r="1260" spans="9:22" x14ac:dyDescent="0.45">
      <c r="I1260" t="s">
        <v>203</v>
      </c>
      <c r="J1260" t="s">
        <v>316</v>
      </c>
      <c r="K1260">
        <v>2.0181705238994589E-2</v>
      </c>
      <c r="L1260" t="s">
        <v>163</v>
      </c>
      <c r="N1260" t="s">
        <v>234</v>
      </c>
      <c r="O1260" t="s">
        <v>316</v>
      </c>
      <c r="P1260">
        <v>1.508453960862962E-2</v>
      </c>
      <c r="Q1260" t="s">
        <v>163</v>
      </c>
      <c r="S1260" t="s">
        <v>265</v>
      </c>
      <c r="T1260" t="s">
        <v>316</v>
      </c>
      <c r="U1260">
        <v>1.6240500745375887E-2</v>
      </c>
      <c r="V1260" t="s">
        <v>163</v>
      </c>
    </row>
    <row r="1261" spans="9:22" x14ac:dyDescent="0.45">
      <c r="I1261" t="s">
        <v>203</v>
      </c>
      <c r="J1261" t="s">
        <v>317</v>
      </c>
      <c r="K1261">
        <v>4.4269975441438743E-2</v>
      </c>
      <c r="L1261" t="s">
        <v>163</v>
      </c>
      <c r="N1261" t="s">
        <v>234</v>
      </c>
      <c r="O1261" t="s">
        <v>317</v>
      </c>
      <c r="P1261">
        <v>2.5124477860087244E-2</v>
      </c>
      <c r="Q1261" t="s">
        <v>163</v>
      </c>
      <c r="S1261" t="s">
        <v>265</v>
      </c>
      <c r="T1261" t="s">
        <v>317</v>
      </c>
      <c r="U1261">
        <v>2.5358869317231567E-2</v>
      </c>
      <c r="V1261" t="s">
        <v>163</v>
      </c>
    </row>
    <row r="1262" spans="9:22" x14ac:dyDescent="0.45">
      <c r="I1262" t="s">
        <v>203</v>
      </c>
      <c r="J1262" t="s">
        <v>318</v>
      </c>
      <c r="K1262">
        <v>6.0951327381595442E-2</v>
      </c>
      <c r="L1262" t="s">
        <v>163</v>
      </c>
      <c r="N1262" t="s">
        <v>234</v>
      </c>
      <c r="O1262" t="s">
        <v>318</v>
      </c>
      <c r="P1262">
        <v>4.3959824178688767E-2</v>
      </c>
      <c r="Q1262" t="s">
        <v>163</v>
      </c>
      <c r="S1262" t="s">
        <v>265</v>
      </c>
      <c r="T1262" t="s">
        <v>318</v>
      </c>
      <c r="U1262">
        <v>4.2032552838648964E-2</v>
      </c>
      <c r="V1262" t="s">
        <v>163</v>
      </c>
    </row>
    <row r="1263" spans="9:22" x14ac:dyDescent="0.45">
      <c r="I1263" t="s">
        <v>203</v>
      </c>
      <c r="J1263" t="s">
        <v>319</v>
      </c>
      <c r="K1263">
        <v>0</v>
      </c>
      <c r="L1263" t="s">
        <v>163</v>
      </c>
      <c r="N1263" t="s">
        <v>234</v>
      </c>
      <c r="O1263" t="s">
        <v>319</v>
      </c>
      <c r="P1263">
        <v>8.6578288941716736E-3</v>
      </c>
      <c r="Q1263" t="s">
        <v>163</v>
      </c>
      <c r="S1263" t="s">
        <v>265</v>
      </c>
      <c r="T1263" t="s">
        <v>319</v>
      </c>
      <c r="U1263">
        <v>8.1126949729606324E-3</v>
      </c>
      <c r="V1263" t="s">
        <v>163</v>
      </c>
    </row>
    <row r="1264" spans="9:22" x14ac:dyDescent="0.45">
      <c r="I1264" t="s">
        <v>203</v>
      </c>
      <c r="J1264" t="s">
        <v>320</v>
      </c>
      <c r="K1264">
        <v>0</v>
      </c>
      <c r="L1264" t="s">
        <v>163</v>
      </c>
      <c r="N1264" t="s">
        <v>234</v>
      </c>
      <c r="O1264" t="s">
        <v>320</v>
      </c>
      <c r="P1264">
        <v>4.1425861424336782E-2</v>
      </c>
      <c r="Q1264" t="s">
        <v>163</v>
      </c>
      <c r="S1264" t="s">
        <v>265</v>
      </c>
      <c r="T1264" t="s">
        <v>320</v>
      </c>
      <c r="U1264">
        <v>3.8627976887181045E-2</v>
      </c>
      <c r="V1264" t="s">
        <v>163</v>
      </c>
    </row>
    <row r="1265" spans="9:22" x14ac:dyDescent="0.45">
      <c r="I1265" t="s">
        <v>203</v>
      </c>
      <c r="J1265" t="s">
        <v>321</v>
      </c>
      <c r="K1265">
        <v>0</v>
      </c>
      <c r="L1265" t="s">
        <v>163</v>
      </c>
      <c r="N1265" t="s">
        <v>234</v>
      </c>
      <c r="O1265" t="s">
        <v>321</v>
      </c>
      <c r="P1265">
        <v>3.9870935978747093E-2</v>
      </c>
      <c r="Q1265" t="s">
        <v>163</v>
      </c>
      <c r="S1265" t="s">
        <v>265</v>
      </c>
      <c r="T1265" t="s">
        <v>321</v>
      </c>
      <c r="U1265">
        <v>3.9442878008038862E-2</v>
      </c>
      <c r="V1265" t="s">
        <v>163</v>
      </c>
    </row>
    <row r="1266" spans="9:22" x14ac:dyDescent="0.45">
      <c r="I1266" t="s">
        <v>203</v>
      </c>
      <c r="J1266" t="s">
        <v>322</v>
      </c>
      <c r="K1266">
        <v>5.7087198498260204E-3</v>
      </c>
      <c r="L1266" t="s">
        <v>163</v>
      </c>
      <c r="N1266" t="s">
        <v>234</v>
      </c>
      <c r="O1266" t="s">
        <v>322</v>
      </c>
      <c r="P1266">
        <v>9.7241602000223502E-3</v>
      </c>
      <c r="Q1266" t="s">
        <v>163</v>
      </c>
      <c r="S1266" t="s">
        <v>265</v>
      </c>
      <c r="T1266" t="s">
        <v>322</v>
      </c>
      <c r="U1266">
        <v>1.0323429827150012E-2</v>
      </c>
      <c r="V1266" t="s">
        <v>163</v>
      </c>
    </row>
    <row r="1267" spans="9:22" x14ac:dyDescent="0.45">
      <c r="I1267" t="s">
        <v>203</v>
      </c>
      <c r="J1267" t="s">
        <v>323</v>
      </c>
      <c r="K1267">
        <v>1.7652341851014098E-2</v>
      </c>
      <c r="L1267" t="s">
        <v>163</v>
      </c>
      <c r="N1267" t="s">
        <v>234</v>
      </c>
      <c r="O1267" t="s">
        <v>323</v>
      </c>
      <c r="P1267">
        <v>1.5023730077319325E-2</v>
      </c>
      <c r="Q1267" t="s">
        <v>163</v>
      </c>
      <c r="S1267" t="s">
        <v>265</v>
      </c>
      <c r="T1267" t="s">
        <v>323</v>
      </c>
      <c r="U1267">
        <v>1.5923562853931175E-2</v>
      </c>
      <c r="V1267" t="s">
        <v>163</v>
      </c>
    </row>
    <row r="1268" spans="9:22" x14ac:dyDescent="0.45">
      <c r="I1268" t="s">
        <v>203</v>
      </c>
      <c r="J1268" t="s">
        <v>324</v>
      </c>
      <c r="K1268">
        <v>2.1690384815584562E-2</v>
      </c>
      <c r="L1268" t="s">
        <v>163</v>
      </c>
      <c r="N1268" t="s">
        <v>234</v>
      </c>
      <c r="O1268" t="s">
        <v>324</v>
      </c>
      <c r="P1268">
        <v>2.3792992237714177E-2</v>
      </c>
      <c r="Q1268" t="s">
        <v>163</v>
      </c>
      <c r="S1268" t="s">
        <v>265</v>
      </c>
      <c r="T1268" t="s">
        <v>324</v>
      </c>
      <c r="U1268">
        <v>2.7055361698290436E-2</v>
      </c>
      <c r="V1268" t="s">
        <v>163</v>
      </c>
    </row>
    <row r="1269" spans="9:22" x14ac:dyDescent="0.45">
      <c r="I1269" t="s">
        <v>203</v>
      </c>
      <c r="J1269" t="s">
        <v>325</v>
      </c>
      <c r="K1269">
        <v>0</v>
      </c>
      <c r="L1269" t="s">
        <v>163</v>
      </c>
      <c r="N1269" t="s">
        <v>234</v>
      </c>
      <c r="O1269" t="s">
        <v>325</v>
      </c>
      <c r="P1269">
        <v>4.6336699892175048E-3</v>
      </c>
      <c r="Q1269" t="s">
        <v>163</v>
      </c>
      <c r="S1269" t="s">
        <v>265</v>
      </c>
      <c r="T1269" t="s">
        <v>325</v>
      </c>
      <c r="U1269">
        <v>5.3145321230628415E-3</v>
      </c>
      <c r="V1269" t="s">
        <v>163</v>
      </c>
    </row>
    <row r="1270" spans="9:22" x14ac:dyDescent="0.45">
      <c r="I1270" t="s">
        <v>203</v>
      </c>
      <c r="J1270" t="s">
        <v>326</v>
      </c>
      <c r="K1270">
        <v>0</v>
      </c>
      <c r="L1270" t="s">
        <v>163</v>
      </c>
      <c r="N1270" t="s">
        <v>234</v>
      </c>
      <c r="O1270" t="s">
        <v>326</v>
      </c>
      <c r="P1270">
        <v>2.3607795665054238E-2</v>
      </c>
      <c r="Q1270" t="s">
        <v>163</v>
      </c>
      <c r="S1270" t="s">
        <v>265</v>
      </c>
      <c r="T1270" t="s">
        <v>326</v>
      </c>
      <c r="U1270">
        <v>2.5540721366153922E-2</v>
      </c>
      <c r="V1270" t="s">
        <v>163</v>
      </c>
    </row>
    <row r="1271" spans="9:22" x14ac:dyDescent="0.45">
      <c r="I1271" t="s">
        <v>204</v>
      </c>
      <c r="J1271" t="s">
        <v>162</v>
      </c>
      <c r="K1271">
        <v>9.447137153897632E-3</v>
      </c>
      <c r="L1271" t="s">
        <v>163</v>
      </c>
      <c r="N1271" t="s">
        <v>235</v>
      </c>
      <c r="O1271" t="s">
        <v>162</v>
      </c>
      <c r="P1271">
        <v>0.12894373357235145</v>
      </c>
      <c r="Q1271" t="s">
        <v>163</v>
      </c>
      <c r="S1271" t="s">
        <v>266</v>
      </c>
      <c r="T1271" t="s">
        <v>162</v>
      </c>
      <c r="U1271">
        <v>0.14592373850348223</v>
      </c>
      <c r="V1271" t="s">
        <v>163</v>
      </c>
    </row>
    <row r="1272" spans="9:22" x14ac:dyDescent="0.45">
      <c r="I1272" t="s">
        <v>204</v>
      </c>
      <c r="J1272" t="s">
        <v>164</v>
      </c>
      <c r="K1272">
        <v>4.8553122093494598E-2</v>
      </c>
      <c r="L1272" t="s">
        <v>163</v>
      </c>
      <c r="N1272" t="s">
        <v>235</v>
      </c>
      <c r="O1272" t="s">
        <v>164</v>
      </c>
      <c r="P1272">
        <v>3.1877999557709424E-2</v>
      </c>
      <c r="Q1272" t="s">
        <v>163</v>
      </c>
      <c r="S1272" t="s">
        <v>266</v>
      </c>
      <c r="T1272" t="s">
        <v>164</v>
      </c>
      <c r="U1272">
        <v>3.1409484511855802E-2</v>
      </c>
      <c r="V1272" t="s">
        <v>163</v>
      </c>
    </row>
    <row r="1273" spans="9:22" x14ac:dyDescent="0.45">
      <c r="I1273" t="s">
        <v>204</v>
      </c>
      <c r="J1273" t="s">
        <v>165</v>
      </c>
      <c r="K1273">
        <v>0.11084942066235205</v>
      </c>
      <c r="L1273" t="s">
        <v>163</v>
      </c>
      <c r="N1273" t="s">
        <v>235</v>
      </c>
      <c r="O1273" t="s">
        <v>165</v>
      </c>
      <c r="P1273">
        <v>5.1816191635814461E-2</v>
      </c>
      <c r="Q1273" t="s">
        <v>163</v>
      </c>
      <c r="S1273" t="s">
        <v>266</v>
      </c>
      <c r="T1273" t="s">
        <v>165</v>
      </c>
      <c r="U1273">
        <v>4.9639630075989059E-2</v>
      </c>
      <c r="V1273" t="s">
        <v>163</v>
      </c>
    </row>
    <row r="1274" spans="9:22" x14ac:dyDescent="0.45">
      <c r="I1274" t="s">
        <v>204</v>
      </c>
      <c r="J1274" t="s">
        <v>297</v>
      </c>
      <c r="K1274">
        <v>0.15854030397830687</v>
      </c>
      <c r="L1274" t="s">
        <v>163</v>
      </c>
      <c r="N1274" t="s">
        <v>235</v>
      </c>
      <c r="O1274" t="s">
        <v>297</v>
      </c>
      <c r="P1274">
        <v>8.6675289574198608E-2</v>
      </c>
      <c r="Q1274" t="s">
        <v>163</v>
      </c>
      <c r="S1274" t="s">
        <v>266</v>
      </c>
      <c r="T1274" t="s">
        <v>297</v>
      </c>
      <c r="U1274">
        <v>8.5696683179992544E-2</v>
      </c>
      <c r="V1274" t="s">
        <v>163</v>
      </c>
    </row>
    <row r="1275" spans="9:22" x14ac:dyDescent="0.45">
      <c r="I1275" t="s">
        <v>204</v>
      </c>
      <c r="J1275" t="s">
        <v>298</v>
      </c>
      <c r="K1275">
        <v>7.8247956098514895E-3</v>
      </c>
      <c r="L1275" t="s">
        <v>163</v>
      </c>
      <c r="N1275" t="s">
        <v>235</v>
      </c>
      <c r="O1275" t="s">
        <v>298</v>
      </c>
      <c r="P1275">
        <v>1.6828788875886336E-2</v>
      </c>
      <c r="Q1275" t="s">
        <v>163</v>
      </c>
      <c r="S1275" t="s">
        <v>266</v>
      </c>
      <c r="T1275" t="s">
        <v>298</v>
      </c>
      <c r="U1275">
        <v>1.7126612765282486E-2</v>
      </c>
      <c r="V1275" t="s">
        <v>163</v>
      </c>
    </row>
    <row r="1276" spans="9:22" x14ac:dyDescent="0.45">
      <c r="I1276" t="s">
        <v>204</v>
      </c>
      <c r="J1276" t="s">
        <v>299</v>
      </c>
      <c r="K1276">
        <v>3.6893387788561422E-5</v>
      </c>
      <c r="L1276" t="s">
        <v>163</v>
      </c>
      <c r="N1276" t="s">
        <v>235</v>
      </c>
      <c r="O1276" t="s">
        <v>299</v>
      </c>
      <c r="P1276">
        <v>7.8939501936940965E-2</v>
      </c>
      <c r="Q1276" t="s">
        <v>163</v>
      </c>
      <c r="S1276" t="s">
        <v>266</v>
      </c>
      <c r="T1276" t="s">
        <v>299</v>
      </c>
      <c r="U1276">
        <v>8.5891367628946808E-2</v>
      </c>
      <c r="V1276" t="s">
        <v>163</v>
      </c>
    </row>
    <row r="1277" spans="9:22" x14ac:dyDescent="0.45">
      <c r="I1277" t="s">
        <v>204</v>
      </c>
      <c r="J1277" t="s">
        <v>166</v>
      </c>
      <c r="K1277">
        <v>9.1739573374492994E-3</v>
      </c>
      <c r="L1277" t="s">
        <v>163</v>
      </c>
      <c r="N1277" t="s">
        <v>235</v>
      </c>
      <c r="O1277" t="s">
        <v>166</v>
      </c>
      <c r="P1277">
        <v>2.734767104786712E-2</v>
      </c>
      <c r="Q1277" t="s">
        <v>163</v>
      </c>
      <c r="S1277" t="s">
        <v>266</v>
      </c>
      <c r="T1277" t="s">
        <v>166</v>
      </c>
      <c r="U1277">
        <v>2.6487612442751916E-2</v>
      </c>
      <c r="V1277" t="s">
        <v>163</v>
      </c>
    </row>
    <row r="1278" spans="9:22" x14ac:dyDescent="0.45">
      <c r="I1278" t="s">
        <v>204</v>
      </c>
      <c r="J1278" t="s">
        <v>167</v>
      </c>
      <c r="K1278">
        <v>1.928891256336852E-2</v>
      </c>
      <c r="L1278" t="s">
        <v>163</v>
      </c>
      <c r="N1278" t="s">
        <v>235</v>
      </c>
      <c r="O1278" t="s">
        <v>167</v>
      </c>
      <c r="P1278">
        <v>6.2871561408926503E-3</v>
      </c>
      <c r="Q1278" t="s">
        <v>163</v>
      </c>
      <c r="S1278" t="s">
        <v>266</v>
      </c>
      <c r="T1278" t="s">
        <v>167</v>
      </c>
      <c r="U1278">
        <v>6.2519284785854988E-3</v>
      </c>
      <c r="V1278" t="s">
        <v>163</v>
      </c>
    </row>
    <row r="1279" spans="9:22" x14ac:dyDescent="0.45">
      <c r="I1279" t="s">
        <v>204</v>
      </c>
      <c r="J1279" t="s">
        <v>168</v>
      </c>
      <c r="K1279">
        <v>3.5558050292421761E-2</v>
      </c>
      <c r="L1279" t="s">
        <v>163</v>
      </c>
      <c r="N1279" t="s">
        <v>235</v>
      </c>
      <c r="O1279" t="s">
        <v>168</v>
      </c>
      <c r="P1279">
        <v>1.0065713437569138E-2</v>
      </c>
      <c r="Q1279" t="s">
        <v>163</v>
      </c>
      <c r="S1279" t="s">
        <v>266</v>
      </c>
      <c r="T1279" t="s">
        <v>168</v>
      </c>
      <c r="U1279">
        <v>1.0187170591735305E-2</v>
      </c>
      <c r="V1279" t="s">
        <v>163</v>
      </c>
    </row>
    <row r="1280" spans="9:22" x14ac:dyDescent="0.45">
      <c r="I1280" t="s">
        <v>204</v>
      </c>
      <c r="J1280" t="s">
        <v>300</v>
      </c>
      <c r="K1280">
        <v>4.9281100926429504E-2</v>
      </c>
      <c r="L1280" t="s">
        <v>163</v>
      </c>
      <c r="N1280" t="s">
        <v>235</v>
      </c>
      <c r="O1280" t="s">
        <v>300</v>
      </c>
      <c r="P1280">
        <v>1.859010283547638E-2</v>
      </c>
      <c r="Q1280" t="s">
        <v>163</v>
      </c>
      <c r="S1280" t="s">
        <v>266</v>
      </c>
      <c r="T1280" t="s">
        <v>300</v>
      </c>
      <c r="U1280">
        <v>1.6035331907524535E-2</v>
      </c>
      <c r="V1280" t="s">
        <v>163</v>
      </c>
    </row>
    <row r="1281" spans="9:22" x14ac:dyDescent="0.45">
      <c r="I1281" t="s">
        <v>204</v>
      </c>
      <c r="J1281" t="s">
        <v>301</v>
      </c>
      <c r="K1281">
        <v>4.6010253247992039E-3</v>
      </c>
      <c r="L1281" t="s">
        <v>163</v>
      </c>
      <c r="N1281" t="s">
        <v>235</v>
      </c>
      <c r="O1281" t="s">
        <v>301</v>
      </c>
      <c r="P1281">
        <v>3.6210342113843497E-3</v>
      </c>
      <c r="Q1281" t="s">
        <v>163</v>
      </c>
      <c r="S1281" t="s">
        <v>266</v>
      </c>
      <c r="T1281" t="s">
        <v>301</v>
      </c>
      <c r="U1281">
        <v>3.2097167502960718E-3</v>
      </c>
      <c r="V1281" t="s">
        <v>163</v>
      </c>
    </row>
    <row r="1282" spans="9:22" x14ac:dyDescent="0.45">
      <c r="I1282" t="s">
        <v>204</v>
      </c>
      <c r="J1282" t="s">
        <v>302</v>
      </c>
      <c r="K1282">
        <v>1.9181394028185655E-3</v>
      </c>
      <c r="L1282" t="s">
        <v>163</v>
      </c>
      <c r="N1282" t="s">
        <v>235</v>
      </c>
      <c r="O1282" t="s">
        <v>302</v>
      </c>
      <c r="P1282">
        <v>1.659836364109156E-2</v>
      </c>
      <c r="Q1282" t="s">
        <v>163</v>
      </c>
      <c r="S1282" t="s">
        <v>266</v>
      </c>
      <c r="T1282" t="s">
        <v>302</v>
      </c>
      <c r="U1282">
        <v>1.4522189777361172E-2</v>
      </c>
      <c r="V1282" t="s">
        <v>163</v>
      </c>
    </row>
    <row r="1283" spans="9:22" x14ac:dyDescent="0.45">
      <c r="I1283" t="s">
        <v>204</v>
      </c>
      <c r="J1283" t="s">
        <v>169</v>
      </c>
      <c r="K1283">
        <v>6.236637596260728E-3</v>
      </c>
      <c r="L1283" t="s">
        <v>163</v>
      </c>
      <c r="N1283" t="s">
        <v>235</v>
      </c>
      <c r="O1283" t="s">
        <v>169</v>
      </c>
      <c r="P1283">
        <v>8.9415406047915029E-3</v>
      </c>
      <c r="Q1283" t="s">
        <v>163</v>
      </c>
      <c r="S1283" t="s">
        <v>266</v>
      </c>
      <c r="T1283" t="s">
        <v>169</v>
      </c>
      <c r="U1283">
        <v>8.2707191649098455E-3</v>
      </c>
      <c r="V1283" t="s">
        <v>163</v>
      </c>
    </row>
    <row r="1284" spans="9:22" x14ac:dyDescent="0.45">
      <c r="I1284" t="s">
        <v>204</v>
      </c>
      <c r="J1284" t="s">
        <v>170</v>
      </c>
      <c r="K1284">
        <v>1.4054330929703141E-2</v>
      </c>
      <c r="L1284" t="s">
        <v>163</v>
      </c>
      <c r="N1284" t="s">
        <v>235</v>
      </c>
      <c r="O1284" t="s">
        <v>170</v>
      </c>
      <c r="P1284">
        <v>1.7458695421332694E-3</v>
      </c>
      <c r="Q1284" t="s">
        <v>163</v>
      </c>
      <c r="S1284" t="s">
        <v>266</v>
      </c>
      <c r="T1284" t="s">
        <v>170</v>
      </c>
      <c r="U1284">
        <v>1.6589242631047266E-3</v>
      </c>
      <c r="V1284" t="s">
        <v>163</v>
      </c>
    </row>
    <row r="1285" spans="9:22" x14ac:dyDescent="0.45">
      <c r="I1285" t="s">
        <v>204</v>
      </c>
      <c r="J1285" t="s">
        <v>171</v>
      </c>
      <c r="K1285">
        <v>2.8685222324832831E-2</v>
      </c>
      <c r="L1285" t="s">
        <v>163</v>
      </c>
      <c r="N1285" t="s">
        <v>235</v>
      </c>
      <c r="O1285" t="s">
        <v>171</v>
      </c>
      <c r="P1285">
        <v>3.067871539570759E-3</v>
      </c>
      <c r="Q1285" t="s">
        <v>163</v>
      </c>
      <c r="S1285" t="s">
        <v>266</v>
      </c>
      <c r="T1285" t="s">
        <v>171</v>
      </c>
      <c r="U1285">
        <v>2.3655060484307983E-3</v>
      </c>
      <c r="V1285" t="s">
        <v>163</v>
      </c>
    </row>
    <row r="1286" spans="9:22" x14ac:dyDescent="0.45">
      <c r="I1286" t="s">
        <v>204</v>
      </c>
      <c r="J1286" t="s">
        <v>303</v>
      </c>
      <c r="K1286">
        <v>3.7794328120628842E-2</v>
      </c>
      <c r="L1286" t="s">
        <v>163</v>
      </c>
      <c r="N1286" t="s">
        <v>235</v>
      </c>
      <c r="O1286" t="s">
        <v>303</v>
      </c>
      <c r="P1286">
        <v>7.8724346609175596E-3</v>
      </c>
      <c r="Q1286" t="s">
        <v>163</v>
      </c>
      <c r="S1286" t="s">
        <v>266</v>
      </c>
      <c r="T1286" t="s">
        <v>303</v>
      </c>
      <c r="U1286">
        <v>4.8823786951097637E-3</v>
      </c>
      <c r="V1286" t="s">
        <v>163</v>
      </c>
    </row>
    <row r="1287" spans="9:22" x14ac:dyDescent="0.45">
      <c r="I1287" t="s">
        <v>204</v>
      </c>
      <c r="J1287" t="s">
        <v>304</v>
      </c>
      <c r="K1287">
        <v>3.5684541014982048E-3</v>
      </c>
      <c r="L1287" t="s">
        <v>163</v>
      </c>
      <c r="N1287" t="s">
        <v>235</v>
      </c>
      <c r="O1287" t="s">
        <v>304</v>
      </c>
      <c r="P1287">
        <v>1.8293456626822309E-3</v>
      </c>
      <c r="Q1287" t="s">
        <v>163</v>
      </c>
      <c r="S1287" t="s">
        <v>266</v>
      </c>
      <c r="T1287" t="s">
        <v>304</v>
      </c>
      <c r="U1287">
        <v>1.2650767636679667E-3</v>
      </c>
      <c r="V1287" t="s">
        <v>163</v>
      </c>
    </row>
    <row r="1288" spans="9:22" x14ac:dyDescent="0.45">
      <c r="I1288" t="s">
        <v>204</v>
      </c>
      <c r="J1288" t="s">
        <v>305</v>
      </c>
      <c r="K1288">
        <v>1.6285273099685481E-3</v>
      </c>
      <c r="L1288" t="s">
        <v>163</v>
      </c>
      <c r="N1288" t="s">
        <v>235</v>
      </c>
      <c r="O1288" t="s">
        <v>305</v>
      </c>
      <c r="P1288">
        <v>7.5211477920958808E-3</v>
      </c>
      <c r="Q1288" t="s">
        <v>163</v>
      </c>
      <c r="S1288" t="s">
        <v>266</v>
      </c>
      <c r="T1288" t="s">
        <v>305</v>
      </c>
      <c r="U1288">
        <v>5.8773497120490304E-3</v>
      </c>
      <c r="V1288" t="s">
        <v>163</v>
      </c>
    </row>
    <row r="1289" spans="9:22" x14ac:dyDescent="0.45">
      <c r="I1289" t="s">
        <v>204</v>
      </c>
      <c r="J1289" t="s">
        <v>172</v>
      </c>
      <c r="K1289">
        <v>1.043025177486628E-2</v>
      </c>
      <c r="L1289" t="s">
        <v>163</v>
      </c>
      <c r="N1289" t="s">
        <v>235</v>
      </c>
      <c r="O1289" t="s">
        <v>172</v>
      </c>
      <c r="P1289">
        <v>3.5182088969036435E-2</v>
      </c>
      <c r="Q1289" t="s">
        <v>163</v>
      </c>
      <c r="S1289" t="s">
        <v>266</v>
      </c>
      <c r="T1289" t="s">
        <v>172</v>
      </c>
      <c r="U1289">
        <v>4.1483911838040899E-2</v>
      </c>
      <c r="V1289" t="s">
        <v>163</v>
      </c>
    </row>
    <row r="1290" spans="9:22" x14ac:dyDescent="0.45">
      <c r="I1290" t="s">
        <v>204</v>
      </c>
      <c r="J1290" t="s">
        <v>173</v>
      </c>
      <c r="K1290">
        <v>2.7697866670203051E-2</v>
      </c>
      <c r="L1290" t="s">
        <v>163</v>
      </c>
      <c r="N1290" t="s">
        <v>235</v>
      </c>
      <c r="O1290" t="s">
        <v>173</v>
      </c>
      <c r="P1290">
        <v>8.2636576597265553E-3</v>
      </c>
      <c r="Q1290" t="s">
        <v>163</v>
      </c>
      <c r="S1290" t="s">
        <v>266</v>
      </c>
      <c r="T1290" t="s">
        <v>173</v>
      </c>
      <c r="U1290">
        <v>1.1106584347061091E-2</v>
      </c>
      <c r="V1290" t="s">
        <v>163</v>
      </c>
    </row>
    <row r="1291" spans="9:22" x14ac:dyDescent="0.45">
      <c r="I1291" t="s">
        <v>204</v>
      </c>
      <c r="J1291" t="s">
        <v>174</v>
      </c>
      <c r="K1291">
        <v>5.7858451811955015E-2</v>
      </c>
      <c r="L1291" t="s">
        <v>163</v>
      </c>
      <c r="N1291" t="s">
        <v>235</v>
      </c>
      <c r="O1291" t="s">
        <v>174</v>
      </c>
      <c r="P1291">
        <v>1.3915264500384201E-2</v>
      </c>
      <c r="Q1291" t="s">
        <v>163</v>
      </c>
      <c r="S1291" t="s">
        <v>266</v>
      </c>
      <c r="T1291" t="s">
        <v>174</v>
      </c>
      <c r="U1291">
        <v>1.5918155828147124E-2</v>
      </c>
      <c r="V1291" t="s">
        <v>163</v>
      </c>
    </row>
    <row r="1292" spans="9:22" x14ac:dyDescent="0.45">
      <c r="I1292" t="s">
        <v>204</v>
      </c>
      <c r="J1292" t="s">
        <v>306</v>
      </c>
      <c r="K1292">
        <v>8.4314969961132358E-2</v>
      </c>
      <c r="L1292" t="s">
        <v>163</v>
      </c>
      <c r="N1292" t="s">
        <v>235</v>
      </c>
      <c r="O1292" t="s">
        <v>306</v>
      </c>
      <c r="P1292">
        <v>2.6842681102372139E-2</v>
      </c>
      <c r="Q1292" t="s">
        <v>163</v>
      </c>
      <c r="S1292" t="s">
        <v>266</v>
      </c>
      <c r="T1292" t="s">
        <v>306</v>
      </c>
      <c r="U1292">
        <v>2.0633128088100475E-2</v>
      </c>
      <c r="V1292" t="s">
        <v>163</v>
      </c>
    </row>
    <row r="1293" spans="9:22" x14ac:dyDescent="0.45">
      <c r="I1293" t="s">
        <v>204</v>
      </c>
      <c r="J1293" t="s">
        <v>307</v>
      </c>
      <c r="K1293">
        <v>7.7734709601055699E-3</v>
      </c>
      <c r="L1293" t="s">
        <v>163</v>
      </c>
      <c r="N1293" t="s">
        <v>235</v>
      </c>
      <c r="O1293" t="s">
        <v>307</v>
      </c>
      <c r="P1293">
        <v>5.5039697254927683E-3</v>
      </c>
      <c r="Q1293" t="s">
        <v>163</v>
      </c>
      <c r="S1293" t="s">
        <v>266</v>
      </c>
      <c r="T1293" t="s">
        <v>307</v>
      </c>
      <c r="U1293">
        <v>4.0568479005613223E-3</v>
      </c>
      <c r="V1293" t="s">
        <v>163</v>
      </c>
    </row>
    <row r="1294" spans="9:22" x14ac:dyDescent="0.45">
      <c r="I1294" t="s">
        <v>204</v>
      </c>
      <c r="J1294" t="s">
        <v>308</v>
      </c>
      <c r="K1294">
        <v>3.0105014998555424E-3</v>
      </c>
      <c r="L1294" t="s">
        <v>163</v>
      </c>
      <c r="N1294" t="s">
        <v>235</v>
      </c>
      <c r="O1294" t="s">
        <v>308</v>
      </c>
      <c r="P1294">
        <v>2.4129686233566545E-2</v>
      </c>
      <c r="Q1294" t="s">
        <v>163</v>
      </c>
      <c r="S1294" t="s">
        <v>266</v>
      </c>
      <c r="T1294" t="s">
        <v>308</v>
      </c>
      <c r="U1294">
        <v>1.8713380461746032E-2</v>
      </c>
      <c r="V1294" t="s">
        <v>163</v>
      </c>
    </row>
    <row r="1295" spans="9:22" x14ac:dyDescent="0.45">
      <c r="I1295" t="s">
        <v>204</v>
      </c>
      <c r="J1295" t="s">
        <v>309</v>
      </c>
      <c r="K1295">
        <v>3.7287838597172664E-3</v>
      </c>
      <c r="L1295" t="s">
        <v>163</v>
      </c>
      <c r="N1295" t="s">
        <v>235</v>
      </c>
      <c r="O1295" t="s">
        <v>309</v>
      </c>
      <c r="P1295">
        <v>2.3269487474610471E-2</v>
      </c>
      <c r="Q1295" t="s">
        <v>163</v>
      </c>
      <c r="S1295" t="s">
        <v>266</v>
      </c>
      <c r="T1295" t="s">
        <v>309</v>
      </c>
      <c r="U1295">
        <v>1.9317746353805076E-2</v>
      </c>
      <c r="V1295" t="s">
        <v>163</v>
      </c>
    </row>
    <row r="1296" spans="9:22" x14ac:dyDescent="0.45">
      <c r="I1296" t="s">
        <v>204</v>
      </c>
      <c r="J1296" t="s">
        <v>310</v>
      </c>
      <c r="K1296">
        <v>1.4234726874991135E-2</v>
      </c>
      <c r="L1296" t="s">
        <v>163</v>
      </c>
      <c r="N1296" t="s">
        <v>235</v>
      </c>
      <c r="O1296" t="s">
        <v>310</v>
      </c>
      <c r="P1296">
        <v>5.2875425149813242E-3</v>
      </c>
      <c r="Q1296" t="s">
        <v>163</v>
      </c>
      <c r="S1296" t="s">
        <v>266</v>
      </c>
      <c r="T1296" t="s">
        <v>310</v>
      </c>
      <c r="U1296">
        <v>4.7046310263233714E-3</v>
      </c>
      <c r="V1296" t="s">
        <v>163</v>
      </c>
    </row>
    <row r="1297" spans="9:22" x14ac:dyDescent="0.45">
      <c r="I1297" t="s">
        <v>204</v>
      </c>
      <c r="J1297" t="s">
        <v>311</v>
      </c>
      <c r="K1297">
        <v>2.6358637473410471E-2</v>
      </c>
      <c r="L1297" t="s">
        <v>163</v>
      </c>
      <c r="N1297" t="s">
        <v>235</v>
      </c>
      <c r="O1297" t="s">
        <v>311</v>
      </c>
      <c r="P1297">
        <v>9.3008953444467246E-3</v>
      </c>
      <c r="Q1297" t="s">
        <v>163</v>
      </c>
      <c r="S1297" t="s">
        <v>266</v>
      </c>
      <c r="T1297" t="s">
        <v>311</v>
      </c>
      <c r="U1297">
        <v>6.7893767807396766E-3</v>
      </c>
      <c r="V1297" t="s">
        <v>163</v>
      </c>
    </row>
    <row r="1298" spans="9:22" x14ac:dyDescent="0.45">
      <c r="I1298" t="s">
        <v>204</v>
      </c>
      <c r="J1298" t="s">
        <v>312</v>
      </c>
      <c r="K1298">
        <v>3.7412093960510734E-2</v>
      </c>
      <c r="L1298" t="s">
        <v>163</v>
      </c>
      <c r="N1298" t="s">
        <v>235</v>
      </c>
      <c r="O1298" t="s">
        <v>312</v>
      </c>
      <c r="P1298">
        <v>1.6336871803394579E-2</v>
      </c>
      <c r="Q1298" t="s">
        <v>163</v>
      </c>
      <c r="S1298" t="s">
        <v>266</v>
      </c>
      <c r="T1298" t="s">
        <v>312</v>
      </c>
      <c r="U1298">
        <v>1.3161315856709307E-2</v>
      </c>
      <c r="V1298" t="s">
        <v>163</v>
      </c>
    </row>
    <row r="1299" spans="9:22" x14ac:dyDescent="0.45">
      <c r="I1299" t="s">
        <v>204</v>
      </c>
      <c r="J1299" t="s">
        <v>313</v>
      </c>
      <c r="K1299">
        <v>2.5389727127541227E-3</v>
      </c>
      <c r="L1299" t="s">
        <v>163</v>
      </c>
      <c r="N1299" t="s">
        <v>235</v>
      </c>
      <c r="O1299" t="s">
        <v>313</v>
      </c>
      <c r="P1299">
        <v>3.3329597715242593E-3</v>
      </c>
      <c r="Q1299" t="s">
        <v>163</v>
      </c>
      <c r="S1299" t="s">
        <v>266</v>
      </c>
      <c r="T1299" t="s">
        <v>313</v>
      </c>
      <c r="U1299">
        <v>3.0844031267397809E-3</v>
      </c>
      <c r="V1299" t="s">
        <v>163</v>
      </c>
    </row>
    <row r="1300" spans="9:22" x14ac:dyDescent="0.45">
      <c r="I1300" t="s">
        <v>204</v>
      </c>
      <c r="J1300" t="s">
        <v>314</v>
      </c>
      <c r="K1300">
        <v>0</v>
      </c>
      <c r="L1300" t="s">
        <v>163</v>
      </c>
      <c r="N1300" t="s">
        <v>235</v>
      </c>
      <c r="O1300" t="s">
        <v>314</v>
      </c>
      <c r="P1300">
        <v>1.497615552450433E-2</v>
      </c>
      <c r="Q1300" t="s">
        <v>163</v>
      </c>
      <c r="S1300" t="s">
        <v>266</v>
      </c>
      <c r="T1300" t="s">
        <v>314</v>
      </c>
      <c r="U1300">
        <v>1.2743890144314665E-2</v>
      </c>
      <c r="V1300" t="s">
        <v>163</v>
      </c>
    </row>
    <row r="1301" spans="9:22" x14ac:dyDescent="0.45">
      <c r="I1301" t="s">
        <v>204</v>
      </c>
      <c r="J1301" t="s">
        <v>315</v>
      </c>
      <c r="K1301">
        <v>3.2717691058884407E-3</v>
      </c>
      <c r="L1301" t="s">
        <v>163</v>
      </c>
      <c r="N1301" t="s">
        <v>235</v>
      </c>
      <c r="O1301" t="s">
        <v>315</v>
      </c>
      <c r="P1301">
        <v>6.3076213305363851E-2</v>
      </c>
      <c r="Q1301" t="s">
        <v>163</v>
      </c>
      <c r="S1301" t="s">
        <v>266</v>
      </c>
      <c r="T1301" t="s">
        <v>315</v>
      </c>
      <c r="U1301">
        <v>6.0872147185898659E-2</v>
      </c>
      <c r="V1301" t="s">
        <v>163</v>
      </c>
    </row>
    <row r="1302" spans="9:22" x14ac:dyDescent="0.45">
      <c r="I1302" t="s">
        <v>204</v>
      </c>
      <c r="J1302" t="s">
        <v>316</v>
      </c>
      <c r="K1302">
        <v>2.1089436566914022E-2</v>
      </c>
      <c r="L1302" t="s">
        <v>163</v>
      </c>
      <c r="N1302" t="s">
        <v>235</v>
      </c>
      <c r="O1302" t="s">
        <v>316</v>
      </c>
      <c r="P1302">
        <v>1.381728566493836E-2</v>
      </c>
      <c r="Q1302" t="s">
        <v>163</v>
      </c>
      <c r="S1302" t="s">
        <v>266</v>
      </c>
      <c r="T1302" t="s">
        <v>316</v>
      </c>
      <c r="U1302">
        <v>1.3718155043212417E-2</v>
      </c>
      <c r="V1302" t="s">
        <v>163</v>
      </c>
    </row>
    <row r="1303" spans="9:22" x14ac:dyDescent="0.45">
      <c r="I1303" t="s">
        <v>204</v>
      </c>
      <c r="J1303" t="s">
        <v>317</v>
      </c>
      <c r="K1303">
        <v>4.5711067263240694E-2</v>
      </c>
      <c r="L1303" t="s">
        <v>163</v>
      </c>
      <c r="N1303" t="s">
        <v>235</v>
      </c>
      <c r="O1303" t="s">
        <v>317</v>
      </c>
      <c r="P1303">
        <v>2.3358711424254251E-2</v>
      </c>
      <c r="Q1303" t="s">
        <v>163</v>
      </c>
      <c r="S1303" t="s">
        <v>266</v>
      </c>
      <c r="T1303" t="s">
        <v>317</v>
      </c>
      <c r="U1303">
        <v>2.1499867898827244E-2</v>
      </c>
      <c r="V1303" t="s">
        <v>163</v>
      </c>
    </row>
    <row r="1304" spans="9:22" x14ac:dyDescent="0.45">
      <c r="I1304" t="s">
        <v>204</v>
      </c>
      <c r="J1304" t="s">
        <v>318</v>
      </c>
      <c r="K1304">
        <v>5.8253421423972308E-2</v>
      </c>
      <c r="L1304" t="s">
        <v>163</v>
      </c>
      <c r="N1304" t="s">
        <v>235</v>
      </c>
      <c r="O1304" t="s">
        <v>318</v>
      </c>
      <c r="P1304">
        <v>3.8804330713279558E-2</v>
      </c>
      <c r="Q1304" t="s">
        <v>163</v>
      </c>
      <c r="S1304" t="s">
        <v>266</v>
      </c>
      <c r="T1304" t="s">
        <v>318</v>
      </c>
      <c r="U1304">
        <v>4.015009865265981E-2</v>
      </c>
      <c r="V1304" t="s">
        <v>163</v>
      </c>
    </row>
    <row r="1305" spans="9:22" x14ac:dyDescent="0.45">
      <c r="I1305" t="s">
        <v>204</v>
      </c>
      <c r="J1305" t="s">
        <v>319</v>
      </c>
      <c r="K1305">
        <v>1.4076608413234127E-5</v>
      </c>
      <c r="L1305" t="s">
        <v>163</v>
      </c>
      <c r="N1305" t="s">
        <v>235</v>
      </c>
      <c r="O1305" t="s">
        <v>319</v>
      </c>
      <c r="P1305">
        <v>8.0658846390632109E-3</v>
      </c>
      <c r="Q1305" t="s">
        <v>163</v>
      </c>
      <c r="S1305" t="s">
        <v>266</v>
      </c>
      <c r="T1305" t="s">
        <v>319</v>
      </c>
      <c r="U1305">
        <v>8.485098831955926E-3</v>
      </c>
      <c r="V1305" t="s">
        <v>163</v>
      </c>
    </row>
    <row r="1306" spans="9:22" x14ac:dyDescent="0.45">
      <c r="I1306" t="s">
        <v>204</v>
      </c>
      <c r="J1306" t="s">
        <v>320</v>
      </c>
      <c r="K1306">
        <v>0</v>
      </c>
      <c r="L1306" t="s">
        <v>163</v>
      </c>
      <c r="N1306" t="s">
        <v>235</v>
      </c>
      <c r="O1306" t="s">
        <v>320</v>
      </c>
      <c r="P1306">
        <v>4.0195618626099668E-2</v>
      </c>
      <c r="Q1306" t="s">
        <v>163</v>
      </c>
      <c r="S1306" t="s">
        <v>266</v>
      </c>
      <c r="T1306" t="s">
        <v>320</v>
      </c>
      <c r="U1306">
        <v>4.0043380246780162E-2</v>
      </c>
      <c r="V1306" t="s">
        <v>163</v>
      </c>
    </row>
    <row r="1307" spans="9:22" x14ac:dyDescent="0.45">
      <c r="I1307" t="s">
        <v>204</v>
      </c>
      <c r="J1307" t="s">
        <v>321</v>
      </c>
      <c r="K1307">
        <v>0</v>
      </c>
      <c r="L1307" t="s">
        <v>163</v>
      </c>
      <c r="N1307" t="s">
        <v>235</v>
      </c>
      <c r="O1307" t="s">
        <v>321</v>
      </c>
      <c r="P1307">
        <v>4.0223547576427328E-2</v>
      </c>
      <c r="Q1307" t="s">
        <v>163</v>
      </c>
      <c r="S1307" t="s">
        <v>266</v>
      </c>
      <c r="T1307" t="s">
        <v>321</v>
      </c>
      <c r="U1307">
        <v>4.016209317560826E-2</v>
      </c>
      <c r="V1307" t="s">
        <v>163</v>
      </c>
    </row>
    <row r="1308" spans="9:22" x14ac:dyDescent="0.45">
      <c r="I1308" t="s">
        <v>204</v>
      </c>
      <c r="J1308" t="s">
        <v>322</v>
      </c>
      <c r="K1308">
        <v>7.14489954951878E-3</v>
      </c>
      <c r="L1308" t="s">
        <v>163</v>
      </c>
      <c r="N1308" t="s">
        <v>235</v>
      </c>
      <c r="O1308" t="s">
        <v>322</v>
      </c>
      <c r="P1308">
        <v>9.7076497656021117E-3</v>
      </c>
      <c r="Q1308" t="s">
        <v>163</v>
      </c>
      <c r="S1308" t="s">
        <v>266</v>
      </c>
      <c r="T1308" t="s">
        <v>322</v>
      </c>
      <c r="U1308">
        <v>9.135718851670761E-3</v>
      </c>
      <c r="V1308" t="s">
        <v>163</v>
      </c>
    </row>
    <row r="1309" spans="9:22" x14ac:dyDescent="0.45">
      <c r="I1309" t="s">
        <v>204</v>
      </c>
      <c r="J1309" t="s">
        <v>323</v>
      </c>
      <c r="K1309">
        <v>1.8810328198545043E-2</v>
      </c>
      <c r="L1309" t="s">
        <v>163</v>
      </c>
      <c r="N1309" t="s">
        <v>235</v>
      </c>
      <c r="O1309" t="s">
        <v>323</v>
      </c>
      <c r="P1309">
        <v>1.4939673468566396E-2</v>
      </c>
      <c r="Q1309" t="s">
        <v>163</v>
      </c>
      <c r="S1309" t="s">
        <v>266</v>
      </c>
      <c r="T1309" t="s">
        <v>323</v>
      </c>
      <c r="U1309">
        <v>1.5842337956401161E-2</v>
      </c>
      <c r="V1309" t="s">
        <v>163</v>
      </c>
    </row>
    <row r="1310" spans="9:22" x14ac:dyDescent="0.45">
      <c r="I1310" t="s">
        <v>204</v>
      </c>
      <c r="J1310" t="s">
        <v>324</v>
      </c>
      <c r="K1310">
        <v>2.330591460813727E-2</v>
      </c>
      <c r="L1310" t="s">
        <v>163</v>
      </c>
      <c r="N1310" t="s">
        <v>235</v>
      </c>
      <c r="O1310" t="s">
        <v>324</v>
      </c>
      <c r="P1310">
        <v>2.4753568135668341E-2</v>
      </c>
      <c r="Q1310" t="s">
        <v>163</v>
      </c>
      <c r="S1310" t="s">
        <v>266</v>
      </c>
      <c r="T1310" t="s">
        <v>324</v>
      </c>
      <c r="U1310">
        <v>2.9092656721614943E-2</v>
      </c>
      <c r="V1310" t="s">
        <v>163</v>
      </c>
    </row>
    <row r="1311" spans="9:22" x14ac:dyDescent="0.45">
      <c r="I1311" t="s">
        <v>204</v>
      </c>
      <c r="J1311" t="s">
        <v>325</v>
      </c>
      <c r="K1311">
        <v>0</v>
      </c>
      <c r="L1311" t="s">
        <v>163</v>
      </c>
      <c r="N1311" t="s">
        <v>235</v>
      </c>
      <c r="O1311" t="s">
        <v>325</v>
      </c>
      <c r="P1311">
        <v>4.8208440554399915E-3</v>
      </c>
      <c r="Q1311" t="s">
        <v>163</v>
      </c>
      <c r="S1311" t="s">
        <v>266</v>
      </c>
      <c r="T1311" t="s">
        <v>325</v>
      </c>
      <c r="U1311">
        <v>5.8132378373388638E-3</v>
      </c>
      <c r="V1311" t="s">
        <v>163</v>
      </c>
    </row>
    <row r="1312" spans="9:22" x14ac:dyDescent="0.45">
      <c r="I1312" t="s">
        <v>204</v>
      </c>
      <c r="J1312" t="s">
        <v>326</v>
      </c>
      <c r="K1312">
        <v>0</v>
      </c>
      <c r="L1312" t="s">
        <v>163</v>
      </c>
      <c r="N1312" t="s">
        <v>235</v>
      </c>
      <c r="O1312" t="s">
        <v>326</v>
      </c>
      <c r="P1312">
        <v>2.3325655731877941E-2</v>
      </c>
      <c r="Q1312" t="s">
        <v>163</v>
      </c>
      <c r="S1312" t="s">
        <v>266</v>
      </c>
      <c r="T1312" t="s">
        <v>326</v>
      </c>
      <c r="U1312">
        <v>2.6770414584668313E-2</v>
      </c>
      <c r="V1312" t="s">
        <v>163</v>
      </c>
    </row>
    <row r="1313" spans="19:22" x14ac:dyDescent="0.45">
      <c r="S1313" t="s">
        <v>267</v>
      </c>
      <c r="T1313" t="s">
        <v>162</v>
      </c>
      <c r="U1313">
        <v>0.1394793077893518</v>
      </c>
      <c r="V1313" t="s">
        <v>163</v>
      </c>
    </row>
    <row r="1314" spans="19:22" x14ac:dyDescent="0.45">
      <c r="S1314" t="s">
        <v>267</v>
      </c>
      <c r="T1314" t="s">
        <v>164</v>
      </c>
      <c r="U1314">
        <v>3.0099843201510025E-2</v>
      </c>
      <c r="V1314" t="s">
        <v>163</v>
      </c>
    </row>
    <row r="1315" spans="19:22" x14ac:dyDescent="0.45">
      <c r="S1315" t="s">
        <v>267</v>
      </c>
      <c r="T1315" t="s">
        <v>165</v>
      </c>
      <c r="U1315">
        <v>4.6920121664165801E-2</v>
      </c>
      <c r="V1315" t="s">
        <v>163</v>
      </c>
    </row>
    <row r="1316" spans="19:22" x14ac:dyDescent="0.45">
      <c r="S1316" t="s">
        <v>267</v>
      </c>
      <c r="T1316" t="s">
        <v>297</v>
      </c>
      <c r="U1316">
        <v>8.264960658444083E-2</v>
      </c>
      <c r="V1316" t="s">
        <v>163</v>
      </c>
    </row>
    <row r="1317" spans="19:22" x14ac:dyDescent="0.45">
      <c r="S1317" t="s">
        <v>267</v>
      </c>
      <c r="T1317" t="s">
        <v>298</v>
      </c>
      <c r="U1317">
        <v>1.7199477925510295E-2</v>
      </c>
      <c r="V1317" t="s">
        <v>163</v>
      </c>
    </row>
    <row r="1318" spans="19:22" x14ac:dyDescent="0.45">
      <c r="S1318" t="s">
        <v>267</v>
      </c>
      <c r="T1318" t="s">
        <v>299</v>
      </c>
      <c r="U1318">
        <v>8.4614940082372747E-2</v>
      </c>
      <c r="V1318" t="s">
        <v>163</v>
      </c>
    </row>
    <row r="1319" spans="19:22" x14ac:dyDescent="0.45">
      <c r="S1319" t="s">
        <v>267</v>
      </c>
      <c r="T1319" t="s">
        <v>166</v>
      </c>
      <c r="U1319">
        <v>2.2538873880091247E-2</v>
      </c>
      <c r="V1319" t="s">
        <v>163</v>
      </c>
    </row>
    <row r="1320" spans="19:22" x14ac:dyDescent="0.45">
      <c r="S1320" t="s">
        <v>267</v>
      </c>
      <c r="T1320" t="s">
        <v>167</v>
      </c>
      <c r="U1320">
        <v>5.1262311095379605E-3</v>
      </c>
      <c r="V1320" t="s">
        <v>163</v>
      </c>
    </row>
    <row r="1321" spans="19:22" x14ac:dyDescent="0.45">
      <c r="S1321" t="s">
        <v>267</v>
      </c>
      <c r="T1321" t="s">
        <v>168</v>
      </c>
      <c r="U1321">
        <v>7.9327304771185693E-3</v>
      </c>
      <c r="V1321" t="s">
        <v>163</v>
      </c>
    </row>
    <row r="1322" spans="19:22" x14ac:dyDescent="0.45">
      <c r="S1322" t="s">
        <v>267</v>
      </c>
      <c r="T1322" t="s">
        <v>300</v>
      </c>
      <c r="U1322">
        <v>1.3852825985715363E-2</v>
      </c>
      <c r="V1322" t="s">
        <v>163</v>
      </c>
    </row>
    <row r="1323" spans="19:22" x14ac:dyDescent="0.45">
      <c r="S1323" t="s">
        <v>267</v>
      </c>
      <c r="T1323" t="s">
        <v>301</v>
      </c>
      <c r="U1323">
        <v>2.7281160507586009E-3</v>
      </c>
      <c r="V1323" t="s">
        <v>163</v>
      </c>
    </row>
    <row r="1324" spans="19:22" x14ac:dyDescent="0.45">
      <c r="S1324" t="s">
        <v>267</v>
      </c>
      <c r="T1324" t="s">
        <v>302</v>
      </c>
      <c r="U1324">
        <v>1.2632166393283848E-2</v>
      </c>
      <c r="V1324" t="s">
        <v>163</v>
      </c>
    </row>
    <row r="1325" spans="19:22" x14ac:dyDescent="0.45">
      <c r="S1325" t="s">
        <v>267</v>
      </c>
      <c r="T1325" t="s">
        <v>169</v>
      </c>
      <c r="U1325">
        <v>9.0922380398684929E-3</v>
      </c>
      <c r="V1325" t="s">
        <v>163</v>
      </c>
    </row>
    <row r="1326" spans="19:22" x14ac:dyDescent="0.45">
      <c r="S1326" t="s">
        <v>267</v>
      </c>
      <c r="T1326" t="s">
        <v>170</v>
      </c>
      <c r="U1326">
        <v>1.9533729584377021E-3</v>
      </c>
      <c r="V1326" t="s">
        <v>163</v>
      </c>
    </row>
    <row r="1327" spans="19:22" x14ac:dyDescent="0.45">
      <c r="S1327" t="s">
        <v>267</v>
      </c>
      <c r="T1327" t="s">
        <v>171</v>
      </c>
      <c r="U1327">
        <v>2.7180006519931278E-3</v>
      </c>
      <c r="V1327" t="s">
        <v>163</v>
      </c>
    </row>
    <row r="1328" spans="19:22" x14ac:dyDescent="0.45">
      <c r="S1328" t="s">
        <v>267</v>
      </c>
      <c r="T1328" t="s">
        <v>303</v>
      </c>
      <c r="U1328">
        <v>5.4991834821178139E-3</v>
      </c>
      <c r="V1328" t="s">
        <v>163</v>
      </c>
    </row>
    <row r="1329" spans="19:22" x14ac:dyDescent="0.45">
      <c r="S1329" t="s">
        <v>267</v>
      </c>
      <c r="T1329" t="s">
        <v>304</v>
      </c>
      <c r="U1329">
        <v>1.2717111955767425E-3</v>
      </c>
      <c r="V1329" t="s">
        <v>163</v>
      </c>
    </row>
    <row r="1330" spans="19:22" x14ac:dyDescent="0.45">
      <c r="S1330" t="s">
        <v>267</v>
      </c>
      <c r="T1330" t="s">
        <v>305</v>
      </c>
      <c r="U1330">
        <v>6.1001168638946781E-3</v>
      </c>
      <c r="V1330" t="s">
        <v>163</v>
      </c>
    </row>
    <row r="1331" spans="19:22" x14ac:dyDescent="0.45">
      <c r="S1331" t="s">
        <v>267</v>
      </c>
      <c r="T1331" t="s">
        <v>172</v>
      </c>
      <c r="U1331">
        <v>4.7173627745593374E-2</v>
      </c>
      <c r="V1331" t="s">
        <v>163</v>
      </c>
    </row>
    <row r="1332" spans="19:22" x14ac:dyDescent="0.45">
      <c r="S1332" t="s">
        <v>267</v>
      </c>
      <c r="T1332" t="s">
        <v>173</v>
      </c>
      <c r="U1332">
        <v>1.2055173420850803E-2</v>
      </c>
      <c r="V1332" t="s">
        <v>163</v>
      </c>
    </row>
    <row r="1333" spans="19:22" x14ac:dyDescent="0.45">
      <c r="S1333" t="s">
        <v>267</v>
      </c>
      <c r="T1333" t="s">
        <v>174</v>
      </c>
      <c r="U1333">
        <v>1.9471262625881072E-2</v>
      </c>
      <c r="V1333" t="s">
        <v>163</v>
      </c>
    </row>
    <row r="1334" spans="19:22" x14ac:dyDescent="0.45">
      <c r="S1334" t="s">
        <v>267</v>
      </c>
      <c r="T1334" t="s">
        <v>306</v>
      </c>
      <c r="U1334">
        <v>3.255605668050144E-2</v>
      </c>
      <c r="V1334" t="s">
        <v>163</v>
      </c>
    </row>
    <row r="1335" spans="19:22" x14ac:dyDescent="0.45">
      <c r="S1335" t="s">
        <v>267</v>
      </c>
      <c r="T1335" t="s">
        <v>307</v>
      </c>
      <c r="U1335">
        <v>5.8500123177978487E-3</v>
      </c>
      <c r="V1335" t="s">
        <v>163</v>
      </c>
    </row>
    <row r="1336" spans="19:22" x14ac:dyDescent="0.45">
      <c r="S1336" t="s">
        <v>267</v>
      </c>
      <c r="T1336" t="s">
        <v>308</v>
      </c>
      <c r="U1336">
        <v>2.4634413576589194E-2</v>
      </c>
      <c r="V1336" t="s">
        <v>163</v>
      </c>
    </row>
    <row r="1337" spans="19:22" x14ac:dyDescent="0.45">
      <c r="S1337" t="s">
        <v>267</v>
      </c>
      <c r="T1337" t="s">
        <v>309</v>
      </c>
      <c r="U1337">
        <v>1.5837813262064657E-2</v>
      </c>
      <c r="V1337" t="s">
        <v>163</v>
      </c>
    </row>
    <row r="1338" spans="19:22" x14ac:dyDescent="0.45">
      <c r="S1338" t="s">
        <v>267</v>
      </c>
      <c r="T1338" t="s">
        <v>310</v>
      </c>
      <c r="U1338">
        <v>3.8626279959760256E-3</v>
      </c>
      <c r="V1338" t="s">
        <v>163</v>
      </c>
    </row>
    <row r="1339" spans="19:22" x14ac:dyDescent="0.45">
      <c r="S1339" t="s">
        <v>267</v>
      </c>
      <c r="T1339" t="s">
        <v>311</v>
      </c>
      <c r="U1339">
        <v>5.5612754306849704E-3</v>
      </c>
      <c r="V1339" t="s">
        <v>163</v>
      </c>
    </row>
    <row r="1340" spans="19:22" x14ac:dyDescent="0.45">
      <c r="S1340" t="s">
        <v>267</v>
      </c>
      <c r="T1340" t="s">
        <v>312</v>
      </c>
      <c r="U1340">
        <v>9.822259722290904E-3</v>
      </c>
      <c r="V1340" t="s">
        <v>163</v>
      </c>
    </row>
    <row r="1341" spans="19:22" x14ac:dyDescent="0.45">
      <c r="S1341" t="s">
        <v>267</v>
      </c>
      <c r="T1341" t="s">
        <v>313</v>
      </c>
      <c r="U1341">
        <v>2.2817196808053481E-3</v>
      </c>
      <c r="V1341" t="s">
        <v>163</v>
      </c>
    </row>
    <row r="1342" spans="19:22" x14ac:dyDescent="0.45">
      <c r="S1342" t="s">
        <v>267</v>
      </c>
      <c r="T1342" t="s">
        <v>314</v>
      </c>
      <c r="U1342">
        <v>1.0288520636210082E-2</v>
      </c>
      <c r="V1342" t="s">
        <v>163</v>
      </c>
    </row>
    <row r="1343" spans="19:22" x14ac:dyDescent="0.45">
      <c r="S1343" t="s">
        <v>267</v>
      </c>
      <c r="T1343" t="s">
        <v>315</v>
      </c>
      <c r="U1343">
        <v>6.1235626867317886E-2</v>
      </c>
      <c r="V1343" t="s">
        <v>163</v>
      </c>
    </row>
    <row r="1344" spans="19:22" x14ac:dyDescent="0.45">
      <c r="S1344" t="s">
        <v>267</v>
      </c>
      <c r="T1344" t="s">
        <v>316</v>
      </c>
      <c r="U1344">
        <v>1.5243155212248758E-2</v>
      </c>
      <c r="V1344" t="s">
        <v>163</v>
      </c>
    </row>
    <row r="1345" spans="19:22" x14ac:dyDescent="0.45">
      <c r="S1345" t="s">
        <v>267</v>
      </c>
      <c r="T1345" t="s">
        <v>317</v>
      </c>
      <c r="U1345">
        <v>2.3452179492618231E-2</v>
      </c>
      <c r="V1345" t="s">
        <v>163</v>
      </c>
    </row>
    <row r="1346" spans="19:22" x14ac:dyDescent="0.45">
      <c r="S1346" t="s">
        <v>267</v>
      </c>
      <c r="T1346" t="s">
        <v>318</v>
      </c>
      <c r="U1346">
        <v>4.0743028482593091E-2</v>
      </c>
      <c r="V1346" t="s">
        <v>163</v>
      </c>
    </row>
    <row r="1347" spans="19:22" x14ac:dyDescent="0.45">
      <c r="S1347" t="s">
        <v>267</v>
      </c>
      <c r="T1347" t="s">
        <v>319</v>
      </c>
      <c r="U1347">
        <v>8.5699666103114872E-3</v>
      </c>
      <c r="V1347" t="s">
        <v>163</v>
      </c>
    </row>
    <row r="1348" spans="19:22" x14ac:dyDescent="0.45">
      <c r="S1348" t="s">
        <v>267</v>
      </c>
      <c r="T1348" t="s">
        <v>320</v>
      </c>
      <c r="U1348">
        <v>3.9907666467304821E-2</v>
      </c>
      <c r="V1348" t="s">
        <v>163</v>
      </c>
    </row>
    <row r="1349" spans="19:22" x14ac:dyDescent="0.45">
      <c r="S1349" t="s">
        <v>267</v>
      </c>
      <c r="T1349" t="s">
        <v>321</v>
      </c>
      <c r="U1349">
        <v>4.0318011845039872E-2</v>
      </c>
      <c r="V1349" t="s">
        <v>163</v>
      </c>
    </row>
    <row r="1350" spans="19:22" x14ac:dyDescent="0.45">
      <c r="S1350" t="s">
        <v>267</v>
      </c>
      <c r="T1350" t="s">
        <v>322</v>
      </c>
      <c r="U1350">
        <v>9.8893698389636176E-3</v>
      </c>
      <c r="V1350" t="s">
        <v>163</v>
      </c>
    </row>
    <row r="1351" spans="19:22" x14ac:dyDescent="0.45">
      <c r="S1351" t="s">
        <v>267</v>
      </c>
      <c r="T1351" t="s">
        <v>323</v>
      </c>
      <c r="U1351">
        <v>1.6546793607802309E-2</v>
      </c>
      <c r="V1351" t="s">
        <v>163</v>
      </c>
    </row>
    <row r="1352" spans="19:22" x14ac:dyDescent="0.45">
      <c r="S1352" t="s">
        <v>267</v>
      </c>
      <c r="T1352" t="s">
        <v>324</v>
      </c>
      <c r="U1352">
        <v>2.9899714730357685E-2</v>
      </c>
      <c r="V1352" t="s">
        <v>163</v>
      </c>
    </row>
    <row r="1353" spans="19:22" x14ac:dyDescent="0.45">
      <c r="S1353" t="s">
        <v>267</v>
      </c>
      <c r="T1353" t="s">
        <v>325</v>
      </c>
      <c r="U1353">
        <v>5.7014114718059034E-3</v>
      </c>
      <c r="V1353" t="s">
        <v>163</v>
      </c>
    </row>
    <row r="1354" spans="19:22" x14ac:dyDescent="0.45">
      <c r="S1354" t="s">
        <v>267</v>
      </c>
      <c r="T1354" t="s">
        <v>326</v>
      </c>
      <c r="U1354">
        <v>2.6689447942643166E-2</v>
      </c>
      <c r="V1354" t="s">
        <v>163</v>
      </c>
    </row>
    <row r="1355" spans="19:22" x14ac:dyDescent="0.45">
      <c r="S1355" t="s">
        <v>268</v>
      </c>
      <c r="T1355" t="s">
        <v>162</v>
      </c>
      <c r="U1355">
        <v>0.11455566202042074</v>
      </c>
      <c r="V1355" t="s">
        <v>163</v>
      </c>
    </row>
    <row r="1356" spans="19:22" x14ac:dyDescent="0.45">
      <c r="S1356" t="s">
        <v>268</v>
      </c>
      <c r="T1356" t="s">
        <v>164</v>
      </c>
      <c r="U1356">
        <v>2.8245041727835228E-2</v>
      </c>
      <c r="V1356" t="s">
        <v>163</v>
      </c>
    </row>
    <row r="1357" spans="19:22" x14ac:dyDescent="0.45">
      <c r="S1357" t="s">
        <v>268</v>
      </c>
      <c r="T1357" t="s">
        <v>165</v>
      </c>
      <c r="U1357">
        <v>4.4425603319942046E-2</v>
      </c>
      <c r="V1357" t="s">
        <v>163</v>
      </c>
    </row>
    <row r="1358" spans="19:22" x14ac:dyDescent="0.45">
      <c r="S1358" t="s">
        <v>268</v>
      </c>
      <c r="T1358" t="s">
        <v>297</v>
      </c>
      <c r="U1358">
        <v>7.8369669686764287E-2</v>
      </c>
      <c r="V1358" t="s">
        <v>163</v>
      </c>
    </row>
    <row r="1359" spans="19:22" x14ac:dyDescent="0.45">
      <c r="S1359" t="s">
        <v>268</v>
      </c>
      <c r="T1359" t="s">
        <v>298</v>
      </c>
      <c r="U1359">
        <v>1.5616782655324853E-2</v>
      </c>
      <c r="V1359" t="s">
        <v>163</v>
      </c>
    </row>
    <row r="1360" spans="19:22" x14ac:dyDescent="0.45">
      <c r="S1360" t="s">
        <v>268</v>
      </c>
      <c r="T1360" t="s">
        <v>299</v>
      </c>
      <c r="U1360">
        <v>6.9397655966288427E-2</v>
      </c>
      <c r="V1360" t="s">
        <v>163</v>
      </c>
    </row>
    <row r="1361" spans="19:22" x14ac:dyDescent="0.45">
      <c r="S1361" t="s">
        <v>268</v>
      </c>
      <c r="T1361" t="s">
        <v>166</v>
      </c>
      <c r="U1361">
        <v>2.7899566991650269E-2</v>
      </c>
      <c r="V1361" t="s">
        <v>163</v>
      </c>
    </row>
    <row r="1362" spans="19:22" x14ac:dyDescent="0.45">
      <c r="S1362" t="s">
        <v>268</v>
      </c>
      <c r="T1362" t="s">
        <v>167</v>
      </c>
      <c r="U1362">
        <v>7.4267534939750184E-3</v>
      </c>
      <c r="V1362" t="s">
        <v>163</v>
      </c>
    </row>
    <row r="1363" spans="19:22" x14ac:dyDescent="0.45">
      <c r="S1363" t="s">
        <v>268</v>
      </c>
      <c r="T1363" t="s">
        <v>168</v>
      </c>
      <c r="U1363">
        <v>1.1597944638138184E-2</v>
      </c>
      <c r="V1363" t="s">
        <v>163</v>
      </c>
    </row>
    <row r="1364" spans="19:22" x14ac:dyDescent="0.45">
      <c r="S1364" t="s">
        <v>268</v>
      </c>
      <c r="T1364" t="s">
        <v>300</v>
      </c>
      <c r="U1364">
        <v>1.8657403472905135E-2</v>
      </c>
      <c r="V1364" t="s">
        <v>163</v>
      </c>
    </row>
    <row r="1365" spans="19:22" x14ac:dyDescent="0.45">
      <c r="S1365" t="s">
        <v>268</v>
      </c>
      <c r="T1365" t="s">
        <v>301</v>
      </c>
      <c r="U1365">
        <v>3.6339446638817639E-3</v>
      </c>
      <c r="V1365" t="s">
        <v>163</v>
      </c>
    </row>
    <row r="1366" spans="19:22" x14ac:dyDescent="0.45">
      <c r="S1366" t="s">
        <v>268</v>
      </c>
      <c r="T1366" t="s">
        <v>302</v>
      </c>
      <c r="U1366">
        <v>1.6957474243377436E-2</v>
      </c>
      <c r="V1366" t="s">
        <v>163</v>
      </c>
    </row>
    <row r="1367" spans="19:22" x14ac:dyDescent="0.45">
      <c r="S1367" t="s">
        <v>268</v>
      </c>
      <c r="T1367" t="s">
        <v>169</v>
      </c>
      <c r="U1367">
        <v>2.9990519045906362E-2</v>
      </c>
      <c r="V1367" t="s">
        <v>163</v>
      </c>
    </row>
    <row r="1368" spans="19:22" x14ac:dyDescent="0.45">
      <c r="S1368" t="s">
        <v>268</v>
      </c>
      <c r="T1368" t="s">
        <v>170</v>
      </c>
      <c r="U1368">
        <v>6.2660897874601577E-3</v>
      </c>
      <c r="V1368" t="s">
        <v>163</v>
      </c>
    </row>
    <row r="1369" spans="19:22" x14ac:dyDescent="0.45">
      <c r="S1369" t="s">
        <v>268</v>
      </c>
      <c r="T1369" t="s">
        <v>171</v>
      </c>
      <c r="U1369">
        <v>1.0310993642645786E-2</v>
      </c>
      <c r="V1369" t="s">
        <v>163</v>
      </c>
    </row>
    <row r="1370" spans="19:22" x14ac:dyDescent="0.45">
      <c r="S1370" t="s">
        <v>268</v>
      </c>
      <c r="T1370" t="s">
        <v>303</v>
      </c>
      <c r="U1370">
        <v>1.8100012769049E-2</v>
      </c>
      <c r="V1370" t="s">
        <v>163</v>
      </c>
    </row>
    <row r="1371" spans="19:22" x14ac:dyDescent="0.45">
      <c r="S1371" t="s">
        <v>268</v>
      </c>
      <c r="T1371" t="s">
        <v>304</v>
      </c>
      <c r="U1371">
        <v>3.500806564043708E-3</v>
      </c>
      <c r="V1371" t="s">
        <v>163</v>
      </c>
    </row>
    <row r="1372" spans="19:22" x14ac:dyDescent="0.45">
      <c r="S1372" t="s">
        <v>268</v>
      </c>
      <c r="T1372" t="s">
        <v>305</v>
      </c>
      <c r="U1372">
        <v>1.5430434684001246E-2</v>
      </c>
      <c r="V1372" t="s">
        <v>163</v>
      </c>
    </row>
    <row r="1373" spans="19:22" x14ac:dyDescent="0.45">
      <c r="S1373" t="s">
        <v>268</v>
      </c>
      <c r="T1373" t="s">
        <v>172</v>
      </c>
      <c r="U1373">
        <v>2.0702402536130003E-2</v>
      </c>
      <c r="V1373" t="s">
        <v>163</v>
      </c>
    </row>
    <row r="1374" spans="19:22" x14ac:dyDescent="0.45">
      <c r="S1374" t="s">
        <v>268</v>
      </c>
      <c r="T1374" t="s">
        <v>173</v>
      </c>
      <c r="U1374">
        <v>4.6860056890469662E-3</v>
      </c>
      <c r="V1374" t="s">
        <v>163</v>
      </c>
    </row>
    <row r="1375" spans="19:22" x14ac:dyDescent="0.45">
      <c r="S1375" t="s">
        <v>268</v>
      </c>
      <c r="T1375" t="s">
        <v>174</v>
      </c>
      <c r="U1375">
        <v>7.0536725436716437E-3</v>
      </c>
      <c r="V1375" t="s">
        <v>163</v>
      </c>
    </row>
    <row r="1376" spans="19:22" x14ac:dyDescent="0.45">
      <c r="S1376" t="s">
        <v>268</v>
      </c>
      <c r="T1376" t="s">
        <v>306</v>
      </c>
      <c r="U1376">
        <v>1.1803616637909953E-2</v>
      </c>
      <c r="V1376" t="s">
        <v>163</v>
      </c>
    </row>
    <row r="1377" spans="19:22" x14ac:dyDescent="0.45">
      <c r="S1377" t="s">
        <v>268</v>
      </c>
      <c r="T1377" t="s">
        <v>307</v>
      </c>
      <c r="U1377">
        <v>2.3612745309921799E-3</v>
      </c>
      <c r="V1377" t="s">
        <v>163</v>
      </c>
    </row>
    <row r="1378" spans="19:22" x14ac:dyDescent="0.45">
      <c r="S1378" t="s">
        <v>268</v>
      </c>
      <c r="T1378" t="s">
        <v>308</v>
      </c>
      <c r="U1378">
        <v>1.0525050479877299E-2</v>
      </c>
      <c r="V1378" t="s">
        <v>163</v>
      </c>
    </row>
    <row r="1379" spans="19:22" x14ac:dyDescent="0.45">
      <c r="S1379" t="s">
        <v>268</v>
      </c>
      <c r="T1379" t="s">
        <v>309</v>
      </c>
      <c r="U1379">
        <v>3.7318866024936156E-2</v>
      </c>
      <c r="V1379" t="s">
        <v>163</v>
      </c>
    </row>
    <row r="1380" spans="19:22" x14ac:dyDescent="0.45">
      <c r="S1380" t="s">
        <v>268</v>
      </c>
      <c r="T1380" t="s">
        <v>310</v>
      </c>
      <c r="U1380">
        <v>9.3553064729587528E-3</v>
      </c>
      <c r="V1380" t="s">
        <v>163</v>
      </c>
    </row>
    <row r="1381" spans="19:22" x14ac:dyDescent="0.45">
      <c r="S1381" t="s">
        <v>268</v>
      </c>
      <c r="T1381" t="s">
        <v>311</v>
      </c>
      <c r="U1381">
        <v>1.4427581562311472E-2</v>
      </c>
      <c r="V1381" t="s">
        <v>163</v>
      </c>
    </row>
    <row r="1382" spans="19:22" x14ac:dyDescent="0.45">
      <c r="S1382" t="s">
        <v>268</v>
      </c>
      <c r="T1382" t="s">
        <v>312</v>
      </c>
      <c r="U1382">
        <v>2.411104997085628E-2</v>
      </c>
      <c r="V1382" t="s">
        <v>163</v>
      </c>
    </row>
    <row r="1383" spans="19:22" x14ac:dyDescent="0.45">
      <c r="S1383" t="s">
        <v>268</v>
      </c>
      <c r="T1383" t="s">
        <v>313</v>
      </c>
      <c r="U1383">
        <v>4.92494234499565E-3</v>
      </c>
      <c r="V1383" t="s">
        <v>163</v>
      </c>
    </row>
    <row r="1384" spans="19:22" x14ac:dyDescent="0.45">
      <c r="S1384" t="s">
        <v>268</v>
      </c>
      <c r="T1384" t="s">
        <v>314</v>
      </c>
      <c r="U1384">
        <v>2.4100515282874557E-2</v>
      </c>
      <c r="V1384" t="s">
        <v>163</v>
      </c>
    </row>
    <row r="1385" spans="19:22" x14ac:dyDescent="0.45">
      <c r="S1385" t="s">
        <v>268</v>
      </c>
      <c r="T1385" t="s">
        <v>315</v>
      </c>
      <c r="U1385">
        <v>7.1912759544814145E-2</v>
      </c>
      <c r="V1385" t="s">
        <v>163</v>
      </c>
    </row>
    <row r="1386" spans="19:22" x14ac:dyDescent="0.45">
      <c r="S1386" t="s">
        <v>268</v>
      </c>
      <c r="T1386" t="s">
        <v>316</v>
      </c>
      <c r="U1386">
        <v>1.6903229190409381E-2</v>
      </c>
      <c r="V1386" t="s">
        <v>163</v>
      </c>
    </row>
    <row r="1387" spans="19:22" x14ac:dyDescent="0.45">
      <c r="S1387" t="s">
        <v>268</v>
      </c>
      <c r="T1387" t="s">
        <v>317</v>
      </c>
      <c r="U1387">
        <v>2.6220271932300761E-2</v>
      </c>
      <c r="V1387" t="s">
        <v>163</v>
      </c>
    </row>
    <row r="1388" spans="19:22" x14ac:dyDescent="0.45">
      <c r="S1388" t="s">
        <v>268</v>
      </c>
      <c r="T1388" t="s">
        <v>318</v>
      </c>
      <c r="U1388">
        <v>4.5948044043780938E-2</v>
      </c>
      <c r="V1388" t="s">
        <v>163</v>
      </c>
    </row>
    <row r="1389" spans="19:22" x14ac:dyDescent="0.45">
      <c r="S1389" t="s">
        <v>268</v>
      </c>
      <c r="T1389" t="s">
        <v>319</v>
      </c>
      <c r="U1389">
        <v>9.5831114104211242E-3</v>
      </c>
      <c r="V1389" t="s">
        <v>163</v>
      </c>
    </row>
    <row r="1390" spans="19:22" x14ac:dyDescent="0.45">
      <c r="S1390" t="s">
        <v>268</v>
      </c>
      <c r="T1390" t="s">
        <v>320</v>
      </c>
      <c r="U1390">
        <v>4.3259006844651456E-2</v>
      </c>
      <c r="V1390" t="s">
        <v>163</v>
      </c>
    </row>
    <row r="1391" spans="19:22" x14ac:dyDescent="0.45">
      <c r="S1391" t="s">
        <v>268</v>
      </c>
      <c r="T1391" t="s">
        <v>321</v>
      </c>
      <c r="U1391">
        <v>3.0632639021976295E-2</v>
      </c>
      <c r="V1391" t="s">
        <v>163</v>
      </c>
    </row>
    <row r="1392" spans="19:22" x14ac:dyDescent="0.45">
      <c r="S1392" t="s">
        <v>268</v>
      </c>
      <c r="T1392" t="s">
        <v>322</v>
      </c>
      <c r="U1392">
        <v>7.5642910930072034E-3</v>
      </c>
      <c r="V1392" t="s">
        <v>163</v>
      </c>
    </row>
    <row r="1393" spans="19:22" x14ac:dyDescent="0.45">
      <c r="S1393" t="s">
        <v>268</v>
      </c>
      <c r="T1393" t="s">
        <v>323</v>
      </c>
      <c r="U1393">
        <v>1.1750705599303279E-2</v>
      </c>
      <c r="V1393" t="s">
        <v>163</v>
      </c>
    </row>
    <row r="1394" spans="19:22" x14ac:dyDescent="0.45">
      <c r="S1394" t="s">
        <v>268</v>
      </c>
      <c r="T1394" t="s">
        <v>324</v>
      </c>
      <c r="U1394">
        <v>2.087166501891638E-2</v>
      </c>
      <c r="V1394" t="s">
        <v>163</v>
      </c>
    </row>
    <row r="1395" spans="19:22" x14ac:dyDescent="0.45">
      <c r="S1395" t="s">
        <v>268</v>
      </c>
      <c r="T1395" t="s">
        <v>325</v>
      </c>
      <c r="U1395">
        <v>4.1246481510019807E-3</v>
      </c>
      <c r="V1395" t="s">
        <v>163</v>
      </c>
    </row>
    <row r="1396" spans="19:22" x14ac:dyDescent="0.45">
      <c r="S1396" t="s">
        <v>268</v>
      </c>
      <c r="T1396" t="s">
        <v>326</v>
      </c>
      <c r="U1396">
        <v>1.9476984699247996E-2</v>
      </c>
      <c r="V1396" t="s">
        <v>163</v>
      </c>
    </row>
    <row r="1397" spans="19:22" x14ac:dyDescent="0.45">
      <c r="S1397" t="s">
        <v>269</v>
      </c>
      <c r="T1397" t="s">
        <v>162</v>
      </c>
      <c r="U1397">
        <v>0.13354044687973213</v>
      </c>
      <c r="V1397" t="s">
        <v>163</v>
      </c>
    </row>
    <row r="1398" spans="19:22" x14ac:dyDescent="0.45">
      <c r="S1398" t="s">
        <v>269</v>
      </c>
      <c r="T1398" t="s">
        <v>164</v>
      </c>
      <c r="U1398">
        <v>3.1031886532454263E-2</v>
      </c>
      <c r="V1398" t="s">
        <v>163</v>
      </c>
    </row>
    <row r="1399" spans="19:22" x14ac:dyDescent="0.45">
      <c r="S1399" t="s">
        <v>269</v>
      </c>
      <c r="T1399" t="s">
        <v>165</v>
      </c>
      <c r="U1399">
        <v>4.8440085475447162E-2</v>
      </c>
      <c r="V1399" t="s">
        <v>163</v>
      </c>
    </row>
    <row r="1400" spans="19:22" x14ac:dyDescent="0.45">
      <c r="S1400" t="s">
        <v>269</v>
      </c>
      <c r="T1400" t="s">
        <v>297</v>
      </c>
      <c r="U1400">
        <v>8.5300315158195625E-2</v>
      </c>
      <c r="V1400" t="s">
        <v>163</v>
      </c>
    </row>
    <row r="1401" spans="19:22" x14ac:dyDescent="0.45">
      <c r="S1401" t="s">
        <v>269</v>
      </c>
      <c r="T1401" t="s">
        <v>298</v>
      </c>
      <c r="U1401">
        <v>1.8068559747039858E-2</v>
      </c>
      <c r="V1401" t="s">
        <v>163</v>
      </c>
    </row>
    <row r="1402" spans="19:22" x14ac:dyDescent="0.45">
      <c r="S1402" t="s">
        <v>269</v>
      </c>
      <c r="T1402" t="s">
        <v>299</v>
      </c>
      <c r="U1402">
        <v>8.7407905795961305E-2</v>
      </c>
      <c r="V1402" t="s">
        <v>163</v>
      </c>
    </row>
    <row r="1403" spans="19:22" x14ac:dyDescent="0.45">
      <c r="S1403" t="s">
        <v>269</v>
      </c>
      <c r="T1403" t="s">
        <v>166</v>
      </c>
      <c r="U1403">
        <v>2.2948480662968933E-2</v>
      </c>
      <c r="V1403" t="s">
        <v>163</v>
      </c>
    </row>
    <row r="1404" spans="19:22" x14ac:dyDescent="0.45">
      <c r="S1404" t="s">
        <v>269</v>
      </c>
      <c r="T1404" t="s">
        <v>167</v>
      </c>
      <c r="U1404">
        <v>5.6338705324569744E-3</v>
      </c>
      <c r="V1404" t="s">
        <v>163</v>
      </c>
    </row>
    <row r="1405" spans="19:22" x14ac:dyDescent="0.45">
      <c r="S1405" t="s">
        <v>269</v>
      </c>
      <c r="T1405" t="s">
        <v>168</v>
      </c>
      <c r="U1405">
        <v>8.8221506351178706E-3</v>
      </c>
      <c r="V1405" t="s">
        <v>163</v>
      </c>
    </row>
    <row r="1406" spans="19:22" x14ac:dyDescent="0.45">
      <c r="S1406" t="s">
        <v>269</v>
      </c>
      <c r="T1406" t="s">
        <v>300</v>
      </c>
      <c r="U1406">
        <v>1.3593640626361671E-2</v>
      </c>
      <c r="V1406" t="s">
        <v>163</v>
      </c>
    </row>
    <row r="1407" spans="19:22" x14ac:dyDescent="0.45">
      <c r="S1407" t="s">
        <v>269</v>
      </c>
      <c r="T1407" t="s">
        <v>301</v>
      </c>
      <c r="U1407">
        <v>2.665235679139013E-3</v>
      </c>
      <c r="V1407" t="s">
        <v>163</v>
      </c>
    </row>
    <row r="1408" spans="19:22" x14ac:dyDescent="0.45">
      <c r="S1408" t="s">
        <v>269</v>
      </c>
      <c r="T1408" t="s">
        <v>302</v>
      </c>
      <c r="U1408">
        <v>1.2551307845070917E-2</v>
      </c>
      <c r="V1408" t="s">
        <v>163</v>
      </c>
    </row>
    <row r="1409" spans="19:22" x14ac:dyDescent="0.45">
      <c r="S1409" t="s">
        <v>269</v>
      </c>
      <c r="T1409" t="s">
        <v>169</v>
      </c>
      <c r="U1409">
        <v>1.2008320133485652E-2</v>
      </c>
      <c r="V1409" t="s">
        <v>163</v>
      </c>
    </row>
    <row r="1410" spans="19:22" x14ac:dyDescent="0.45">
      <c r="S1410" t="s">
        <v>269</v>
      </c>
      <c r="T1410" t="s">
        <v>170</v>
      </c>
      <c r="U1410">
        <v>2.3422449079227498E-3</v>
      </c>
      <c r="V1410" t="s">
        <v>163</v>
      </c>
    </row>
    <row r="1411" spans="19:22" x14ac:dyDescent="0.45">
      <c r="S1411" t="s">
        <v>269</v>
      </c>
      <c r="T1411" t="s">
        <v>171</v>
      </c>
      <c r="U1411">
        <v>3.7765982551590188E-3</v>
      </c>
      <c r="V1411" t="s">
        <v>163</v>
      </c>
    </row>
    <row r="1412" spans="19:22" x14ac:dyDescent="0.45">
      <c r="S1412" t="s">
        <v>269</v>
      </c>
      <c r="T1412" t="s">
        <v>303</v>
      </c>
      <c r="U1412">
        <v>5.8778235199881228E-3</v>
      </c>
      <c r="V1412" t="s">
        <v>163</v>
      </c>
    </row>
    <row r="1413" spans="19:22" x14ac:dyDescent="0.45">
      <c r="S1413" t="s">
        <v>269</v>
      </c>
      <c r="T1413" t="s">
        <v>304</v>
      </c>
      <c r="U1413">
        <v>1.0977643944339408E-3</v>
      </c>
      <c r="V1413" t="s">
        <v>163</v>
      </c>
    </row>
    <row r="1414" spans="19:22" x14ac:dyDescent="0.45">
      <c r="S1414" t="s">
        <v>269</v>
      </c>
      <c r="T1414" t="s">
        <v>305</v>
      </c>
      <c r="U1414">
        <v>6.0890335691326999E-3</v>
      </c>
      <c r="V1414" t="s">
        <v>163</v>
      </c>
    </row>
    <row r="1415" spans="19:22" x14ac:dyDescent="0.45">
      <c r="S1415" t="s">
        <v>269</v>
      </c>
      <c r="T1415" t="s">
        <v>172</v>
      </c>
      <c r="U1415">
        <v>2.5829113157187108E-2</v>
      </c>
      <c r="V1415" t="s">
        <v>163</v>
      </c>
    </row>
    <row r="1416" spans="19:22" x14ac:dyDescent="0.45">
      <c r="S1416" t="s">
        <v>269</v>
      </c>
      <c r="T1416" t="s">
        <v>173</v>
      </c>
      <c r="U1416">
        <v>6.5024717123413163E-3</v>
      </c>
      <c r="V1416" t="s">
        <v>163</v>
      </c>
    </row>
    <row r="1417" spans="19:22" x14ac:dyDescent="0.45">
      <c r="S1417" t="s">
        <v>269</v>
      </c>
      <c r="T1417" t="s">
        <v>174</v>
      </c>
      <c r="U1417">
        <v>1.0539216449996806E-2</v>
      </c>
      <c r="V1417" t="s">
        <v>163</v>
      </c>
    </row>
    <row r="1418" spans="19:22" x14ac:dyDescent="0.45">
      <c r="S1418" t="s">
        <v>269</v>
      </c>
      <c r="T1418" t="s">
        <v>306</v>
      </c>
      <c r="U1418">
        <v>1.5654558970467209E-2</v>
      </c>
      <c r="V1418" t="s">
        <v>163</v>
      </c>
    </row>
    <row r="1419" spans="19:22" x14ac:dyDescent="0.45">
      <c r="S1419" t="s">
        <v>269</v>
      </c>
      <c r="T1419" t="s">
        <v>307</v>
      </c>
      <c r="U1419">
        <v>2.9473681070291322E-3</v>
      </c>
      <c r="V1419" t="s">
        <v>163</v>
      </c>
    </row>
    <row r="1420" spans="19:22" x14ac:dyDescent="0.45">
      <c r="S1420" t="s">
        <v>269</v>
      </c>
      <c r="T1420" t="s">
        <v>308</v>
      </c>
      <c r="U1420">
        <v>1.3787750629898133E-2</v>
      </c>
      <c r="V1420" t="s">
        <v>163</v>
      </c>
    </row>
    <row r="1421" spans="19:22" x14ac:dyDescent="0.45">
      <c r="S1421" t="s">
        <v>269</v>
      </c>
      <c r="T1421" t="s">
        <v>309</v>
      </c>
      <c r="U1421">
        <v>2.3978546407416531E-2</v>
      </c>
      <c r="V1421" t="s">
        <v>163</v>
      </c>
    </row>
    <row r="1422" spans="19:22" x14ac:dyDescent="0.45">
      <c r="S1422" t="s">
        <v>269</v>
      </c>
      <c r="T1422" t="s">
        <v>310</v>
      </c>
      <c r="U1422">
        <v>6.031870029149804E-3</v>
      </c>
      <c r="V1422" t="s">
        <v>163</v>
      </c>
    </row>
    <row r="1423" spans="19:22" x14ac:dyDescent="0.45">
      <c r="S1423" t="s">
        <v>269</v>
      </c>
      <c r="T1423" t="s">
        <v>311</v>
      </c>
      <c r="U1423">
        <v>9.3350149693068891E-3</v>
      </c>
      <c r="V1423" t="s">
        <v>163</v>
      </c>
    </row>
    <row r="1424" spans="19:22" x14ac:dyDescent="0.45">
      <c r="S1424" t="s">
        <v>269</v>
      </c>
      <c r="T1424" t="s">
        <v>312</v>
      </c>
      <c r="U1424">
        <v>1.4362949543720705E-2</v>
      </c>
      <c r="V1424" t="s">
        <v>163</v>
      </c>
    </row>
    <row r="1425" spans="19:22" x14ac:dyDescent="0.45">
      <c r="S1425" t="s">
        <v>269</v>
      </c>
      <c r="T1425" t="s">
        <v>313</v>
      </c>
      <c r="U1425">
        <v>3.1185599817245028E-3</v>
      </c>
      <c r="V1425" t="s">
        <v>163</v>
      </c>
    </row>
    <row r="1426" spans="19:22" x14ac:dyDescent="0.45">
      <c r="S1426" t="s">
        <v>269</v>
      </c>
      <c r="T1426" t="s">
        <v>314</v>
      </c>
      <c r="U1426">
        <v>1.6494441595536837E-2</v>
      </c>
      <c r="V1426" t="s">
        <v>163</v>
      </c>
    </row>
    <row r="1427" spans="19:22" x14ac:dyDescent="0.45">
      <c r="S1427" t="s">
        <v>269</v>
      </c>
      <c r="T1427" t="s">
        <v>315</v>
      </c>
      <c r="U1427">
        <v>8.2545380133908081E-2</v>
      </c>
      <c r="V1427" t="s">
        <v>163</v>
      </c>
    </row>
    <row r="1428" spans="19:22" x14ac:dyDescent="0.45">
      <c r="S1428" t="s">
        <v>269</v>
      </c>
      <c r="T1428" t="s">
        <v>316</v>
      </c>
      <c r="U1428">
        <v>1.9299539368131193E-2</v>
      </c>
      <c r="V1428" t="s">
        <v>163</v>
      </c>
    </row>
    <row r="1429" spans="19:22" x14ac:dyDescent="0.45">
      <c r="S1429" t="s">
        <v>269</v>
      </c>
      <c r="T1429" t="s">
        <v>317</v>
      </c>
      <c r="U1429">
        <v>2.9566279003350102E-2</v>
      </c>
      <c r="V1429" t="s">
        <v>163</v>
      </c>
    </row>
    <row r="1430" spans="19:22" x14ac:dyDescent="0.45">
      <c r="S1430" t="s">
        <v>269</v>
      </c>
      <c r="T1430" t="s">
        <v>318</v>
      </c>
      <c r="U1430">
        <v>4.9869118034900593E-2</v>
      </c>
      <c r="V1430" t="s">
        <v>163</v>
      </c>
    </row>
    <row r="1431" spans="19:22" x14ac:dyDescent="0.45">
      <c r="S1431" t="s">
        <v>269</v>
      </c>
      <c r="T1431" t="s">
        <v>319</v>
      </c>
      <c r="U1431">
        <v>1.0878875390978943E-2</v>
      </c>
      <c r="V1431" t="s">
        <v>163</v>
      </c>
    </row>
    <row r="1432" spans="19:22" x14ac:dyDescent="0.45">
      <c r="S1432" t="s">
        <v>269</v>
      </c>
      <c r="T1432" t="s">
        <v>320</v>
      </c>
      <c r="U1432">
        <v>5.4870641858466421E-2</v>
      </c>
      <c r="V1432" t="s">
        <v>163</v>
      </c>
    </row>
    <row r="1433" spans="19:22" x14ac:dyDescent="0.45">
      <c r="S1433" t="s">
        <v>269</v>
      </c>
      <c r="T1433" t="s">
        <v>321</v>
      </c>
      <c r="U1433">
        <v>3.3095322188870235E-2</v>
      </c>
      <c r="V1433" t="s">
        <v>163</v>
      </c>
    </row>
    <row r="1434" spans="19:22" x14ac:dyDescent="0.45">
      <c r="S1434" t="s">
        <v>269</v>
      </c>
      <c r="T1434" t="s">
        <v>322</v>
      </c>
      <c r="U1434">
        <v>8.2091324376297129E-3</v>
      </c>
      <c r="V1434" t="s">
        <v>163</v>
      </c>
    </row>
    <row r="1435" spans="19:22" x14ac:dyDescent="0.45">
      <c r="S1435" t="s">
        <v>269</v>
      </c>
      <c r="T1435" t="s">
        <v>323</v>
      </c>
      <c r="U1435">
        <v>1.2516621417368113E-2</v>
      </c>
      <c r="V1435" t="s">
        <v>163</v>
      </c>
    </row>
    <row r="1436" spans="19:22" x14ac:dyDescent="0.45">
      <c r="S1436" t="s">
        <v>269</v>
      </c>
      <c r="T1436" t="s">
        <v>324</v>
      </c>
      <c r="U1436">
        <v>2.2853450081427331E-2</v>
      </c>
      <c r="V1436" t="s">
        <v>163</v>
      </c>
    </row>
    <row r="1437" spans="19:22" x14ac:dyDescent="0.45">
      <c r="S1437" t="s">
        <v>269</v>
      </c>
      <c r="T1437" t="s">
        <v>325</v>
      </c>
      <c r="U1437">
        <v>4.6504483656685056E-3</v>
      </c>
      <c r="V1437" t="s">
        <v>163</v>
      </c>
    </row>
    <row r="1438" spans="19:22" x14ac:dyDescent="0.45">
      <c r="S1438" t="s">
        <v>269</v>
      </c>
      <c r="T1438" t="s">
        <v>326</v>
      </c>
      <c r="U1438">
        <v>2.1867659815453997E-2</v>
      </c>
      <c r="V1438" t="s">
        <v>163</v>
      </c>
    </row>
    <row r="1439" spans="19:22" x14ac:dyDescent="0.45">
      <c r="S1439" t="s">
        <v>270</v>
      </c>
      <c r="T1439" t="s">
        <v>162</v>
      </c>
      <c r="U1439">
        <v>0.11224491318470393</v>
      </c>
      <c r="V1439" t="s">
        <v>163</v>
      </c>
    </row>
    <row r="1440" spans="19:22" x14ac:dyDescent="0.45">
      <c r="S1440" t="s">
        <v>270</v>
      </c>
      <c r="T1440" t="s">
        <v>164</v>
      </c>
      <c r="U1440">
        <v>2.577347013401865E-2</v>
      </c>
      <c r="V1440" t="s">
        <v>163</v>
      </c>
    </row>
    <row r="1441" spans="19:22" x14ac:dyDescent="0.45">
      <c r="S1441" t="s">
        <v>270</v>
      </c>
      <c r="T1441" t="s">
        <v>165</v>
      </c>
      <c r="U1441">
        <v>4.0319652254129812E-2</v>
      </c>
      <c r="V1441" t="s">
        <v>163</v>
      </c>
    </row>
    <row r="1442" spans="19:22" x14ac:dyDescent="0.45">
      <c r="S1442" t="s">
        <v>270</v>
      </c>
      <c r="T1442" t="s">
        <v>297</v>
      </c>
      <c r="U1442">
        <v>7.4510793409199763E-2</v>
      </c>
      <c r="V1442" t="s">
        <v>163</v>
      </c>
    </row>
    <row r="1443" spans="19:22" x14ac:dyDescent="0.45">
      <c r="S1443" t="s">
        <v>270</v>
      </c>
      <c r="T1443" t="s">
        <v>298</v>
      </c>
      <c r="U1443">
        <v>1.6221579120769821E-2</v>
      </c>
      <c r="V1443" t="s">
        <v>163</v>
      </c>
    </row>
    <row r="1444" spans="19:22" x14ac:dyDescent="0.45">
      <c r="S1444" t="s">
        <v>270</v>
      </c>
      <c r="T1444" t="s">
        <v>299</v>
      </c>
      <c r="U1444">
        <v>7.3737070921040829E-2</v>
      </c>
      <c r="V1444" t="s">
        <v>163</v>
      </c>
    </row>
    <row r="1445" spans="19:22" x14ac:dyDescent="0.45">
      <c r="S1445" t="s">
        <v>270</v>
      </c>
      <c r="T1445" t="s">
        <v>166</v>
      </c>
      <c r="U1445">
        <v>2.710565366536364E-2</v>
      </c>
      <c r="V1445" t="s">
        <v>163</v>
      </c>
    </row>
    <row r="1446" spans="19:22" x14ac:dyDescent="0.45">
      <c r="S1446" t="s">
        <v>270</v>
      </c>
      <c r="T1446" t="s">
        <v>167</v>
      </c>
      <c r="U1446">
        <v>6.953369539060698E-3</v>
      </c>
      <c r="V1446" t="s">
        <v>163</v>
      </c>
    </row>
    <row r="1447" spans="19:22" x14ac:dyDescent="0.45">
      <c r="S1447" t="s">
        <v>270</v>
      </c>
      <c r="T1447" t="s">
        <v>168</v>
      </c>
      <c r="U1447">
        <v>1.1562145762213942E-2</v>
      </c>
      <c r="V1447" t="s">
        <v>163</v>
      </c>
    </row>
    <row r="1448" spans="19:22" x14ac:dyDescent="0.45">
      <c r="S1448" t="s">
        <v>270</v>
      </c>
      <c r="T1448" t="s">
        <v>300</v>
      </c>
      <c r="U1448">
        <v>2.0787403693424866E-2</v>
      </c>
      <c r="V1448" t="s">
        <v>163</v>
      </c>
    </row>
    <row r="1449" spans="19:22" x14ac:dyDescent="0.45">
      <c r="S1449" t="s">
        <v>270</v>
      </c>
      <c r="T1449" t="s">
        <v>301</v>
      </c>
      <c r="U1449">
        <v>4.3051302677679752E-3</v>
      </c>
      <c r="V1449" t="s">
        <v>163</v>
      </c>
    </row>
    <row r="1450" spans="19:22" x14ac:dyDescent="0.45">
      <c r="S1450" t="s">
        <v>270</v>
      </c>
      <c r="T1450" t="s">
        <v>302</v>
      </c>
      <c r="U1450">
        <v>1.8869900557757165E-2</v>
      </c>
      <c r="V1450" t="s">
        <v>163</v>
      </c>
    </row>
    <row r="1451" spans="19:22" x14ac:dyDescent="0.45">
      <c r="S1451" t="s">
        <v>270</v>
      </c>
      <c r="T1451" t="s">
        <v>169</v>
      </c>
      <c r="U1451">
        <v>1.4153443273902097E-2</v>
      </c>
      <c r="V1451" t="s">
        <v>163</v>
      </c>
    </row>
    <row r="1452" spans="19:22" x14ac:dyDescent="0.45">
      <c r="S1452" t="s">
        <v>270</v>
      </c>
      <c r="T1452" t="s">
        <v>170</v>
      </c>
      <c r="U1452">
        <v>3.1127129031362751E-3</v>
      </c>
      <c r="V1452" t="s">
        <v>163</v>
      </c>
    </row>
    <row r="1453" spans="19:22" x14ac:dyDescent="0.45">
      <c r="S1453" t="s">
        <v>270</v>
      </c>
      <c r="T1453" t="s">
        <v>171</v>
      </c>
      <c r="U1453">
        <v>4.8734007973204995E-3</v>
      </c>
      <c r="V1453" t="s">
        <v>163</v>
      </c>
    </row>
    <row r="1454" spans="19:22" x14ac:dyDescent="0.45">
      <c r="S1454" t="s">
        <v>270</v>
      </c>
      <c r="T1454" t="s">
        <v>303</v>
      </c>
      <c r="U1454">
        <v>8.052411315473575E-3</v>
      </c>
      <c r="V1454" t="s">
        <v>163</v>
      </c>
    </row>
    <row r="1455" spans="19:22" x14ac:dyDescent="0.45">
      <c r="S1455" t="s">
        <v>270</v>
      </c>
      <c r="T1455" t="s">
        <v>304</v>
      </c>
      <c r="U1455">
        <v>1.4857679629774834E-3</v>
      </c>
      <c r="V1455" t="s">
        <v>163</v>
      </c>
    </row>
    <row r="1456" spans="19:22" x14ac:dyDescent="0.45">
      <c r="S1456" t="s">
        <v>270</v>
      </c>
      <c r="T1456" t="s">
        <v>305</v>
      </c>
      <c r="U1456">
        <v>6.2707168056577714E-3</v>
      </c>
      <c r="V1456" t="s">
        <v>163</v>
      </c>
    </row>
    <row r="1457" spans="19:22" x14ac:dyDescent="0.45">
      <c r="S1457" t="s">
        <v>270</v>
      </c>
      <c r="T1457" t="s">
        <v>172</v>
      </c>
      <c r="U1457">
        <v>2.2476522926617042E-2</v>
      </c>
      <c r="V1457" t="s">
        <v>163</v>
      </c>
    </row>
    <row r="1458" spans="19:22" x14ac:dyDescent="0.45">
      <c r="S1458" t="s">
        <v>270</v>
      </c>
      <c r="T1458" t="s">
        <v>173</v>
      </c>
      <c r="U1458">
        <v>5.3443434510734638E-3</v>
      </c>
      <c r="V1458" t="s">
        <v>163</v>
      </c>
    </row>
    <row r="1459" spans="19:22" x14ac:dyDescent="0.45">
      <c r="S1459" t="s">
        <v>270</v>
      </c>
      <c r="T1459" t="s">
        <v>174</v>
      </c>
      <c r="U1459">
        <v>8.1484505474106964E-3</v>
      </c>
      <c r="V1459" t="s">
        <v>163</v>
      </c>
    </row>
    <row r="1460" spans="19:22" x14ac:dyDescent="0.45">
      <c r="S1460" t="s">
        <v>270</v>
      </c>
      <c r="T1460" t="s">
        <v>306</v>
      </c>
      <c r="U1460">
        <v>1.3045104656118894E-2</v>
      </c>
      <c r="V1460" t="s">
        <v>163</v>
      </c>
    </row>
    <row r="1461" spans="19:22" x14ac:dyDescent="0.45">
      <c r="S1461" t="s">
        <v>270</v>
      </c>
      <c r="T1461" t="s">
        <v>307</v>
      </c>
      <c r="U1461">
        <v>2.5594093898871754E-3</v>
      </c>
      <c r="V1461" t="s">
        <v>163</v>
      </c>
    </row>
    <row r="1462" spans="19:22" x14ac:dyDescent="0.45">
      <c r="S1462" t="s">
        <v>270</v>
      </c>
      <c r="T1462" t="s">
        <v>308</v>
      </c>
      <c r="U1462">
        <v>1.3293982277528552E-2</v>
      </c>
      <c r="V1462" t="s">
        <v>163</v>
      </c>
    </row>
    <row r="1463" spans="19:22" x14ac:dyDescent="0.45">
      <c r="S1463" t="s">
        <v>270</v>
      </c>
      <c r="T1463" t="s">
        <v>309</v>
      </c>
      <c r="U1463">
        <v>3.831040232767758E-2</v>
      </c>
      <c r="V1463" t="s">
        <v>163</v>
      </c>
    </row>
    <row r="1464" spans="19:22" x14ac:dyDescent="0.45">
      <c r="S1464" t="s">
        <v>270</v>
      </c>
      <c r="T1464" t="s">
        <v>310</v>
      </c>
      <c r="U1464">
        <v>9.9499408954055648E-3</v>
      </c>
      <c r="V1464" t="s">
        <v>163</v>
      </c>
    </row>
    <row r="1465" spans="19:22" x14ac:dyDescent="0.45">
      <c r="S1465" t="s">
        <v>270</v>
      </c>
      <c r="T1465" t="s">
        <v>311</v>
      </c>
      <c r="U1465">
        <v>1.5150033389070259E-2</v>
      </c>
      <c r="V1465" t="s">
        <v>163</v>
      </c>
    </row>
    <row r="1466" spans="19:22" x14ac:dyDescent="0.45">
      <c r="S1466" t="s">
        <v>270</v>
      </c>
      <c r="T1466" t="s">
        <v>312</v>
      </c>
      <c r="U1466">
        <v>2.5962691173343856E-2</v>
      </c>
      <c r="V1466" t="s">
        <v>163</v>
      </c>
    </row>
    <row r="1467" spans="19:22" x14ac:dyDescent="0.45">
      <c r="S1467" t="s">
        <v>270</v>
      </c>
      <c r="T1467" t="s">
        <v>313</v>
      </c>
      <c r="U1467">
        <v>5.5428078011026281E-3</v>
      </c>
      <c r="V1467" t="s">
        <v>163</v>
      </c>
    </row>
    <row r="1468" spans="19:22" x14ac:dyDescent="0.45">
      <c r="S1468" t="s">
        <v>270</v>
      </c>
      <c r="T1468" t="s">
        <v>314</v>
      </c>
      <c r="U1468">
        <v>2.5669669327604311E-2</v>
      </c>
      <c r="V1468" t="s">
        <v>163</v>
      </c>
    </row>
    <row r="1469" spans="19:22" x14ac:dyDescent="0.45">
      <c r="S1469" t="s">
        <v>270</v>
      </c>
      <c r="T1469" t="s">
        <v>315</v>
      </c>
      <c r="U1469">
        <v>8.1703101313177234E-2</v>
      </c>
      <c r="V1469" t="s">
        <v>163</v>
      </c>
    </row>
    <row r="1470" spans="19:22" x14ac:dyDescent="0.45">
      <c r="S1470" t="s">
        <v>270</v>
      </c>
      <c r="T1470" t="s">
        <v>316</v>
      </c>
      <c r="U1470">
        <v>2.0001397768926708E-2</v>
      </c>
      <c r="V1470" t="s">
        <v>163</v>
      </c>
    </row>
    <row r="1471" spans="19:22" x14ac:dyDescent="0.45">
      <c r="S1471" t="s">
        <v>270</v>
      </c>
      <c r="T1471" t="s">
        <v>317</v>
      </c>
      <c r="U1471">
        <v>3.1493223020441406E-2</v>
      </c>
      <c r="V1471" t="s">
        <v>163</v>
      </c>
    </row>
    <row r="1472" spans="19:22" x14ac:dyDescent="0.45">
      <c r="S1472" t="s">
        <v>270</v>
      </c>
      <c r="T1472" t="s">
        <v>318</v>
      </c>
      <c r="U1472">
        <v>5.1831226020562164E-2</v>
      </c>
      <c r="V1472" t="s">
        <v>163</v>
      </c>
    </row>
    <row r="1473" spans="19:22" x14ac:dyDescent="0.45">
      <c r="S1473" t="s">
        <v>270</v>
      </c>
      <c r="T1473" t="s">
        <v>319</v>
      </c>
      <c r="U1473">
        <v>1.0796534491384402E-2</v>
      </c>
      <c r="V1473" t="s">
        <v>163</v>
      </c>
    </row>
    <row r="1474" spans="19:22" x14ac:dyDescent="0.45">
      <c r="S1474" t="s">
        <v>270</v>
      </c>
      <c r="T1474" t="s">
        <v>320</v>
      </c>
      <c r="U1474">
        <v>5.1273986192229407E-2</v>
      </c>
      <c r="V1474" t="s">
        <v>163</v>
      </c>
    </row>
    <row r="1475" spans="19:22" x14ac:dyDescent="0.45">
      <c r="S1475" t="s">
        <v>270</v>
      </c>
      <c r="T1475" t="s">
        <v>321</v>
      </c>
      <c r="U1475">
        <v>3.228488857493763E-2</v>
      </c>
      <c r="V1475" t="s">
        <v>163</v>
      </c>
    </row>
    <row r="1476" spans="19:22" x14ac:dyDescent="0.45">
      <c r="S1476" t="s">
        <v>270</v>
      </c>
      <c r="T1476" t="s">
        <v>322</v>
      </c>
      <c r="U1476">
        <v>7.8200616147350768E-3</v>
      </c>
      <c r="V1476" t="s">
        <v>163</v>
      </c>
    </row>
    <row r="1477" spans="19:22" x14ac:dyDescent="0.45">
      <c r="S1477" t="s">
        <v>270</v>
      </c>
      <c r="T1477" t="s">
        <v>323</v>
      </c>
      <c r="U1477">
        <v>1.1799525229711755E-2</v>
      </c>
      <c r="V1477" t="s">
        <v>163</v>
      </c>
    </row>
    <row r="1478" spans="19:22" x14ac:dyDescent="0.45">
      <c r="S1478" t="s">
        <v>270</v>
      </c>
      <c r="T1478" t="s">
        <v>324</v>
      </c>
      <c r="U1478">
        <v>2.1203314900969144E-2</v>
      </c>
      <c r="V1478" t="s">
        <v>163</v>
      </c>
    </row>
    <row r="1479" spans="19:22" x14ac:dyDescent="0.45">
      <c r="S1479" t="s">
        <v>270</v>
      </c>
      <c r="T1479" t="s">
        <v>325</v>
      </c>
      <c r="U1479">
        <v>4.2069672256898503E-3</v>
      </c>
      <c r="V1479" t="s">
        <v>163</v>
      </c>
    </row>
    <row r="1480" spans="19:22" x14ac:dyDescent="0.45">
      <c r="S1480" t="s">
        <v>270</v>
      </c>
      <c r="T1480" t="s">
        <v>326</v>
      </c>
      <c r="U1480">
        <v>1.9792879916474996E-2</v>
      </c>
      <c r="V1480" t="s">
        <v>163</v>
      </c>
    </row>
    <row r="1481" spans="19:22" x14ac:dyDescent="0.45">
      <c r="S1481" t="s">
        <v>271</v>
      </c>
      <c r="T1481" t="s">
        <v>162</v>
      </c>
      <c r="U1481">
        <v>0.11723481613389075</v>
      </c>
      <c r="V1481" t="s">
        <v>163</v>
      </c>
    </row>
    <row r="1482" spans="19:22" x14ac:dyDescent="0.45">
      <c r="S1482" t="s">
        <v>271</v>
      </c>
      <c r="T1482" t="s">
        <v>164</v>
      </c>
      <c r="U1482">
        <v>2.8010735341737026E-2</v>
      </c>
      <c r="V1482" t="s">
        <v>163</v>
      </c>
    </row>
    <row r="1483" spans="19:22" x14ac:dyDescent="0.45">
      <c r="S1483" t="s">
        <v>271</v>
      </c>
      <c r="T1483" t="s">
        <v>165</v>
      </c>
      <c r="U1483">
        <v>4.2544873147927147E-2</v>
      </c>
      <c r="V1483" t="s">
        <v>163</v>
      </c>
    </row>
    <row r="1484" spans="19:22" x14ac:dyDescent="0.45">
      <c r="S1484" t="s">
        <v>271</v>
      </c>
      <c r="T1484" t="s">
        <v>297</v>
      </c>
      <c r="U1484">
        <v>7.3683434070787923E-2</v>
      </c>
      <c r="V1484" t="s">
        <v>163</v>
      </c>
    </row>
    <row r="1485" spans="19:22" x14ac:dyDescent="0.45">
      <c r="S1485" t="s">
        <v>271</v>
      </c>
      <c r="T1485" t="s">
        <v>298</v>
      </c>
      <c r="U1485">
        <v>1.6398369037839488E-2</v>
      </c>
      <c r="V1485" t="s">
        <v>163</v>
      </c>
    </row>
    <row r="1486" spans="19:22" x14ac:dyDescent="0.45">
      <c r="S1486" t="s">
        <v>271</v>
      </c>
      <c r="T1486" t="s">
        <v>299</v>
      </c>
      <c r="U1486">
        <v>7.8858454330425626E-2</v>
      </c>
      <c r="V1486" t="s">
        <v>163</v>
      </c>
    </row>
    <row r="1487" spans="19:22" x14ac:dyDescent="0.45">
      <c r="S1487" t="s">
        <v>271</v>
      </c>
      <c r="T1487" t="s">
        <v>166</v>
      </c>
      <c r="U1487">
        <v>1.7999057954429763E-2</v>
      </c>
      <c r="V1487" t="s">
        <v>163</v>
      </c>
    </row>
    <row r="1488" spans="19:22" x14ac:dyDescent="0.45">
      <c r="S1488" t="s">
        <v>271</v>
      </c>
      <c r="T1488" t="s">
        <v>167</v>
      </c>
      <c r="U1488">
        <v>4.3197344014566383E-3</v>
      </c>
      <c r="V1488" t="s">
        <v>163</v>
      </c>
    </row>
    <row r="1489" spans="19:22" x14ac:dyDescent="0.45">
      <c r="S1489" t="s">
        <v>271</v>
      </c>
      <c r="T1489" t="s">
        <v>168</v>
      </c>
      <c r="U1489">
        <v>7.4296000541299381E-3</v>
      </c>
      <c r="V1489" t="s">
        <v>163</v>
      </c>
    </row>
    <row r="1490" spans="19:22" x14ac:dyDescent="0.45">
      <c r="S1490" t="s">
        <v>271</v>
      </c>
      <c r="T1490" t="s">
        <v>300</v>
      </c>
      <c r="U1490">
        <v>1.2567801661230804E-2</v>
      </c>
      <c r="V1490" t="s">
        <v>163</v>
      </c>
    </row>
    <row r="1491" spans="19:22" x14ac:dyDescent="0.45">
      <c r="S1491" t="s">
        <v>271</v>
      </c>
      <c r="T1491" t="s">
        <v>301</v>
      </c>
      <c r="U1491">
        <v>2.5842543519918738E-3</v>
      </c>
      <c r="V1491" t="s">
        <v>163</v>
      </c>
    </row>
    <row r="1492" spans="19:22" x14ac:dyDescent="0.45">
      <c r="S1492" t="s">
        <v>271</v>
      </c>
      <c r="T1492" t="s">
        <v>302</v>
      </c>
      <c r="U1492">
        <v>1.1902052006350956E-2</v>
      </c>
      <c r="V1492" t="s">
        <v>163</v>
      </c>
    </row>
    <row r="1493" spans="19:22" x14ac:dyDescent="0.45">
      <c r="S1493" t="s">
        <v>271</v>
      </c>
      <c r="T1493" t="s">
        <v>169</v>
      </c>
      <c r="U1493">
        <v>1.0042303279384733E-2</v>
      </c>
      <c r="V1493" t="s">
        <v>163</v>
      </c>
    </row>
    <row r="1494" spans="19:22" x14ac:dyDescent="0.45">
      <c r="S1494" t="s">
        <v>271</v>
      </c>
      <c r="T1494" t="s">
        <v>170</v>
      </c>
      <c r="U1494">
        <v>2.2597952336068702E-3</v>
      </c>
      <c r="V1494" t="s">
        <v>163</v>
      </c>
    </row>
    <row r="1495" spans="19:22" x14ac:dyDescent="0.45">
      <c r="S1495" t="s">
        <v>271</v>
      </c>
      <c r="T1495" t="s">
        <v>171</v>
      </c>
      <c r="U1495">
        <v>3.7813200856889012E-3</v>
      </c>
      <c r="V1495" t="s">
        <v>163</v>
      </c>
    </row>
    <row r="1496" spans="19:22" x14ac:dyDescent="0.45">
      <c r="S1496" t="s">
        <v>271</v>
      </c>
      <c r="T1496" t="s">
        <v>303</v>
      </c>
      <c r="U1496">
        <v>5.3364976521337358E-3</v>
      </c>
      <c r="V1496" t="s">
        <v>163</v>
      </c>
    </row>
    <row r="1497" spans="19:22" x14ac:dyDescent="0.45">
      <c r="S1497" t="s">
        <v>271</v>
      </c>
      <c r="T1497" t="s">
        <v>304</v>
      </c>
      <c r="U1497">
        <v>1.048827740051187E-3</v>
      </c>
      <c r="V1497" t="s">
        <v>163</v>
      </c>
    </row>
    <row r="1498" spans="19:22" x14ac:dyDescent="0.45">
      <c r="S1498" t="s">
        <v>271</v>
      </c>
      <c r="T1498" t="s">
        <v>305</v>
      </c>
      <c r="U1498">
        <v>5.5474107146433445E-3</v>
      </c>
      <c r="V1498" t="s">
        <v>163</v>
      </c>
    </row>
    <row r="1499" spans="19:22" x14ac:dyDescent="0.45">
      <c r="S1499" t="s">
        <v>271</v>
      </c>
      <c r="T1499" t="s">
        <v>172</v>
      </c>
      <c r="U1499">
        <v>2.4807004843666765E-2</v>
      </c>
      <c r="V1499" t="s">
        <v>163</v>
      </c>
    </row>
    <row r="1500" spans="19:22" x14ac:dyDescent="0.45">
      <c r="S1500" t="s">
        <v>271</v>
      </c>
      <c r="T1500" t="s">
        <v>173</v>
      </c>
      <c r="U1500">
        <v>6.1859119813092688E-3</v>
      </c>
      <c r="V1500" t="s">
        <v>163</v>
      </c>
    </row>
    <row r="1501" spans="19:22" x14ac:dyDescent="0.45">
      <c r="S1501" t="s">
        <v>271</v>
      </c>
      <c r="T1501" t="s">
        <v>174</v>
      </c>
      <c r="U1501">
        <v>8.8890386128631527E-3</v>
      </c>
      <c r="V1501" t="s">
        <v>163</v>
      </c>
    </row>
    <row r="1502" spans="19:22" x14ac:dyDescent="0.45">
      <c r="S1502" t="s">
        <v>271</v>
      </c>
      <c r="T1502" t="s">
        <v>306</v>
      </c>
      <c r="U1502">
        <v>1.3880878686079432E-2</v>
      </c>
      <c r="V1502" t="s">
        <v>163</v>
      </c>
    </row>
    <row r="1503" spans="19:22" x14ac:dyDescent="0.45">
      <c r="S1503" t="s">
        <v>271</v>
      </c>
      <c r="T1503" t="s">
        <v>307</v>
      </c>
      <c r="U1503">
        <v>2.7914669794921439E-3</v>
      </c>
      <c r="V1503" t="s">
        <v>163</v>
      </c>
    </row>
    <row r="1504" spans="19:22" x14ac:dyDescent="0.45">
      <c r="S1504" t="s">
        <v>271</v>
      </c>
      <c r="T1504" t="s">
        <v>308</v>
      </c>
      <c r="U1504">
        <v>1.4330721700109492E-2</v>
      </c>
      <c r="V1504" t="s">
        <v>163</v>
      </c>
    </row>
    <row r="1505" spans="19:22" x14ac:dyDescent="0.45">
      <c r="S1505" t="s">
        <v>271</v>
      </c>
      <c r="T1505" t="s">
        <v>309</v>
      </c>
      <c r="U1505">
        <v>3.4956666518868175E-2</v>
      </c>
      <c r="V1505" t="s">
        <v>163</v>
      </c>
    </row>
    <row r="1506" spans="19:22" x14ac:dyDescent="0.45">
      <c r="S1506" t="s">
        <v>271</v>
      </c>
      <c r="T1506" t="s">
        <v>310</v>
      </c>
      <c r="U1506">
        <v>8.9345960184888662E-3</v>
      </c>
      <c r="V1506" t="s">
        <v>163</v>
      </c>
    </row>
    <row r="1507" spans="19:22" x14ac:dyDescent="0.45">
      <c r="S1507" t="s">
        <v>271</v>
      </c>
      <c r="T1507" t="s">
        <v>311</v>
      </c>
      <c r="U1507">
        <v>1.3427605187204919E-2</v>
      </c>
      <c r="V1507" t="s">
        <v>163</v>
      </c>
    </row>
    <row r="1508" spans="19:22" x14ac:dyDescent="0.45">
      <c r="S1508" t="s">
        <v>271</v>
      </c>
      <c r="T1508" t="s">
        <v>312</v>
      </c>
      <c r="U1508">
        <v>2.1840570646081612E-2</v>
      </c>
      <c r="V1508" t="s">
        <v>163</v>
      </c>
    </row>
    <row r="1509" spans="19:22" x14ac:dyDescent="0.45">
      <c r="S1509" t="s">
        <v>271</v>
      </c>
      <c r="T1509" t="s">
        <v>313</v>
      </c>
      <c r="U1509">
        <v>4.3921892336650139E-3</v>
      </c>
      <c r="V1509" t="s">
        <v>163</v>
      </c>
    </row>
    <row r="1510" spans="19:22" x14ac:dyDescent="0.45">
      <c r="S1510" t="s">
        <v>271</v>
      </c>
      <c r="T1510" t="s">
        <v>314</v>
      </c>
      <c r="U1510">
        <v>2.1824666131966014E-2</v>
      </c>
      <c r="V1510" t="s">
        <v>163</v>
      </c>
    </row>
    <row r="1511" spans="19:22" x14ac:dyDescent="0.45">
      <c r="S1511" t="s">
        <v>271</v>
      </c>
      <c r="T1511" t="s">
        <v>315</v>
      </c>
      <c r="U1511">
        <v>8.7391225444984594E-2</v>
      </c>
      <c r="V1511" t="s">
        <v>163</v>
      </c>
    </row>
    <row r="1512" spans="19:22" x14ac:dyDescent="0.45">
      <c r="S1512" t="s">
        <v>271</v>
      </c>
      <c r="T1512" t="s">
        <v>316</v>
      </c>
      <c r="U1512">
        <v>2.239239968565716E-2</v>
      </c>
      <c r="V1512" t="s">
        <v>163</v>
      </c>
    </row>
    <row r="1513" spans="19:22" x14ac:dyDescent="0.45">
      <c r="S1513" t="s">
        <v>271</v>
      </c>
      <c r="T1513" t="s">
        <v>317</v>
      </c>
      <c r="U1513">
        <v>3.381269127146691E-2</v>
      </c>
      <c r="V1513" t="s">
        <v>163</v>
      </c>
    </row>
    <row r="1514" spans="19:22" x14ac:dyDescent="0.45">
      <c r="S1514" t="s">
        <v>271</v>
      </c>
      <c r="T1514" t="s">
        <v>318</v>
      </c>
      <c r="U1514">
        <v>5.758340454937675E-2</v>
      </c>
      <c r="V1514" t="s">
        <v>163</v>
      </c>
    </row>
    <row r="1515" spans="19:22" x14ac:dyDescent="0.45">
      <c r="S1515" t="s">
        <v>271</v>
      </c>
      <c r="T1515" t="s">
        <v>319</v>
      </c>
      <c r="U1515">
        <v>1.2229534834086977E-2</v>
      </c>
      <c r="V1515" t="s">
        <v>163</v>
      </c>
    </row>
    <row r="1516" spans="19:22" x14ac:dyDescent="0.45">
      <c r="S1516" t="s">
        <v>271</v>
      </c>
      <c r="T1516" t="s">
        <v>320</v>
      </c>
      <c r="U1516">
        <v>5.6482149886320512E-2</v>
      </c>
      <c r="V1516" t="s">
        <v>163</v>
      </c>
    </row>
    <row r="1517" spans="19:22" x14ac:dyDescent="0.45">
      <c r="S1517" t="s">
        <v>271</v>
      </c>
      <c r="T1517" t="s">
        <v>321</v>
      </c>
      <c r="U1517">
        <v>3.7535618969954047E-2</v>
      </c>
      <c r="V1517" t="s">
        <v>163</v>
      </c>
    </row>
    <row r="1518" spans="19:22" x14ac:dyDescent="0.45">
      <c r="S1518" t="s">
        <v>271</v>
      </c>
      <c r="T1518" t="s">
        <v>322</v>
      </c>
      <c r="U1518">
        <v>9.3317199439097737E-3</v>
      </c>
      <c r="V1518" t="s">
        <v>163</v>
      </c>
    </row>
    <row r="1519" spans="19:22" x14ac:dyDescent="0.45">
      <c r="S1519" t="s">
        <v>271</v>
      </c>
      <c r="T1519" t="s">
        <v>323</v>
      </c>
      <c r="U1519">
        <v>1.3313345707061258E-2</v>
      </c>
      <c r="V1519" t="s">
        <v>163</v>
      </c>
    </row>
    <row r="1520" spans="19:22" x14ac:dyDescent="0.45">
      <c r="S1520" t="s">
        <v>271</v>
      </c>
      <c r="T1520" t="s">
        <v>324</v>
      </c>
      <c r="U1520">
        <v>2.3779606914176417E-2</v>
      </c>
      <c r="V1520" t="s">
        <v>163</v>
      </c>
    </row>
    <row r="1521" spans="19:22" x14ac:dyDescent="0.45">
      <c r="S1521" t="s">
        <v>271</v>
      </c>
      <c r="T1521" t="s">
        <v>325</v>
      </c>
      <c r="U1521">
        <v>5.1433519640084338E-3</v>
      </c>
      <c r="V1521" t="s">
        <v>163</v>
      </c>
    </row>
    <row r="1522" spans="19:22" x14ac:dyDescent="0.45">
      <c r="S1522" t="s">
        <v>271</v>
      </c>
      <c r="T1522" t="s">
        <v>326</v>
      </c>
      <c r="U1522">
        <v>2.3194297091494148E-2</v>
      </c>
      <c r="V1522" t="s">
        <v>163</v>
      </c>
    </row>
    <row r="1523" spans="19:22" x14ac:dyDescent="0.45">
      <c r="S1523" t="s">
        <v>272</v>
      </c>
      <c r="T1523" t="s">
        <v>162</v>
      </c>
      <c r="U1523">
        <v>0.13215579897997085</v>
      </c>
      <c r="V1523" t="s">
        <v>163</v>
      </c>
    </row>
    <row r="1524" spans="19:22" x14ac:dyDescent="0.45">
      <c r="S1524" t="s">
        <v>272</v>
      </c>
      <c r="T1524" t="s">
        <v>164</v>
      </c>
      <c r="U1524">
        <v>3.2333746722757975E-2</v>
      </c>
      <c r="V1524" t="s">
        <v>163</v>
      </c>
    </row>
    <row r="1525" spans="19:22" x14ac:dyDescent="0.45">
      <c r="S1525" t="s">
        <v>272</v>
      </c>
      <c r="T1525" t="s">
        <v>165</v>
      </c>
      <c r="U1525">
        <v>4.8330855980084082E-2</v>
      </c>
      <c r="V1525" t="s">
        <v>163</v>
      </c>
    </row>
    <row r="1526" spans="19:22" x14ac:dyDescent="0.45">
      <c r="S1526" t="s">
        <v>272</v>
      </c>
      <c r="T1526" t="s">
        <v>297</v>
      </c>
      <c r="U1526">
        <v>7.7794782723278055E-2</v>
      </c>
      <c r="V1526" t="s">
        <v>163</v>
      </c>
    </row>
    <row r="1527" spans="19:22" x14ac:dyDescent="0.45">
      <c r="S1527" t="s">
        <v>272</v>
      </c>
      <c r="T1527" t="s">
        <v>298</v>
      </c>
      <c r="U1527">
        <v>1.5037849908742454E-2</v>
      </c>
      <c r="V1527" t="s">
        <v>163</v>
      </c>
    </row>
    <row r="1528" spans="19:22" x14ac:dyDescent="0.45">
      <c r="S1528" t="s">
        <v>272</v>
      </c>
      <c r="T1528" t="s">
        <v>299</v>
      </c>
      <c r="U1528">
        <v>7.7720527775631709E-2</v>
      </c>
      <c r="V1528" t="s">
        <v>163</v>
      </c>
    </row>
    <row r="1529" spans="19:22" x14ac:dyDescent="0.45">
      <c r="S1529" t="s">
        <v>272</v>
      </c>
      <c r="T1529" t="s">
        <v>166</v>
      </c>
      <c r="U1529">
        <v>2.0365217767027405E-2</v>
      </c>
      <c r="V1529" t="s">
        <v>163</v>
      </c>
    </row>
    <row r="1530" spans="19:22" x14ac:dyDescent="0.45">
      <c r="S1530" t="s">
        <v>272</v>
      </c>
      <c r="T1530" t="s">
        <v>167</v>
      </c>
      <c r="U1530">
        <v>5.0464174685548157E-3</v>
      </c>
      <c r="V1530" t="s">
        <v>163</v>
      </c>
    </row>
    <row r="1531" spans="19:22" x14ac:dyDescent="0.45">
      <c r="S1531" t="s">
        <v>272</v>
      </c>
      <c r="T1531" t="s">
        <v>168</v>
      </c>
      <c r="U1531">
        <v>8.0510907285206174E-3</v>
      </c>
      <c r="V1531" t="s">
        <v>163</v>
      </c>
    </row>
    <row r="1532" spans="19:22" x14ac:dyDescent="0.45">
      <c r="S1532" t="s">
        <v>272</v>
      </c>
      <c r="T1532" t="s">
        <v>300</v>
      </c>
      <c r="U1532">
        <v>1.219917713251149E-2</v>
      </c>
      <c r="V1532" t="s">
        <v>163</v>
      </c>
    </row>
    <row r="1533" spans="19:22" x14ac:dyDescent="0.45">
      <c r="S1533" t="s">
        <v>272</v>
      </c>
      <c r="T1533" t="s">
        <v>301</v>
      </c>
      <c r="U1533">
        <v>2.3374328469699317E-3</v>
      </c>
      <c r="V1533" t="s">
        <v>163</v>
      </c>
    </row>
    <row r="1534" spans="19:22" x14ac:dyDescent="0.45">
      <c r="S1534" t="s">
        <v>272</v>
      </c>
      <c r="T1534" t="s">
        <v>302</v>
      </c>
      <c r="U1534">
        <v>1.1495095894423626E-2</v>
      </c>
      <c r="V1534" t="s">
        <v>163</v>
      </c>
    </row>
    <row r="1535" spans="19:22" x14ac:dyDescent="0.45">
      <c r="S1535" t="s">
        <v>272</v>
      </c>
      <c r="T1535" t="s">
        <v>169</v>
      </c>
      <c r="U1535">
        <v>2.4647352212752733E-2</v>
      </c>
      <c r="V1535" t="s">
        <v>163</v>
      </c>
    </row>
    <row r="1536" spans="19:22" x14ac:dyDescent="0.45">
      <c r="S1536" t="s">
        <v>272</v>
      </c>
      <c r="T1536" t="s">
        <v>170</v>
      </c>
      <c r="U1536">
        <v>6.2372124302913379E-3</v>
      </c>
      <c r="V1536" t="s">
        <v>163</v>
      </c>
    </row>
    <row r="1537" spans="19:22" x14ac:dyDescent="0.45">
      <c r="S1537" t="s">
        <v>272</v>
      </c>
      <c r="T1537" t="s">
        <v>171</v>
      </c>
      <c r="U1537">
        <v>9.2568032640387918E-3</v>
      </c>
      <c r="V1537" t="s">
        <v>163</v>
      </c>
    </row>
    <row r="1538" spans="19:22" x14ac:dyDescent="0.45">
      <c r="S1538" t="s">
        <v>272</v>
      </c>
      <c r="T1538" t="s">
        <v>303</v>
      </c>
      <c r="U1538">
        <v>1.4915898865987369E-2</v>
      </c>
      <c r="V1538" t="s">
        <v>163</v>
      </c>
    </row>
    <row r="1539" spans="19:22" x14ac:dyDescent="0.45">
      <c r="S1539" t="s">
        <v>272</v>
      </c>
      <c r="T1539" t="s">
        <v>304</v>
      </c>
      <c r="U1539">
        <v>2.9782086995075053E-3</v>
      </c>
      <c r="V1539" t="s">
        <v>163</v>
      </c>
    </row>
    <row r="1540" spans="19:22" x14ac:dyDescent="0.45">
      <c r="S1540" t="s">
        <v>272</v>
      </c>
      <c r="T1540" t="s">
        <v>305</v>
      </c>
      <c r="U1540">
        <v>1.5452093478427437E-2</v>
      </c>
      <c r="V1540" t="s">
        <v>163</v>
      </c>
    </row>
    <row r="1541" spans="19:22" x14ac:dyDescent="0.45">
      <c r="S1541" t="s">
        <v>272</v>
      </c>
      <c r="T1541" t="s">
        <v>172</v>
      </c>
      <c r="U1541">
        <v>3.7539225666682399E-2</v>
      </c>
      <c r="V1541" t="s">
        <v>163</v>
      </c>
    </row>
    <row r="1542" spans="19:22" x14ac:dyDescent="0.45">
      <c r="S1542" t="s">
        <v>272</v>
      </c>
      <c r="T1542" t="s">
        <v>173</v>
      </c>
      <c r="U1542">
        <v>8.2582616241529128E-3</v>
      </c>
      <c r="V1542" t="s">
        <v>163</v>
      </c>
    </row>
    <row r="1543" spans="19:22" x14ac:dyDescent="0.45">
      <c r="S1543" t="s">
        <v>272</v>
      </c>
      <c r="T1543" t="s">
        <v>174</v>
      </c>
      <c r="U1543">
        <v>1.2660760234000507E-2</v>
      </c>
      <c r="V1543" t="s">
        <v>163</v>
      </c>
    </row>
    <row r="1544" spans="19:22" x14ac:dyDescent="0.45">
      <c r="S1544" t="s">
        <v>272</v>
      </c>
      <c r="T1544" t="s">
        <v>306</v>
      </c>
      <c r="U1544">
        <v>2.1935512035086042E-2</v>
      </c>
      <c r="V1544" t="s">
        <v>163</v>
      </c>
    </row>
    <row r="1545" spans="19:22" x14ac:dyDescent="0.45">
      <c r="S1545" t="s">
        <v>272</v>
      </c>
      <c r="T1545" t="s">
        <v>307</v>
      </c>
      <c r="U1545">
        <v>4.5413131215656629E-3</v>
      </c>
      <c r="V1545" t="s">
        <v>163</v>
      </c>
    </row>
    <row r="1546" spans="19:22" x14ac:dyDescent="0.45">
      <c r="S1546" t="s">
        <v>272</v>
      </c>
      <c r="T1546" t="s">
        <v>308</v>
      </c>
      <c r="U1546">
        <v>2.2533571657927253E-2</v>
      </c>
      <c r="V1546" t="s">
        <v>163</v>
      </c>
    </row>
    <row r="1547" spans="19:22" x14ac:dyDescent="0.45">
      <c r="S1547" t="s">
        <v>272</v>
      </c>
      <c r="T1547" t="s">
        <v>309</v>
      </c>
      <c r="U1547">
        <v>2.6224650870522913E-2</v>
      </c>
      <c r="V1547" t="s">
        <v>163</v>
      </c>
    </row>
    <row r="1548" spans="19:22" x14ac:dyDescent="0.45">
      <c r="S1548" t="s">
        <v>272</v>
      </c>
      <c r="T1548" t="s">
        <v>310</v>
      </c>
      <c r="U1548">
        <v>6.892804258637546E-3</v>
      </c>
      <c r="V1548" t="s">
        <v>163</v>
      </c>
    </row>
    <row r="1549" spans="19:22" x14ac:dyDescent="0.45">
      <c r="S1549" t="s">
        <v>272</v>
      </c>
      <c r="T1549" t="s">
        <v>311</v>
      </c>
      <c r="U1549">
        <v>1.0728387228757448E-2</v>
      </c>
      <c r="V1549" t="s">
        <v>163</v>
      </c>
    </row>
    <row r="1550" spans="19:22" x14ac:dyDescent="0.45">
      <c r="S1550" t="s">
        <v>272</v>
      </c>
      <c r="T1550" t="s">
        <v>312</v>
      </c>
      <c r="U1550">
        <v>1.7685388816421441E-2</v>
      </c>
      <c r="V1550" t="s">
        <v>163</v>
      </c>
    </row>
    <row r="1551" spans="19:22" x14ac:dyDescent="0.45">
      <c r="S1551" t="s">
        <v>272</v>
      </c>
      <c r="T1551" t="s">
        <v>313</v>
      </c>
      <c r="U1551">
        <v>3.5077764433078182E-3</v>
      </c>
      <c r="V1551" t="s">
        <v>163</v>
      </c>
    </row>
    <row r="1552" spans="19:22" x14ac:dyDescent="0.45">
      <c r="S1552" t="s">
        <v>272</v>
      </c>
      <c r="T1552" t="s">
        <v>314</v>
      </c>
      <c r="U1552">
        <v>1.7515019755480848E-2</v>
      </c>
      <c r="V1552" t="s">
        <v>163</v>
      </c>
    </row>
    <row r="1553" spans="19:22" x14ac:dyDescent="0.45">
      <c r="S1553" t="s">
        <v>272</v>
      </c>
      <c r="T1553" t="s">
        <v>315</v>
      </c>
      <c r="U1553">
        <v>6.2714511465729372E-2</v>
      </c>
      <c r="V1553" t="s">
        <v>163</v>
      </c>
    </row>
    <row r="1554" spans="19:22" x14ac:dyDescent="0.45">
      <c r="S1554" t="s">
        <v>272</v>
      </c>
      <c r="T1554" t="s">
        <v>316</v>
      </c>
      <c r="U1554">
        <v>1.4867310368824578E-2</v>
      </c>
      <c r="V1554" t="s">
        <v>163</v>
      </c>
    </row>
    <row r="1555" spans="19:22" x14ac:dyDescent="0.45">
      <c r="S1555" t="s">
        <v>272</v>
      </c>
      <c r="T1555" t="s">
        <v>317</v>
      </c>
      <c r="U1555">
        <v>2.3208696598134265E-2</v>
      </c>
      <c r="V1555" t="s">
        <v>163</v>
      </c>
    </row>
    <row r="1556" spans="19:22" x14ac:dyDescent="0.45">
      <c r="S1556" t="s">
        <v>272</v>
      </c>
      <c r="T1556" t="s">
        <v>318</v>
      </c>
      <c r="U1556">
        <v>3.9215893717500463E-2</v>
      </c>
      <c r="V1556" t="s">
        <v>163</v>
      </c>
    </row>
    <row r="1557" spans="19:22" x14ac:dyDescent="0.45">
      <c r="S1557" t="s">
        <v>272</v>
      </c>
      <c r="T1557" t="s">
        <v>319</v>
      </c>
      <c r="U1557">
        <v>7.6794948909642722E-3</v>
      </c>
      <c r="V1557" t="s">
        <v>163</v>
      </c>
    </row>
    <row r="1558" spans="19:22" x14ac:dyDescent="0.45">
      <c r="S1558" t="s">
        <v>272</v>
      </c>
      <c r="T1558" t="s">
        <v>320</v>
      </c>
      <c r="U1558">
        <v>3.838820454911205E-2</v>
      </c>
      <c r="V1558" t="s">
        <v>163</v>
      </c>
    </row>
    <row r="1559" spans="19:22" x14ac:dyDescent="0.45">
      <c r="S1559" t="s">
        <v>272</v>
      </c>
      <c r="T1559" t="s">
        <v>321</v>
      </c>
      <c r="U1559">
        <v>3.5328757451667157E-2</v>
      </c>
      <c r="V1559" t="s">
        <v>163</v>
      </c>
    </row>
    <row r="1560" spans="19:22" x14ac:dyDescent="0.45">
      <c r="S1560" t="s">
        <v>272</v>
      </c>
      <c r="T1560" t="s">
        <v>322</v>
      </c>
      <c r="U1560">
        <v>9.251044572617417E-3</v>
      </c>
      <c r="V1560" t="s">
        <v>163</v>
      </c>
    </row>
    <row r="1561" spans="19:22" x14ac:dyDescent="0.45">
      <c r="S1561" t="s">
        <v>272</v>
      </c>
      <c r="T1561" t="s">
        <v>323</v>
      </c>
      <c r="U1561">
        <v>1.38394027717685E-2</v>
      </c>
      <c r="V1561" t="s">
        <v>163</v>
      </c>
    </row>
    <row r="1562" spans="19:22" x14ac:dyDescent="0.45">
      <c r="S1562" t="s">
        <v>272</v>
      </c>
      <c r="T1562" t="s">
        <v>324</v>
      </c>
      <c r="U1562">
        <v>2.2812692812890861E-2</v>
      </c>
      <c r="V1562" t="s">
        <v>163</v>
      </c>
    </row>
    <row r="1563" spans="19:22" x14ac:dyDescent="0.45">
      <c r="S1563" t="s">
        <v>272</v>
      </c>
      <c r="T1563" t="s">
        <v>325</v>
      </c>
      <c r="U1563">
        <v>4.3814779222253854E-3</v>
      </c>
      <c r="V1563" t="s">
        <v>163</v>
      </c>
    </row>
    <row r="1564" spans="19:22" x14ac:dyDescent="0.45">
      <c r="S1564" t="s">
        <v>272</v>
      </c>
      <c r="T1564" t="s">
        <v>326</v>
      </c>
      <c r="U1564">
        <v>2.1934278286547551E-2</v>
      </c>
      <c r="V1564" t="s">
        <v>163</v>
      </c>
    </row>
    <row r="1565" spans="19:22" x14ac:dyDescent="0.45">
      <c r="S1565" t="s">
        <v>273</v>
      </c>
      <c r="T1565" t="s">
        <v>162</v>
      </c>
      <c r="U1565">
        <v>0.13227790609551784</v>
      </c>
      <c r="V1565" t="s">
        <v>163</v>
      </c>
    </row>
    <row r="1566" spans="19:22" x14ac:dyDescent="0.45">
      <c r="S1566" t="s">
        <v>273</v>
      </c>
      <c r="T1566" t="s">
        <v>164</v>
      </c>
      <c r="U1566">
        <v>3.1447624588672347E-2</v>
      </c>
      <c r="V1566" t="s">
        <v>163</v>
      </c>
    </row>
    <row r="1567" spans="19:22" x14ac:dyDescent="0.45">
      <c r="S1567" t="s">
        <v>273</v>
      </c>
      <c r="T1567" t="s">
        <v>165</v>
      </c>
      <c r="U1567">
        <v>4.625012729126711E-2</v>
      </c>
      <c r="V1567" t="s">
        <v>163</v>
      </c>
    </row>
    <row r="1568" spans="19:22" x14ac:dyDescent="0.45">
      <c r="S1568" t="s">
        <v>273</v>
      </c>
      <c r="T1568" t="s">
        <v>297</v>
      </c>
      <c r="U1568">
        <v>7.5969710572959911E-2</v>
      </c>
      <c r="V1568" t="s">
        <v>163</v>
      </c>
    </row>
    <row r="1569" spans="19:22" x14ac:dyDescent="0.45">
      <c r="S1569" t="s">
        <v>273</v>
      </c>
      <c r="T1569" t="s">
        <v>298</v>
      </c>
      <c r="U1569">
        <v>1.4556502129647039E-2</v>
      </c>
      <c r="V1569" t="s">
        <v>163</v>
      </c>
    </row>
    <row r="1570" spans="19:22" x14ac:dyDescent="0.45">
      <c r="S1570" t="s">
        <v>273</v>
      </c>
      <c r="T1570" t="s">
        <v>299</v>
      </c>
      <c r="U1570">
        <v>7.6076873190678823E-2</v>
      </c>
      <c r="V1570" t="s">
        <v>163</v>
      </c>
    </row>
    <row r="1571" spans="19:22" x14ac:dyDescent="0.45">
      <c r="S1571" t="s">
        <v>273</v>
      </c>
      <c r="T1571" t="s">
        <v>166</v>
      </c>
      <c r="U1571">
        <v>2.0738191181249085E-2</v>
      </c>
      <c r="V1571" t="s">
        <v>163</v>
      </c>
    </row>
    <row r="1572" spans="19:22" x14ac:dyDescent="0.45">
      <c r="S1572" t="s">
        <v>273</v>
      </c>
      <c r="T1572" t="s">
        <v>167</v>
      </c>
      <c r="U1572">
        <v>5.39344930051921E-3</v>
      </c>
      <c r="V1572" t="s">
        <v>163</v>
      </c>
    </row>
    <row r="1573" spans="19:22" x14ac:dyDescent="0.45">
      <c r="S1573" t="s">
        <v>273</v>
      </c>
      <c r="T1573" t="s">
        <v>168</v>
      </c>
      <c r="U1573">
        <v>8.4229101117411047E-3</v>
      </c>
      <c r="V1573" t="s">
        <v>163</v>
      </c>
    </row>
    <row r="1574" spans="19:22" x14ac:dyDescent="0.45">
      <c r="S1574" t="s">
        <v>273</v>
      </c>
      <c r="T1574" t="s">
        <v>300</v>
      </c>
      <c r="U1574">
        <v>1.316760526938798E-2</v>
      </c>
      <c r="V1574" t="s">
        <v>163</v>
      </c>
    </row>
    <row r="1575" spans="19:22" x14ac:dyDescent="0.45">
      <c r="S1575" t="s">
        <v>273</v>
      </c>
      <c r="T1575" t="s">
        <v>301</v>
      </c>
      <c r="U1575">
        <v>2.5722709777138649E-3</v>
      </c>
      <c r="V1575" t="s">
        <v>163</v>
      </c>
    </row>
    <row r="1576" spans="19:22" x14ac:dyDescent="0.45">
      <c r="S1576" t="s">
        <v>273</v>
      </c>
      <c r="T1576" t="s">
        <v>302</v>
      </c>
      <c r="U1576">
        <v>1.1935567035787445E-2</v>
      </c>
      <c r="V1576" t="s">
        <v>163</v>
      </c>
    </row>
    <row r="1577" spans="19:22" x14ac:dyDescent="0.45">
      <c r="S1577" t="s">
        <v>273</v>
      </c>
      <c r="T1577" t="s">
        <v>169</v>
      </c>
      <c r="U1577">
        <v>3.1538229095822462E-2</v>
      </c>
      <c r="V1577" t="s">
        <v>163</v>
      </c>
    </row>
    <row r="1578" spans="19:22" x14ac:dyDescent="0.45">
      <c r="S1578" t="s">
        <v>273</v>
      </c>
      <c r="T1578" t="s">
        <v>170</v>
      </c>
      <c r="U1578">
        <v>8.359061310255822E-3</v>
      </c>
      <c r="V1578" t="s">
        <v>163</v>
      </c>
    </row>
    <row r="1579" spans="19:22" x14ac:dyDescent="0.45">
      <c r="S1579" t="s">
        <v>273</v>
      </c>
      <c r="T1579" t="s">
        <v>171</v>
      </c>
      <c r="U1579">
        <v>1.2362211790568192E-2</v>
      </c>
      <c r="V1579" t="s">
        <v>163</v>
      </c>
    </row>
    <row r="1580" spans="19:22" x14ac:dyDescent="0.45">
      <c r="S1580" t="s">
        <v>273</v>
      </c>
      <c r="T1580" t="s">
        <v>303</v>
      </c>
      <c r="U1580">
        <v>2.0154121477596314E-2</v>
      </c>
      <c r="V1580" t="s">
        <v>163</v>
      </c>
    </row>
    <row r="1581" spans="19:22" x14ac:dyDescent="0.45">
      <c r="S1581" t="s">
        <v>273</v>
      </c>
      <c r="T1581" t="s">
        <v>304</v>
      </c>
      <c r="U1581">
        <v>4.0699803197079502E-3</v>
      </c>
      <c r="V1581" t="s">
        <v>163</v>
      </c>
    </row>
    <row r="1582" spans="19:22" x14ac:dyDescent="0.45">
      <c r="S1582" t="s">
        <v>273</v>
      </c>
      <c r="T1582" t="s">
        <v>305</v>
      </c>
      <c r="U1582">
        <v>1.9349635150517096E-2</v>
      </c>
      <c r="V1582" t="s">
        <v>163</v>
      </c>
    </row>
    <row r="1583" spans="19:22" x14ac:dyDescent="0.45">
      <c r="S1583" t="s">
        <v>273</v>
      </c>
      <c r="T1583" t="s">
        <v>172</v>
      </c>
      <c r="U1583">
        <v>3.3407605163320711E-2</v>
      </c>
      <c r="V1583" t="s">
        <v>163</v>
      </c>
    </row>
    <row r="1584" spans="19:22" x14ac:dyDescent="0.45">
      <c r="S1584" t="s">
        <v>273</v>
      </c>
      <c r="T1584" t="s">
        <v>173</v>
      </c>
      <c r="U1584">
        <v>7.1315689344474279E-3</v>
      </c>
      <c r="V1584" t="s">
        <v>163</v>
      </c>
    </row>
    <row r="1585" spans="19:22" x14ac:dyDescent="0.45">
      <c r="S1585" t="s">
        <v>273</v>
      </c>
      <c r="T1585" t="s">
        <v>174</v>
      </c>
      <c r="U1585">
        <v>1.0933154460373016E-2</v>
      </c>
      <c r="V1585" t="s">
        <v>163</v>
      </c>
    </row>
    <row r="1586" spans="19:22" x14ac:dyDescent="0.45">
      <c r="S1586" t="s">
        <v>273</v>
      </c>
      <c r="T1586" t="s">
        <v>306</v>
      </c>
      <c r="U1586">
        <v>1.8608803912283672E-2</v>
      </c>
      <c r="V1586" t="s">
        <v>163</v>
      </c>
    </row>
    <row r="1587" spans="19:22" x14ac:dyDescent="0.45">
      <c r="S1587" t="s">
        <v>273</v>
      </c>
      <c r="T1587" t="s">
        <v>307</v>
      </c>
      <c r="U1587">
        <v>3.7815506058447861E-3</v>
      </c>
      <c r="V1587" t="s">
        <v>163</v>
      </c>
    </row>
    <row r="1588" spans="19:22" x14ac:dyDescent="0.45">
      <c r="S1588" t="s">
        <v>273</v>
      </c>
      <c r="T1588" t="s">
        <v>308</v>
      </c>
      <c r="U1588">
        <v>1.8457933665527157E-2</v>
      </c>
      <c r="V1588" t="s">
        <v>163</v>
      </c>
    </row>
    <row r="1589" spans="19:22" x14ac:dyDescent="0.45">
      <c r="S1589" t="s">
        <v>273</v>
      </c>
      <c r="T1589" t="s">
        <v>309</v>
      </c>
      <c r="U1589">
        <v>2.8968488366142544E-2</v>
      </c>
      <c r="V1589" t="s">
        <v>163</v>
      </c>
    </row>
    <row r="1590" spans="19:22" x14ac:dyDescent="0.45">
      <c r="S1590" t="s">
        <v>273</v>
      </c>
      <c r="T1590" t="s">
        <v>310</v>
      </c>
      <c r="U1590">
        <v>7.4968504963636154E-3</v>
      </c>
      <c r="V1590" t="s">
        <v>163</v>
      </c>
    </row>
    <row r="1591" spans="19:22" x14ac:dyDescent="0.45">
      <c r="S1591" t="s">
        <v>273</v>
      </c>
      <c r="T1591" t="s">
        <v>311</v>
      </c>
      <c r="U1591">
        <v>1.1453207353407267E-2</v>
      </c>
      <c r="V1591" t="s">
        <v>163</v>
      </c>
    </row>
    <row r="1592" spans="19:22" x14ac:dyDescent="0.45">
      <c r="S1592" t="s">
        <v>273</v>
      </c>
      <c r="T1592" t="s">
        <v>312</v>
      </c>
      <c r="U1592">
        <v>1.8663782582387076E-2</v>
      </c>
      <c r="V1592" t="s">
        <v>163</v>
      </c>
    </row>
    <row r="1593" spans="19:22" x14ac:dyDescent="0.45">
      <c r="S1593" t="s">
        <v>273</v>
      </c>
      <c r="T1593" t="s">
        <v>313</v>
      </c>
      <c r="U1593">
        <v>3.7801376987506678E-3</v>
      </c>
      <c r="V1593" t="s">
        <v>163</v>
      </c>
    </row>
    <row r="1594" spans="19:22" x14ac:dyDescent="0.45">
      <c r="S1594" t="s">
        <v>273</v>
      </c>
      <c r="T1594" t="s">
        <v>314</v>
      </c>
      <c r="U1594">
        <v>1.8382042514217885E-2</v>
      </c>
      <c r="V1594" t="s">
        <v>163</v>
      </c>
    </row>
    <row r="1595" spans="19:22" x14ac:dyDescent="0.45">
      <c r="S1595" t="s">
        <v>273</v>
      </c>
      <c r="T1595" t="s">
        <v>315</v>
      </c>
      <c r="U1595">
        <v>6.1134970136856384E-2</v>
      </c>
      <c r="V1595" t="s">
        <v>163</v>
      </c>
    </row>
    <row r="1596" spans="19:22" x14ac:dyDescent="0.45">
      <c r="S1596" t="s">
        <v>273</v>
      </c>
      <c r="T1596" t="s">
        <v>316</v>
      </c>
      <c r="U1596">
        <v>1.4565278978800798E-2</v>
      </c>
      <c r="V1596" t="s">
        <v>163</v>
      </c>
    </row>
    <row r="1597" spans="19:22" x14ac:dyDescent="0.45">
      <c r="S1597" t="s">
        <v>273</v>
      </c>
      <c r="T1597" t="s">
        <v>317</v>
      </c>
      <c r="U1597">
        <v>2.2215384228817536E-2</v>
      </c>
      <c r="V1597" t="s">
        <v>163</v>
      </c>
    </row>
    <row r="1598" spans="19:22" x14ac:dyDescent="0.45">
      <c r="S1598" t="s">
        <v>273</v>
      </c>
      <c r="T1598" t="s">
        <v>318</v>
      </c>
      <c r="U1598">
        <v>3.8145845950199944E-2</v>
      </c>
      <c r="V1598" t="s">
        <v>163</v>
      </c>
    </row>
    <row r="1599" spans="19:22" x14ac:dyDescent="0.45">
      <c r="S1599" t="s">
        <v>273</v>
      </c>
      <c r="T1599" t="s">
        <v>319</v>
      </c>
      <c r="U1599">
        <v>7.3580409839620192E-3</v>
      </c>
      <c r="V1599" t="s">
        <v>163</v>
      </c>
    </row>
    <row r="1600" spans="19:22" x14ac:dyDescent="0.45">
      <c r="S1600" t="s">
        <v>273</v>
      </c>
      <c r="T1600" t="s">
        <v>320</v>
      </c>
      <c r="U1600">
        <v>3.6298108104446121E-2</v>
      </c>
      <c r="V1600" t="s">
        <v>163</v>
      </c>
    </row>
    <row r="1601" spans="19:22" x14ac:dyDescent="0.45">
      <c r="S1601" t="s">
        <v>273</v>
      </c>
      <c r="T1601" t="s">
        <v>321</v>
      </c>
      <c r="U1601">
        <v>3.5066880834355357E-2</v>
      </c>
      <c r="V1601" t="s">
        <v>163</v>
      </c>
    </row>
    <row r="1602" spans="19:22" x14ac:dyDescent="0.45">
      <c r="S1602" t="s">
        <v>273</v>
      </c>
      <c r="T1602" t="s">
        <v>322</v>
      </c>
      <c r="U1602">
        <v>8.5512165759917338E-3</v>
      </c>
      <c r="V1602" t="s">
        <v>163</v>
      </c>
    </row>
    <row r="1603" spans="19:22" x14ac:dyDescent="0.45">
      <c r="S1603" t="s">
        <v>273</v>
      </c>
      <c r="T1603" t="s">
        <v>323</v>
      </c>
      <c r="U1603">
        <v>1.2826538793414133E-2</v>
      </c>
      <c r="V1603" t="s">
        <v>163</v>
      </c>
    </row>
    <row r="1604" spans="19:22" x14ac:dyDescent="0.45">
      <c r="S1604" t="s">
        <v>273</v>
      </c>
      <c r="T1604" t="s">
        <v>324</v>
      </c>
      <c r="U1604">
        <v>2.1616882598905773E-2</v>
      </c>
      <c r="V1604" t="s">
        <v>163</v>
      </c>
    </row>
    <row r="1605" spans="19:22" x14ac:dyDescent="0.45">
      <c r="S1605" t="s">
        <v>273</v>
      </c>
      <c r="T1605" t="s">
        <v>325</v>
      </c>
      <c r="U1605">
        <v>4.2133476460589417E-3</v>
      </c>
      <c r="V1605" t="s">
        <v>163</v>
      </c>
    </row>
    <row r="1606" spans="19:22" x14ac:dyDescent="0.45">
      <c r="S1606" t="s">
        <v>273</v>
      </c>
      <c r="T1606" t="s">
        <v>326</v>
      </c>
      <c r="U1606">
        <v>2.2300402525520138E-2</v>
      </c>
      <c r="V1606" t="s">
        <v>163</v>
      </c>
    </row>
    <row r="1607" spans="19:22" x14ac:dyDescent="0.45">
      <c r="S1607" t="s">
        <v>274</v>
      </c>
      <c r="T1607" t="s">
        <v>162</v>
      </c>
      <c r="U1607">
        <v>0.12759106510199175</v>
      </c>
      <c r="V1607" t="s">
        <v>163</v>
      </c>
    </row>
    <row r="1608" spans="19:22" x14ac:dyDescent="0.45">
      <c r="S1608" t="s">
        <v>274</v>
      </c>
      <c r="T1608" t="s">
        <v>164</v>
      </c>
      <c r="U1608">
        <v>3.1504954852986565E-2</v>
      </c>
      <c r="V1608" t="s">
        <v>163</v>
      </c>
    </row>
    <row r="1609" spans="19:22" x14ac:dyDescent="0.45">
      <c r="S1609" t="s">
        <v>274</v>
      </c>
      <c r="T1609" t="s">
        <v>165</v>
      </c>
      <c r="U1609">
        <v>4.6692168039002731E-2</v>
      </c>
      <c r="V1609" t="s">
        <v>163</v>
      </c>
    </row>
    <row r="1610" spans="19:22" x14ac:dyDescent="0.45">
      <c r="S1610" t="s">
        <v>274</v>
      </c>
      <c r="T1610" t="s">
        <v>297</v>
      </c>
      <c r="U1610">
        <v>7.8319384693982752E-2</v>
      </c>
      <c r="V1610" t="s">
        <v>163</v>
      </c>
    </row>
    <row r="1611" spans="19:22" x14ac:dyDescent="0.45">
      <c r="S1611" t="s">
        <v>274</v>
      </c>
      <c r="T1611" t="s">
        <v>298</v>
      </c>
      <c r="U1611">
        <v>1.587638860391595E-2</v>
      </c>
      <c r="V1611" t="s">
        <v>163</v>
      </c>
    </row>
    <row r="1612" spans="19:22" x14ac:dyDescent="0.45">
      <c r="S1612" t="s">
        <v>274</v>
      </c>
      <c r="T1612" t="s">
        <v>299</v>
      </c>
      <c r="U1612">
        <v>7.7756241656903827E-2</v>
      </c>
      <c r="V1612" t="s">
        <v>163</v>
      </c>
    </row>
    <row r="1613" spans="19:22" x14ac:dyDescent="0.45">
      <c r="S1613" t="s">
        <v>274</v>
      </c>
      <c r="T1613" t="s">
        <v>166</v>
      </c>
      <c r="U1613">
        <v>1.9067752420269802E-2</v>
      </c>
      <c r="V1613" t="s">
        <v>163</v>
      </c>
    </row>
    <row r="1614" spans="19:22" x14ac:dyDescent="0.45">
      <c r="S1614" t="s">
        <v>274</v>
      </c>
      <c r="T1614" t="s">
        <v>167</v>
      </c>
      <c r="U1614">
        <v>4.2050522272172883E-3</v>
      </c>
      <c r="V1614" t="s">
        <v>163</v>
      </c>
    </row>
    <row r="1615" spans="19:22" x14ac:dyDescent="0.45">
      <c r="S1615" t="s">
        <v>274</v>
      </c>
      <c r="T1615" t="s">
        <v>168</v>
      </c>
      <c r="U1615">
        <v>6.8424022521017987E-3</v>
      </c>
      <c r="V1615" t="s">
        <v>163</v>
      </c>
    </row>
    <row r="1616" spans="19:22" x14ac:dyDescent="0.45">
      <c r="S1616" t="s">
        <v>274</v>
      </c>
      <c r="T1616" t="s">
        <v>300</v>
      </c>
      <c r="U1616">
        <v>1.2104795181934339E-2</v>
      </c>
      <c r="V1616" t="s">
        <v>163</v>
      </c>
    </row>
    <row r="1617" spans="19:22" x14ac:dyDescent="0.45">
      <c r="S1617" t="s">
        <v>274</v>
      </c>
      <c r="T1617" t="s">
        <v>301</v>
      </c>
      <c r="U1617">
        <v>2.4993816311082431E-3</v>
      </c>
      <c r="V1617" t="s">
        <v>163</v>
      </c>
    </row>
    <row r="1618" spans="19:22" x14ac:dyDescent="0.45">
      <c r="S1618" t="s">
        <v>274</v>
      </c>
      <c r="T1618" t="s">
        <v>302</v>
      </c>
      <c r="U1618">
        <v>1.1989289976677645E-2</v>
      </c>
      <c r="V1618" t="s">
        <v>163</v>
      </c>
    </row>
    <row r="1619" spans="19:22" x14ac:dyDescent="0.45">
      <c r="S1619" t="s">
        <v>274</v>
      </c>
      <c r="T1619" t="s">
        <v>169</v>
      </c>
      <c r="U1619">
        <v>2.1166256684742694E-2</v>
      </c>
      <c r="V1619" t="s">
        <v>163</v>
      </c>
    </row>
    <row r="1620" spans="19:22" x14ac:dyDescent="0.45">
      <c r="S1620" t="s">
        <v>274</v>
      </c>
      <c r="T1620" t="s">
        <v>170</v>
      </c>
      <c r="U1620">
        <v>5.0285218698228832E-3</v>
      </c>
      <c r="V1620" t="s">
        <v>163</v>
      </c>
    </row>
    <row r="1621" spans="19:22" x14ac:dyDescent="0.45">
      <c r="S1621" t="s">
        <v>274</v>
      </c>
      <c r="T1621" t="s">
        <v>171</v>
      </c>
      <c r="U1621">
        <v>7.7735066426090548E-3</v>
      </c>
      <c r="V1621" t="s">
        <v>163</v>
      </c>
    </row>
    <row r="1622" spans="19:22" x14ac:dyDescent="0.45">
      <c r="S1622" t="s">
        <v>274</v>
      </c>
      <c r="T1622" t="s">
        <v>303</v>
      </c>
      <c r="U1622">
        <v>1.2672569526373684E-2</v>
      </c>
      <c r="V1622" t="s">
        <v>163</v>
      </c>
    </row>
    <row r="1623" spans="19:22" x14ac:dyDescent="0.45">
      <c r="S1623" t="s">
        <v>274</v>
      </c>
      <c r="T1623" t="s">
        <v>304</v>
      </c>
      <c r="U1623">
        <v>2.5348130645910711E-3</v>
      </c>
      <c r="V1623" t="s">
        <v>163</v>
      </c>
    </row>
    <row r="1624" spans="19:22" x14ac:dyDescent="0.45">
      <c r="S1624" t="s">
        <v>274</v>
      </c>
      <c r="T1624" t="s">
        <v>305</v>
      </c>
      <c r="U1624">
        <v>1.2846775025985932E-2</v>
      </c>
      <c r="V1624" t="s">
        <v>163</v>
      </c>
    </row>
    <row r="1625" spans="19:22" x14ac:dyDescent="0.45">
      <c r="S1625" t="s">
        <v>274</v>
      </c>
      <c r="T1625" t="s">
        <v>172</v>
      </c>
      <c r="U1625">
        <v>4.1795214894819015E-2</v>
      </c>
      <c r="V1625" t="s">
        <v>163</v>
      </c>
    </row>
    <row r="1626" spans="19:22" x14ac:dyDescent="0.45">
      <c r="S1626" t="s">
        <v>274</v>
      </c>
      <c r="T1626" t="s">
        <v>173</v>
      </c>
      <c r="U1626">
        <v>1.0684660395248954E-2</v>
      </c>
      <c r="V1626" t="s">
        <v>163</v>
      </c>
    </row>
    <row r="1627" spans="19:22" x14ac:dyDescent="0.45">
      <c r="S1627" t="s">
        <v>274</v>
      </c>
      <c r="T1627" t="s">
        <v>174</v>
      </c>
      <c r="U1627">
        <v>1.5982509508828645E-2</v>
      </c>
      <c r="V1627" t="s">
        <v>163</v>
      </c>
    </row>
    <row r="1628" spans="19:22" x14ac:dyDescent="0.45">
      <c r="S1628" t="s">
        <v>274</v>
      </c>
      <c r="T1628" t="s">
        <v>306</v>
      </c>
      <c r="U1628">
        <v>2.6248615849878081E-2</v>
      </c>
      <c r="V1628" t="s">
        <v>163</v>
      </c>
    </row>
    <row r="1629" spans="19:22" x14ac:dyDescent="0.45">
      <c r="S1629" t="s">
        <v>274</v>
      </c>
      <c r="T1629" t="s">
        <v>307</v>
      </c>
      <c r="U1629">
        <v>5.4740684818088301E-3</v>
      </c>
      <c r="V1629" t="s">
        <v>163</v>
      </c>
    </row>
    <row r="1630" spans="19:22" x14ac:dyDescent="0.45">
      <c r="S1630" t="s">
        <v>274</v>
      </c>
      <c r="T1630" t="s">
        <v>308</v>
      </c>
      <c r="U1630">
        <v>2.5715093147684904E-2</v>
      </c>
      <c r="V1630" t="s">
        <v>163</v>
      </c>
    </row>
    <row r="1631" spans="19:22" x14ac:dyDescent="0.45">
      <c r="S1631" t="s">
        <v>274</v>
      </c>
      <c r="T1631" t="s">
        <v>309</v>
      </c>
      <c r="U1631">
        <v>2.4534139601286548E-2</v>
      </c>
      <c r="V1631" t="s">
        <v>163</v>
      </c>
    </row>
    <row r="1632" spans="19:22" x14ac:dyDescent="0.45">
      <c r="S1632" t="s">
        <v>274</v>
      </c>
      <c r="T1632" t="s">
        <v>310</v>
      </c>
      <c r="U1632">
        <v>6.2097209516657646E-3</v>
      </c>
      <c r="V1632" t="s">
        <v>163</v>
      </c>
    </row>
    <row r="1633" spans="19:22" x14ac:dyDescent="0.45">
      <c r="S1633" t="s">
        <v>274</v>
      </c>
      <c r="T1633" t="s">
        <v>311</v>
      </c>
      <c r="U1633">
        <v>9.652675393942739E-3</v>
      </c>
      <c r="V1633" t="s">
        <v>163</v>
      </c>
    </row>
    <row r="1634" spans="19:22" x14ac:dyDescent="0.45">
      <c r="S1634" t="s">
        <v>274</v>
      </c>
      <c r="T1634" t="s">
        <v>312</v>
      </c>
      <c r="U1634">
        <v>1.6645250215775658E-2</v>
      </c>
      <c r="V1634" t="s">
        <v>163</v>
      </c>
    </row>
    <row r="1635" spans="19:22" x14ac:dyDescent="0.45">
      <c r="S1635" t="s">
        <v>274</v>
      </c>
      <c r="T1635" t="s">
        <v>313</v>
      </c>
      <c r="U1635">
        <v>3.3851214526294119E-3</v>
      </c>
      <c r="V1635" t="s">
        <v>163</v>
      </c>
    </row>
    <row r="1636" spans="19:22" x14ac:dyDescent="0.45">
      <c r="S1636" t="s">
        <v>274</v>
      </c>
      <c r="T1636" t="s">
        <v>314</v>
      </c>
      <c r="U1636">
        <v>1.6615244094547534E-2</v>
      </c>
      <c r="V1636" t="s">
        <v>163</v>
      </c>
    </row>
    <row r="1637" spans="19:22" x14ac:dyDescent="0.45">
      <c r="S1637" t="s">
        <v>274</v>
      </c>
      <c r="T1637" t="s">
        <v>315</v>
      </c>
      <c r="U1637">
        <v>6.3544484836444246E-2</v>
      </c>
      <c r="V1637" t="s">
        <v>163</v>
      </c>
    </row>
    <row r="1638" spans="19:22" x14ac:dyDescent="0.45">
      <c r="S1638" t="s">
        <v>274</v>
      </c>
      <c r="T1638" t="s">
        <v>316</v>
      </c>
      <c r="U1638">
        <v>1.5530934440952264E-2</v>
      </c>
      <c r="V1638" t="s">
        <v>163</v>
      </c>
    </row>
    <row r="1639" spans="19:22" x14ac:dyDescent="0.45">
      <c r="S1639" t="s">
        <v>274</v>
      </c>
      <c r="T1639" t="s">
        <v>317</v>
      </c>
      <c r="U1639">
        <v>2.4212298723058131E-2</v>
      </c>
      <c r="V1639" t="s">
        <v>163</v>
      </c>
    </row>
    <row r="1640" spans="19:22" x14ac:dyDescent="0.45">
      <c r="S1640" t="s">
        <v>274</v>
      </c>
      <c r="T1640" t="s">
        <v>318</v>
      </c>
      <c r="U1640">
        <v>4.107113243212962E-2</v>
      </c>
      <c r="V1640" t="s">
        <v>163</v>
      </c>
    </row>
    <row r="1641" spans="19:22" x14ac:dyDescent="0.45">
      <c r="S1641" t="s">
        <v>274</v>
      </c>
      <c r="T1641" t="s">
        <v>319</v>
      </c>
      <c r="U1641">
        <v>8.2072816526107158E-3</v>
      </c>
      <c r="V1641" t="s">
        <v>163</v>
      </c>
    </row>
    <row r="1642" spans="19:22" x14ac:dyDescent="0.45">
      <c r="S1642" t="s">
        <v>274</v>
      </c>
      <c r="T1642" t="s">
        <v>320</v>
      </c>
      <c r="U1642">
        <v>3.9649859247871906E-2</v>
      </c>
      <c r="V1642" t="s">
        <v>163</v>
      </c>
    </row>
    <row r="1643" spans="19:22" x14ac:dyDescent="0.45">
      <c r="S1643" t="s">
        <v>274</v>
      </c>
      <c r="T1643" t="s">
        <v>321</v>
      </c>
      <c r="U1643">
        <v>3.6018720339448716E-2</v>
      </c>
      <c r="V1643" t="s">
        <v>163</v>
      </c>
    </row>
    <row r="1644" spans="19:22" x14ac:dyDescent="0.45">
      <c r="S1644" t="s">
        <v>274</v>
      </c>
      <c r="T1644" t="s">
        <v>322</v>
      </c>
      <c r="U1644">
        <v>9.3814259578849334E-3</v>
      </c>
      <c r="V1644" t="s">
        <v>163</v>
      </c>
    </row>
    <row r="1645" spans="19:22" x14ac:dyDescent="0.45">
      <c r="S1645" t="s">
        <v>274</v>
      </c>
      <c r="T1645" t="s">
        <v>323</v>
      </c>
      <c r="U1645">
        <v>1.389356269887301E-2</v>
      </c>
      <c r="V1645" t="s">
        <v>163</v>
      </c>
    </row>
    <row r="1646" spans="19:22" x14ac:dyDescent="0.45">
      <c r="S1646" t="s">
        <v>274</v>
      </c>
      <c r="T1646" t="s">
        <v>324</v>
      </c>
      <c r="U1646">
        <v>2.3044368478912849E-2</v>
      </c>
      <c r="V1646" t="s">
        <v>163</v>
      </c>
    </row>
    <row r="1647" spans="19:22" x14ac:dyDescent="0.45">
      <c r="S1647" t="s">
        <v>274</v>
      </c>
      <c r="T1647" t="s">
        <v>325</v>
      </c>
      <c r="U1647">
        <v>4.4554836214735901E-3</v>
      </c>
      <c r="V1647" t="s">
        <v>163</v>
      </c>
    </row>
    <row r="1648" spans="19:22" x14ac:dyDescent="0.45">
      <c r="S1648" t="s">
        <v>274</v>
      </c>
      <c r="T1648" t="s">
        <v>326</v>
      </c>
      <c r="U1648">
        <v>2.1576814130006589E-2</v>
      </c>
      <c r="V1648" t="s">
        <v>163</v>
      </c>
    </row>
    <row r="1649" spans="19:22" x14ac:dyDescent="0.45">
      <c r="S1649" t="s">
        <v>275</v>
      </c>
      <c r="T1649" t="s">
        <v>162</v>
      </c>
      <c r="U1649">
        <v>0.14327296704322914</v>
      </c>
      <c r="V1649" t="s">
        <v>163</v>
      </c>
    </row>
    <row r="1650" spans="19:22" x14ac:dyDescent="0.45">
      <c r="S1650" t="s">
        <v>275</v>
      </c>
      <c r="T1650" t="s">
        <v>164</v>
      </c>
      <c r="U1650">
        <v>3.2978343001967891E-2</v>
      </c>
      <c r="V1650" t="s">
        <v>163</v>
      </c>
    </row>
    <row r="1651" spans="19:22" x14ac:dyDescent="0.45">
      <c r="S1651" t="s">
        <v>275</v>
      </c>
      <c r="T1651" t="s">
        <v>165</v>
      </c>
      <c r="U1651">
        <v>4.6788811205000863E-2</v>
      </c>
      <c r="V1651" t="s">
        <v>163</v>
      </c>
    </row>
    <row r="1652" spans="19:22" x14ac:dyDescent="0.45">
      <c r="S1652" t="s">
        <v>275</v>
      </c>
      <c r="T1652" t="s">
        <v>297</v>
      </c>
      <c r="U1652">
        <v>8.2176898954863048E-2</v>
      </c>
      <c r="V1652" t="s">
        <v>163</v>
      </c>
    </row>
    <row r="1653" spans="19:22" x14ac:dyDescent="0.45">
      <c r="S1653" t="s">
        <v>275</v>
      </c>
      <c r="T1653" t="s">
        <v>298</v>
      </c>
      <c r="U1653">
        <v>1.7735011167537399E-2</v>
      </c>
      <c r="V1653" t="s">
        <v>163</v>
      </c>
    </row>
    <row r="1654" spans="19:22" x14ac:dyDescent="0.45">
      <c r="S1654" t="s">
        <v>275</v>
      </c>
      <c r="T1654" t="s">
        <v>299</v>
      </c>
      <c r="U1654">
        <v>8.5052609059382181E-2</v>
      </c>
      <c r="V1654" t="s">
        <v>163</v>
      </c>
    </row>
    <row r="1655" spans="19:22" x14ac:dyDescent="0.45">
      <c r="S1655" t="s">
        <v>275</v>
      </c>
      <c r="T1655" t="s">
        <v>166</v>
      </c>
      <c r="U1655">
        <v>2.0491227271695334E-2</v>
      </c>
      <c r="V1655" t="s">
        <v>163</v>
      </c>
    </row>
    <row r="1656" spans="19:22" x14ac:dyDescent="0.45">
      <c r="S1656" t="s">
        <v>275</v>
      </c>
      <c r="T1656" t="s">
        <v>167</v>
      </c>
      <c r="U1656">
        <v>4.7508582782380907E-3</v>
      </c>
      <c r="V1656" t="s">
        <v>163</v>
      </c>
    </row>
    <row r="1657" spans="19:22" x14ac:dyDescent="0.45">
      <c r="S1657" t="s">
        <v>275</v>
      </c>
      <c r="T1657" t="s">
        <v>168</v>
      </c>
      <c r="U1657">
        <v>7.6070487304606919E-3</v>
      </c>
      <c r="V1657" t="s">
        <v>163</v>
      </c>
    </row>
    <row r="1658" spans="19:22" x14ac:dyDescent="0.45">
      <c r="S1658" t="s">
        <v>275</v>
      </c>
      <c r="T1658" t="s">
        <v>300</v>
      </c>
      <c r="U1658">
        <v>1.3936298750001451E-2</v>
      </c>
      <c r="V1658" t="s">
        <v>163</v>
      </c>
    </row>
    <row r="1659" spans="19:22" x14ac:dyDescent="0.45">
      <c r="S1659" t="s">
        <v>275</v>
      </c>
      <c r="T1659" t="s">
        <v>301</v>
      </c>
      <c r="U1659">
        <v>2.8455168918916801E-3</v>
      </c>
      <c r="V1659" t="s">
        <v>163</v>
      </c>
    </row>
    <row r="1660" spans="19:22" x14ac:dyDescent="0.45">
      <c r="S1660" t="s">
        <v>275</v>
      </c>
      <c r="T1660" t="s">
        <v>302</v>
      </c>
      <c r="U1660">
        <v>1.2958404783693854E-2</v>
      </c>
      <c r="V1660" t="s">
        <v>163</v>
      </c>
    </row>
    <row r="1661" spans="19:22" x14ac:dyDescent="0.45">
      <c r="S1661" t="s">
        <v>275</v>
      </c>
      <c r="T1661" t="s">
        <v>169</v>
      </c>
      <c r="U1661">
        <v>1.6635590959699572E-2</v>
      </c>
      <c r="V1661" t="s">
        <v>163</v>
      </c>
    </row>
    <row r="1662" spans="19:22" x14ac:dyDescent="0.45">
      <c r="S1662" t="s">
        <v>275</v>
      </c>
      <c r="T1662" t="s">
        <v>170</v>
      </c>
      <c r="U1662">
        <v>3.8358944749127834E-3</v>
      </c>
      <c r="V1662" t="s">
        <v>163</v>
      </c>
    </row>
    <row r="1663" spans="19:22" x14ac:dyDescent="0.45">
      <c r="S1663" t="s">
        <v>275</v>
      </c>
      <c r="T1663" t="s">
        <v>171</v>
      </c>
      <c r="U1663">
        <v>6.3322657989124276E-3</v>
      </c>
      <c r="V1663" t="s">
        <v>163</v>
      </c>
    </row>
    <row r="1664" spans="19:22" x14ac:dyDescent="0.45">
      <c r="S1664" t="s">
        <v>275</v>
      </c>
      <c r="T1664" t="s">
        <v>303</v>
      </c>
      <c r="U1664">
        <v>1.193591497902944E-2</v>
      </c>
      <c r="V1664" t="s">
        <v>163</v>
      </c>
    </row>
    <row r="1665" spans="19:22" x14ac:dyDescent="0.45">
      <c r="S1665" t="s">
        <v>275</v>
      </c>
      <c r="T1665" t="s">
        <v>304</v>
      </c>
      <c r="U1665">
        <v>2.4221702628116158E-3</v>
      </c>
      <c r="V1665" t="s">
        <v>163</v>
      </c>
    </row>
    <row r="1666" spans="19:22" x14ac:dyDescent="0.45">
      <c r="S1666" t="s">
        <v>275</v>
      </c>
      <c r="T1666" t="s">
        <v>305</v>
      </c>
      <c r="U1666">
        <v>1.1101153682159937E-2</v>
      </c>
      <c r="V1666" t="s">
        <v>163</v>
      </c>
    </row>
    <row r="1667" spans="19:22" x14ac:dyDescent="0.45">
      <c r="S1667" t="s">
        <v>275</v>
      </c>
      <c r="T1667" t="s">
        <v>172</v>
      </c>
      <c r="U1667">
        <v>3.5194407201503228E-2</v>
      </c>
      <c r="V1667" t="s">
        <v>163</v>
      </c>
    </row>
    <row r="1668" spans="19:22" x14ac:dyDescent="0.45">
      <c r="S1668" t="s">
        <v>275</v>
      </c>
      <c r="T1668" t="s">
        <v>173</v>
      </c>
      <c r="U1668">
        <v>7.8013848657215914E-3</v>
      </c>
      <c r="V1668" t="s">
        <v>163</v>
      </c>
    </row>
    <row r="1669" spans="19:22" x14ac:dyDescent="0.45">
      <c r="S1669" t="s">
        <v>275</v>
      </c>
      <c r="T1669" t="s">
        <v>174</v>
      </c>
      <c r="U1669">
        <v>1.2313479743440684E-2</v>
      </c>
      <c r="V1669" t="s">
        <v>163</v>
      </c>
    </row>
    <row r="1670" spans="19:22" x14ac:dyDescent="0.45">
      <c r="S1670" t="s">
        <v>275</v>
      </c>
      <c r="T1670" t="s">
        <v>306</v>
      </c>
      <c r="U1670">
        <v>2.5211445315058999E-2</v>
      </c>
      <c r="V1670" t="s">
        <v>163</v>
      </c>
    </row>
    <row r="1671" spans="19:22" x14ac:dyDescent="0.45">
      <c r="S1671" t="s">
        <v>275</v>
      </c>
      <c r="T1671" t="s">
        <v>307</v>
      </c>
      <c r="U1671">
        <v>5.656989453344803E-3</v>
      </c>
      <c r="V1671" t="s">
        <v>163</v>
      </c>
    </row>
    <row r="1672" spans="19:22" x14ac:dyDescent="0.45">
      <c r="S1672" t="s">
        <v>275</v>
      </c>
      <c r="T1672" t="s">
        <v>308</v>
      </c>
      <c r="U1672">
        <v>2.6532873590946613E-2</v>
      </c>
      <c r="V1672" t="s">
        <v>163</v>
      </c>
    </row>
    <row r="1673" spans="19:22" x14ac:dyDescent="0.45">
      <c r="S1673" t="s">
        <v>275</v>
      </c>
      <c r="T1673" t="s">
        <v>309</v>
      </c>
      <c r="U1673">
        <v>1.8734719751962094E-2</v>
      </c>
      <c r="V1673" t="s">
        <v>163</v>
      </c>
    </row>
    <row r="1674" spans="19:22" x14ac:dyDescent="0.45">
      <c r="S1674" t="s">
        <v>275</v>
      </c>
      <c r="T1674" t="s">
        <v>310</v>
      </c>
      <c r="U1674">
        <v>4.6918532935716671E-3</v>
      </c>
      <c r="V1674" t="s">
        <v>163</v>
      </c>
    </row>
    <row r="1675" spans="19:22" x14ac:dyDescent="0.45">
      <c r="S1675" t="s">
        <v>275</v>
      </c>
      <c r="T1675" t="s">
        <v>311</v>
      </c>
      <c r="U1675">
        <v>7.546489483517398E-3</v>
      </c>
      <c r="V1675" t="s">
        <v>163</v>
      </c>
    </row>
    <row r="1676" spans="19:22" x14ac:dyDescent="0.45">
      <c r="S1676" t="s">
        <v>275</v>
      </c>
      <c r="T1676" t="s">
        <v>312</v>
      </c>
      <c r="U1676">
        <v>1.3205917772413634E-2</v>
      </c>
      <c r="V1676" t="s">
        <v>163</v>
      </c>
    </row>
    <row r="1677" spans="19:22" x14ac:dyDescent="0.45">
      <c r="S1677" t="s">
        <v>275</v>
      </c>
      <c r="T1677" t="s">
        <v>313</v>
      </c>
      <c r="U1677">
        <v>2.608195302094799E-3</v>
      </c>
      <c r="V1677" t="s">
        <v>163</v>
      </c>
    </row>
    <row r="1678" spans="19:22" x14ac:dyDescent="0.45">
      <c r="S1678" t="s">
        <v>275</v>
      </c>
      <c r="T1678" t="s">
        <v>314</v>
      </c>
      <c r="U1678">
        <v>1.227434208639675E-2</v>
      </c>
      <c r="V1678" t="s">
        <v>163</v>
      </c>
    </row>
    <row r="1679" spans="19:22" x14ac:dyDescent="0.45">
      <c r="S1679" t="s">
        <v>275</v>
      </c>
      <c r="T1679" t="s">
        <v>315</v>
      </c>
      <c r="U1679">
        <v>6.3150215295268208E-2</v>
      </c>
      <c r="V1679" t="s">
        <v>163</v>
      </c>
    </row>
    <row r="1680" spans="19:22" x14ac:dyDescent="0.45">
      <c r="S1680" t="s">
        <v>275</v>
      </c>
      <c r="T1680" t="s">
        <v>316</v>
      </c>
      <c r="U1680">
        <v>1.4985479640725436E-2</v>
      </c>
      <c r="V1680" t="s">
        <v>163</v>
      </c>
    </row>
    <row r="1681" spans="19:22" x14ac:dyDescent="0.45">
      <c r="S1681" t="s">
        <v>275</v>
      </c>
      <c r="T1681" t="s">
        <v>317</v>
      </c>
      <c r="U1681">
        <v>2.3020306079148175E-2</v>
      </c>
      <c r="V1681" t="s">
        <v>163</v>
      </c>
    </row>
    <row r="1682" spans="19:22" x14ac:dyDescent="0.45">
      <c r="S1682" t="s">
        <v>275</v>
      </c>
      <c r="T1682" t="s">
        <v>318</v>
      </c>
      <c r="U1682">
        <v>4.052478595441452E-2</v>
      </c>
      <c r="V1682" t="s">
        <v>163</v>
      </c>
    </row>
    <row r="1683" spans="19:22" x14ac:dyDescent="0.45">
      <c r="S1683" t="s">
        <v>275</v>
      </c>
      <c r="T1683" t="s">
        <v>319</v>
      </c>
      <c r="U1683">
        <v>8.5258134311026555E-3</v>
      </c>
      <c r="V1683" t="s">
        <v>163</v>
      </c>
    </row>
    <row r="1684" spans="19:22" x14ac:dyDescent="0.45">
      <c r="S1684" t="s">
        <v>275</v>
      </c>
      <c r="T1684" t="s">
        <v>320</v>
      </c>
      <c r="U1684">
        <v>3.9606196750833933E-2</v>
      </c>
      <c r="V1684" t="s">
        <v>163</v>
      </c>
    </row>
    <row r="1685" spans="19:22" x14ac:dyDescent="0.45">
      <c r="S1685" t="s">
        <v>275</v>
      </c>
      <c r="T1685" t="s">
        <v>321</v>
      </c>
      <c r="U1685">
        <v>3.9994466536099289E-2</v>
      </c>
      <c r="V1685" t="s">
        <v>163</v>
      </c>
    </row>
    <row r="1686" spans="19:22" x14ac:dyDescent="0.45">
      <c r="S1686" t="s">
        <v>275</v>
      </c>
      <c r="T1686" t="s">
        <v>322</v>
      </c>
      <c r="U1686">
        <v>9.5293230366825434E-3</v>
      </c>
      <c r="V1686" t="s">
        <v>163</v>
      </c>
    </row>
    <row r="1687" spans="19:22" x14ac:dyDescent="0.45">
      <c r="S1687" t="s">
        <v>275</v>
      </c>
      <c r="T1687" t="s">
        <v>323</v>
      </c>
      <c r="U1687">
        <v>1.3548074664284765E-2</v>
      </c>
      <c r="V1687" t="s">
        <v>163</v>
      </c>
    </row>
    <row r="1688" spans="19:22" x14ac:dyDescent="0.45">
      <c r="S1688" t="s">
        <v>275</v>
      </c>
      <c r="T1688" t="s">
        <v>324</v>
      </c>
      <c r="U1688">
        <v>2.3327654495255017E-2</v>
      </c>
      <c r="V1688" t="s">
        <v>163</v>
      </c>
    </row>
    <row r="1689" spans="19:22" x14ac:dyDescent="0.45">
      <c r="S1689" t="s">
        <v>275</v>
      </c>
      <c r="T1689" t="s">
        <v>325</v>
      </c>
      <c r="U1689">
        <v>4.8673710909138178E-3</v>
      </c>
      <c r="V1689" t="s">
        <v>163</v>
      </c>
    </row>
    <row r="1690" spans="19:22" x14ac:dyDescent="0.45">
      <c r="S1690" t="s">
        <v>275</v>
      </c>
      <c r="T1690" t="s">
        <v>326</v>
      </c>
      <c r="U1690">
        <v>2.4291229869811762E-2</v>
      </c>
      <c r="V1690" t="s">
        <v>163</v>
      </c>
    </row>
    <row r="1691" spans="19:22" x14ac:dyDescent="0.45">
      <c r="S1691" t="s">
        <v>276</v>
      </c>
      <c r="T1691" t="s">
        <v>162</v>
      </c>
      <c r="U1691">
        <v>0.14693409215838302</v>
      </c>
      <c r="V1691" t="s">
        <v>163</v>
      </c>
    </row>
    <row r="1692" spans="19:22" x14ac:dyDescent="0.45">
      <c r="S1692" t="s">
        <v>276</v>
      </c>
      <c r="T1692" t="s">
        <v>164</v>
      </c>
      <c r="U1692">
        <v>3.5241059593164474E-2</v>
      </c>
      <c r="V1692" t="s">
        <v>163</v>
      </c>
    </row>
    <row r="1693" spans="19:22" x14ac:dyDescent="0.45">
      <c r="S1693" t="s">
        <v>276</v>
      </c>
      <c r="T1693" t="s">
        <v>165</v>
      </c>
      <c r="U1693">
        <v>5.1519407710979868E-2</v>
      </c>
      <c r="V1693" t="s">
        <v>163</v>
      </c>
    </row>
    <row r="1694" spans="19:22" x14ac:dyDescent="0.45">
      <c r="S1694" t="s">
        <v>276</v>
      </c>
      <c r="T1694" t="s">
        <v>297</v>
      </c>
      <c r="U1694">
        <v>8.8540349552721817E-2</v>
      </c>
      <c r="V1694" t="s">
        <v>163</v>
      </c>
    </row>
    <row r="1695" spans="19:22" x14ac:dyDescent="0.45">
      <c r="S1695" t="s">
        <v>276</v>
      </c>
      <c r="T1695" t="s">
        <v>298</v>
      </c>
      <c r="U1695">
        <v>1.8647838673516864E-2</v>
      </c>
      <c r="V1695" t="s">
        <v>163</v>
      </c>
    </row>
    <row r="1696" spans="19:22" x14ac:dyDescent="0.45">
      <c r="S1696" t="s">
        <v>276</v>
      </c>
      <c r="T1696" t="s">
        <v>299</v>
      </c>
      <c r="U1696">
        <v>8.7089789970276346E-2</v>
      </c>
      <c r="V1696" t="s">
        <v>163</v>
      </c>
    </row>
    <row r="1697" spans="19:22" x14ac:dyDescent="0.45">
      <c r="S1697" t="s">
        <v>276</v>
      </c>
      <c r="T1697" t="s">
        <v>166</v>
      </c>
      <c r="U1697">
        <v>2.7992513234349804E-2</v>
      </c>
      <c r="V1697" t="s">
        <v>163</v>
      </c>
    </row>
    <row r="1698" spans="19:22" x14ac:dyDescent="0.45">
      <c r="S1698" t="s">
        <v>276</v>
      </c>
      <c r="T1698" t="s">
        <v>167</v>
      </c>
      <c r="U1698">
        <v>6.218233617809708E-3</v>
      </c>
      <c r="V1698" t="s">
        <v>163</v>
      </c>
    </row>
    <row r="1699" spans="19:22" x14ac:dyDescent="0.45">
      <c r="S1699" t="s">
        <v>276</v>
      </c>
      <c r="T1699" t="s">
        <v>168</v>
      </c>
      <c r="U1699">
        <v>9.5427853904551142E-3</v>
      </c>
      <c r="V1699" t="s">
        <v>163</v>
      </c>
    </row>
    <row r="1700" spans="19:22" x14ac:dyDescent="0.45">
      <c r="S1700" t="s">
        <v>276</v>
      </c>
      <c r="T1700" t="s">
        <v>300</v>
      </c>
      <c r="U1700">
        <v>1.8402599969799566E-2</v>
      </c>
      <c r="V1700" t="s">
        <v>163</v>
      </c>
    </row>
    <row r="1701" spans="19:22" x14ac:dyDescent="0.45">
      <c r="S1701" t="s">
        <v>276</v>
      </c>
      <c r="T1701" t="s">
        <v>301</v>
      </c>
      <c r="U1701">
        <v>4.1527782898823935E-3</v>
      </c>
      <c r="V1701" t="s">
        <v>163</v>
      </c>
    </row>
    <row r="1702" spans="19:22" x14ac:dyDescent="0.45">
      <c r="S1702" t="s">
        <v>276</v>
      </c>
      <c r="T1702" t="s">
        <v>302</v>
      </c>
      <c r="U1702">
        <v>1.8105194399463238E-2</v>
      </c>
      <c r="V1702" t="s">
        <v>163</v>
      </c>
    </row>
    <row r="1703" spans="19:22" x14ac:dyDescent="0.45">
      <c r="S1703" t="s">
        <v>276</v>
      </c>
      <c r="T1703" t="s">
        <v>169</v>
      </c>
      <c r="U1703">
        <v>1.0699777979660218E-2</v>
      </c>
      <c r="V1703" t="s">
        <v>163</v>
      </c>
    </row>
    <row r="1704" spans="19:22" x14ac:dyDescent="0.45">
      <c r="S1704" t="s">
        <v>276</v>
      </c>
      <c r="T1704" t="s">
        <v>170</v>
      </c>
      <c r="U1704">
        <v>2.7642967144414095E-3</v>
      </c>
      <c r="V1704" t="s">
        <v>163</v>
      </c>
    </row>
    <row r="1705" spans="19:22" x14ac:dyDescent="0.45">
      <c r="S1705" t="s">
        <v>276</v>
      </c>
      <c r="T1705" t="s">
        <v>171</v>
      </c>
      <c r="U1705">
        <v>4.2996552695671562E-3</v>
      </c>
      <c r="V1705" t="s">
        <v>163</v>
      </c>
    </row>
    <row r="1706" spans="19:22" x14ac:dyDescent="0.45">
      <c r="S1706" t="s">
        <v>276</v>
      </c>
      <c r="T1706" t="s">
        <v>303</v>
      </c>
      <c r="U1706">
        <v>8.1912277397646529E-3</v>
      </c>
      <c r="V1706" t="s">
        <v>163</v>
      </c>
    </row>
    <row r="1707" spans="19:22" x14ac:dyDescent="0.45">
      <c r="S1707" t="s">
        <v>276</v>
      </c>
      <c r="T1707" t="s">
        <v>304</v>
      </c>
      <c r="U1707">
        <v>1.6827866974438313E-3</v>
      </c>
      <c r="V1707" t="s">
        <v>163</v>
      </c>
    </row>
    <row r="1708" spans="19:22" x14ac:dyDescent="0.45">
      <c r="S1708" t="s">
        <v>276</v>
      </c>
      <c r="T1708" t="s">
        <v>305</v>
      </c>
      <c r="U1708">
        <v>7.1242607092451239E-3</v>
      </c>
      <c r="V1708" t="s">
        <v>163</v>
      </c>
    </row>
    <row r="1709" spans="19:22" x14ac:dyDescent="0.45">
      <c r="S1709" t="s">
        <v>276</v>
      </c>
      <c r="T1709" t="s">
        <v>172</v>
      </c>
      <c r="U1709">
        <v>3.6996350278161463E-2</v>
      </c>
      <c r="V1709" t="s">
        <v>163</v>
      </c>
    </row>
    <row r="1710" spans="19:22" x14ac:dyDescent="0.45">
      <c r="S1710" t="s">
        <v>276</v>
      </c>
      <c r="T1710" t="s">
        <v>173</v>
      </c>
      <c r="U1710">
        <v>8.9752245529056852E-3</v>
      </c>
      <c r="V1710" t="s">
        <v>163</v>
      </c>
    </row>
    <row r="1711" spans="19:22" x14ac:dyDescent="0.45">
      <c r="S1711" t="s">
        <v>276</v>
      </c>
      <c r="T1711" t="s">
        <v>174</v>
      </c>
      <c r="U1711">
        <v>1.3401736495996288E-2</v>
      </c>
      <c r="V1711" t="s">
        <v>163</v>
      </c>
    </row>
    <row r="1712" spans="19:22" x14ac:dyDescent="0.45">
      <c r="S1712" t="s">
        <v>276</v>
      </c>
      <c r="T1712" t="s">
        <v>306</v>
      </c>
      <c r="U1712">
        <v>2.2914786881619784E-2</v>
      </c>
      <c r="V1712" t="s">
        <v>163</v>
      </c>
    </row>
    <row r="1713" spans="19:22" x14ac:dyDescent="0.45">
      <c r="S1713" t="s">
        <v>276</v>
      </c>
      <c r="T1713" t="s">
        <v>307</v>
      </c>
      <c r="U1713">
        <v>4.8659261029096483E-3</v>
      </c>
      <c r="V1713" t="s">
        <v>163</v>
      </c>
    </row>
    <row r="1714" spans="19:22" x14ac:dyDescent="0.45">
      <c r="S1714" t="s">
        <v>276</v>
      </c>
      <c r="T1714" t="s">
        <v>308</v>
      </c>
      <c r="U1714">
        <v>2.1575332900214551E-2</v>
      </c>
      <c r="V1714" t="s">
        <v>163</v>
      </c>
    </row>
    <row r="1715" spans="19:22" x14ac:dyDescent="0.45">
      <c r="S1715" t="s">
        <v>276</v>
      </c>
      <c r="T1715" t="s">
        <v>309</v>
      </c>
      <c r="U1715">
        <v>1.9815277232012953E-2</v>
      </c>
      <c r="V1715" t="s">
        <v>163</v>
      </c>
    </row>
    <row r="1716" spans="19:22" x14ac:dyDescent="0.45">
      <c r="S1716" t="s">
        <v>276</v>
      </c>
      <c r="T1716" t="s">
        <v>310</v>
      </c>
      <c r="U1716">
        <v>4.7291255050411641E-3</v>
      </c>
      <c r="V1716" t="s">
        <v>163</v>
      </c>
    </row>
    <row r="1717" spans="19:22" x14ac:dyDescent="0.45">
      <c r="S1717" t="s">
        <v>276</v>
      </c>
      <c r="T1717" t="s">
        <v>311</v>
      </c>
      <c r="U1717">
        <v>6.7156074412509387E-3</v>
      </c>
      <c r="V1717" t="s">
        <v>163</v>
      </c>
    </row>
    <row r="1718" spans="19:22" x14ac:dyDescent="0.45">
      <c r="S1718" t="s">
        <v>276</v>
      </c>
      <c r="T1718" t="s">
        <v>312</v>
      </c>
      <c r="U1718">
        <v>1.169991215326832E-2</v>
      </c>
      <c r="V1718" t="s">
        <v>163</v>
      </c>
    </row>
    <row r="1719" spans="19:22" x14ac:dyDescent="0.45">
      <c r="S1719" t="s">
        <v>276</v>
      </c>
      <c r="T1719" t="s">
        <v>313</v>
      </c>
      <c r="U1719">
        <v>2.6540271442674025E-3</v>
      </c>
      <c r="V1719" t="s">
        <v>163</v>
      </c>
    </row>
    <row r="1720" spans="19:22" x14ac:dyDescent="0.45">
      <c r="S1720" t="s">
        <v>276</v>
      </c>
      <c r="T1720" t="s">
        <v>314</v>
      </c>
      <c r="U1720">
        <v>1.1963799262391522E-2</v>
      </c>
      <c r="V1720" t="s">
        <v>163</v>
      </c>
    </row>
    <row r="1721" spans="19:22" x14ac:dyDescent="0.45">
      <c r="S1721" t="s">
        <v>276</v>
      </c>
      <c r="T1721" t="s">
        <v>315</v>
      </c>
      <c r="U1721">
        <v>6.1950923608828382E-2</v>
      </c>
      <c r="V1721" t="s">
        <v>163</v>
      </c>
    </row>
    <row r="1722" spans="19:22" x14ac:dyDescent="0.45">
      <c r="S1722" t="s">
        <v>276</v>
      </c>
      <c r="T1722" t="s">
        <v>316</v>
      </c>
      <c r="U1722">
        <v>1.2452103063105719E-2</v>
      </c>
      <c r="V1722" t="s">
        <v>163</v>
      </c>
    </row>
    <row r="1723" spans="19:22" x14ac:dyDescent="0.45">
      <c r="S1723" t="s">
        <v>276</v>
      </c>
      <c r="T1723" t="s">
        <v>317</v>
      </c>
      <c r="U1723">
        <v>1.859334824247081E-2</v>
      </c>
      <c r="V1723" t="s">
        <v>163</v>
      </c>
    </row>
    <row r="1724" spans="19:22" x14ac:dyDescent="0.45">
      <c r="S1724" t="s">
        <v>276</v>
      </c>
      <c r="T1724" t="s">
        <v>318</v>
      </c>
      <c r="U1724">
        <v>3.4610321685906269E-2</v>
      </c>
      <c r="V1724" t="s">
        <v>163</v>
      </c>
    </row>
    <row r="1725" spans="19:22" x14ac:dyDescent="0.45">
      <c r="S1725" t="s">
        <v>276</v>
      </c>
      <c r="T1725" t="s">
        <v>319</v>
      </c>
      <c r="U1725">
        <v>7.7095672799617036E-3</v>
      </c>
      <c r="V1725" t="s">
        <v>163</v>
      </c>
    </row>
    <row r="1726" spans="19:22" x14ac:dyDescent="0.45">
      <c r="S1726" t="s">
        <v>276</v>
      </c>
      <c r="T1726" t="s">
        <v>320</v>
      </c>
      <c r="U1726">
        <v>3.8690550897568662E-2</v>
      </c>
      <c r="V1726" t="s">
        <v>163</v>
      </c>
    </row>
    <row r="1727" spans="19:22" x14ac:dyDescent="0.45">
      <c r="S1727" t="s">
        <v>276</v>
      </c>
      <c r="T1727" t="s">
        <v>321</v>
      </c>
      <c r="U1727">
        <v>4.1455881512803668E-2</v>
      </c>
      <c r="V1727" t="s">
        <v>163</v>
      </c>
    </row>
    <row r="1728" spans="19:22" x14ac:dyDescent="0.45">
      <c r="S1728" t="s">
        <v>276</v>
      </c>
      <c r="T1728" t="s">
        <v>322</v>
      </c>
      <c r="U1728">
        <v>9.1568349379154198E-3</v>
      </c>
      <c r="V1728" t="s">
        <v>163</v>
      </c>
    </row>
    <row r="1729" spans="19:22" x14ac:dyDescent="0.45">
      <c r="S1729" t="s">
        <v>276</v>
      </c>
      <c r="T1729" t="s">
        <v>323</v>
      </c>
      <c r="U1729">
        <v>1.3431437740087008E-2</v>
      </c>
      <c r="V1729" t="s">
        <v>163</v>
      </c>
    </row>
    <row r="1730" spans="19:22" x14ac:dyDescent="0.45">
      <c r="S1730" t="s">
        <v>276</v>
      </c>
      <c r="T1730" t="s">
        <v>324</v>
      </c>
      <c r="U1730">
        <v>2.2007933839976169E-2</v>
      </c>
      <c r="V1730" t="s">
        <v>163</v>
      </c>
    </row>
    <row r="1731" spans="19:22" x14ac:dyDescent="0.45">
      <c r="S1731" t="s">
        <v>276</v>
      </c>
      <c r="T1731" t="s">
        <v>325</v>
      </c>
      <c r="U1731">
        <v>4.5172806940467249E-3</v>
      </c>
      <c r="V1731" t="s">
        <v>163</v>
      </c>
    </row>
    <row r="1732" spans="19:22" x14ac:dyDescent="0.45">
      <c r="S1732" t="s">
        <v>276</v>
      </c>
      <c r="T1732" t="s">
        <v>326</v>
      </c>
      <c r="U1732">
        <v>2.1968062876367607E-2</v>
      </c>
      <c r="V1732" t="s">
        <v>163</v>
      </c>
    </row>
    <row r="1733" spans="19:22" x14ac:dyDescent="0.45">
      <c r="S1733" t="s">
        <v>277</v>
      </c>
      <c r="T1733" t="s">
        <v>162</v>
      </c>
      <c r="U1733">
        <v>0.14094621752491251</v>
      </c>
      <c r="V1733" t="s">
        <v>163</v>
      </c>
    </row>
    <row r="1734" spans="19:22" x14ac:dyDescent="0.45">
      <c r="S1734" t="s">
        <v>277</v>
      </c>
      <c r="T1734" t="s">
        <v>164</v>
      </c>
      <c r="U1734">
        <v>3.2212875796108986E-2</v>
      </c>
      <c r="V1734" t="s">
        <v>163</v>
      </c>
    </row>
    <row r="1735" spans="19:22" x14ac:dyDescent="0.45">
      <c r="S1735" t="s">
        <v>277</v>
      </c>
      <c r="T1735" t="s">
        <v>165</v>
      </c>
      <c r="U1735">
        <v>5.4495733037558794E-2</v>
      </c>
      <c r="V1735" t="s">
        <v>163</v>
      </c>
    </row>
    <row r="1736" spans="19:22" x14ac:dyDescent="0.45">
      <c r="S1736" t="s">
        <v>277</v>
      </c>
      <c r="T1736" t="s">
        <v>297</v>
      </c>
      <c r="U1736">
        <v>0.10216897979090429</v>
      </c>
      <c r="V1736" t="s">
        <v>163</v>
      </c>
    </row>
    <row r="1737" spans="19:22" x14ac:dyDescent="0.45">
      <c r="S1737" t="s">
        <v>277</v>
      </c>
      <c r="T1737" t="s">
        <v>298</v>
      </c>
      <c r="U1737">
        <v>1.9991378360772406E-2</v>
      </c>
      <c r="V1737" t="s">
        <v>163</v>
      </c>
    </row>
    <row r="1738" spans="19:22" x14ac:dyDescent="0.45">
      <c r="S1738" t="s">
        <v>277</v>
      </c>
      <c r="T1738" t="s">
        <v>299</v>
      </c>
      <c r="U1738">
        <v>8.5450796484824565E-2</v>
      </c>
      <c r="V1738" t="s">
        <v>163</v>
      </c>
    </row>
    <row r="1739" spans="19:22" x14ac:dyDescent="0.45">
      <c r="S1739" t="s">
        <v>277</v>
      </c>
      <c r="T1739" t="s">
        <v>166</v>
      </c>
      <c r="U1739">
        <v>2.7208804235359041E-2</v>
      </c>
      <c r="V1739" t="s">
        <v>163</v>
      </c>
    </row>
    <row r="1740" spans="19:22" x14ac:dyDescent="0.45">
      <c r="S1740" t="s">
        <v>277</v>
      </c>
      <c r="T1740" t="s">
        <v>167</v>
      </c>
      <c r="U1740">
        <v>6.702343808849918E-3</v>
      </c>
      <c r="V1740" t="s">
        <v>163</v>
      </c>
    </row>
    <row r="1741" spans="19:22" x14ac:dyDescent="0.45">
      <c r="S1741" t="s">
        <v>277</v>
      </c>
      <c r="T1741" t="s">
        <v>168</v>
      </c>
      <c r="U1741">
        <v>1.1225254433424467E-2</v>
      </c>
      <c r="V1741" t="s">
        <v>163</v>
      </c>
    </row>
    <row r="1742" spans="19:22" x14ac:dyDescent="0.45">
      <c r="S1742" t="s">
        <v>277</v>
      </c>
      <c r="T1742" t="s">
        <v>300</v>
      </c>
      <c r="U1742">
        <v>2.1081432741962738E-2</v>
      </c>
      <c r="V1742" t="s">
        <v>163</v>
      </c>
    </row>
    <row r="1743" spans="19:22" x14ac:dyDescent="0.45">
      <c r="S1743" t="s">
        <v>277</v>
      </c>
      <c r="T1743" t="s">
        <v>301</v>
      </c>
      <c r="U1743">
        <v>3.9216741626140385E-3</v>
      </c>
      <c r="V1743" t="s">
        <v>163</v>
      </c>
    </row>
    <row r="1744" spans="19:22" x14ac:dyDescent="0.45">
      <c r="S1744" t="s">
        <v>277</v>
      </c>
      <c r="T1744" t="s">
        <v>302</v>
      </c>
      <c r="U1744">
        <v>1.6320747482570053E-2</v>
      </c>
      <c r="V1744" t="s">
        <v>163</v>
      </c>
    </row>
    <row r="1745" spans="19:22" x14ac:dyDescent="0.45">
      <c r="S1745" t="s">
        <v>277</v>
      </c>
      <c r="T1745" t="s">
        <v>169</v>
      </c>
      <c r="U1745">
        <v>7.7656469240271666E-3</v>
      </c>
      <c r="V1745" t="s">
        <v>163</v>
      </c>
    </row>
    <row r="1746" spans="19:22" x14ac:dyDescent="0.45">
      <c r="S1746" t="s">
        <v>277</v>
      </c>
      <c r="T1746" t="s">
        <v>170</v>
      </c>
      <c r="U1746">
        <v>1.9561022481611907E-3</v>
      </c>
      <c r="V1746" t="s">
        <v>163</v>
      </c>
    </row>
    <row r="1747" spans="19:22" x14ac:dyDescent="0.45">
      <c r="S1747" t="s">
        <v>277</v>
      </c>
      <c r="T1747" t="s">
        <v>171</v>
      </c>
      <c r="U1747">
        <v>3.9917529182783183E-3</v>
      </c>
      <c r="V1747" t="s">
        <v>163</v>
      </c>
    </row>
    <row r="1748" spans="19:22" x14ac:dyDescent="0.45">
      <c r="S1748" t="s">
        <v>277</v>
      </c>
      <c r="T1748" t="s">
        <v>303</v>
      </c>
      <c r="U1748">
        <v>9.5840881350627866E-3</v>
      </c>
      <c r="V1748" t="s">
        <v>163</v>
      </c>
    </row>
    <row r="1749" spans="19:22" x14ac:dyDescent="0.45">
      <c r="S1749" t="s">
        <v>277</v>
      </c>
      <c r="T1749" t="s">
        <v>304</v>
      </c>
      <c r="U1749">
        <v>1.6870458515455646E-3</v>
      </c>
      <c r="V1749" t="s">
        <v>163</v>
      </c>
    </row>
    <row r="1750" spans="19:22" x14ac:dyDescent="0.45">
      <c r="S1750" t="s">
        <v>277</v>
      </c>
      <c r="T1750" t="s">
        <v>305</v>
      </c>
      <c r="U1750">
        <v>6.2717938276672961E-3</v>
      </c>
      <c r="V1750" t="s">
        <v>163</v>
      </c>
    </row>
    <row r="1751" spans="19:22" x14ac:dyDescent="0.45">
      <c r="S1751" t="s">
        <v>277</v>
      </c>
      <c r="T1751" t="s">
        <v>172</v>
      </c>
      <c r="U1751">
        <v>3.317177584483362E-2</v>
      </c>
      <c r="V1751" t="s">
        <v>163</v>
      </c>
    </row>
    <row r="1752" spans="19:22" x14ac:dyDescent="0.45">
      <c r="S1752" t="s">
        <v>277</v>
      </c>
      <c r="T1752" t="s">
        <v>173</v>
      </c>
      <c r="U1752">
        <v>7.9857700199310374E-3</v>
      </c>
      <c r="V1752" t="s">
        <v>163</v>
      </c>
    </row>
    <row r="1753" spans="19:22" x14ac:dyDescent="0.45">
      <c r="S1753" t="s">
        <v>277</v>
      </c>
      <c r="T1753" t="s">
        <v>174</v>
      </c>
      <c r="U1753">
        <v>1.3104000454469926E-2</v>
      </c>
      <c r="V1753" t="s">
        <v>163</v>
      </c>
    </row>
    <row r="1754" spans="19:22" x14ac:dyDescent="0.45">
      <c r="S1754" t="s">
        <v>277</v>
      </c>
      <c r="T1754" t="s">
        <v>306</v>
      </c>
      <c r="U1754">
        <v>2.3553550407938446E-2</v>
      </c>
      <c r="V1754" t="s">
        <v>163</v>
      </c>
    </row>
    <row r="1755" spans="19:22" x14ac:dyDescent="0.45">
      <c r="S1755" t="s">
        <v>277</v>
      </c>
      <c r="T1755" t="s">
        <v>307</v>
      </c>
      <c r="U1755">
        <v>4.880200485697715E-3</v>
      </c>
      <c r="V1755" t="s">
        <v>163</v>
      </c>
    </row>
    <row r="1756" spans="19:22" x14ac:dyDescent="0.45">
      <c r="S1756" t="s">
        <v>277</v>
      </c>
      <c r="T1756" t="s">
        <v>308</v>
      </c>
      <c r="U1756">
        <v>2.0752824919278278E-2</v>
      </c>
      <c r="V1756" t="s">
        <v>163</v>
      </c>
    </row>
    <row r="1757" spans="19:22" x14ac:dyDescent="0.45">
      <c r="S1757" t="s">
        <v>277</v>
      </c>
      <c r="T1757" t="s">
        <v>309</v>
      </c>
      <c r="U1757">
        <v>2.0187169200854269E-2</v>
      </c>
      <c r="V1757" t="s">
        <v>163</v>
      </c>
    </row>
    <row r="1758" spans="19:22" x14ac:dyDescent="0.45">
      <c r="S1758" t="s">
        <v>277</v>
      </c>
      <c r="T1758" t="s">
        <v>310</v>
      </c>
      <c r="U1758">
        <v>4.5780406311017935E-3</v>
      </c>
      <c r="V1758" t="s">
        <v>163</v>
      </c>
    </row>
    <row r="1759" spans="19:22" x14ac:dyDescent="0.45">
      <c r="S1759" t="s">
        <v>277</v>
      </c>
      <c r="T1759" t="s">
        <v>311</v>
      </c>
      <c r="U1759">
        <v>7.4933021375668324E-3</v>
      </c>
      <c r="V1759" t="s">
        <v>163</v>
      </c>
    </row>
    <row r="1760" spans="19:22" x14ac:dyDescent="0.45">
      <c r="S1760" t="s">
        <v>277</v>
      </c>
      <c r="T1760" t="s">
        <v>312</v>
      </c>
      <c r="U1760">
        <v>1.324272539154743E-2</v>
      </c>
      <c r="V1760" t="s">
        <v>163</v>
      </c>
    </row>
    <row r="1761" spans="19:22" x14ac:dyDescent="0.45">
      <c r="S1761" t="s">
        <v>277</v>
      </c>
      <c r="T1761" t="s">
        <v>313</v>
      </c>
      <c r="U1761">
        <v>2.9215000947097518E-3</v>
      </c>
      <c r="V1761" t="s">
        <v>163</v>
      </c>
    </row>
    <row r="1762" spans="19:22" x14ac:dyDescent="0.45">
      <c r="S1762" t="s">
        <v>277</v>
      </c>
      <c r="T1762" t="s">
        <v>314</v>
      </c>
      <c r="U1762">
        <v>1.2550041850160341E-2</v>
      </c>
      <c r="V1762" t="s">
        <v>163</v>
      </c>
    </row>
    <row r="1763" spans="19:22" x14ac:dyDescent="0.45">
      <c r="S1763" t="s">
        <v>277</v>
      </c>
      <c r="T1763" t="s">
        <v>315</v>
      </c>
      <c r="U1763">
        <v>5.9282808895149086E-2</v>
      </c>
      <c r="V1763" t="s">
        <v>163</v>
      </c>
    </row>
    <row r="1764" spans="19:22" x14ac:dyDescent="0.45">
      <c r="S1764" t="s">
        <v>277</v>
      </c>
      <c r="T1764" t="s">
        <v>316</v>
      </c>
      <c r="U1764">
        <v>1.1392126318248829E-2</v>
      </c>
      <c r="V1764" t="s">
        <v>163</v>
      </c>
    </row>
    <row r="1765" spans="19:22" x14ac:dyDescent="0.45">
      <c r="S1765" t="s">
        <v>277</v>
      </c>
      <c r="T1765" t="s">
        <v>317</v>
      </c>
      <c r="U1765">
        <v>1.8071784217230807E-2</v>
      </c>
      <c r="V1765" t="s">
        <v>163</v>
      </c>
    </row>
    <row r="1766" spans="19:22" x14ac:dyDescent="0.45">
      <c r="S1766" t="s">
        <v>277</v>
      </c>
      <c r="T1766" t="s">
        <v>318</v>
      </c>
      <c r="U1766">
        <v>3.5458482698825754E-2</v>
      </c>
      <c r="V1766" t="s">
        <v>163</v>
      </c>
    </row>
    <row r="1767" spans="19:22" x14ac:dyDescent="0.45">
      <c r="S1767" t="s">
        <v>277</v>
      </c>
      <c r="T1767" t="s">
        <v>319</v>
      </c>
      <c r="U1767">
        <v>8.0514977036699083E-3</v>
      </c>
      <c r="V1767" t="s">
        <v>163</v>
      </c>
    </row>
    <row r="1768" spans="19:22" x14ac:dyDescent="0.45">
      <c r="S1768" t="s">
        <v>277</v>
      </c>
      <c r="T1768" t="s">
        <v>320</v>
      </c>
      <c r="U1768">
        <v>3.8475895030475923E-2</v>
      </c>
      <c r="V1768" t="s">
        <v>163</v>
      </c>
    </row>
    <row r="1769" spans="19:22" x14ac:dyDescent="0.45">
      <c r="S1769" t="s">
        <v>277</v>
      </c>
      <c r="T1769" t="s">
        <v>321</v>
      </c>
      <c r="U1769">
        <v>3.8307412573402262E-2</v>
      </c>
      <c r="V1769" t="s">
        <v>163</v>
      </c>
    </row>
    <row r="1770" spans="19:22" x14ac:dyDescent="0.45">
      <c r="S1770" t="s">
        <v>277</v>
      </c>
      <c r="T1770" t="s">
        <v>322</v>
      </c>
      <c r="U1770">
        <v>8.8174842043685399E-3</v>
      </c>
      <c r="V1770" t="s">
        <v>163</v>
      </c>
    </row>
    <row r="1771" spans="19:22" x14ac:dyDescent="0.45">
      <c r="S1771" t="s">
        <v>277</v>
      </c>
      <c r="T1771" t="s">
        <v>323</v>
      </c>
      <c r="U1771">
        <v>1.3623483514754463E-2</v>
      </c>
      <c r="V1771" t="s">
        <v>163</v>
      </c>
    </row>
    <row r="1772" spans="19:22" x14ac:dyDescent="0.45">
      <c r="S1772" t="s">
        <v>277</v>
      </c>
      <c r="T1772" t="s">
        <v>324</v>
      </c>
      <c r="U1772">
        <v>2.2768646744950771E-2</v>
      </c>
      <c r="V1772" t="s">
        <v>163</v>
      </c>
    </row>
    <row r="1773" spans="19:22" x14ac:dyDescent="0.45">
      <c r="S1773" t="s">
        <v>277</v>
      </c>
      <c r="T1773" t="s">
        <v>325</v>
      </c>
      <c r="U1773">
        <v>4.7453374542207249E-3</v>
      </c>
      <c r="V1773" t="s">
        <v>163</v>
      </c>
    </row>
    <row r="1774" spans="19:22" x14ac:dyDescent="0.45">
      <c r="S1774" t="s">
        <v>277</v>
      </c>
      <c r="T1774" t="s">
        <v>326</v>
      </c>
      <c r="U1774">
        <v>2.3601471442010181E-2</v>
      </c>
      <c r="V1774" t="s">
        <v>163</v>
      </c>
    </row>
    <row r="1775" spans="19:22" x14ac:dyDescent="0.45">
      <c r="S1775" t="s">
        <v>278</v>
      </c>
      <c r="T1775" t="s">
        <v>162</v>
      </c>
      <c r="U1775">
        <v>0.15563451820595625</v>
      </c>
      <c r="V1775" t="s">
        <v>163</v>
      </c>
    </row>
    <row r="1776" spans="19:22" x14ac:dyDescent="0.45">
      <c r="S1776" t="s">
        <v>278</v>
      </c>
      <c r="T1776" t="s">
        <v>164</v>
      </c>
      <c r="U1776">
        <v>3.4943022618138489E-2</v>
      </c>
      <c r="V1776" t="s">
        <v>163</v>
      </c>
    </row>
    <row r="1777" spans="19:22" x14ac:dyDescent="0.45">
      <c r="S1777" t="s">
        <v>278</v>
      </c>
      <c r="T1777" t="s">
        <v>165</v>
      </c>
      <c r="U1777">
        <v>4.8026463049912017E-2</v>
      </c>
      <c r="V1777" t="s">
        <v>163</v>
      </c>
    </row>
    <row r="1778" spans="19:22" x14ac:dyDescent="0.45">
      <c r="S1778" t="s">
        <v>278</v>
      </c>
      <c r="T1778" t="s">
        <v>297</v>
      </c>
      <c r="U1778">
        <v>8.7585979926023003E-2</v>
      </c>
      <c r="V1778" t="s">
        <v>163</v>
      </c>
    </row>
    <row r="1779" spans="19:22" x14ac:dyDescent="0.45">
      <c r="S1779" t="s">
        <v>278</v>
      </c>
      <c r="T1779" t="s">
        <v>298</v>
      </c>
      <c r="U1779">
        <v>1.9702734561660214E-2</v>
      </c>
      <c r="V1779" t="s">
        <v>163</v>
      </c>
    </row>
    <row r="1780" spans="19:22" x14ac:dyDescent="0.45">
      <c r="S1780" t="s">
        <v>278</v>
      </c>
      <c r="T1780" t="s">
        <v>299</v>
      </c>
      <c r="U1780">
        <v>8.9102066006368885E-2</v>
      </c>
      <c r="V1780" t="s">
        <v>163</v>
      </c>
    </row>
    <row r="1781" spans="19:22" x14ac:dyDescent="0.45">
      <c r="S1781" t="s">
        <v>278</v>
      </c>
      <c r="T1781" t="s">
        <v>166</v>
      </c>
      <c r="U1781">
        <v>2.3447737966816897E-2</v>
      </c>
      <c r="V1781" t="s">
        <v>163</v>
      </c>
    </row>
    <row r="1782" spans="19:22" x14ac:dyDescent="0.45">
      <c r="S1782" t="s">
        <v>278</v>
      </c>
      <c r="T1782" t="s">
        <v>167</v>
      </c>
      <c r="U1782">
        <v>4.6524780109023726E-3</v>
      </c>
      <c r="V1782" t="s">
        <v>163</v>
      </c>
    </row>
    <row r="1783" spans="19:22" x14ac:dyDescent="0.45">
      <c r="S1783" t="s">
        <v>278</v>
      </c>
      <c r="T1783" t="s">
        <v>168</v>
      </c>
      <c r="U1783">
        <v>8.1407874543432696E-3</v>
      </c>
      <c r="V1783" t="s">
        <v>163</v>
      </c>
    </row>
    <row r="1784" spans="19:22" x14ac:dyDescent="0.45">
      <c r="S1784" t="s">
        <v>278</v>
      </c>
      <c r="T1784" t="s">
        <v>300</v>
      </c>
      <c r="U1784">
        <v>1.9209558387138989E-2</v>
      </c>
      <c r="V1784" t="s">
        <v>163</v>
      </c>
    </row>
    <row r="1785" spans="19:22" x14ac:dyDescent="0.45">
      <c r="S1785" t="s">
        <v>278</v>
      </c>
      <c r="T1785" t="s">
        <v>301</v>
      </c>
      <c r="U1785">
        <v>4.2656785865546774E-3</v>
      </c>
      <c r="V1785" t="s">
        <v>163</v>
      </c>
    </row>
    <row r="1786" spans="19:22" x14ac:dyDescent="0.45">
      <c r="S1786" t="s">
        <v>278</v>
      </c>
      <c r="T1786" t="s">
        <v>302</v>
      </c>
      <c r="U1786">
        <v>1.7536319864334418E-2</v>
      </c>
      <c r="V1786" t="s">
        <v>163</v>
      </c>
    </row>
    <row r="1787" spans="19:22" x14ac:dyDescent="0.45">
      <c r="S1787" t="s">
        <v>278</v>
      </c>
      <c r="T1787" t="s">
        <v>169</v>
      </c>
      <c r="U1787">
        <v>1.3921119318741954E-2</v>
      </c>
      <c r="V1787" t="s">
        <v>163</v>
      </c>
    </row>
    <row r="1788" spans="19:22" x14ac:dyDescent="0.45">
      <c r="S1788" t="s">
        <v>278</v>
      </c>
      <c r="T1788" t="s">
        <v>170</v>
      </c>
      <c r="U1788">
        <v>3.4830449493443096E-3</v>
      </c>
      <c r="V1788" t="s">
        <v>163</v>
      </c>
    </row>
    <row r="1789" spans="19:22" x14ac:dyDescent="0.45">
      <c r="S1789" t="s">
        <v>278</v>
      </c>
      <c r="T1789" t="s">
        <v>171</v>
      </c>
      <c r="U1789">
        <v>5.3396525983821054E-3</v>
      </c>
      <c r="V1789" t="s">
        <v>163</v>
      </c>
    </row>
    <row r="1790" spans="19:22" x14ac:dyDescent="0.45">
      <c r="S1790" t="s">
        <v>278</v>
      </c>
      <c r="T1790" t="s">
        <v>303</v>
      </c>
      <c r="U1790">
        <v>1.0379430324661681E-2</v>
      </c>
      <c r="V1790" t="s">
        <v>163</v>
      </c>
    </row>
    <row r="1791" spans="19:22" x14ac:dyDescent="0.45">
      <c r="S1791" t="s">
        <v>278</v>
      </c>
      <c r="T1791" t="s">
        <v>304</v>
      </c>
      <c r="U1791">
        <v>2.2208416366911385E-3</v>
      </c>
      <c r="V1791" t="s">
        <v>163</v>
      </c>
    </row>
    <row r="1792" spans="19:22" x14ac:dyDescent="0.45">
      <c r="S1792" t="s">
        <v>278</v>
      </c>
      <c r="T1792" t="s">
        <v>305</v>
      </c>
      <c r="U1792">
        <v>9.6188813299041553E-3</v>
      </c>
      <c r="V1792" t="s">
        <v>163</v>
      </c>
    </row>
    <row r="1793" spans="19:22" x14ac:dyDescent="0.45">
      <c r="S1793" t="s">
        <v>278</v>
      </c>
      <c r="T1793" t="s">
        <v>172</v>
      </c>
      <c r="U1793">
        <v>3.1645923081872938E-2</v>
      </c>
      <c r="V1793" t="s">
        <v>163</v>
      </c>
    </row>
    <row r="1794" spans="19:22" x14ac:dyDescent="0.45">
      <c r="S1794" t="s">
        <v>278</v>
      </c>
      <c r="T1794" t="s">
        <v>173</v>
      </c>
      <c r="U1794">
        <v>7.0517014507280292E-3</v>
      </c>
      <c r="V1794" t="s">
        <v>163</v>
      </c>
    </row>
    <row r="1795" spans="19:22" x14ac:dyDescent="0.45">
      <c r="S1795" t="s">
        <v>278</v>
      </c>
      <c r="T1795" t="s">
        <v>174</v>
      </c>
      <c r="U1795">
        <v>1.0409470843504678E-2</v>
      </c>
      <c r="V1795" t="s">
        <v>163</v>
      </c>
    </row>
    <row r="1796" spans="19:22" x14ac:dyDescent="0.45">
      <c r="S1796" t="s">
        <v>278</v>
      </c>
      <c r="T1796" t="s">
        <v>306</v>
      </c>
      <c r="U1796">
        <v>2.3468484327214996E-2</v>
      </c>
      <c r="V1796" t="s">
        <v>163</v>
      </c>
    </row>
    <row r="1797" spans="19:22" x14ac:dyDescent="0.45">
      <c r="S1797" t="s">
        <v>278</v>
      </c>
      <c r="T1797" t="s">
        <v>307</v>
      </c>
      <c r="U1797">
        <v>5.2223712589919797E-3</v>
      </c>
      <c r="V1797" t="s">
        <v>163</v>
      </c>
    </row>
    <row r="1798" spans="19:22" x14ac:dyDescent="0.45">
      <c r="S1798" t="s">
        <v>278</v>
      </c>
      <c r="T1798" t="s">
        <v>308</v>
      </c>
      <c r="U1798">
        <v>2.2056453733327413E-2</v>
      </c>
      <c r="V1798" t="s">
        <v>163</v>
      </c>
    </row>
    <row r="1799" spans="19:22" x14ac:dyDescent="0.45">
      <c r="S1799" t="s">
        <v>278</v>
      </c>
      <c r="T1799" t="s">
        <v>309</v>
      </c>
      <c r="U1799">
        <v>2.1183484713731743E-2</v>
      </c>
      <c r="V1799" t="s">
        <v>163</v>
      </c>
    </row>
    <row r="1800" spans="19:22" x14ac:dyDescent="0.45">
      <c r="S1800" t="s">
        <v>278</v>
      </c>
      <c r="T1800" t="s">
        <v>310</v>
      </c>
      <c r="U1800">
        <v>4.9248884370227961E-3</v>
      </c>
      <c r="V1800" t="s">
        <v>163</v>
      </c>
    </row>
    <row r="1801" spans="19:22" x14ac:dyDescent="0.45">
      <c r="S1801" t="s">
        <v>278</v>
      </c>
      <c r="T1801" t="s">
        <v>311</v>
      </c>
      <c r="U1801">
        <v>7.3223655685660024E-3</v>
      </c>
      <c r="V1801" t="s">
        <v>163</v>
      </c>
    </row>
    <row r="1802" spans="19:22" x14ac:dyDescent="0.45">
      <c r="S1802" t="s">
        <v>278</v>
      </c>
      <c r="T1802" t="s">
        <v>312</v>
      </c>
      <c r="U1802">
        <v>1.433938505251226E-2</v>
      </c>
      <c r="V1802" t="s">
        <v>163</v>
      </c>
    </row>
    <row r="1803" spans="19:22" x14ac:dyDescent="0.45">
      <c r="S1803" t="s">
        <v>278</v>
      </c>
      <c r="T1803" t="s">
        <v>313</v>
      </c>
      <c r="U1803">
        <v>3.3936250800634558E-3</v>
      </c>
      <c r="V1803" t="s">
        <v>163</v>
      </c>
    </row>
    <row r="1804" spans="19:22" x14ac:dyDescent="0.45">
      <c r="S1804" t="s">
        <v>278</v>
      </c>
      <c r="T1804" t="s">
        <v>314</v>
      </c>
      <c r="U1804">
        <v>1.4531160071406877E-2</v>
      </c>
      <c r="V1804" t="s">
        <v>163</v>
      </c>
    </row>
    <row r="1805" spans="19:22" x14ac:dyDescent="0.45">
      <c r="S1805" t="s">
        <v>278</v>
      </c>
      <c r="T1805" t="s">
        <v>315</v>
      </c>
      <c r="U1805">
        <v>6.2954719496919762E-2</v>
      </c>
      <c r="V1805" t="s">
        <v>163</v>
      </c>
    </row>
    <row r="1806" spans="19:22" x14ac:dyDescent="0.45">
      <c r="S1806" t="s">
        <v>278</v>
      </c>
      <c r="T1806" t="s">
        <v>316</v>
      </c>
      <c r="U1806">
        <v>1.2540908298295864E-2</v>
      </c>
      <c r="V1806" t="s">
        <v>163</v>
      </c>
    </row>
    <row r="1807" spans="19:22" x14ac:dyDescent="0.45">
      <c r="S1807" t="s">
        <v>278</v>
      </c>
      <c r="T1807" t="s">
        <v>317</v>
      </c>
      <c r="U1807">
        <v>1.9354194834320514E-2</v>
      </c>
      <c r="V1807" t="s">
        <v>163</v>
      </c>
    </row>
    <row r="1808" spans="19:22" x14ac:dyDescent="0.45">
      <c r="S1808" t="s">
        <v>278</v>
      </c>
      <c r="T1808" t="s">
        <v>318</v>
      </c>
      <c r="U1808">
        <v>3.5105564172173864E-2</v>
      </c>
      <c r="V1808" t="s">
        <v>163</v>
      </c>
    </row>
    <row r="1809" spans="19:22" x14ac:dyDescent="0.45">
      <c r="S1809" t="s">
        <v>278</v>
      </c>
      <c r="T1809" t="s">
        <v>319</v>
      </c>
      <c r="U1809">
        <v>7.8314580834242808E-3</v>
      </c>
      <c r="V1809" t="s">
        <v>163</v>
      </c>
    </row>
    <row r="1810" spans="19:22" x14ac:dyDescent="0.45">
      <c r="S1810" t="s">
        <v>278</v>
      </c>
      <c r="T1810" t="s">
        <v>320</v>
      </c>
      <c r="U1810">
        <v>3.7576021261281727E-2</v>
      </c>
      <c r="V1810" t="s">
        <v>163</v>
      </c>
    </row>
    <row r="1811" spans="19:22" x14ac:dyDescent="0.45">
      <c r="S1811" t="s">
        <v>278</v>
      </c>
      <c r="T1811" t="s">
        <v>321</v>
      </c>
      <c r="U1811">
        <v>3.7774780469249286E-2</v>
      </c>
      <c r="V1811" t="s">
        <v>163</v>
      </c>
    </row>
    <row r="1812" spans="19:22" x14ac:dyDescent="0.45">
      <c r="S1812" t="s">
        <v>278</v>
      </c>
      <c r="T1812" t="s">
        <v>322</v>
      </c>
      <c r="U1812">
        <v>8.8918675430381799E-3</v>
      </c>
      <c r="V1812" t="s">
        <v>163</v>
      </c>
    </row>
    <row r="1813" spans="19:22" x14ac:dyDescent="0.45">
      <c r="S1813" t="s">
        <v>278</v>
      </c>
      <c r="T1813" t="s">
        <v>323</v>
      </c>
      <c r="U1813">
        <v>1.195333873828415E-2</v>
      </c>
      <c r="V1813" t="s">
        <v>163</v>
      </c>
    </row>
    <row r="1814" spans="19:22" x14ac:dyDescent="0.45">
      <c r="S1814" t="s">
        <v>278</v>
      </c>
      <c r="T1814" t="s">
        <v>324</v>
      </c>
      <c r="U1814">
        <v>1.8435459744972425E-2</v>
      </c>
      <c r="V1814" t="s">
        <v>163</v>
      </c>
    </row>
    <row r="1815" spans="19:22" x14ac:dyDescent="0.45">
      <c r="S1815" t="s">
        <v>278</v>
      </c>
      <c r="T1815" t="s">
        <v>325</v>
      </c>
      <c r="U1815">
        <v>3.9997081830847924E-3</v>
      </c>
      <c r="V1815" t="s">
        <v>163</v>
      </c>
    </row>
    <row r="1816" spans="19:22" x14ac:dyDescent="0.45">
      <c r="S1816" t="s">
        <v>278</v>
      </c>
      <c r="T1816" t="s">
        <v>326</v>
      </c>
      <c r="U1816">
        <v>2.08223507601362E-2</v>
      </c>
      <c r="V1816" t="s">
        <v>163</v>
      </c>
    </row>
    <row r="1817" spans="19:22" x14ac:dyDescent="0.45">
      <c r="S1817" t="s">
        <v>279</v>
      </c>
      <c r="T1817" t="s">
        <v>162</v>
      </c>
      <c r="U1817">
        <v>0.1448581933625557</v>
      </c>
      <c r="V1817" t="s">
        <v>163</v>
      </c>
    </row>
    <row r="1818" spans="19:22" x14ac:dyDescent="0.45">
      <c r="S1818" t="s">
        <v>279</v>
      </c>
      <c r="T1818" t="s">
        <v>164</v>
      </c>
      <c r="U1818">
        <v>3.2924100583899399E-2</v>
      </c>
      <c r="V1818" t="s">
        <v>163</v>
      </c>
    </row>
    <row r="1819" spans="19:22" x14ac:dyDescent="0.45">
      <c r="S1819" t="s">
        <v>279</v>
      </c>
      <c r="T1819" t="s">
        <v>165</v>
      </c>
      <c r="U1819">
        <v>4.5664870143562075E-2</v>
      </c>
      <c r="V1819" t="s">
        <v>163</v>
      </c>
    </row>
    <row r="1820" spans="19:22" x14ac:dyDescent="0.45">
      <c r="S1820" t="s">
        <v>279</v>
      </c>
      <c r="T1820" t="s">
        <v>297</v>
      </c>
      <c r="U1820">
        <v>7.9030397549333706E-2</v>
      </c>
      <c r="V1820" t="s">
        <v>163</v>
      </c>
    </row>
    <row r="1821" spans="19:22" x14ac:dyDescent="0.45">
      <c r="S1821" t="s">
        <v>279</v>
      </c>
      <c r="T1821" t="s">
        <v>298</v>
      </c>
      <c r="U1821">
        <v>1.7369831733065479E-2</v>
      </c>
      <c r="V1821" t="s">
        <v>163</v>
      </c>
    </row>
    <row r="1822" spans="19:22" x14ac:dyDescent="0.45">
      <c r="S1822" t="s">
        <v>279</v>
      </c>
      <c r="T1822" t="s">
        <v>299</v>
      </c>
      <c r="U1822">
        <v>8.4346584643733388E-2</v>
      </c>
      <c r="V1822" t="s">
        <v>163</v>
      </c>
    </row>
    <row r="1823" spans="19:22" x14ac:dyDescent="0.45">
      <c r="S1823" t="s">
        <v>279</v>
      </c>
      <c r="T1823" t="s">
        <v>166</v>
      </c>
      <c r="U1823">
        <v>2.2024006153536023E-2</v>
      </c>
      <c r="V1823" t="s">
        <v>163</v>
      </c>
    </row>
    <row r="1824" spans="19:22" x14ac:dyDescent="0.45">
      <c r="S1824" t="s">
        <v>279</v>
      </c>
      <c r="T1824" t="s">
        <v>167</v>
      </c>
      <c r="U1824">
        <v>4.4289591712051895E-3</v>
      </c>
      <c r="V1824" t="s">
        <v>163</v>
      </c>
    </row>
    <row r="1825" spans="19:22" x14ac:dyDescent="0.45">
      <c r="S1825" t="s">
        <v>279</v>
      </c>
      <c r="T1825" t="s">
        <v>168</v>
      </c>
      <c r="U1825">
        <v>7.5883841035796085E-3</v>
      </c>
      <c r="V1825" t="s">
        <v>163</v>
      </c>
    </row>
    <row r="1826" spans="19:22" x14ac:dyDescent="0.45">
      <c r="S1826" t="s">
        <v>279</v>
      </c>
      <c r="T1826" t="s">
        <v>300</v>
      </c>
      <c r="U1826">
        <v>1.4611063175604014E-2</v>
      </c>
      <c r="V1826" t="s">
        <v>163</v>
      </c>
    </row>
    <row r="1827" spans="19:22" x14ac:dyDescent="0.45">
      <c r="S1827" t="s">
        <v>279</v>
      </c>
      <c r="T1827" t="s">
        <v>301</v>
      </c>
      <c r="U1827">
        <v>3.2983980381380232E-3</v>
      </c>
      <c r="V1827" t="s">
        <v>163</v>
      </c>
    </row>
    <row r="1828" spans="19:22" x14ac:dyDescent="0.45">
      <c r="S1828" t="s">
        <v>279</v>
      </c>
      <c r="T1828" t="s">
        <v>302</v>
      </c>
      <c r="U1828">
        <v>1.5186210033447358E-2</v>
      </c>
      <c r="V1828" t="s">
        <v>163</v>
      </c>
    </row>
    <row r="1829" spans="19:22" x14ac:dyDescent="0.45">
      <c r="S1829" t="s">
        <v>279</v>
      </c>
      <c r="T1829" t="s">
        <v>169</v>
      </c>
      <c r="U1829">
        <v>2.0692851368218829E-2</v>
      </c>
      <c r="V1829" t="s">
        <v>163</v>
      </c>
    </row>
    <row r="1830" spans="19:22" x14ac:dyDescent="0.45">
      <c r="S1830" t="s">
        <v>279</v>
      </c>
      <c r="T1830" t="s">
        <v>170</v>
      </c>
      <c r="U1830">
        <v>4.5256226353782014E-3</v>
      </c>
      <c r="V1830" t="s">
        <v>163</v>
      </c>
    </row>
    <row r="1831" spans="19:22" x14ac:dyDescent="0.45">
      <c r="S1831" t="s">
        <v>279</v>
      </c>
      <c r="T1831" t="s">
        <v>171</v>
      </c>
      <c r="U1831">
        <v>6.7002367879589689E-3</v>
      </c>
      <c r="V1831" t="s">
        <v>163</v>
      </c>
    </row>
    <row r="1832" spans="19:22" x14ac:dyDescent="0.45">
      <c r="S1832" t="s">
        <v>279</v>
      </c>
      <c r="T1832" t="s">
        <v>303</v>
      </c>
      <c r="U1832">
        <v>1.2169983025945434E-2</v>
      </c>
      <c r="V1832" t="s">
        <v>163</v>
      </c>
    </row>
    <row r="1833" spans="19:22" x14ac:dyDescent="0.45">
      <c r="S1833" t="s">
        <v>279</v>
      </c>
      <c r="T1833" t="s">
        <v>304</v>
      </c>
      <c r="U1833">
        <v>2.6550678458324554E-3</v>
      </c>
      <c r="V1833" t="s">
        <v>163</v>
      </c>
    </row>
    <row r="1834" spans="19:22" x14ac:dyDescent="0.45">
      <c r="S1834" t="s">
        <v>279</v>
      </c>
      <c r="T1834" t="s">
        <v>305</v>
      </c>
      <c r="U1834">
        <v>1.3126970430345275E-2</v>
      </c>
      <c r="V1834" t="s">
        <v>163</v>
      </c>
    </row>
    <row r="1835" spans="19:22" x14ac:dyDescent="0.45">
      <c r="S1835" t="s">
        <v>279</v>
      </c>
      <c r="T1835" t="s">
        <v>172</v>
      </c>
      <c r="U1835">
        <v>3.9672417479372737E-2</v>
      </c>
      <c r="V1835" t="s">
        <v>163</v>
      </c>
    </row>
    <row r="1836" spans="19:22" x14ac:dyDescent="0.45">
      <c r="S1836" t="s">
        <v>279</v>
      </c>
      <c r="T1836" t="s">
        <v>173</v>
      </c>
      <c r="U1836">
        <v>8.2431501309754313E-3</v>
      </c>
      <c r="V1836" t="s">
        <v>163</v>
      </c>
    </row>
    <row r="1837" spans="19:22" x14ac:dyDescent="0.45">
      <c r="S1837" t="s">
        <v>279</v>
      </c>
      <c r="T1837" t="s">
        <v>174</v>
      </c>
      <c r="U1837">
        <v>1.2028988314322588E-2</v>
      </c>
      <c r="V1837" t="s">
        <v>163</v>
      </c>
    </row>
    <row r="1838" spans="19:22" x14ac:dyDescent="0.45">
      <c r="S1838" t="s">
        <v>279</v>
      </c>
      <c r="T1838" t="s">
        <v>306</v>
      </c>
      <c r="U1838">
        <v>2.6223006605564061E-2</v>
      </c>
      <c r="V1838" t="s">
        <v>163</v>
      </c>
    </row>
    <row r="1839" spans="19:22" x14ac:dyDescent="0.45">
      <c r="S1839" t="s">
        <v>279</v>
      </c>
      <c r="T1839" t="s">
        <v>307</v>
      </c>
      <c r="U1839">
        <v>5.9439792702635306E-3</v>
      </c>
      <c r="V1839" t="s">
        <v>163</v>
      </c>
    </row>
    <row r="1840" spans="19:22" x14ac:dyDescent="0.45">
      <c r="S1840" t="s">
        <v>279</v>
      </c>
      <c r="T1840" t="s">
        <v>308</v>
      </c>
      <c r="U1840">
        <v>2.7801521727200951E-2</v>
      </c>
      <c r="V1840" t="s">
        <v>163</v>
      </c>
    </row>
    <row r="1841" spans="19:22" x14ac:dyDescent="0.45">
      <c r="S1841" t="s">
        <v>279</v>
      </c>
      <c r="T1841" t="s">
        <v>309</v>
      </c>
      <c r="U1841">
        <v>2.4466708685264935E-2</v>
      </c>
      <c r="V1841" t="s">
        <v>163</v>
      </c>
    </row>
    <row r="1842" spans="19:22" x14ac:dyDescent="0.45">
      <c r="S1842" t="s">
        <v>279</v>
      </c>
      <c r="T1842" t="s">
        <v>310</v>
      </c>
      <c r="U1842">
        <v>5.542812988129915E-3</v>
      </c>
      <c r="V1842" t="s">
        <v>163</v>
      </c>
    </row>
    <row r="1843" spans="19:22" x14ac:dyDescent="0.45">
      <c r="S1843" t="s">
        <v>279</v>
      </c>
      <c r="T1843" t="s">
        <v>311</v>
      </c>
      <c r="U1843">
        <v>8.6295813363210603E-3</v>
      </c>
      <c r="V1843" t="s">
        <v>163</v>
      </c>
    </row>
    <row r="1844" spans="19:22" x14ac:dyDescent="0.45">
      <c r="S1844" t="s">
        <v>279</v>
      </c>
      <c r="T1844" t="s">
        <v>312</v>
      </c>
      <c r="U1844">
        <v>1.5445886890373243E-2</v>
      </c>
      <c r="V1844" t="s">
        <v>163</v>
      </c>
    </row>
    <row r="1845" spans="19:22" x14ac:dyDescent="0.45">
      <c r="S1845" t="s">
        <v>279</v>
      </c>
      <c r="T1845" t="s">
        <v>313</v>
      </c>
      <c r="U1845">
        <v>3.2881147308828624E-3</v>
      </c>
      <c r="V1845" t="s">
        <v>163</v>
      </c>
    </row>
    <row r="1846" spans="19:22" x14ac:dyDescent="0.45">
      <c r="S1846" t="s">
        <v>279</v>
      </c>
      <c r="T1846" t="s">
        <v>314</v>
      </c>
      <c r="U1846">
        <v>1.5126057442607191E-2</v>
      </c>
      <c r="V1846" t="s">
        <v>163</v>
      </c>
    </row>
    <row r="1847" spans="19:22" x14ac:dyDescent="0.45">
      <c r="S1847" t="s">
        <v>279</v>
      </c>
      <c r="T1847" t="s">
        <v>315</v>
      </c>
      <c r="U1847">
        <v>6.4261860327831571E-2</v>
      </c>
      <c r="V1847" t="s">
        <v>163</v>
      </c>
    </row>
    <row r="1848" spans="19:22" x14ac:dyDescent="0.45">
      <c r="S1848" t="s">
        <v>279</v>
      </c>
      <c r="T1848" t="s">
        <v>316</v>
      </c>
      <c r="U1848">
        <v>1.4184490586310395E-2</v>
      </c>
      <c r="V1848" t="s">
        <v>163</v>
      </c>
    </row>
    <row r="1849" spans="19:22" x14ac:dyDescent="0.45">
      <c r="S1849" t="s">
        <v>279</v>
      </c>
      <c r="T1849" t="s">
        <v>317</v>
      </c>
      <c r="U1849">
        <v>2.1888216809757034E-2</v>
      </c>
      <c r="V1849" t="s">
        <v>163</v>
      </c>
    </row>
    <row r="1850" spans="19:22" x14ac:dyDescent="0.45">
      <c r="S1850" t="s">
        <v>279</v>
      </c>
      <c r="T1850" t="s">
        <v>318</v>
      </c>
      <c r="U1850">
        <v>3.80065898805277E-2</v>
      </c>
      <c r="V1850" t="s">
        <v>163</v>
      </c>
    </row>
    <row r="1851" spans="19:22" x14ac:dyDescent="0.45">
      <c r="S1851" t="s">
        <v>279</v>
      </c>
      <c r="T1851" t="s">
        <v>319</v>
      </c>
      <c r="U1851">
        <v>8.0683857336816354E-3</v>
      </c>
      <c r="V1851" t="s">
        <v>163</v>
      </c>
    </row>
    <row r="1852" spans="19:22" x14ac:dyDescent="0.45">
      <c r="S1852" t="s">
        <v>279</v>
      </c>
      <c r="T1852" t="s">
        <v>320</v>
      </c>
      <c r="U1852">
        <v>3.6705949847136779E-2</v>
      </c>
      <c r="V1852" t="s">
        <v>163</v>
      </c>
    </row>
    <row r="1853" spans="19:22" x14ac:dyDescent="0.45">
      <c r="S1853" t="s">
        <v>279</v>
      </c>
      <c r="T1853" t="s">
        <v>321</v>
      </c>
      <c r="U1853">
        <v>3.3031689945341877E-2</v>
      </c>
      <c r="V1853" t="s">
        <v>163</v>
      </c>
    </row>
    <row r="1854" spans="19:22" x14ac:dyDescent="0.45">
      <c r="S1854" t="s">
        <v>279</v>
      </c>
      <c r="T1854" t="s">
        <v>322</v>
      </c>
      <c r="U1854">
        <v>8.0906641095339956E-3</v>
      </c>
      <c r="V1854" t="s">
        <v>163</v>
      </c>
    </row>
    <row r="1855" spans="19:22" x14ac:dyDescent="0.45">
      <c r="S1855" t="s">
        <v>279</v>
      </c>
      <c r="T1855" t="s">
        <v>323</v>
      </c>
      <c r="U1855">
        <v>1.1068997460097634E-2</v>
      </c>
      <c r="V1855" t="s">
        <v>163</v>
      </c>
    </row>
    <row r="1856" spans="19:22" x14ac:dyDescent="0.45">
      <c r="S1856" t="s">
        <v>279</v>
      </c>
      <c r="T1856" t="s">
        <v>324</v>
      </c>
      <c r="U1856">
        <v>1.7323290134592426E-2</v>
      </c>
      <c r="V1856" t="s">
        <v>163</v>
      </c>
    </row>
    <row r="1857" spans="19:22" x14ac:dyDescent="0.45">
      <c r="S1857" t="s">
        <v>279</v>
      </c>
      <c r="T1857" t="s">
        <v>325</v>
      </c>
      <c r="U1857">
        <v>3.7163123759411478E-3</v>
      </c>
      <c r="V1857" t="s">
        <v>163</v>
      </c>
    </row>
    <row r="1858" spans="19:22" x14ac:dyDescent="0.45">
      <c r="S1858" t="s">
        <v>279</v>
      </c>
      <c r="T1858" t="s">
        <v>326</v>
      </c>
      <c r="U1858">
        <v>2.0039596402631126E-2</v>
      </c>
      <c r="V1858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4180-85C0-4AB8-9DDC-E8026662895C}">
  <dimension ref="A9:AN5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108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123</v>
      </c>
      <c r="K10" t="s">
        <v>160</v>
      </c>
      <c r="L10" t="s">
        <v>30</v>
      </c>
      <c r="N10" t="s">
        <v>13</v>
      </c>
      <c r="O10" t="s">
        <v>123</v>
      </c>
      <c r="P10" t="s">
        <v>160</v>
      </c>
      <c r="Q10" t="s">
        <v>30</v>
      </c>
      <c r="S10" t="s">
        <v>13</v>
      </c>
      <c r="T10" t="s">
        <v>123</v>
      </c>
      <c r="U10" t="s">
        <v>160</v>
      </c>
      <c r="V10" t="s">
        <v>30</v>
      </c>
      <c r="X10" t="s">
        <v>280</v>
      </c>
      <c r="Y10" t="s">
        <v>160</v>
      </c>
      <c r="Z10" t="s">
        <v>123</v>
      </c>
      <c r="AA10" t="s">
        <v>13</v>
      </c>
      <c r="AC10" t="s">
        <v>13</v>
      </c>
      <c r="AD10" t="s">
        <v>123</v>
      </c>
      <c r="AE10" t="s">
        <v>160</v>
      </c>
      <c r="AG10" t="s">
        <v>13</v>
      </c>
      <c r="AH10" t="s">
        <v>123</v>
      </c>
      <c r="AI10" t="s">
        <v>286</v>
      </c>
      <c r="AK10" t="s">
        <v>47</v>
      </c>
      <c r="AL10" t="s">
        <v>123</v>
      </c>
      <c r="AM10" t="s">
        <v>287</v>
      </c>
      <c r="AN10" t="s">
        <v>288</v>
      </c>
    </row>
    <row r="11" spans="1:40" x14ac:dyDescent="0.45">
      <c r="A11" t="str">
        <f>IFERROR(IF(Veda!D5=A10,"ok","x"),"")</f>
        <v>ok</v>
      </c>
      <c r="C11" t="s">
        <v>329</v>
      </c>
      <c r="D11" t="s">
        <v>152</v>
      </c>
      <c r="E11" t="s">
        <v>330</v>
      </c>
      <c r="F11" t="s">
        <v>329</v>
      </c>
      <c r="G11" t="s">
        <v>152</v>
      </c>
      <c r="I11" t="s">
        <v>161</v>
      </c>
      <c r="J11" t="s">
        <v>331</v>
      </c>
      <c r="K11">
        <v>0.99999999999999967</v>
      </c>
      <c r="L11" t="s">
        <v>163</v>
      </c>
      <c r="N11" t="s">
        <v>205</v>
      </c>
      <c r="O11" t="s">
        <v>331</v>
      </c>
      <c r="P11">
        <v>0.99999999999999922</v>
      </c>
      <c r="Q11" t="s">
        <v>163</v>
      </c>
      <c r="S11" t="s">
        <v>236</v>
      </c>
      <c r="T11" t="s">
        <v>331</v>
      </c>
      <c r="U11">
        <v>1.0000000000000007</v>
      </c>
      <c r="V11" t="s">
        <v>163</v>
      </c>
      <c r="X11">
        <v>1</v>
      </c>
      <c r="Y11">
        <v>1.0000000000000002</v>
      </c>
      <c r="Z11" t="s">
        <v>331</v>
      </c>
      <c r="AA11" t="s">
        <v>25</v>
      </c>
      <c r="AC11" t="s">
        <v>22</v>
      </c>
      <c r="AD11" t="s">
        <v>331</v>
      </c>
      <c r="AE11">
        <v>1</v>
      </c>
      <c r="AG11" t="s">
        <v>98</v>
      </c>
      <c r="AH11" t="s">
        <v>331</v>
      </c>
      <c r="AI11">
        <v>0.46052005111059247</v>
      </c>
      <c r="AK11">
        <v>2020</v>
      </c>
      <c r="AL11" t="s">
        <v>329</v>
      </c>
      <c r="AM11">
        <v>0.30535401969734755</v>
      </c>
      <c r="AN11" t="s">
        <v>289</v>
      </c>
    </row>
    <row r="12" spans="1:40" x14ac:dyDescent="0.45">
      <c r="I12" t="s">
        <v>175</v>
      </c>
      <c r="J12" t="s">
        <v>331</v>
      </c>
      <c r="K12">
        <v>0.99999999999999878</v>
      </c>
      <c r="L12" t="s">
        <v>163</v>
      </c>
      <c r="N12" t="s">
        <v>206</v>
      </c>
      <c r="O12" t="s">
        <v>331</v>
      </c>
      <c r="P12">
        <v>0.99999999999999867</v>
      </c>
      <c r="Q12" t="s">
        <v>163</v>
      </c>
      <c r="S12" t="s">
        <v>237</v>
      </c>
      <c r="T12" t="s">
        <v>331</v>
      </c>
      <c r="U12">
        <v>1.0000000000000027</v>
      </c>
      <c r="V12" t="s">
        <v>163</v>
      </c>
      <c r="AC12" t="s">
        <v>19</v>
      </c>
      <c r="AD12" t="s">
        <v>331</v>
      </c>
      <c r="AE12">
        <v>1</v>
      </c>
      <c r="AK12">
        <v>2021</v>
      </c>
      <c r="AL12" t="s">
        <v>329</v>
      </c>
      <c r="AM12">
        <v>0.30699614484801702</v>
      </c>
      <c r="AN12" t="s">
        <v>289</v>
      </c>
    </row>
    <row r="13" spans="1:40" x14ac:dyDescent="0.45">
      <c r="I13" t="s">
        <v>176</v>
      </c>
      <c r="J13" t="s">
        <v>331</v>
      </c>
      <c r="K13">
        <v>0.99999999999999722</v>
      </c>
      <c r="L13" t="s">
        <v>163</v>
      </c>
      <c r="N13" t="s">
        <v>207</v>
      </c>
      <c r="O13" t="s">
        <v>331</v>
      </c>
      <c r="P13">
        <v>1.0000000000000013</v>
      </c>
      <c r="Q13" t="s">
        <v>163</v>
      </c>
      <c r="S13" t="s">
        <v>238</v>
      </c>
      <c r="T13" t="s">
        <v>331</v>
      </c>
      <c r="U13">
        <v>0.99999999999999845</v>
      </c>
      <c r="V13" t="s">
        <v>163</v>
      </c>
      <c r="AK13">
        <v>2022</v>
      </c>
      <c r="AL13" t="s">
        <v>329</v>
      </c>
      <c r="AM13">
        <v>0.28403614521636716</v>
      </c>
      <c r="AN13" t="s">
        <v>289</v>
      </c>
    </row>
    <row r="14" spans="1:40" x14ac:dyDescent="0.45">
      <c r="I14" t="s">
        <v>177</v>
      </c>
      <c r="J14" t="s">
        <v>331</v>
      </c>
      <c r="K14">
        <v>1.0000000000000011</v>
      </c>
      <c r="L14" t="s">
        <v>163</v>
      </c>
      <c r="N14" t="s">
        <v>208</v>
      </c>
      <c r="O14" t="s">
        <v>331</v>
      </c>
      <c r="P14">
        <v>1</v>
      </c>
      <c r="Q14" t="s">
        <v>163</v>
      </c>
      <c r="S14" t="s">
        <v>239</v>
      </c>
      <c r="T14" t="s">
        <v>331</v>
      </c>
      <c r="U14">
        <v>0.99999999999999933</v>
      </c>
      <c r="V14" t="s">
        <v>163</v>
      </c>
      <c r="AK14">
        <v>2025</v>
      </c>
      <c r="AL14" t="s">
        <v>329</v>
      </c>
      <c r="AM14">
        <v>0.24374166666666666</v>
      </c>
      <c r="AN14" t="s">
        <v>289</v>
      </c>
    </row>
    <row r="15" spans="1:40" x14ac:dyDescent="0.45">
      <c r="I15" t="s">
        <v>178</v>
      </c>
      <c r="J15" t="s">
        <v>331</v>
      </c>
      <c r="K15">
        <v>0.99999999999999689</v>
      </c>
      <c r="L15" t="s">
        <v>163</v>
      </c>
      <c r="N15" t="s">
        <v>209</v>
      </c>
      <c r="O15" t="s">
        <v>331</v>
      </c>
      <c r="P15">
        <v>1.0000000000000004</v>
      </c>
      <c r="Q15" t="s">
        <v>163</v>
      </c>
      <c r="S15" t="s">
        <v>240</v>
      </c>
      <c r="T15" t="s">
        <v>331</v>
      </c>
      <c r="U15">
        <v>1.0000000000000011</v>
      </c>
      <c r="V15" t="s">
        <v>163</v>
      </c>
      <c r="AK15">
        <v>2026</v>
      </c>
      <c r="AL15" t="s">
        <v>329</v>
      </c>
      <c r="AM15">
        <v>0.24279166666666666</v>
      </c>
      <c r="AN15" t="s">
        <v>289</v>
      </c>
    </row>
    <row r="16" spans="1:40" x14ac:dyDescent="0.45">
      <c r="I16" t="s">
        <v>179</v>
      </c>
      <c r="J16" t="s">
        <v>331</v>
      </c>
      <c r="K16">
        <v>0.99999999999999911</v>
      </c>
      <c r="L16" t="s">
        <v>163</v>
      </c>
      <c r="N16" t="s">
        <v>210</v>
      </c>
      <c r="O16" t="s">
        <v>331</v>
      </c>
      <c r="P16">
        <v>1.0000000000000009</v>
      </c>
      <c r="Q16" t="s">
        <v>163</v>
      </c>
      <c r="S16" t="s">
        <v>241</v>
      </c>
      <c r="T16" t="s">
        <v>331</v>
      </c>
      <c r="U16">
        <v>0.99999999999999745</v>
      </c>
      <c r="V16" t="s">
        <v>163</v>
      </c>
      <c r="AK16">
        <v>2027</v>
      </c>
      <c r="AL16" t="s">
        <v>329</v>
      </c>
      <c r="AM16">
        <v>0.24156666666666668</v>
      </c>
      <c r="AN16" t="s">
        <v>289</v>
      </c>
    </row>
    <row r="17" spans="9:40" x14ac:dyDescent="0.45">
      <c r="I17" t="s">
        <v>180</v>
      </c>
      <c r="J17" t="s">
        <v>331</v>
      </c>
      <c r="K17">
        <v>0.99999999999999933</v>
      </c>
      <c r="L17" t="s">
        <v>163</v>
      </c>
      <c r="N17" t="s">
        <v>211</v>
      </c>
      <c r="O17" t="s">
        <v>331</v>
      </c>
      <c r="P17">
        <v>1.0000000000000002</v>
      </c>
      <c r="Q17" t="s">
        <v>163</v>
      </c>
      <c r="S17" t="s">
        <v>242</v>
      </c>
      <c r="T17" t="s">
        <v>331</v>
      </c>
      <c r="U17">
        <v>0.999999999999998</v>
      </c>
      <c r="V17" t="s">
        <v>163</v>
      </c>
      <c r="AK17">
        <v>2028</v>
      </c>
      <c r="AL17" t="s">
        <v>329</v>
      </c>
      <c r="AM17">
        <v>0.24865000000000004</v>
      </c>
      <c r="AN17" t="s">
        <v>289</v>
      </c>
    </row>
    <row r="18" spans="9:40" x14ac:dyDescent="0.45">
      <c r="I18" t="s">
        <v>181</v>
      </c>
      <c r="J18" t="s">
        <v>331</v>
      </c>
      <c r="K18">
        <v>1.0000000000000018</v>
      </c>
      <c r="L18" t="s">
        <v>163</v>
      </c>
      <c r="N18" t="s">
        <v>212</v>
      </c>
      <c r="O18" t="s">
        <v>331</v>
      </c>
      <c r="P18">
        <v>0.99999999999999523</v>
      </c>
      <c r="Q18" t="s">
        <v>163</v>
      </c>
      <c r="S18" t="s">
        <v>243</v>
      </c>
      <c r="T18" t="s">
        <v>331</v>
      </c>
      <c r="U18">
        <v>1.0000000000000009</v>
      </c>
      <c r="V18" t="s">
        <v>163</v>
      </c>
      <c r="AK18">
        <v>2029</v>
      </c>
      <c r="AL18" t="s">
        <v>329</v>
      </c>
      <c r="AM18">
        <v>0.29857499999999998</v>
      </c>
      <c r="AN18" t="s">
        <v>289</v>
      </c>
    </row>
    <row r="19" spans="9:40" x14ac:dyDescent="0.45">
      <c r="I19" t="s">
        <v>182</v>
      </c>
      <c r="J19" t="s">
        <v>331</v>
      </c>
      <c r="K19">
        <v>1.0000000000000022</v>
      </c>
      <c r="L19" t="s">
        <v>163</v>
      </c>
      <c r="N19" t="s">
        <v>213</v>
      </c>
      <c r="O19" t="s">
        <v>331</v>
      </c>
      <c r="P19">
        <v>1.0000000000000007</v>
      </c>
      <c r="Q19" t="s">
        <v>163</v>
      </c>
      <c r="S19" t="s">
        <v>244</v>
      </c>
      <c r="T19" t="s">
        <v>331</v>
      </c>
      <c r="U19">
        <v>1.0000000000000036</v>
      </c>
      <c r="V19" t="s">
        <v>163</v>
      </c>
      <c r="AK19">
        <v>2030</v>
      </c>
      <c r="AL19" t="s">
        <v>329</v>
      </c>
      <c r="AM19">
        <v>0.29982500000000001</v>
      </c>
      <c r="AN19" t="s">
        <v>289</v>
      </c>
    </row>
    <row r="20" spans="9:40" x14ac:dyDescent="0.45">
      <c r="I20" t="s">
        <v>183</v>
      </c>
      <c r="J20" t="s">
        <v>331</v>
      </c>
      <c r="K20">
        <v>1.0000000000000009</v>
      </c>
      <c r="L20" t="s">
        <v>163</v>
      </c>
      <c r="N20" t="s">
        <v>214</v>
      </c>
      <c r="O20" t="s">
        <v>331</v>
      </c>
      <c r="P20">
        <v>0.99999999999999867</v>
      </c>
      <c r="Q20" t="s">
        <v>163</v>
      </c>
      <c r="S20" t="s">
        <v>245</v>
      </c>
      <c r="T20" t="s">
        <v>331</v>
      </c>
      <c r="U20">
        <v>0.99999999999999722</v>
      </c>
      <c r="V20" t="s">
        <v>163</v>
      </c>
      <c r="AK20">
        <v>2031</v>
      </c>
      <c r="AL20" t="s">
        <v>329</v>
      </c>
      <c r="AM20">
        <v>0.29724999999999996</v>
      </c>
      <c r="AN20" t="s">
        <v>289</v>
      </c>
    </row>
    <row r="21" spans="9:40" x14ac:dyDescent="0.45">
      <c r="I21" t="s">
        <v>184</v>
      </c>
      <c r="J21" t="s">
        <v>331</v>
      </c>
      <c r="K21">
        <v>1.0000000000000011</v>
      </c>
      <c r="L21" t="s">
        <v>163</v>
      </c>
      <c r="N21" t="s">
        <v>215</v>
      </c>
      <c r="O21" t="s">
        <v>331</v>
      </c>
      <c r="P21">
        <v>0.99999999999999845</v>
      </c>
      <c r="Q21" t="s">
        <v>163</v>
      </c>
      <c r="S21" t="s">
        <v>246</v>
      </c>
      <c r="T21" t="s">
        <v>331</v>
      </c>
      <c r="U21">
        <v>1.0000000000000031</v>
      </c>
      <c r="V21" t="s">
        <v>163</v>
      </c>
      <c r="AK21">
        <v>2032</v>
      </c>
      <c r="AL21" t="s">
        <v>329</v>
      </c>
      <c r="AM21">
        <v>0.29033333333333328</v>
      </c>
      <c r="AN21" t="s">
        <v>289</v>
      </c>
    </row>
    <row r="22" spans="9:40" x14ac:dyDescent="0.45">
      <c r="I22" t="s">
        <v>185</v>
      </c>
      <c r="J22" t="s">
        <v>331</v>
      </c>
      <c r="K22">
        <v>0.99999999999999922</v>
      </c>
      <c r="L22" t="s">
        <v>163</v>
      </c>
      <c r="N22" t="s">
        <v>216</v>
      </c>
      <c r="O22" t="s">
        <v>331</v>
      </c>
      <c r="P22">
        <v>0.99999999999999845</v>
      </c>
      <c r="Q22" t="s">
        <v>163</v>
      </c>
      <c r="S22" t="s">
        <v>247</v>
      </c>
      <c r="T22" t="s">
        <v>331</v>
      </c>
      <c r="U22">
        <v>1.0000000000000007</v>
      </c>
      <c r="V22" t="s">
        <v>163</v>
      </c>
      <c r="AK22">
        <v>2033</v>
      </c>
      <c r="AL22" t="s">
        <v>329</v>
      </c>
      <c r="AM22">
        <v>0.28668333333333335</v>
      </c>
      <c r="AN22" t="s">
        <v>289</v>
      </c>
    </row>
    <row r="23" spans="9:40" x14ac:dyDescent="0.45">
      <c r="I23" t="s">
        <v>186</v>
      </c>
      <c r="J23" t="s">
        <v>331</v>
      </c>
      <c r="K23">
        <v>1.0000000000000002</v>
      </c>
      <c r="L23" t="s">
        <v>163</v>
      </c>
      <c r="N23" t="s">
        <v>217</v>
      </c>
      <c r="O23" t="s">
        <v>331</v>
      </c>
      <c r="P23">
        <v>0.999999999999997</v>
      </c>
      <c r="Q23" t="s">
        <v>163</v>
      </c>
      <c r="S23" t="s">
        <v>248</v>
      </c>
      <c r="T23" t="s">
        <v>331</v>
      </c>
      <c r="U23">
        <v>1.0000000000000013</v>
      </c>
      <c r="V23" t="s">
        <v>163</v>
      </c>
      <c r="AK23">
        <v>2034</v>
      </c>
      <c r="AL23" t="s">
        <v>329</v>
      </c>
      <c r="AM23">
        <v>0.29926666666666668</v>
      </c>
      <c r="AN23" t="s">
        <v>289</v>
      </c>
    </row>
    <row r="24" spans="9:40" x14ac:dyDescent="0.45">
      <c r="I24" t="s">
        <v>187</v>
      </c>
      <c r="J24" t="s">
        <v>331</v>
      </c>
      <c r="K24">
        <v>0.99999999999999833</v>
      </c>
      <c r="L24" t="s">
        <v>163</v>
      </c>
      <c r="N24" t="s">
        <v>218</v>
      </c>
      <c r="O24" t="s">
        <v>331</v>
      </c>
      <c r="P24">
        <v>0.99999999999999778</v>
      </c>
      <c r="Q24" t="s">
        <v>163</v>
      </c>
      <c r="S24" t="s">
        <v>249</v>
      </c>
      <c r="T24" t="s">
        <v>331</v>
      </c>
      <c r="U24">
        <v>1</v>
      </c>
      <c r="V24" t="s">
        <v>163</v>
      </c>
      <c r="AK24">
        <v>2035</v>
      </c>
      <c r="AL24" t="s">
        <v>329</v>
      </c>
      <c r="AM24">
        <v>0.28968333333333335</v>
      </c>
      <c r="AN24" t="s">
        <v>289</v>
      </c>
    </row>
    <row r="25" spans="9:40" x14ac:dyDescent="0.45">
      <c r="I25" t="s">
        <v>188</v>
      </c>
      <c r="J25" t="s">
        <v>331</v>
      </c>
      <c r="K25">
        <v>1.0000000000000016</v>
      </c>
      <c r="L25" t="s">
        <v>163</v>
      </c>
      <c r="N25" t="s">
        <v>219</v>
      </c>
      <c r="O25" t="s">
        <v>331</v>
      </c>
      <c r="P25">
        <v>1.000000000000002</v>
      </c>
      <c r="Q25" t="s">
        <v>163</v>
      </c>
      <c r="S25" t="s">
        <v>250</v>
      </c>
      <c r="T25" t="s">
        <v>331</v>
      </c>
      <c r="U25">
        <v>1.0000000000000007</v>
      </c>
      <c r="V25" t="s">
        <v>163</v>
      </c>
      <c r="AK25">
        <v>2036</v>
      </c>
      <c r="AL25" t="s">
        <v>329</v>
      </c>
      <c r="AM25">
        <v>0.29370000000000002</v>
      </c>
      <c r="AN25" t="s">
        <v>289</v>
      </c>
    </row>
    <row r="26" spans="9:40" x14ac:dyDescent="0.45">
      <c r="I26" t="s">
        <v>189</v>
      </c>
      <c r="J26" t="s">
        <v>331</v>
      </c>
      <c r="K26">
        <v>0.99999999999999845</v>
      </c>
      <c r="L26" t="s">
        <v>163</v>
      </c>
      <c r="N26" t="s">
        <v>220</v>
      </c>
      <c r="O26" t="s">
        <v>331</v>
      </c>
      <c r="P26">
        <v>0.99999999999999878</v>
      </c>
      <c r="Q26" t="s">
        <v>163</v>
      </c>
      <c r="S26" t="s">
        <v>251</v>
      </c>
      <c r="T26" t="s">
        <v>331</v>
      </c>
      <c r="U26">
        <v>0.99999999999999944</v>
      </c>
      <c r="V26" t="s">
        <v>163</v>
      </c>
      <c r="AK26">
        <v>2037</v>
      </c>
      <c r="AL26" t="s">
        <v>329</v>
      </c>
      <c r="AM26">
        <v>0.29800833333333332</v>
      </c>
      <c r="AN26" t="s">
        <v>289</v>
      </c>
    </row>
    <row r="27" spans="9:40" x14ac:dyDescent="0.45">
      <c r="I27" t="s">
        <v>190</v>
      </c>
      <c r="J27" t="s">
        <v>331</v>
      </c>
      <c r="K27">
        <v>0.99999999999999867</v>
      </c>
      <c r="L27" t="s">
        <v>163</v>
      </c>
      <c r="N27" t="s">
        <v>221</v>
      </c>
      <c r="O27" t="s">
        <v>331</v>
      </c>
      <c r="P27">
        <v>1.0000000000000011</v>
      </c>
      <c r="Q27" t="s">
        <v>163</v>
      </c>
      <c r="S27" t="s">
        <v>252</v>
      </c>
      <c r="T27" t="s">
        <v>331</v>
      </c>
      <c r="U27">
        <v>1.0000000000000007</v>
      </c>
      <c r="V27" t="s">
        <v>163</v>
      </c>
      <c r="AK27">
        <v>2038</v>
      </c>
      <c r="AL27" t="s">
        <v>329</v>
      </c>
      <c r="AM27">
        <v>0.29666666666666669</v>
      </c>
      <c r="AN27" t="s">
        <v>289</v>
      </c>
    </row>
    <row r="28" spans="9:40" x14ac:dyDescent="0.45">
      <c r="I28" t="s">
        <v>191</v>
      </c>
      <c r="J28" t="s">
        <v>331</v>
      </c>
      <c r="K28">
        <v>0.99999999999999933</v>
      </c>
      <c r="L28" t="s">
        <v>163</v>
      </c>
      <c r="N28" t="s">
        <v>222</v>
      </c>
      <c r="O28" t="s">
        <v>331</v>
      </c>
      <c r="P28">
        <v>0.99999999999999956</v>
      </c>
      <c r="Q28" t="s">
        <v>163</v>
      </c>
      <c r="S28" t="s">
        <v>253</v>
      </c>
      <c r="T28" t="s">
        <v>331</v>
      </c>
      <c r="U28">
        <v>1.0000000000000018</v>
      </c>
      <c r="V28" t="s">
        <v>163</v>
      </c>
      <c r="AK28">
        <v>2039</v>
      </c>
      <c r="AL28" t="s">
        <v>329</v>
      </c>
      <c r="AM28">
        <v>0.33744166666666664</v>
      </c>
      <c r="AN28" t="s">
        <v>289</v>
      </c>
    </row>
    <row r="29" spans="9:40" x14ac:dyDescent="0.45">
      <c r="I29" t="s">
        <v>192</v>
      </c>
      <c r="J29" t="s">
        <v>331</v>
      </c>
      <c r="K29">
        <v>0.99999999999999967</v>
      </c>
      <c r="L29" t="s">
        <v>163</v>
      </c>
      <c r="N29" t="s">
        <v>223</v>
      </c>
      <c r="O29" t="s">
        <v>331</v>
      </c>
      <c r="P29">
        <v>0.99999999999999967</v>
      </c>
      <c r="Q29" t="s">
        <v>163</v>
      </c>
      <c r="S29" t="s">
        <v>254</v>
      </c>
      <c r="T29" t="s">
        <v>331</v>
      </c>
      <c r="U29">
        <v>0.99999999999999833</v>
      </c>
      <c r="V29" t="s">
        <v>163</v>
      </c>
      <c r="AK29">
        <v>2040</v>
      </c>
      <c r="AL29" t="s">
        <v>329</v>
      </c>
      <c r="AM29">
        <v>0.3338916666666667</v>
      </c>
      <c r="AN29" t="s">
        <v>289</v>
      </c>
    </row>
    <row r="30" spans="9:40" x14ac:dyDescent="0.45">
      <c r="I30" t="s">
        <v>193</v>
      </c>
      <c r="J30" t="s">
        <v>331</v>
      </c>
      <c r="K30">
        <v>0.99999999999999845</v>
      </c>
      <c r="L30" t="s">
        <v>163</v>
      </c>
      <c r="N30" t="s">
        <v>224</v>
      </c>
      <c r="O30" t="s">
        <v>331</v>
      </c>
      <c r="P30">
        <v>1.0000000000000007</v>
      </c>
      <c r="Q30" t="s">
        <v>163</v>
      </c>
      <c r="S30" t="s">
        <v>255</v>
      </c>
      <c r="T30" t="s">
        <v>331</v>
      </c>
      <c r="U30">
        <v>0.99999999999999811</v>
      </c>
      <c r="V30" t="s">
        <v>163</v>
      </c>
      <c r="AK30">
        <v>2041</v>
      </c>
      <c r="AL30" t="s">
        <v>329</v>
      </c>
      <c r="AM30">
        <v>0.33834999999999998</v>
      </c>
      <c r="AN30" t="s">
        <v>289</v>
      </c>
    </row>
    <row r="31" spans="9:40" x14ac:dyDescent="0.45">
      <c r="I31" t="s">
        <v>194</v>
      </c>
      <c r="J31" t="s">
        <v>331</v>
      </c>
      <c r="K31">
        <v>1.0000000000000013</v>
      </c>
      <c r="L31" t="s">
        <v>163</v>
      </c>
      <c r="N31" t="s">
        <v>225</v>
      </c>
      <c r="O31" t="s">
        <v>331</v>
      </c>
      <c r="P31">
        <v>0.99999999999999867</v>
      </c>
      <c r="Q31" t="s">
        <v>163</v>
      </c>
      <c r="S31" t="s">
        <v>256</v>
      </c>
      <c r="T31" t="s">
        <v>331</v>
      </c>
      <c r="U31">
        <v>0.99999999999999767</v>
      </c>
      <c r="V31" t="s">
        <v>163</v>
      </c>
      <c r="AK31">
        <v>2042</v>
      </c>
      <c r="AL31" t="s">
        <v>329</v>
      </c>
      <c r="AM31">
        <v>0.3399833333333333</v>
      </c>
      <c r="AN31" t="s">
        <v>289</v>
      </c>
    </row>
    <row r="32" spans="9:40" x14ac:dyDescent="0.45">
      <c r="I32" t="s">
        <v>195</v>
      </c>
      <c r="J32" t="s">
        <v>331</v>
      </c>
      <c r="K32">
        <v>0.99999999999999989</v>
      </c>
      <c r="L32" t="s">
        <v>163</v>
      </c>
      <c r="N32" t="s">
        <v>226</v>
      </c>
      <c r="O32" t="s">
        <v>331</v>
      </c>
      <c r="P32">
        <v>0.99999999999999922</v>
      </c>
      <c r="Q32" t="s">
        <v>163</v>
      </c>
      <c r="S32" t="s">
        <v>257</v>
      </c>
      <c r="T32" t="s">
        <v>331</v>
      </c>
      <c r="U32">
        <v>1</v>
      </c>
      <c r="V32" t="s">
        <v>163</v>
      </c>
      <c r="AK32">
        <v>2043</v>
      </c>
      <c r="AL32" t="s">
        <v>329</v>
      </c>
      <c r="AM32">
        <v>0.34648333333333331</v>
      </c>
      <c r="AN32" t="s">
        <v>289</v>
      </c>
    </row>
    <row r="33" spans="9:40" x14ac:dyDescent="0.45">
      <c r="I33" t="s">
        <v>196</v>
      </c>
      <c r="J33" t="s">
        <v>331</v>
      </c>
      <c r="K33">
        <v>0.99999999999999689</v>
      </c>
      <c r="L33" t="s">
        <v>163</v>
      </c>
      <c r="N33" t="s">
        <v>227</v>
      </c>
      <c r="O33" t="s">
        <v>331</v>
      </c>
      <c r="P33">
        <v>1.0000000000000033</v>
      </c>
      <c r="Q33" t="s">
        <v>163</v>
      </c>
      <c r="S33" t="s">
        <v>258</v>
      </c>
      <c r="T33" t="s">
        <v>331</v>
      </c>
      <c r="U33">
        <v>1</v>
      </c>
      <c r="V33" t="s">
        <v>163</v>
      </c>
      <c r="AK33">
        <v>2044</v>
      </c>
      <c r="AL33" t="s">
        <v>329</v>
      </c>
      <c r="AM33">
        <v>0.29149166666666665</v>
      </c>
      <c r="AN33" t="s">
        <v>289</v>
      </c>
    </row>
    <row r="34" spans="9:40" x14ac:dyDescent="0.45">
      <c r="I34" t="s">
        <v>197</v>
      </c>
      <c r="J34" t="s">
        <v>331</v>
      </c>
      <c r="K34">
        <v>1.0000000000000016</v>
      </c>
      <c r="L34" t="s">
        <v>163</v>
      </c>
      <c r="N34" t="s">
        <v>228</v>
      </c>
      <c r="O34" t="s">
        <v>331</v>
      </c>
      <c r="P34">
        <v>1.0000000000000018</v>
      </c>
      <c r="Q34" t="s">
        <v>163</v>
      </c>
      <c r="S34" t="s">
        <v>259</v>
      </c>
      <c r="T34" t="s">
        <v>331</v>
      </c>
      <c r="U34">
        <v>0.99999999999999767</v>
      </c>
      <c r="V34" t="s">
        <v>163</v>
      </c>
      <c r="AK34">
        <v>2045</v>
      </c>
      <c r="AL34" t="s">
        <v>329</v>
      </c>
      <c r="AM34">
        <v>0.28179999999999999</v>
      </c>
      <c r="AN34" t="s">
        <v>289</v>
      </c>
    </row>
    <row r="35" spans="9:40" x14ac:dyDescent="0.45">
      <c r="I35" t="s">
        <v>198</v>
      </c>
      <c r="J35" t="s">
        <v>331</v>
      </c>
      <c r="K35">
        <v>0.99999999999999911</v>
      </c>
      <c r="L35" t="s">
        <v>163</v>
      </c>
      <c r="N35" t="s">
        <v>229</v>
      </c>
      <c r="O35" t="s">
        <v>331</v>
      </c>
      <c r="P35">
        <v>0.99999999999999878</v>
      </c>
      <c r="Q35" t="s">
        <v>163</v>
      </c>
      <c r="S35" t="s">
        <v>260</v>
      </c>
      <c r="T35" t="s">
        <v>331</v>
      </c>
      <c r="U35">
        <v>1.0000000000000029</v>
      </c>
      <c r="V35" t="s">
        <v>163</v>
      </c>
      <c r="AK35">
        <v>2046</v>
      </c>
      <c r="AL35" t="s">
        <v>329</v>
      </c>
      <c r="AM35">
        <v>0.29248333333333337</v>
      </c>
      <c r="AN35" t="s">
        <v>289</v>
      </c>
    </row>
    <row r="36" spans="9:40" x14ac:dyDescent="0.45">
      <c r="I36" t="s">
        <v>199</v>
      </c>
      <c r="J36" t="s">
        <v>331</v>
      </c>
      <c r="K36">
        <v>1.0000000000000009</v>
      </c>
      <c r="L36" t="s">
        <v>163</v>
      </c>
      <c r="N36" t="s">
        <v>230</v>
      </c>
      <c r="O36" t="s">
        <v>331</v>
      </c>
      <c r="P36">
        <v>1.0000000000000018</v>
      </c>
      <c r="Q36" t="s">
        <v>163</v>
      </c>
      <c r="S36" t="s">
        <v>261</v>
      </c>
      <c r="T36" t="s">
        <v>331</v>
      </c>
      <c r="U36">
        <v>1.0000000000000016</v>
      </c>
      <c r="V36" t="s">
        <v>163</v>
      </c>
      <c r="AK36">
        <v>2047</v>
      </c>
      <c r="AL36" t="s">
        <v>329</v>
      </c>
      <c r="AM36">
        <v>0.28919166666666668</v>
      </c>
      <c r="AN36" t="s">
        <v>289</v>
      </c>
    </row>
    <row r="37" spans="9:40" x14ac:dyDescent="0.45">
      <c r="I37" t="s">
        <v>200</v>
      </c>
      <c r="J37" t="s">
        <v>331</v>
      </c>
      <c r="K37">
        <v>1.0000000000000004</v>
      </c>
      <c r="L37" t="s">
        <v>163</v>
      </c>
      <c r="N37" t="s">
        <v>231</v>
      </c>
      <c r="O37" t="s">
        <v>331</v>
      </c>
      <c r="P37">
        <v>1.0000000000000033</v>
      </c>
      <c r="Q37" t="s">
        <v>163</v>
      </c>
      <c r="S37" t="s">
        <v>262</v>
      </c>
      <c r="T37" t="s">
        <v>331</v>
      </c>
      <c r="U37">
        <v>1.0000000000000002</v>
      </c>
      <c r="V37" t="s">
        <v>163</v>
      </c>
      <c r="AK37">
        <v>2048</v>
      </c>
      <c r="AL37" t="s">
        <v>329</v>
      </c>
      <c r="AM37">
        <v>0.29289999999999999</v>
      </c>
      <c r="AN37" t="s">
        <v>289</v>
      </c>
    </row>
    <row r="38" spans="9:40" x14ac:dyDescent="0.45">
      <c r="I38" t="s">
        <v>201</v>
      </c>
      <c r="J38" t="s">
        <v>331</v>
      </c>
      <c r="K38">
        <v>0.99999999999999878</v>
      </c>
      <c r="L38" t="s">
        <v>163</v>
      </c>
      <c r="N38" t="s">
        <v>232</v>
      </c>
      <c r="O38" t="s">
        <v>331</v>
      </c>
      <c r="P38">
        <v>1.0000000000000047</v>
      </c>
      <c r="Q38" t="s">
        <v>163</v>
      </c>
      <c r="S38" t="s">
        <v>263</v>
      </c>
      <c r="T38" t="s">
        <v>331</v>
      </c>
      <c r="U38">
        <v>0.99999999999999378</v>
      </c>
      <c r="V38" t="s">
        <v>163</v>
      </c>
      <c r="AK38">
        <v>2049</v>
      </c>
      <c r="AL38" t="s">
        <v>329</v>
      </c>
      <c r="AM38">
        <v>0.29490833333333333</v>
      </c>
      <c r="AN38" t="s">
        <v>289</v>
      </c>
    </row>
    <row r="39" spans="9:40" x14ac:dyDescent="0.45">
      <c r="I39" t="s">
        <v>202</v>
      </c>
      <c r="J39" t="s">
        <v>331</v>
      </c>
      <c r="K39">
        <v>0.99999999999999944</v>
      </c>
      <c r="L39" t="s">
        <v>163</v>
      </c>
      <c r="N39" t="s">
        <v>233</v>
      </c>
      <c r="O39" t="s">
        <v>331</v>
      </c>
      <c r="P39">
        <v>1.0000000000000022</v>
      </c>
      <c r="Q39" t="s">
        <v>163</v>
      </c>
      <c r="S39" t="s">
        <v>264</v>
      </c>
      <c r="T39" t="s">
        <v>331</v>
      </c>
      <c r="U39">
        <v>1.0000000000000051</v>
      </c>
      <c r="V39" t="s">
        <v>163</v>
      </c>
      <c r="AK39">
        <v>2050</v>
      </c>
      <c r="AL39" t="s">
        <v>329</v>
      </c>
      <c r="AM39">
        <v>0.29419999999999996</v>
      </c>
      <c r="AN39" t="s">
        <v>289</v>
      </c>
    </row>
    <row r="40" spans="9:40" x14ac:dyDescent="0.45">
      <c r="I40" t="s">
        <v>203</v>
      </c>
      <c r="J40" t="s">
        <v>331</v>
      </c>
      <c r="K40">
        <v>1.0000000000000004</v>
      </c>
      <c r="L40" t="s">
        <v>163</v>
      </c>
      <c r="N40" t="s">
        <v>234</v>
      </c>
      <c r="O40" t="s">
        <v>331</v>
      </c>
      <c r="P40">
        <v>0.99999999999999811</v>
      </c>
      <c r="Q40" t="s">
        <v>163</v>
      </c>
      <c r="S40" t="s">
        <v>265</v>
      </c>
      <c r="T40" t="s">
        <v>331</v>
      </c>
      <c r="U40">
        <v>0.99999999999999756</v>
      </c>
      <c r="V40" t="s">
        <v>163</v>
      </c>
    </row>
    <row r="41" spans="9:40" x14ac:dyDescent="0.45">
      <c r="I41" t="s">
        <v>204</v>
      </c>
      <c r="J41" t="s">
        <v>331</v>
      </c>
      <c r="K41">
        <v>1.0000000000000018</v>
      </c>
      <c r="L41" t="s">
        <v>163</v>
      </c>
      <c r="N41" t="s">
        <v>235</v>
      </c>
      <c r="O41" t="s">
        <v>331</v>
      </c>
      <c r="P41">
        <v>0.999999999999995</v>
      </c>
      <c r="Q41" t="s">
        <v>163</v>
      </c>
      <c r="S41" t="s">
        <v>266</v>
      </c>
      <c r="T41" t="s">
        <v>331</v>
      </c>
      <c r="U41">
        <v>1.0000000000000009</v>
      </c>
      <c r="V41" t="s">
        <v>163</v>
      </c>
    </row>
    <row r="42" spans="9:40" x14ac:dyDescent="0.45">
      <c r="S42" t="s">
        <v>267</v>
      </c>
      <c r="T42" t="s">
        <v>331</v>
      </c>
      <c r="U42">
        <v>0.99999999999999822</v>
      </c>
      <c r="V42" t="s">
        <v>163</v>
      </c>
    </row>
    <row r="43" spans="9:40" x14ac:dyDescent="0.45">
      <c r="S43" t="s">
        <v>268</v>
      </c>
      <c r="T43" t="s">
        <v>331</v>
      </c>
      <c r="U43">
        <v>1.0000000000000016</v>
      </c>
      <c r="V43" t="s">
        <v>163</v>
      </c>
    </row>
    <row r="44" spans="9:40" x14ac:dyDescent="0.45">
      <c r="S44" t="s">
        <v>269</v>
      </c>
      <c r="T44" t="s">
        <v>331</v>
      </c>
      <c r="U44">
        <v>0.99999999999999611</v>
      </c>
      <c r="V44" t="s">
        <v>163</v>
      </c>
    </row>
    <row r="45" spans="9:40" x14ac:dyDescent="0.45">
      <c r="S45" t="s">
        <v>270</v>
      </c>
      <c r="T45" t="s">
        <v>331</v>
      </c>
      <c r="U45">
        <v>0.99999999999999856</v>
      </c>
      <c r="V45" t="s">
        <v>163</v>
      </c>
    </row>
    <row r="46" spans="9:40" x14ac:dyDescent="0.45">
      <c r="S46" t="s">
        <v>271</v>
      </c>
      <c r="T46" t="s">
        <v>331</v>
      </c>
      <c r="U46">
        <v>0.99999999999999856</v>
      </c>
      <c r="V46" t="s">
        <v>163</v>
      </c>
    </row>
    <row r="47" spans="9:40" x14ac:dyDescent="0.45">
      <c r="S47" t="s">
        <v>272</v>
      </c>
      <c r="T47" t="s">
        <v>331</v>
      </c>
      <c r="U47">
        <v>1.0000000000000029</v>
      </c>
      <c r="V47" t="s">
        <v>163</v>
      </c>
    </row>
    <row r="48" spans="9:40" x14ac:dyDescent="0.45">
      <c r="S48" t="s">
        <v>273</v>
      </c>
      <c r="T48" t="s">
        <v>331</v>
      </c>
      <c r="U48">
        <v>1.0000000000000042</v>
      </c>
      <c r="V48" t="s">
        <v>163</v>
      </c>
    </row>
    <row r="49" spans="19:22" x14ac:dyDescent="0.45">
      <c r="S49" t="s">
        <v>274</v>
      </c>
      <c r="T49" t="s">
        <v>331</v>
      </c>
      <c r="U49">
        <v>1.0000000000000007</v>
      </c>
      <c r="V49" t="s">
        <v>163</v>
      </c>
    </row>
    <row r="50" spans="19:22" x14ac:dyDescent="0.45">
      <c r="S50" t="s">
        <v>275</v>
      </c>
      <c r="T50" t="s">
        <v>331</v>
      </c>
      <c r="U50">
        <v>0.99999999999999978</v>
      </c>
      <c r="V50" t="s">
        <v>163</v>
      </c>
    </row>
    <row r="51" spans="19:22" x14ac:dyDescent="0.45">
      <c r="S51" t="s">
        <v>276</v>
      </c>
      <c r="T51" t="s">
        <v>331</v>
      </c>
      <c r="U51">
        <v>1.0000000000000024</v>
      </c>
      <c r="V51" t="s">
        <v>163</v>
      </c>
    </row>
    <row r="52" spans="19:22" x14ac:dyDescent="0.45">
      <c r="S52" t="s">
        <v>277</v>
      </c>
      <c r="T52" t="s">
        <v>331</v>
      </c>
      <c r="U52">
        <v>1.0000000000000009</v>
      </c>
      <c r="V52" t="s">
        <v>163</v>
      </c>
    </row>
    <row r="53" spans="19:22" x14ac:dyDescent="0.45">
      <c r="S53" t="s">
        <v>278</v>
      </c>
      <c r="T53" t="s">
        <v>331</v>
      </c>
      <c r="U53">
        <v>0.999999999999999</v>
      </c>
      <c r="V53" t="s">
        <v>163</v>
      </c>
    </row>
    <row r="54" spans="19:22" x14ac:dyDescent="0.45">
      <c r="S54" t="s">
        <v>279</v>
      </c>
      <c r="T54" t="s">
        <v>331</v>
      </c>
      <c r="U54">
        <v>1.0000000000000009</v>
      </c>
      <c r="V54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861A-B207-47F9-BDE4-D35DCBF82D12}">
  <dimension ref="A9:AN538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133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123</v>
      </c>
      <c r="K10" t="s">
        <v>160</v>
      </c>
      <c r="L10" t="s">
        <v>30</v>
      </c>
      <c r="N10" t="s">
        <v>13</v>
      </c>
      <c r="O10" t="s">
        <v>123</v>
      </c>
      <c r="P10" t="s">
        <v>160</v>
      </c>
      <c r="Q10" t="s">
        <v>30</v>
      </c>
      <c r="S10" t="s">
        <v>13</v>
      </c>
      <c r="T10" t="s">
        <v>123</v>
      </c>
      <c r="U10" t="s">
        <v>160</v>
      </c>
      <c r="V10" t="s">
        <v>30</v>
      </c>
      <c r="X10" t="s">
        <v>280</v>
      </c>
      <c r="Y10" t="s">
        <v>160</v>
      </c>
      <c r="Z10" t="s">
        <v>123</v>
      </c>
      <c r="AA10" t="s">
        <v>13</v>
      </c>
      <c r="AC10" t="s">
        <v>13</v>
      </c>
      <c r="AD10" t="s">
        <v>123</v>
      </c>
      <c r="AE10" t="s">
        <v>160</v>
      </c>
      <c r="AG10" t="s">
        <v>13</v>
      </c>
      <c r="AH10" t="s">
        <v>123</v>
      </c>
      <c r="AI10" t="s">
        <v>286</v>
      </c>
      <c r="AK10" t="s">
        <v>47</v>
      </c>
      <c r="AL10" t="s">
        <v>123</v>
      </c>
      <c r="AM10" t="s">
        <v>287</v>
      </c>
      <c r="AN10" t="s">
        <v>288</v>
      </c>
    </row>
    <row r="11" spans="1:40" x14ac:dyDescent="0.45">
      <c r="A11" t="str">
        <f>IFERROR(IF(Veda!D5=A10,"ok","x"),"")</f>
        <v>x</v>
      </c>
      <c r="C11" t="s">
        <v>332</v>
      </c>
      <c r="D11" t="s">
        <v>152</v>
      </c>
      <c r="E11" t="s">
        <v>282</v>
      </c>
      <c r="F11" t="s">
        <v>333</v>
      </c>
      <c r="G11" t="s">
        <v>152</v>
      </c>
      <c r="I11" t="s">
        <v>161</v>
      </c>
      <c r="J11" t="s">
        <v>338</v>
      </c>
      <c r="K11">
        <v>0.1924200167023177</v>
      </c>
      <c r="L11" t="s">
        <v>163</v>
      </c>
      <c r="N11" t="s">
        <v>205</v>
      </c>
      <c r="O11" t="s">
        <v>338</v>
      </c>
      <c r="P11">
        <v>0.1266775456904424</v>
      </c>
      <c r="Q11" t="s">
        <v>163</v>
      </c>
      <c r="S11" t="s">
        <v>236</v>
      </c>
      <c r="T11" t="s">
        <v>338</v>
      </c>
      <c r="U11">
        <v>0.13841012072451858</v>
      </c>
      <c r="V11" t="s">
        <v>163</v>
      </c>
      <c r="X11">
        <v>0.11426940639269406</v>
      </c>
      <c r="Y11">
        <v>0.16087081189037786</v>
      </c>
      <c r="Z11" t="s">
        <v>338</v>
      </c>
      <c r="AA11" t="s">
        <v>25</v>
      </c>
      <c r="AC11" t="s">
        <v>22</v>
      </c>
      <c r="AD11" t="s">
        <v>338</v>
      </c>
      <c r="AE11">
        <v>0.10779476916936899</v>
      </c>
      <c r="AG11" t="s">
        <v>98</v>
      </c>
      <c r="AH11" t="s">
        <v>338</v>
      </c>
      <c r="AI11">
        <v>0.25508935406007782</v>
      </c>
      <c r="AK11">
        <v>2020</v>
      </c>
      <c r="AL11" t="s">
        <v>332</v>
      </c>
      <c r="AM11">
        <v>0.23974469689443209</v>
      </c>
      <c r="AN11" t="s">
        <v>289</v>
      </c>
    </row>
    <row r="12" spans="1:40" x14ac:dyDescent="0.45">
      <c r="C12" t="s">
        <v>334</v>
      </c>
      <c r="E12" t="s">
        <v>284</v>
      </c>
      <c r="G12" t="s">
        <v>152</v>
      </c>
      <c r="I12" t="s">
        <v>161</v>
      </c>
      <c r="J12" t="s">
        <v>339</v>
      </c>
      <c r="K12">
        <v>0</v>
      </c>
      <c r="L12" t="s">
        <v>163</v>
      </c>
      <c r="N12" t="s">
        <v>205</v>
      </c>
      <c r="O12" t="s">
        <v>339</v>
      </c>
      <c r="P12">
        <v>0.12848722002050361</v>
      </c>
      <c r="Q12" t="s">
        <v>163</v>
      </c>
      <c r="S12" t="s">
        <v>236</v>
      </c>
      <c r="T12" t="s">
        <v>339</v>
      </c>
      <c r="U12">
        <v>0.13701905554881832</v>
      </c>
      <c r="V12" t="s">
        <v>163</v>
      </c>
      <c r="X12">
        <v>0.11426940639269406</v>
      </c>
      <c r="Y12">
        <v>5.2547713165767528E-2</v>
      </c>
      <c r="Z12" t="s">
        <v>339</v>
      </c>
      <c r="AA12" t="s">
        <v>25</v>
      </c>
      <c r="AC12" t="s">
        <v>22</v>
      </c>
      <c r="AD12" t="s">
        <v>339</v>
      </c>
      <c r="AE12">
        <v>0.10544337029926212</v>
      </c>
      <c r="AG12" t="s">
        <v>98</v>
      </c>
      <c r="AH12" t="s">
        <v>339</v>
      </c>
      <c r="AI12">
        <v>0.28265539892585889</v>
      </c>
      <c r="AK12">
        <v>2020</v>
      </c>
      <c r="AL12" t="s">
        <v>334</v>
      </c>
      <c r="AM12">
        <v>0.34158869418057353</v>
      </c>
      <c r="AN12" t="s">
        <v>289</v>
      </c>
    </row>
    <row r="13" spans="1:40" x14ac:dyDescent="0.45">
      <c r="C13" t="s">
        <v>335</v>
      </c>
      <c r="E13" t="s">
        <v>336</v>
      </c>
      <c r="G13" t="s">
        <v>152</v>
      </c>
      <c r="I13" t="s">
        <v>161</v>
      </c>
      <c r="J13" t="s">
        <v>340</v>
      </c>
      <c r="K13">
        <v>7.3514542200655243E-3</v>
      </c>
      <c r="L13" t="s">
        <v>163</v>
      </c>
      <c r="N13" t="s">
        <v>205</v>
      </c>
      <c r="O13" t="s">
        <v>340</v>
      </c>
      <c r="P13">
        <v>2.312963558971233E-2</v>
      </c>
      <c r="Q13" t="s">
        <v>163</v>
      </c>
      <c r="S13" t="s">
        <v>236</v>
      </c>
      <c r="T13" t="s">
        <v>340</v>
      </c>
      <c r="U13">
        <v>2.5915305113231622E-2</v>
      </c>
      <c r="V13" t="s">
        <v>163</v>
      </c>
      <c r="X13">
        <v>2.0776255707762557E-2</v>
      </c>
      <c r="Y13">
        <v>3.5896543437005365E-2</v>
      </c>
      <c r="Z13" t="s">
        <v>340</v>
      </c>
      <c r="AA13" t="s">
        <v>25</v>
      </c>
      <c r="AC13" t="s">
        <v>22</v>
      </c>
      <c r="AD13" t="s">
        <v>340</v>
      </c>
      <c r="AE13">
        <v>1.3662978742223086E-2</v>
      </c>
      <c r="AG13" t="s">
        <v>98</v>
      </c>
      <c r="AH13" t="s">
        <v>340</v>
      </c>
      <c r="AI13">
        <v>0.10538599228695555</v>
      </c>
      <c r="AK13">
        <v>2020</v>
      </c>
      <c r="AL13" t="s">
        <v>335</v>
      </c>
      <c r="AM13">
        <v>0.39921360937249245</v>
      </c>
      <c r="AN13" t="s">
        <v>289</v>
      </c>
    </row>
    <row r="14" spans="1:40" x14ac:dyDescent="0.45">
      <c r="C14" t="s">
        <v>337</v>
      </c>
      <c r="I14" t="s">
        <v>161</v>
      </c>
      <c r="J14" t="s">
        <v>341</v>
      </c>
      <c r="K14">
        <v>0.28843666631144022</v>
      </c>
      <c r="L14" t="s">
        <v>163</v>
      </c>
      <c r="N14" t="s">
        <v>205</v>
      </c>
      <c r="O14" t="s">
        <v>341</v>
      </c>
      <c r="P14">
        <v>0.10411400668488531</v>
      </c>
      <c r="Q14" t="s">
        <v>163</v>
      </c>
      <c r="S14" t="s">
        <v>236</v>
      </c>
      <c r="T14" t="s">
        <v>341</v>
      </c>
      <c r="U14">
        <v>8.1191712050049963E-2</v>
      </c>
      <c r="V14" t="s">
        <v>163</v>
      </c>
      <c r="X14">
        <v>0.11552511415525114</v>
      </c>
      <c r="Y14">
        <v>0.16263862301005233</v>
      </c>
      <c r="Z14" t="s">
        <v>341</v>
      </c>
      <c r="AA14" t="s">
        <v>25</v>
      </c>
      <c r="AC14" t="s">
        <v>22</v>
      </c>
      <c r="AD14" t="s">
        <v>341</v>
      </c>
      <c r="AE14">
        <v>0.1086412763516698</v>
      </c>
      <c r="AG14" t="s">
        <v>98</v>
      </c>
      <c r="AH14" t="s">
        <v>341</v>
      </c>
      <c r="AI14">
        <v>0.2825538964383878</v>
      </c>
      <c r="AK14">
        <v>2020</v>
      </c>
      <c r="AL14" t="s">
        <v>337</v>
      </c>
      <c r="AM14">
        <v>0.24086907834189222</v>
      </c>
      <c r="AN14" t="s">
        <v>289</v>
      </c>
    </row>
    <row r="15" spans="1:40" x14ac:dyDescent="0.45">
      <c r="I15" t="s">
        <v>161</v>
      </c>
      <c r="J15" t="s">
        <v>342</v>
      </c>
      <c r="K15">
        <v>1.8429892504283807E-3</v>
      </c>
      <c r="L15" t="s">
        <v>163</v>
      </c>
      <c r="N15" t="s">
        <v>205</v>
      </c>
      <c r="O15" t="s">
        <v>342</v>
      </c>
      <c r="P15">
        <v>0.1113542786172146</v>
      </c>
      <c r="Q15" t="s">
        <v>163</v>
      </c>
      <c r="S15" t="s">
        <v>236</v>
      </c>
      <c r="T15" t="s">
        <v>342</v>
      </c>
      <c r="U15">
        <v>8.96223220485238E-2</v>
      </c>
      <c r="V15" t="s">
        <v>163</v>
      </c>
      <c r="X15">
        <v>0.11552511415525114</v>
      </c>
      <c r="Y15">
        <v>5.3125160563193538E-2</v>
      </c>
      <c r="Z15" t="s">
        <v>342</v>
      </c>
      <c r="AA15" t="s">
        <v>25</v>
      </c>
      <c r="AC15" t="s">
        <v>22</v>
      </c>
      <c r="AD15" t="s">
        <v>342</v>
      </c>
      <c r="AE15">
        <v>0.10564486726261517</v>
      </c>
      <c r="AG15" t="s">
        <v>98</v>
      </c>
      <c r="AH15" t="s">
        <v>342</v>
      </c>
      <c r="AI15">
        <v>0.26004951805802912</v>
      </c>
      <c r="AK15">
        <v>2021</v>
      </c>
      <c r="AL15" t="s">
        <v>332</v>
      </c>
      <c r="AM15">
        <v>0.24645030382857577</v>
      </c>
      <c r="AN15" t="s">
        <v>289</v>
      </c>
    </row>
    <row r="16" spans="1:40" x14ac:dyDescent="0.45">
      <c r="I16" t="s">
        <v>161</v>
      </c>
      <c r="J16" t="s">
        <v>343</v>
      </c>
      <c r="K16">
        <v>2.7300114485650746E-2</v>
      </c>
      <c r="L16" t="s">
        <v>163</v>
      </c>
      <c r="N16" t="s">
        <v>205</v>
      </c>
      <c r="O16" t="s">
        <v>343</v>
      </c>
      <c r="P16">
        <v>2.0252887726373282E-2</v>
      </c>
      <c r="Q16" t="s">
        <v>163</v>
      </c>
      <c r="S16" t="s">
        <v>236</v>
      </c>
      <c r="T16" t="s">
        <v>343</v>
      </c>
      <c r="U16">
        <v>1.4540907121186022E-2</v>
      </c>
      <c r="V16" t="s">
        <v>163</v>
      </c>
      <c r="X16">
        <v>2.1004566210045664E-2</v>
      </c>
      <c r="Y16">
        <v>3.6291010947302131E-2</v>
      </c>
      <c r="Z16" t="s">
        <v>343</v>
      </c>
      <c r="AA16" t="s">
        <v>25</v>
      </c>
      <c r="AC16" t="s">
        <v>22</v>
      </c>
      <c r="AD16" t="s">
        <v>343</v>
      </c>
      <c r="AE16">
        <v>1.3287628702150386E-2</v>
      </c>
      <c r="AG16" t="s">
        <v>98</v>
      </c>
      <c r="AH16" t="s">
        <v>343</v>
      </c>
      <c r="AI16">
        <v>7.7491335151094631E-2</v>
      </c>
      <c r="AK16">
        <v>2021</v>
      </c>
      <c r="AL16" t="s">
        <v>334</v>
      </c>
      <c r="AM16">
        <v>0.3756045438491129</v>
      </c>
      <c r="AN16" t="s">
        <v>289</v>
      </c>
    </row>
    <row r="17" spans="9:40" x14ac:dyDescent="0.45">
      <c r="I17" t="s">
        <v>161</v>
      </c>
      <c r="J17" t="s">
        <v>344</v>
      </c>
      <c r="K17">
        <v>0.26690009231850226</v>
      </c>
      <c r="L17" t="s">
        <v>163</v>
      </c>
      <c r="N17" t="s">
        <v>205</v>
      </c>
      <c r="O17" t="s">
        <v>344</v>
      </c>
      <c r="P17">
        <v>9.5039026057394185E-2</v>
      </c>
      <c r="Q17" t="s">
        <v>163</v>
      </c>
      <c r="S17" t="s">
        <v>236</v>
      </c>
      <c r="T17" t="s">
        <v>344</v>
      </c>
      <c r="U17">
        <v>8.1507550698000586E-2</v>
      </c>
      <c r="V17" t="s">
        <v>163</v>
      </c>
      <c r="X17">
        <v>0.11552511415525114</v>
      </c>
      <c r="Y17">
        <v>0.16263862301005233</v>
      </c>
      <c r="Z17" t="s">
        <v>344</v>
      </c>
      <c r="AA17" t="s">
        <v>25</v>
      </c>
      <c r="AC17" t="s">
        <v>22</v>
      </c>
      <c r="AD17" t="s">
        <v>344</v>
      </c>
      <c r="AE17">
        <v>0.12681506755113384</v>
      </c>
      <c r="AG17" t="s">
        <v>98</v>
      </c>
      <c r="AH17" t="s">
        <v>344</v>
      </c>
      <c r="AI17">
        <v>0.36625000599624791</v>
      </c>
      <c r="AK17">
        <v>2021</v>
      </c>
      <c r="AL17" t="s">
        <v>335</v>
      </c>
      <c r="AM17">
        <v>0.38272369981898208</v>
      </c>
      <c r="AN17" t="s">
        <v>289</v>
      </c>
    </row>
    <row r="18" spans="9:40" x14ac:dyDescent="0.45">
      <c r="I18" t="s">
        <v>161</v>
      </c>
      <c r="J18" t="s">
        <v>345</v>
      </c>
      <c r="K18">
        <v>5.3541356801359175E-3</v>
      </c>
      <c r="L18" t="s">
        <v>163</v>
      </c>
      <c r="N18" t="s">
        <v>205</v>
      </c>
      <c r="O18" t="s">
        <v>345</v>
      </c>
      <c r="P18">
        <v>0.10213249470961137</v>
      </c>
      <c r="Q18" t="s">
        <v>163</v>
      </c>
      <c r="S18" t="s">
        <v>236</v>
      </c>
      <c r="T18" t="s">
        <v>345</v>
      </c>
      <c r="U18">
        <v>9.4423572429937971E-2</v>
      </c>
      <c r="V18" t="s">
        <v>163</v>
      </c>
      <c r="X18">
        <v>0.11552511415525114</v>
      </c>
      <c r="Y18">
        <v>5.3125160563193538E-2</v>
      </c>
      <c r="Z18" t="s">
        <v>345</v>
      </c>
      <c r="AA18" t="s">
        <v>25</v>
      </c>
      <c r="AC18" t="s">
        <v>22</v>
      </c>
      <c r="AD18" t="s">
        <v>345</v>
      </c>
      <c r="AE18">
        <v>0.12366648069124386</v>
      </c>
      <c r="AG18" t="s">
        <v>98</v>
      </c>
      <c r="AH18" t="s">
        <v>345</v>
      </c>
      <c r="AI18">
        <v>0.39812970421884031</v>
      </c>
      <c r="AK18">
        <v>2021</v>
      </c>
      <c r="AL18" t="s">
        <v>337</v>
      </c>
      <c r="AM18">
        <v>0.22320603189539737</v>
      </c>
      <c r="AN18" t="s">
        <v>289</v>
      </c>
    </row>
    <row r="19" spans="9:40" x14ac:dyDescent="0.45">
      <c r="I19" t="s">
        <v>161</v>
      </c>
      <c r="J19" t="s">
        <v>346</v>
      </c>
      <c r="K19">
        <v>3.0365393172597354E-2</v>
      </c>
      <c r="L19" t="s">
        <v>163</v>
      </c>
      <c r="N19" t="s">
        <v>205</v>
      </c>
      <c r="O19" t="s">
        <v>346</v>
      </c>
      <c r="P19">
        <v>1.7454878912255452E-2</v>
      </c>
      <c r="Q19" t="s">
        <v>163</v>
      </c>
      <c r="S19" t="s">
        <v>236</v>
      </c>
      <c r="T19" t="s">
        <v>346</v>
      </c>
      <c r="U19">
        <v>1.4088402952708445E-2</v>
      </c>
      <c r="V19" t="s">
        <v>163</v>
      </c>
      <c r="X19">
        <v>2.1004566210045664E-2</v>
      </c>
      <c r="Y19">
        <v>3.6291010947302131E-2</v>
      </c>
      <c r="Z19" t="s">
        <v>346</v>
      </c>
      <c r="AA19" t="s">
        <v>25</v>
      </c>
      <c r="AC19" t="s">
        <v>22</v>
      </c>
      <c r="AD19" t="s">
        <v>346</v>
      </c>
      <c r="AE19">
        <v>1.6290903928363552E-2</v>
      </c>
      <c r="AG19" t="s">
        <v>98</v>
      </c>
      <c r="AH19" t="s">
        <v>346</v>
      </c>
      <c r="AI19">
        <v>0.13641410852084235</v>
      </c>
      <c r="AK19">
        <v>2022</v>
      </c>
      <c r="AL19" t="s">
        <v>332</v>
      </c>
      <c r="AM19">
        <v>0.25478850504588318</v>
      </c>
      <c r="AN19" t="s">
        <v>289</v>
      </c>
    </row>
    <row r="20" spans="9:40" x14ac:dyDescent="0.45">
      <c r="I20" t="s">
        <v>161</v>
      </c>
      <c r="J20" t="s">
        <v>347</v>
      </c>
      <c r="K20">
        <v>0.17576018431619314</v>
      </c>
      <c r="L20" t="s">
        <v>163</v>
      </c>
      <c r="N20" t="s">
        <v>205</v>
      </c>
      <c r="O20" t="s">
        <v>347</v>
      </c>
      <c r="P20">
        <v>0.12326755323517818</v>
      </c>
      <c r="Q20" t="s">
        <v>163</v>
      </c>
      <c r="S20" t="s">
        <v>236</v>
      </c>
      <c r="T20" t="s">
        <v>347</v>
      </c>
      <c r="U20">
        <v>0.14224407852347154</v>
      </c>
      <c r="V20" t="s">
        <v>163</v>
      </c>
      <c r="X20">
        <v>0.11301369863013698</v>
      </c>
      <c r="Y20">
        <v>0.15910300077070333</v>
      </c>
      <c r="Z20" t="s">
        <v>347</v>
      </c>
      <c r="AA20" t="s">
        <v>25</v>
      </c>
      <c r="AC20" t="s">
        <v>22</v>
      </c>
      <c r="AD20" t="s">
        <v>347</v>
      </c>
      <c r="AE20">
        <v>0.13283629041995723</v>
      </c>
      <c r="AG20" t="s">
        <v>98</v>
      </c>
      <c r="AH20" t="s">
        <v>347</v>
      </c>
      <c r="AI20">
        <v>0.18824621916000384</v>
      </c>
      <c r="AK20">
        <v>2022</v>
      </c>
      <c r="AL20" t="s">
        <v>334</v>
      </c>
      <c r="AM20">
        <v>0.33776913495513355</v>
      </c>
      <c r="AN20" t="s">
        <v>289</v>
      </c>
    </row>
    <row r="21" spans="9:40" x14ac:dyDescent="0.45">
      <c r="I21" t="s">
        <v>161</v>
      </c>
      <c r="J21" t="s">
        <v>348</v>
      </c>
      <c r="K21">
        <v>0</v>
      </c>
      <c r="L21" t="s">
        <v>163</v>
      </c>
      <c r="N21" t="s">
        <v>205</v>
      </c>
      <c r="O21" t="s">
        <v>348</v>
      </c>
      <c r="P21">
        <v>0.12455004368290391</v>
      </c>
      <c r="Q21" t="s">
        <v>163</v>
      </c>
      <c r="S21" t="s">
        <v>236</v>
      </c>
      <c r="T21" t="s">
        <v>348</v>
      </c>
      <c r="U21">
        <v>0.15457397575259732</v>
      </c>
      <c r="V21" t="s">
        <v>163</v>
      </c>
      <c r="X21">
        <v>0.11301369863013698</v>
      </c>
      <c r="Y21">
        <v>5.197026576834151E-2</v>
      </c>
      <c r="Z21" t="s">
        <v>348</v>
      </c>
      <c r="AA21" t="s">
        <v>25</v>
      </c>
      <c r="AC21" t="s">
        <v>22</v>
      </c>
      <c r="AD21" t="s">
        <v>348</v>
      </c>
      <c r="AE21">
        <v>0.12915013813208931</v>
      </c>
      <c r="AG21" t="s">
        <v>98</v>
      </c>
      <c r="AH21" t="s">
        <v>348</v>
      </c>
      <c r="AI21">
        <v>0.16804614318597655</v>
      </c>
      <c r="AK21">
        <v>2022</v>
      </c>
      <c r="AL21" t="s">
        <v>335</v>
      </c>
      <c r="AM21">
        <v>0.34928230678631045</v>
      </c>
      <c r="AN21" t="s">
        <v>289</v>
      </c>
    </row>
    <row r="22" spans="9:40" x14ac:dyDescent="0.45">
      <c r="I22" t="s">
        <v>161</v>
      </c>
      <c r="J22" t="s">
        <v>349</v>
      </c>
      <c r="K22">
        <v>4.268953542668436E-3</v>
      </c>
      <c r="L22" t="s">
        <v>163</v>
      </c>
      <c r="N22" t="s">
        <v>205</v>
      </c>
      <c r="O22" t="s">
        <v>349</v>
      </c>
      <c r="P22">
        <v>2.3540429073524601E-2</v>
      </c>
      <c r="Q22" t="s">
        <v>163</v>
      </c>
      <c r="S22" t="s">
        <v>236</v>
      </c>
      <c r="T22" t="s">
        <v>349</v>
      </c>
      <c r="U22">
        <v>2.6462997036956412E-2</v>
      </c>
      <c r="V22" t="s">
        <v>163</v>
      </c>
      <c r="X22">
        <v>2.0547945205479451E-2</v>
      </c>
      <c r="Y22">
        <v>3.5502075926708607E-2</v>
      </c>
      <c r="Z22" t="s">
        <v>349</v>
      </c>
      <c r="AA22" t="s">
        <v>25</v>
      </c>
      <c r="AC22" t="s">
        <v>22</v>
      </c>
      <c r="AD22" t="s">
        <v>349</v>
      </c>
      <c r="AE22">
        <v>1.6766228749922545E-2</v>
      </c>
      <c r="AG22" t="s">
        <v>98</v>
      </c>
      <c r="AH22" t="s">
        <v>349</v>
      </c>
      <c r="AI22">
        <v>0.10030162891759398</v>
      </c>
      <c r="AK22">
        <v>2022</v>
      </c>
      <c r="AL22" t="s">
        <v>337</v>
      </c>
      <c r="AM22">
        <v>0.19430463407814128</v>
      </c>
      <c r="AN22" t="s">
        <v>289</v>
      </c>
    </row>
    <row r="23" spans="9:40" x14ac:dyDescent="0.45">
      <c r="I23" t="s">
        <v>175</v>
      </c>
      <c r="J23" t="s">
        <v>338</v>
      </c>
      <c r="K23">
        <v>0.1950385107595291</v>
      </c>
      <c r="L23" t="s">
        <v>163</v>
      </c>
      <c r="N23" t="s">
        <v>206</v>
      </c>
      <c r="O23" t="s">
        <v>338</v>
      </c>
      <c r="P23">
        <v>0.13721805111894683</v>
      </c>
      <c r="Q23" t="s">
        <v>163</v>
      </c>
      <c r="S23" t="s">
        <v>237</v>
      </c>
      <c r="T23" t="s">
        <v>338</v>
      </c>
      <c r="U23">
        <v>0.14490084094191558</v>
      </c>
      <c r="V23" t="s">
        <v>163</v>
      </c>
      <c r="AC23" t="s">
        <v>19</v>
      </c>
      <c r="AD23" t="s">
        <v>338</v>
      </c>
      <c r="AE23">
        <v>0.11445216924341277</v>
      </c>
      <c r="AK23">
        <v>2025</v>
      </c>
      <c r="AL23" t="s">
        <v>332</v>
      </c>
      <c r="AM23">
        <v>0.20649999999999999</v>
      </c>
      <c r="AN23" t="s">
        <v>289</v>
      </c>
    </row>
    <row r="24" spans="9:40" x14ac:dyDescent="0.45">
      <c r="I24" t="s">
        <v>175</v>
      </c>
      <c r="J24" t="s">
        <v>339</v>
      </c>
      <c r="K24">
        <v>0</v>
      </c>
      <c r="L24" t="s">
        <v>163</v>
      </c>
      <c r="N24" t="s">
        <v>206</v>
      </c>
      <c r="O24" t="s">
        <v>339</v>
      </c>
      <c r="P24">
        <v>0.14423911213822191</v>
      </c>
      <c r="Q24" t="s">
        <v>163</v>
      </c>
      <c r="S24" t="s">
        <v>237</v>
      </c>
      <c r="T24" t="s">
        <v>339</v>
      </c>
      <c r="U24">
        <v>0.14623838411513643</v>
      </c>
      <c r="V24" t="s">
        <v>163</v>
      </c>
      <c r="AC24" t="s">
        <v>19</v>
      </c>
      <c r="AD24" t="s">
        <v>339</v>
      </c>
      <c r="AE24">
        <v>0.11429900077790699</v>
      </c>
      <c r="AK24">
        <v>2025</v>
      </c>
      <c r="AL24" t="s">
        <v>334</v>
      </c>
      <c r="AM24">
        <v>0.27543333333333336</v>
      </c>
      <c r="AN24" t="s">
        <v>289</v>
      </c>
    </row>
    <row r="25" spans="9:40" x14ac:dyDescent="0.45">
      <c r="I25" t="s">
        <v>175</v>
      </c>
      <c r="J25" t="s">
        <v>340</v>
      </c>
      <c r="K25">
        <v>9.134325079011657E-3</v>
      </c>
      <c r="L25" t="s">
        <v>163</v>
      </c>
      <c r="N25" t="s">
        <v>206</v>
      </c>
      <c r="O25" t="s">
        <v>340</v>
      </c>
      <c r="P25">
        <v>2.5451360653848686E-2</v>
      </c>
      <c r="Q25" t="s">
        <v>163</v>
      </c>
      <c r="S25" t="s">
        <v>237</v>
      </c>
      <c r="T25" t="s">
        <v>340</v>
      </c>
      <c r="U25">
        <v>2.6512641079864046E-2</v>
      </c>
      <c r="V25" t="s">
        <v>163</v>
      </c>
      <c r="AC25" t="s">
        <v>19</v>
      </c>
      <c r="AD25" t="s">
        <v>340</v>
      </c>
      <c r="AE25">
        <v>2.0422813887109179E-2</v>
      </c>
      <c r="AK25">
        <v>2025</v>
      </c>
      <c r="AL25" t="s">
        <v>335</v>
      </c>
      <c r="AM25">
        <v>0.29716666666666663</v>
      </c>
      <c r="AN25" t="s">
        <v>289</v>
      </c>
    </row>
    <row r="26" spans="9:40" x14ac:dyDescent="0.45">
      <c r="I26" t="s">
        <v>175</v>
      </c>
      <c r="J26" t="s">
        <v>341</v>
      </c>
      <c r="K26">
        <v>0.28648418392126751</v>
      </c>
      <c r="L26" t="s">
        <v>163</v>
      </c>
      <c r="N26" t="s">
        <v>206</v>
      </c>
      <c r="O26" t="s">
        <v>341</v>
      </c>
      <c r="P26">
        <v>9.8814892036260635E-2</v>
      </c>
      <c r="Q26" t="s">
        <v>163</v>
      </c>
      <c r="S26" t="s">
        <v>237</v>
      </c>
      <c r="T26" t="s">
        <v>341</v>
      </c>
      <c r="U26">
        <v>8.9855740848987981E-2</v>
      </c>
      <c r="V26" t="s">
        <v>163</v>
      </c>
      <c r="AC26" t="s">
        <v>19</v>
      </c>
      <c r="AD26" t="s">
        <v>341</v>
      </c>
      <c r="AE26">
        <v>0.11573697199735476</v>
      </c>
      <c r="AK26">
        <v>2025</v>
      </c>
      <c r="AL26" t="s">
        <v>337</v>
      </c>
      <c r="AM26">
        <v>0.19586666666666666</v>
      </c>
      <c r="AN26" t="s">
        <v>289</v>
      </c>
    </row>
    <row r="27" spans="9:40" x14ac:dyDescent="0.45">
      <c r="I27" t="s">
        <v>175</v>
      </c>
      <c r="J27" t="s">
        <v>342</v>
      </c>
      <c r="K27">
        <v>1.6962196404228587E-3</v>
      </c>
      <c r="L27" t="s">
        <v>163</v>
      </c>
      <c r="N27" t="s">
        <v>206</v>
      </c>
      <c r="O27" t="s">
        <v>342</v>
      </c>
      <c r="P27">
        <v>0.10243125782691286</v>
      </c>
      <c r="Q27" t="s">
        <v>163</v>
      </c>
      <c r="S27" t="s">
        <v>237</v>
      </c>
      <c r="T27" t="s">
        <v>342</v>
      </c>
      <c r="U27">
        <v>9.1219463859956995E-2</v>
      </c>
      <c r="V27" t="s">
        <v>163</v>
      </c>
      <c r="AC27" t="s">
        <v>19</v>
      </c>
      <c r="AD27" t="s">
        <v>342</v>
      </c>
      <c r="AE27">
        <v>0.1155417880206876</v>
      </c>
      <c r="AK27">
        <v>2026</v>
      </c>
      <c r="AL27" t="s">
        <v>332</v>
      </c>
      <c r="AM27">
        <v>0.19673333333333334</v>
      </c>
      <c r="AN27" t="s">
        <v>289</v>
      </c>
    </row>
    <row r="28" spans="9:40" x14ac:dyDescent="0.45">
      <c r="I28" t="s">
        <v>175</v>
      </c>
      <c r="J28" t="s">
        <v>343</v>
      </c>
      <c r="K28">
        <v>2.7413863182442558E-2</v>
      </c>
      <c r="L28" t="s">
        <v>163</v>
      </c>
      <c r="N28" t="s">
        <v>206</v>
      </c>
      <c r="O28" t="s">
        <v>343</v>
      </c>
      <c r="P28">
        <v>1.817067887745738E-2</v>
      </c>
      <c r="Q28" t="s">
        <v>163</v>
      </c>
      <c r="S28" t="s">
        <v>237</v>
      </c>
      <c r="T28" t="s">
        <v>343</v>
      </c>
      <c r="U28">
        <v>1.5073672785023548E-2</v>
      </c>
      <c r="V28" t="s">
        <v>163</v>
      </c>
      <c r="AC28" t="s">
        <v>19</v>
      </c>
      <c r="AD28" t="s">
        <v>343</v>
      </c>
      <c r="AE28">
        <v>2.0621938735907997E-2</v>
      </c>
      <c r="AK28">
        <v>2026</v>
      </c>
      <c r="AL28" t="s">
        <v>334</v>
      </c>
      <c r="AM28">
        <v>0.28056666666666669</v>
      </c>
      <c r="AN28" t="s">
        <v>289</v>
      </c>
    </row>
    <row r="29" spans="9:40" x14ac:dyDescent="0.45">
      <c r="I29" t="s">
        <v>175</v>
      </c>
      <c r="J29" t="s">
        <v>344</v>
      </c>
      <c r="K29">
        <v>0.26409291756467029</v>
      </c>
      <c r="L29" t="s">
        <v>163</v>
      </c>
      <c r="N29" t="s">
        <v>206</v>
      </c>
      <c r="O29" t="s">
        <v>344</v>
      </c>
      <c r="P29">
        <v>8.2796429894970963E-2</v>
      </c>
      <c r="Q29" t="s">
        <v>163</v>
      </c>
      <c r="S29" t="s">
        <v>237</v>
      </c>
      <c r="T29" t="s">
        <v>344</v>
      </c>
      <c r="U29">
        <v>7.5045398054235449E-2</v>
      </c>
      <c r="V29" t="s">
        <v>163</v>
      </c>
      <c r="AC29" t="s">
        <v>19</v>
      </c>
      <c r="AD29" t="s">
        <v>344</v>
      </c>
      <c r="AE29">
        <v>0.11586359071153303</v>
      </c>
      <c r="AK29">
        <v>2026</v>
      </c>
      <c r="AL29" t="s">
        <v>335</v>
      </c>
      <c r="AM29">
        <v>0.30223333333333335</v>
      </c>
      <c r="AN29" t="s">
        <v>289</v>
      </c>
    </row>
    <row r="30" spans="9:40" x14ac:dyDescent="0.45">
      <c r="I30" t="s">
        <v>175</v>
      </c>
      <c r="J30" t="s">
        <v>345</v>
      </c>
      <c r="K30">
        <v>5.5108451810873876E-3</v>
      </c>
      <c r="L30" t="s">
        <v>163</v>
      </c>
      <c r="N30" t="s">
        <v>206</v>
      </c>
      <c r="O30" t="s">
        <v>345</v>
      </c>
      <c r="P30">
        <v>9.5401989090642125E-2</v>
      </c>
      <c r="Q30" t="s">
        <v>163</v>
      </c>
      <c r="S30" t="s">
        <v>237</v>
      </c>
      <c r="T30" t="s">
        <v>345</v>
      </c>
      <c r="U30">
        <v>8.5721246166393109E-2</v>
      </c>
      <c r="V30" t="s">
        <v>163</v>
      </c>
      <c r="AC30" t="s">
        <v>19</v>
      </c>
      <c r="AD30" t="s">
        <v>345</v>
      </c>
      <c r="AE30">
        <v>0.11565849398210441</v>
      </c>
      <c r="AK30">
        <v>2026</v>
      </c>
      <c r="AL30" t="s">
        <v>337</v>
      </c>
      <c r="AM30">
        <v>0.19163333333333332</v>
      </c>
      <c r="AN30" t="s">
        <v>289</v>
      </c>
    </row>
    <row r="31" spans="9:40" x14ac:dyDescent="0.45">
      <c r="I31" t="s">
        <v>175</v>
      </c>
      <c r="J31" t="s">
        <v>346</v>
      </c>
      <c r="K31">
        <v>3.0511717792770381E-2</v>
      </c>
      <c r="L31" t="s">
        <v>163</v>
      </c>
      <c r="N31" t="s">
        <v>206</v>
      </c>
      <c r="O31" t="s">
        <v>346</v>
      </c>
      <c r="P31">
        <v>1.4295270762612843E-2</v>
      </c>
      <c r="Q31" t="s">
        <v>163</v>
      </c>
      <c r="S31" t="s">
        <v>237</v>
      </c>
      <c r="T31" t="s">
        <v>346</v>
      </c>
      <c r="U31">
        <v>1.2693110686720783E-2</v>
      </c>
      <c r="V31" t="s">
        <v>163</v>
      </c>
      <c r="AC31" t="s">
        <v>19</v>
      </c>
      <c r="AD31" t="s">
        <v>346</v>
      </c>
      <c r="AE31">
        <v>2.0625350106357077E-2</v>
      </c>
      <c r="AK31">
        <v>2027</v>
      </c>
      <c r="AL31" t="s">
        <v>332</v>
      </c>
      <c r="AM31">
        <v>0.20446666666666666</v>
      </c>
      <c r="AN31" t="s">
        <v>289</v>
      </c>
    </row>
    <row r="32" spans="9:40" x14ac:dyDescent="0.45">
      <c r="I32" t="s">
        <v>175</v>
      </c>
      <c r="J32" t="s">
        <v>347</v>
      </c>
      <c r="K32">
        <v>0.17524734138540699</v>
      </c>
      <c r="L32" t="s">
        <v>163</v>
      </c>
      <c r="N32" t="s">
        <v>206</v>
      </c>
      <c r="O32" t="s">
        <v>347</v>
      </c>
      <c r="P32">
        <v>0.12511638938112418</v>
      </c>
      <c r="Q32" t="s">
        <v>163</v>
      </c>
      <c r="S32" t="s">
        <v>237</v>
      </c>
      <c r="T32" t="s">
        <v>347</v>
      </c>
      <c r="U32">
        <v>0.13665280473237332</v>
      </c>
      <c r="V32" t="s">
        <v>163</v>
      </c>
      <c r="AC32" t="s">
        <v>19</v>
      </c>
      <c r="AD32" t="s">
        <v>347</v>
      </c>
      <c r="AE32">
        <v>0.11343708900092409</v>
      </c>
      <c r="AK32">
        <v>2027</v>
      </c>
      <c r="AL32" t="s">
        <v>334</v>
      </c>
      <c r="AM32">
        <v>0.29189999999999999</v>
      </c>
      <c r="AN32" t="s">
        <v>289</v>
      </c>
    </row>
    <row r="33" spans="9:40" x14ac:dyDescent="0.45">
      <c r="I33" t="s">
        <v>175</v>
      </c>
      <c r="J33" t="s">
        <v>348</v>
      </c>
      <c r="K33">
        <v>0</v>
      </c>
      <c r="L33" t="s">
        <v>163</v>
      </c>
      <c r="N33" t="s">
        <v>206</v>
      </c>
      <c r="O33" t="s">
        <v>348</v>
      </c>
      <c r="P33">
        <v>0.13165213753668675</v>
      </c>
      <c r="Q33" t="s">
        <v>163</v>
      </c>
      <c r="S33" t="s">
        <v>237</v>
      </c>
      <c r="T33" t="s">
        <v>348</v>
      </c>
      <c r="U33">
        <v>0.15088109480655879</v>
      </c>
      <c r="V33" t="s">
        <v>163</v>
      </c>
      <c r="AC33" t="s">
        <v>19</v>
      </c>
      <c r="AD33" t="s">
        <v>348</v>
      </c>
      <c r="AE33">
        <v>0.11319697563830786</v>
      </c>
      <c r="AK33">
        <v>2027</v>
      </c>
      <c r="AL33" t="s">
        <v>335</v>
      </c>
      <c r="AM33">
        <v>0.28860000000000002</v>
      </c>
      <c r="AN33" t="s">
        <v>289</v>
      </c>
    </row>
    <row r="34" spans="9:40" x14ac:dyDescent="0.45">
      <c r="I34" t="s">
        <v>175</v>
      </c>
      <c r="J34" t="s">
        <v>349</v>
      </c>
      <c r="K34">
        <v>4.8700754933900638E-3</v>
      </c>
      <c r="L34" t="s">
        <v>163</v>
      </c>
      <c r="N34" t="s">
        <v>206</v>
      </c>
      <c r="O34" t="s">
        <v>349</v>
      </c>
      <c r="P34">
        <v>2.4412430682313482E-2</v>
      </c>
      <c r="Q34" t="s">
        <v>163</v>
      </c>
      <c r="S34" t="s">
        <v>237</v>
      </c>
      <c r="T34" t="s">
        <v>349</v>
      </c>
      <c r="U34">
        <v>2.5205601922836621E-2</v>
      </c>
      <c r="V34" t="s">
        <v>163</v>
      </c>
      <c r="AC34" t="s">
        <v>19</v>
      </c>
      <c r="AD34" t="s">
        <v>349</v>
      </c>
      <c r="AE34">
        <v>2.0143817898394204E-2</v>
      </c>
      <c r="AK34">
        <v>2027</v>
      </c>
      <c r="AL34" t="s">
        <v>337</v>
      </c>
      <c r="AM34">
        <v>0.18129999999999999</v>
      </c>
      <c r="AN34" t="s">
        <v>289</v>
      </c>
    </row>
    <row r="35" spans="9:40" x14ac:dyDescent="0.45">
      <c r="I35" t="s">
        <v>176</v>
      </c>
      <c r="J35" t="s">
        <v>338</v>
      </c>
      <c r="K35">
        <v>0.1964535545101333</v>
      </c>
      <c r="L35" t="s">
        <v>163</v>
      </c>
      <c r="N35" t="s">
        <v>207</v>
      </c>
      <c r="O35" t="s">
        <v>338</v>
      </c>
      <c r="P35">
        <v>0.15554071181224793</v>
      </c>
      <c r="Q35" t="s">
        <v>163</v>
      </c>
      <c r="S35" t="s">
        <v>238</v>
      </c>
      <c r="T35" t="s">
        <v>338</v>
      </c>
      <c r="U35">
        <v>0.13208682113746961</v>
      </c>
      <c r="V35" t="s">
        <v>163</v>
      </c>
      <c r="AK35">
        <v>2028</v>
      </c>
      <c r="AL35" t="s">
        <v>332</v>
      </c>
      <c r="AM35">
        <v>0.20706666666666665</v>
      </c>
      <c r="AN35" t="s">
        <v>289</v>
      </c>
    </row>
    <row r="36" spans="9:40" x14ac:dyDescent="0.45">
      <c r="I36" t="s">
        <v>176</v>
      </c>
      <c r="J36" t="s">
        <v>339</v>
      </c>
      <c r="K36">
        <v>0</v>
      </c>
      <c r="L36" t="s">
        <v>163</v>
      </c>
      <c r="N36" t="s">
        <v>207</v>
      </c>
      <c r="O36" t="s">
        <v>339</v>
      </c>
      <c r="P36">
        <v>0.15312347625583145</v>
      </c>
      <c r="Q36" t="s">
        <v>163</v>
      </c>
      <c r="S36" t="s">
        <v>238</v>
      </c>
      <c r="T36" t="s">
        <v>339</v>
      </c>
      <c r="U36">
        <v>0.13588949484376969</v>
      </c>
      <c r="V36" t="s">
        <v>163</v>
      </c>
      <c r="AK36">
        <v>2028</v>
      </c>
      <c r="AL36" t="s">
        <v>334</v>
      </c>
      <c r="AM36">
        <v>0.29613333333333336</v>
      </c>
      <c r="AN36" t="s">
        <v>289</v>
      </c>
    </row>
    <row r="37" spans="9:40" x14ac:dyDescent="0.45">
      <c r="I37" t="s">
        <v>176</v>
      </c>
      <c r="J37" t="s">
        <v>340</v>
      </c>
      <c r="K37">
        <v>6.1382471346211036E-3</v>
      </c>
      <c r="L37" t="s">
        <v>163</v>
      </c>
      <c r="N37" t="s">
        <v>207</v>
      </c>
      <c r="O37" t="s">
        <v>340</v>
      </c>
      <c r="P37">
        <v>2.9819243669669124E-2</v>
      </c>
      <c r="Q37" t="s">
        <v>163</v>
      </c>
      <c r="S37" t="s">
        <v>238</v>
      </c>
      <c r="T37" t="s">
        <v>340</v>
      </c>
      <c r="U37">
        <v>2.4506304070362719E-2</v>
      </c>
      <c r="V37" t="s">
        <v>163</v>
      </c>
      <c r="AK37">
        <v>2028</v>
      </c>
      <c r="AL37" t="s">
        <v>335</v>
      </c>
      <c r="AM37">
        <v>0.30693333333333334</v>
      </c>
      <c r="AN37" t="s">
        <v>289</v>
      </c>
    </row>
    <row r="38" spans="9:40" x14ac:dyDescent="0.45">
      <c r="I38" t="s">
        <v>176</v>
      </c>
      <c r="J38" t="s">
        <v>341</v>
      </c>
      <c r="K38">
        <v>0.28075583490866579</v>
      </c>
      <c r="L38" t="s">
        <v>163</v>
      </c>
      <c r="N38" t="s">
        <v>207</v>
      </c>
      <c r="O38" t="s">
        <v>341</v>
      </c>
      <c r="P38">
        <v>0.12181051167370134</v>
      </c>
      <c r="Q38" t="s">
        <v>163</v>
      </c>
      <c r="S38" t="s">
        <v>238</v>
      </c>
      <c r="T38" t="s">
        <v>341</v>
      </c>
      <c r="U38">
        <v>0.10053263954216238</v>
      </c>
      <c r="V38" t="s">
        <v>163</v>
      </c>
      <c r="AK38">
        <v>2028</v>
      </c>
      <c r="AL38" t="s">
        <v>337</v>
      </c>
      <c r="AM38">
        <v>0.18446666666666667</v>
      </c>
      <c r="AN38" t="s">
        <v>289</v>
      </c>
    </row>
    <row r="39" spans="9:40" x14ac:dyDescent="0.45">
      <c r="I39" t="s">
        <v>176</v>
      </c>
      <c r="J39" t="s">
        <v>342</v>
      </c>
      <c r="K39">
        <v>1.7965214006994466E-3</v>
      </c>
      <c r="L39" t="s">
        <v>163</v>
      </c>
      <c r="N39" t="s">
        <v>207</v>
      </c>
      <c r="O39" t="s">
        <v>342</v>
      </c>
      <c r="P39">
        <v>0.11528451252398683</v>
      </c>
      <c r="Q39" t="s">
        <v>163</v>
      </c>
      <c r="S39" t="s">
        <v>238</v>
      </c>
      <c r="T39" t="s">
        <v>342</v>
      </c>
      <c r="U39">
        <v>0.10417177025905354</v>
      </c>
      <c r="V39" t="s">
        <v>163</v>
      </c>
      <c r="AK39">
        <v>2029</v>
      </c>
      <c r="AL39" t="s">
        <v>332</v>
      </c>
      <c r="AM39">
        <v>0.24726666666666666</v>
      </c>
      <c r="AN39" t="s">
        <v>289</v>
      </c>
    </row>
    <row r="40" spans="9:40" x14ac:dyDescent="0.45">
      <c r="I40" t="s">
        <v>176</v>
      </c>
      <c r="J40" t="s">
        <v>343</v>
      </c>
      <c r="K40">
        <v>2.4110658794389807E-2</v>
      </c>
      <c r="L40" t="s">
        <v>163</v>
      </c>
      <c r="N40" t="s">
        <v>207</v>
      </c>
      <c r="O40" t="s">
        <v>343</v>
      </c>
      <c r="P40">
        <v>2.32643967817554E-2</v>
      </c>
      <c r="Q40" t="s">
        <v>163</v>
      </c>
      <c r="S40" t="s">
        <v>238</v>
      </c>
      <c r="T40" t="s">
        <v>343</v>
      </c>
      <c r="U40">
        <v>1.8506284044832122E-2</v>
      </c>
      <c r="V40" t="s">
        <v>163</v>
      </c>
      <c r="AK40">
        <v>2029</v>
      </c>
      <c r="AL40" t="s">
        <v>334</v>
      </c>
      <c r="AM40">
        <v>0.35266666666666663</v>
      </c>
      <c r="AN40" t="s">
        <v>289</v>
      </c>
    </row>
    <row r="41" spans="9:40" x14ac:dyDescent="0.45">
      <c r="I41" t="s">
        <v>176</v>
      </c>
      <c r="J41" t="s">
        <v>344</v>
      </c>
      <c r="K41">
        <v>0.25053263103225654</v>
      </c>
      <c r="L41" t="s">
        <v>163</v>
      </c>
      <c r="N41" t="s">
        <v>207</v>
      </c>
      <c r="O41" t="s">
        <v>344</v>
      </c>
      <c r="P41">
        <v>5.6591342018789577E-2</v>
      </c>
      <c r="Q41" t="s">
        <v>163</v>
      </c>
      <c r="S41" t="s">
        <v>238</v>
      </c>
      <c r="T41" t="s">
        <v>344</v>
      </c>
      <c r="U41">
        <v>9.2480384015994038E-2</v>
      </c>
      <c r="V41" t="s">
        <v>163</v>
      </c>
      <c r="AK41">
        <v>2029</v>
      </c>
      <c r="AL41" t="s">
        <v>335</v>
      </c>
      <c r="AM41">
        <v>0.37473333333333336</v>
      </c>
      <c r="AN41" t="s">
        <v>289</v>
      </c>
    </row>
    <row r="42" spans="9:40" x14ac:dyDescent="0.45">
      <c r="I42" t="s">
        <v>176</v>
      </c>
      <c r="J42" t="s">
        <v>345</v>
      </c>
      <c r="K42">
        <v>6.1029399666064441E-3</v>
      </c>
      <c r="L42" t="s">
        <v>163</v>
      </c>
      <c r="N42" t="s">
        <v>207</v>
      </c>
      <c r="O42" t="s">
        <v>345</v>
      </c>
      <c r="P42">
        <v>5.7345060544197989E-2</v>
      </c>
      <c r="Q42" t="s">
        <v>163</v>
      </c>
      <c r="S42" t="s">
        <v>238</v>
      </c>
      <c r="T42" t="s">
        <v>345</v>
      </c>
      <c r="U42">
        <v>0.10724187255374099</v>
      </c>
      <c r="V42" t="s">
        <v>163</v>
      </c>
      <c r="AK42">
        <v>2029</v>
      </c>
      <c r="AL42" t="s">
        <v>337</v>
      </c>
      <c r="AM42">
        <v>0.21963333333333332</v>
      </c>
      <c r="AN42" t="s">
        <v>289</v>
      </c>
    </row>
    <row r="43" spans="9:40" x14ac:dyDescent="0.45">
      <c r="I43" t="s">
        <v>176</v>
      </c>
      <c r="J43" t="s">
        <v>346</v>
      </c>
      <c r="K43">
        <v>2.6741906884121095E-2</v>
      </c>
      <c r="L43" t="s">
        <v>163</v>
      </c>
      <c r="N43" t="s">
        <v>207</v>
      </c>
      <c r="O43" t="s">
        <v>346</v>
      </c>
      <c r="P43">
        <v>1.0103937970244095E-2</v>
      </c>
      <c r="Q43" t="s">
        <v>163</v>
      </c>
      <c r="S43" t="s">
        <v>238</v>
      </c>
      <c r="T43" t="s">
        <v>346</v>
      </c>
      <c r="U43">
        <v>1.6498765879071932E-2</v>
      </c>
      <c r="V43" t="s">
        <v>163</v>
      </c>
      <c r="AK43">
        <v>2030</v>
      </c>
      <c r="AL43" t="s">
        <v>332</v>
      </c>
      <c r="AM43">
        <v>0.26043333333333335</v>
      </c>
      <c r="AN43" t="s">
        <v>289</v>
      </c>
    </row>
    <row r="44" spans="9:40" x14ac:dyDescent="0.45">
      <c r="I44" t="s">
        <v>176</v>
      </c>
      <c r="J44" t="s">
        <v>347</v>
      </c>
      <c r="K44">
        <v>0.20310630833061274</v>
      </c>
      <c r="L44" t="s">
        <v>163</v>
      </c>
      <c r="N44" t="s">
        <v>207</v>
      </c>
      <c r="O44" t="s">
        <v>347</v>
      </c>
      <c r="P44">
        <v>0.12301579804972924</v>
      </c>
      <c r="Q44" t="s">
        <v>163</v>
      </c>
      <c r="S44" t="s">
        <v>238</v>
      </c>
      <c r="T44" t="s">
        <v>347</v>
      </c>
      <c r="U44">
        <v>0.12369742031453765</v>
      </c>
      <c r="V44" t="s">
        <v>163</v>
      </c>
      <c r="AK44">
        <v>2030</v>
      </c>
      <c r="AL44" t="s">
        <v>334</v>
      </c>
      <c r="AM44">
        <v>0.35720000000000002</v>
      </c>
      <c r="AN44" t="s">
        <v>289</v>
      </c>
    </row>
    <row r="45" spans="9:40" x14ac:dyDescent="0.45">
      <c r="I45" t="s">
        <v>176</v>
      </c>
      <c r="J45" t="s">
        <v>348</v>
      </c>
      <c r="K45">
        <v>0</v>
      </c>
      <c r="L45" t="s">
        <v>163</v>
      </c>
      <c r="N45" t="s">
        <v>207</v>
      </c>
      <c r="O45" t="s">
        <v>348</v>
      </c>
      <c r="P45">
        <v>0.1285069065313944</v>
      </c>
      <c r="Q45" t="s">
        <v>163</v>
      </c>
      <c r="S45" t="s">
        <v>238</v>
      </c>
      <c r="T45" t="s">
        <v>348</v>
      </c>
      <c r="U45">
        <v>0.12108245811926524</v>
      </c>
      <c r="V45" t="s">
        <v>163</v>
      </c>
      <c r="AK45">
        <v>2030</v>
      </c>
      <c r="AL45" t="s">
        <v>335</v>
      </c>
      <c r="AM45">
        <v>0.35946666666666666</v>
      </c>
      <c r="AN45" t="s">
        <v>289</v>
      </c>
    </row>
    <row r="46" spans="9:40" x14ac:dyDescent="0.45">
      <c r="I46" t="s">
        <v>176</v>
      </c>
      <c r="J46" t="s">
        <v>349</v>
      </c>
      <c r="K46">
        <v>4.2613970378909431E-3</v>
      </c>
      <c r="L46" t="s">
        <v>163</v>
      </c>
      <c r="N46" t="s">
        <v>207</v>
      </c>
      <c r="O46" t="s">
        <v>349</v>
      </c>
      <c r="P46">
        <v>2.5594102168454032E-2</v>
      </c>
      <c r="Q46" t="s">
        <v>163</v>
      </c>
      <c r="S46" t="s">
        <v>238</v>
      </c>
      <c r="T46" t="s">
        <v>349</v>
      </c>
      <c r="U46">
        <v>2.3305785219738542E-2</v>
      </c>
      <c r="V46" t="s">
        <v>163</v>
      </c>
      <c r="AK46">
        <v>2030</v>
      </c>
      <c r="AL46" t="s">
        <v>337</v>
      </c>
      <c r="AM46">
        <v>0.22219999999999998</v>
      </c>
      <c r="AN46" t="s">
        <v>289</v>
      </c>
    </row>
    <row r="47" spans="9:40" x14ac:dyDescent="0.45">
      <c r="I47" t="s">
        <v>177</v>
      </c>
      <c r="J47" t="s">
        <v>338</v>
      </c>
      <c r="K47">
        <v>0.19213750723745096</v>
      </c>
      <c r="L47" t="s">
        <v>163</v>
      </c>
      <c r="N47" t="s">
        <v>208</v>
      </c>
      <c r="O47" t="s">
        <v>338</v>
      </c>
      <c r="P47">
        <v>0.13418737829521554</v>
      </c>
      <c r="Q47" t="s">
        <v>163</v>
      </c>
      <c r="S47" t="s">
        <v>239</v>
      </c>
      <c r="T47" t="s">
        <v>338</v>
      </c>
      <c r="U47">
        <v>0.1386669776189382</v>
      </c>
      <c r="V47" t="s">
        <v>163</v>
      </c>
      <c r="AK47">
        <v>2031</v>
      </c>
      <c r="AL47" t="s">
        <v>332</v>
      </c>
      <c r="AM47">
        <v>0.25243333333333334</v>
      </c>
      <c r="AN47" t="s">
        <v>289</v>
      </c>
    </row>
    <row r="48" spans="9:40" x14ac:dyDescent="0.45">
      <c r="I48" t="s">
        <v>177</v>
      </c>
      <c r="J48" t="s">
        <v>339</v>
      </c>
      <c r="K48">
        <v>0</v>
      </c>
      <c r="L48" t="s">
        <v>163</v>
      </c>
      <c r="N48" t="s">
        <v>208</v>
      </c>
      <c r="O48" t="s">
        <v>339</v>
      </c>
      <c r="P48">
        <v>0.1344833170052204</v>
      </c>
      <c r="Q48" t="s">
        <v>163</v>
      </c>
      <c r="S48" t="s">
        <v>239</v>
      </c>
      <c r="T48" t="s">
        <v>339</v>
      </c>
      <c r="U48">
        <v>0.14391497150945756</v>
      </c>
      <c r="V48" t="s">
        <v>163</v>
      </c>
      <c r="AK48">
        <v>2031</v>
      </c>
      <c r="AL48" t="s">
        <v>334</v>
      </c>
      <c r="AM48">
        <v>0.36193333333333327</v>
      </c>
      <c r="AN48" t="s">
        <v>289</v>
      </c>
    </row>
    <row r="49" spans="9:40" x14ac:dyDescent="0.45">
      <c r="I49" t="s">
        <v>177</v>
      </c>
      <c r="J49" t="s">
        <v>340</v>
      </c>
      <c r="K49">
        <v>8.1021195686116956E-3</v>
      </c>
      <c r="L49" t="s">
        <v>163</v>
      </c>
      <c r="N49" t="s">
        <v>208</v>
      </c>
      <c r="O49" t="s">
        <v>340</v>
      </c>
      <c r="P49">
        <v>2.4827170640510977E-2</v>
      </c>
      <c r="Q49" t="s">
        <v>163</v>
      </c>
      <c r="S49" t="s">
        <v>239</v>
      </c>
      <c r="T49" t="s">
        <v>340</v>
      </c>
      <c r="U49">
        <v>2.601754054681802E-2</v>
      </c>
      <c r="V49" t="s">
        <v>163</v>
      </c>
      <c r="AK49">
        <v>2031</v>
      </c>
      <c r="AL49" t="s">
        <v>335</v>
      </c>
      <c r="AM49">
        <v>0.35790000000000005</v>
      </c>
      <c r="AN49" t="s">
        <v>289</v>
      </c>
    </row>
    <row r="50" spans="9:40" x14ac:dyDescent="0.45">
      <c r="I50" t="s">
        <v>177</v>
      </c>
      <c r="J50" t="s">
        <v>341</v>
      </c>
      <c r="K50">
        <v>0.28267465732085995</v>
      </c>
      <c r="L50" t="s">
        <v>163</v>
      </c>
      <c r="N50" t="s">
        <v>208</v>
      </c>
      <c r="O50" t="s">
        <v>341</v>
      </c>
      <c r="P50">
        <v>9.0712927505714192E-2</v>
      </c>
      <c r="Q50" t="s">
        <v>163</v>
      </c>
      <c r="S50" t="s">
        <v>239</v>
      </c>
      <c r="T50" t="s">
        <v>341</v>
      </c>
      <c r="U50">
        <v>0.10214840101983015</v>
      </c>
      <c r="V50" t="s">
        <v>163</v>
      </c>
      <c r="AK50">
        <v>2031</v>
      </c>
      <c r="AL50" t="s">
        <v>337</v>
      </c>
      <c r="AM50">
        <v>0.21673333333333333</v>
      </c>
      <c r="AN50" t="s">
        <v>289</v>
      </c>
    </row>
    <row r="51" spans="9:40" x14ac:dyDescent="0.45">
      <c r="I51" t="s">
        <v>177</v>
      </c>
      <c r="J51" t="s">
        <v>342</v>
      </c>
      <c r="K51">
        <v>2.0499067715805397E-3</v>
      </c>
      <c r="L51" t="s">
        <v>163</v>
      </c>
      <c r="N51" t="s">
        <v>208</v>
      </c>
      <c r="O51" t="s">
        <v>342</v>
      </c>
      <c r="P51">
        <v>9.5524368631296222E-2</v>
      </c>
      <c r="Q51" t="s">
        <v>163</v>
      </c>
      <c r="S51" t="s">
        <v>239</v>
      </c>
      <c r="T51" t="s">
        <v>342</v>
      </c>
      <c r="U51">
        <v>0.10137289597287415</v>
      </c>
      <c r="V51" t="s">
        <v>163</v>
      </c>
      <c r="AK51">
        <v>2032</v>
      </c>
      <c r="AL51" t="s">
        <v>332</v>
      </c>
      <c r="AM51">
        <v>0.23313333333333333</v>
      </c>
      <c r="AN51" t="s">
        <v>289</v>
      </c>
    </row>
    <row r="52" spans="9:40" x14ac:dyDescent="0.45">
      <c r="I52" t="s">
        <v>177</v>
      </c>
      <c r="J52" t="s">
        <v>343</v>
      </c>
      <c r="K52">
        <v>2.6392832893477363E-2</v>
      </c>
      <c r="L52" t="s">
        <v>163</v>
      </c>
      <c r="N52" t="s">
        <v>208</v>
      </c>
      <c r="O52" t="s">
        <v>343</v>
      </c>
      <c r="P52">
        <v>1.5811480813839981E-2</v>
      </c>
      <c r="Q52" t="s">
        <v>163</v>
      </c>
      <c r="S52" t="s">
        <v>239</v>
      </c>
      <c r="T52" t="s">
        <v>343</v>
      </c>
      <c r="U52">
        <v>1.8366527480941298E-2</v>
      </c>
      <c r="V52" t="s">
        <v>163</v>
      </c>
      <c r="AK52">
        <v>2032</v>
      </c>
      <c r="AL52" t="s">
        <v>334</v>
      </c>
      <c r="AM52">
        <v>0.32329999999999998</v>
      </c>
      <c r="AN52" t="s">
        <v>289</v>
      </c>
    </row>
    <row r="53" spans="9:40" x14ac:dyDescent="0.45">
      <c r="I53" t="s">
        <v>177</v>
      </c>
      <c r="J53" t="s">
        <v>344</v>
      </c>
      <c r="K53">
        <v>0.27039347475080983</v>
      </c>
      <c r="L53" t="s">
        <v>163</v>
      </c>
      <c r="N53" t="s">
        <v>208</v>
      </c>
      <c r="O53" t="s">
        <v>344</v>
      </c>
      <c r="P53">
        <v>8.0739129784307473E-2</v>
      </c>
      <c r="Q53" t="s">
        <v>163</v>
      </c>
      <c r="S53" t="s">
        <v>239</v>
      </c>
      <c r="T53" t="s">
        <v>344</v>
      </c>
      <c r="U53">
        <v>8.8222408719699094E-2</v>
      </c>
      <c r="V53" t="s">
        <v>163</v>
      </c>
      <c r="AK53">
        <v>2032</v>
      </c>
      <c r="AL53" t="s">
        <v>335</v>
      </c>
      <c r="AM53">
        <v>0.37810000000000005</v>
      </c>
      <c r="AN53" t="s">
        <v>289</v>
      </c>
    </row>
    <row r="54" spans="9:40" x14ac:dyDescent="0.45">
      <c r="I54" t="s">
        <v>177</v>
      </c>
      <c r="J54" t="s">
        <v>345</v>
      </c>
      <c r="K54">
        <v>6.4277624536769884E-3</v>
      </c>
      <c r="L54" t="s">
        <v>163</v>
      </c>
      <c r="N54" t="s">
        <v>208</v>
      </c>
      <c r="O54" t="s">
        <v>345</v>
      </c>
      <c r="P54">
        <v>9.6053800041851808E-2</v>
      </c>
      <c r="Q54" t="s">
        <v>163</v>
      </c>
      <c r="S54" t="s">
        <v>239</v>
      </c>
      <c r="T54" t="s">
        <v>345</v>
      </c>
      <c r="U54">
        <v>9.8768401392010013E-2</v>
      </c>
      <c r="V54" t="s">
        <v>163</v>
      </c>
      <c r="AK54">
        <v>2032</v>
      </c>
      <c r="AL54" t="s">
        <v>337</v>
      </c>
      <c r="AM54">
        <v>0.2268</v>
      </c>
      <c r="AN54" t="s">
        <v>289</v>
      </c>
    </row>
    <row r="55" spans="9:40" x14ac:dyDescent="0.45">
      <c r="I55" t="s">
        <v>177</v>
      </c>
      <c r="J55" t="s">
        <v>346</v>
      </c>
      <c r="K55">
        <v>3.2014048292006402E-2</v>
      </c>
      <c r="L55" t="s">
        <v>163</v>
      </c>
      <c r="N55" t="s">
        <v>208</v>
      </c>
      <c r="O55" t="s">
        <v>346</v>
      </c>
      <c r="P55">
        <v>1.4040304607946761E-2</v>
      </c>
      <c r="Q55" t="s">
        <v>163</v>
      </c>
      <c r="S55" t="s">
        <v>239</v>
      </c>
      <c r="T55" t="s">
        <v>346</v>
      </c>
      <c r="U55">
        <v>1.5668949820371605E-2</v>
      </c>
      <c r="V55" t="s">
        <v>163</v>
      </c>
      <c r="AK55">
        <v>2033</v>
      </c>
      <c r="AL55" t="s">
        <v>332</v>
      </c>
      <c r="AM55">
        <v>0.23543333333333336</v>
      </c>
      <c r="AN55" t="s">
        <v>289</v>
      </c>
    </row>
    <row r="56" spans="9:40" x14ac:dyDescent="0.45">
      <c r="I56" t="s">
        <v>177</v>
      </c>
      <c r="J56" t="s">
        <v>347</v>
      </c>
      <c r="K56">
        <v>0.17542585311893871</v>
      </c>
      <c r="L56" t="s">
        <v>163</v>
      </c>
      <c r="N56" t="s">
        <v>208</v>
      </c>
      <c r="O56" t="s">
        <v>347</v>
      </c>
      <c r="P56">
        <v>0.13997820074599626</v>
      </c>
      <c r="Q56" t="s">
        <v>163</v>
      </c>
      <c r="S56" t="s">
        <v>239</v>
      </c>
      <c r="T56" t="s">
        <v>347</v>
      </c>
      <c r="U56">
        <v>0.12050561767776073</v>
      </c>
      <c r="V56" t="s">
        <v>163</v>
      </c>
      <c r="AK56">
        <v>2033</v>
      </c>
      <c r="AL56" t="s">
        <v>334</v>
      </c>
      <c r="AM56">
        <v>0.34283333333333332</v>
      </c>
      <c r="AN56" t="s">
        <v>289</v>
      </c>
    </row>
    <row r="57" spans="9:40" x14ac:dyDescent="0.45">
      <c r="I57" t="s">
        <v>177</v>
      </c>
      <c r="J57" t="s">
        <v>348</v>
      </c>
      <c r="K57">
        <v>0</v>
      </c>
      <c r="L57" t="s">
        <v>163</v>
      </c>
      <c r="N57" t="s">
        <v>208</v>
      </c>
      <c r="O57" t="s">
        <v>348</v>
      </c>
      <c r="P57">
        <v>0.14774012493159314</v>
      </c>
      <c r="Q57" t="s">
        <v>163</v>
      </c>
      <c r="S57" t="s">
        <v>239</v>
      </c>
      <c r="T57" t="s">
        <v>348</v>
      </c>
      <c r="U57">
        <v>0.12268398530735354</v>
      </c>
      <c r="V57" t="s">
        <v>163</v>
      </c>
      <c r="AK57">
        <v>2033</v>
      </c>
      <c r="AL57" t="s">
        <v>335</v>
      </c>
      <c r="AM57">
        <v>0.35420000000000001</v>
      </c>
      <c r="AN57" t="s">
        <v>289</v>
      </c>
    </row>
    <row r="58" spans="9:40" x14ac:dyDescent="0.45">
      <c r="I58" t="s">
        <v>177</v>
      </c>
      <c r="J58" t="s">
        <v>349</v>
      </c>
      <c r="K58">
        <v>4.3818375925888213E-3</v>
      </c>
      <c r="L58" t="s">
        <v>163</v>
      </c>
      <c r="N58" t="s">
        <v>208</v>
      </c>
      <c r="O58" t="s">
        <v>349</v>
      </c>
      <c r="P58">
        <v>2.5901796996507295E-2</v>
      </c>
      <c r="Q58" t="s">
        <v>163</v>
      </c>
      <c r="S58" t="s">
        <v>239</v>
      </c>
      <c r="T58" t="s">
        <v>349</v>
      </c>
      <c r="U58">
        <v>2.3663322933944967E-2</v>
      </c>
      <c r="V58" t="s">
        <v>163</v>
      </c>
      <c r="AK58">
        <v>2033</v>
      </c>
      <c r="AL58" t="s">
        <v>337</v>
      </c>
      <c r="AM58">
        <v>0.21426666666666669</v>
      </c>
      <c r="AN58" t="s">
        <v>289</v>
      </c>
    </row>
    <row r="59" spans="9:40" x14ac:dyDescent="0.45">
      <c r="I59" t="s">
        <v>178</v>
      </c>
      <c r="J59" t="s">
        <v>338</v>
      </c>
      <c r="K59">
        <v>0.1974134743183027</v>
      </c>
      <c r="L59" t="s">
        <v>163</v>
      </c>
      <c r="N59" t="s">
        <v>209</v>
      </c>
      <c r="O59" t="s">
        <v>338</v>
      </c>
      <c r="P59">
        <v>0.11973313642035659</v>
      </c>
      <c r="Q59" t="s">
        <v>163</v>
      </c>
      <c r="S59" t="s">
        <v>240</v>
      </c>
      <c r="T59" t="s">
        <v>338</v>
      </c>
      <c r="U59">
        <v>0.15393726906413277</v>
      </c>
      <c r="V59" t="s">
        <v>163</v>
      </c>
      <c r="AK59">
        <v>2034</v>
      </c>
      <c r="AL59" t="s">
        <v>332</v>
      </c>
      <c r="AM59">
        <v>0.25466666666666665</v>
      </c>
      <c r="AN59" t="s">
        <v>289</v>
      </c>
    </row>
    <row r="60" spans="9:40" x14ac:dyDescent="0.45">
      <c r="I60" t="s">
        <v>178</v>
      </c>
      <c r="J60" t="s">
        <v>339</v>
      </c>
      <c r="K60">
        <v>0</v>
      </c>
      <c r="L60" t="s">
        <v>163</v>
      </c>
      <c r="N60" t="s">
        <v>209</v>
      </c>
      <c r="O60" t="s">
        <v>339</v>
      </c>
      <c r="P60">
        <v>0.12238987892545589</v>
      </c>
      <c r="Q60" t="s">
        <v>163</v>
      </c>
      <c r="S60" t="s">
        <v>240</v>
      </c>
      <c r="T60" t="s">
        <v>339</v>
      </c>
      <c r="U60">
        <v>0.15563836554198632</v>
      </c>
      <c r="V60" t="s">
        <v>163</v>
      </c>
      <c r="AK60">
        <v>2034</v>
      </c>
      <c r="AL60" t="s">
        <v>334</v>
      </c>
      <c r="AM60">
        <v>0.3402</v>
      </c>
      <c r="AN60" t="s">
        <v>289</v>
      </c>
    </row>
    <row r="61" spans="9:40" x14ac:dyDescent="0.45">
      <c r="I61" t="s">
        <v>178</v>
      </c>
      <c r="J61" t="s">
        <v>340</v>
      </c>
      <c r="K61">
        <v>8.2155003312624503E-3</v>
      </c>
      <c r="L61" t="s">
        <v>163</v>
      </c>
      <c r="N61" t="s">
        <v>209</v>
      </c>
      <c r="O61" t="s">
        <v>340</v>
      </c>
      <c r="P61">
        <v>2.3485748142285861E-2</v>
      </c>
      <c r="Q61" t="s">
        <v>163</v>
      </c>
      <c r="S61" t="s">
        <v>240</v>
      </c>
      <c r="T61" t="s">
        <v>340</v>
      </c>
      <c r="U61">
        <v>3.0535527804469616E-2</v>
      </c>
      <c r="V61" t="s">
        <v>163</v>
      </c>
      <c r="AK61">
        <v>2034</v>
      </c>
      <c r="AL61" t="s">
        <v>335</v>
      </c>
      <c r="AM61">
        <v>0.37543333333333334</v>
      </c>
      <c r="AN61" t="s">
        <v>289</v>
      </c>
    </row>
    <row r="62" spans="9:40" x14ac:dyDescent="0.45">
      <c r="I62" t="s">
        <v>178</v>
      </c>
      <c r="J62" t="s">
        <v>341</v>
      </c>
      <c r="K62">
        <v>0.27802902975683369</v>
      </c>
      <c r="L62" t="s">
        <v>163</v>
      </c>
      <c r="N62" t="s">
        <v>209</v>
      </c>
      <c r="O62" t="s">
        <v>341</v>
      </c>
      <c r="P62">
        <v>0.12294900954431653</v>
      </c>
      <c r="Q62" t="s">
        <v>163</v>
      </c>
      <c r="S62" t="s">
        <v>240</v>
      </c>
      <c r="T62" t="s">
        <v>341</v>
      </c>
      <c r="U62">
        <v>9.5318969460313249E-2</v>
      </c>
      <c r="V62" t="s">
        <v>163</v>
      </c>
      <c r="AK62">
        <v>2034</v>
      </c>
      <c r="AL62" t="s">
        <v>337</v>
      </c>
      <c r="AM62">
        <v>0.22676666666666667</v>
      </c>
      <c r="AN62" t="s">
        <v>289</v>
      </c>
    </row>
    <row r="63" spans="9:40" x14ac:dyDescent="0.45">
      <c r="I63" t="s">
        <v>178</v>
      </c>
      <c r="J63" t="s">
        <v>342</v>
      </c>
      <c r="K63">
        <v>2.3116089208580445E-3</v>
      </c>
      <c r="L63" t="s">
        <v>163</v>
      </c>
      <c r="N63" t="s">
        <v>209</v>
      </c>
      <c r="O63" t="s">
        <v>342</v>
      </c>
      <c r="P63">
        <v>0.12049798929197338</v>
      </c>
      <c r="Q63" t="s">
        <v>163</v>
      </c>
      <c r="S63" t="s">
        <v>240</v>
      </c>
      <c r="T63" t="s">
        <v>342</v>
      </c>
      <c r="U63">
        <v>9.6124262865565233E-2</v>
      </c>
      <c r="V63" t="s">
        <v>163</v>
      </c>
      <c r="AK63">
        <v>2035</v>
      </c>
      <c r="AL63" t="s">
        <v>332</v>
      </c>
      <c r="AM63">
        <v>0.24509999999999998</v>
      </c>
      <c r="AN63" t="s">
        <v>289</v>
      </c>
    </row>
    <row r="64" spans="9:40" x14ac:dyDescent="0.45">
      <c r="I64" t="s">
        <v>178</v>
      </c>
      <c r="J64" t="s">
        <v>343</v>
      </c>
      <c r="K64">
        <v>2.5344745974915407E-2</v>
      </c>
      <c r="L64" t="s">
        <v>163</v>
      </c>
      <c r="N64" t="s">
        <v>209</v>
      </c>
      <c r="O64" t="s">
        <v>343</v>
      </c>
      <c r="P64">
        <v>2.5832188318979279E-2</v>
      </c>
      <c r="Q64" t="s">
        <v>163</v>
      </c>
      <c r="S64" t="s">
        <v>240</v>
      </c>
      <c r="T64" t="s">
        <v>343</v>
      </c>
      <c r="U64">
        <v>1.9451934113980888E-2</v>
      </c>
      <c r="V64" t="s">
        <v>163</v>
      </c>
      <c r="AK64">
        <v>2035</v>
      </c>
      <c r="AL64" t="s">
        <v>334</v>
      </c>
      <c r="AM64">
        <v>0.3241</v>
      </c>
      <c r="AN64" t="s">
        <v>289</v>
      </c>
    </row>
    <row r="65" spans="9:40" x14ac:dyDescent="0.45">
      <c r="I65" t="s">
        <v>178</v>
      </c>
      <c r="J65" t="s">
        <v>344</v>
      </c>
      <c r="K65">
        <v>0.29207719255939313</v>
      </c>
      <c r="L65" t="s">
        <v>163</v>
      </c>
      <c r="N65" t="s">
        <v>209</v>
      </c>
      <c r="O65" t="s">
        <v>344</v>
      </c>
      <c r="P65">
        <v>6.2534993390485849E-2</v>
      </c>
      <c r="Q65" t="s">
        <v>163</v>
      </c>
      <c r="S65" t="s">
        <v>240</v>
      </c>
      <c r="T65" t="s">
        <v>344</v>
      </c>
      <c r="U65">
        <v>7.3531478653394405E-2</v>
      </c>
      <c r="V65" t="s">
        <v>163</v>
      </c>
      <c r="AK65">
        <v>2035</v>
      </c>
      <c r="AL65" t="s">
        <v>335</v>
      </c>
      <c r="AM65">
        <v>0.36600000000000005</v>
      </c>
      <c r="AN65" t="s">
        <v>289</v>
      </c>
    </row>
    <row r="66" spans="9:40" x14ac:dyDescent="0.45">
      <c r="I66" t="s">
        <v>178</v>
      </c>
      <c r="J66" t="s">
        <v>345</v>
      </c>
      <c r="K66">
        <v>7.9983214681538448E-3</v>
      </c>
      <c r="L66" t="s">
        <v>163</v>
      </c>
      <c r="N66" t="s">
        <v>209</v>
      </c>
      <c r="O66" t="s">
        <v>345</v>
      </c>
      <c r="P66">
        <v>5.3405730359979704E-2</v>
      </c>
      <c r="Q66" t="s">
        <v>163</v>
      </c>
      <c r="S66" t="s">
        <v>240</v>
      </c>
      <c r="T66" t="s">
        <v>345</v>
      </c>
      <c r="U66">
        <v>7.2510759726307231E-2</v>
      </c>
      <c r="V66" t="s">
        <v>163</v>
      </c>
      <c r="AK66">
        <v>2035</v>
      </c>
      <c r="AL66" t="s">
        <v>337</v>
      </c>
      <c r="AM66">
        <v>0.22353333333333336</v>
      </c>
      <c r="AN66" t="s">
        <v>289</v>
      </c>
    </row>
    <row r="67" spans="9:40" x14ac:dyDescent="0.45">
      <c r="I67" t="s">
        <v>178</v>
      </c>
      <c r="J67" t="s">
        <v>346</v>
      </c>
      <c r="K67">
        <v>3.3784087028315389E-2</v>
      </c>
      <c r="L67" t="s">
        <v>163</v>
      </c>
      <c r="N67" t="s">
        <v>209</v>
      </c>
      <c r="O67" t="s">
        <v>346</v>
      </c>
      <c r="P67">
        <v>1.1797044065798552E-2</v>
      </c>
      <c r="Q67" t="s">
        <v>163</v>
      </c>
      <c r="S67" t="s">
        <v>240</v>
      </c>
      <c r="T67" t="s">
        <v>346</v>
      </c>
      <c r="U67">
        <v>1.2582819050531224E-2</v>
      </c>
      <c r="V67" t="s">
        <v>163</v>
      </c>
      <c r="AK67">
        <v>2036</v>
      </c>
      <c r="AL67" t="s">
        <v>332</v>
      </c>
      <c r="AM67">
        <v>0.25606666666666666</v>
      </c>
      <c r="AN67" t="s">
        <v>289</v>
      </c>
    </row>
    <row r="68" spans="9:40" x14ac:dyDescent="0.45">
      <c r="I68" t="s">
        <v>178</v>
      </c>
      <c r="J68" t="s">
        <v>347</v>
      </c>
      <c r="K68">
        <v>0.1514099544428569</v>
      </c>
      <c r="L68" t="s">
        <v>163</v>
      </c>
      <c r="N68" t="s">
        <v>209</v>
      </c>
      <c r="O68" t="s">
        <v>347</v>
      </c>
      <c r="P68">
        <v>0.15494768110290463</v>
      </c>
      <c r="Q68" t="s">
        <v>163</v>
      </c>
      <c r="S68" t="s">
        <v>240</v>
      </c>
      <c r="T68" t="s">
        <v>347</v>
      </c>
      <c r="U68">
        <v>0.13155832635506068</v>
      </c>
      <c r="V68" t="s">
        <v>163</v>
      </c>
      <c r="AK68">
        <v>2036</v>
      </c>
      <c r="AL68" t="s">
        <v>334</v>
      </c>
      <c r="AM68">
        <v>0.33800000000000002</v>
      </c>
      <c r="AN68" t="s">
        <v>289</v>
      </c>
    </row>
    <row r="69" spans="9:40" x14ac:dyDescent="0.45">
      <c r="I69" t="s">
        <v>178</v>
      </c>
      <c r="J69" t="s">
        <v>348</v>
      </c>
      <c r="K69">
        <v>0</v>
      </c>
      <c r="L69" t="s">
        <v>163</v>
      </c>
      <c r="N69" t="s">
        <v>209</v>
      </c>
      <c r="O69" t="s">
        <v>348</v>
      </c>
      <c r="P69">
        <v>0.14967594426042255</v>
      </c>
      <c r="Q69" t="s">
        <v>163</v>
      </c>
      <c r="S69" t="s">
        <v>240</v>
      </c>
      <c r="T69" t="s">
        <v>348</v>
      </c>
      <c r="U69">
        <v>0.13309536303903052</v>
      </c>
      <c r="V69" t="s">
        <v>163</v>
      </c>
      <c r="AK69">
        <v>2036</v>
      </c>
      <c r="AL69" t="s">
        <v>335</v>
      </c>
      <c r="AM69">
        <v>0.35840000000000005</v>
      </c>
      <c r="AN69" t="s">
        <v>289</v>
      </c>
    </row>
    <row r="70" spans="9:40" x14ac:dyDescent="0.45">
      <c r="I70" t="s">
        <v>178</v>
      </c>
      <c r="J70" t="s">
        <v>349</v>
      </c>
      <c r="K70">
        <v>3.4160851991053161E-3</v>
      </c>
      <c r="L70" t="s">
        <v>163</v>
      </c>
      <c r="N70" t="s">
        <v>209</v>
      </c>
      <c r="O70" t="s">
        <v>349</v>
      </c>
      <c r="P70">
        <v>3.2750656177041558E-2</v>
      </c>
      <c r="Q70" t="s">
        <v>163</v>
      </c>
      <c r="S70" t="s">
        <v>240</v>
      </c>
      <c r="T70" t="s">
        <v>349</v>
      </c>
      <c r="U70">
        <v>2.5714924325228906E-2</v>
      </c>
      <c r="V70" t="s">
        <v>163</v>
      </c>
      <c r="AK70">
        <v>2036</v>
      </c>
      <c r="AL70" t="s">
        <v>337</v>
      </c>
      <c r="AM70">
        <v>0.22233333333333336</v>
      </c>
      <c r="AN70" t="s">
        <v>289</v>
      </c>
    </row>
    <row r="71" spans="9:40" x14ac:dyDescent="0.45">
      <c r="I71" t="s">
        <v>179</v>
      </c>
      <c r="J71" t="s">
        <v>338</v>
      </c>
      <c r="K71">
        <v>0.19629383399039696</v>
      </c>
      <c r="L71" t="s">
        <v>163</v>
      </c>
      <c r="N71" t="s">
        <v>210</v>
      </c>
      <c r="O71" t="s">
        <v>338</v>
      </c>
      <c r="P71">
        <v>0.12459893601305559</v>
      </c>
      <c r="Q71" t="s">
        <v>163</v>
      </c>
      <c r="S71" t="s">
        <v>241</v>
      </c>
      <c r="T71" t="s">
        <v>338</v>
      </c>
      <c r="U71">
        <v>0.12707135414871645</v>
      </c>
      <c r="V71" t="s">
        <v>163</v>
      </c>
      <c r="AK71">
        <v>2037</v>
      </c>
      <c r="AL71" t="s">
        <v>332</v>
      </c>
      <c r="AM71">
        <v>0.25936666666666669</v>
      </c>
      <c r="AN71" t="s">
        <v>289</v>
      </c>
    </row>
    <row r="72" spans="9:40" x14ac:dyDescent="0.45">
      <c r="I72" t="s">
        <v>179</v>
      </c>
      <c r="J72" t="s">
        <v>339</v>
      </c>
      <c r="K72">
        <v>0</v>
      </c>
      <c r="L72" t="s">
        <v>163</v>
      </c>
      <c r="N72" t="s">
        <v>210</v>
      </c>
      <c r="O72" t="s">
        <v>339</v>
      </c>
      <c r="P72">
        <v>0.120701415653462</v>
      </c>
      <c r="Q72" t="s">
        <v>163</v>
      </c>
      <c r="S72" t="s">
        <v>241</v>
      </c>
      <c r="T72" t="s">
        <v>339</v>
      </c>
      <c r="U72">
        <v>0.13061999866614052</v>
      </c>
      <c r="V72" t="s">
        <v>163</v>
      </c>
      <c r="AK72">
        <v>2037</v>
      </c>
      <c r="AL72" t="s">
        <v>334</v>
      </c>
      <c r="AM72">
        <v>0.3455333333333333</v>
      </c>
      <c r="AN72" t="s">
        <v>289</v>
      </c>
    </row>
    <row r="73" spans="9:40" x14ac:dyDescent="0.45">
      <c r="I73" t="s">
        <v>179</v>
      </c>
      <c r="J73" t="s">
        <v>340</v>
      </c>
      <c r="K73">
        <v>6.8750993839484199E-3</v>
      </c>
      <c r="L73" t="s">
        <v>163</v>
      </c>
      <c r="N73" t="s">
        <v>210</v>
      </c>
      <c r="O73" t="s">
        <v>340</v>
      </c>
      <c r="P73">
        <v>2.3126606020819691E-2</v>
      </c>
      <c r="Q73" t="s">
        <v>163</v>
      </c>
      <c r="S73" t="s">
        <v>241</v>
      </c>
      <c r="T73" t="s">
        <v>340</v>
      </c>
      <c r="U73">
        <v>2.4063012457693253E-2</v>
      </c>
      <c r="V73" t="s">
        <v>163</v>
      </c>
      <c r="AK73">
        <v>2037</v>
      </c>
      <c r="AL73" t="s">
        <v>335</v>
      </c>
      <c r="AM73">
        <v>0.36189999999999994</v>
      </c>
      <c r="AN73" t="s">
        <v>289</v>
      </c>
    </row>
    <row r="74" spans="9:40" x14ac:dyDescent="0.45">
      <c r="I74" t="s">
        <v>179</v>
      </c>
      <c r="J74" t="s">
        <v>341</v>
      </c>
      <c r="K74">
        <v>0.28394737175040247</v>
      </c>
      <c r="L74" t="s">
        <v>163</v>
      </c>
      <c r="N74" t="s">
        <v>210</v>
      </c>
      <c r="O74" t="s">
        <v>341</v>
      </c>
      <c r="P74">
        <v>0.12513968108699045</v>
      </c>
      <c r="Q74" t="s">
        <v>163</v>
      </c>
      <c r="S74" t="s">
        <v>241</v>
      </c>
      <c r="T74" t="s">
        <v>341</v>
      </c>
      <c r="U74">
        <v>9.8041625631243301E-2</v>
      </c>
      <c r="V74" t="s">
        <v>163</v>
      </c>
      <c r="AK74">
        <v>2037</v>
      </c>
      <c r="AL74" t="s">
        <v>337</v>
      </c>
      <c r="AM74">
        <v>0.22523333333333331</v>
      </c>
      <c r="AN74" t="s">
        <v>289</v>
      </c>
    </row>
    <row r="75" spans="9:40" x14ac:dyDescent="0.45">
      <c r="I75" t="s">
        <v>179</v>
      </c>
      <c r="J75" t="s">
        <v>342</v>
      </c>
      <c r="K75">
        <v>1.8964226935190285E-3</v>
      </c>
      <c r="L75" t="s">
        <v>163</v>
      </c>
      <c r="N75" t="s">
        <v>210</v>
      </c>
      <c r="O75" t="s">
        <v>342</v>
      </c>
      <c r="P75">
        <v>0.11621604088385844</v>
      </c>
      <c r="Q75" t="s">
        <v>163</v>
      </c>
      <c r="S75" t="s">
        <v>241</v>
      </c>
      <c r="T75" t="s">
        <v>342</v>
      </c>
      <c r="U75">
        <v>9.7098005633917225E-2</v>
      </c>
      <c r="V75" t="s">
        <v>163</v>
      </c>
      <c r="AK75">
        <v>2038</v>
      </c>
      <c r="AL75" t="s">
        <v>332</v>
      </c>
      <c r="AM75">
        <v>0.24306666666666668</v>
      </c>
      <c r="AN75" t="s">
        <v>289</v>
      </c>
    </row>
    <row r="76" spans="9:40" x14ac:dyDescent="0.45">
      <c r="I76" t="s">
        <v>179</v>
      </c>
      <c r="J76" t="s">
        <v>343</v>
      </c>
      <c r="K76">
        <v>2.3478410287136247E-2</v>
      </c>
      <c r="L76" t="s">
        <v>163</v>
      </c>
      <c r="N76" t="s">
        <v>210</v>
      </c>
      <c r="O76" t="s">
        <v>343</v>
      </c>
      <c r="P76">
        <v>2.3337991051178012E-2</v>
      </c>
      <c r="Q76" t="s">
        <v>163</v>
      </c>
      <c r="S76" t="s">
        <v>241</v>
      </c>
      <c r="T76" t="s">
        <v>343</v>
      </c>
      <c r="U76">
        <v>1.7423896403813383E-2</v>
      </c>
      <c r="V76" t="s">
        <v>163</v>
      </c>
      <c r="AK76">
        <v>2038</v>
      </c>
      <c r="AL76" t="s">
        <v>334</v>
      </c>
      <c r="AM76">
        <v>0.3596333333333333</v>
      </c>
      <c r="AN76" t="s">
        <v>289</v>
      </c>
    </row>
    <row r="77" spans="9:40" x14ac:dyDescent="0.45">
      <c r="I77" t="s">
        <v>179</v>
      </c>
      <c r="J77" t="s">
        <v>344</v>
      </c>
      <c r="K77">
        <v>0.27137369777490383</v>
      </c>
      <c r="L77" t="s">
        <v>163</v>
      </c>
      <c r="N77" t="s">
        <v>210</v>
      </c>
      <c r="O77" t="s">
        <v>344</v>
      </c>
      <c r="P77">
        <v>9.037552461419604E-2</v>
      </c>
      <c r="Q77" t="s">
        <v>163</v>
      </c>
      <c r="S77" t="s">
        <v>241</v>
      </c>
      <c r="T77" t="s">
        <v>344</v>
      </c>
      <c r="U77">
        <v>9.162583962627785E-2</v>
      </c>
      <c r="V77" t="s">
        <v>163</v>
      </c>
      <c r="AK77">
        <v>2038</v>
      </c>
      <c r="AL77" t="s">
        <v>335</v>
      </c>
      <c r="AM77">
        <v>0.3741666666666667</v>
      </c>
      <c r="AN77" t="s">
        <v>289</v>
      </c>
    </row>
    <row r="78" spans="9:40" x14ac:dyDescent="0.45">
      <c r="I78" t="s">
        <v>179</v>
      </c>
      <c r="J78" t="s">
        <v>345</v>
      </c>
      <c r="K78">
        <v>7.5137777746019912E-3</v>
      </c>
      <c r="L78" t="s">
        <v>163</v>
      </c>
      <c r="N78" t="s">
        <v>210</v>
      </c>
      <c r="O78" t="s">
        <v>345</v>
      </c>
      <c r="P78">
        <v>7.9292476722685759E-2</v>
      </c>
      <c r="Q78" t="s">
        <v>163</v>
      </c>
      <c r="S78" t="s">
        <v>241</v>
      </c>
      <c r="T78" t="s">
        <v>345</v>
      </c>
      <c r="U78">
        <v>0.10931006650305543</v>
      </c>
      <c r="V78" t="s">
        <v>163</v>
      </c>
      <c r="AK78">
        <v>2038</v>
      </c>
      <c r="AL78" t="s">
        <v>337</v>
      </c>
      <c r="AM78">
        <v>0.20979999999999999</v>
      </c>
      <c r="AN78" t="s">
        <v>289</v>
      </c>
    </row>
    <row r="79" spans="9:40" x14ac:dyDescent="0.45">
      <c r="I79" t="s">
        <v>179</v>
      </c>
      <c r="J79" t="s">
        <v>346</v>
      </c>
      <c r="K79">
        <v>2.9423561470818208E-2</v>
      </c>
      <c r="L79" t="s">
        <v>163</v>
      </c>
      <c r="N79" t="s">
        <v>210</v>
      </c>
      <c r="O79" t="s">
        <v>346</v>
      </c>
      <c r="P79">
        <v>1.2986226872882218E-2</v>
      </c>
      <c r="Q79" t="s">
        <v>163</v>
      </c>
      <c r="S79" t="s">
        <v>241</v>
      </c>
      <c r="T79" t="s">
        <v>346</v>
      </c>
      <c r="U79">
        <v>1.6611720149323637E-2</v>
      </c>
      <c r="V79" t="s">
        <v>163</v>
      </c>
      <c r="AK79">
        <v>2039</v>
      </c>
      <c r="AL79" t="s">
        <v>332</v>
      </c>
      <c r="AM79">
        <v>0.29899999999999999</v>
      </c>
      <c r="AN79" t="s">
        <v>289</v>
      </c>
    </row>
    <row r="80" spans="9:40" x14ac:dyDescent="0.45">
      <c r="I80" t="s">
        <v>179</v>
      </c>
      <c r="J80" t="s">
        <v>347</v>
      </c>
      <c r="K80">
        <v>0.1758380005883862</v>
      </c>
      <c r="L80" t="s">
        <v>163</v>
      </c>
      <c r="N80" t="s">
        <v>210</v>
      </c>
      <c r="O80" t="s">
        <v>347</v>
      </c>
      <c r="P80">
        <v>0.13689948820795786</v>
      </c>
      <c r="Q80" t="s">
        <v>163</v>
      </c>
      <c r="S80" t="s">
        <v>241</v>
      </c>
      <c r="T80" t="s">
        <v>347</v>
      </c>
      <c r="U80">
        <v>0.13258893601371322</v>
      </c>
      <c r="V80" t="s">
        <v>163</v>
      </c>
      <c r="AK80">
        <v>2039</v>
      </c>
      <c r="AL80" t="s">
        <v>334</v>
      </c>
      <c r="AM80">
        <v>0.40266666666666667</v>
      </c>
      <c r="AN80" t="s">
        <v>289</v>
      </c>
    </row>
    <row r="81" spans="9:40" x14ac:dyDescent="0.45">
      <c r="I81" t="s">
        <v>179</v>
      </c>
      <c r="J81" t="s">
        <v>348</v>
      </c>
      <c r="K81">
        <v>0</v>
      </c>
      <c r="L81" t="s">
        <v>163</v>
      </c>
      <c r="N81" t="s">
        <v>210</v>
      </c>
      <c r="O81" t="s">
        <v>348</v>
      </c>
      <c r="P81">
        <v>0.12344945225289862</v>
      </c>
      <c r="Q81" t="s">
        <v>163</v>
      </c>
      <c r="S81" t="s">
        <v>241</v>
      </c>
      <c r="T81" t="s">
        <v>348</v>
      </c>
      <c r="U81">
        <v>0.13104085789875583</v>
      </c>
      <c r="V81" t="s">
        <v>163</v>
      </c>
      <c r="AK81">
        <v>2039</v>
      </c>
      <c r="AL81" t="s">
        <v>335</v>
      </c>
      <c r="AM81">
        <v>0.40093333333333331</v>
      </c>
      <c r="AN81" t="s">
        <v>289</v>
      </c>
    </row>
    <row r="82" spans="9:40" x14ac:dyDescent="0.45">
      <c r="I82" t="s">
        <v>179</v>
      </c>
      <c r="J82" t="s">
        <v>349</v>
      </c>
      <c r="K82">
        <v>3.3598242858857751E-3</v>
      </c>
      <c r="L82" t="s">
        <v>163</v>
      </c>
      <c r="N82" t="s">
        <v>210</v>
      </c>
      <c r="O82" t="s">
        <v>349</v>
      </c>
      <c r="P82">
        <v>2.3876160620016216E-2</v>
      </c>
      <c r="Q82" t="s">
        <v>163</v>
      </c>
      <c r="S82" t="s">
        <v>241</v>
      </c>
      <c r="T82" t="s">
        <v>349</v>
      </c>
      <c r="U82">
        <v>2.450468686734732E-2</v>
      </c>
      <c r="V82" t="s">
        <v>163</v>
      </c>
      <c r="AK82">
        <v>2039</v>
      </c>
      <c r="AL82" t="s">
        <v>337</v>
      </c>
      <c r="AM82">
        <v>0.24716666666666667</v>
      </c>
      <c r="AN82" t="s">
        <v>289</v>
      </c>
    </row>
    <row r="83" spans="9:40" x14ac:dyDescent="0.45">
      <c r="I83" t="s">
        <v>180</v>
      </c>
      <c r="J83" t="s">
        <v>338</v>
      </c>
      <c r="K83">
        <v>0.20167938839632554</v>
      </c>
      <c r="L83" t="s">
        <v>163</v>
      </c>
      <c r="N83" t="s">
        <v>211</v>
      </c>
      <c r="O83" t="s">
        <v>338</v>
      </c>
      <c r="P83">
        <v>0.10609143513216296</v>
      </c>
      <c r="Q83" t="s">
        <v>163</v>
      </c>
      <c r="S83" t="s">
        <v>242</v>
      </c>
      <c r="T83" t="s">
        <v>338</v>
      </c>
      <c r="U83">
        <v>0.1394558990804296</v>
      </c>
      <c r="V83" t="s">
        <v>163</v>
      </c>
      <c r="AK83">
        <v>2040</v>
      </c>
      <c r="AL83" t="s">
        <v>332</v>
      </c>
      <c r="AM83">
        <v>0.28129999999999999</v>
      </c>
      <c r="AN83" t="s">
        <v>289</v>
      </c>
    </row>
    <row r="84" spans="9:40" x14ac:dyDescent="0.45">
      <c r="I84" t="s">
        <v>180</v>
      </c>
      <c r="J84" t="s">
        <v>339</v>
      </c>
      <c r="K84">
        <v>0</v>
      </c>
      <c r="L84" t="s">
        <v>163</v>
      </c>
      <c r="N84" t="s">
        <v>211</v>
      </c>
      <c r="O84" t="s">
        <v>339</v>
      </c>
      <c r="P84">
        <v>0.10743977120119899</v>
      </c>
      <c r="Q84" t="s">
        <v>163</v>
      </c>
      <c r="S84" t="s">
        <v>242</v>
      </c>
      <c r="T84" t="s">
        <v>339</v>
      </c>
      <c r="U84">
        <v>0.14666654371571178</v>
      </c>
      <c r="V84" t="s">
        <v>163</v>
      </c>
      <c r="AK84">
        <v>2040</v>
      </c>
      <c r="AL84" t="s">
        <v>334</v>
      </c>
      <c r="AM84">
        <v>0.41739999999999999</v>
      </c>
      <c r="AN84" t="s">
        <v>289</v>
      </c>
    </row>
    <row r="85" spans="9:40" x14ac:dyDescent="0.45">
      <c r="I85" t="s">
        <v>180</v>
      </c>
      <c r="J85" t="s">
        <v>340</v>
      </c>
      <c r="K85">
        <v>5.4878298013609599E-3</v>
      </c>
      <c r="L85" t="s">
        <v>163</v>
      </c>
      <c r="N85" t="s">
        <v>211</v>
      </c>
      <c r="O85" t="s">
        <v>340</v>
      </c>
      <c r="P85">
        <v>2.1717303538215164E-2</v>
      </c>
      <c r="Q85" t="s">
        <v>163</v>
      </c>
      <c r="S85" t="s">
        <v>242</v>
      </c>
      <c r="T85" t="s">
        <v>340</v>
      </c>
      <c r="U85">
        <v>2.5705486457291857E-2</v>
      </c>
      <c r="V85" t="s">
        <v>163</v>
      </c>
      <c r="AK85">
        <v>2040</v>
      </c>
      <c r="AL85" t="s">
        <v>335</v>
      </c>
      <c r="AM85">
        <v>0.39130000000000004</v>
      </c>
      <c r="AN85" t="s">
        <v>289</v>
      </c>
    </row>
    <row r="86" spans="9:40" x14ac:dyDescent="0.45">
      <c r="I86" t="s">
        <v>180</v>
      </c>
      <c r="J86" t="s">
        <v>341</v>
      </c>
      <c r="K86">
        <v>0.28875518827140667</v>
      </c>
      <c r="L86" t="s">
        <v>163</v>
      </c>
      <c r="N86" t="s">
        <v>211</v>
      </c>
      <c r="O86" t="s">
        <v>341</v>
      </c>
      <c r="P86">
        <v>0.12482531889283451</v>
      </c>
      <c r="Q86" t="s">
        <v>163</v>
      </c>
      <c r="S86" t="s">
        <v>242</v>
      </c>
      <c r="T86" t="s">
        <v>341</v>
      </c>
      <c r="U86">
        <v>9.3783056739982246E-2</v>
      </c>
      <c r="V86" t="s">
        <v>163</v>
      </c>
      <c r="AK86">
        <v>2040</v>
      </c>
      <c r="AL86" t="s">
        <v>337</v>
      </c>
      <c r="AM86">
        <v>0.24556666666666668</v>
      </c>
      <c r="AN86" t="s">
        <v>289</v>
      </c>
    </row>
    <row r="87" spans="9:40" x14ac:dyDescent="0.45">
      <c r="I87" t="s">
        <v>180</v>
      </c>
      <c r="J87" t="s">
        <v>342</v>
      </c>
      <c r="K87">
        <v>1.4483782719292391E-3</v>
      </c>
      <c r="L87" t="s">
        <v>163</v>
      </c>
      <c r="N87" t="s">
        <v>211</v>
      </c>
      <c r="O87" t="s">
        <v>342</v>
      </c>
      <c r="P87">
        <v>0.12513330101825551</v>
      </c>
      <c r="Q87" t="s">
        <v>163</v>
      </c>
      <c r="S87" t="s">
        <v>242</v>
      </c>
      <c r="T87" t="s">
        <v>342</v>
      </c>
      <c r="U87">
        <v>9.7893218425568376E-2</v>
      </c>
      <c r="V87" t="s">
        <v>163</v>
      </c>
      <c r="AK87">
        <v>2041</v>
      </c>
      <c r="AL87" t="s">
        <v>332</v>
      </c>
      <c r="AM87">
        <v>0.28540000000000004</v>
      </c>
      <c r="AN87" t="s">
        <v>289</v>
      </c>
    </row>
    <row r="88" spans="9:40" x14ac:dyDescent="0.45">
      <c r="I88" t="s">
        <v>180</v>
      </c>
      <c r="J88" t="s">
        <v>343</v>
      </c>
      <c r="K88">
        <v>2.0720890534577489E-2</v>
      </c>
      <c r="L88" t="s">
        <v>163</v>
      </c>
      <c r="N88" t="s">
        <v>211</v>
      </c>
      <c r="O88" t="s">
        <v>343</v>
      </c>
      <c r="P88">
        <v>2.6287344127502259E-2</v>
      </c>
      <c r="Q88" t="s">
        <v>163</v>
      </c>
      <c r="S88" t="s">
        <v>242</v>
      </c>
      <c r="T88" t="s">
        <v>343</v>
      </c>
      <c r="U88">
        <v>1.6761813168810435E-2</v>
      </c>
      <c r="V88" t="s">
        <v>163</v>
      </c>
      <c r="AK88">
        <v>2041</v>
      </c>
      <c r="AL88" t="s">
        <v>334</v>
      </c>
      <c r="AM88">
        <v>0.38749999999999996</v>
      </c>
      <c r="AN88" t="s">
        <v>289</v>
      </c>
    </row>
    <row r="89" spans="9:40" x14ac:dyDescent="0.45">
      <c r="I89" t="s">
        <v>180</v>
      </c>
      <c r="J89" t="s">
        <v>344</v>
      </c>
      <c r="K89">
        <v>0.25380652660086989</v>
      </c>
      <c r="L89" t="s">
        <v>163</v>
      </c>
      <c r="N89" t="s">
        <v>211</v>
      </c>
      <c r="O89" t="s">
        <v>344</v>
      </c>
      <c r="P89">
        <v>5.8023064955928572E-2</v>
      </c>
      <c r="Q89" t="s">
        <v>163</v>
      </c>
      <c r="S89" t="s">
        <v>242</v>
      </c>
      <c r="T89" t="s">
        <v>344</v>
      </c>
      <c r="U89">
        <v>8.2201422208743186E-2</v>
      </c>
      <c r="V89" t="s">
        <v>163</v>
      </c>
      <c r="AK89">
        <v>2041</v>
      </c>
      <c r="AL89" t="s">
        <v>335</v>
      </c>
      <c r="AM89">
        <v>0.43613333333333332</v>
      </c>
      <c r="AN89" t="s">
        <v>289</v>
      </c>
    </row>
    <row r="90" spans="9:40" x14ac:dyDescent="0.45">
      <c r="I90" t="s">
        <v>180</v>
      </c>
      <c r="J90" t="s">
        <v>345</v>
      </c>
      <c r="K90">
        <v>6.5362995638215213E-3</v>
      </c>
      <c r="L90" t="s">
        <v>163</v>
      </c>
      <c r="N90" t="s">
        <v>211</v>
      </c>
      <c r="O90" t="s">
        <v>345</v>
      </c>
      <c r="P90">
        <v>5.9976338474087003E-2</v>
      </c>
      <c r="Q90" t="s">
        <v>163</v>
      </c>
      <c r="S90" t="s">
        <v>242</v>
      </c>
      <c r="T90" t="s">
        <v>345</v>
      </c>
      <c r="U90">
        <v>9.6117606113297033E-2</v>
      </c>
      <c r="V90" t="s">
        <v>163</v>
      </c>
      <c r="AK90">
        <v>2041</v>
      </c>
      <c r="AL90" t="s">
        <v>337</v>
      </c>
      <c r="AM90">
        <v>0.2443666666666667</v>
      </c>
      <c r="AN90" t="s">
        <v>289</v>
      </c>
    </row>
    <row r="91" spans="9:40" x14ac:dyDescent="0.45">
      <c r="I91" t="s">
        <v>180</v>
      </c>
      <c r="J91" t="s">
        <v>346</v>
      </c>
      <c r="K91">
        <v>2.567245775541601E-2</v>
      </c>
      <c r="L91" t="s">
        <v>163</v>
      </c>
      <c r="N91" t="s">
        <v>211</v>
      </c>
      <c r="O91" t="s">
        <v>346</v>
      </c>
      <c r="P91">
        <v>1.5276871756062391E-2</v>
      </c>
      <c r="Q91" t="s">
        <v>163</v>
      </c>
      <c r="S91" t="s">
        <v>242</v>
      </c>
      <c r="T91" t="s">
        <v>346</v>
      </c>
      <c r="U91">
        <v>1.4008666860764449E-2</v>
      </c>
      <c r="V91" t="s">
        <v>163</v>
      </c>
      <c r="AK91">
        <v>2042</v>
      </c>
      <c r="AL91" t="s">
        <v>332</v>
      </c>
      <c r="AM91">
        <v>0.29430000000000001</v>
      </c>
      <c r="AN91" t="s">
        <v>289</v>
      </c>
    </row>
    <row r="92" spans="9:40" x14ac:dyDescent="0.45">
      <c r="I92" t="s">
        <v>180</v>
      </c>
      <c r="J92" t="s">
        <v>347</v>
      </c>
      <c r="K92">
        <v>0.19223363019265077</v>
      </c>
      <c r="L92" t="s">
        <v>163</v>
      </c>
      <c r="N92" t="s">
        <v>211</v>
      </c>
      <c r="O92" t="s">
        <v>347</v>
      </c>
      <c r="P92">
        <v>0.15963805248441496</v>
      </c>
      <c r="Q92" t="s">
        <v>163</v>
      </c>
      <c r="S92" t="s">
        <v>242</v>
      </c>
      <c r="T92" t="s">
        <v>347</v>
      </c>
      <c r="U92">
        <v>0.12687940658489605</v>
      </c>
      <c r="V92" t="s">
        <v>163</v>
      </c>
      <c r="AK92">
        <v>2042</v>
      </c>
      <c r="AL92" t="s">
        <v>334</v>
      </c>
      <c r="AM92">
        <v>0.41036666666666671</v>
      </c>
      <c r="AN92" t="s">
        <v>289</v>
      </c>
    </row>
    <row r="93" spans="9:40" x14ac:dyDescent="0.45">
      <c r="I93" t="s">
        <v>180</v>
      </c>
      <c r="J93" t="s">
        <v>348</v>
      </c>
      <c r="K93">
        <v>0</v>
      </c>
      <c r="L93" t="s">
        <v>163</v>
      </c>
      <c r="N93" t="s">
        <v>211</v>
      </c>
      <c r="O93" t="s">
        <v>348</v>
      </c>
      <c r="P93">
        <v>0.16407323847707614</v>
      </c>
      <c r="Q93" t="s">
        <v>163</v>
      </c>
      <c r="S93" t="s">
        <v>242</v>
      </c>
      <c r="T93" t="s">
        <v>348</v>
      </c>
      <c r="U93">
        <v>0.13583140634211152</v>
      </c>
      <c r="V93" t="s">
        <v>163</v>
      </c>
      <c r="AK93">
        <v>2042</v>
      </c>
      <c r="AL93" t="s">
        <v>335</v>
      </c>
      <c r="AM93">
        <v>0.41063333333333335</v>
      </c>
      <c r="AN93" t="s">
        <v>289</v>
      </c>
    </row>
    <row r="94" spans="9:40" x14ac:dyDescent="0.45">
      <c r="I94" t="s">
        <v>180</v>
      </c>
      <c r="J94" t="s">
        <v>349</v>
      </c>
      <c r="K94">
        <v>3.659410611641233E-3</v>
      </c>
      <c r="L94" t="s">
        <v>163</v>
      </c>
      <c r="N94" t="s">
        <v>211</v>
      </c>
      <c r="O94" t="s">
        <v>349</v>
      </c>
      <c r="P94">
        <v>3.1517959942261718E-2</v>
      </c>
      <c r="Q94" t="s">
        <v>163</v>
      </c>
      <c r="S94" t="s">
        <v>242</v>
      </c>
      <c r="T94" t="s">
        <v>349</v>
      </c>
      <c r="U94">
        <v>2.4695474302391517E-2</v>
      </c>
      <c r="V94" t="s">
        <v>163</v>
      </c>
      <c r="AK94">
        <v>2042</v>
      </c>
      <c r="AL94" t="s">
        <v>337</v>
      </c>
      <c r="AM94">
        <v>0.24463333333333334</v>
      </c>
      <c r="AN94" t="s">
        <v>289</v>
      </c>
    </row>
    <row r="95" spans="9:40" x14ac:dyDescent="0.45">
      <c r="I95" t="s">
        <v>181</v>
      </c>
      <c r="J95" t="s">
        <v>338</v>
      </c>
      <c r="K95">
        <v>0.2125480601593403</v>
      </c>
      <c r="L95" t="s">
        <v>163</v>
      </c>
      <c r="N95" t="s">
        <v>212</v>
      </c>
      <c r="O95" t="s">
        <v>338</v>
      </c>
      <c r="P95">
        <v>0.11628940321634645</v>
      </c>
      <c r="Q95" t="s">
        <v>163</v>
      </c>
      <c r="S95" t="s">
        <v>243</v>
      </c>
      <c r="T95" t="s">
        <v>338</v>
      </c>
      <c r="U95">
        <v>0.12996614926568506</v>
      </c>
      <c r="V95" t="s">
        <v>163</v>
      </c>
      <c r="AK95">
        <v>2043</v>
      </c>
      <c r="AL95" t="s">
        <v>332</v>
      </c>
      <c r="AM95">
        <v>0.2906333333333333</v>
      </c>
      <c r="AN95" t="s">
        <v>289</v>
      </c>
    </row>
    <row r="96" spans="9:40" x14ac:dyDescent="0.45">
      <c r="I96" t="s">
        <v>181</v>
      </c>
      <c r="J96" t="s">
        <v>339</v>
      </c>
      <c r="K96">
        <v>0</v>
      </c>
      <c r="L96" t="s">
        <v>163</v>
      </c>
      <c r="N96" t="s">
        <v>212</v>
      </c>
      <c r="O96" t="s">
        <v>339</v>
      </c>
      <c r="P96">
        <v>9.4972153105082849E-2</v>
      </c>
      <c r="Q96" t="s">
        <v>163</v>
      </c>
      <c r="S96" t="s">
        <v>243</v>
      </c>
      <c r="T96" t="s">
        <v>339</v>
      </c>
      <c r="U96">
        <v>0.13523750995720216</v>
      </c>
      <c r="V96" t="s">
        <v>163</v>
      </c>
      <c r="AK96">
        <v>2043</v>
      </c>
      <c r="AL96" t="s">
        <v>334</v>
      </c>
      <c r="AM96">
        <v>0.4121333333333333</v>
      </c>
      <c r="AN96" t="s">
        <v>289</v>
      </c>
    </row>
    <row r="97" spans="9:40" x14ac:dyDescent="0.45">
      <c r="I97" t="s">
        <v>181</v>
      </c>
      <c r="J97" t="s">
        <v>340</v>
      </c>
      <c r="K97">
        <v>4.7780301908417365E-3</v>
      </c>
      <c r="L97" t="s">
        <v>163</v>
      </c>
      <c r="N97" t="s">
        <v>212</v>
      </c>
      <c r="O97" t="s">
        <v>340</v>
      </c>
      <c r="P97">
        <v>2.2736405546967559E-2</v>
      </c>
      <c r="Q97" t="s">
        <v>163</v>
      </c>
      <c r="S97" t="s">
        <v>243</v>
      </c>
      <c r="T97" t="s">
        <v>340</v>
      </c>
      <c r="U97">
        <v>2.4225882270399148E-2</v>
      </c>
      <c r="V97" t="s">
        <v>163</v>
      </c>
      <c r="AK97">
        <v>2043</v>
      </c>
      <c r="AL97" t="s">
        <v>335</v>
      </c>
      <c r="AM97">
        <v>0.43196666666666667</v>
      </c>
      <c r="AN97" t="s">
        <v>289</v>
      </c>
    </row>
    <row r="98" spans="9:40" x14ac:dyDescent="0.45">
      <c r="I98" t="s">
        <v>181</v>
      </c>
      <c r="J98" t="s">
        <v>341</v>
      </c>
      <c r="K98">
        <v>0.28973548707961672</v>
      </c>
      <c r="L98" t="s">
        <v>163</v>
      </c>
      <c r="N98" t="s">
        <v>212</v>
      </c>
      <c r="O98" t="s">
        <v>341</v>
      </c>
      <c r="P98">
        <v>0.15403731913232921</v>
      </c>
      <c r="Q98" t="s">
        <v>163</v>
      </c>
      <c r="S98" t="s">
        <v>243</v>
      </c>
      <c r="T98" t="s">
        <v>341</v>
      </c>
      <c r="U98">
        <v>0.10378562072314758</v>
      </c>
      <c r="V98" t="s">
        <v>163</v>
      </c>
      <c r="AK98">
        <v>2043</v>
      </c>
      <c r="AL98" t="s">
        <v>337</v>
      </c>
      <c r="AM98">
        <v>0.25120000000000003</v>
      </c>
      <c r="AN98" t="s">
        <v>289</v>
      </c>
    </row>
    <row r="99" spans="9:40" x14ac:dyDescent="0.45">
      <c r="I99" t="s">
        <v>181</v>
      </c>
      <c r="J99" t="s">
        <v>342</v>
      </c>
      <c r="K99">
        <v>1.3467884199567493E-3</v>
      </c>
      <c r="L99" t="s">
        <v>163</v>
      </c>
      <c r="N99" t="s">
        <v>212</v>
      </c>
      <c r="O99" t="s">
        <v>342</v>
      </c>
      <c r="P99">
        <v>0.12016092800254456</v>
      </c>
      <c r="Q99" t="s">
        <v>163</v>
      </c>
      <c r="S99" t="s">
        <v>243</v>
      </c>
      <c r="T99" t="s">
        <v>342</v>
      </c>
      <c r="U99">
        <v>0.11588847425108728</v>
      </c>
      <c r="V99" t="s">
        <v>163</v>
      </c>
      <c r="AK99">
        <v>2044</v>
      </c>
      <c r="AL99" t="s">
        <v>332</v>
      </c>
      <c r="AM99">
        <v>0.24106666666666668</v>
      </c>
      <c r="AN99" t="s">
        <v>289</v>
      </c>
    </row>
    <row r="100" spans="9:40" x14ac:dyDescent="0.45">
      <c r="I100" t="s">
        <v>181</v>
      </c>
      <c r="J100" t="s">
        <v>343</v>
      </c>
      <c r="K100">
        <v>2.0781471526747013E-2</v>
      </c>
      <c r="L100" t="s">
        <v>163</v>
      </c>
      <c r="N100" t="s">
        <v>212</v>
      </c>
      <c r="O100" t="s">
        <v>343</v>
      </c>
      <c r="P100">
        <v>3.0776316231798551E-2</v>
      </c>
      <c r="Q100" t="s">
        <v>163</v>
      </c>
      <c r="S100" t="s">
        <v>243</v>
      </c>
      <c r="T100" t="s">
        <v>343</v>
      </c>
      <c r="U100">
        <v>2.0887640177710054E-2</v>
      </c>
      <c r="V100" t="s">
        <v>163</v>
      </c>
      <c r="AK100">
        <v>2044</v>
      </c>
      <c r="AL100" t="s">
        <v>334</v>
      </c>
      <c r="AM100">
        <v>0.34293333333333331</v>
      </c>
      <c r="AN100" t="s">
        <v>289</v>
      </c>
    </row>
    <row r="101" spans="9:40" x14ac:dyDescent="0.45">
      <c r="I101" t="s">
        <v>181</v>
      </c>
      <c r="J101" t="s">
        <v>344</v>
      </c>
      <c r="K101">
        <v>0.22383674607691745</v>
      </c>
      <c r="L101" t="s">
        <v>163</v>
      </c>
      <c r="N101" t="s">
        <v>212</v>
      </c>
      <c r="O101" t="s">
        <v>344</v>
      </c>
      <c r="P101">
        <v>5.5010548634618024E-2</v>
      </c>
      <c r="Q101" t="s">
        <v>163</v>
      </c>
      <c r="S101" t="s">
        <v>243</v>
      </c>
      <c r="T101" t="s">
        <v>344</v>
      </c>
      <c r="U101">
        <v>9.9537517396067532E-2</v>
      </c>
      <c r="V101" t="s">
        <v>163</v>
      </c>
      <c r="AK101">
        <v>2044</v>
      </c>
      <c r="AL101" t="s">
        <v>335</v>
      </c>
      <c r="AM101">
        <v>0.37496666666666667</v>
      </c>
      <c r="AN101" t="s">
        <v>289</v>
      </c>
    </row>
    <row r="102" spans="9:40" x14ac:dyDescent="0.45">
      <c r="I102" t="s">
        <v>181</v>
      </c>
      <c r="J102" t="s">
        <v>345</v>
      </c>
      <c r="K102">
        <v>3.9294220982128191E-3</v>
      </c>
      <c r="L102" t="s">
        <v>163</v>
      </c>
      <c r="N102" t="s">
        <v>212</v>
      </c>
      <c r="O102" t="s">
        <v>345</v>
      </c>
      <c r="P102">
        <v>3.820592826867257E-2</v>
      </c>
      <c r="Q102" t="s">
        <v>163</v>
      </c>
      <c r="S102" t="s">
        <v>243</v>
      </c>
      <c r="T102" t="s">
        <v>345</v>
      </c>
      <c r="U102">
        <v>0.10606055583340387</v>
      </c>
      <c r="V102" t="s">
        <v>163</v>
      </c>
      <c r="AK102">
        <v>2044</v>
      </c>
      <c r="AL102" t="s">
        <v>337</v>
      </c>
      <c r="AM102">
        <v>0.20699999999999999</v>
      </c>
      <c r="AN102" t="s">
        <v>289</v>
      </c>
    </row>
    <row r="103" spans="9:40" x14ac:dyDescent="0.45">
      <c r="I103" t="s">
        <v>181</v>
      </c>
      <c r="J103" t="s">
        <v>346</v>
      </c>
      <c r="K103">
        <v>2.0956428429551418E-2</v>
      </c>
      <c r="L103" t="s">
        <v>163</v>
      </c>
      <c r="N103" t="s">
        <v>212</v>
      </c>
      <c r="O103" t="s">
        <v>346</v>
      </c>
      <c r="P103">
        <v>1.1908221083482129E-2</v>
      </c>
      <c r="Q103" t="s">
        <v>163</v>
      </c>
      <c r="S103" t="s">
        <v>243</v>
      </c>
      <c r="T103" t="s">
        <v>346</v>
      </c>
      <c r="U103">
        <v>2.1781176023986732E-2</v>
      </c>
      <c r="V103" t="s">
        <v>163</v>
      </c>
      <c r="AK103">
        <v>2045</v>
      </c>
      <c r="AL103" t="s">
        <v>332</v>
      </c>
      <c r="AM103">
        <v>0.23879999999999998</v>
      </c>
      <c r="AN103" t="s">
        <v>289</v>
      </c>
    </row>
    <row r="104" spans="9:40" x14ac:dyDescent="0.45">
      <c r="I104" t="s">
        <v>181</v>
      </c>
      <c r="J104" t="s">
        <v>347</v>
      </c>
      <c r="K104">
        <v>0.21855953150528484</v>
      </c>
      <c r="L104" t="s">
        <v>163</v>
      </c>
      <c r="N104" t="s">
        <v>212</v>
      </c>
      <c r="O104" t="s">
        <v>347</v>
      </c>
      <c r="P104">
        <v>0.17563852466812943</v>
      </c>
      <c r="Q104" t="s">
        <v>163</v>
      </c>
      <c r="S104" t="s">
        <v>243</v>
      </c>
      <c r="T104" t="s">
        <v>347</v>
      </c>
      <c r="U104">
        <v>0.10597356772984007</v>
      </c>
      <c r="V104" t="s">
        <v>163</v>
      </c>
      <c r="AK104">
        <v>2045</v>
      </c>
      <c r="AL104" t="s">
        <v>334</v>
      </c>
      <c r="AM104">
        <v>0.33806666666666668</v>
      </c>
      <c r="AN104" t="s">
        <v>289</v>
      </c>
    </row>
    <row r="105" spans="9:40" x14ac:dyDescent="0.45">
      <c r="I105" t="s">
        <v>181</v>
      </c>
      <c r="J105" t="s">
        <v>348</v>
      </c>
      <c r="K105">
        <v>0</v>
      </c>
      <c r="L105" t="s">
        <v>163</v>
      </c>
      <c r="N105" t="s">
        <v>212</v>
      </c>
      <c r="O105" t="s">
        <v>348</v>
      </c>
      <c r="P105">
        <v>0.14731059152876247</v>
      </c>
      <c r="Q105" t="s">
        <v>163</v>
      </c>
      <c r="S105" t="s">
        <v>243</v>
      </c>
      <c r="T105" t="s">
        <v>348</v>
      </c>
      <c r="U105">
        <v>0.11705229110642866</v>
      </c>
      <c r="V105" t="s">
        <v>163</v>
      </c>
      <c r="AK105">
        <v>2045</v>
      </c>
      <c r="AL105" t="s">
        <v>335</v>
      </c>
      <c r="AM105">
        <v>0.34486666666666665</v>
      </c>
      <c r="AN105" t="s">
        <v>289</v>
      </c>
    </row>
    <row r="106" spans="9:40" x14ac:dyDescent="0.45">
      <c r="I106" t="s">
        <v>181</v>
      </c>
      <c r="J106" t="s">
        <v>349</v>
      </c>
      <c r="K106">
        <v>3.5280345135327343E-3</v>
      </c>
      <c r="L106" t="s">
        <v>163</v>
      </c>
      <c r="N106" t="s">
        <v>212</v>
      </c>
      <c r="O106" t="s">
        <v>349</v>
      </c>
      <c r="P106">
        <v>3.2953660581261451E-2</v>
      </c>
      <c r="Q106" t="s">
        <v>163</v>
      </c>
      <c r="S106" t="s">
        <v>243</v>
      </c>
      <c r="T106" t="s">
        <v>349</v>
      </c>
      <c r="U106">
        <v>1.9603615265042711E-2</v>
      </c>
      <c r="V106" t="s">
        <v>163</v>
      </c>
      <c r="AK106">
        <v>2045</v>
      </c>
      <c r="AL106" t="s">
        <v>337</v>
      </c>
      <c r="AM106">
        <v>0.20546666666666666</v>
      </c>
      <c r="AN106" t="s">
        <v>289</v>
      </c>
    </row>
    <row r="107" spans="9:40" x14ac:dyDescent="0.45">
      <c r="I107" t="s">
        <v>182</v>
      </c>
      <c r="J107" t="s">
        <v>338</v>
      </c>
      <c r="K107">
        <v>0.20278187018198499</v>
      </c>
      <c r="L107" t="s">
        <v>163</v>
      </c>
      <c r="N107" t="s">
        <v>213</v>
      </c>
      <c r="O107" t="s">
        <v>338</v>
      </c>
      <c r="P107">
        <v>0.1218604740416967</v>
      </c>
      <c r="Q107" t="s">
        <v>163</v>
      </c>
      <c r="S107" t="s">
        <v>244</v>
      </c>
      <c r="T107" t="s">
        <v>338</v>
      </c>
      <c r="U107">
        <v>0.13102908443461889</v>
      </c>
      <c r="V107" t="s">
        <v>163</v>
      </c>
      <c r="AK107">
        <v>2046</v>
      </c>
      <c r="AL107" t="s">
        <v>332</v>
      </c>
      <c r="AM107">
        <v>0.25586666666666669</v>
      </c>
      <c r="AN107" t="s">
        <v>289</v>
      </c>
    </row>
    <row r="108" spans="9:40" x14ac:dyDescent="0.45">
      <c r="I108" t="s">
        <v>182</v>
      </c>
      <c r="J108" t="s">
        <v>339</v>
      </c>
      <c r="K108">
        <v>0</v>
      </c>
      <c r="L108" t="s">
        <v>163</v>
      </c>
      <c r="N108" t="s">
        <v>213</v>
      </c>
      <c r="O108" t="s">
        <v>339</v>
      </c>
      <c r="P108">
        <v>9.0827156837697667E-2</v>
      </c>
      <c r="Q108" t="s">
        <v>163</v>
      </c>
      <c r="S108" t="s">
        <v>244</v>
      </c>
      <c r="T108" t="s">
        <v>339</v>
      </c>
      <c r="U108">
        <v>0.13494833756957672</v>
      </c>
      <c r="V108" t="s">
        <v>163</v>
      </c>
      <c r="AK108">
        <v>2046</v>
      </c>
      <c r="AL108" t="s">
        <v>334</v>
      </c>
      <c r="AM108">
        <v>0.33913333333333334</v>
      </c>
      <c r="AN108" t="s">
        <v>289</v>
      </c>
    </row>
    <row r="109" spans="9:40" x14ac:dyDescent="0.45">
      <c r="I109" t="s">
        <v>182</v>
      </c>
      <c r="J109" t="s">
        <v>340</v>
      </c>
      <c r="K109">
        <v>5.0324631010832998E-3</v>
      </c>
      <c r="L109" t="s">
        <v>163</v>
      </c>
      <c r="N109" t="s">
        <v>213</v>
      </c>
      <c r="O109" t="s">
        <v>340</v>
      </c>
      <c r="P109">
        <v>1.7966667191931608E-2</v>
      </c>
      <c r="Q109" t="s">
        <v>163</v>
      </c>
      <c r="S109" t="s">
        <v>244</v>
      </c>
      <c r="T109" t="s">
        <v>340</v>
      </c>
      <c r="U109">
        <v>2.3666610635598002E-2</v>
      </c>
      <c r="V109" t="s">
        <v>163</v>
      </c>
      <c r="AK109">
        <v>2046</v>
      </c>
      <c r="AL109" t="s">
        <v>335</v>
      </c>
      <c r="AM109">
        <v>0.36833333333333335</v>
      </c>
      <c r="AN109" t="s">
        <v>289</v>
      </c>
    </row>
    <row r="110" spans="9:40" x14ac:dyDescent="0.45">
      <c r="I110" t="s">
        <v>182</v>
      </c>
      <c r="J110" t="s">
        <v>341</v>
      </c>
      <c r="K110">
        <v>0.28285546871555861</v>
      </c>
      <c r="L110" t="s">
        <v>163</v>
      </c>
      <c r="N110" t="s">
        <v>213</v>
      </c>
      <c r="O110" t="s">
        <v>341</v>
      </c>
      <c r="P110">
        <v>0.18859953360622744</v>
      </c>
      <c r="Q110" t="s">
        <v>163</v>
      </c>
      <c r="S110" t="s">
        <v>244</v>
      </c>
      <c r="T110" t="s">
        <v>341</v>
      </c>
      <c r="U110">
        <v>0.10196836210181226</v>
      </c>
      <c r="V110" t="s">
        <v>163</v>
      </c>
      <c r="AK110">
        <v>2046</v>
      </c>
      <c r="AL110" t="s">
        <v>337</v>
      </c>
      <c r="AM110">
        <v>0.20660000000000001</v>
      </c>
      <c r="AN110" t="s">
        <v>289</v>
      </c>
    </row>
    <row r="111" spans="9:40" x14ac:dyDescent="0.45">
      <c r="I111" t="s">
        <v>182</v>
      </c>
      <c r="J111" t="s">
        <v>342</v>
      </c>
      <c r="K111">
        <v>1.5510648381195119E-3</v>
      </c>
      <c r="L111" t="s">
        <v>163</v>
      </c>
      <c r="N111" t="s">
        <v>213</v>
      </c>
      <c r="O111" t="s">
        <v>342</v>
      </c>
      <c r="P111">
        <v>0.13646071014752667</v>
      </c>
      <c r="Q111" t="s">
        <v>163</v>
      </c>
      <c r="S111" t="s">
        <v>244</v>
      </c>
      <c r="T111" t="s">
        <v>342</v>
      </c>
      <c r="U111">
        <v>0.11536663946389331</v>
      </c>
      <c r="V111" t="s">
        <v>163</v>
      </c>
      <c r="AK111">
        <v>2047</v>
      </c>
      <c r="AL111" t="s">
        <v>332</v>
      </c>
      <c r="AM111">
        <v>0.25489999999999996</v>
      </c>
      <c r="AN111" t="s">
        <v>289</v>
      </c>
    </row>
    <row r="112" spans="9:40" x14ac:dyDescent="0.45">
      <c r="I112" t="s">
        <v>182</v>
      </c>
      <c r="J112" t="s">
        <v>343</v>
      </c>
      <c r="K112">
        <v>2.2562252366145012E-2</v>
      </c>
      <c r="L112" t="s">
        <v>163</v>
      </c>
      <c r="N112" t="s">
        <v>213</v>
      </c>
      <c r="O112" t="s">
        <v>343</v>
      </c>
      <c r="P112">
        <v>2.8795421942029043E-2</v>
      </c>
      <c r="Q112" t="s">
        <v>163</v>
      </c>
      <c r="S112" t="s">
        <v>244</v>
      </c>
      <c r="T112" t="s">
        <v>343</v>
      </c>
      <c r="U112">
        <v>2.0873387986841609E-2</v>
      </c>
      <c r="V112" t="s">
        <v>163</v>
      </c>
      <c r="AK112">
        <v>2047</v>
      </c>
      <c r="AL112" t="s">
        <v>334</v>
      </c>
      <c r="AM112">
        <v>0.34736666666666666</v>
      </c>
      <c r="AN112" t="s">
        <v>289</v>
      </c>
    </row>
    <row r="113" spans="9:40" x14ac:dyDescent="0.45">
      <c r="I113" t="s">
        <v>182</v>
      </c>
      <c r="J113" t="s">
        <v>344</v>
      </c>
      <c r="K113">
        <v>0.22601631032034708</v>
      </c>
      <c r="L113" t="s">
        <v>163</v>
      </c>
      <c r="N113" t="s">
        <v>213</v>
      </c>
      <c r="O113" t="s">
        <v>344</v>
      </c>
      <c r="P113">
        <v>5.0623485565675197E-2</v>
      </c>
      <c r="Q113" t="s">
        <v>163</v>
      </c>
      <c r="S113" t="s">
        <v>244</v>
      </c>
      <c r="T113" t="s">
        <v>344</v>
      </c>
      <c r="U113">
        <v>8.7555717799673166E-2</v>
      </c>
      <c r="V113" t="s">
        <v>163</v>
      </c>
      <c r="AK113">
        <v>2047</v>
      </c>
      <c r="AL113" t="s">
        <v>335</v>
      </c>
      <c r="AM113">
        <v>0.34186666666666671</v>
      </c>
      <c r="AN113" t="s">
        <v>289</v>
      </c>
    </row>
    <row r="114" spans="9:40" x14ac:dyDescent="0.45">
      <c r="I114" t="s">
        <v>182</v>
      </c>
      <c r="J114" t="s">
        <v>345</v>
      </c>
      <c r="K114">
        <v>4.937062224118014E-3</v>
      </c>
      <c r="L114" t="s">
        <v>163</v>
      </c>
      <c r="N114" t="s">
        <v>213</v>
      </c>
      <c r="O114" t="s">
        <v>345</v>
      </c>
      <c r="P114">
        <v>4.596971654697999E-2</v>
      </c>
      <c r="Q114" t="s">
        <v>163</v>
      </c>
      <c r="S114" t="s">
        <v>244</v>
      </c>
      <c r="T114" t="s">
        <v>345</v>
      </c>
      <c r="U114">
        <v>9.1693176147660024E-2</v>
      </c>
      <c r="V114" t="s">
        <v>163</v>
      </c>
      <c r="AK114">
        <v>2047</v>
      </c>
      <c r="AL114" t="s">
        <v>337</v>
      </c>
      <c r="AM114">
        <v>0.21263333333333334</v>
      </c>
      <c r="AN114" t="s">
        <v>289</v>
      </c>
    </row>
    <row r="115" spans="9:40" x14ac:dyDescent="0.45">
      <c r="I115" t="s">
        <v>182</v>
      </c>
      <c r="J115" t="s">
        <v>346</v>
      </c>
      <c r="K115">
        <v>2.218882552046255E-2</v>
      </c>
      <c r="L115" t="s">
        <v>163</v>
      </c>
      <c r="N115" t="s">
        <v>213</v>
      </c>
      <c r="O115" t="s">
        <v>346</v>
      </c>
      <c r="P115">
        <v>7.1790370433305493E-3</v>
      </c>
      <c r="Q115" t="s">
        <v>163</v>
      </c>
      <c r="S115" t="s">
        <v>244</v>
      </c>
      <c r="T115" t="s">
        <v>346</v>
      </c>
      <c r="U115">
        <v>1.8161779825352411E-2</v>
      </c>
      <c r="V115" t="s">
        <v>163</v>
      </c>
      <c r="AK115">
        <v>2048</v>
      </c>
      <c r="AL115" t="s">
        <v>332</v>
      </c>
      <c r="AM115">
        <v>0.2515</v>
      </c>
      <c r="AN115" t="s">
        <v>289</v>
      </c>
    </row>
    <row r="116" spans="9:40" x14ac:dyDescent="0.45">
      <c r="I116" t="s">
        <v>182</v>
      </c>
      <c r="J116" t="s">
        <v>347</v>
      </c>
      <c r="K116">
        <v>0.22758694492239503</v>
      </c>
      <c r="L116" t="s">
        <v>163</v>
      </c>
      <c r="N116" t="s">
        <v>213</v>
      </c>
      <c r="O116" t="s">
        <v>347</v>
      </c>
      <c r="P116">
        <v>0.14503041695760777</v>
      </c>
      <c r="Q116" t="s">
        <v>163</v>
      </c>
      <c r="S116" t="s">
        <v>244</v>
      </c>
      <c r="T116" t="s">
        <v>347</v>
      </c>
      <c r="U116">
        <v>0.11862798579032476</v>
      </c>
      <c r="V116" t="s">
        <v>163</v>
      </c>
      <c r="AK116">
        <v>2048</v>
      </c>
      <c r="AL116" t="s">
        <v>334</v>
      </c>
      <c r="AM116">
        <v>0.33630000000000004</v>
      </c>
      <c r="AN116" t="s">
        <v>289</v>
      </c>
    </row>
    <row r="117" spans="9:40" x14ac:dyDescent="0.45">
      <c r="I117" t="s">
        <v>182</v>
      </c>
      <c r="J117" t="s">
        <v>348</v>
      </c>
      <c r="K117">
        <v>0</v>
      </c>
      <c r="L117" t="s">
        <v>163</v>
      </c>
      <c r="N117" t="s">
        <v>213</v>
      </c>
      <c r="O117" t="s">
        <v>348</v>
      </c>
      <c r="P117">
        <v>0.14059883114194663</v>
      </c>
      <c r="Q117" t="s">
        <v>163</v>
      </c>
      <c r="S117" t="s">
        <v>244</v>
      </c>
      <c r="T117" t="s">
        <v>348</v>
      </c>
      <c r="U117">
        <v>0.13284122605368823</v>
      </c>
      <c r="V117" t="s">
        <v>163</v>
      </c>
      <c r="AK117">
        <v>2048</v>
      </c>
      <c r="AL117" t="s">
        <v>335</v>
      </c>
      <c r="AM117">
        <v>0.36353333333333332</v>
      </c>
      <c r="AN117" t="s">
        <v>289</v>
      </c>
    </row>
    <row r="118" spans="9:40" x14ac:dyDescent="0.45">
      <c r="I118" t="s">
        <v>182</v>
      </c>
      <c r="J118" t="s">
        <v>349</v>
      </c>
      <c r="K118">
        <v>4.4877378097880642E-3</v>
      </c>
      <c r="L118" t="s">
        <v>163</v>
      </c>
      <c r="N118" t="s">
        <v>213</v>
      </c>
      <c r="O118" t="s">
        <v>349</v>
      </c>
      <c r="P118">
        <v>2.6088548977351449E-2</v>
      </c>
      <c r="Q118" t="s">
        <v>163</v>
      </c>
      <c r="S118" t="s">
        <v>244</v>
      </c>
      <c r="T118" t="s">
        <v>349</v>
      </c>
      <c r="U118">
        <v>2.3267692190964102E-2</v>
      </c>
      <c r="V118" t="s">
        <v>163</v>
      </c>
      <c r="AK118">
        <v>2048</v>
      </c>
      <c r="AL118" t="s">
        <v>337</v>
      </c>
      <c r="AM118">
        <v>0.22026666666666669</v>
      </c>
      <c r="AN118" t="s">
        <v>289</v>
      </c>
    </row>
    <row r="119" spans="9:40" x14ac:dyDescent="0.45">
      <c r="I119" t="s">
        <v>183</v>
      </c>
      <c r="J119" t="s">
        <v>338</v>
      </c>
      <c r="K119">
        <v>0.22147096169453495</v>
      </c>
      <c r="L119" t="s">
        <v>163</v>
      </c>
      <c r="N119" t="s">
        <v>214</v>
      </c>
      <c r="O119" t="s">
        <v>338</v>
      </c>
      <c r="P119">
        <v>0.11090121943879243</v>
      </c>
      <c r="Q119" t="s">
        <v>163</v>
      </c>
      <c r="S119" t="s">
        <v>245</v>
      </c>
      <c r="T119" t="s">
        <v>338</v>
      </c>
      <c r="U119">
        <v>0.11674980667677487</v>
      </c>
      <c r="V119" t="s">
        <v>163</v>
      </c>
      <c r="AK119">
        <v>2049</v>
      </c>
      <c r="AL119" t="s">
        <v>332</v>
      </c>
      <c r="AM119">
        <v>0.25479999999999997</v>
      </c>
      <c r="AN119" t="s">
        <v>289</v>
      </c>
    </row>
    <row r="120" spans="9:40" x14ac:dyDescent="0.45">
      <c r="I120" t="s">
        <v>183</v>
      </c>
      <c r="J120" t="s">
        <v>339</v>
      </c>
      <c r="K120">
        <v>0</v>
      </c>
      <c r="L120" t="s">
        <v>163</v>
      </c>
      <c r="N120" t="s">
        <v>214</v>
      </c>
      <c r="O120" t="s">
        <v>339</v>
      </c>
      <c r="P120">
        <v>0.11703473709159382</v>
      </c>
      <c r="Q120" t="s">
        <v>163</v>
      </c>
      <c r="S120" t="s">
        <v>245</v>
      </c>
      <c r="T120" t="s">
        <v>339</v>
      </c>
      <c r="U120">
        <v>0.12260107202267624</v>
      </c>
      <c r="V120" t="s">
        <v>163</v>
      </c>
      <c r="AK120">
        <v>2049</v>
      </c>
      <c r="AL120" t="s">
        <v>334</v>
      </c>
      <c r="AM120">
        <v>0.35383333333333328</v>
      </c>
      <c r="AN120" t="s">
        <v>289</v>
      </c>
    </row>
    <row r="121" spans="9:40" x14ac:dyDescent="0.45">
      <c r="I121" t="s">
        <v>183</v>
      </c>
      <c r="J121" t="s">
        <v>340</v>
      </c>
      <c r="K121">
        <v>6.0633808147276614E-3</v>
      </c>
      <c r="L121" t="s">
        <v>163</v>
      </c>
      <c r="N121" t="s">
        <v>214</v>
      </c>
      <c r="O121" t="s">
        <v>340</v>
      </c>
      <c r="P121">
        <v>2.2995123198948208E-2</v>
      </c>
      <c r="Q121" t="s">
        <v>163</v>
      </c>
      <c r="S121" t="s">
        <v>245</v>
      </c>
      <c r="T121" t="s">
        <v>340</v>
      </c>
      <c r="U121">
        <v>2.2769218248126874E-2</v>
      </c>
      <c r="V121" t="s">
        <v>163</v>
      </c>
      <c r="AK121">
        <v>2049</v>
      </c>
      <c r="AL121" t="s">
        <v>335</v>
      </c>
      <c r="AM121">
        <v>0.35863333333333336</v>
      </c>
      <c r="AN121" t="s">
        <v>289</v>
      </c>
    </row>
    <row r="122" spans="9:40" x14ac:dyDescent="0.45">
      <c r="I122" t="s">
        <v>183</v>
      </c>
      <c r="J122" t="s">
        <v>341</v>
      </c>
      <c r="K122">
        <v>0.29485046773477958</v>
      </c>
      <c r="L122" t="s">
        <v>163</v>
      </c>
      <c r="N122" t="s">
        <v>214</v>
      </c>
      <c r="O122" t="s">
        <v>341</v>
      </c>
      <c r="P122">
        <v>0.12283363236984347</v>
      </c>
      <c r="Q122" t="s">
        <v>163</v>
      </c>
      <c r="S122" t="s">
        <v>245</v>
      </c>
      <c r="T122" t="s">
        <v>341</v>
      </c>
      <c r="U122">
        <v>0.11346381338464895</v>
      </c>
      <c r="V122" t="s">
        <v>163</v>
      </c>
      <c r="AK122">
        <v>2049</v>
      </c>
      <c r="AL122" t="s">
        <v>337</v>
      </c>
      <c r="AM122">
        <v>0.21236666666666668</v>
      </c>
      <c r="AN122" t="s">
        <v>289</v>
      </c>
    </row>
    <row r="123" spans="9:40" x14ac:dyDescent="0.45">
      <c r="I123" t="s">
        <v>183</v>
      </c>
      <c r="J123" t="s">
        <v>342</v>
      </c>
      <c r="K123">
        <v>6.4513910168193921E-4</v>
      </c>
      <c r="L123" t="s">
        <v>163</v>
      </c>
      <c r="N123" t="s">
        <v>214</v>
      </c>
      <c r="O123" t="s">
        <v>342</v>
      </c>
      <c r="P123">
        <v>0.13089049102591521</v>
      </c>
      <c r="Q123" t="s">
        <v>163</v>
      </c>
      <c r="S123" t="s">
        <v>245</v>
      </c>
      <c r="T123" t="s">
        <v>342</v>
      </c>
      <c r="U123">
        <v>0.12479661255279931</v>
      </c>
      <c r="V123" t="s">
        <v>163</v>
      </c>
      <c r="AK123">
        <v>2050</v>
      </c>
      <c r="AL123" t="s">
        <v>332</v>
      </c>
      <c r="AM123">
        <v>0.25133333333333335</v>
      </c>
      <c r="AN123" t="s">
        <v>289</v>
      </c>
    </row>
    <row r="124" spans="9:40" x14ac:dyDescent="0.45">
      <c r="I124" t="s">
        <v>183</v>
      </c>
      <c r="J124" t="s">
        <v>343</v>
      </c>
      <c r="K124">
        <v>2.2967681963650677E-2</v>
      </c>
      <c r="L124" t="s">
        <v>163</v>
      </c>
      <c r="N124" t="s">
        <v>214</v>
      </c>
      <c r="O124" t="s">
        <v>343</v>
      </c>
      <c r="P124">
        <v>2.591554256106493E-2</v>
      </c>
      <c r="Q124" t="s">
        <v>163</v>
      </c>
      <c r="S124" t="s">
        <v>245</v>
      </c>
      <c r="T124" t="s">
        <v>343</v>
      </c>
      <c r="U124">
        <v>2.2894045713858127E-2</v>
      </c>
      <c r="V124" t="s">
        <v>163</v>
      </c>
      <c r="AK124">
        <v>2050</v>
      </c>
      <c r="AL124" t="s">
        <v>334</v>
      </c>
      <c r="AM124">
        <v>0.32946666666666663</v>
      </c>
      <c r="AN124" t="s">
        <v>289</v>
      </c>
    </row>
    <row r="125" spans="9:40" x14ac:dyDescent="0.45">
      <c r="I125" t="s">
        <v>183</v>
      </c>
      <c r="J125" t="s">
        <v>344</v>
      </c>
      <c r="K125">
        <v>0.24948736043502026</v>
      </c>
      <c r="L125" t="s">
        <v>163</v>
      </c>
      <c r="N125" t="s">
        <v>214</v>
      </c>
      <c r="O125" t="s">
        <v>344</v>
      </c>
      <c r="P125">
        <v>5.950557695597361E-2</v>
      </c>
      <c r="Q125" t="s">
        <v>163</v>
      </c>
      <c r="S125" t="s">
        <v>245</v>
      </c>
      <c r="T125" t="s">
        <v>344</v>
      </c>
      <c r="U125">
        <v>7.240495568995288E-2</v>
      </c>
      <c r="V125" t="s">
        <v>163</v>
      </c>
      <c r="AK125">
        <v>2050</v>
      </c>
      <c r="AL125" t="s">
        <v>335</v>
      </c>
      <c r="AM125">
        <v>0.38443333333333335</v>
      </c>
      <c r="AN125" t="s">
        <v>289</v>
      </c>
    </row>
    <row r="126" spans="9:40" x14ac:dyDescent="0.45">
      <c r="I126" t="s">
        <v>183</v>
      </c>
      <c r="J126" t="s">
        <v>345</v>
      </c>
      <c r="K126">
        <v>9.1131988874280359E-4</v>
      </c>
      <c r="L126" t="s">
        <v>163</v>
      </c>
      <c r="N126" t="s">
        <v>214</v>
      </c>
      <c r="O126" t="s">
        <v>345</v>
      </c>
      <c r="P126">
        <v>6.3359180513424984E-2</v>
      </c>
      <c r="Q126" t="s">
        <v>163</v>
      </c>
      <c r="S126" t="s">
        <v>245</v>
      </c>
      <c r="T126" t="s">
        <v>345</v>
      </c>
      <c r="U126">
        <v>7.6895509397889764E-2</v>
      </c>
      <c r="V126" t="s">
        <v>163</v>
      </c>
      <c r="AK126">
        <v>2050</v>
      </c>
      <c r="AL126" t="s">
        <v>337</v>
      </c>
      <c r="AM126">
        <v>0.21156666666666668</v>
      </c>
      <c r="AN126" t="s">
        <v>289</v>
      </c>
    </row>
    <row r="127" spans="9:40" x14ac:dyDescent="0.45">
      <c r="I127" t="s">
        <v>183</v>
      </c>
      <c r="J127" t="s">
        <v>346</v>
      </c>
      <c r="K127">
        <v>2.1282633775045204E-2</v>
      </c>
      <c r="L127" t="s">
        <v>163</v>
      </c>
      <c r="N127" t="s">
        <v>214</v>
      </c>
      <c r="O127" t="s">
        <v>346</v>
      </c>
      <c r="P127">
        <v>1.434461289282743E-2</v>
      </c>
      <c r="Q127" t="s">
        <v>163</v>
      </c>
      <c r="S127" t="s">
        <v>245</v>
      </c>
      <c r="T127" t="s">
        <v>346</v>
      </c>
      <c r="U127">
        <v>1.6007344297977281E-2</v>
      </c>
      <c r="V127" t="s">
        <v>163</v>
      </c>
    </row>
    <row r="128" spans="9:40" x14ac:dyDescent="0.45">
      <c r="I128" t="s">
        <v>183</v>
      </c>
      <c r="J128" t="s">
        <v>347</v>
      </c>
      <c r="K128">
        <v>0.17829731166336368</v>
      </c>
      <c r="L128" t="s">
        <v>163</v>
      </c>
      <c r="N128" t="s">
        <v>214</v>
      </c>
      <c r="O128" t="s">
        <v>347</v>
      </c>
      <c r="P128">
        <v>0.1474822924553425</v>
      </c>
      <c r="Q128" t="s">
        <v>163</v>
      </c>
      <c r="S128" t="s">
        <v>245</v>
      </c>
      <c r="T128" t="s">
        <v>347</v>
      </c>
      <c r="U128">
        <v>0.13415657575225329</v>
      </c>
      <c r="V128" t="s">
        <v>163</v>
      </c>
    </row>
    <row r="129" spans="9:22" x14ac:dyDescent="0.45">
      <c r="I129" t="s">
        <v>183</v>
      </c>
      <c r="J129" t="s">
        <v>348</v>
      </c>
      <c r="K129">
        <v>0</v>
      </c>
      <c r="L129" t="s">
        <v>163</v>
      </c>
      <c r="N129" t="s">
        <v>214</v>
      </c>
      <c r="O129" t="s">
        <v>348</v>
      </c>
      <c r="P129">
        <v>0.15462543226115091</v>
      </c>
      <c r="Q129" t="s">
        <v>163</v>
      </c>
      <c r="S129" t="s">
        <v>245</v>
      </c>
      <c r="T129" t="s">
        <v>348</v>
      </c>
      <c r="U129">
        <v>0.14993552160875542</v>
      </c>
      <c r="V129" t="s">
        <v>163</v>
      </c>
    </row>
    <row r="130" spans="9:22" x14ac:dyDescent="0.45">
      <c r="I130" t="s">
        <v>183</v>
      </c>
      <c r="J130" t="s">
        <v>349</v>
      </c>
      <c r="K130">
        <v>4.023742928454201E-3</v>
      </c>
      <c r="L130" t="s">
        <v>163</v>
      </c>
      <c r="N130" t="s">
        <v>214</v>
      </c>
      <c r="O130" t="s">
        <v>349</v>
      </c>
      <c r="P130">
        <v>3.0112159235121137E-2</v>
      </c>
      <c r="Q130" t="s">
        <v>163</v>
      </c>
      <c r="S130" t="s">
        <v>245</v>
      </c>
      <c r="T130" t="s">
        <v>349</v>
      </c>
      <c r="U130">
        <v>2.7325524654284214E-2</v>
      </c>
      <c r="V130" t="s">
        <v>163</v>
      </c>
    </row>
    <row r="131" spans="9:22" x14ac:dyDescent="0.45">
      <c r="I131" t="s">
        <v>184</v>
      </c>
      <c r="J131" t="s">
        <v>338</v>
      </c>
      <c r="K131">
        <v>0.23512259476600655</v>
      </c>
      <c r="L131" t="s">
        <v>163</v>
      </c>
      <c r="N131" t="s">
        <v>215</v>
      </c>
      <c r="O131" t="s">
        <v>338</v>
      </c>
      <c r="P131">
        <v>0.1132347814097157</v>
      </c>
      <c r="Q131" t="s">
        <v>163</v>
      </c>
      <c r="S131" t="s">
        <v>246</v>
      </c>
      <c r="T131" t="s">
        <v>338</v>
      </c>
      <c r="U131">
        <v>0.12905020769988707</v>
      </c>
      <c r="V131" t="s">
        <v>163</v>
      </c>
    </row>
    <row r="132" spans="9:22" x14ac:dyDescent="0.45">
      <c r="I132" t="s">
        <v>184</v>
      </c>
      <c r="J132" t="s">
        <v>339</v>
      </c>
      <c r="K132">
        <v>0</v>
      </c>
      <c r="L132" t="s">
        <v>163</v>
      </c>
      <c r="N132" t="s">
        <v>215</v>
      </c>
      <c r="O132" t="s">
        <v>339</v>
      </c>
      <c r="P132">
        <v>0.11061301475722526</v>
      </c>
      <c r="Q132" t="s">
        <v>163</v>
      </c>
      <c r="S132" t="s">
        <v>246</v>
      </c>
      <c r="T132" t="s">
        <v>339</v>
      </c>
      <c r="U132">
        <v>0.13058921781291152</v>
      </c>
      <c r="V132" t="s">
        <v>163</v>
      </c>
    </row>
    <row r="133" spans="9:22" x14ac:dyDescent="0.45">
      <c r="I133" t="s">
        <v>184</v>
      </c>
      <c r="J133" t="s">
        <v>340</v>
      </c>
      <c r="K133">
        <v>5.9181731061036516E-3</v>
      </c>
      <c r="L133" t="s">
        <v>163</v>
      </c>
      <c r="N133" t="s">
        <v>215</v>
      </c>
      <c r="O133" t="s">
        <v>340</v>
      </c>
      <c r="P133">
        <v>2.3283723419683103E-2</v>
      </c>
      <c r="Q133" t="s">
        <v>163</v>
      </c>
      <c r="S133" t="s">
        <v>246</v>
      </c>
      <c r="T133" t="s">
        <v>340</v>
      </c>
      <c r="U133">
        <v>2.3562984476707953E-2</v>
      </c>
      <c r="V133" t="s">
        <v>163</v>
      </c>
    </row>
    <row r="134" spans="9:22" x14ac:dyDescent="0.45">
      <c r="I134" t="s">
        <v>184</v>
      </c>
      <c r="J134" t="s">
        <v>341</v>
      </c>
      <c r="K134">
        <v>0.27229552635621068</v>
      </c>
      <c r="L134" t="s">
        <v>163</v>
      </c>
      <c r="N134" t="s">
        <v>215</v>
      </c>
      <c r="O134" t="s">
        <v>341</v>
      </c>
      <c r="P134">
        <v>0.13475491682966875</v>
      </c>
      <c r="Q134" t="s">
        <v>163</v>
      </c>
      <c r="S134" t="s">
        <v>246</v>
      </c>
      <c r="T134" t="s">
        <v>341</v>
      </c>
      <c r="U134">
        <v>0.10312063556065387</v>
      </c>
      <c r="V134" t="s">
        <v>163</v>
      </c>
    </row>
    <row r="135" spans="9:22" x14ac:dyDescent="0.45">
      <c r="I135" t="s">
        <v>184</v>
      </c>
      <c r="J135" t="s">
        <v>342</v>
      </c>
      <c r="K135">
        <v>3.5642846237599632E-4</v>
      </c>
      <c r="L135" t="s">
        <v>163</v>
      </c>
      <c r="N135" t="s">
        <v>215</v>
      </c>
      <c r="O135" t="s">
        <v>342</v>
      </c>
      <c r="P135">
        <v>0.12955996250339091</v>
      </c>
      <c r="Q135" t="s">
        <v>163</v>
      </c>
      <c r="S135" t="s">
        <v>246</v>
      </c>
      <c r="T135" t="s">
        <v>342</v>
      </c>
      <c r="U135">
        <v>0.1106079596752719</v>
      </c>
      <c r="V135" t="s">
        <v>163</v>
      </c>
    </row>
    <row r="136" spans="9:22" x14ac:dyDescent="0.45">
      <c r="I136" t="s">
        <v>184</v>
      </c>
      <c r="J136" t="s">
        <v>343</v>
      </c>
      <c r="K136">
        <v>1.7482702744540626E-2</v>
      </c>
      <c r="L136" t="s">
        <v>163</v>
      </c>
      <c r="N136" t="s">
        <v>215</v>
      </c>
      <c r="O136" t="s">
        <v>343</v>
      </c>
      <c r="P136">
        <v>2.5378970868246982E-2</v>
      </c>
      <c r="Q136" t="s">
        <v>163</v>
      </c>
      <c r="S136" t="s">
        <v>246</v>
      </c>
      <c r="T136" t="s">
        <v>343</v>
      </c>
      <c r="U136">
        <v>2.0224033867536982E-2</v>
      </c>
      <c r="V136" t="s">
        <v>163</v>
      </c>
    </row>
    <row r="137" spans="9:22" x14ac:dyDescent="0.45">
      <c r="I137" t="s">
        <v>184</v>
      </c>
      <c r="J137" t="s">
        <v>344</v>
      </c>
      <c r="K137">
        <v>0.26855844409964147</v>
      </c>
      <c r="L137" t="s">
        <v>163</v>
      </c>
      <c r="N137" t="s">
        <v>215</v>
      </c>
      <c r="O137" t="s">
        <v>344</v>
      </c>
      <c r="P137">
        <v>5.9598658642016251E-2</v>
      </c>
      <c r="Q137" t="s">
        <v>163</v>
      </c>
      <c r="S137" t="s">
        <v>246</v>
      </c>
      <c r="T137" t="s">
        <v>344</v>
      </c>
      <c r="U137">
        <v>9.0908007665554444E-2</v>
      </c>
      <c r="V137" t="s">
        <v>163</v>
      </c>
    </row>
    <row r="138" spans="9:22" x14ac:dyDescent="0.45">
      <c r="I138" t="s">
        <v>184</v>
      </c>
      <c r="J138" t="s">
        <v>345</v>
      </c>
      <c r="K138">
        <v>7.4592866902374686E-4</v>
      </c>
      <c r="L138" t="s">
        <v>163</v>
      </c>
      <c r="N138" t="s">
        <v>215</v>
      </c>
      <c r="O138" t="s">
        <v>345</v>
      </c>
      <c r="P138">
        <v>5.3298469121056159E-2</v>
      </c>
      <c r="Q138" t="s">
        <v>163</v>
      </c>
      <c r="S138" t="s">
        <v>246</v>
      </c>
      <c r="T138" t="s">
        <v>345</v>
      </c>
      <c r="U138">
        <v>9.9978959348048013E-2</v>
      </c>
      <c r="V138" t="s">
        <v>163</v>
      </c>
    </row>
    <row r="139" spans="9:22" x14ac:dyDescent="0.45">
      <c r="I139" t="s">
        <v>184</v>
      </c>
      <c r="J139" t="s">
        <v>346</v>
      </c>
      <c r="K139">
        <v>2.1162137058952302E-2</v>
      </c>
      <c r="L139" t="s">
        <v>163</v>
      </c>
      <c r="N139" t="s">
        <v>215</v>
      </c>
      <c r="O139" t="s">
        <v>346</v>
      </c>
      <c r="P139">
        <v>9.9422127300104225E-3</v>
      </c>
      <c r="Q139" t="s">
        <v>163</v>
      </c>
      <c r="S139" t="s">
        <v>246</v>
      </c>
      <c r="T139" t="s">
        <v>346</v>
      </c>
      <c r="U139">
        <v>1.6304014901904043E-2</v>
      </c>
      <c r="V139" t="s">
        <v>163</v>
      </c>
    </row>
    <row r="140" spans="9:22" x14ac:dyDescent="0.45">
      <c r="I140" t="s">
        <v>184</v>
      </c>
      <c r="J140" t="s">
        <v>347</v>
      </c>
      <c r="K140">
        <v>0.1743555705920061</v>
      </c>
      <c r="L140" t="s">
        <v>163</v>
      </c>
      <c r="N140" t="s">
        <v>215</v>
      </c>
      <c r="O140" t="s">
        <v>347</v>
      </c>
      <c r="P140">
        <v>0.15062919121398213</v>
      </c>
      <c r="Q140" t="s">
        <v>163</v>
      </c>
      <c r="S140" t="s">
        <v>246</v>
      </c>
      <c r="T140" t="s">
        <v>347</v>
      </c>
      <c r="U140">
        <v>0.1251740894658909</v>
      </c>
      <c r="V140" t="s">
        <v>163</v>
      </c>
    </row>
    <row r="141" spans="9:22" x14ac:dyDescent="0.45">
      <c r="I141" t="s">
        <v>184</v>
      </c>
      <c r="J141" t="s">
        <v>348</v>
      </c>
      <c r="K141">
        <v>0</v>
      </c>
      <c r="L141" t="s">
        <v>163</v>
      </c>
      <c r="N141" t="s">
        <v>215</v>
      </c>
      <c r="O141" t="s">
        <v>348</v>
      </c>
      <c r="P141">
        <v>0.15878264693920058</v>
      </c>
      <c r="Q141" t="s">
        <v>163</v>
      </c>
      <c r="S141" t="s">
        <v>246</v>
      </c>
      <c r="T141" t="s">
        <v>348</v>
      </c>
      <c r="U141">
        <v>0.12665358299589866</v>
      </c>
      <c r="V141" t="s">
        <v>163</v>
      </c>
    </row>
    <row r="142" spans="9:22" x14ac:dyDescent="0.45">
      <c r="I142" t="s">
        <v>184</v>
      </c>
      <c r="J142" t="s">
        <v>349</v>
      </c>
      <c r="K142">
        <v>4.0024941451399102E-3</v>
      </c>
      <c r="L142" t="s">
        <v>163</v>
      </c>
      <c r="N142" t="s">
        <v>215</v>
      </c>
      <c r="O142" t="s">
        <v>349</v>
      </c>
      <c r="P142">
        <v>3.0923451565802239E-2</v>
      </c>
      <c r="Q142" t="s">
        <v>163</v>
      </c>
      <c r="S142" t="s">
        <v>246</v>
      </c>
      <c r="T142" t="s">
        <v>349</v>
      </c>
      <c r="U142">
        <v>2.382630652973787E-2</v>
      </c>
      <c r="V142" t="s">
        <v>163</v>
      </c>
    </row>
    <row r="143" spans="9:22" x14ac:dyDescent="0.45">
      <c r="I143" t="s">
        <v>185</v>
      </c>
      <c r="J143" t="s">
        <v>338</v>
      </c>
      <c r="K143">
        <v>0.23293367666235856</v>
      </c>
      <c r="L143" t="s">
        <v>163</v>
      </c>
      <c r="N143" t="s">
        <v>216</v>
      </c>
      <c r="O143" t="s">
        <v>338</v>
      </c>
      <c r="P143">
        <v>9.7947168606160206E-2</v>
      </c>
      <c r="Q143" t="s">
        <v>163</v>
      </c>
      <c r="S143" t="s">
        <v>247</v>
      </c>
      <c r="T143" t="s">
        <v>338</v>
      </c>
      <c r="U143">
        <v>0.1171690154034374</v>
      </c>
      <c r="V143" t="s">
        <v>163</v>
      </c>
    </row>
    <row r="144" spans="9:22" x14ac:dyDescent="0.45">
      <c r="I144" t="s">
        <v>185</v>
      </c>
      <c r="J144" t="s">
        <v>339</v>
      </c>
      <c r="K144">
        <v>0</v>
      </c>
      <c r="L144" t="s">
        <v>163</v>
      </c>
      <c r="N144" t="s">
        <v>216</v>
      </c>
      <c r="O144" t="s">
        <v>339</v>
      </c>
      <c r="P144">
        <v>0.10206139505025476</v>
      </c>
      <c r="Q144" t="s">
        <v>163</v>
      </c>
      <c r="S144" t="s">
        <v>247</v>
      </c>
      <c r="T144" t="s">
        <v>339</v>
      </c>
      <c r="U144">
        <v>0.12211223788607965</v>
      </c>
      <c r="V144" t="s">
        <v>163</v>
      </c>
    </row>
    <row r="145" spans="9:22" x14ac:dyDescent="0.45">
      <c r="I145" t="s">
        <v>185</v>
      </c>
      <c r="J145" t="s">
        <v>340</v>
      </c>
      <c r="K145">
        <v>5.9725186917081305E-3</v>
      </c>
      <c r="L145" t="s">
        <v>163</v>
      </c>
      <c r="N145" t="s">
        <v>216</v>
      </c>
      <c r="O145" t="s">
        <v>340</v>
      </c>
      <c r="P145">
        <v>2.5172939984589273E-2</v>
      </c>
      <c r="Q145" t="s">
        <v>163</v>
      </c>
      <c r="S145" t="s">
        <v>247</v>
      </c>
      <c r="T145" t="s">
        <v>340</v>
      </c>
      <c r="U145">
        <v>2.2094241791784219E-2</v>
      </c>
      <c r="V145" t="s">
        <v>163</v>
      </c>
    </row>
    <row r="146" spans="9:22" x14ac:dyDescent="0.45">
      <c r="I146" t="s">
        <v>185</v>
      </c>
      <c r="J146" t="s">
        <v>341</v>
      </c>
      <c r="K146">
        <v>0.29145614245492163</v>
      </c>
      <c r="L146" t="s">
        <v>163</v>
      </c>
      <c r="N146" t="s">
        <v>216</v>
      </c>
      <c r="O146" t="s">
        <v>341</v>
      </c>
      <c r="P146">
        <v>0.16962885442812109</v>
      </c>
      <c r="Q146" t="s">
        <v>163</v>
      </c>
      <c r="S146" t="s">
        <v>247</v>
      </c>
      <c r="T146" t="s">
        <v>341</v>
      </c>
      <c r="U146">
        <v>0.10236639026823251</v>
      </c>
      <c r="V146" t="s">
        <v>163</v>
      </c>
    </row>
    <row r="147" spans="9:22" x14ac:dyDescent="0.45">
      <c r="I147" t="s">
        <v>185</v>
      </c>
      <c r="J147" t="s">
        <v>342</v>
      </c>
      <c r="K147">
        <v>5.6827772252955524E-4</v>
      </c>
      <c r="L147" t="s">
        <v>163</v>
      </c>
      <c r="N147" t="s">
        <v>216</v>
      </c>
      <c r="O147" t="s">
        <v>342</v>
      </c>
      <c r="P147">
        <v>0.14472338044765742</v>
      </c>
      <c r="Q147" t="s">
        <v>163</v>
      </c>
      <c r="S147" t="s">
        <v>247</v>
      </c>
      <c r="T147" t="s">
        <v>342</v>
      </c>
      <c r="U147">
        <v>0.1172510595497787</v>
      </c>
      <c r="V147" t="s">
        <v>163</v>
      </c>
    </row>
    <row r="148" spans="9:22" x14ac:dyDescent="0.45">
      <c r="I148" t="s">
        <v>185</v>
      </c>
      <c r="J148" t="s">
        <v>343</v>
      </c>
      <c r="K148">
        <v>2.1198893443512796E-2</v>
      </c>
      <c r="L148" t="s">
        <v>163</v>
      </c>
      <c r="N148" t="s">
        <v>216</v>
      </c>
      <c r="O148" t="s">
        <v>343</v>
      </c>
      <c r="P148">
        <v>4.3692335204202598E-2</v>
      </c>
      <c r="Q148" t="s">
        <v>163</v>
      </c>
      <c r="S148" t="s">
        <v>247</v>
      </c>
      <c r="T148" t="s">
        <v>343</v>
      </c>
      <c r="U148">
        <v>2.1195664056108864E-2</v>
      </c>
      <c r="V148" t="s">
        <v>163</v>
      </c>
    </row>
    <row r="149" spans="9:22" x14ac:dyDescent="0.45">
      <c r="I149" t="s">
        <v>185</v>
      </c>
      <c r="J149" t="s">
        <v>344</v>
      </c>
      <c r="K149">
        <v>0.23821161825105325</v>
      </c>
      <c r="L149" t="s">
        <v>163</v>
      </c>
      <c r="N149" t="s">
        <v>216</v>
      </c>
      <c r="O149" t="s">
        <v>344</v>
      </c>
      <c r="P149">
        <v>3.951063852466577E-2</v>
      </c>
      <c r="Q149" t="s">
        <v>163</v>
      </c>
      <c r="S149" t="s">
        <v>247</v>
      </c>
      <c r="T149" t="s">
        <v>344</v>
      </c>
      <c r="U149">
        <v>8.1238797521369047E-2</v>
      </c>
      <c r="V149" t="s">
        <v>163</v>
      </c>
    </row>
    <row r="150" spans="9:22" x14ac:dyDescent="0.45">
      <c r="I150" t="s">
        <v>185</v>
      </c>
      <c r="J150" t="s">
        <v>345</v>
      </c>
      <c r="K150">
        <v>6.8298047276808805E-4</v>
      </c>
      <c r="L150" t="s">
        <v>163</v>
      </c>
      <c r="N150" t="s">
        <v>216</v>
      </c>
      <c r="O150" t="s">
        <v>345</v>
      </c>
      <c r="P150">
        <v>4.7921006104379889E-2</v>
      </c>
      <c r="Q150" t="s">
        <v>163</v>
      </c>
      <c r="S150" t="s">
        <v>247</v>
      </c>
      <c r="T150" t="s">
        <v>345</v>
      </c>
      <c r="U150">
        <v>9.8070488755371873E-2</v>
      </c>
      <c r="V150" t="s">
        <v>163</v>
      </c>
    </row>
    <row r="151" spans="9:22" x14ac:dyDescent="0.45">
      <c r="I151" t="s">
        <v>185</v>
      </c>
      <c r="J151" t="s">
        <v>346</v>
      </c>
      <c r="K151">
        <v>1.8978742736330958E-2</v>
      </c>
      <c r="L151" t="s">
        <v>163</v>
      </c>
      <c r="N151" t="s">
        <v>216</v>
      </c>
      <c r="O151" t="s">
        <v>346</v>
      </c>
      <c r="P151">
        <v>1.3635326876956793E-2</v>
      </c>
      <c r="Q151" t="s">
        <v>163</v>
      </c>
      <c r="S151" t="s">
        <v>247</v>
      </c>
      <c r="T151" t="s">
        <v>346</v>
      </c>
      <c r="U151">
        <v>1.4095537347537029E-2</v>
      </c>
      <c r="V151" t="s">
        <v>163</v>
      </c>
    </row>
    <row r="152" spans="9:22" x14ac:dyDescent="0.45">
      <c r="I152" t="s">
        <v>185</v>
      </c>
      <c r="J152" t="s">
        <v>347</v>
      </c>
      <c r="K152">
        <v>0.18582204934987184</v>
      </c>
      <c r="L152" t="s">
        <v>163</v>
      </c>
      <c r="N152" t="s">
        <v>216</v>
      </c>
      <c r="O152" t="s">
        <v>347</v>
      </c>
      <c r="P152">
        <v>0.15004421182505295</v>
      </c>
      <c r="Q152" t="s">
        <v>163</v>
      </c>
      <c r="S152" t="s">
        <v>247</v>
      </c>
      <c r="T152" t="s">
        <v>347</v>
      </c>
      <c r="U152">
        <v>0.13739260572323067</v>
      </c>
      <c r="V152" t="s">
        <v>163</v>
      </c>
    </row>
    <row r="153" spans="9:22" x14ac:dyDescent="0.45">
      <c r="I153" t="s">
        <v>185</v>
      </c>
      <c r="J153" t="s">
        <v>348</v>
      </c>
      <c r="K153">
        <v>0</v>
      </c>
      <c r="L153" t="s">
        <v>163</v>
      </c>
      <c r="N153" t="s">
        <v>216</v>
      </c>
      <c r="O153" t="s">
        <v>348</v>
      </c>
      <c r="P153">
        <v>0.1353615640308827</v>
      </c>
      <c r="Q153" t="s">
        <v>163</v>
      </c>
      <c r="S153" t="s">
        <v>247</v>
      </c>
      <c r="T153" t="s">
        <v>348</v>
      </c>
      <c r="U153">
        <v>0.14148076137737006</v>
      </c>
      <c r="V153" t="s">
        <v>163</v>
      </c>
    </row>
    <row r="154" spans="9:22" x14ac:dyDescent="0.45">
      <c r="I154" t="s">
        <v>185</v>
      </c>
      <c r="J154" t="s">
        <v>349</v>
      </c>
      <c r="K154">
        <v>4.1751002149444287E-3</v>
      </c>
      <c r="L154" t="s">
        <v>163</v>
      </c>
      <c r="N154" t="s">
        <v>216</v>
      </c>
      <c r="O154" t="s">
        <v>349</v>
      </c>
      <c r="P154">
        <v>3.0301178917074963E-2</v>
      </c>
      <c r="Q154" t="s">
        <v>163</v>
      </c>
      <c r="S154" t="s">
        <v>247</v>
      </c>
      <c r="T154" t="s">
        <v>349</v>
      </c>
      <c r="U154">
        <v>2.5533200319700765E-2</v>
      </c>
      <c r="V154" t="s">
        <v>163</v>
      </c>
    </row>
    <row r="155" spans="9:22" x14ac:dyDescent="0.45">
      <c r="I155" t="s">
        <v>186</v>
      </c>
      <c r="J155" t="s">
        <v>338</v>
      </c>
      <c r="K155">
        <v>0.20053689880766759</v>
      </c>
      <c r="L155" t="s">
        <v>163</v>
      </c>
      <c r="N155" t="s">
        <v>217</v>
      </c>
      <c r="O155" t="s">
        <v>338</v>
      </c>
      <c r="P155">
        <v>0.10949920153351228</v>
      </c>
      <c r="Q155" t="s">
        <v>163</v>
      </c>
      <c r="S155" t="s">
        <v>248</v>
      </c>
      <c r="T155" t="s">
        <v>338</v>
      </c>
      <c r="U155">
        <v>0.1122289670825604</v>
      </c>
      <c r="V155" t="s">
        <v>163</v>
      </c>
    </row>
    <row r="156" spans="9:22" x14ac:dyDescent="0.45">
      <c r="I156" t="s">
        <v>186</v>
      </c>
      <c r="J156" t="s">
        <v>339</v>
      </c>
      <c r="K156">
        <v>0</v>
      </c>
      <c r="L156" t="s">
        <v>163</v>
      </c>
      <c r="N156" t="s">
        <v>217</v>
      </c>
      <c r="O156" t="s">
        <v>339</v>
      </c>
      <c r="P156">
        <v>0.12099220195822544</v>
      </c>
      <c r="Q156" t="s">
        <v>163</v>
      </c>
      <c r="S156" t="s">
        <v>248</v>
      </c>
      <c r="T156" t="s">
        <v>339</v>
      </c>
      <c r="U156">
        <v>0.12657500522572554</v>
      </c>
      <c r="V156" t="s">
        <v>163</v>
      </c>
    </row>
    <row r="157" spans="9:22" x14ac:dyDescent="0.45">
      <c r="I157" t="s">
        <v>186</v>
      </c>
      <c r="J157" t="s">
        <v>340</v>
      </c>
      <c r="K157">
        <v>1.3201473351834705E-2</v>
      </c>
      <c r="L157" t="s">
        <v>163</v>
      </c>
      <c r="N157" t="s">
        <v>217</v>
      </c>
      <c r="O157" t="s">
        <v>340</v>
      </c>
      <c r="P157">
        <v>2.3856106321624038E-2</v>
      </c>
      <c r="Q157" t="s">
        <v>163</v>
      </c>
      <c r="S157" t="s">
        <v>248</v>
      </c>
      <c r="T157" t="s">
        <v>340</v>
      </c>
      <c r="U157">
        <v>2.4157682979387932E-2</v>
      </c>
      <c r="V157" t="s">
        <v>163</v>
      </c>
    </row>
    <row r="158" spans="9:22" x14ac:dyDescent="0.45">
      <c r="I158" t="s">
        <v>186</v>
      </c>
      <c r="J158" t="s">
        <v>341</v>
      </c>
      <c r="K158">
        <v>0.28302846138278953</v>
      </c>
      <c r="L158" t="s">
        <v>163</v>
      </c>
      <c r="N158" t="s">
        <v>217</v>
      </c>
      <c r="O158" t="s">
        <v>341</v>
      </c>
      <c r="P158">
        <v>0.13153044421731297</v>
      </c>
      <c r="Q158" t="s">
        <v>163</v>
      </c>
      <c r="S158" t="s">
        <v>248</v>
      </c>
      <c r="T158" t="s">
        <v>341</v>
      </c>
      <c r="U158">
        <v>0.11567955299566723</v>
      </c>
      <c r="V158" t="s">
        <v>163</v>
      </c>
    </row>
    <row r="159" spans="9:22" x14ac:dyDescent="0.45">
      <c r="I159" t="s">
        <v>186</v>
      </c>
      <c r="J159" t="s">
        <v>342</v>
      </c>
      <c r="K159">
        <v>1.5029345817961404E-3</v>
      </c>
      <c r="L159" t="s">
        <v>163</v>
      </c>
      <c r="N159" t="s">
        <v>217</v>
      </c>
      <c r="O159" t="s">
        <v>342</v>
      </c>
      <c r="P159">
        <v>0.15086292869704948</v>
      </c>
      <c r="Q159" t="s">
        <v>163</v>
      </c>
      <c r="S159" t="s">
        <v>248</v>
      </c>
      <c r="T159" t="s">
        <v>342</v>
      </c>
      <c r="U159">
        <v>0.12777578438462542</v>
      </c>
      <c r="V159" t="s">
        <v>163</v>
      </c>
    </row>
    <row r="160" spans="9:22" x14ac:dyDescent="0.45">
      <c r="I160" t="s">
        <v>186</v>
      </c>
      <c r="J160" t="s">
        <v>343</v>
      </c>
      <c r="K160">
        <v>3.0533821097258738E-2</v>
      </c>
      <c r="L160" t="s">
        <v>163</v>
      </c>
      <c r="N160" t="s">
        <v>217</v>
      </c>
      <c r="O160" t="s">
        <v>343</v>
      </c>
      <c r="P160">
        <v>3.1344877087195334E-2</v>
      </c>
      <c r="Q160" t="s">
        <v>163</v>
      </c>
      <c r="S160" t="s">
        <v>248</v>
      </c>
      <c r="T160" t="s">
        <v>343</v>
      </c>
      <c r="U160">
        <v>2.2793110685727831E-2</v>
      </c>
      <c r="V160" t="s">
        <v>163</v>
      </c>
    </row>
    <row r="161" spans="9:22" x14ac:dyDescent="0.45">
      <c r="I161" t="s">
        <v>186</v>
      </c>
      <c r="J161" t="s">
        <v>344</v>
      </c>
      <c r="K161">
        <v>0.22775736799210319</v>
      </c>
      <c r="L161" t="s">
        <v>163</v>
      </c>
      <c r="N161" t="s">
        <v>217</v>
      </c>
      <c r="O161" t="s">
        <v>344</v>
      </c>
      <c r="P161">
        <v>6.7920372733135739E-2</v>
      </c>
      <c r="Q161" t="s">
        <v>163</v>
      </c>
      <c r="S161" t="s">
        <v>248</v>
      </c>
      <c r="T161" t="s">
        <v>344</v>
      </c>
      <c r="U161">
        <v>8.3943216522636088E-2</v>
      </c>
      <c r="V161" t="s">
        <v>163</v>
      </c>
    </row>
    <row r="162" spans="9:22" x14ac:dyDescent="0.45">
      <c r="I162" t="s">
        <v>186</v>
      </c>
      <c r="J162" t="s">
        <v>345</v>
      </c>
      <c r="K162">
        <v>3.8759784603081752E-3</v>
      </c>
      <c r="L162" t="s">
        <v>163</v>
      </c>
      <c r="N162" t="s">
        <v>217</v>
      </c>
      <c r="O162" t="s">
        <v>345</v>
      </c>
      <c r="P162">
        <v>8.270790031998991E-2</v>
      </c>
      <c r="Q162" t="s">
        <v>163</v>
      </c>
      <c r="S162" t="s">
        <v>248</v>
      </c>
      <c r="T162" t="s">
        <v>345</v>
      </c>
      <c r="U162">
        <v>9.3133558351947685E-2</v>
      </c>
      <c r="V162" t="s">
        <v>163</v>
      </c>
    </row>
    <row r="163" spans="9:22" x14ac:dyDescent="0.45">
      <c r="I163" t="s">
        <v>186</v>
      </c>
      <c r="J163" t="s">
        <v>346</v>
      </c>
      <c r="K163">
        <v>2.5900666347307675E-2</v>
      </c>
      <c r="L163" t="s">
        <v>163</v>
      </c>
      <c r="N163" t="s">
        <v>217</v>
      </c>
      <c r="O163" t="s">
        <v>346</v>
      </c>
      <c r="P163">
        <v>1.7862617568776881E-2</v>
      </c>
      <c r="Q163" t="s">
        <v>163</v>
      </c>
      <c r="S163" t="s">
        <v>248</v>
      </c>
      <c r="T163" t="s">
        <v>346</v>
      </c>
      <c r="U163">
        <v>1.5660854454694537E-2</v>
      </c>
      <c r="V163" t="s">
        <v>163</v>
      </c>
    </row>
    <row r="164" spans="9:22" x14ac:dyDescent="0.45">
      <c r="I164" t="s">
        <v>186</v>
      </c>
      <c r="J164" t="s">
        <v>347</v>
      </c>
      <c r="K164">
        <v>0.20153828012864983</v>
      </c>
      <c r="L164" t="s">
        <v>163</v>
      </c>
      <c r="N164" t="s">
        <v>217</v>
      </c>
      <c r="O164" t="s">
        <v>347</v>
      </c>
      <c r="P164">
        <v>0.11477559054483713</v>
      </c>
      <c r="Q164" t="s">
        <v>163</v>
      </c>
      <c r="S164" t="s">
        <v>248</v>
      </c>
      <c r="T164" t="s">
        <v>347</v>
      </c>
      <c r="U164">
        <v>0.1205274260120789</v>
      </c>
      <c r="V164" t="s">
        <v>163</v>
      </c>
    </row>
    <row r="165" spans="9:22" x14ac:dyDescent="0.45">
      <c r="I165" t="s">
        <v>186</v>
      </c>
      <c r="J165" t="s">
        <v>348</v>
      </c>
      <c r="K165">
        <v>0</v>
      </c>
      <c r="L165" t="s">
        <v>163</v>
      </c>
      <c r="N165" t="s">
        <v>217</v>
      </c>
      <c r="O165" t="s">
        <v>348</v>
      </c>
      <c r="P165">
        <v>0.12701573946328015</v>
      </c>
      <c r="Q165" t="s">
        <v>163</v>
      </c>
      <c r="S165" t="s">
        <v>248</v>
      </c>
      <c r="T165" t="s">
        <v>348</v>
      </c>
      <c r="U165">
        <v>0.13447722759937866</v>
      </c>
      <c r="V165" t="s">
        <v>163</v>
      </c>
    </row>
    <row r="166" spans="9:22" x14ac:dyDescent="0.45">
      <c r="I166" t="s">
        <v>186</v>
      </c>
      <c r="J166" t="s">
        <v>349</v>
      </c>
      <c r="K166">
        <v>1.2124117850284645E-2</v>
      </c>
      <c r="L166" t="s">
        <v>163</v>
      </c>
      <c r="N166" t="s">
        <v>217</v>
      </c>
      <c r="O166" t="s">
        <v>349</v>
      </c>
      <c r="P166">
        <v>2.1632019555057606E-2</v>
      </c>
      <c r="Q166" t="s">
        <v>163</v>
      </c>
      <c r="S166" t="s">
        <v>248</v>
      </c>
      <c r="T166" t="s">
        <v>349</v>
      </c>
      <c r="U166">
        <v>2.3047613705571079E-2</v>
      </c>
      <c r="V166" t="s">
        <v>163</v>
      </c>
    </row>
    <row r="167" spans="9:22" x14ac:dyDescent="0.45">
      <c r="I167" t="s">
        <v>187</v>
      </c>
      <c r="J167" t="s">
        <v>338</v>
      </c>
      <c r="K167">
        <v>0.2040234979827048</v>
      </c>
      <c r="L167" t="s">
        <v>163</v>
      </c>
      <c r="N167" t="s">
        <v>218</v>
      </c>
      <c r="O167" t="s">
        <v>338</v>
      </c>
      <c r="P167">
        <v>0.11544072301849344</v>
      </c>
      <c r="Q167" t="s">
        <v>163</v>
      </c>
      <c r="S167" t="s">
        <v>249</v>
      </c>
      <c r="T167" t="s">
        <v>338</v>
      </c>
      <c r="U167">
        <v>0.12409241939030638</v>
      </c>
      <c r="V167" t="s">
        <v>163</v>
      </c>
    </row>
    <row r="168" spans="9:22" x14ac:dyDescent="0.45">
      <c r="I168" t="s">
        <v>187</v>
      </c>
      <c r="J168" t="s">
        <v>339</v>
      </c>
      <c r="K168">
        <v>0</v>
      </c>
      <c r="L168" t="s">
        <v>163</v>
      </c>
      <c r="N168" t="s">
        <v>218</v>
      </c>
      <c r="O168" t="s">
        <v>339</v>
      </c>
      <c r="P168">
        <v>9.2082039883158232E-2</v>
      </c>
      <c r="Q168" t="s">
        <v>163</v>
      </c>
      <c r="S168" t="s">
        <v>249</v>
      </c>
      <c r="T168" t="s">
        <v>339</v>
      </c>
      <c r="U168">
        <v>0.12904412280721214</v>
      </c>
      <c r="V168" t="s">
        <v>163</v>
      </c>
    </row>
    <row r="169" spans="9:22" x14ac:dyDescent="0.45">
      <c r="I169" t="s">
        <v>187</v>
      </c>
      <c r="J169" t="s">
        <v>340</v>
      </c>
      <c r="K169">
        <v>1.5422233933093169E-2</v>
      </c>
      <c r="L169" t="s">
        <v>163</v>
      </c>
      <c r="N169" t="s">
        <v>218</v>
      </c>
      <c r="O169" t="s">
        <v>340</v>
      </c>
      <c r="P169">
        <v>2.1443702383402145E-2</v>
      </c>
      <c r="Q169" t="s">
        <v>163</v>
      </c>
      <c r="S169" t="s">
        <v>249</v>
      </c>
      <c r="T169" t="s">
        <v>340</v>
      </c>
      <c r="U169">
        <v>2.3396284560772806E-2</v>
      </c>
      <c r="V169" t="s">
        <v>163</v>
      </c>
    </row>
    <row r="170" spans="9:22" x14ac:dyDescent="0.45">
      <c r="I170" t="s">
        <v>187</v>
      </c>
      <c r="J170" t="s">
        <v>341</v>
      </c>
      <c r="K170">
        <v>0.2775989348863655</v>
      </c>
      <c r="L170" t="s">
        <v>163</v>
      </c>
      <c r="N170" t="s">
        <v>218</v>
      </c>
      <c r="O170" t="s">
        <v>341</v>
      </c>
      <c r="P170">
        <v>0.16214399776638122</v>
      </c>
      <c r="Q170" t="s">
        <v>163</v>
      </c>
      <c r="S170" t="s">
        <v>249</v>
      </c>
      <c r="T170" t="s">
        <v>341</v>
      </c>
      <c r="U170">
        <v>0.10341543300125824</v>
      </c>
      <c r="V170" t="s">
        <v>163</v>
      </c>
    </row>
    <row r="171" spans="9:22" x14ac:dyDescent="0.45">
      <c r="I171" t="s">
        <v>187</v>
      </c>
      <c r="J171" t="s">
        <v>342</v>
      </c>
      <c r="K171">
        <v>2.1821310499084449E-3</v>
      </c>
      <c r="L171" t="s">
        <v>163</v>
      </c>
      <c r="N171" t="s">
        <v>218</v>
      </c>
      <c r="O171" t="s">
        <v>342</v>
      </c>
      <c r="P171">
        <v>0.10063115910476243</v>
      </c>
      <c r="Q171" t="s">
        <v>163</v>
      </c>
      <c r="S171" t="s">
        <v>249</v>
      </c>
      <c r="T171" t="s">
        <v>342</v>
      </c>
      <c r="U171">
        <v>0.12016844366624413</v>
      </c>
      <c r="V171" t="s">
        <v>163</v>
      </c>
    </row>
    <row r="172" spans="9:22" x14ac:dyDescent="0.45">
      <c r="I172" t="s">
        <v>187</v>
      </c>
      <c r="J172" t="s">
        <v>343</v>
      </c>
      <c r="K172">
        <v>3.1481206359331861E-2</v>
      </c>
      <c r="L172" t="s">
        <v>163</v>
      </c>
      <c r="N172" t="s">
        <v>218</v>
      </c>
      <c r="O172" t="s">
        <v>343</v>
      </c>
      <c r="P172">
        <v>3.4986664650978612E-2</v>
      </c>
      <c r="Q172" t="s">
        <v>163</v>
      </c>
      <c r="S172" t="s">
        <v>249</v>
      </c>
      <c r="T172" t="s">
        <v>343</v>
      </c>
      <c r="U172">
        <v>2.1055628702072244E-2</v>
      </c>
      <c r="V172" t="s">
        <v>163</v>
      </c>
    </row>
    <row r="173" spans="9:22" x14ac:dyDescent="0.45">
      <c r="I173" t="s">
        <v>187</v>
      </c>
      <c r="J173" t="s">
        <v>344</v>
      </c>
      <c r="K173">
        <v>0.23545210356057722</v>
      </c>
      <c r="L173" t="s">
        <v>163</v>
      </c>
      <c r="N173" t="s">
        <v>218</v>
      </c>
      <c r="O173" t="s">
        <v>344</v>
      </c>
      <c r="P173">
        <v>7.4645795211497765E-2</v>
      </c>
      <c r="Q173" t="s">
        <v>163</v>
      </c>
      <c r="S173" t="s">
        <v>249</v>
      </c>
      <c r="T173" t="s">
        <v>344</v>
      </c>
      <c r="U173">
        <v>7.8765325537123718E-2</v>
      </c>
      <c r="V173" t="s">
        <v>163</v>
      </c>
    </row>
    <row r="174" spans="9:22" x14ac:dyDescent="0.45">
      <c r="I174" t="s">
        <v>187</v>
      </c>
      <c r="J174" t="s">
        <v>345</v>
      </c>
      <c r="K174">
        <v>4.9164608397711486E-3</v>
      </c>
      <c r="L174" t="s">
        <v>163</v>
      </c>
      <c r="N174" t="s">
        <v>218</v>
      </c>
      <c r="O174" t="s">
        <v>345</v>
      </c>
      <c r="P174">
        <v>3.8655671683018762E-2</v>
      </c>
      <c r="Q174" t="s">
        <v>163</v>
      </c>
      <c r="S174" t="s">
        <v>249</v>
      </c>
      <c r="T174" t="s">
        <v>345</v>
      </c>
      <c r="U174">
        <v>9.6416186440874352E-2</v>
      </c>
      <c r="V174" t="s">
        <v>163</v>
      </c>
    </row>
    <row r="175" spans="9:22" x14ac:dyDescent="0.45">
      <c r="I175" t="s">
        <v>187</v>
      </c>
      <c r="J175" t="s">
        <v>346</v>
      </c>
      <c r="K175">
        <v>2.8333037364578526E-2</v>
      </c>
      <c r="L175" t="s">
        <v>163</v>
      </c>
      <c r="N175" t="s">
        <v>218</v>
      </c>
      <c r="O175" t="s">
        <v>346</v>
      </c>
      <c r="P175">
        <v>1.3683677948068155E-2</v>
      </c>
      <c r="Q175" t="s">
        <v>163</v>
      </c>
      <c r="S175" t="s">
        <v>249</v>
      </c>
      <c r="T175" t="s">
        <v>346</v>
      </c>
      <c r="U175">
        <v>1.4616447219183201E-2</v>
      </c>
      <c r="V175" t="s">
        <v>163</v>
      </c>
    </row>
    <row r="176" spans="9:22" x14ac:dyDescent="0.45">
      <c r="I176" t="s">
        <v>187</v>
      </c>
      <c r="J176" t="s">
        <v>347</v>
      </c>
      <c r="K176">
        <v>0.18732099156705678</v>
      </c>
      <c r="L176" t="s">
        <v>163</v>
      </c>
      <c r="N176" t="s">
        <v>218</v>
      </c>
      <c r="O176" t="s">
        <v>347</v>
      </c>
      <c r="P176">
        <v>0.1800825350181556</v>
      </c>
      <c r="Q176" t="s">
        <v>163</v>
      </c>
      <c r="S176" t="s">
        <v>249</v>
      </c>
      <c r="T176" t="s">
        <v>347</v>
      </c>
      <c r="U176">
        <v>0.12731825745637854</v>
      </c>
      <c r="V176" t="s">
        <v>163</v>
      </c>
    </row>
    <row r="177" spans="9:22" x14ac:dyDescent="0.45">
      <c r="I177" t="s">
        <v>187</v>
      </c>
      <c r="J177" t="s">
        <v>348</v>
      </c>
      <c r="K177">
        <v>0</v>
      </c>
      <c r="L177" t="s">
        <v>163</v>
      </c>
      <c r="N177" t="s">
        <v>218</v>
      </c>
      <c r="O177" t="s">
        <v>348</v>
      </c>
      <c r="P177">
        <v>0.13034543233999968</v>
      </c>
      <c r="Q177" t="s">
        <v>163</v>
      </c>
      <c r="S177" t="s">
        <v>249</v>
      </c>
      <c r="T177" t="s">
        <v>348</v>
      </c>
      <c r="U177">
        <v>0.13798723738724497</v>
      </c>
      <c r="V177" t="s">
        <v>163</v>
      </c>
    </row>
    <row r="178" spans="9:22" x14ac:dyDescent="0.45">
      <c r="I178" t="s">
        <v>187</v>
      </c>
      <c r="J178" t="s">
        <v>349</v>
      </c>
      <c r="K178">
        <v>1.3269402456610877E-2</v>
      </c>
      <c r="L178" t="s">
        <v>163</v>
      </c>
      <c r="N178" t="s">
        <v>218</v>
      </c>
      <c r="O178" t="s">
        <v>349</v>
      </c>
      <c r="P178">
        <v>3.5858600992081699E-2</v>
      </c>
      <c r="Q178" t="s">
        <v>163</v>
      </c>
      <c r="S178" t="s">
        <v>249</v>
      </c>
      <c r="T178" t="s">
        <v>349</v>
      </c>
      <c r="U178">
        <v>2.3724213831329277E-2</v>
      </c>
      <c r="V178" t="s">
        <v>163</v>
      </c>
    </row>
    <row r="179" spans="9:22" x14ac:dyDescent="0.45">
      <c r="I179" t="s">
        <v>188</v>
      </c>
      <c r="J179" t="s">
        <v>338</v>
      </c>
      <c r="K179">
        <v>0.21162275663808622</v>
      </c>
      <c r="L179" t="s">
        <v>163</v>
      </c>
      <c r="N179" t="s">
        <v>219</v>
      </c>
      <c r="O179" t="s">
        <v>338</v>
      </c>
      <c r="P179">
        <v>0.12196092099119504</v>
      </c>
      <c r="Q179" t="s">
        <v>163</v>
      </c>
      <c r="S179" t="s">
        <v>250</v>
      </c>
      <c r="T179" t="s">
        <v>338</v>
      </c>
      <c r="U179">
        <v>0.11272645337480813</v>
      </c>
      <c r="V179" t="s">
        <v>163</v>
      </c>
    </row>
    <row r="180" spans="9:22" x14ac:dyDescent="0.45">
      <c r="I180" t="s">
        <v>188</v>
      </c>
      <c r="J180" t="s">
        <v>339</v>
      </c>
      <c r="K180">
        <v>8.8699336286075835E-6</v>
      </c>
      <c r="L180" t="s">
        <v>163</v>
      </c>
      <c r="N180" t="s">
        <v>219</v>
      </c>
      <c r="O180" t="s">
        <v>339</v>
      </c>
      <c r="P180">
        <v>0.12155250668671912</v>
      </c>
      <c r="Q180" t="s">
        <v>163</v>
      </c>
      <c r="S180" t="s">
        <v>250</v>
      </c>
      <c r="T180" t="s">
        <v>339</v>
      </c>
      <c r="U180">
        <v>0.11003157634850878</v>
      </c>
      <c r="V180" t="s">
        <v>163</v>
      </c>
    </row>
    <row r="181" spans="9:22" x14ac:dyDescent="0.45">
      <c r="I181" t="s">
        <v>188</v>
      </c>
      <c r="J181" t="s">
        <v>340</v>
      </c>
      <c r="K181">
        <v>1.8974535223034304E-2</v>
      </c>
      <c r="L181" t="s">
        <v>163</v>
      </c>
      <c r="N181" t="s">
        <v>219</v>
      </c>
      <c r="O181" t="s">
        <v>340</v>
      </c>
      <c r="P181">
        <v>2.2989556790586105E-2</v>
      </c>
      <c r="Q181" t="s">
        <v>163</v>
      </c>
      <c r="S181" t="s">
        <v>250</v>
      </c>
      <c r="T181" t="s">
        <v>340</v>
      </c>
      <c r="U181">
        <v>2.1533395925414894E-2</v>
      </c>
      <c r="V181" t="s">
        <v>163</v>
      </c>
    </row>
    <row r="182" spans="9:22" x14ac:dyDescent="0.45">
      <c r="I182" t="s">
        <v>188</v>
      </c>
      <c r="J182" t="s">
        <v>341</v>
      </c>
      <c r="K182">
        <v>0.25392803695451066</v>
      </c>
      <c r="L182" t="s">
        <v>163</v>
      </c>
      <c r="N182" t="s">
        <v>219</v>
      </c>
      <c r="O182" t="s">
        <v>341</v>
      </c>
      <c r="P182">
        <v>0.1157109831597367</v>
      </c>
      <c r="Q182" t="s">
        <v>163</v>
      </c>
      <c r="S182" t="s">
        <v>250</v>
      </c>
      <c r="T182" t="s">
        <v>341</v>
      </c>
      <c r="U182">
        <v>0.14309379397973451</v>
      </c>
      <c r="V182" t="s">
        <v>163</v>
      </c>
    </row>
    <row r="183" spans="9:22" x14ac:dyDescent="0.45">
      <c r="I183" t="s">
        <v>188</v>
      </c>
      <c r="J183" t="s">
        <v>342</v>
      </c>
      <c r="K183">
        <v>3.9669483325878267E-3</v>
      </c>
      <c r="L183" t="s">
        <v>163</v>
      </c>
      <c r="N183" t="s">
        <v>219</v>
      </c>
      <c r="O183" t="s">
        <v>342</v>
      </c>
      <c r="P183">
        <v>0.11943354296486282</v>
      </c>
      <c r="Q183" t="s">
        <v>163</v>
      </c>
      <c r="S183" t="s">
        <v>250</v>
      </c>
      <c r="T183" t="s">
        <v>342</v>
      </c>
      <c r="U183">
        <v>0.13909933783081224</v>
      </c>
      <c r="V183" t="s">
        <v>163</v>
      </c>
    </row>
    <row r="184" spans="9:22" x14ac:dyDescent="0.45">
      <c r="I184" t="s">
        <v>188</v>
      </c>
      <c r="J184" t="s">
        <v>343</v>
      </c>
      <c r="K184">
        <v>3.5225336165139544E-2</v>
      </c>
      <c r="L184" t="s">
        <v>163</v>
      </c>
      <c r="N184" t="s">
        <v>219</v>
      </c>
      <c r="O184" t="s">
        <v>343</v>
      </c>
      <c r="P184">
        <v>2.2691400790693778E-2</v>
      </c>
      <c r="Q184" t="s">
        <v>163</v>
      </c>
      <c r="S184" t="s">
        <v>250</v>
      </c>
      <c r="T184" t="s">
        <v>343</v>
      </c>
      <c r="U184">
        <v>2.6787882761958957E-2</v>
      </c>
      <c r="V184" t="s">
        <v>163</v>
      </c>
    </row>
    <row r="185" spans="9:22" x14ac:dyDescent="0.45">
      <c r="I185" t="s">
        <v>188</v>
      </c>
      <c r="J185" t="s">
        <v>344</v>
      </c>
      <c r="K185">
        <v>0.23385537819887875</v>
      </c>
      <c r="L185" t="s">
        <v>163</v>
      </c>
      <c r="N185" t="s">
        <v>219</v>
      </c>
      <c r="O185" t="s">
        <v>344</v>
      </c>
      <c r="P185">
        <v>8.6027316470652565E-2</v>
      </c>
      <c r="Q185" t="s">
        <v>163</v>
      </c>
      <c r="S185" t="s">
        <v>250</v>
      </c>
      <c r="T185" t="s">
        <v>344</v>
      </c>
      <c r="U185">
        <v>5.1600499383066246E-2</v>
      </c>
      <c r="V185" t="s">
        <v>163</v>
      </c>
    </row>
    <row r="186" spans="9:22" x14ac:dyDescent="0.45">
      <c r="I186" t="s">
        <v>188</v>
      </c>
      <c r="J186" t="s">
        <v>345</v>
      </c>
      <c r="K186">
        <v>6.1753479271723522E-3</v>
      </c>
      <c r="L186" t="s">
        <v>163</v>
      </c>
      <c r="N186" t="s">
        <v>219</v>
      </c>
      <c r="O186" t="s">
        <v>345</v>
      </c>
      <c r="P186">
        <v>8.8584582329429368E-2</v>
      </c>
      <c r="Q186" t="s">
        <v>163</v>
      </c>
      <c r="S186" t="s">
        <v>250</v>
      </c>
      <c r="T186" t="s">
        <v>345</v>
      </c>
      <c r="U186">
        <v>5.5496254307844432E-2</v>
      </c>
      <c r="V186" t="s">
        <v>163</v>
      </c>
    </row>
    <row r="187" spans="9:22" x14ac:dyDescent="0.45">
      <c r="I187" t="s">
        <v>188</v>
      </c>
      <c r="J187" t="s">
        <v>346</v>
      </c>
      <c r="K187">
        <v>3.1012137270838958E-2</v>
      </c>
      <c r="L187" t="s">
        <v>163</v>
      </c>
      <c r="N187" t="s">
        <v>219</v>
      </c>
      <c r="O187" t="s">
        <v>346</v>
      </c>
      <c r="P187">
        <v>1.6721047421903116E-2</v>
      </c>
      <c r="Q187" t="s">
        <v>163</v>
      </c>
      <c r="S187" t="s">
        <v>250</v>
      </c>
      <c r="T187" t="s">
        <v>346</v>
      </c>
      <c r="U187">
        <v>9.6710033937771247E-3</v>
      </c>
      <c r="V187" t="s">
        <v>163</v>
      </c>
    </row>
    <row r="188" spans="9:22" x14ac:dyDescent="0.45">
      <c r="I188" t="s">
        <v>188</v>
      </c>
      <c r="J188" t="s">
        <v>347</v>
      </c>
      <c r="K188">
        <v>0.18676006279724455</v>
      </c>
      <c r="L188" t="s">
        <v>163</v>
      </c>
      <c r="N188" t="s">
        <v>219</v>
      </c>
      <c r="O188" t="s">
        <v>347</v>
      </c>
      <c r="P188">
        <v>0.13110325641998868</v>
      </c>
      <c r="Q188" t="s">
        <v>163</v>
      </c>
      <c r="S188" t="s">
        <v>250</v>
      </c>
      <c r="T188" t="s">
        <v>347</v>
      </c>
      <c r="U188">
        <v>0.14643220005242014</v>
      </c>
      <c r="V188" t="s">
        <v>163</v>
      </c>
    </row>
    <row r="189" spans="9:22" x14ac:dyDescent="0.45">
      <c r="I189" t="s">
        <v>188</v>
      </c>
      <c r="J189" t="s">
        <v>348</v>
      </c>
      <c r="K189">
        <v>0</v>
      </c>
      <c r="L189" t="s">
        <v>163</v>
      </c>
      <c r="N189" t="s">
        <v>219</v>
      </c>
      <c r="O189" t="s">
        <v>348</v>
      </c>
      <c r="P189">
        <v>0.13006218922783333</v>
      </c>
      <c r="Q189" t="s">
        <v>163</v>
      </c>
      <c r="S189" t="s">
        <v>250</v>
      </c>
      <c r="T189" t="s">
        <v>348</v>
      </c>
      <c r="U189">
        <v>0.15502651807046952</v>
      </c>
      <c r="V189" t="s">
        <v>163</v>
      </c>
    </row>
    <row r="190" spans="9:22" x14ac:dyDescent="0.45">
      <c r="I190" t="s">
        <v>188</v>
      </c>
      <c r="J190" t="s">
        <v>349</v>
      </c>
      <c r="K190">
        <v>1.8470590558879858E-2</v>
      </c>
      <c r="L190" t="s">
        <v>163</v>
      </c>
      <c r="N190" t="s">
        <v>219</v>
      </c>
      <c r="O190" t="s">
        <v>349</v>
      </c>
      <c r="P190">
        <v>2.3162696746401343E-2</v>
      </c>
      <c r="Q190" t="s">
        <v>163</v>
      </c>
      <c r="S190" t="s">
        <v>250</v>
      </c>
      <c r="T190" t="s">
        <v>349</v>
      </c>
      <c r="U190">
        <v>2.8501084571185782E-2</v>
      </c>
      <c r="V190" t="s">
        <v>163</v>
      </c>
    </row>
    <row r="191" spans="9:22" x14ac:dyDescent="0.45">
      <c r="I191" t="s">
        <v>189</v>
      </c>
      <c r="J191" t="s">
        <v>338</v>
      </c>
      <c r="K191">
        <v>0.2036952353415645</v>
      </c>
      <c r="L191" t="s">
        <v>163</v>
      </c>
      <c r="N191" t="s">
        <v>220</v>
      </c>
      <c r="O191" t="s">
        <v>338</v>
      </c>
      <c r="P191">
        <v>0.10697513874908551</v>
      </c>
      <c r="Q191" t="s">
        <v>163</v>
      </c>
      <c r="S191" t="s">
        <v>251</v>
      </c>
      <c r="T191" t="s">
        <v>338</v>
      </c>
      <c r="U191">
        <v>0.10851453311818419</v>
      </c>
      <c r="V191" t="s">
        <v>163</v>
      </c>
    </row>
    <row r="192" spans="9:22" x14ac:dyDescent="0.45">
      <c r="I192" t="s">
        <v>189</v>
      </c>
      <c r="J192" t="s">
        <v>339</v>
      </c>
      <c r="K192">
        <v>8.046293754842709E-7</v>
      </c>
      <c r="L192" t="s">
        <v>163</v>
      </c>
      <c r="N192" t="s">
        <v>220</v>
      </c>
      <c r="O192" t="s">
        <v>339</v>
      </c>
      <c r="P192">
        <v>0.10951676497515173</v>
      </c>
      <c r="Q192" t="s">
        <v>163</v>
      </c>
      <c r="S192" t="s">
        <v>251</v>
      </c>
      <c r="T192" t="s">
        <v>339</v>
      </c>
      <c r="U192">
        <v>0.12183011933653873</v>
      </c>
      <c r="V192" t="s">
        <v>163</v>
      </c>
    </row>
    <row r="193" spans="9:22" x14ac:dyDescent="0.45">
      <c r="I193" t="s">
        <v>189</v>
      </c>
      <c r="J193" t="s">
        <v>340</v>
      </c>
      <c r="K193">
        <v>1.7276103905482981E-2</v>
      </c>
      <c r="L193" t="s">
        <v>163</v>
      </c>
      <c r="N193" t="s">
        <v>220</v>
      </c>
      <c r="O193" t="s">
        <v>340</v>
      </c>
      <c r="P193">
        <v>2.1998484537730335E-2</v>
      </c>
      <c r="Q193" t="s">
        <v>163</v>
      </c>
      <c r="S193" t="s">
        <v>251</v>
      </c>
      <c r="T193" t="s">
        <v>340</v>
      </c>
      <c r="U193">
        <v>2.2069288353984976E-2</v>
      </c>
      <c r="V193" t="s">
        <v>163</v>
      </c>
    </row>
    <row r="194" spans="9:22" x14ac:dyDescent="0.45">
      <c r="I194" t="s">
        <v>189</v>
      </c>
      <c r="J194" t="s">
        <v>341</v>
      </c>
      <c r="K194">
        <v>0.26892999463727441</v>
      </c>
      <c r="L194" t="s">
        <v>163</v>
      </c>
      <c r="N194" t="s">
        <v>220</v>
      </c>
      <c r="O194" t="s">
        <v>341</v>
      </c>
      <c r="P194">
        <v>0.11799185855495645</v>
      </c>
      <c r="Q194" t="s">
        <v>163</v>
      </c>
      <c r="S194" t="s">
        <v>251</v>
      </c>
      <c r="T194" t="s">
        <v>341</v>
      </c>
      <c r="U194">
        <v>0.12943938547203704</v>
      </c>
      <c r="V194" t="s">
        <v>163</v>
      </c>
    </row>
    <row r="195" spans="9:22" x14ac:dyDescent="0.45">
      <c r="I195" t="s">
        <v>189</v>
      </c>
      <c r="J195" t="s">
        <v>342</v>
      </c>
      <c r="K195">
        <v>3.9536020291859007E-3</v>
      </c>
      <c r="L195" t="s">
        <v>163</v>
      </c>
      <c r="N195" t="s">
        <v>220</v>
      </c>
      <c r="O195" t="s">
        <v>342</v>
      </c>
      <c r="P195">
        <v>0.12288346338345119</v>
      </c>
      <c r="Q195" t="s">
        <v>163</v>
      </c>
      <c r="S195" t="s">
        <v>251</v>
      </c>
      <c r="T195" t="s">
        <v>342</v>
      </c>
      <c r="U195">
        <v>0.13199650117777606</v>
      </c>
      <c r="V195" t="s">
        <v>163</v>
      </c>
    </row>
    <row r="196" spans="9:22" x14ac:dyDescent="0.45">
      <c r="I196" t="s">
        <v>189</v>
      </c>
      <c r="J196" t="s">
        <v>343</v>
      </c>
      <c r="K196">
        <v>3.6530052208432515E-2</v>
      </c>
      <c r="L196" t="s">
        <v>163</v>
      </c>
      <c r="N196" t="s">
        <v>220</v>
      </c>
      <c r="O196" t="s">
        <v>343</v>
      </c>
      <c r="P196">
        <v>2.2802478668422933E-2</v>
      </c>
      <c r="Q196" t="s">
        <v>163</v>
      </c>
      <c r="S196" t="s">
        <v>251</v>
      </c>
      <c r="T196" t="s">
        <v>343</v>
      </c>
      <c r="U196">
        <v>2.5966982834476821E-2</v>
      </c>
      <c r="V196" t="s">
        <v>163</v>
      </c>
    </row>
    <row r="197" spans="9:22" x14ac:dyDescent="0.45">
      <c r="I197" t="s">
        <v>189</v>
      </c>
      <c r="J197" t="s">
        <v>344</v>
      </c>
      <c r="K197">
        <v>0.22559409819193507</v>
      </c>
      <c r="L197" t="s">
        <v>163</v>
      </c>
      <c r="N197" t="s">
        <v>220</v>
      </c>
      <c r="O197" t="s">
        <v>344</v>
      </c>
      <c r="P197">
        <v>9.8242718680344801E-2</v>
      </c>
      <c r="Q197" t="s">
        <v>163</v>
      </c>
      <c r="S197" t="s">
        <v>251</v>
      </c>
      <c r="T197" t="s">
        <v>344</v>
      </c>
      <c r="U197">
        <v>6.111464777595093E-2</v>
      </c>
      <c r="V197" t="s">
        <v>163</v>
      </c>
    </row>
    <row r="198" spans="9:22" x14ac:dyDescent="0.45">
      <c r="I198" t="s">
        <v>189</v>
      </c>
      <c r="J198" t="s">
        <v>345</v>
      </c>
      <c r="K198">
        <v>5.6484814582931997E-3</v>
      </c>
      <c r="L198" t="s">
        <v>163</v>
      </c>
      <c r="N198" t="s">
        <v>220</v>
      </c>
      <c r="O198" t="s">
        <v>345</v>
      </c>
      <c r="P198">
        <v>9.0013849679694599E-2</v>
      </c>
      <c r="Q198" t="s">
        <v>163</v>
      </c>
      <c r="S198" t="s">
        <v>251</v>
      </c>
      <c r="T198" t="s">
        <v>345</v>
      </c>
      <c r="U198">
        <v>6.1963956704926777E-2</v>
      </c>
      <c r="V198" t="s">
        <v>163</v>
      </c>
    </row>
    <row r="199" spans="9:22" x14ac:dyDescent="0.45">
      <c r="I199" t="s">
        <v>189</v>
      </c>
      <c r="J199" t="s">
        <v>346</v>
      </c>
      <c r="K199">
        <v>2.9250890706910671E-2</v>
      </c>
      <c r="L199" t="s">
        <v>163</v>
      </c>
      <c r="N199" t="s">
        <v>220</v>
      </c>
      <c r="O199" t="s">
        <v>346</v>
      </c>
      <c r="P199">
        <v>1.6998454514249695E-2</v>
      </c>
      <c r="Q199" t="s">
        <v>163</v>
      </c>
      <c r="S199" t="s">
        <v>251</v>
      </c>
      <c r="T199" t="s">
        <v>346</v>
      </c>
      <c r="U199">
        <v>1.232134385146251E-2</v>
      </c>
      <c r="V199" t="s">
        <v>163</v>
      </c>
    </row>
    <row r="200" spans="9:22" x14ac:dyDescent="0.45">
      <c r="I200" t="s">
        <v>189</v>
      </c>
      <c r="J200" t="s">
        <v>347</v>
      </c>
      <c r="K200">
        <v>0.19168800226076052</v>
      </c>
      <c r="L200" t="s">
        <v>163</v>
      </c>
      <c r="N200" t="s">
        <v>220</v>
      </c>
      <c r="O200" t="s">
        <v>347</v>
      </c>
      <c r="P200">
        <v>0.13099263418062754</v>
      </c>
      <c r="Q200" t="s">
        <v>163</v>
      </c>
      <c r="S200" t="s">
        <v>251</v>
      </c>
      <c r="T200" t="s">
        <v>347</v>
      </c>
      <c r="U200">
        <v>0.14765091321561857</v>
      </c>
      <c r="V200" t="s">
        <v>163</v>
      </c>
    </row>
    <row r="201" spans="9:22" x14ac:dyDescent="0.45">
      <c r="I201" t="s">
        <v>189</v>
      </c>
      <c r="J201" t="s">
        <v>348</v>
      </c>
      <c r="K201">
        <v>0</v>
      </c>
      <c r="L201" t="s">
        <v>163</v>
      </c>
      <c r="N201" t="s">
        <v>220</v>
      </c>
      <c r="O201" t="s">
        <v>348</v>
      </c>
      <c r="P201">
        <v>0.13498440026645772</v>
      </c>
      <c r="Q201" t="s">
        <v>163</v>
      </c>
      <c r="S201" t="s">
        <v>251</v>
      </c>
      <c r="T201" t="s">
        <v>348</v>
      </c>
      <c r="U201">
        <v>0.1487124093170954</v>
      </c>
      <c r="V201" t="s">
        <v>163</v>
      </c>
    </row>
    <row r="202" spans="9:22" x14ac:dyDescent="0.45">
      <c r="I202" t="s">
        <v>189</v>
      </c>
      <c r="J202" t="s">
        <v>349</v>
      </c>
      <c r="K202">
        <v>1.7432734630783191E-2</v>
      </c>
      <c r="L202" t="s">
        <v>163</v>
      </c>
      <c r="N202" t="s">
        <v>220</v>
      </c>
      <c r="O202" t="s">
        <v>349</v>
      </c>
      <c r="P202">
        <v>2.6599753809826251E-2</v>
      </c>
      <c r="Q202" t="s">
        <v>163</v>
      </c>
      <c r="S202" t="s">
        <v>251</v>
      </c>
      <c r="T202" t="s">
        <v>349</v>
      </c>
      <c r="U202">
        <v>2.8419918841947469E-2</v>
      </c>
      <c r="V202" t="s">
        <v>163</v>
      </c>
    </row>
    <row r="203" spans="9:22" x14ac:dyDescent="0.45">
      <c r="I203" t="s">
        <v>190</v>
      </c>
      <c r="J203" t="s">
        <v>338</v>
      </c>
      <c r="K203">
        <v>0.19891326860361067</v>
      </c>
      <c r="L203" t="s">
        <v>163</v>
      </c>
      <c r="N203" t="s">
        <v>221</v>
      </c>
      <c r="O203" t="s">
        <v>338</v>
      </c>
      <c r="P203">
        <v>0.10501604847867495</v>
      </c>
      <c r="Q203" t="s">
        <v>163</v>
      </c>
      <c r="S203" t="s">
        <v>252</v>
      </c>
      <c r="T203" t="s">
        <v>338</v>
      </c>
      <c r="U203">
        <v>9.9721967008844253E-2</v>
      </c>
      <c r="V203" t="s">
        <v>163</v>
      </c>
    </row>
    <row r="204" spans="9:22" x14ac:dyDescent="0.45">
      <c r="I204" t="s">
        <v>190</v>
      </c>
      <c r="J204" t="s">
        <v>339</v>
      </c>
      <c r="K204">
        <v>1.8942238367364017E-7</v>
      </c>
      <c r="L204" t="s">
        <v>163</v>
      </c>
      <c r="N204" t="s">
        <v>221</v>
      </c>
      <c r="O204" t="s">
        <v>339</v>
      </c>
      <c r="P204">
        <v>0.10093784033117149</v>
      </c>
      <c r="Q204" t="s">
        <v>163</v>
      </c>
      <c r="S204" t="s">
        <v>252</v>
      </c>
      <c r="T204" t="s">
        <v>339</v>
      </c>
      <c r="U204">
        <v>0.10486685124842612</v>
      </c>
      <c r="V204" t="s">
        <v>163</v>
      </c>
    </row>
    <row r="205" spans="9:22" x14ac:dyDescent="0.45">
      <c r="I205" t="s">
        <v>190</v>
      </c>
      <c r="J205" t="s">
        <v>340</v>
      </c>
      <c r="K205">
        <v>1.5411590068873939E-2</v>
      </c>
      <c r="L205" t="s">
        <v>163</v>
      </c>
      <c r="N205" t="s">
        <v>221</v>
      </c>
      <c r="O205" t="s">
        <v>340</v>
      </c>
      <c r="P205">
        <v>2.0844608603154312E-2</v>
      </c>
      <c r="Q205" t="s">
        <v>163</v>
      </c>
      <c r="S205" t="s">
        <v>252</v>
      </c>
      <c r="T205" t="s">
        <v>340</v>
      </c>
      <c r="U205">
        <v>1.9610162182786793E-2</v>
      </c>
      <c r="V205" t="s">
        <v>163</v>
      </c>
    </row>
    <row r="206" spans="9:22" x14ac:dyDescent="0.45">
      <c r="I206" t="s">
        <v>190</v>
      </c>
      <c r="J206" t="s">
        <v>341</v>
      </c>
      <c r="K206">
        <v>0.28065842991372147</v>
      </c>
      <c r="L206" t="s">
        <v>163</v>
      </c>
      <c r="N206" t="s">
        <v>221</v>
      </c>
      <c r="O206" t="s">
        <v>341</v>
      </c>
      <c r="P206">
        <v>0.12935344168573074</v>
      </c>
      <c r="Q206" t="s">
        <v>163</v>
      </c>
      <c r="S206" t="s">
        <v>252</v>
      </c>
      <c r="T206" t="s">
        <v>341</v>
      </c>
      <c r="U206">
        <v>0.13392159314312371</v>
      </c>
      <c r="V206" t="s">
        <v>163</v>
      </c>
    </row>
    <row r="207" spans="9:22" x14ac:dyDescent="0.45">
      <c r="I207" t="s">
        <v>190</v>
      </c>
      <c r="J207" t="s">
        <v>342</v>
      </c>
      <c r="K207">
        <v>3.3434903071285207E-3</v>
      </c>
      <c r="L207" t="s">
        <v>163</v>
      </c>
      <c r="N207" t="s">
        <v>221</v>
      </c>
      <c r="O207" t="s">
        <v>342</v>
      </c>
      <c r="P207">
        <v>0.11310194178502239</v>
      </c>
      <c r="Q207" t="s">
        <v>163</v>
      </c>
      <c r="S207" t="s">
        <v>252</v>
      </c>
      <c r="T207" t="s">
        <v>342</v>
      </c>
      <c r="U207">
        <v>0.13175177107550731</v>
      </c>
      <c r="V207" t="s">
        <v>163</v>
      </c>
    </row>
    <row r="208" spans="9:22" x14ac:dyDescent="0.45">
      <c r="I208" t="s">
        <v>190</v>
      </c>
      <c r="J208" t="s">
        <v>343</v>
      </c>
      <c r="K208">
        <v>3.4568301856997392E-2</v>
      </c>
      <c r="L208" t="s">
        <v>163</v>
      </c>
      <c r="N208" t="s">
        <v>221</v>
      </c>
      <c r="O208" t="s">
        <v>343</v>
      </c>
      <c r="P208">
        <v>2.2911184251578776E-2</v>
      </c>
      <c r="Q208" t="s">
        <v>163</v>
      </c>
      <c r="S208" t="s">
        <v>252</v>
      </c>
      <c r="T208" t="s">
        <v>343</v>
      </c>
      <c r="U208">
        <v>2.5191777942289856E-2</v>
      </c>
      <c r="V208" t="s">
        <v>163</v>
      </c>
    </row>
    <row r="209" spans="9:22" x14ac:dyDescent="0.45">
      <c r="I209" t="s">
        <v>190</v>
      </c>
      <c r="J209" t="s">
        <v>344</v>
      </c>
      <c r="K209">
        <v>0.25007851296762984</v>
      </c>
      <c r="L209" t="s">
        <v>163</v>
      </c>
      <c r="N209" t="s">
        <v>221</v>
      </c>
      <c r="O209" t="s">
        <v>344</v>
      </c>
      <c r="P209">
        <v>7.6820113238718082E-2</v>
      </c>
      <c r="Q209" t="s">
        <v>163</v>
      </c>
      <c r="S209" t="s">
        <v>252</v>
      </c>
      <c r="T209" t="s">
        <v>344</v>
      </c>
      <c r="U209">
        <v>5.8239698297651549E-2</v>
      </c>
      <c r="V209" t="s">
        <v>163</v>
      </c>
    </row>
    <row r="210" spans="9:22" x14ac:dyDescent="0.45">
      <c r="I210" t="s">
        <v>190</v>
      </c>
      <c r="J210" t="s">
        <v>345</v>
      </c>
      <c r="K210">
        <v>6.0388675726982411E-3</v>
      </c>
      <c r="L210" t="s">
        <v>163</v>
      </c>
      <c r="N210" t="s">
        <v>221</v>
      </c>
      <c r="O210" t="s">
        <v>345</v>
      </c>
      <c r="P210">
        <v>7.0891414152143534E-2</v>
      </c>
      <c r="Q210" t="s">
        <v>163</v>
      </c>
      <c r="S210" t="s">
        <v>252</v>
      </c>
      <c r="T210" t="s">
        <v>345</v>
      </c>
      <c r="U210">
        <v>6.17697536061887E-2</v>
      </c>
      <c r="V210" t="s">
        <v>163</v>
      </c>
    </row>
    <row r="211" spans="9:22" x14ac:dyDescent="0.45">
      <c r="I211" t="s">
        <v>190</v>
      </c>
      <c r="J211" t="s">
        <v>346</v>
      </c>
      <c r="K211">
        <v>3.2366259066808699E-2</v>
      </c>
      <c r="L211" t="s">
        <v>163</v>
      </c>
      <c r="N211" t="s">
        <v>221</v>
      </c>
      <c r="O211" t="s">
        <v>346</v>
      </c>
      <c r="P211">
        <v>1.4016788095210921E-2</v>
      </c>
      <c r="Q211" t="s">
        <v>163</v>
      </c>
      <c r="S211" t="s">
        <v>252</v>
      </c>
      <c r="T211" t="s">
        <v>346</v>
      </c>
      <c r="U211">
        <v>1.2058474153464213E-2</v>
      </c>
      <c r="V211" t="s">
        <v>163</v>
      </c>
    </row>
    <row r="212" spans="9:22" x14ac:dyDescent="0.45">
      <c r="I212" t="s">
        <v>190</v>
      </c>
      <c r="J212" t="s">
        <v>347</v>
      </c>
      <c r="K212">
        <v>0.16633595820321673</v>
      </c>
      <c r="L212" t="s">
        <v>163</v>
      </c>
      <c r="N212" t="s">
        <v>221</v>
      </c>
      <c r="O212" t="s">
        <v>347</v>
      </c>
      <c r="P212">
        <v>0.1528064488174197</v>
      </c>
      <c r="Q212" t="s">
        <v>163</v>
      </c>
      <c r="S212" t="s">
        <v>252</v>
      </c>
      <c r="T212" t="s">
        <v>347</v>
      </c>
      <c r="U212">
        <v>0.16222458592786654</v>
      </c>
      <c r="V212" t="s">
        <v>163</v>
      </c>
    </row>
    <row r="213" spans="9:22" x14ac:dyDescent="0.45">
      <c r="I213" t="s">
        <v>190</v>
      </c>
      <c r="J213" t="s">
        <v>348</v>
      </c>
      <c r="K213">
        <v>0</v>
      </c>
      <c r="L213" t="s">
        <v>163</v>
      </c>
      <c r="N213" t="s">
        <v>221</v>
      </c>
      <c r="O213" t="s">
        <v>348</v>
      </c>
      <c r="P213">
        <v>0.16373199312331072</v>
      </c>
      <c r="Q213" t="s">
        <v>163</v>
      </c>
      <c r="S213" t="s">
        <v>252</v>
      </c>
      <c r="T213" t="s">
        <v>348</v>
      </c>
      <c r="U213">
        <v>0.16011015526555478</v>
      </c>
      <c r="V213" t="s">
        <v>163</v>
      </c>
    </row>
    <row r="214" spans="9:22" x14ac:dyDescent="0.45">
      <c r="I214" t="s">
        <v>190</v>
      </c>
      <c r="J214" t="s">
        <v>349</v>
      </c>
      <c r="K214">
        <v>1.2285132016929535E-2</v>
      </c>
      <c r="L214" t="s">
        <v>163</v>
      </c>
      <c r="N214" t="s">
        <v>221</v>
      </c>
      <c r="O214" t="s">
        <v>349</v>
      </c>
      <c r="P214">
        <v>2.9568177437865596E-2</v>
      </c>
      <c r="Q214" t="s">
        <v>163</v>
      </c>
      <c r="S214" t="s">
        <v>252</v>
      </c>
      <c r="T214" t="s">
        <v>349</v>
      </c>
      <c r="U214">
        <v>3.0533210148296946E-2</v>
      </c>
      <c r="V214" t="s">
        <v>163</v>
      </c>
    </row>
    <row r="215" spans="9:22" x14ac:dyDescent="0.45">
      <c r="I215" t="s">
        <v>191</v>
      </c>
      <c r="J215" t="s">
        <v>338</v>
      </c>
      <c r="K215">
        <v>0.20333038736389844</v>
      </c>
      <c r="L215" t="s">
        <v>163</v>
      </c>
      <c r="N215" t="s">
        <v>222</v>
      </c>
      <c r="O215" t="s">
        <v>338</v>
      </c>
      <c r="P215">
        <v>0.12694641229408968</v>
      </c>
      <c r="Q215" t="s">
        <v>163</v>
      </c>
      <c r="S215" t="s">
        <v>253</v>
      </c>
      <c r="T215" t="s">
        <v>338</v>
      </c>
      <c r="U215">
        <v>0.11391842825621912</v>
      </c>
      <c r="V215" t="s">
        <v>163</v>
      </c>
    </row>
    <row r="216" spans="9:22" x14ac:dyDescent="0.45">
      <c r="I216" t="s">
        <v>191</v>
      </c>
      <c r="J216" t="s">
        <v>339</v>
      </c>
      <c r="K216">
        <v>2.0038050731758371E-6</v>
      </c>
      <c r="L216" t="s">
        <v>163</v>
      </c>
      <c r="N216" t="s">
        <v>222</v>
      </c>
      <c r="O216" t="s">
        <v>339</v>
      </c>
      <c r="P216">
        <v>0.13113064339591676</v>
      </c>
      <c r="Q216" t="s">
        <v>163</v>
      </c>
      <c r="S216" t="s">
        <v>253</v>
      </c>
      <c r="T216" t="s">
        <v>339</v>
      </c>
      <c r="U216">
        <v>0.12153478827100553</v>
      </c>
      <c r="V216" t="s">
        <v>163</v>
      </c>
    </row>
    <row r="217" spans="9:22" x14ac:dyDescent="0.45">
      <c r="I217" t="s">
        <v>191</v>
      </c>
      <c r="J217" t="s">
        <v>340</v>
      </c>
      <c r="K217">
        <v>1.8071222978049351E-2</v>
      </c>
      <c r="L217" t="s">
        <v>163</v>
      </c>
      <c r="N217" t="s">
        <v>222</v>
      </c>
      <c r="O217" t="s">
        <v>340</v>
      </c>
      <c r="P217">
        <v>2.3974829487997174E-2</v>
      </c>
      <c r="Q217" t="s">
        <v>163</v>
      </c>
      <c r="S217" t="s">
        <v>253</v>
      </c>
      <c r="T217" t="s">
        <v>340</v>
      </c>
      <c r="U217">
        <v>2.2723731862156857E-2</v>
      </c>
      <c r="V217" t="s">
        <v>163</v>
      </c>
    </row>
    <row r="218" spans="9:22" x14ac:dyDescent="0.45">
      <c r="I218" t="s">
        <v>191</v>
      </c>
      <c r="J218" t="s">
        <v>341</v>
      </c>
      <c r="K218">
        <v>0.27546512749478053</v>
      </c>
      <c r="L218" t="s">
        <v>163</v>
      </c>
      <c r="N218" t="s">
        <v>222</v>
      </c>
      <c r="O218" t="s">
        <v>341</v>
      </c>
      <c r="P218">
        <v>0.10668453680792894</v>
      </c>
      <c r="Q218" t="s">
        <v>163</v>
      </c>
      <c r="S218" t="s">
        <v>253</v>
      </c>
      <c r="T218" t="s">
        <v>341</v>
      </c>
      <c r="U218">
        <v>0.14375887227554915</v>
      </c>
      <c r="V218" t="s">
        <v>163</v>
      </c>
    </row>
    <row r="219" spans="9:22" x14ac:dyDescent="0.45">
      <c r="I219" t="s">
        <v>191</v>
      </c>
      <c r="J219" t="s">
        <v>342</v>
      </c>
      <c r="K219">
        <v>5.0278085594069157E-3</v>
      </c>
      <c r="L219" t="s">
        <v>163</v>
      </c>
      <c r="N219" t="s">
        <v>222</v>
      </c>
      <c r="O219" t="s">
        <v>342</v>
      </c>
      <c r="P219">
        <v>0.11519837547222905</v>
      </c>
      <c r="Q219" t="s">
        <v>163</v>
      </c>
      <c r="S219" t="s">
        <v>253</v>
      </c>
      <c r="T219" t="s">
        <v>342</v>
      </c>
      <c r="U219">
        <v>0.14202459041195412</v>
      </c>
      <c r="V219" t="s">
        <v>163</v>
      </c>
    </row>
    <row r="220" spans="9:22" x14ac:dyDescent="0.45">
      <c r="I220" t="s">
        <v>191</v>
      </c>
      <c r="J220" t="s">
        <v>343</v>
      </c>
      <c r="K220">
        <v>3.897846580934361E-2</v>
      </c>
      <c r="L220" t="s">
        <v>163</v>
      </c>
      <c r="N220" t="s">
        <v>222</v>
      </c>
      <c r="O220" t="s">
        <v>343</v>
      </c>
      <c r="P220">
        <v>2.2057794338983472E-2</v>
      </c>
      <c r="Q220" t="s">
        <v>163</v>
      </c>
      <c r="S220" t="s">
        <v>253</v>
      </c>
      <c r="T220" t="s">
        <v>343</v>
      </c>
      <c r="U220">
        <v>2.8991849067283155E-2</v>
      </c>
      <c r="V220" t="s">
        <v>163</v>
      </c>
    </row>
    <row r="221" spans="9:22" x14ac:dyDescent="0.45">
      <c r="I221" t="s">
        <v>191</v>
      </c>
      <c r="J221" t="s">
        <v>344</v>
      </c>
      <c r="K221">
        <v>0.23283924964321193</v>
      </c>
      <c r="L221" t="s">
        <v>163</v>
      </c>
      <c r="N221" t="s">
        <v>222</v>
      </c>
      <c r="O221" t="s">
        <v>344</v>
      </c>
      <c r="P221">
        <v>8.805153198720346E-2</v>
      </c>
      <c r="Q221" t="s">
        <v>163</v>
      </c>
      <c r="S221" t="s">
        <v>253</v>
      </c>
      <c r="T221" t="s">
        <v>344</v>
      </c>
      <c r="U221">
        <v>6.8601842478263744E-2</v>
      </c>
      <c r="V221" t="s">
        <v>163</v>
      </c>
    </row>
    <row r="222" spans="9:22" x14ac:dyDescent="0.45">
      <c r="I222" t="s">
        <v>191</v>
      </c>
      <c r="J222" t="s">
        <v>345</v>
      </c>
      <c r="K222">
        <v>6.5941874019221297E-3</v>
      </c>
      <c r="L222" t="s">
        <v>163</v>
      </c>
      <c r="N222" t="s">
        <v>222</v>
      </c>
      <c r="O222" t="s">
        <v>345</v>
      </c>
      <c r="P222">
        <v>8.5645209527866709E-2</v>
      </c>
      <c r="Q222" t="s">
        <v>163</v>
      </c>
      <c r="S222" t="s">
        <v>253</v>
      </c>
      <c r="T222" t="s">
        <v>345</v>
      </c>
      <c r="U222">
        <v>6.732044311965342E-2</v>
      </c>
      <c r="V222" t="s">
        <v>163</v>
      </c>
    </row>
    <row r="223" spans="9:22" x14ac:dyDescent="0.45">
      <c r="I223" t="s">
        <v>191</v>
      </c>
      <c r="J223" t="s">
        <v>346</v>
      </c>
      <c r="K223">
        <v>3.2925712424379229E-2</v>
      </c>
      <c r="L223" t="s">
        <v>163</v>
      </c>
      <c r="N223" t="s">
        <v>222</v>
      </c>
      <c r="O223" t="s">
        <v>346</v>
      </c>
      <c r="P223">
        <v>1.8782156844273968E-2</v>
      </c>
      <c r="Q223" t="s">
        <v>163</v>
      </c>
      <c r="S223" t="s">
        <v>253</v>
      </c>
      <c r="T223" t="s">
        <v>346</v>
      </c>
      <c r="U223">
        <v>1.4617415917107624E-2</v>
      </c>
      <c r="V223" t="s">
        <v>163</v>
      </c>
    </row>
    <row r="224" spans="9:22" x14ac:dyDescent="0.45">
      <c r="I224" t="s">
        <v>191</v>
      </c>
      <c r="J224" t="s">
        <v>347</v>
      </c>
      <c r="K224">
        <v>0.1713111301364017</v>
      </c>
      <c r="L224" t="s">
        <v>163</v>
      </c>
      <c r="N224" t="s">
        <v>222</v>
      </c>
      <c r="O224" t="s">
        <v>347</v>
      </c>
      <c r="P224">
        <v>0.12184541961256184</v>
      </c>
      <c r="Q224" t="s">
        <v>163</v>
      </c>
      <c r="S224" t="s">
        <v>253</v>
      </c>
      <c r="T224" t="s">
        <v>347</v>
      </c>
      <c r="U224">
        <v>0.12728428308147724</v>
      </c>
      <c r="V224" t="s">
        <v>163</v>
      </c>
    </row>
    <row r="225" spans="9:22" x14ac:dyDescent="0.45">
      <c r="I225" t="s">
        <v>191</v>
      </c>
      <c r="J225" t="s">
        <v>348</v>
      </c>
      <c r="K225">
        <v>0</v>
      </c>
      <c r="L225" t="s">
        <v>163</v>
      </c>
      <c r="N225" t="s">
        <v>222</v>
      </c>
      <c r="O225" t="s">
        <v>348</v>
      </c>
      <c r="P225">
        <v>0.13539438063244155</v>
      </c>
      <c r="Q225" t="s">
        <v>163</v>
      </c>
      <c r="S225" t="s">
        <v>253</v>
      </c>
      <c r="T225" t="s">
        <v>348</v>
      </c>
      <c r="U225">
        <v>0.12593291896848868</v>
      </c>
      <c r="V225" t="s">
        <v>163</v>
      </c>
    </row>
    <row r="226" spans="9:22" x14ac:dyDescent="0.45">
      <c r="I226" t="s">
        <v>191</v>
      </c>
      <c r="J226" t="s">
        <v>349</v>
      </c>
      <c r="K226">
        <v>1.5454704383532313E-2</v>
      </c>
      <c r="L226" t="s">
        <v>163</v>
      </c>
      <c r="N226" t="s">
        <v>222</v>
      </c>
      <c r="O226" t="s">
        <v>349</v>
      </c>
      <c r="P226">
        <v>2.4288709598506947E-2</v>
      </c>
      <c r="Q226" t="s">
        <v>163</v>
      </c>
      <c r="S226" t="s">
        <v>253</v>
      </c>
      <c r="T226" t="s">
        <v>349</v>
      </c>
      <c r="U226">
        <v>2.3290836290843039E-2</v>
      </c>
      <c r="V226" t="s">
        <v>163</v>
      </c>
    </row>
    <row r="227" spans="9:22" x14ac:dyDescent="0.45">
      <c r="I227" t="s">
        <v>192</v>
      </c>
      <c r="J227" t="s">
        <v>338</v>
      </c>
      <c r="K227">
        <v>0.20224231043709393</v>
      </c>
      <c r="L227" t="s">
        <v>163</v>
      </c>
      <c r="N227" t="s">
        <v>223</v>
      </c>
      <c r="O227" t="s">
        <v>338</v>
      </c>
      <c r="P227">
        <v>0.1180305607074142</v>
      </c>
      <c r="Q227" t="s">
        <v>163</v>
      </c>
      <c r="S227" t="s">
        <v>254</v>
      </c>
      <c r="T227" t="s">
        <v>338</v>
      </c>
      <c r="U227">
        <v>0.10740236367180818</v>
      </c>
      <c r="V227" t="s">
        <v>163</v>
      </c>
    </row>
    <row r="228" spans="9:22" x14ac:dyDescent="0.45">
      <c r="I228" t="s">
        <v>192</v>
      </c>
      <c r="J228" t="s">
        <v>339</v>
      </c>
      <c r="K228">
        <v>0</v>
      </c>
      <c r="L228" t="s">
        <v>163</v>
      </c>
      <c r="N228" t="s">
        <v>223</v>
      </c>
      <c r="O228" t="s">
        <v>339</v>
      </c>
      <c r="P228">
        <v>0.12454334605645401</v>
      </c>
      <c r="Q228" t="s">
        <v>163</v>
      </c>
      <c r="S228" t="s">
        <v>254</v>
      </c>
      <c r="T228" t="s">
        <v>339</v>
      </c>
      <c r="U228">
        <v>0.12035930419687769</v>
      </c>
      <c r="V228" t="s">
        <v>163</v>
      </c>
    </row>
    <row r="229" spans="9:22" x14ac:dyDescent="0.45">
      <c r="I229" t="s">
        <v>192</v>
      </c>
      <c r="J229" t="s">
        <v>340</v>
      </c>
      <c r="K229">
        <v>1.6528133373936927E-2</v>
      </c>
      <c r="L229" t="s">
        <v>163</v>
      </c>
      <c r="N229" t="s">
        <v>223</v>
      </c>
      <c r="O229" t="s">
        <v>340</v>
      </c>
      <c r="P229">
        <v>2.3264167510841822E-2</v>
      </c>
      <c r="Q229" t="s">
        <v>163</v>
      </c>
      <c r="S229" t="s">
        <v>254</v>
      </c>
      <c r="T229" t="s">
        <v>340</v>
      </c>
      <c r="U229">
        <v>2.0596339214122652E-2</v>
      </c>
      <c r="V229" t="s">
        <v>163</v>
      </c>
    </row>
    <row r="230" spans="9:22" x14ac:dyDescent="0.45">
      <c r="I230" t="s">
        <v>192</v>
      </c>
      <c r="J230" t="s">
        <v>341</v>
      </c>
      <c r="K230">
        <v>0.27488194362879459</v>
      </c>
      <c r="L230" t="s">
        <v>163</v>
      </c>
      <c r="N230" t="s">
        <v>223</v>
      </c>
      <c r="O230" t="s">
        <v>341</v>
      </c>
      <c r="P230">
        <v>0.10494108110414548</v>
      </c>
      <c r="Q230" t="s">
        <v>163</v>
      </c>
      <c r="S230" t="s">
        <v>254</v>
      </c>
      <c r="T230" t="s">
        <v>341</v>
      </c>
      <c r="U230">
        <v>0.13627040796953194</v>
      </c>
      <c r="V230" t="s">
        <v>163</v>
      </c>
    </row>
    <row r="231" spans="9:22" x14ac:dyDescent="0.45">
      <c r="I231" t="s">
        <v>192</v>
      </c>
      <c r="J231" t="s">
        <v>342</v>
      </c>
      <c r="K231">
        <v>3.3599287638966754E-3</v>
      </c>
      <c r="L231" t="s">
        <v>163</v>
      </c>
      <c r="N231" t="s">
        <v>223</v>
      </c>
      <c r="O231" t="s">
        <v>342</v>
      </c>
      <c r="P231">
        <v>0.12098969518156828</v>
      </c>
      <c r="Q231" t="s">
        <v>163</v>
      </c>
      <c r="S231" t="s">
        <v>254</v>
      </c>
      <c r="T231" t="s">
        <v>342</v>
      </c>
      <c r="U231">
        <v>0.13740298277556401</v>
      </c>
      <c r="V231" t="s">
        <v>163</v>
      </c>
    </row>
    <row r="232" spans="9:22" x14ac:dyDescent="0.45">
      <c r="I232" t="s">
        <v>192</v>
      </c>
      <c r="J232" t="s">
        <v>343</v>
      </c>
      <c r="K232">
        <v>3.4896130590042547E-2</v>
      </c>
      <c r="L232" t="s">
        <v>163</v>
      </c>
      <c r="N232" t="s">
        <v>223</v>
      </c>
      <c r="O232" t="s">
        <v>343</v>
      </c>
      <c r="P232">
        <v>2.1757841948903255E-2</v>
      </c>
      <c r="Q232" t="s">
        <v>163</v>
      </c>
      <c r="S232" t="s">
        <v>254</v>
      </c>
      <c r="T232" t="s">
        <v>343</v>
      </c>
      <c r="U232">
        <v>2.630529237785344E-2</v>
      </c>
      <c r="V232" t="s">
        <v>163</v>
      </c>
    </row>
    <row r="233" spans="9:22" x14ac:dyDescent="0.45">
      <c r="I233" t="s">
        <v>192</v>
      </c>
      <c r="J233" t="s">
        <v>344</v>
      </c>
      <c r="K233">
        <v>0.23275615464881672</v>
      </c>
      <c r="L233" t="s">
        <v>163</v>
      </c>
      <c r="N233" t="s">
        <v>223</v>
      </c>
      <c r="O233" t="s">
        <v>344</v>
      </c>
      <c r="P233">
        <v>8.4269040544079493E-2</v>
      </c>
      <c r="Q233" t="s">
        <v>163</v>
      </c>
      <c r="S233" t="s">
        <v>254</v>
      </c>
      <c r="T233" t="s">
        <v>344</v>
      </c>
      <c r="U233">
        <v>5.2099528619830929E-2</v>
      </c>
      <c r="V233" t="s">
        <v>163</v>
      </c>
    </row>
    <row r="234" spans="9:22" x14ac:dyDescent="0.45">
      <c r="I234" t="s">
        <v>192</v>
      </c>
      <c r="J234" t="s">
        <v>345</v>
      </c>
      <c r="K234">
        <v>5.4932578732118428E-3</v>
      </c>
      <c r="L234" t="s">
        <v>163</v>
      </c>
      <c r="N234" t="s">
        <v>223</v>
      </c>
      <c r="O234" t="s">
        <v>345</v>
      </c>
      <c r="P234">
        <v>9.900462921366604E-2</v>
      </c>
      <c r="Q234" t="s">
        <v>163</v>
      </c>
      <c r="S234" t="s">
        <v>254</v>
      </c>
      <c r="T234" t="s">
        <v>345</v>
      </c>
      <c r="U234">
        <v>6.7687307954346757E-2</v>
      </c>
      <c r="V234" t="s">
        <v>163</v>
      </c>
    </row>
    <row r="235" spans="9:22" x14ac:dyDescent="0.45">
      <c r="I235" t="s">
        <v>192</v>
      </c>
      <c r="J235" t="s">
        <v>346</v>
      </c>
      <c r="K235">
        <v>2.859870369576191E-2</v>
      </c>
      <c r="L235" t="s">
        <v>163</v>
      </c>
      <c r="N235" t="s">
        <v>223</v>
      </c>
      <c r="O235" t="s">
        <v>346</v>
      </c>
      <c r="P235">
        <v>1.5862243978762656E-2</v>
      </c>
      <c r="Q235" t="s">
        <v>163</v>
      </c>
      <c r="S235" t="s">
        <v>254</v>
      </c>
      <c r="T235" t="s">
        <v>346</v>
      </c>
      <c r="U235">
        <v>1.3184995693283763E-2</v>
      </c>
      <c r="V235" t="s">
        <v>163</v>
      </c>
    </row>
    <row r="236" spans="9:22" x14ac:dyDescent="0.45">
      <c r="I236" t="s">
        <v>192</v>
      </c>
      <c r="J236" t="s">
        <v>347</v>
      </c>
      <c r="K236">
        <v>0.18588426010382372</v>
      </c>
      <c r="L236" t="s">
        <v>163</v>
      </c>
      <c r="N236" t="s">
        <v>223</v>
      </c>
      <c r="O236" t="s">
        <v>347</v>
      </c>
      <c r="P236">
        <v>0.12738946956804603</v>
      </c>
      <c r="Q236" t="s">
        <v>163</v>
      </c>
      <c r="S236" t="s">
        <v>254</v>
      </c>
      <c r="T236" t="s">
        <v>347</v>
      </c>
      <c r="U236">
        <v>0.15369423281372657</v>
      </c>
      <c r="V236" t="s">
        <v>163</v>
      </c>
    </row>
    <row r="237" spans="9:22" x14ac:dyDescent="0.45">
      <c r="I237" t="s">
        <v>192</v>
      </c>
      <c r="J237" t="s">
        <v>348</v>
      </c>
      <c r="K237">
        <v>0</v>
      </c>
      <c r="L237" t="s">
        <v>163</v>
      </c>
      <c r="N237" t="s">
        <v>223</v>
      </c>
      <c r="O237" t="s">
        <v>348</v>
      </c>
      <c r="P237">
        <v>0.1363058858775954</v>
      </c>
      <c r="Q237" t="s">
        <v>163</v>
      </c>
      <c r="S237" t="s">
        <v>254</v>
      </c>
      <c r="T237" t="s">
        <v>348</v>
      </c>
      <c r="U237">
        <v>0.13945850627543435</v>
      </c>
      <c r="V237" t="s">
        <v>163</v>
      </c>
    </row>
    <row r="238" spans="9:22" x14ac:dyDescent="0.45">
      <c r="I238" t="s">
        <v>192</v>
      </c>
      <c r="J238" t="s">
        <v>349</v>
      </c>
      <c r="K238">
        <v>1.5359176884620813E-2</v>
      </c>
      <c r="L238" t="s">
        <v>163</v>
      </c>
      <c r="N238" t="s">
        <v>223</v>
      </c>
      <c r="O238" t="s">
        <v>349</v>
      </c>
      <c r="P238">
        <v>2.3642038308523027E-2</v>
      </c>
      <c r="Q238" t="s">
        <v>163</v>
      </c>
      <c r="S238" t="s">
        <v>254</v>
      </c>
      <c r="T238" t="s">
        <v>349</v>
      </c>
      <c r="U238">
        <v>2.5538738437618114E-2</v>
      </c>
      <c r="V238" t="s">
        <v>163</v>
      </c>
    </row>
    <row r="239" spans="9:22" x14ac:dyDescent="0.45">
      <c r="I239" t="s">
        <v>193</v>
      </c>
      <c r="J239" t="s">
        <v>338</v>
      </c>
      <c r="K239">
        <v>0.24205298884193477</v>
      </c>
      <c r="L239" t="s">
        <v>163</v>
      </c>
      <c r="N239" t="s">
        <v>224</v>
      </c>
      <c r="O239" t="s">
        <v>338</v>
      </c>
      <c r="P239">
        <v>9.7214459184740448E-2</v>
      </c>
      <c r="Q239" t="s">
        <v>163</v>
      </c>
      <c r="S239" t="s">
        <v>255</v>
      </c>
      <c r="T239" t="s">
        <v>338</v>
      </c>
      <c r="U239">
        <v>0.11470258754453073</v>
      </c>
      <c r="V239" t="s">
        <v>163</v>
      </c>
    </row>
    <row r="240" spans="9:22" x14ac:dyDescent="0.45">
      <c r="I240" t="s">
        <v>193</v>
      </c>
      <c r="J240" t="s">
        <v>339</v>
      </c>
      <c r="K240">
        <v>0</v>
      </c>
      <c r="L240" t="s">
        <v>163</v>
      </c>
      <c r="N240" t="s">
        <v>224</v>
      </c>
      <c r="O240" t="s">
        <v>339</v>
      </c>
      <c r="P240">
        <v>0.10585534574959697</v>
      </c>
      <c r="Q240" t="s">
        <v>163</v>
      </c>
      <c r="S240" t="s">
        <v>255</v>
      </c>
      <c r="T240" t="s">
        <v>339</v>
      </c>
      <c r="U240">
        <v>0.12175091937440577</v>
      </c>
      <c r="V240" t="s">
        <v>163</v>
      </c>
    </row>
    <row r="241" spans="9:22" x14ac:dyDescent="0.45">
      <c r="I241" t="s">
        <v>193</v>
      </c>
      <c r="J241" t="s">
        <v>340</v>
      </c>
      <c r="K241">
        <v>8.5544146565146011E-3</v>
      </c>
      <c r="L241" t="s">
        <v>163</v>
      </c>
      <c r="N241" t="s">
        <v>224</v>
      </c>
      <c r="O241" t="s">
        <v>340</v>
      </c>
      <c r="P241">
        <v>1.8959813165848403E-2</v>
      </c>
      <c r="Q241" t="s">
        <v>163</v>
      </c>
      <c r="S241" t="s">
        <v>255</v>
      </c>
      <c r="T241" t="s">
        <v>340</v>
      </c>
      <c r="U241">
        <v>2.0947180530179299E-2</v>
      </c>
      <c r="V241" t="s">
        <v>163</v>
      </c>
    </row>
    <row r="242" spans="9:22" x14ac:dyDescent="0.45">
      <c r="I242" t="s">
        <v>193</v>
      </c>
      <c r="J242" t="s">
        <v>341</v>
      </c>
      <c r="K242">
        <v>0.24743795628371792</v>
      </c>
      <c r="L242" t="s">
        <v>163</v>
      </c>
      <c r="N242" t="s">
        <v>224</v>
      </c>
      <c r="O242" t="s">
        <v>341</v>
      </c>
      <c r="P242">
        <v>0.13072760997818331</v>
      </c>
      <c r="Q242" t="s">
        <v>163</v>
      </c>
      <c r="S242" t="s">
        <v>255</v>
      </c>
      <c r="T242" t="s">
        <v>341</v>
      </c>
      <c r="U242">
        <v>0.12481933896055461</v>
      </c>
      <c r="V242" t="s">
        <v>163</v>
      </c>
    </row>
    <row r="243" spans="9:22" x14ac:dyDescent="0.45">
      <c r="I243" t="s">
        <v>193</v>
      </c>
      <c r="J243" t="s">
        <v>342</v>
      </c>
      <c r="K243">
        <v>0</v>
      </c>
      <c r="L243" t="s">
        <v>163</v>
      </c>
      <c r="N243" t="s">
        <v>224</v>
      </c>
      <c r="O243" t="s">
        <v>342</v>
      </c>
      <c r="P243">
        <v>0.1172947756873793</v>
      </c>
      <c r="Q243" t="s">
        <v>163</v>
      </c>
      <c r="S243" t="s">
        <v>255</v>
      </c>
      <c r="T243" t="s">
        <v>342</v>
      </c>
      <c r="U243">
        <v>0.13116347342911103</v>
      </c>
      <c r="V243" t="s">
        <v>163</v>
      </c>
    </row>
    <row r="244" spans="9:22" x14ac:dyDescent="0.45">
      <c r="I244" t="s">
        <v>193</v>
      </c>
      <c r="J244" t="s">
        <v>343</v>
      </c>
      <c r="K244">
        <v>1.5840586997344423E-2</v>
      </c>
      <c r="L244" t="s">
        <v>163</v>
      </c>
      <c r="N244" t="s">
        <v>224</v>
      </c>
      <c r="O244" t="s">
        <v>343</v>
      </c>
      <c r="P244">
        <v>2.3285175490109961E-2</v>
      </c>
      <c r="Q244" t="s">
        <v>163</v>
      </c>
      <c r="S244" t="s">
        <v>255</v>
      </c>
      <c r="T244" t="s">
        <v>343</v>
      </c>
      <c r="U244">
        <v>2.2860843156216903E-2</v>
      </c>
      <c r="V244" t="s">
        <v>163</v>
      </c>
    </row>
    <row r="245" spans="9:22" x14ac:dyDescent="0.45">
      <c r="I245" t="s">
        <v>193</v>
      </c>
      <c r="J245" t="s">
        <v>344</v>
      </c>
      <c r="K245">
        <v>0.3112620421784999</v>
      </c>
      <c r="L245" t="s">
        <v>163</v>
      </c>
      <c r="N245" t="s">
        <v>224</v>
      </c>
      <c r="O245" t="s">
        <v>344</v>
      </c>
      <c r="P245">
        <v>5.3311892631078259E-2</v>
      </c>
      <c r="Q245" t="s">
        <v>163</v>
      </c>
      <c r="S245" t="s">
        <v>255</v>
      </c>
      <c r="T245" t="s">
        <v>344</v>
      </c>
      <c r="U245">
        <v>7.497048049125489E-2</v>
      </c>
      <c r="V245" t="s">
        <v>163</v>
      </c>
    </row>
    <row r="246" spans="9:22" x14ac:dyDescent="0.45">
      <c r="I246" t="s">
        <v>193</v>
      </c>
      <c r="J246" t="s">
        <v>345</v>
      </c>
      <c r="K246">
        <v>0</v>
      </c>
      <c r="L246" t="s">
        <v>163</v>
      </c>
      <c r="N246" t="s">
        <v>224</v>
      </c>
      <c r="O246" t="s">
        <v>345</v>
      </c>
      <c r="P246">
        <v>5.3444844449177298E-2</v>
      </c>
      <c r="Q246" t="s">
        <v>163</v>
      </c>
      <c r="S246" t="s">
        <v>255</v>
      </c>
      <c r="T246" t="s">
        <v>345</v>
      </c>
      <c r="U246">
        <v>8.4305122495368631E-2</v>
      </c>
      <c r="V246" t="s">
        <v>163</v>
      </c>
    </row>
    <row r="247" spans="9:22" x14ac:dyDescent="0.45">
      <c r="I247" t="s">
        <v>193</v>
      </c>
      <c r="J247" t="s">
        <v>346</v>
      </c>
      <c r="K247">
        <v>2.7445539131915494E-2</v>
      </c>
      <c r="L247" t="s">
        <v>163</v>
      </c>
      <c r="N247" t="s">
        <v>224</v>
      </c>
      <c r="O247" t="s">
        <v>346</v>
      </c>
      <c r="P247">
        <v>9.9172751911618656E-3</v>
      </c>
      <c r="Q247" t="s">
        <v>163</v>
      </c>
      <c r="S247" t="s">
        <v>255</v>
      </c>
      <c r="T247" t="s">
        <v>346</v>
      </c>
      <c r="U247">
        <v>1.7889667779144438E-2</v>
      </c>
      <c r="V247" t="s">
        <v>163</v>
      </c>
    </row>
    <row r="248" spans="9:22" x14ac:dyDescent="0.45">
      <c r="I248" t="s">
        <v>193</v>
      </c>
      <c r="J248" t="s">
        <v>347</v>
      </c>
      <c r="K248">
        <v>0.14418291818115048</v>
      </c>
      <c r="L248" t="s">
        <v>163</v>
      </c>
      <c r="N248" t="s">
        <v>224</v>
      </c>
      <c r="O248" t="s">
        <v>347</v>
      </c>
      <c r="P248">
        <v>0.17404955019240861</v>
      </c>
      <c r="Q248" t="s">
        <v>163</v>
      </c>
      <c r="S248" t="s">
        <v>255</v>
      </c>
      <c r="T248" t="s">
        <v>347</v>
      </c>
      <c r="U248">
        <v>0.1331672949016969</v>
      </c>
      <c r="V248" t="s">
        <v>163</v>
      </c>
    </row>
    <row r="249" spans="9:22" x14ac:dyDescent="0.45">
      <c r="I249" t="s">
        <v>193</v>
      </c>
      <c r="J249" t="s">
        <v>348</v>
      </c>
      <c r="K249">
        <v>0</v>
      </c>
      <c r="L249" t="s">
        <v>163</v>
      </c>
      <c r="N249" t="s">
        <v>224</v>
      </c>
      <c r="O249" t="s">
        <v>348</v>
      </c>
      <c r="P249">
        <v>0.18358398135249432</v>
      </c>
      <c r="Q249" t="s">
        <v>163</v>
      </c>
      <c r="S249" t="s">
        <v>255</v>
      </c>
      <c r="T249" t="s">
        <v>348</v>
      </c>
      <c r="U249">
        <v>0.13035592579376398</v>
      </c>
      <c r="V249" t="s">
        <v>163</v>
      </c>
    </row>
    <row r="250" spans="9:22" x14ac:dyDescent="0.45">
      <c r="I250" t="s">
        <v>193</v>
      </c>
      <c r="J250" t="s">
        <v>349</v>
      </c>
      <c r="K250">
        <v>3.223553728920886E-3</v>
      </c>
      <c r="L250" t="s">
        <v>163</v>
      </c>
      <c r="N250" t="s">
        <v>224</v>
      </c>
      <c r="O250" t="s">
        <v>349</v>
      </c>
      <c r="P250">
        <v>3.2355276927821981E-2</v>
      </c>
      <c r="Q250" t="s">
        <v>163</v>
      </c>
      <c r="S250" t="s">
        <v>255</v>
      </c>
      <c r="T250" t="s">
        <v>349</v>
      </c>
      <c r="U250">
        <v>2.3067165543770946E-2</v>
      </c>
      <c r="V250" t="s">
        <v>163</v>
      </c>
    </row>
    <row r="251" spans="9:22" x14ac:dyDescent="0.45">
      <c r="I251" t="s">
        <v>194</v>
      </c>
      <c r="J251" t="s">
        <v>338</v>
      </c>
      <c r="K251">
        <v>0.24085893627904498</v>
      </c>
      <c r="L251" t="s">
        <v>163</v>
      </c>
      <c r="N251" t="s">
        <v>225</v>
      </c>
      <c r="O251" t="s">
        <v>338</v>
      </c>
      <c r="P251">
        <v>9.7413700789993715E-2</v>
      </c>
      <c r="Q251" t="s">
        <v>163</v>
      </c>
      <c r="S251" t="s">
        <v>256</v>
      </c>
      <c r="T251" t="s">
        <v>338</v>
      </c>
      <c r="U251">
        <v>0.11349990928697497</v>
      </c>
      <c r="V251" t="s">
        <v>163</v>
      </c>
    </row>
    <row r="252" spans="9:22" x14ac:dyDescent="0.45">
      <c r="I252" t="s">
        <v>194</v>
      </c>
      <c r="J252" t="s">
        <v>339</v>
      </c>
      <c r="K252">
        <v>0</v>
      </c>
      <c r="L252" t="s">
        <v>163</v>
      </c>
      <c r="N252" t="s">
        <v>225</v>
      </c>
      <c r="O252" t="s">
        <v>339</v>
      </c>
      <c r="P252">
        <v>0.106755873175329</v>
      </c>
      <c r="Q252" t="s">
        <v>163</v>
      </c>
      <c r="S252" t="s">
        <v>256</v>
      </c>
      <c r="T252" t="s">
        <v>339</v>
      </c>
      <c r="U252">
        <v>0.11160195586005836</v>
      </c>
      <c r="V252" t="s">
        <v>163</v>
      </c>
    </row>
    <row r="253" spans="9:22" x14ac:dyDescent="0.45">
      <c r="I253" t="s">
        <v>194</v>
      </c>
      <c r="J253" t="s">
        <v>340</v>
      </c>
      <c r="K253">
        <v>1.0780566688059368E-2</v>
      </c>
      <c r="L253" t="s">
        <v>163</v>
      </c>
      <c r="N253" t="s">
        <v>225</v>
      </c>
      <c r="O253" t="s">
        <v>340</v>
      </c>
      <c r="P253">
        <v>2.2445071692491762E-2</v>
      </c>
      <c r="Q253" t="s">
        <v>163</v>
      </c>
      <c r="S253" t="s">
        <v>256</v>
      </c>
      <c r="T253" t="s">
        <v>340</v>
      </c>
      <c r="U253">
        <v>2.1459294918817866E-2</v>
      </c>
      <c r="V253" t="s">
        <v>163</v>
      </c>
    </row>
    <row r="254" spans="9:22" x14ac:dyDescent="0.45">
      <c r="I254" t="s">
        <v>194</v>
      </c>
      <c r="J254" t="s">
        <v>341</v>
      </c>
      <c r="K254">
        <v>0.23182009797767836</v>
      </c>
      <c r="L254" t="s">
        <v>163</v>
      </c>
      <c r="N254" t="s">
        <v>225</v>
      </c>
      <c r="O254" t="s">
        <v>341</v>
      </c>
      <c r="P254">
        <v>0.1458385330457499</v>
      </c>
      <c r="Q254" t="s">
        <v>163</v>
      </c>
      <c r="S254" t="s">
        <v>256</v>
      </c>
      <c r="T254" t="s">
        <v>341</v>
      </c>
      <c r="U254">
        <v>0.13180385100861175</v>
      </c>
      <c r="V254" t="s">
        <v>163</v>
      </c>
    </row>
    <row r="255" spans="9:22" x14ac:dyDescent="0.45">
      <c r="I255" t="s">
        <v>194</v>
      </c>
      <c r="J255" t="s">
        <v>342</v>
      </c>
      <c r="K255">
        <v>0</v>
      </c>
      <c r="L255" t="s">
        <v>163</v>
      </c>
      <c r="N255" t="s">
        <v>225</v>
      </c>
      <c r="O255" t="s">
        <v>342</v>
      </c>
      <c r="P255">
        <v>0.13596233416030884</v>
      </c>
      <c r="Q255" t="s">
        <v>163</v>
      </c>
      <c r="S255" t="s">
        <v>256</v>
      </c>
      <c r="T255" t="s">
        <v>342</v>
      </c>
      <c r="U255">
        <v>0.13746323205429642</v>
      </c>
      <c r="V255" t="s">
        <v>163</v>
      </c>
    </row>
    <row r="256" spans="9:22" x14ac:dyDescent="0.45">
      <c r="I256" t="s">
        <v>194</v>
      </c>
      <c r="J256" t="s">
        <v>343</v>
      </c>
      <c r="K256">
        <v>1.7203816277647867E-2</v>
      </c>
      <c r="L256" t="s">
        <v>163</v>
      </c>
      <c r="N256" t="s">
        <v>225</v>
      </c>
      <c r="O256" t="s">
        <v>343</v>
      </c>
      <c r="P256">
        <v>3.1032894946162203E-2</v>
      </c>
      <c r="Q256" t="s">
        <v>163</v>
      </c>
      <c r="S256" t="s">
        <v>256</v>
      </c>
      <c r="T256" t="s">
        <v>343</v>
      </c>
      <c r="U256">
        <v>2.5094853343753026E-2</v>
      </c>
      <c r="V256" t="s">
        <v>163</v>
      </c>
    </row>
    <row r="257" spans="9:22" x14ac:dyDescent="0.45">
      <c r="I257" t="s">
        <v>194</v>
      </c>
      <c r="J257" t="s">
        <v>344</v>
      </c>
      <c r="K257">
        <v>0.31913314702254164</v>
      </c>
      <c r="L257" t="s">
        <v>163</v>
      </c>
      <c r="N257" t="s">
        <v>225</v>
      </c>
      <c r="O257" t="s">
        <v>344</v>
      </c>
      <c r="P257">
        <v>5.1377157362479248E-2</v>
      </c>
      <c r="Q257" t="s">
        <v>163</v>
      </c>
      <c r="S257" t="s">
        <v>256</v>
      </c>
      <c r="T257" t="s">
        <v>344</v>
      </c>
      <c r="U257">
        <v>6.9751998854623853E-2</v>
      </c>
      <c r="V257" t="s">
        <v>163</v>
      </c>
    </row>
    <row r="258" spans="9:22" x14ac:dyDescent="0.45">
      <c r="I258" t="s">
        <v>194</v>
      </c>
      <c r="J258" t="s">
        <v>345</v>
      </c>
      <c r="K258">
        <v>0</v>
      </c>
      <c r="L258" t="s">
        <v>163</v>
      </c>
      <c r="N258" t="s">
        <v>225</v>
      </c>
      <c r="O258" t="s">
        <v>345</v>
      </c>
      <c r="P258">
        <v>4.7607356618166438E-2</v>
      </c>
      <c r="Q258" t="s">
        <v>163</v>
      </c>
      <c r="S258" t="s">
        <v>256</v>
      </c>
      <c r="T258" t="s">
        <v>345</v>
      </c>
      <c r="U258">
        <v>7.4452124710897918E-2</v>
      </c>
      <c r="V258" t="s">
        <v>163</v>
      </c>
    </row>
    <row r="259" spans="9:22" x14ac:dyDescent="0.45">
      <c r="I259" t="s">
        <v>194</v>
      </c>
      <c r="J259" t="s">
        <v>346</v>
      </c>
      <c r="K259">
        <v>3.076540822786078E-2</v>
      </c>
      <c r="L259" t="s">
        <v>163</v>
      </c>
      <c r="N259" t="s">
        <v>225</v>
      </c>
      <c r="O259" t="s">
        <v>346</v>
      </c>
      <c r="P259">
        <v>1.1852628662961613E-2</v>
      </c>
      <c r="Q259" t="s">
        <v>163</v>
      </c>
      <c r="S259" t="s">
        <v>256</v>
      </c>
      <c r="T259" t="s">
        <v>346</v>
      </c>
      <c r="U259">
        <v>1.3646005737073676E-2</v>
      </c>
      <c r="V259" t="s">
        <v>163</v>
      </c>
    </row>
    <row r="260" spans="9:22" x14ac:dyDescent="0.45">
      <c r="I260" t="s">
        <v>194</v>
      </c>
      <c r="J260" t="s">
        <v>347</v>
      </c>
      <c r="K260">
        <v>0.14462034005042837</v>
      </c>
      <c r="L260" t="s">
        <v>163</v>
      </c>
      <c r="N260" t="s">
        <v>225</v>
      </c>
      <c r="O260" t="s">
        <v>347</v>
      </c>
      <c r="P260">
        <v>0.16560952823019423</v>
      </c>
      <c r="Q260" t="s">
        <v>163</v>
      </c>
      <c r="S260" t="s">
        <v>256</v>
      </c>
      <c r="T260" t="s">
        <v>347</v>
      </c>
      <c r="U260">
        <v>0.13368465808147029</v>
      </c>
      <c r="V260" t="s">
        <v>163</v>
      </c>
    </row>
    <row r="261" spans="9:22" x14ac:dyDescent="0.45">
      <c r="I261" t="s">
        <v>194</v>
      </c>
      <c r="J261" t="s">
        <v>348</v>
      </c>
      <c r="K261">
        <v>0</v>
      </c>
      <c r="L261" t="s">
        <v>163</v>
      </c>
      <c r="N261" t="s">
        <v>225</v>
      </c>
      <c r="O261" t="s">
        <v>348</v>
      </c>
      <c r="P261">
        <v>0.15324074141875324</v>
      </c>
      <c r="Q261" t="s">
        <v>163</v>
      </c>
      <c r="S261" t="s">
        <v>256</v>
      </c>
      <c r="T261" t="s">
        <v>348</v>
      </c>
      <c r="U261">
        <v>0.14220302817888478</v>
      </c>
      <c r="V261" t="s">
        <v>163</v>
      </c>
    </row>
    <row r="262" spans="9:22" x14ac:dyDescent="0.45">
      <c r="I262" t="s">
        <v>194</v>
      </c>
      <c r="J262" t="s">
        <v>349</v>
      </c>
      <c r="K262">
        <v>4.8176874767398821E-3</v>
      </c>
      <c r="L262" t="s">
        <v>163</v>
      </c>
      <c r="N262" t="s">
        <v>225</v>
      </c>
      <c r="O262" t="s">
        <v>349</v>
      </c>
      <c r="P262">
        <v>3.0864179897408493E-2</v>
      </c>
      <c r="Q262" t="s">
        <v>163</v>
      </c>
      <c r="S262" t="s">
        <v>256</v>
      </c>
      <c r="T262" t="s">
        <v>349</v>
      </c>
      <c r="U262">
        <v>2.5339087964534719E-2</v>
      </c>
      <c r="V262" t="s">
        <v>163</v>
      </c>
    </row>
    <row r="263" spans="9:22" x14ac:dyDescent="0.45">
      <c r="I263" t="s">
        <v>195</v>
      </c>
      <c r="J263" t="s">
        <v>338</v>
      </c>
      <c r="K263">
        <v>0.24140497754776843</v>
      </c>
      <c r="L263" t="s">
        <v>163</v>
      </c>
      <c r="N263" t="s">
        <v>226</v>
      </c>
      <c r="O263" t="s">
        <v>338</v>
      </c>
      <c r="P263">
        <v>9.1988078178869212E-2</v>
      </c>
      <c r="Q263" t="s">
        <v>163</v>
      </c>
      <c r="S263" t="s">
        <v>257</v>
      </c>
      <c r="T263" t="s">
        <v>338</v>
      </c>
      <c r="U263">
        <v>0.1159776017620234</v>
      </c>
      <c r="V263" t="s">
        <v>163</v>
      </c>
    </row>
    <row r="264" spans="9:22" x14ac:dyDescent="0.45">
      <c r="I264" t="s">
        <v>195</v>
      </c>
      <c r="J264" t="s">
        <v>339</v>
      </c>
      <c r="K264">
        <v>0</v>
      </c>
      <c r="L264" t="s">
        <v>163</v>
      </c>
      <c r="N264" t="s">
        <v>226</v>
      </c>
      <c r="O264" t="s">
        <v>339</v>
      </c>
      <c r="P264">
        <v>7.7753468118669053E-2</v>
      </c>
      <c r="Q264" t="s">
        <v>163</v>
      </c>
      <c r="S264" t="s">
        <v>257</v>
      </c>
      <c r="T264" t="s">
        <v>339</v>
      </c>
      <c r="U264">
        <v>0.11842110101537413</v>
      </c>
      <c r="V264" t="s">
        <v>163</v>
      </c>
    </row>
    <row r="265" spans="9:22" x14ac:dyDescent="0.45">
      <c r="I265" t="s">
        <v>195</v>
      </c>
      <c r="J265" t="s">
        <v>340</v>
      </c>
      <c r="K265">
        <v>1.4554375916948858E-2</v>
      </c>
      <c r="L265" t="s">
        <v>163</v>
      </c>
      <c r="N265" t="s">
        <v>226</v>
      </c>
      <c r="O265" t="s">
        <v>340</v>
      </c>
      <c r="P265">
        <v>2.0175819255584079E-2</v>
      </c>
      <c r="Q265" t="s">
        <v>163</v>
      </c>
      <c r="S265" t="s">
        <v>257</v>
      </c>
      <c r="T265" t="s">
        <v>340</v>
      </c>
      <c r="U265">
        <v>2.2270791359695893E-2</v>
      </c>
      <c r="V265" t="s">
        <v>163</v>
      </c>
    </row>
    <row r="266" spans="9:22" x14ac:dyDescent="0.45">
      <c r="I266" t="s">
        <v>195</v>
      </c>
      <c r="J266" t="s">
        <v>341</v>
      </c>
      <c r="K266">
        <v>0.23896439050733601</v>
      </c>
      <c r="L266" t="s">
        <v>163</v>
      </c>
      <c r="N266" t="s">
        <v>226</v>
      </c>
      <c r="O266" t="s">
        <v>341</v>
      </c>
      <c r="P266">
        <v>0.18948557391764295</v>
      </c>
      <c r="Q266" t="s">
        <v>163</v>
      </c>
      <c r="S266" t="s">
        <v>257</v>
      </c>
      <c r="T266" t="s">
        <v>341</v>
      </c>
      <c r="U266">
        <v>0.13790880397225622</v>
      </c>
      <c r="V266" t="s">
        <v>163</v>
      </c>
    </row>
    <row r="267" spans="9:22" x14ac:dyDescent="0.45">
      <c r="I267" t="s">
        <v>195</v>
      </c>
      <c r="J267" t="s">
        <v>342</v>
      </c>
      <c r="K267">
        <v>0</v>
      </c>
      <c r="L267" t="s">
        <v>163</v>
      </c>
      <c r="N267" t="s">
        <v>226</v>
      </c>
      <c r="O267" t="s">
        <v>342</v>
      </c>
      <c r="P267">
        <v>0.1421946946910673</v>
      </c>
      <c r="Q267" t="s">
        <v>163</v>
      </c>
      <c r="S267" t="s">
        <v>257</v>
      </c>
      <c r="T267" t="s">
        <v>342</v>
      </c>
      <c r="U267">
        <v>0.1383875071842274</v>
      </c>
      <c r="V267" t="s">
        <v>163</v>
      </c>
    </row>
    <row r="268" spans="9:22" x14ac:dyDescent="0.45">
      <c r="I268" t="s">
        <v>195</v>
      </c>
      <c r="J268" t="s">
        <v>343</v>
      </c>
      <c r="K268">
        <v>1.9449668645578573E-2</v>
      </c>
      <c r="L268" t="s">
        <v>163</v>
      </c>
      <c r="N268" t="s">
        <v>226</v>
      </c>
      <c r="O268" t="s">
        <v>343</v>
      </c>
      <c r="P268">
        <v>3.6828794109984735E-2</v>
      </c>
      <c r="Q268" t="s">
        <v>163</v>
      </c>
      <c r="S268" t="s">
        <v>257</v>
      </c>
      <c r="T268" t="s">
        <v>343</v>
      </c>
      <c r="U268">
        <v>2.4899573755732485E-2</v>
      </c>
      <c r="V268" t="s">
        <v>163</v>
      </c>
    </row>
    <row r="269" spans="9:22" x14ac:dyDescent="0.45">
      <c r="I269" t="s">
        <v>195</v>
      </c>
      <c r="J269" t="s">
        <v>344</v>
      </c>
      <c r="K269">
        <v>0.30390853171062088</v>
      </c>
      <c r="L269" t="s">
        <v>163</v>
      </c>
      <c r="N269" t="s">
        <v>226</v>
      </c>
      <c r="O269" t="s">
        <v>344</v>
      </c>
      <c r="P269">
        <v>2.0323120520575548E-2</v>
      </c>
      <c r="Q269" t="s">
        <v>163</v>
      </c>
      <c r="S269" t="s">
        <v>257</v>
      </c>
      <c r="T269" t="s">
        <v>344</v>
      </c>
      <c r="U269">
        <v>7.4427841602837913E-2</v>
      </c>
      <c r="V269" t="s">
        <v>163</v>
      </c>
    </row>
    <row r="270" spans="9:22" x14ac:dyDescent="0.45">
      <c r="I270" t="s">
        <v>195</v>
      </c>
      <c r="J270" t="s">
        <v>345</v>
      </c>
      <c r="K270">
        <v>5.2366584580187166E-4</v>
      </c>
      <c r="L270" t="s">
        <v>163</v>
      </c>
      <c r="N270" t="s">
        <v>226</v>
      </c>
      <c r="O270" t="s">
        <v>345</v>
      </c>
      <c r="P270">
        <v>1.6411271190794007E-2</v>
      </c>
      <c r="Q270" t="s">
        <v>163</v>
      </c>
      <c r="S270" t="s">
        <v>257</v>
      </c>
      <c r="T270" t="s">
        <v>345</v>
      </c>
      <c r="U270">
        <v>7.7275985614063639E-2</v>
      </c>
      <c r="V270" t="s">
        <v>163</v>
      </c>
    </row>
    <row r="271" spans="9:22" x14ac:dyDescent="0.45">
      <c r="I271" t="s">
        <v>195</v>
      </c>
      <c r="J271" t="s">
        <v>346</v>
      </c>
      <c r="K271">
        <v>3.236126779854407E-2</v>
      </c>
      <c r="L271" t="s">
        <v>163</v>
      </c>
      <c r="N271" t="s">
        <v>226</v>
      </c>
      <c r="O271" t="s">
        <v>346</v>
      </c>
      <c r="P271">
        <v>4.6051446998418011E-3</v>
      </c>
      <c r="Q271" t="s">
        <v>163</v>
      </c>
      <c r="S271" t="s">
        <v>257</v>
      </c>
      <c r="T271" t="s">
        <v>346</v>
      </c>
      <c r="U271">
        <v>1.5421063354693195E-2</v>
      </c>
      <c r="V271" t="s">
        <v>163</v>
      </c>
    </row>
    <row r="272" spans="9:22" x14ac:dyDescent="0.45">
      <c r="I272" t="s">
        <v>195</v>
      </c>
      <c r="J272" t="s">
        <v>347</v>
      </c>
      <c r="K272">
        <v>0.14182995370959878</v>
      </c>
      <c r="L272" t="s">
        <v>163</v>
      </c>
      <c r="N272" t="s">
        <v>226</v>
      </c>
      <c r="O272" t="s">
        <v>347</v>
      </c>
      <c r="P272">
        <v>0.20714207383683186</v>
      </c>
      <c r="Q272" t="s">
        <v>163</v>
      </c>
      <c r="S272" t="s">
        <v>257</v>
      </c>
      <c r="T272" t="s">
        <v>347</v>
      </c>
      <c r="U272">
        <v>0.12734061419109452</v>
      </c>
      <c r="V272" t="s">
        <v>163</v>
      </c>
    </row>
    <row r="273" spans="9:22" x14ac:dyDescent="0.45">
      <c r="I273" t="s">
        <v>195</v>
      </c>
      <c r="J273" t="s">
        <v>348</v>
      </c>
      <c r="K273">
        <v>0</v>
      </c>
      <c r="L273" t="s">
        <v>163</v>
      </c>
      <c r="N273" t="s">
        <v>226</v>
      </c>
      <c r="O273" t="s">
        <v>348</v>
      </c>
      <c r="P273">
        <v>0.15864932814833482</v>
      </c>
      <c r="Q273" t="s">
        <v>163</v>
      </c>
      <c r="S273" t="s">
        <v>257</v>
      </c>
      <c r="T273" t="s">
        <v>348</v>
      </c>
      <c r="U273">
        <v>0.12514520020764675</v>
      </c>
      <c r="V273" t="s">
        <v>163</v>
      </c>
    </row>
    <row r="274" spans="9:22" x14ac:dyDescent="0.45">
      <c r="I274" t="s">
        <v>195</v>
      </c>
      <c r="J274" t="s">
        <v>349</v>
      </c>
      <c r="K274">
        <v>7.0031683178024065E-3</v>
      </c>
      <c r="L274" t="s">
        <v>163</v>
      </c>
      <c r="N274" t="s">
        <v>226</v>
      </c>
      <c r="O274" t="s">
        <v>349</v>
      </c>
      <c r="P274">
        <v>3.4442633331803807E-2</v>
      </c>
      <c r="Q274" t="s">
        <v>163</v>
      </c>
      <c r="S274" t="s">
        <v>257</v>
      </c>
      <c r="T274" t="s">
        <v>349</v>
      </c>
      <c r="U274">
        <v>2.2523915980354459E-2</v>
      </c>
      <c r="V274" t="s">
        <v>163</v>
      </c>
    </row>
    <row r="275" spans="9:22" x14ac:dyDescent="0.45">
      <c r="I275" t="s">
        <v>196</v>
      </c>
      <c r="J275" t="s">
        <v>338</v>
      </c>
      <c r="K275">
        <v>0.22285719445402782</v>
      </c>
      <c r="L275" t="s">
        <v>163</v>
      </c>
      <c r="N275" t="s">
        <v>227</v>
      </c>
      <c r="O275" t="s">
        <v>338</v>
      </c>
      <c r="P275">
        <v>8.6514060761423817E-2</v>
      </c>
      <c r="Q275" t="s">
        <v>163</v>
      </c>
      <c r="S275" t="s">
        <v>258</v>
      </c>
      <c r="T275" t="s">
        <v>338</v>
      </c>
      <c r="U275">
        <v>0.11968026411927628</v>
      </c>
      <c r="V275" t="s">
        <v>163</v>
      </c>
    </row>
    <row r="276" spans="9:22" x14ac:dyDescent="0.45">
      <c r="I276" t="s">
        <v>196</v>
      </c>
      <c r="J276" t="s">
        <v>339</v>
      </c>
      <c r="K276">
        <v>0</v>
      </c>
      <c r="L276" t="s">
        <v>163</v>
      </c>
      <c r="N276" t="s">
        <v>227</v>
      </c>
      <c r="O276" t="s">
        <v>339</v>
      </c>
      <c r="P276">
        <v>6.9258075305820288E-2</v>
      </c>
      <c r="Q276" t="s">
        <v>163</v>
      </c>
      <c r="S276" t="s">
        <v>258</v>
      </c>
      <c r="T276" t="s">
        <v>339</v>
      </c>
      <c r="U276">
        <v>0.11920777913093046</v>
      </c>
      <c r="V276" t="s">
        <v>163</v>
      </c>
    </row>
    <row r="277" spans="9:22" x14ac:dyDescent="0.45">
      <c r="I277" t="s">
        <v>196</v>
      </c>
      <c r="J277" t="s">
        <v>340</v>
      </c>
      <c r="K277">
        <v>1.573656892533374E-2</v>
      </c>
      <c r="L277" t="s">
        <v>163</v>
      </c>
      <c r="N277" t="s">
        <v>227</v>
      </c>
      <c r="O277" t="s">
        <v>340</v>
      </c>
      <c r="P277">
        <v>1.7690970341997639E-2</v>
      </c>
      <c r="Q277" t="s">
        <v>163</v>
      </c>
      <c r="S277" t="s">
        <v>258</v>
      </c>
      <c r="T277" t="s">
        <v>340</v>
      </c>
      <c r="U277">
        <v>2.2627253763243642E-2</v>
      </c>
      <c r="V277" t="s">
        <v>163</v>
      </c>
    </row>
    <row r="278" spans="9:22" x14ac:dyDescent="0.45">
      <c r="I278" t="s">
        <v>196</v>
      </c>
      <c r="J278" t="s">
        <v>341</v>
      </c>
      <c r="K278">
        <v>0.23211515230601981</v>
      </c>
      <c r="L278" t="s">
        <v>163</v>
      </c>
      <c r="N278" t="s">
        <v>227</v>
      </c>
      <c r="O278" t="s">
        <v>341</v>
      </c>
      <c r="P278">
        <v>0.18886981370891526</v>
      </c>
      <c r="Q278" t="s">
        <v>163</v>
      </c>
      <c r="S278" t="s">
        <v>258</v>
      </c>
      <c r="T278" t="s">
        <v>341</v>
      </c>
      <c r="U278">
        <v>0.13859105412696748</v>
      </c>
      <c r="V278" t="s">
        <v>163</v>
      </c>
    </row>
    <row r="279" spans="9:22" x14ac:dyDescent="0.45">
      <c r="I279" t="s">
        <v>196</v>
      </c>
      <c r="J279" t="s">
        <v>342</v>
      </c>
      <c r="K279">
        <v>8.3507383074272903E-4</v>
      </c>
      <c r="L279" t="s">
        <v>163</v>
      </c>
      <c r="N279" t="s">
        <v>227</v>
      </c>
      <c r="O279" t="s">
        <v>342</v>
      </c>
      <c r="P279">
        <v>0.12770372665520321</v>
      </c>
      <c r="Q279" t="s">
        <v>163</v>
      </c>
      <c r="S279" t="s">
        <v>258</v>
      </c>
      <c r="T279" t="s">
        <v>342</v>
      </c>
      <c r="U279">
        <v>0.1386116376508246</v>
      </c>
      <c r="V279" t="s">
        <v>163</v>
      </c>
    </row>
    <row r="280" spans="9:22" x14ac:dyDescent="0.45">
      <c r="I280" t="s">
        <v>196</v>
      </c>
      <c r="J280" t="s">
        <v>343</v>
      </c>
      <c r="K280">
        <v>2.2569636932802555E-2</v>
      </c>
      <c r="L280" t="s">
        <v>163</v>
      </c>
      <c r="N280" t="s">
        <v>227</v>
      </c>
      <c r="O280" t="s">
        <v>343</v>
      </c>
      <c r="P280">
        <v>3.146552135726613E-2</v>
      </c>
      <c r="Q280" t="s">
        <v>163</v>
      </c>
      <c r="S280" t="s">
        <v>258</v>
      </c>
      <c r="T280" t="s">
        <v>343</v>
      </c>
      <c r="U280">
        <v>2.6106332366252032E-2</v>
      </c>
      <c r="V280" t="s">
        <v>163</v>
      </c>
    </row>
    <row r="281" spans="9:22" x14ac:dyDescent="0.45">
      <c r="I281" t="s">
        <v>196</v>
      </c>
      <c r="J281" t="s">
        <v>344</v>
      </c>
      <c r="K281">
        <v>0.28681263054345346</v>
      </c>
      <c r="L281" t="s">
        <v>163</v>
      </c>
      <c r="N281" t="s">
        <v>227</v>
      </c>
      <c r="O281" t="s">
        <v>344</v>
      </c>
      <c r="P281">
        <v>3.4982835167592687E-2</v>
      </c>
      <c r="Q281" t="s">
        <v>163</v>
      </c>
      <c r="S281" t="s">
        <v>258</v>
      </c>
      <c r="T281" t="s">
        <v>344</v>
      </c>
      <c r="U281">
        <v>6.4059713578310001E-2</v>
      </c>
      <c r="V281" t="s">
        <v>163</v>
      </c>
    </row>
    <row r="282" spans="9:22" x14ac:dyDescent="0.45">
      <c r="I282" t="s">
        <v>196</v>
      </c>
      <c r="J282" t="s">
        <v>345</v>
      </c>
      <c r="K282">
        <v>3.0502395060662034E-3</v>
      </c>
      <c r="L282" t="s">
        <v>163</v>
      </c>
      <c r="N282" t="s">
        <v>227</v>
      </c>
      <c r="O282" t="s">
        <v>345</v>
      </c>
      <c r="P282">
        <v>1.6246984694712131E-2</v>
      </c>
      <c r="Q282" t="s">
        <v>163</v>
      </c>
      <c r="S282" t="s">
        <v>258</v>
      </c>
      <c r="T282" t="s">
        <v>345</v>
      </c>
      <c r="U282">
        <v>6.4833640422845645E-2</v>
      </c>
      <c r="V282" t="s">
        <v>163</v>
      </c>
    </row>
    <row r="283" spans="9:22" x14ac:dyDescent="0.45">
      <c r="I283" t="s">
        <v>196</v>
      </c>
      <c r="J283" t="s">
        <v>346</v>
      </c>
      <c r="K283">
        <v>3.36121949925378E-2</v>
      </c>
      <c r="L283" t="s">
        <v>163</v>
      </c>
      <c r="N283" t="s">
        <v>227</v>
      </c>
      <c r="O283" t="s">
        <v>346</v>
      </c>
      <c r="P283">
        <v>5.3965854782816822E-3</v>
      </c>
      <c r="Q283" t="s">
        <v>163</v>
      </c>
      <c r="S283" t="s">
        <v>258</v>
      </c>
      <c r="T283" t="s">
        <v>346</v>
      </c>
      <c r="U283">
        <v>1.4607624850328441E-2</v>
      </c>
      <c r="V283" t="s">
        <v>163</v>
      </c>
    </row>
    <row r="284" spans="9:22" x14ac:dyDescent="0.45">
      <c r="I284" t="s">
        <v>196</v>
      </c>
      <c r="J284" t="s">
        <v>347</v>
      </c>
      <c r="K284">
        <v>0.17088360659774532</v>
      </c>
      <c r="L284" t="s">
        <v>163</v>
      </c>
      <c r="N284" t="s">
        <v>227</v>
      </c>
      <c r="O284" t="s">
        <v>347</v>
      </c>
      <c r="P284">
        <v>0.20893261246372632</v>
      </c>
      <c r="Q284" t="s">
        <v>163</v>
      </c>
      <c r="S284" t="s">
        <v>258</v>
      </c>
      <c r="T284" t="s">
        <v>347</v>
      </c>
      <c r="U284">
        <v>0.13811279136542573</v>
      </c>
      <c r="V284" t="s">
        <v>163</v>
      </c>
    </row>
    <row r="285" spans="9:22" x14ac:dyDescent="0.45">
      <c r="I285" t="s">
        <v>196</v>
      </c>
      <c r="J285" t="s">
        <v>348</v>
      </c>
      <c r="K285">
        <v>0</v>
      </c>
      <c r="L285" t="s">
        <v>163</v>
      </c>
      <c r="N285" t="s">
        <v>227</v>
      </c>
      <c r="O285" t="s">
        <v>348</v>
      </c>
      <c r="P285">
        <v>0.17708416540256408</v>
      </c>
      <c r="Q285" t="s">
        <v>163</v>
      </c>
      <c r="S285" t="s">
        <v>258</v>
      </c>
      <c r="T285" t="s">
        <v>348</v>
      </c>
      <c r="U285">
        <v>0.13076434745360069</v>
      </c>
      <c r="V285" t="s">
        <v>163</v>
      </c>
    </row>
    <row r="286" spans="9:22" x14ac:dyDescent="0.45">
      <c r="I286" t="s">
        <v>196</v>
      </c>
      <c r="J286" t="s">
        <v>349</v>
      </c>
      <c r="K286">
        <v>1.1527701911267485E-2</v>
      </c>
      <c r="L286" t="s">
        <v>163</v>
      </c>
      <c r="N286" t="s">
        <v>227</v>
      </c>
      <c r="O286" t="s">
        <v>349</v>
      </c>
      <c r="P286">
        <v>3.5854648662500176E-2</v>
      </c>
      <c r="Q286" t="s">
        <v>163</v>
      </c>
      <c r="S286" t="s">
        <v>258</v>
      </c>
      <c r="T286" t="s">
        <v>349</v>
      </c>
      <c r="U286">
        <v>2.279756117199511E-2</v>
      </c>
      <c r="V286" t="s">
        <v>163</v>
      </c>
    </row>
    <row r="287" spans="9:22" x14ac:dyDescent="0.45">
      <c r="I287" t="s">
        <v>197</v>
      </c>
      <c r="J287" t="s">
        <v>338</v>
      </c>
      <c r="K287">
        <v>0.20524367078155112</v>
      </c>
      <c r="L287" t="s">
        <v>163</v>
      </c>
      <c r="N287" t="s">
        <v>228</v>
      </c>
      <c r="O287" t="s">
        <v>338</v>
      </c>
      <c r="P287">
        <v>9.5290257390044153E-2</v>
      </c>
      <c r="Q287" t="s">
        <v>163</v>
      </c>
      <c r="S287" t="s">
        <v>259</v>
      </c>
      <c r="T287" t="s">
        <v>338</v>
      </c>
      <c r="U287">
        <v>9.626868113673015E-2</v>
      </c>
      <c r="V287" t="s">
        <v>163</v>
      </c>
    </row>
    <row r="288" spans="9:22" x14ac:dyDescent="0.45">
      <c r="I288" t="s">
        <v>197</v>
      </c>
      <c r="J288" t="s">
        <v>339</v>
      </c>
      <c r="K288">
        <v>0</v>
      </c>
      <c r="L288" t="s">
        <v>163</v>
      </c>
      <c r="N288" t="s">
        <v>228</v>
      </c>
      <c r="O288" t="s">
        <v>339</v>
      </c>
      <c r="P288">
        <v>8.4495506579618282E-2</v>
      </c>
      <c r="Q288" t="s">
        <v>163</v>
      </c>
      <c r="S288" t="s">
        <v>259</v>
      </c>
      <c r="T288" t="s">
        <v>339</v>
      </c>
      <c r="U288">
        <v>0.10613887335483856</v>
      </c>
      <c r="V288" t="s">
        <v>163</v>
      </c>
    </row>
    <row r="289" spans="9:22" x14ac:dyDescent="0.45">
      <c r="I289" t="s">
        <v>197</v>
      </c>
      <c r="J289" t="s">
        <v>340</v>
      </c>
      <c r="K289">
        <v>1.1056569666219283E-2</v>
      </c>
      <c r="L289" t="s">
        <v>163</v>
      </c>
      <c r="N289" t="s">
        <v>228</v>
      </c>
      <c r="O289" t="s">
        <v>340</v>
      </c>
      <c r="P289">
        <v>1.7789784996444843E-2</v>
      </c>
      <c r="Q289" t="s">
        <v>163</v>
      </c>
      <c r="S289" t="s">
        <v>259</v>
      </c>
      <c r="T289" t="s">
        <v>340</v>
      </c>
      <c r="U289">
        <v>1.8379358999669079E-2</v>
      </c>
      <c r="V289" t="s">
        <v>163</v>
      </c>
    </row>
    <row r="290" spans="9:22" x14ac:dyDescent="0.45">
      <c r="I290" t="s">
        <v>197</v>
      </c>
      <c r="J290" t="s">
        <v>341</v>
      </c>
      <c r="K290">
        <v>0.27350019268788595</v>
      </c>
      <c r="L290" t="s">
        <v>163</v>
      </c>
      <c r="N290" t="s">
        <v>228</v>
      </c>
      <c r="O290" t="s">
        <v>341</v>
      </c>
      <c r="P290">
        <v>0.18230230586863369</v>
      </c>
      <c r="Q290" t="s">
        <v>163</v>
      </c>
      <c r="S290" t="s">
        <v>259</v>
      </c>
      <c r="T290" t="s">
        <v>341</v>
      </c>
      <c r="U290">
        <v>0.13145728742147872</v>
      </c>
      <c r="V290" t="s">
        <v>163</v>
      </c>
    </row>
    <row r="291" spans="9:22" x14ac:dyDescent="0.45">
      <c r="I291" t="s">
        <v>197</v>
      </c>
      <c r="J291" t="s">
        <v>342</v>
      </c>
      <c r="K291">
        <v>5.4074634305746562E-4</v>
      </c>
      <c r="L291" t="s">
        <v>163</v>
      </c>
      <c r="N291" t="s">
        <v>228</v>
      </c>
      <c r="O291" t="s">
        <v>342</v>
      </c>
      <c r="P291">
        <v>0.13785023606618452</v>
      </c>
      <c r="Q291" t="s">
        <v>163</v>
      </c>
      <c r="S291" t="s">
        <v>259</v>
      </c>
      <c r="T291" t="s">
        <v>342</v>
      </c>
      <c r="U291">
        <v>0.12561332587206187</v>
      </c>
      <c r="V291" t="s">
        <v>163</v>
      </c>
    </row>
    <row r="292" spans="9:22" x14ac:dyDescent="0.45">
      <c r="I292" t="s">
        <v>197</v>
      </c>
      <c r="J292" t="s">
        <v>343</v>
      </c>
      <c r="K292">
        <v>2.8286685539361988E-2</v>
      </c>
      <c r="L292" t="s">
        <v>163</v>
      </c>
      <c r="N292" t="s">
        <v>228</v>
      </c>
      <c r="O292" t="s">
        <v>343</v>
      </c>
      <c r="P292">
        <v>3.2233456304858785E-2</v>
      </c>
      <c r="Q292" t="s">
        <v>163</v>
      </c>
      <c r="S292" t="s">
        <v>259</v>
      </c>
      <c r="T292" t="s">
        <v>343</v>
      </c>
      <c r="U292">
        <v>2.3728949022734092E-2</v>
      </c>
      <c r="V292" t="s">
        <v>163</v>
      </c>
    </row>
    <row r="293" spans="9:22" x14ac:dyDescent="0.45">
      <c r="I293" t="s">
        <v>197</v>
      </c>
      <c r="J293" t="s">
        <v>344</v>
      </c>
      <c r="K293">
        <v>0.2397548092749357</v>
      </c>
      <c r="L293" t="s">
        <v>163</v>
      </c>
      <c r="N293" t="s">
        <v>228</v>
      </c>
      <c r="O293" t="s">
        <v>344</v>
      </c>
      <c r="P293">
        <v>4.156338702292442E-2</v>
      </c>
      <c r="Q293" t="s">
        <v>163</v>
      </c>
      <c r="S293" t="s">
        <v>259</v>
      </c>
      <c r="T293" t="s">
        <v>344</v>
      </c>
      <c r="U293">
        <v>5.2178906235575286E-2</v>
      </c>
      <c r="V293" t="s">
        <v>163</v>
      </c>
    </row>
    <row r="294" spans="9:22" x14ac:dyDescent="0.45">
      <c r="I294" t="s">
        <v>197</v>
      </c>
      <c r="J294" t="s">
        <v>345</v>
      </c>
      <c r="K294">
        <v>2.5953942651762837E-3</v>
      </c>
      <c r="L294" t="s">
        <v>163</v>
      </c>
      <c r="N294" t="s">
        <v>228</v>
      </c>
      <c r="O294" t="s">
        <v>345</v>
      </c>
      <c r="P294">
        <v>2.7813926715522175E-2</v>
      </c>
      <c r="Q294" t="s">
        <v>163</v>
      </c>
      <c r="S294" t="s">
        <v>259</v>
      </c>
      <c r="T294" t="s">
        <v>345</v>
      </c>
      <c r="U294">
        <v>5.7639261865837559E-2</v>
      </c>
      <c r="V294" t="s">
        <v>163</v>
      </c>
    </row>
    <row r="295" spans="9:22" x14ac:dyDescent="0.45">
      <c r="I295" t="s">
        <v>197</v>
      </c>
      <c r="J295" t="s">
        <v>346</v>
      </c>
      <c r="K295">
        <v>2.5449113438653578E-2</v>
      </c>
      <c r="L295" t="s">
        <v>163</v>
      </c>
      <c r="N295" t="s">
        <v>228</v>
      </c>
      <c r="O295" t="s">
        <v>346</v>
      </c>
      <c r="P295">
        <v>7.3976012143334756E-3</v>
      </c>
      <c r="Q295" t="s">
        <v>163</v>
      </c>
      <c r="S295" t="s">
        <v>259</v>
      </c>
      <c r="T295" t="s">
        <v>346</v>
      </c>
      <c r="U295">
        <v>9.8268674584402263E-3</v>
      </c>
      <c r="V295" t="s">
        <v>163</v>
      </c>
    </row>
    <row r="296" spans="9:22" x14ac:dyDescent="0.45">
      <c r="I296" t="s">
        <v>197</v>
      </c>
      <c r="J296" t="s">
        <v>347</v>
      </c>
      <c r="K296">
        <v>0.20434367480117263</v>
      </c>
      <c r="L296" t="s">
        <v>163</v>
      </c>
      <c r="N296" t="s">
        <v>228</v>
      </c>
      <c r="O296" t="s">
        <v>347</v>
      </c>
      <c r="P296">
        <v>0.19550278269708909</v>
      </c>
      <c r="Q296" t="s">
        <v>163</v>
      </c>
      <c r="S296" t="s">
        <v>259</v>
      </c>
      <c r="T296" t="s">
        <v>347</v>
      </c>
      <c r="U296">
        <v>0.16831998426322561</v>
      </c>
      <c r="V296" t="s">
        <v>163</v>
      </c>
    </row>
    <row r="297" spans="9:22" x14ac:dyDescent="0.45">
      <c r="I297" t="s">
        <v>197</v>
      </c>
      <c r="J297" t="s">
        <v>348</v>
      </c>
      <c r="K297">
        <v>0</v>
      </c>
      <c r="L297" t="s">
        <v>163</v>
      </c>
      <c r="N297" t="s">
        <v>228</v>
      </c>
      <c r="O297" t="s">
        <v>348</v>
      </c>
      <c r="P297">
        <v>0.14588428938437789</v>
      </c>
      <c r="Q297" t="s">
        <v>163</v>
      </c>
      <c r="S297" t="s">
        <v>259</v>
      </c>
      <c r="T297" t="s">
        <v>348</v>
      </c>
      <c r="U297">
        <v>0.17909337266320471</v>
      </c>
      <c r="V297" t="s">
        <v>163</v>
      </c>
    </row>
    <row r="298" spans="9:22" x14ac:dyDescent="0.45">
      <c r="I298" t="s">
        <v>197</v>
      </c>
      <c r="J298" t="s">
        <v>349</v>
      </c>
      <c r="K298">
        <v>9.2291432019876666E-3</v>
      </c>
      <c r="L298" t="s">
        <v>163</v>
      </c>
      <c r="N298" t="s">
        <v>228</v>
      </c>
      <c r="O298" t="s">
        <v>349</v>
      </c>
      <c r="P298">
        <v>3.1876465759970503E-2</v>
      </c>
      <c r="Q298" t="s">
        <v>163</v>
      </c>
      <c r="S298" t="s">
        <v>259</v>
      </c>
      <c r="T298" t="s">
        <v>349</v>
      </c>
      <c r="U298">
        <v>3.1355131706201807E-2</v>
      </c>
      <c r="V298" t="s">
        <v>163</v>
      </c>
    </row>
    <row r="299" spans="9:22" x14ac:dyDescent="0.45">
      <c r="I299" t="s">
        <v>198</v>
      </c>
      <c r="J299" t="s">
        <v>338</v>
      </c>
      <c r="K299">
        <v>0.19725499725356094</v>
      </c>
      <c r="L299" t="s">
        <v>163</v>
      </c>
      <c r="N299" t="s">
        <v>229</v>
      </c>
      <c r="O299" t="s">
        <v>338</v>
      </c>
      <c r="P299">
        <v>0.11477199472983492</v>
      </c>
      <c r="Q299" t="s">
        <v>163</v>
      </c>
      <c r="S299" t="s">
        <v>260</v>
      </c>
      <c r="T299" t="s">
        <v>338</v>
      </c>
      <c r="U299">
        <v>9.8756587098850629E-2</v>
      </c>
      <c r="V299" t="s">
        <v>163</v>
      </c>
    </row>
    <row r="300" spans="9:22" x14ac:dyDescent="0.45">
      <c r="I300" t="s">
        <v>198</v>
      </c>
      <c r="J300" t="s">
        <v>339</v>
      </c>
      <c r="K300">
        <v>0</v>
      </c>
      <c r="L300" t="s">
        <v>163</v>
      </c>
      <c r="N300" t="s">
        <v>229</v>
      </c>
      <c r="O300" t="s">
        <v>339</v>
      </c>
      <c r="P300">
        <v>0.11210990434934671</v>
      </c>
      <c r="Q300" t="s">
        <v>163</v>
      </c>
      <c r="S300" t="s">
        <v>260</v>
      </c>
      <c r="T300" t="s">
        <v>339</v>
      </c>
      <c r="U300">
        <v>0.10436212042882517</v>
      </c>
      <c r="V300" t="s">
        <v>163</v>
      </c>
    </row>
    <row r="301" spans="9:22" x14ac:dyDescent="0.45">
      <c r="I301" t="s">
        <v>198</v>
      </c>
      <c r="J301" t="s">
        <v>340</v>
      </c>
      <c r="K301">
        <v>8.5048754320460277E-3</v>
      </c>
      <c r="L301" t="s">
        <v>163</v>
      </c>
      <c r="N301" t="s">
        <v>229</v>
      </c>
      <c r="O301" t="s">
        <v>340</v>
      </c>
      <c r="P301">
        <v>2.2361713448609967E-2</v>
      </c>
      <c r="Q301" t="s">
        <v>163</v>
      </c>
      <c r="S301" t="s">
        <v>260</v>
      </c>
      <c r="T301" t="s">
        <v>340</v>
      </c>
      <c r="U301">
        <v>1.9622197456735657E-2</v>
      </c>
      <c r="V301" t="s">
        <v>163</v>
      </c>
    </row>
    <row r="302" spans="9:22" x14ac:dyDescent="0.45">
      <c r="I302" t="s">
        <v>198</v>
      </c>
      <c r="J302" t="s">
        <v>341</v>
      </c>
      <c r="K302">
        <v>0.27949881534512699</v>
      </c>
      <c r="L302" t="s">
        <v>163</v>
      </c>
      <c r="N302" t="s">
        <v>229</v>
      </c>
      <c r="O302" t="s">
        <v>341</v>
      </c>
      <c r="P302">
        <v>0.14662747698678069</v>
      </c>
      <c r="Q302" t="s">
        <v>163</v>
      </c>
      <c r="S302" t="s">
        <v>260</v>
      </c>
      <c r="T302" t="s">
        <v>341</v>
      </c>
      <c r="U302">
        <v>0.12049937089064608</v>
      </c>
      <c r="V302" t="s">
        <v>163</v>
      </c>
    </row>
    <row r="303" spans="9:22" x14ac:dyDescent="0.45">
      <c r="I303" t="s">
        <v>198</v>
      </c>
      <c r="J303" t="s">
        <v>342</v>
      </c>
      <c r="K303">
        <v>5.6576883419100221E-4</v>
      </c>
      <c r="L303" t="s">
        <v>163</v>
      </c>
      <c r="N303" t="s">
        <v>229</v>
      </c>
      <c r="O303" t="s">
        <v>342</v>
      </c>
      <c r="P303">
        <v>0.13335169443345629</v>
      </c>
      <c r="Q303" t="s">
        <v>163</v>
      </c>
      <c r="S303" t="s">
        <v>260</v>
      </c>
      <c r="T303" t="s">
        <v>342</v>
      </c>
      <c r="U303">
        <v>0.1065229725539691</v>
      </c>
      <c r="V303" t="s">
        <v>163</v>
      </c>
    </row>
    <row r="304" spans="9:22" x14ac:dyDescent="0.45">
      <c r="I304" t="s">
        <v>198</v>
      </c>
      <c r="J304" t="s">
        <v>343</v>
      </c>
      <c r="K304">
        <v>2.7643043214921184E-2</v>
      </c>
      <c r="L304" t="s">
        <v>163</v>
      </c>
      <c r="N304" t="s">
        <v>229</v>
      </c>
      <c r="O304" t="s">
        <v>343</v>
      </c>
      <c r="P304">
        <v>2.7236154388480358E-2</v>
      </c>
      <c r="Q304" t="s">
        <v>163</v>
      </c>
      <c r="S304" t="s">
        <v>260</v>
      </c>
      <c r="T304" t="s">
        <v>343</v>
      </c>
      <c r="U304">
        <v>2.2109518296586972E-2</v>
      </c>
      <c r="V304" t="s">
        <v>163</v>
      </c>
    </row>
    <row r="305" spans="9:22" x14ac:dyDescent="0.45">
      <c r="I305" t="s">
        <v>198</v>
      </c>
      <c r="J305" t="s">
        <v>344</v>
      </c>
      <c r="K305">
        <v>0.24164477994318304</v>
      </c>
      <c r="L305" t="s">
        <v>163</v>
      </c>
      <c r="N305" t="s">
        <v>229</v>
      </c>
      <c r="O305" t="s">
        <v>344</v>
      </c>
      <c r="P305">
        <v>5.2781501131906029E-2</v>
      </c>
      <c r="Q305" t="s">
        <v>163</v>
      </c>
      <c r="S305" t="s">
        <v>260</v>
      </c>
      <c r="T305" t="s">
        <v>344</v>
      </c>
      <c r="U305">
        <v>5.9521683334823959E-2</v>
      </c>
      <c r="V305" t="s">
        <v>163</v>
      </c>
    </row>
    <row r="306" spans="9:22" x14ac:dyDescent="0.45">
      <c r="I306" t="s">
        <v>198</v>
      </c>
      <c r="J306" t="s">
        <v>345</v>
      </c>
      <c r="K306">
        <v>2.3227779636760572E-3</v>
      </c>
      <c r="L306" t="s">
        <v>163</v>
      </c>
      <c r="N306" t="s">
        <v>229</v>
      </c>
      <c r="O306" t="s">
        <v>345</v>
      </c>
      <c r="P306">
        <v>5.3249727888814831E-2</v>
      </c>
      <c r="Q306" t="s">
        <v>163</v>
      </c>
      <c r="S306" t="s">
        <v>260</v>
      </c>
      <c r="T306" t="s">
        <v>345</v>
      </c>
      <c r="U306">
        <v>5.5256833681986216E-2</v>
      </c>
      <c r="V306" t="s">
        <v>163</v>
      </c>
    </row>
    <row r="307" spans="9:22" x14ac:dyDescent="0.45">
      <c r="I307" t="s">
        <v>198</v>
      </c>
      <c r="J307" t="s">
        <v>346</v>
      </c>
      <c r="K307">
        <v>2.3324953495080691E-2</v>
      </c>
      <c r="L307" t="s">
        <v>163</v>
      </c>
      <c r="N307" t="s">
        <v>229</v>
      </c>
      <c r="O307" t="s">
        <v>346</v>
      </c>
      <c r="P307">
        <v>9.9667031761849073E-3</v>
      </c>
      <c r="Q307" t="s">
        <v>163</v>
      </c>
      <c r="S307" t="s">
        <v>260</v>
      </c>
      <c r="T307" t="s">
        <v>346</v>
      </c>
      <c r="U307">
        <v>1.1595550718952866E-2</v>
      </c>
      <c r="V307" t="s">
        <v>163</v>
      </c>
    </row>
    <row r="308" spans="9:22" x14ac:dyDescent="0.45">
      <c r="I308" t="s">
        <v>198</v>
      </c>
      <c r="J308" t="s">
        <v>347</v>
      </c>
      <c r="K308">
        <v>0.21111040758710156</v>
      </c>
      <c r="L308" t="s">
        <v>163</v>
      </c>
      <c r="N308" t="s">
        <v>229</v>
      </c>
      <c r="O308" t="s">
        <v>347</v>
      </c>
      <c r="P308">
        <v>0.15017519331360671</v>
      </c>
      <c r="Q308" t="s">
        <v>163</v>
      </c>
      <c r="S308" t="s">
        <v>260</v>
      </c>
      <c r="T308" t="s">
        <v>347</v>
      </c>
      <c r="U308">
        <v>0.17679160490584492</v>
      </c>
      <c r="V308" t="s">
        <v>163</v>
      </c>
    </row>
    <row r="309" spans="9:22" x14ac:dyDescent="0.45">
      <c r="I309" t="s">
        <v>198</v>
      </c>
      <c r="J309" t="s">
        <v>348</v>
      </c>
      <c r="K309">
        <v>0</v>
      </c>
      <c r="L309" t="s">
        <v>163</v>
      </c>
      <c r="N309" t="s">
        <v>229</v>
      </c>
      <c r="O309" t="s">
        <v>348</v>
      </c>
      <c r="P309">
        <v>0.14885750284862431</v>
      </c>
      <c r="Q309" t="s">
        <v>163</v>
      </c>
      <c r="S309" t="s">
        <v>260</v>
      </c>
      <c r="T309" t="s">
        <v>348</v>
      </c>
      <c r="U309">
        <v>0.19142195295831604</v>
      </c>
      <c r="V309" t="s">
        <v>163</v>
      </c>
    </row>
    <row r="310" spans="9:22" x14ac:dyDescent="0.45">
      <c r="I310" t="s">
        <v>198</v>
      </c>
      <c r="J310" t="s">
        <v>349</v>
      </c>
      <c r="K310">
        <v>8.1295809311115672E-3</v>
      </c>
      <c r="L310" t="s">
        <v>163</v>
      </c>
      <c r="N310" t="s">
        <v>229</v>
      </c>
      <c r="O310" t="s">
        <v>349</v>
      </c>
      <c r="P310">
        <v>2.8510433304353093E-2</v>
      </c>
      <c r="Q310" t="s">
        <v>163</v>
      </c>
      <c r="S310" t="s">
        <v>260</v>
      </c>
      <c r="T310" t="s">
        <v>349</v>
      </c>
      <c r="U310">
        <v>3.3539607674465219E-2</v>
      </c>
      <c r="V310" t="s">
        <v>163</v>
      </c>
    </row>
    <row r="311" spans="9:22" x14ac:dyDescent="0.45">
      <c r="I311" t="s">
        <v>199</v>
      </c>
      <c r="J311" t="s">
        <v>338</v>
      </c>
      <c r="K311">
        <v>0.19299851062541812</v>
      </c>
      <c r="L311" t="s">
        <v>163</v>
      </c>
      <c r="N311" t="s">
        <v>230</v>
      </c>
      <c r="O311" t="s">
        <v>338</v>
      </c>
      <c r="P311">
        <v>0.10568824187102702</v>
      </c>
      <c r="Q311" t="s">
        <v>163</v>
      </c>
      <c r="S311" t="s">
        <v>261</v>
      </c>
      <c r="T311" t="s">
        <v>338</v>
      </c>
      <c r="U311">
        <v>0.10341861498736662</v>
      </c>
      <c r="V311" t="s">
        <v>163</v>
      </c>
    </row>
    <row r="312" spans="9:22" x14ac:dyDescent="0.45">
      <c r="I312" t="s">
        <v>199</v>
      </c>
      <c r="J312" t="s">
        <v>339</v>
      </c>
      <c r="K312">
        <v>0</v>
      </c>
      <c r="L312" t="s">
        <v>163</v>
      </c>
      <c r="N312" t="s">
        <v>230</v>
      </c>
      <c r="O312" t="s">
        <v>339</v>
      </c>
      <c r="P312">
        <v>0.11206461485503877</v>
      </c>
      <c r="Q312" t="s">
        <v>163</v>
      </c>
      <c r="S312" t="s">
        <v>261</v>
      </c>
      <c r="T312" t="s">
        <v>339</v>
      </c>
      <c r="U312">
        <v>9.9670222174395778E-2</v>
      </c>
      <c r="V312" t="s">
        <v>163</v>
      </c>
    </row>
    <row r="313" spans="9:22" x14ac:dyDescent="0.45">
      <c r="I313" t="s">
        <v>199</v>
      </c>
      <c r="J313" t="s">
        <v>340</v>
      </c>
      <c r="K313">
        <v>9.8348488072019218E-3</v>
      </c>
      <c r="L313" t="s">
        <v>163</v>
      </c>
      <c r="N313" t="s">
        <v>230</v>
      </c>
      <c r="O313" t="s">
        <v>340</v>
      </c>
      <c r="P313">
        <v>2.0766827578600103E-2</v>
      </c>
      <c r="Q313" t="s">
        <v>163</v>
      </c>
      <c r="S313" t="s">
        <v>261</v>
      </c>
      <c r="T313" t="s">
        <v>340</v>
      </c>
      <c r="U313">
        <v>2.0320897670294415E-2</v>
      </c>
      <c r="V313" t="s">
        <v>163</v>
      </c>
    </row>
    <row r="314" spans="9:22" x14ac:dyDescent="0.45">
      <c r="I314" t="s">
        <v>199</v>
      </c>
      <c r="J314" t="s">
        <v>341</v>
      </c>
      <c r="K314">
        <v>0.29109210486216425</v>
      </c>
      <c r="L314" t="s">
        <v>163</v>
      </c>
      <c r="N314" t="s">
        <v>230</v>
      </c>
      <c r="O314" t="s">
        <v>341</v>
      </c>
      <c r="P314">
        <v>0.12855987001775901</v>
      </c>
      <c r="Q314" t="s">
        <v>163</v>
      </c>
      <c r="S314" t="s">
        <v>261</v>
      </c>
      <c r="T314" t="s">
        <v>341</v>
      </c>
      <c r="U314">
        <v>0.12540432067299981</v>
      </c>
      <c r="V314" t="s">
        <v>163</v>
      </c>
    </row>
    <row r="315" spans="9:22" x14ac:dyDescent="0.45">
      <c r="I315" t="s">
        <v>199</v>
      </c>
      <c r="J315" t="s">
        <v>342</v>
      </c>
      <c r="K315">
        <v>1.0084264866134294E-3</v>
      </c>
      <c r="L315" t="s">
        <v>163</v>
      </c>
      <c r="N315" t="s">
        <v>230</v>
      </c>
      <c r="O315" t="s">
        <v>342</v>
      </c>
      <c r="P315">
        <v>0.13171060261445194</v>
      </c>
      <c r="Q315" t="s">
        <v>163</v>
      </c>
      <c r="S315" t="s">
        <v>261</v>
      </c>
      <c r="T315" t="s">
        <v>342</v>
      </c>
      <c r="U315">
        <v>0.11288890096594514</v>
      </c>
      <c r="V315" t="s">
        <v>163</v>
      </c>
    </row>
    <row r="316" spans="9:22" x14ac:dyDescent="0.45">
      <c r="I316" t="s">
        <v>199</v>
      </c>
      <c r="J316" t="s">
        <v>343</v>
      </c>
      <c r="K316">
        <v>2.9877003074888744E-2</v>
      </c>
      <c r="L316" t="s">
        <v>163</v>
      </c>
      <c r="N316" t="s">
        <v>230</v>
      </c>
      <c r="O316" t="s">
        <v>343</v>
      </c>
      <c r="P316">
        <v>2.4964977972681067E-2</v>
      </c>
      <c r="Q316" t="s">
        <v>163</v>
      </c>
      <c r="S316" t="s">
        <v>261</v>
      </c>
      <c r="T316" t="s">
        <v>343</v>
      </c>
      <c r="U316">
        <v>2.2571327679731787E-2</v>
      </c>
      <c r="V316" t="s">
        <v>163</v>
      </c>
    </row>
    <row r="317" spans="9:22" x14ac:dyDescent="0.45">
      <c r="I317" t="s">
        <v>199</v>
      </c>
      <c r="J317" t="s">
        <v>344</v>
      </c>
      <c r="K317">
        <v>0.22832484877775891</v>
      </c>
      <c r="L317" t="s">
        <v>163</v>
      </c>
      <c r="N317" t="s">
        <v>230</v>
      </c>
      <c r="O317" t="s">
        <v>344</v>
      </c>
      <c r="P317">
        <v>6.9225253099728448E-2</v>
      </c>
      <c r="Q317" t="s">
        <v>163</v>
      </c>
      <c r="S317" t="s">
        <v>261</v>
      </c>
      <c r="T317" t="s">
        <v>344</v>
      </c>
      <c r="U317">
        <v>8.061251711367845E-2</v>
      </c>
      <c r="V317" t="s">
        <v>163</v>
      </c>
    </row>
    <row r="318" spans="9:22" x14ac:dyDescent="0.45">
      <c r="I318" t="s">
        <v>199</v>
      </c>
      <c r="J318" t="s">
        <v>345</v>
      </c>
      <c r="K318">
        <v>2.906499700483036E-3</v>
      </c>
      <c r="L318" t="s">
        <v>163</v>
      </c>
      <c r="N318" t="s">
        <v>230</v>
      </c>
      <c r="O318" t="s">
        <v>345</v>
      </c>
      <c r="P318">
        <v>7.2269444194378141E-2</v>
      </c>
      <c r="Q318" t="s">
        <v>163</v>
      </c>
      <c r="S318" t="s">
        <v>261</v>
      </c>
      <c r="T318" t="s">
        <v>345</v>
      </c>
      <c r="U318">
        <v>7.236218019247817E-2</v>
      </c>
      <c r="V318" t="s">
        <v>163</v>
      </c>
    </row>
    <row r="319" spans="9:22" x14ac:dyDescent="0.45">
      <c r="I319" t="s">
        <v>199</v>
      </c>
      <c r="J319" t="s">
        <v>346</v>
      </c>
      <c r="K319">
        <v>2.364386777499598E-2</v>
      </c>
      <c r="L319" t="s">
        <v>163</v>
      </c>
      <c r="N319" t="s">
        <v>230</v>
      </c>
      <c r="O319" t="s">
        <v>346</v>
      </c>
      <c r="P319">
        <v>1.4095877067192295E-2</v>
      </c>
      <c r="Q319" t="s">
        <v>163</v>
      </c>
      <c r="S319" t="s">
        <v>261</v>
      </c>
      <c r="T319" t="s">
        <v>346</v>
      </c>
      <c r="U319">
        <v>1.4678982125360859E-2</v>
      </c>
      <c r="V319" t="s">
        <v>163</v>
      </c>
    </row>
    <row r="320" spans="9:22" x14ac:dyDescent="0.45">
      <c r="I320" t="s">
        <v>199</v>
      </c>
      <c r="J320" t="s">
        <v>347</v>
      </c>
      <c r="K320">
        <v>0.2115161485667269</v>
      </c>
      <c r="L320" t="s">
        <v>163</v>
      </c>
      <c r="N320" t="s">
        <v>230</v>
      </c>
      <c r="O320" t="s">
        <v>347</v>
      </c>
      <c r="P320">
        <v>0.14442692960611309</v>
      </c>
      <c r="Q320" t="s">
        <v>163</v>
      </c>
      <c r="S320" t="s">
        <v>261</v>
      </c>
      <c r="T320" t="s">
        <v>347</v>
      </c>
      <c r="U320">
        <v>0.15292620973699958</v>
      </c>
      <c r="V320" t="s">
        <v>163</v>
      </c>
    </row>
    <row r="321" spans="9:22" x14ac:dyDescent="0.45">
      <c r="I321" t="s">
        <v>199</v>
      </c>
      <c r="J321" t="s">
        <v>348</v>
      </c>
      <c r="K321">
        <v>0</v>
      </c>
      <c r="L321" t="s">
        <v>163</v>
      </c>
      <c r="N321" t="s">
        <v>230</v>
      </c>
      <c r="O321" t="s">
        <v>348</v>
      </c>
      <c r="P321">
        <v>0.14828317506932406</v>
      </c>
      <c r="Q321" t="s">
        <v>163</v>
      </c>
      <c r="S321" t="s">
        <v>261</v>
      </c>
      <c r="T321" t="s">
        <v>348</v>
      </c>
      <c r="U321">
        <v>0.16501658628777463</v>
      </c>
      <c r="V321" t="s">
        <v>163</v>
      </c>
    </row>
    <row r="322" spans="9:22" x14ac:dyDescent="0.45">
      <c r="I322" t="s">
        <v>199</v>
      </c>
      <c r="J322" t="s">
        <v>349</v>
      </c>
      <c r="K322">
        <v>8.7977413237495614E-3</v>
      </c>
      <c r="L322" t="s">
        <v>163</v>
      </c>
      <c r="N322" t="s">
        <v>230</v>
      </c>
      <c r="O322" t="s">
        <v>349</v>
      </c>
      <c r="P322">
        <v>2.7944186053707912E-2</v>
      </c>
      <c r="Q322" t="s">
        <v>163</v>
      </c>
      <c r="S322" t="s">
        <v>261</v>
      </c>
      <c r="T322" t="s">
        <v>349</v>
      </c>
      <c r="U322">
        <v>3.0129240392976205E-2</v>
      </c>
      <c r="V322" t="s">
        <v>163</v>
      </c>
    </row>
    <row r="323" spans="9:22" x14ac:dyDescent="0.45">
      <c r="I323" t="s">
        <v>200</v>
      </c>
      <c r="J323" t="s">
        <v>338</v>
      </c>
      <c r="K323">
        <v>0.19749027301288713</v>
      </c>
      <c r="L323" t="s">
        <v>163</v>
      </c>
      <c r="N323" t="s">
        <v>231</v>
      </c>
      <c r="O323" t="s">
        <v>338</v>
      </c>
      <c r="P323">
        <v>9.8300345038745907E-2</v>
      </c>
      <c r="Q323" t="s">
        <v>163</v>
      </c>
      <c r="S323" t="s">
        <v>262</v>
      </c>
      <c r="T323" t="s">
        <v>338</v>
      </c>
      <c r="U323">
        <v>9.9085342981025462E-2</v>
      </c>
      <c r="V323" t="s">
        <v>163</v>
      </c>
    </row>
    <row r="324" spans="9:22" x14ac:dyDescent="0.45">
      <c r="I324" t="s">
        <v>200</v>
      </c>
      <c r="J324" t="s">
        <v>339</v>
      </c>
      <c r="K324">
        <v>0</v>
      </c>
      <c r="L324" t="s">
        <v>163</v>
      </c>
      <c r="N324" t="s">
        <v>231</v>
      </c>
      <c r="O324" t="s">
        <v>339</v>
      </c>
      <c r="P324">
        <v>0.10684927069660727</v>
      </c>
      <c r="Q324" t="s">
        <v>163</v>
      </c>
      <c r="S324" t="s">
        <v>262</v>
      </c>
      <c r="T324" t="s">
        <v>339</v>
      </c>
      <c r="U324">
        <v>9.9848275873855127E-2</v>
      </c>
      <c r="V324" t="s">
        <v>163</v>
      </c>
    </row>
    <row r="325" spans="9:22" x14ac:dyDescent="0.45">
      <c r="I325" t="s">
        <v>200</v>
      </c>
      <c r="J325" t="s">
        <v>340</v>
      </c>
      <c r="K325">
        <v>7.4829560281682757E-3</v>
      </c>
      <c r="L325" t="s">
        <v>163</v>
      </c>
      <c r="N325" t="s">
        <v>231</v>
      </c>
      <c r="O325" t="s">
        <v>340</v>
      </c>
      <c r="P325">
        <v>1.9569714225663157E-2</v>
      </c>
      <c r="Q325" t="s">
        <v>163</v>
      </c>
      <c r="S325" t="s">
        <v>262</v>
      </c>
      <c r="T325" t="s">
        <v>340</v>
      </c>
      <c r="U325">
        <v>1.8759059051055873E-2</v>
      </c>
      <c r="V325" t="s">
        <v>163</v>
      </c>
    </row>
    <row r="326" spans="9:22" x14ac:dyDescent="0.45">
      <c r="I326" t="s">
        <v>200</v>
      </c>
      <c r="J326" t="s">
        <v>341</v>
      </c>
      <c r="K326">
        <v>0.29426060736765608</v>
      </c>
      <c r="L326" t="s">
        <v>163</v>
      </c>
      <c r="N326" t="s">
        <v>231</v>
      </c>
      <c r="O326" t="s">
        <v>341</v>
      </c>
      <c r="P326">
        <v>0.14044648728041176</v>
      </c>
      <c r="Q326" t="s">
        <v>163</v>
      </c>
      <c r="S326" t="s">
        <v>262</v>
      </c>
      <c r="T326" t="s">
        <v>341</v>
      </c>
      <c r="U326">
        <v>0.13344030737585513</v>
      </c>
      <c r="V326" t="s">
        <v>163</v>
      </c>
    </row>
    <row r="327" spans="9:22" x14ac:dyDescent="0.45">
      <c r="I327" t="s">
        <v>200</v>
      </c>
      <c r="J327" t="s">
        <v>342</v>
      </c>
      <c r="K327">
        <v>1.4638391625957578E-3</v>
      </c>
      <c r="L327" t="s">
        <v>163</v>
      </c>
      <c r="N327" t="s">
        <v>231</v>
      </c>
      <c r="O327" t="s">
        <v>342</v>
      </c>
      <c r="P327">
        <v>0.13297455663607266</v>
      </c>
      <c r="Q327" t="s">
        <v>163</v>
      </c>
      <c r="S327" t="s">
        <v>262</v>
      </c>
      <c r="T327" t="s">
        <v>342</v>
      </c>
      <c r="U327">
        <v>0.12464016819108653</v>
      </c>
      <c r="V327" t="s">
        <v>163</v>
      </c>
    </row>
    <row r="328" spans="9:22" x14ac:dyDescent="0.45">
      <c r="I328" t="s">
        <v>200</v>
      </c>
      <c r="J328" t="s">
        <v>343</v>
      </c>
      <c r="K328">
        <v>2.7051703643195563E-2</v>
      </c>
      <c r="L328" t="s">
        <v>163</v>
      </c>
      <c r="N328" t="s">
        <v>231</v>
      </c>
      <c r="O328" t="s">
        <v>343</v>
      </c>
      <c r="P328">
        <v>2.6065249787936073E-2</v>
      </c>
      <c r="Q328" t="s">
        <v>163</v>
      </c>
      <c r="S328" t="s">
        <v>262</v>
      </c>
      <c r="T328" t="s">
        <v>343</v>
      </c>
      <c r="U328">
        <v>2.4254146062078711E-2</v>
      </c>
      <c r="V328" t="s">
        <v>163</v>
      </c>
    </row>
    <row r="329" spans="9:22" x14ac:dyDescent="0.45">
      <c r="I329" t="s">
        <v>200</v>
      </c>
      <c r="J329" t="s">
        <v>344</v>
      </c>
      <c r="K329">
        <v>0.23852295643164748</v>
      </c>
      <c r="L329" t="s">
        <v>163</v>
      </c>
      <c r="N329" t="s">
        <v>231</v>
      </c>
      <c r="O329" t="s">
        <v>344</v>
      </c>
      <c r="P329">
        <v>5.33933051949061E-2</v>
      </c>
      <c r="Q329" t="s">
        <v>163</v>
      </c>
      <c r="S329" t="s">
        <v>262</v>
      </c>
      <c r="T329" t="s">
        <v>344</v>
      </c>
      <c r="U329">
        <v>6.8711620015682498E-2</v>
      </c>
      <c r="V329" t="s">
        <v>163</v>
      </c>
    </row>
    <row r="330" spans="9:22" x14ac:dyDescent="0.45">
      <c r="I330" t="s">
        <v>200</v>
      </c>
      <c r="J330" t="s">
        <v>345</v>
      </c>
      <c r="K330">
        <v>3.7252824227937396E-3</v>
      </c>
      <c r="L330" t="s">
        <v>163</v>
      </c>
      <c r="N330" t="s">
        <v>231</v>
      </c>
      <c r="O330" t="s">
        <v>345</v>
      </c>
      <c r="P330">
        <v>5.1708770437148631E-2</v>
      </c>
      <c r="Q330" t="s">
        <v>163</v>
      </c>
      <c r="S330" t="s">
        <v>262</v>
      </c>
      <c r="T330" t="s">
        <v>345</v>
      </c>
      <c r="U330">
        <v>6.5237308017469589E-2</v>
      </c>
      <c r="V330" t="s">
        <v>163</v>
      </c>
    </row>
    <row r="331" spans="9:22" x14ac:dyDescent="0.45">
      <c r="I331" t="s">
        <v>200</v>
      </c>
      <c r="J331" t="s">
        <v>346</v>
      </c>
      <c r="K331">
        <v>2.3202116819125148E-2</v>
      </c>
      <c r="L331" t="s">
        <v>163</v>
      </c>
      <c r="N331" t="s">
        <v>231</v>
      </c>
      <c r="O331" t="s">
        <v>346</v>
      </c>
      <c r="P331">
        <v>1.059683991496114E-2</v>
      </c>
      <c r="Q331" t="s">
        <v>163</v>
      </c>
      <c r="S331" t="s">
        <v>262</v>
      </c>
      <c r="T331" t="s">
        <v>346</v>
      </c>
      <c r="U331">
        <v>1.2842298008828464E-2</v>
      </c>
      <c r="V331" t="s">
        <v>163</v>
      </c>
    </row>
    <row r="332" spans="9:22" x14ac:dyDescent="0.45">
      <c r="I332" t="s">
        <v>200</v>
      </c>
      <c r="J332" t="s">
        <v>347</v>
      </c>
      <c r="K332">
        <v>0.20098630073788659</v>
      </c>
      <c r="L332" t="s">
        <v>163</v>
      </c>
      <c r="N332" t="s">
        <v>231</v>
      </c>
      <c r="O332" t="s">
        <v>347</v>
      </c>
      <c r="P332">
        <v>0.16909415858242852</v>
      </c>
      <c r="Q332" t="s">
        <v>163</v>
      </c>
      <c r="S332" t="s">
        <v>262</v>
      </c>
      <c r="T332" t="s">
        <v>347</v>
      </c>
      <c r="U332">
        <v>0.15551546348131662</v>
      </c>
      <c r="V332" t="s">
        <v>163</v>
      </c>
    </row>
    <row r="333" spans="9:22" x14ac:dyDescent="0.45">
      <c r="I333" t="s">
        <v>200</v>
      </c>
      <c r="J333" t="s">
        <v>348</v>
      </c>
      <c r="K333">
        <v>0</v>
      </c>
      <c r="L333" t="s">
        <v>163</v>
      </c>
      <c r="N333" t="s">
        <v>231</v>
      </c>
      <c r="O333" t="s">
        <v>348</v>
      </c>
      <c r="P333">
        <v>0.15998746287668553</v>
      </c>
      <c r="Q333" t="s">
        <v>163</v>
      </c>
      <c r="S333" t="s">
        <v>262</v>
      </c>
      <c r="T333" t="s">
        <v>348</v>
      </c>
      <c r="U333">
        <v>0.16894809278993003</v>
      </c>
      <c r="V333" t="s">
        <v>163</v>
      </c>
    </row>
    <row r="334" spans="9:22" x14ac:dyDescent="0.45">
      <c r="I334" t="s">
        <v>200</v>
      </c>
      <c r="J334" t="s">
        <v>349</v>
      </c>
      <c r="K334">
        <v>5.8139643740446369E-3</v>
      </c>
      <c r="L334" t="s">
        <v>163</v>
      </c>
      <c r="N334" t="s">
        <v>231</v>
      </c>
      <c r="O334" t="s">
        <v>349</v>
      </c>
      <c r="P334">
        <v>3.1013839328436536E-2</v>
      </c>
      <c r="Q334" t="s">
        <v>163</v>
      </c>
      <c r="S334" t="s">
        <v>262</v>
      </c>
      <c r="T334" t="s">
        <v>349</v>
      </c>
      <c r="U334">
        <v>2.8717918151816086E-2</v>
      </c>
      <c r="V334" t="s">
        <v>163</v>
      </c>
    </row>
    <row r="335" spans="9:22" x14ac:dyDescent="0.45">
      <c r="I335" t="s">
        <v>201</v>
      </c>
      <c r="J335" t="s">
        <v>338</v>
      </c>
      <c r="K335">
        <v>0.19602701984708235</v>
      </c>
      <c r="L335" t="s">
        <v>163</v>
      </c>
      <c r="N335" t="s">
        <v>232</v>
      </c>
      <c r="O335" t="s">
        <v>338</v>
      </c>
      <c r="P335">
        <v>0.13294050218511272</v>
      </c>
      <c r="Q335" t="s">
        <v>163</v>
      </c>
      <c r="S335" t="s">
        <v>263</v>
      </c>
      <c r="T335" t="s">
        <v>338</v>
      </c>
      <c r="U335">
        <v>0.11287839374321049</v>
      </c>
      <c r="V335" t="s">
        <v>163</v>
      </c>
    </row>
    <row r="336" spans="9:22" x14ac:dyDescent="0.45">
      <c r="I336" t="s">
        <v>201</v>
      </c>
      <c r="J336" t="s">
        <v>339</v>
      </c>
      <c r="K336">
        <v>0</v>
      </c>
      <c r="L336" t="s">
        <v>163</v>
      </c>
      <c r="N336" t="s">
        <v>232</v>
      </c>
      <c r="O336" t="s">
        <v>339</v>
      </c>
      <c r="P336">
        <v>0.11172696141603125</v>
      </c>
      <c r="Q336" t="s">
        <v>163</v>
      </c>
      <c r="S336" t="s">
        <v>263</v>
      </c>
      <c r="T336" t="s">
        <v>339</v>
      </c>
      <c r="U336">
        <v>0.12214921738544002</v>
      </c>
      <c r="V336" t="s">
        <v>163</v>
      </c>
    </row>
    <row r="337" spans="9:22" x14ac:dyDescent="0.45">
      <c r="I337" t="s">
        <v>201</v>
      </c>
      <c r="J337" t="s">
        <v>340</v>
      </c>
      <c r="K337">
        <v>8.2004513394633299E-3</v>
      </c>
      <c r="L337" t="s">
        <v>163</v>
      </c>
      <c r="N337" t="s">
        <v>232</v>
      </c>
      <c r="O337" t="s">
        <v>340</v>
      </c>
      <c r="P337">
        <v>2.3925630834693838E-2</v>
      </c>
      <c r="Q337" t="s">
        <v>163</v>
      </c>
      <c r="S337" t="s">
        <v>263</v>
      </c>
      <c r="T337" t="s">
        <v>340</v>
      </c>
      <c r="U337">
        <v>2.2321436256561415E-2</v>
      </c>
      <c r="V337" t="s">
        <v>163</v>
      </c>
    </row>
    <row r="338" spans="9:22" x14ac:dyDescent="0.45">
      <c r="I338" t="s">
        <v>201</v>
      </c>
      <c r="J338" t="s">
        <v>341</v>
      </c>
      <c r="K338">
        <v>0.30243354605969858</v>
      </c>
      <c r="L338" t="s">
        <v>163</v>
      </c>
      <c r="N338" t="s">
        <v>232</v>
      </c>
      <c r="O338" t="s">
        <v>341</v>
      </c>
      <c r="P338">
        <v>0.19458736298649654</v>
      </c>
      <c r="Q338" t="s">
        <v>163</v>
      </c>
      <c r="S338" t="s">
        <v>263</v>
      </c>
      <c r="T338" t="s">
        <v>341</v>
      </c>
      <c r="U338">
        <v>0.10741588695419003</v>
      </c>
      <c r="V338" t="s">
        <v>163</v>
      </c>
    </row>
    <row r="339" spans="9:22" x14ac:dyDescent="0.45">
      <c r="I339" t="s">
        <v>201</v>
      </c>
      <c r="J339" t="s">
        <v>342</v>
      </c>
      <c r="K339">
        <v>1.0695128946263273E-3</v>
      </c>
      <c r="L339" t="s">
        <v>163</v>
      </c>
      <c r="N339" t="s">
        <v>232</v>
      </c>
      <c r="O339" t="s">
        <v>342</v>
      </c>
      <c r="P339">
        <v>0.14569493835252567</v>
      </c>
      <c r="Q339" t="s">
        <v>163</v>
      </c>
      <c r="S339" t="s">
        <v>263</v>
      </c>
      <c r="T339" t="s">
        <v>342</v>
      </c>
      <c r="U339">
        <v>0.12428735143650894</v>
      </c>
      <c r="V339" t="s">
        <v>163</v>
      </c>
    </row>
    <row r="340" spans="9:22" x14ac:dyDescent="0.45">
      <c r="I340" t="s">
        <v>201</v>
      </c>
      <c r="J340" t="s">
        <v>343</v>
      </c>
      <c r="K340">
        <v>2.7810854984302451E-2</v>
      </c>
      <c r="L340" t="s">
        <v>163</v>
      </c>
      <c r="N340" t="s">
        <v>232</v>
      </c>
      <c r="O340" t="s">
        <v>343</v>
      </c>
      <c r="P340">
        <v>3.2660237597707399E-2</v>
      </c>
      <c r="Q340" t="s">
        <v>163</v>
      </c>
      <c r="S340" t="s">
        <v>263</v>
      </c>
      <c r="T340" t="s">
        <v>343</v>
      </c>
      <c r="U340">
        <v>2.1934886680179479E-2</v>
      </c>
      <c r="V340" t="s">
        <v>163</v>
      </c>
    </row>
    <row r="341" spans="9:22" x14ac:dyDescent="0.45">
      <c r="I341" t="s">
        <v>201</v>
      </c>
      <c r="J341" t="s">
        <v>344</v>
      </c>
      <c r="K341">
        <v>0.23258526611459032</v>
      </c>
      <c r="L341" t="s">
        <v>163</v>
      </c>
      <c r="N341" t="s">
        <v>232</v>
      </c>
      <c r="O341" t="s">
        <v>344</v>
      </c>
      <c r="P341">
        <v>3.9776448139624866E-2</v>
      </c>
      <c r="Q341" t="s">
        <v>163</v>
      </c>
      <c r="S341" t="s">
        <v>263</v>
      </c>
      <c r="T341" t="s">
        <v>344</v>
      </c>
      <c r="U341">
        <v>0.10207994600221375</v>
      </c>
      <c r="V341" t="s">
        <v>163</v>
      </c>
    </row>
    <row r="342" spans="9:22" x14ac:dyDescent="0.45">
      <c r="I342" t="s">
        <v>201</v>
      </c>
      <c r="J342" t="s">
        <v>345</v>
      </c>
      <c r="K342">
        <v>2.9047495973999232E-3</v>
      </c>
      <c r="L342" t="s">
        <v>163</v>
      </c>
      <c r="N342" t="s">
        <v>232</v>
      </c>
      <c r="O342" t="s">
        <v>345</v>
      </c>
      <c r="P342">
        <v>3.4298005289067811E-2</v>
      </c>
      <c r="Q342" t="s">
        <v>163</v>
      </c>
      <c r="S342" t="s">
        <v>263</v>
      </c>
      <c r="T342" t="s">
        <v>345</v>
      </c>
      <c r="U342">
        <v>0.11487471995019512</v>
      </c>
      <c r="V342" t="s">
        <v>163</v>
      </c>
    </row>
    <row r="343" spans="9:22" x14ac:dyDescent="0.45">
      <c r="I343" t="s">
        <v>201</v>
      </c>
      <c r="J343" t="s">
        <v>346</v>
      </c>
      <c r="K343">
        <v>2.1751915250616156E-2</v>
      </c>
      <c r="L343" t="s">
        <v>163</v>
      </c>
      <c r="N343" t="s">
        <v>232</v>
      </c>
      <c r="O343" t="s">
        <v>346</v>
      </c>
      <c r="P343">
        <v>7.3933371151579498E-3</v>
      </c>
      <c r="Q343" t="s">
        <v>163</v>
      </c>
      <c r="S343" t="s">
        <v>263</v>
      </c>
      <c r="T343" t="s">
        <v>346</v>
      </c>
      <c r="U343">
        <v>2.1096170505221584E-2</v>
      </c>
      <c r="V343" t="s">
        <v>163</v>
      </c>
    </row>
    <row r="344" spans="9:22" x14ac:dyDescent="0.45">
      <c r="I344" t="s">
        <v>201</v>
      </c>
      <c r="J344" t="s">
        <v>347</v>
      </c>
      <c r="K344">
        <v>0.20041896215725263</v>
      </c>
      <c r="L344" t="s">
        <v>163</v>
      </c>
      <c r="N344" t="s">
        <v>232</v>
      </c>
      <c r="O344" t="s">
        <v>347</v>
      </c>
      <c r="P344">
        <v>0.13218998861240835</v>
      </c>
      <c r="Q344" t="s">
        <v>163</v>
      </c>
      <c r="S344" t="s">
        <v>263</v>
      </c>
      <c r="T344" t="s">
        <v>347</v>
      </c>
      <c r="U344">
        <v>0.10927768184040115</v>
      </c>
      <c r="V344" t="s">
        <v>163</v>
      </c>
    </row>
    <row r="345" spans="9:22" x14ac:dyDescent="0.45">
      <c r="I345" t="s">
        <v>201</v>
      </c>
      <c r="J345" t="s">
        <v>348</v>
      </c>
      <c r="K345">
        <v>0</v>
      </c>
      <c r="L345" t="s">
        <v>163</v>
      </c>
      <c r="N345" t="s">
        <v>232</v>
      </c>
      <c r="O345" t="s">
        <v>348</v>
      </c>
      <c r="P345">
        <v>0.12316900239158196</v>
      </c>
      <c r="Q345" t="s">
        <v>163</v>
      </c>
      <c r="S345" t="s">
        <v>263</v>
      </c>
      <c r="T345" t="s">
        <v>348</v>
      </c>
      <c r="U345">
        <v>0.12175186643733371</v>
      </c>
      <c r="V345" t="s">
        <v>163</v>
      </c>
    </row>
    <row r="346" spans="9:22" x14ac:dyDescent="0.45">
      <c r="I346" t="s">
        <v>201</v>
      </c>
      <c r="J346" t="s">
        <v>349</v>
      </c>
      <c r="K346">
        <v>6.7977217549667441E-3</v>
      </c>
      <c r="L346" t="s">
        <v>163</v>
      </c>
      <c r="N346" t="s">
        <v>232</v>
      </c>
      <c r="O346" t="s">
        <v>349</v>
      </c>
      <c r="P346">
        <v>2.1637585079596407E-2</v>
      </c>
      <c r="Q346" t="s">
        <v>163</v>
      </c>
      <c r="S346" t="s">
        <v>263</v>
      </c>
      <c r="T346" t="s">
        <v>349</v>
      </c>
      <c r="U346">
        <v>1.9932442808538141E-2</v>
      </c>
      <c r="V346" t="s">
        <v>163</v>
      </c>
    </row>
    <row r="347" spans="9:22" x14ac:dyDescent="0.45">
      <c r="I347" t="s">
        <v>202</v>
      </c>
      <c r="J347" t="s">
        <v>338</v>
      </c>
      <c r="K347">
        <v>0.20195199403543498</v>
      </c>
      <c r="L347" t="s">
        <v>163</v>
      </c>
      <c r="N347" t="s">
        <v>233</v>
      </c>
      <c r="O347" t="s">
        <v>338</v>
      </c>
      <c r="P347">
        <v>0.12262143112526236</v>
      </c>
      <c r="Q347" t="s">
        <v>163</v>
      </c>
      <c r="S347" t="s">
        <v>264</v>
      </c>
      <c r="T347" t="s">
        <v>338</v>
      </c>
      <c r="U347">
        <v>0.10757072231063571</v>
      </c>
      <c r="V347" t="s">
        <v>163</v>
      </c>
    </row>
    <row r="348" spans="9:22" x14ac:dyDescent="0.45">
      <c r="I348" t="s">
        <v>202</v>
      </c>
      <c r="J348" t="s">
        <v>339</v>
      </c>
      <c r="K348">
        <v>0</v>
      </c>
      <c r="L348" t="s">
        <v>163</v>
      </c>
      <c r="N348" t="s">
        <v>233</v>
      </c>
      <c r="O348" t="s">
        <v>339</v>
      </c>
      <c r="P348">
        <v>0.1080706687117587</v>
      </c>
      <c r="Q348" t="s">
        <v>163</v>
      </c>
      <c r="S348" t="s">
        <v>264</v>
      </c>
      <c r="T348" t="s">
        <v>339</v>
      </c>
      <c r="U348">
        <v>0.11163754085740248</v>
      </c>
      <c r="V348" t="s">
        <v>163</v>
      </c>
    </row>
    <row r="349" spans="9:22" x14ac:dyDescent="0.45">
      <c r="I349" t="s">
        <v>202</v>
      </c>
      <c r="J349" t="s">
        <v>340</v>
      </c>
      <c r="K349">
        <v>1.1061410214769536E-2</v>
      </c>
      <c r="L349" t="s">
        <v>163</v>
      </c>
      <c r="N349" t="s">
        <v>233</v>
      </c>
      <c r="O349" t="s">
        <v>340</v>
      </c>
      <c r="P349">
        <v>2.2552800404149854E-2</v>
      </c>
      <c r="Q349" t="s">
        <v>163</v>
      </c>
      <c r="S349" t="s">
        <v>264</v>
      </c>
      <c r="T349" t="s">
        <v>340</v>
      </c>
      <c r="U349">
        <v>2.1461153696044295E-2</v>
      </c>
      <c r="V349" t="s">
        <v>163</v>
      </c>
    </row>
    <row r="350" spans="9:22" x14ac:dyDescent="0.45">
      <c r="I350" t="s">
        <v>202</v>
      </c>
      <c r="J350" t="s">
        <v>341</v>
      </c>
      <c r="K350">
        <v>0.29776504697150352</v>
      </c>
      <c r="L350" t="s">
        <v>163</v>
      </c>
      <c r="N350" t="s">
        <v>233</v>
      </c>
      <c r="O350" t="s">
        <v>341</v>
      </c>
      <c r="P350">
        <v>0.1819954210269786</v>
      </c>
      <c r="Q350" t="s">
        <v>163</v>
      </c>
      <c r="S350" t="s">
        <v>264</v>
      </c>
      <c r="T350" t="s">
        <v>341</v>
      </c>
      <c r="U350">
        <v>0.1126678653344345</v>
      </c>
      <c r="V350" t="s">
        <v>163</v>
      </c>
    </row>
    <row r="351" spans="9:22" x14ac:dyDescent="0.45">
      <c r="I351" t="s">
        <v>202</v>
      </c>
      <c r="J351" t="s">
        <v>342</v>
      </c>
      <c r="K351">
        <v>1.4981707824741268E-3</v>
      </c>
      <c r="L351" t="s">
        <v>163</v>
      </c>
      <c r="N351" t="s">
        <v>233</v>
      </c>
      <c r="O351" t="s">
        <v>342</v>
      </c>
      <c r="P351">
        <v>0.13782033854326123</v>
      </c>
      <c r="Q351" t="s">
        <v>163</v>
      </c>
      <c r="S351" t="s">
        <v>264</v>
      </c>
      <c r="T351" t="s">
        <v>342</v>
      </c>
      <c r="U351">
        <v>0.12111053974124392</v>
      </c>
      <c r="V351" t="s">
        <v>163</v>
      </c>
    </row>
    <row r="352" spans="9:22" x14ac:dyDescent="0.45">
      <c r="I352" t="s">
        <v>202</v>
      </c>
      <c r="J352" t="s">
        <v>343</v>
      </c>
      <c r="K352">
        <v>3.0485780899208403E-2</v>
      </c>
      <c r="L352" t="s">
        <v>163</v>
      </c>
      <c r="N352" t="s">
        <v>233</v>
      </c>
      <c r="O352" t="s">
        <v>343</v>
      </c>
      <c r="P352">
        <v>3.2496223038332848E-2</v>
      </c>
      <c r="Q352" t="s">
        <v>163</v>
      </c>
      <c r="S352" t="s">
        <v>264</v>
      </c>
      <c r="T352" t="s">
        <v>343</v>
      </c>
      <c r="U352">
        <v>2.1540290277160042E-2</v>
      </c>
      <c r="V352" t="s">
        <v>163</v>
      </c>
    </row>
    <row r="353" spans="9:22" x14ac:dyDescent="0.45">
      <c r="I353" t="s">
        <v>202</v>
      </c>
      <c r="J353" t="s">
        <v>344</v>
      </c>
      <c r="K353">
        <v>0.2586457739188624</v>
      </c>
      <c r="L353" t="s">
        <v>163</v>
      </c>
      <c r="N353" t="s">
        <v>233</v>
      </c>
      <c r="O353" t="s">
        <v>344</v>
      </c>
      <c r="P353">
        <v>4.0003958750771701E-2</v>
      </c>
      <c r="Q353" t="s">
        <v>163</v>
      </c>
      <c r="S353" t="s">
        <v>264</v>
      </c>
      <c r="T353" t="s">
        <v>344</v>
      </c>
      <c r="U353">
        <v>0.10291229775022286</v>
      </c>
      <c r="V353" t="s">
        <v>163</v>
      </c>
    </row>
    <row r="354" spans="9:22" x14ac:dyDescent="0.45">
      <c r="I354" t="s">
        <v>202</v>
      </c>
      <c r="J354" t="s">
        <v>345</v>
      </c>
      <c r="K354">
        <v>4.1427804234969359E-3</v>
      </c>
      <c r="L354" t="s">
        <v>163</v>
      </c>
      <c r="N354" t="s">
        <v>233</v>
      </c>
      <c r="O354" t="s">
        <v>345</v>
      </c>
      <c r="P354">
        <v>3.1415682300690972E-2</v>
      </c>
      <c r="Q354" t="s">
        <v>163</v>
      </c>
      <c r="S354" t="s">
        <v>264</v>
      </c>
      <c r="T354" t="s">
        <v>345</v>
      </c>
      <c r="U354">
        <v>0.10058985939074513</v>
      </c>
      <c r="V354" t="s">
        <v>163</v>
      </c>
    </row>
    <row r="355" spans="9:22" x14ac:dyDescent="0.45">
      <c r="I355" t="s">
        <v>202</v>
      </c>
      <c r="J355" t="s">
        <v>346</v>
      </c>
      <c r="K355">
        <v>2.8995127405160318E-2</v>
      </c>
      <c r="L355" t="s">
        <v>163</v>
      </c>
      <c r="N355" t="s">
        <v>233</v>
      </c>
      <c r="O355" t="s">
        <v>346</v>
      </c>
      <c r="P355">
        <v>8.1415638055522162E-3</v>
      </c>
      <c r="Q355" t="s">
        <v>163</v>
      </c>
      <c r="S355" t="s">
        <v>264</v>
      </c>
      <c r="T355" t="s">
        <v>346</v>
      </c>
      <c r="U355">
        <v>1.8699691583022374E-2</v>
      </c>
      <c r="V355" t="s">
        <v>163</v>
      </c>
    </row>
    <row r="356" spans="9:22" x14ac:dyDescent="0.45">
      <c r="I356" t="s">
        <v>202</v>
      </c>
      <c r="J356" t="s">
        <v>347</v>
      </c>
      <c r="K356">
        <v>0.15983499946307239</v>
      </c>
      <c r="L356" t="s">
        <v>163</v>
      </c>
      <c r="N356" t="s">
        <v>233</v>
      </c>
      <c r="O356" t="s">
        <v>347</v>
      </c>
      <c r="P356">
        <v>0.15711992483043744</v>
      </c>
      <c r="Q356" t="s">
        <v>163</v>
      </c>
      <c r="S356" t="s">
        <v>264</v>
      </c>
      <c r="T356" t="s">
        <v>347</v>
      </c>
      <c r="U356">
        <v>0.12606946070433395</v>
      </c>
      <c r="V356" t="s">
        <v>163</v>
      </c>
    </row>
    <row r="357" spans="9:22" x14ac:dyDescent="0.45">
      <c r="I357" t="s">
        <v>202</v>
      </c>
      <c r="J357" t="s">
        <v>348</v>
      </c>
      <c r="K357">
        <v>0</v>
      </c>
      <c r="L357" t="s">
        <v>163</v>
      </c>
      <c r="N357" t="s">
        <v>233</v>
      </c>
      <c r="O357" t="s">
        <v>348</v>
      </c>
      <c r="P357">
        <v>0.13338390931159572</v>
      </c>
      <c r="Q357" t="s">
        <v>163</v>
      </c>
      <c r="S357" t="s">
        <v>264</v>
      </c>
      <c r="T357" t="s">
        <v>348</v>
      </c>
      <c r="U357">
        <v>0.13036161679715896</v>
      </c>
      <c r="V357" t="s">
        <v>163</v>
      </c>
    </row>
    <row r="358" spans="9:22" x14ac:dyDescent="0.45">
      <c r="I358" t="s">
        <v>202</v>
      </c>
      <c r="J358" t="s">
        <v>349</v>
      </c>
      <c r="K358">
        <v>5.6189158860167942E-3</v>
      </c>
      <c r="L358" t="s">
        <v>163</v>
      </c>
      <c r="N358" t="s">
        <v>233</v>
      </c>
      <c r="O358" t="s">
        <v>349</v>
      </c>
      <c r="P358">
        <v>2.4378078151210496E-2</v>
      </c>
      <c r="Q358" t="s">
        <v>163</v>
      </c>
      <c r="S358" t="s">
        <v>264</v>
      </c>
      <c r="T358" t="s">
        <v>349</v>
      </c>
      <c r="U358">
        <v>2.5378961557600839E-2</v>
      </c>
      <c r="V358" t="s">
        <v>163</v>
      </c>
    </row>
    <row r="359" spans="9:22" x14ac:dyDescent="0.45">
      <c r="I359" t="s">
        <v>203</v>
      </c>
      <c r="J359" t="s">
        <v>338</v>
      </c>
      <c r="K359">
        <v>0.2010221100799886</v>
      </c>
      <c r="L359" t="s">
        <v>163</v>
      </c>
      <c r="N359" t="s">
        <v>234</v>
      </c>
      <c r="O359" t="s">
        <v>338</v>
      </c>
      <c r="P359">
        <v>0.12117979544602664</v>
      </c>
      <c r="Q359" t="s">
        <v>163</v>
      </c>
      <c r="S359" t="s">
        <v>265</v>
      </c>
      <c r="T359" t="s">
        <v>338</v>
      </c>
      <c r="U359">
        <v>0.10771698737137375</v>
      </c>
      <c r="V359" t="s">
        <v>163</v>
      </c>
    </row>
    <row r="360" spans="9:22" x14ac:dyDescent="0.45">
      <c r="I360" t="s">
        <v>203</v>
      </c>
      <c r="J360" t="s">
        <v>339</v>
      </c>
      <c r="K360">
        <v>0</v>
      </c>
      <c r="L360" t="s">
        <v>163</v>
      </c>
      <c r="N360" t="s">
        <v>234</v>
      </c>
      <c r="O360" t="s">
        <v>339</v>
      </c>
      <c r="P360">
        <v>0.11652691153648727</v>
      </c>
      <c r="Q360" t="s">
        <v>163</v>
      </c>
      <c r="S360" t="s">
        <v>265</v>
      </c>
      <c r="T360" t="s">
        <v>339</v>
      </c>
      <c r="U360">
        <v>0.1023133379088805</v>
      </c>
      <c r="V360" t="s">
        <v>163</v>
      </c>
    </row>
    <row r="361" spans="9:22" x14ac:dyDescent="0.45">
      <c r="I361" t="s">
        <v>203</v>
      </c>
      <c r="J361" t="s">
        <v>340</v>
      </c>
      <c r="K361">
        <v>1.2969299717288767E-2</v>
      </c>
      <c r="L361" t="s">
        <v>163</v>
      </c>
      <c r="N361" t="s">
        <v>234</v>
      </c>
      <c r="O361" t="s">
        <v>340</v>
      </c>
      <c r="P361">
        <v>2.2817153987512925E-2</v>
      </c>
      <c r="Q361" t="s">
        <v>163</v>
      </c>
      <c r="S361" t="s">
        <v>265</v>
      </c>
      <c r="T361" t="s">
        <v>340</v>
      </c>
      <c r="U361">
        <v>1.9368049473081309E-2</v>
      </c>
      <c r="V361" t="s">
        <v>163</v>
      </c>
    </row>
    <row r="362" spans="9:22" x14ac:dyDescent="0.45">
      <c r="I362" t="s">
        <v>203</v>
      </c>
      <c r="J362" t="s">
        <v>341</v>
      </c>
      <c r="K362">
        <v>0.28655415663145484</v>
      </c>
      <c r="L362" t="s">
        <v>163</v>
      </c>
      <c r="N362" t="s">
        <v>234</v>
      </c>
      <c r="O362" t="s">
        <v>341</v>
      </c>
      <c r="P362">
        <v>0.14925804619931232</v>
      </c>
      <c r="Q362" t="s">
        <v>163</v>
      </c>
      <c r="S362" t="s">
        <v>265</v>
      </c>
      <c r="T362" t="s">
        <v>341</v>
      </c>
      <c r="U362">
        <v>0.12519414960849856</v>
      </c>
      <c r="V362" t="s">
        <v>163</v>
      </c>
    </row>
    <row r="363" spans="9:22" x14ac:dyDescent="0.45">
      <c r="I363" t="s">
        <v>203</v>
      </c>
      <c r="J363" t="s">
        <v>342</v>
      </c>
      <c r="K363">
        <v>2.1291639240937433E-3</v>
      </c>
      <c r="L363" t="s">
        <v>163</v>
      </c>
      <c r="N363" t="s">
        <v>234</v>
      </c>
      <c r="O363" t="s">
        <v>342</v>
      </c>
      <c r="P363">
        <v>0.14026635870128396</v>
      </c>
      <c r="Q363" t="s">
        <v>163</v>
      </c>
      <c r="S363" t="s">
        <v>265</v>
      </c>
      <c r="T363" t="s">
        <v>342</v>
      </c>
      <c r="U363">
        <v>0.12514502254024526</v>
      </c>
      <c r="V363" t="s">
        <v>163</v>
      </c>
    </row>
    <row r="364" spans="9:22" x14ac:dyDescent="0.45">
      <c r="I364" t="s">
        <v>203</v>
      </c>
      <c r="J364" t="s">
        <v>343</v>
      </c>
      <c r="K364">
        <v>3.302488646072068E-2</v>
      </c>
      <c r="L364" t="s">
        <v>163</v>
      </c>
      <c r="N364" t="s">
        <v>234</v>
      </c>
      <c r="O364" t="s">
        <v>343</v>
      </c>
      <c r="P364">
        <v>2.6417056852818577E-2</v>
      </c>
      <c r="Q364" t="s">
        <v>163</v>
      </c>
      <c r="S364" t="s">
        <v>265</v>
      </c>
      <c r="T364" t="s">
        <v>343</v>
      </c>
      <c r="U364">
        <v>2.2828899146272938E-2</v>
      </c>
      <c r="V364" t="s">
        <v>163</v>
      </c>
    </row>
    <row r="365" spans="9:22" x14ac:dyDescent="0.45">
      <c r="I365" t="s">
        <v>203</v>
      </c>
      <c r="J365" t="s">
        <v>344</v>
      </c>
      <c r="K365">
        <v>0.26191412095046862</v>
      </c>
      <c r="L365" t="s">
        <v>163</v>
      </c>
      <c r="N365" t="s">
        <v>234</v>
      </c>
      <c r="O365" t="s">
        <v>344</v>
      </c>
      <c r="P365">
        <v>6.039283034459382E-2</v>
      </c>
      <c r="Q365" t="s">
        <v>163</v>
      </c>
      <c r="S365" t="s">
        <v>265</v>
      </c>
      <c r="T365" t="s">
        <v>344</v>
      </c>
      <c r="U365">
        <v>8.2264722974556448E-2</v>
      </c>
      <c r="V365" t="s">
        <v>163</v>
      </c>
    </row>
    <row r="366" spans="9:22" x14ac:dyDescent="0.45">
      <c r="I366" t="s">
        <v>203</v>
      </c>
      <c r="J366" t="s">
        <v>345</v>
      </c>
      <c r="K366">
        <v>5.4366519687570614E-3</v>
      </c>
      <c r="L366" t="s">
        <v>163</v>
      </c>
      <c r="N366" t="s">
        <v>234</v>
      </c>
      <c r="O366" t="s">
        <v>345</v>
      </c>
      <c r="P366">
        <v>6.3682409807707091E-2</v>
      </c>
      <c r="Q366" t="s">
        <v>163</v>
      </c>
      <c r="S366" t="s">
        <v>265</v>
      </c>
      <c r="T366" t="s">
        <v>345</v>
      </c>
      <c r="U366">
        <v>7.912837909746312E-2</v>
      </c>
      <c r="V366" t="s">
        <v>163</v>
      </c>
    </row>
    <row r="367" spans="9:22" x14ac:dyDescent="0.45">
      <c r="I367" t="s">
        <v>203</v>
      </c>
      <c r="J367" t="s">
        <v>346</v>
      </c>
      <c r="K367">
        <v>3.3253932621545752E-2</v>
      </c>
      <c r="L367" t="s">
        <v>163</v>
      </c>
      <c r="N367" t="s">
        <v>234</v>
      </c>
      <c r="O367" t="s">
        <v>346</v>
      </c>
      <c r="P367">
        <v>1.1828643341545403E-2</v>
      </c>
      <c r="Q367" t="s">
        <v>163</v>
      </c>
      <c r="S367" t="s">
        <v>265</v>
      </c>
      <c r="T367" t="s">
        <v>346</v>
      </c>
      <c r="U367">
        <v>1.5132178862147976E-2</v>
      </c>
      <c r="V367" t="s">
        <v>163</v>
      </c>
    </row>
    <row r="368" spans="9:22" x14ac:dyDescent="0.45">
      <c r="I368" t="s">
        <v>203</v>
      </c>
      <c r="J368" t="s">
        <v>347</v>
      </c>
      <c r="K368">
        <v>0.15567792650331869</v>
      </c>
      <c r="L368" t="s">
        <v>163</v>
      </c>
      <c r="N368" t="s">
        <v>234</v>
      </c>
      <c r="O368" t="s">
        <v>347</v>
      </c>
      <c r="P368">
        <v>0.13454680925626833</v>
      </c>
      <c r="Q368" t="s">
        <v>163</v>
      </c>
      <c r="S368" t="s">
        <v>265</v>
      </c>
      <c r="T368" t="s">
        <v>347</v>
      </c>
      <c r="U368">
        <v>0.14401227011627665</v>
      </c>
      <c r="V368" t="s">
        <v>163</v>
      </c>
    </row>
    <row r="369" spans="9:22" x14ac:dyDescent="0.45">
      <c r="I369" t="s">
        <v>203</v>
      </c>
      <c r="J369" t="s">
        <v>348</v>
      </c>
      <c r="K369">
        <v>0</v>
      </c>
      <c r="L369" t="s">
        <v>163</v>
      </c>
      <c r="N369" t="s">
        <v>234</v>
      </c>
      <c r="O369" t="s">
        <v>348</v>
      </c>
      <c r="P369">
        <v>0.12951925630091077</v>
      </c>
      <c r="Q369" t="s">
        <v>163</v>
      </c>
      <c r="S369" t="s">
        <v>265</v>
      </c>
      <c r="T369" t="s">
        <v>348</v>
      </c>
      <c r="U369">
        <v>0.14952298424619789</v>
      </c>
      <c r="V369" t="s">
        <v>163</v>
      </c>
    </row>
    <row r="370" spans="9:22" x14ac:dyDescent="0.45">
      <c r="I370" t="s">
        <v>203</v>
      </c>
      <c r="J370" t="s">
        <v>349</v>
      </c>
      <c r="K370">
        <v>8.0177511423636886E-3</v>
      </c>
      <c r="L370" t="s">
        <v>163</v>
      </c>
      <c r="N370" t="s">
        <v>234</v>
      </c>
      <c r="O370" t="s">
        <v>349</v>
      </c>
      <c r="P370">
        <v>2.3564728225530969E-2</v>
      </c>
      <c r="Q370" t="s">
        <v>163</v>
      </c>
      <c r="S370" t="s">
        <v>265</v>
      </c>
      <c r="T370" t="s">
        <v>349</v>
      </c>
      <c r="U370">
        <v>2.7373018655003148E-2</v>
      </c>
      <c r="V370" t="s">
        <v>163</v>
      </c>
    </row>
    <row r="371" spans="9:22" x14ac:dyDescent="0.45">
      <c r="I371" t="s">
        <v>204</v>
      </c>
      <c r="J371" t="s">
        <v>338</v>
      </c>
      <c r="K371">
        <v>0.20029458493071661</v>
      </c>
      <c r="L371" t="s">
        <v>163</v>
      </c>
      <c r="N371" t="s">
        <v>235</v>
      </c>
      <c r="O371" t="s">
        <v>338</v>
      </c>
      <c r="P371">
        <v>0.11539881214911579</v>
      </c>
      <c r="Q371" t="s">
        <v>163</v>
      </c>
      <c r="S371" t="s">
        <v>266</v>
      </c>
      <c r="T371" t="s">
        <v>338</v>
      </c>
      <c r="U371">
        <v>0.10773094318238874</v>
      </c>
      <c r="V371" t="s">
        <v>163</v>
      </c>
    </row>
    <row r="372" spans="9:22" x14ac:dyDescent="0.45">
      <c r="I372" t="s">
        <v>204</v>
      </c>
      <c r="J372" t="s">
        <v>339</v>
      </c>
      <c r="K372">
        <v>0</v>
      </c>
      <c r="L372" t="s">
        <v>163</v>
      </c>
      <c r="N372" t="s">
        <v>235</v>
      </c>
      <c r="O372" t="s">
        <v>339</v>
      </c>
      <c r="P372">
        <v>0.12178727241850258</v>
      </c>
      <c r="Q372" t="s">
        <v>163</v>
      </c>
      <c r="S372" t="s">
        <v>266</v>
      </c>
      <c r="T372" t="s">
        <v>339</v>
      </c>
      <c r="U372">
        <v>0.11394586068231717</v>
      </c>
      <c r="V372" t="s">
        <v>163</v>
      </c>
    </row>
    <row r="373" spans="9:22" x14ac:dyDescent="0.45">
      <c r="I373" t="s">
        <v>204</v>
      </c>
      <c r="J373" t="s">
        <v>340</v>
      </c>
      <c r="K373">
        <v>1.2318400919095798E-2</v>
      </c>
      <c r="L373" t="s">
        <v>163</v>
      </c>
      <c r="N373" t="s">
        <v>235</v>
      </c>
      <c r="O373" t="s">
        <v>340</v>
      </c>
      <c r="P373">
        <v>2.2635872238842215E-2</v>
      </c>
      <c r="Q373" t="s">
        <v>163</v>
      </c>
      <c r="S373" t="s">
        <v>266</v>
      </c>
      <c r="T373" t="s">
        <v>340</v>
      </c>
      <c r="U373">
        <v>2.2893307283260181E-2</v>
      </c>
      <c r="V373" t="s">
        <v>163</v>
      </c>
    </row>
    <row r="374" spans="9:22" x14ac:dyDescent="0.45">
      <c r="I374" t="s">
        <v>204</v>
      </c>
      <c r="J374" t="s">
        <v>341</v>
      </c>
      <c r="K374">
        <v>0.29325661722208762</v>
      </c>
      <c r="L374" t="s">
        <v>163</v>
      </c>
      <c r="N374" t="s">
        <v>235</v>
      </c>
      <c r="O374" t="s">
        <v>341</v>
      </c>
      <c r="P374">
        <v>0.14101139661316331</v>
      </c>
      <c r="Q374" t="s">
        <v>163</v>
      </c>
      <c r="S374" t="s">
        <v>266</v>
      </c>
      <c r="T374" t="s">
        <v>341</v>
      </c>
      <c r="U374">
        <v>0.12855767386127256</v>
      </c>
      <c r="V374" t="s">
        <v>163</v>
      </c>
    </row>
    <row r="375" spans="9:22" x14ac:dyDescent="0.45">
      <c r="I375" t="s">
        <v>204</v>
      </c>
      <c r="J375" t="s">
        <v>342</v>
      </c>
      <c r="K375">
        <v>1.9550327906071269E-3</v>
      </c>
      <c r="L375" t="s">
        <v>163</v>
      </c>
      <c r="N375" t="s">
        <v>235</v>
      </c>
      <c r="O375" t="s">
        <v>342</v>
      </c>
      <c r="P375">
        <v>0.13733993051432697</v>
      </c>
      <c r="Q375" t="s">
        <v>163</v>
      </c>
      <c r="S375" t="s">
        <v>266</v>
      </c>
      <c r="T375" t="s">
        <v>342</v>
      </c>
      <c r="U375">
        <v>0.12610888094466341</v>
      </c>
      <c r="V375" t="s">
        <v>163</v>
      </c>
    </row>
    <row r="376" spans="9:22" x14ac:dyDescent="0.45">
      <c r="I376" t="s">
        <v>204</v>
      </c>
      <c r="J376" t="s">
        <v>343</v>
      </c>
      <c r="K376">
        <v>3.1681176801817576E-2</v>
      </c>
      <c r="L376" t="s">
        <v>163</v>
      </c>
      <c r="N376" t="s">
        <v>235</v>
      </c>
      <c r="O376" t="s">
        <v>343</v>
      </c>
      <c r="P376">
        <v>2.7394433403871501E-2</v>
      </c>
      <c r="Q376" t="s">
        <v>163</v>
      </c>
      <c r="S376" t="s">
        <v>266</v>
      </c>
      <c r="T376" t="s">
        <v>343</v>
      </c>
      <c r="U376">
        <v>2.3384851816861708E-2</v>
      </c>
      <c r="V376" t="s">
        <v>163</v>
      </c>
    </row>
    <row r="377" spans="9:22" x14ac:dyDescent="0.45">
      <c r="I377" t="s">
        <v>204</v>
      </c>
      <c r="J377" t="s">
        <v>344</v>
      </c>
      <c r="K377">
        <v>0.24951028315005586</v>
      </c>
      <c r="L377" t="s">
        <v>163</v>
      </c>
      <c r="N377" t="s">
        <v>235</v>
      </c>
      <c r="O377" t="s">
        <v>344</v>
      </c>
      <c r="P377">
        <v>6.4411693068360185E-2</v>
      </c>
      <c r="Q377" t="s">
        <v>163</v>
      </c>
      <c r="S377" t="s">
        <v>266</v>
      </c>
      <c r="T377" t="s">
        <v>344</v>
      </c>
      <c r="U377">
        <v>6.4419565344298296E-2</v>
      </c>
      <c r="V377" t="s">
        <v>163</v>
      </c>
    </row>
    <row r="378" spans="9:22" x14ac:dyDescent="0.45">
      <c r="I378" t="s">
        <v>204</v>
      </c>
      <c r="J378" t="s">
        <v>345</v>
      </c>
      <c r="K378">
        <v>4.6390288098240905E-3</v>
      </c>
      <c r="L378" t="s">
        <v>163</v>
      </c>
      <c r="N378" t="s">
        <v>235</v>
      </c>
      <c r="O378" t="s">
        <v>345</v>
      </c>
      <c r="P378">
        <v>6.5761959343424811E-2</v>
      </c>
      <c r="Q378" t="s">
        <v>163</v>
      </c>
      <c r="S378" t="s">
        <v>266</v>
      </c>
      <c r="T378" t="s">
        <v>345</v>
      </c>
      <c r="U378">
        <v>6.1359130110655129E-2</v>
      </c>
      <c r="V378" t="s">
        <v>163</v>
      </c>
    </row>
    <row r="379" spans="9:22" x14ac:dyDescent="0.45">
      <c r="I379" t="s">
        <v>204</v>
      </c>
      <c r="J379" t="s">
        <v>346</v>
      </c>
      <c r="K379">
        <v>2.8903701101130171E-2</v>
      </c>
      <c r="L379" t="s">
        <v>163</v>
      </c>
      <c r="N379" t="s">
        <v>235</v>
      </c>
      <c r="O379" t="s">
        <v>346</v>
      </c>
      <c r="P379">
        <v>1.4641905580984856E-2</v>
      </c>
      <c r="Q379" t="s">
        <v>163</v>
      </c>
      <c r="S379" t="s">
        <v>266</v>
      </c>
      <c r="T379" t="s">
        <v>346</v>
      </c>
      <c r="U379">
        <v>1.0453267655975648E-2</v>
      </c>
      <c r="V379" t="s">
        <v>163</v>
      </c>
    </row>
    <row r="380" spans="9:22" x14ac:dyDescent="0.45">
      <c r="I380" t="s">
        <v>204</v>
      </c>
      <c r="J380" t="s">
        <v>347</v>
      </c>
      <c r="K380">
        <v>0.16880305175375909</v>
      </c>
      <c r="L380" t="s">
        <v>163</v>
      </c>
      <c r="N380" t="s">
        <v>235</v>
      </c>
      <c r="O380" t="s">
        <v>347</v>
      </c>
      <c r="P380">
        <v>0.13638218598058971</v>
      </c>
      <c r="Q380" t="s">
        <v>163</v>
      </c>
      <c r="S380" t="s">
        <v>266</v>
      </c>
      <c r="T380" t="s">
        <v>347</v>
      </c>
      <c r="U380">
        <v>0.14728695201642403</v>
      </c>
      <c r="V380" t="s">
        <v>163</v>
      </c>
    </row>
    <row r="381" spans="9:22" x14ac:dyDescent="0.45">
      <c r="I381" t="s">
        <v>204</v>
      </c>
      <c r="J381" t="s">
        <v>348</v>
      </c>
      <c r="K381">
        <v>0</v>
      </c>
      <c r="L381" t="s">
        <v>163</v>
      </c>
      <c r="N381" t="s">
        <v>235</v>
      </c>
      <c r="O381" t="s">
        <v>348</v>
      </c>
      <c r="P381">
        <v>0.12984673685070341</v>
      </c>
      <c r="Q381" t="s">
        <v>163</v>
      </c>
      <c r="S381" t="s">
        <v>266</v>
      </c>
      <c r="T381" t="s">
        <v>348</v>
      </c>
      <c r="U381">
        <v>0.16479136712216597</v>
      </c>
      <c r="V381" t="s">
        <v>163</v>
      </c>
    </row>
    <row r="382" spans="9:22" x14ac:dyDescent="0.45">
      <c r="I382" t="s">
        <v>204</v>
      </c>
      <c r="J382" t="s">
        <v>349</v>
      </c>
      <c r="K382">
        <v>8.6381225209076831E-3</v>
      </c>
      <c r="L382" t="s">
        <v>163</v>
      </c>
      <c r="N382" t="s">
        <v>235</v>
      </c>
      <c r="O382" t="s">
        <v>349</v>
      </c>
      <c r="P382">
        <v>2.3387801838109637E-2</v>
      </c>
      <c r="Q382" t="s">
        <v>163</v>
      </c>
      <c r="S382" t="s">
        <v>266</v>
      </c>
      <c r="T382" t="s">
        <v>349</v>
      </c>
      <c r="U382">
        <v>2.906819997971807E-2</v>
      </c>
      <c r="V382" t="s">
        <v>163</v>
      </c>
    </row>
    <row r="383" spans="9:22" x14ac:dyDescent="0.45">
      <c r="S383" t="s">
        <v>267</v>
      </c>
      <c r="T383" t="s">
        <v>338</v>
      </c>
      <c r="U383">
        <v>0.10688935901184778</v>
      </c>
      <c r="V383" t="s">
        <v>163</v>
      </c>
    </row>
    <row r="384" spans="9:22" x14ac:dyDescent="0.45">
      <c r="S384" t="s">
        <v>267</v>
      </c>
      <c r="T384" t="s">
        <v>339</v>
      </c>
      <c r="U384">
        <v>0.10847594423845169</v>
      </c>
      <c r="V384" t="s">
        <v>163</v>
      </c>
    </row>
    <row r="385" spans="19:22" x14ac:dyDescent="0.45">
      <c r="S385" t="s">
        <v>267</v>
      </c>
      <c r="T385" t="s">
        <v>340</v>
      </c>
      <c r="U385">
        <v>2.1440536610126792E-2</v>
      </c>
      <c r="V385" t="s">
        <v>163</v>
      </c>
    </row>
    <row r="386" spans="19:22" x14ac:dyDescent="0.45">
      <c r="S386" t="s">
        <v>267</v>
      </c>
      <c r="T386" t="s">
        <v>341</v>
      </c>
      <c r="U386">
        <v>0.11880863669914325</v>
      </c>
      <c r="V386" t="s">
        <v>163</v>
      </c>
    </row>
    <row r="387" spans="19:22" x14ac:dyDescent="0.45">
      <c r="S387" t="s">
        <v>267</v>
      </c>
      <c r="T387" t="s">
        <v>342</v>
      </c>
      <c r="U387">
        <v>0.12102642033258666</v>
      </c>
      <c r="V387" t="s">
        <v>163</v>
      </c>
    </row>
    <row r="388" spans="19:22" x14ac:dyDescent="0.45">
      <c r="S388" t="s">
        <v>267</v>
      </c>
      <c r="T388" t="s">
        <v>343</v>
      </c>
      <c r="U388">
        <v>2.1852959948385983E-2</v>
      </c>
      <c r="V388" t="s">
        <v>163</v>
      </c>
    </row>
    <row r="389" spans="19:22" x14ac:dyDescent="0.45">
      <c r="S389" t="s">
        <v>267</v>
      </c>
      <c r="T389" t="s">
        <v>344</v>
      </c>
      <c r="U389">
        <v>8.1067507224720864E-2</v>
      </c>
      <c r="V389" t="s">
        <v>163</v>
      </c>
    </row>
    <row r="390" spans="19:22" x14ac:dyDescent="0.45">
      <c r="S390" t="s">
        <v>267</v>
      </c>
      <c r="T390" t="s">
        <v>345</v>
      </c>
      <c r="U390">
        <v>7.2803192565488978E-2</v>
      </c>
      <c r="V390" t="s">
        <v>163</v>
      </c>
    </row>
    <row r="391" spans="19:22" x14ac:dyDescent="0.45">
      <c r="S391" t="s">
        <v>267</v>
      </c>
      <c r="T391" t="s">
        <v>346</v>
      </c>
      <c r="U391">
        <v>1.4504469768892445E-2</v>
      </c>
      <c r="V391" t="s">
        <v>163</v>
      </c>
    </row>
    <row r="392" spans="19:22" x14ac:dyDescent="0.45">
      <c r="S392" t="s">
        <v>267</v>
      </c>
      <c r="T392" t="s">
        <v>347</v>
      </c>
      <c r="U392">
        <v>0.14545424418024658</v>
      </c>
      <c r="V392" t="s">
        <v>163</v>
      </c>
    </row>
    <row r="393" spans="19:22" x14ac:dyDescent="0.45">
      <c r="S393" t="s">
        <v>267</v>
      </c>
      <c r="T393" t="s">
        <v>348</v>
      </c>
      <c r="U393">
        <v>0.15825564529809841</v>
      </c>
      <c r="V393" t="s">
        <v>163</v>
      </c>
    </row>
    <row r="394" spans="19:22" x14ac:dyDescent="0.45">
      <c r="S394" t="s">
        <v>267</v>
      </c>
      <c r="T394" t="s">
        <v>349</v>
      </c>
      <c r="U394">
        <v>2.9421084122008771E-2</v>
      </c>
      <c r="V394" t="s">
        <v>163</v>
      </c>
    </row>
    <row r="395" spans="19:22" x14ac:dyDescent="0.45">
      <c r="S395" t="s">
        <v>268</v>
      </c>
      <c r="T395" t="s">
        <v>338</v>
      </c>
      <c r="U395">
        <v>0.14930552299715313</v>
      </c>
      <c r="V395" t="s">
        <v>163</v>
      </c>
    </row>
    <row r="396" spans="19:22" x14ac:dyDescent="0.45">
      <c r="S396" t="s">
        <v>268</v>
      </c>
      <c r="T396" t="s">
        <v>339</v>
      </c>
      <c r="U396">
        <v>0.14984752679426988</v>
      </c>
      <c r="V396" t="s">
        <v>163</v>
      </c>
    </row>
    <row r="397" spans="19:22" x14ac:dyDescent="0.45">
      <c r="S397" t="s">
        <v>268</v>
      </c>
      <c r="T397" t="s">
        <v>340</v>
      </c>
      <c r="U397">
        <v>2.8911634833887662E-2</v>
      </c>
      <c r="V397" t="s">
        <v>163</v>
      </c>
    </row>
    <row r="398" spans="19:22" x14ac:dyDescent="0.45">
      <c r="S398" t="s">
        <v>268</v>
      </c>
      <c r="T398" t="s">
        <v>341</v>
      </c>
      <c r="U398">
        <v>0.1239066953482176</v>
      </c>
      <c r="V398" t="s">
        <v>163</v>
      </c>
    </row>
    <row r="399" spans="19:22" x14ac:dyDescent="0.45">
      <c r="S399" t="s">
        <v>268</v>
      </c>
      <c r="T399" t="s">
        <v>342</v>
      </c>
      <c r="U399">
        <v>0.11113828556089407</v>
      </c>
      <c r="V399" t="s">
        <v>163</v>
      </c>
    </row>
    <row r="400" spans="19:22" x14ac:dyDescent="0.45">
      <c r="S400" t="s">
        <v>268</v>
      </c>
      <c r="T400" t="s">
        <v>343</v>
      </c>
      <c r="U400">
        <v>2.2375468861585181E-2</v>
      </c>
      <c r="V400" t="s">
        <v>163</v>
      </c>
    </row>
    <row r="401" spans="19:22" x14ac:dyDescent="0.45">
      <c r="S401" t="s">
        <v>268</v>
      </c>
      <c r="T401" t="s">
        <v>344</v>
      </c>
      <c r="U401">
        <v>6.4146061285934253E-2</v>
      </c>
      <c r="V401" t="s">
        <v>163</v>
      </c>
    </row>
    <row r="402" spans="19:22" x14ac:dyDescent="0.45">
      <c r="S402" t="s">
        <v>268</v>
      </c>
      <c r="T402" t="s">
        <v>345</v>
      </c>
      <c r="U402">
        <v>6.4839887036612642E-2</v>
      </c>
      <c r="V402" t="s">
        <v>163</v>
      </c>
    </row>
    <row r="403" spans="19:22" x14ac:dyDescent="0.45">
      <c r="S403" t="s">
        <v>268</v>
      </c>
      <c r="T403" t="s">
        <v>346</v>
      </c>
      <c r="U403">
        <v>1.1744930588187411E-2</v>
      </c>
      <c r="V403" t="s">
        <v>163</v>
      </c>
    </row>
    <row r="404" spans="19:22" x14ac:dyDescent="0.45">
      <c r="S404" t="s">
        <v>268</v>
      </c>
      <c r="T404" t="s">
        <v>347</v>
      </c>
      <c r="U404">
        <v>0.12480349748330789</v>
      </c>
      <c r="V404" t="s">
        <v>163</v>
      </c>
    </row>
    <row r="405" spans="19:22" x14ac:dyDescent="0.45">
      <c r="S405" t="s">
        <v>268</v>
      </c>
      <c r="T405" t="s">
        <v>348</v>
      </c>
      <c r="U405">
        <v>0.12435394493595853</v>
      </c>
      <c r="V405" t="s">
        <v>163</v>
      </c>
    </row>
    <row r="406" spans="19:22" x14ac:dyDescent="0.45">
      <c r="S406" t="s">
        <v>268</v>
      </c>
      <c r="T406" t="s">
        <v>349</v>
      </c>
      <c r="U406">
        <v>2.4626544273993231E-2</v>
      </c>
      <c r="V406" t="s">
        <v>163</v>
      </c>
    </row>
    <row r="407" spans="19:22" x14ac:dyDescent="0.45">
      <c r="S407" t="s">
        <v>269</v>
      </c>
      <c r="T407" t="s">
        <v>338</v>
      </c>
      <c r="U407">
        <v>0.14087416763021937</v>
      </c>
      <c r="V407" t="s">
        <v>163</v>
      </c>
    </row>
    <row r="408" spans="19:22" x14ac:dyDescent="0.45">
      <c r="S408" t="s">
        <v>269</v>
      </c>
      <c r="T408" t="s">
        <v>339</v>
      </c>
      <c r="U408">
        <v>0.15191160233430986</v>
      </c>
      <c r="V408" t="s">
        <v>163</v>
      </c>
    </row>
    <row r="409" spans="19:22" x14ac:dyDescent="0.45">
      <c r="S409" t="s">
        <v>269</v>
      </c>
      <c r="T409" t="s">
        <v>340</v>
      </c>
      <c r="U409">
        <v>2.7565446352061346E-2</v>
      </c>
      <c r="V409" t="s">
        <v>163</v>
      </c>
    </row>
    <row r="410" spans="19:22" x14ac:dyDescent="0.45">
      <c r="S410" t="s">
        <v>269</v>
      </c>
      <c r="T410" t="s">
        <v>341</v>
      </c>
      <c r="U410">
        <v>0.12410684195558069</v>
      </c>
      <c r="V410" t="s">
        <v>163</v>
      </c>
    </row>
    <row r="411" spans="19:22" x14ac:dyDescent="0.45">
      <c r="S411" t="s">
        <v>269</v>
      </c>
      <c r="T411" t="s">
        <v>342</v>
      </c>
      <c r="U411">
        <v>0.12199674077983429</v>
      </c>
      <c r="V411" t="s">
        <v>163</v>
      </c>
    </row>
    <row r="412" spans="19:22" x14ac:dyDescent="0.45">
      <c r="S412" t="s">
        <v>269</v>
      </c>
      <c r="T412" t="s">
        <v>343</v>
      </c>
      <c r="U412">
        <v>2.2938695473178686E-2</v>
      </c>
      <c r="V412" t="s">
        <v>163</v>
      </c>
    </row>
    <row r="413" spans="19:22" x14ac:dyDescent="0.45">
      <c r="S413" t="s">
        <v>269</v>
      </c>
      <c r="T413" t="s">
        <v>344</v>
      </c>
      <c r="U413">
        <v>5.056295817431674E-2</v>
      </c>
      <c r="V413" t="s">
        <v>163</v>
      </c>
    </row>
    <row r="414" spans="19:22" x14ac:dyDescent="0.45">
      <c r="S414" t="s">
        <v>269</v>
      </c>
      <c r="T414" t="s">
        <v>345</v>
      </c>
      <c r="U414">
        <v>4.7765531147165044E-2</v>
      </c>
      <c r="V414" t="s">
        <v>163</v>
      </c>
    </row>
    <row r="415" spans="19:22" x14ac:dyDescent="0.45">
      <c r="S415" t="s">
        <v>269</v>
      </c>
      <c r="T415" t="s">
        <v>346</v>
      </c>
      <c r="U415">
        <v>8.123774485560108E-3</v>
      </c>
      <c r="V415" t="s">
        <v>163</v>
      </c>
    </row>
    <row r="416" spans="19:22" x14ac:dyDescent="0.45">
      <c r="S416" t="s">
        <v>269</v>
      </c>
      <c r="T416" t="s">
        <v>347</v>
      </c>
      <c r="U416">
        <v>0.13569061108100816</v>
      </c>
      <c r="V416" t="s">
        <v>163</v>
      </c>
    </row>
    <row r="417" spans="19:22" x14ac:dyDescent="0.45">
      <c r="S417" t="s">
        <v>269</v>
      </c>
      <c r="T417" t="s">
        <v>348</v>
      </c>
      <c r="U417">
        <v>0.14080042384194758</v>
      </c>
      <c r="V417" t="s">
        <v>163</v>
      </c>
    </row>
    <row r="418" spans="19:22" x14ac:dyDescent="0.45">
      <c r="S418" t="s">
        <v>269</v>
      </c>
      <c r="T418" t="s">
        <v>349</v>
      </c>
      <c r="U418">
        <v>2.7663206744814196E-2</v>
      </c>
      <c r="V418" t="s">
        <v>163</v>
      </c>
    </row>
    <row r="419" spans="19:22" x14ac:dyDescent="0.45">
      <c r="S419" t="s">
        <v>270</v>
      </c>
      <c r="T419" t="s">
        <v>338</v>
      </c>
      <c r="U419">
        <v>0.16785037098140704</v>
      </c>
      <c r="V419" t="s">
        <v>163</v>
      </c>
    </row>
    <row r="420" spans="19:22" x14ac:dyDescent="0.45">
      <c r="S420" t="s">
        <v>270</v>
      </c>
      <c r="T420" t="s">
        <v>339</v>
      </c>
      <c r="U420">
        <v>0.16744177692722831</v>
      </c>
      <c r="V420" t="s">
        <v>163</v>
      </c>
    </row>
    <row r="421" spans="19:22" x14ac:dyDescent="0.45">
      <c r="S421" t="s">
        <v>270</v>
      </c>
      <c r="T421" t="s">
        <v>340</v>
      </c>
      <c r="U421">
        <v>3.2392865812290193E-2</v>
      </c>
      <c r="V421" t="s">
        <v>163</v>
      </c>
    </row>
    <row r="422" spans="19:22" x14ac:dyDescent="0.45">
      <c r="S422" t="s">
        <v>270</v>
      </c>
      <c r="T422" t="s">
        <v>341</v>
      </c>
      <c r="U422">
        <v>0.11583635128551434</v>
      </c>
      <c r="V422" t="s">
        <v>163</v>
      </c>
    </row>
    <row r="423" spans="19:22" x14ac:dyDescent="0.45">
      <c r="S423" t="s">
        <v>270</v>
      </c>
      <c r="T423" t="s">
        <v>342</v>
      </c>
      <c r="U423">
        <v>0.11250584601073622</v>
      </c>
      <c r="V423" t="s">
        <v>163</v>
      </c>
    </row>
    <row r="424" spans="19:22" x14ac:dyDescent="0.45">
      <c r="S424" t="s">
        <v>270</v>
      </c>
      <c r="T424" t="s">
        <v>343</v>
      </c>
      <c r="U424">
        <v>2.3513440070967655E-2</v>
      </c>
      <c r="V424" t="s">
        <v>163</v>
      </c>
    </row>
    <row r="425" spans="19:22" x14ac:dyDescent="0.45">
      <c r="S425" t="s">
        <v>270</v>
      </c>
      <c r="T425" t="s">
        <v>344</v>
      </c>
      <c r="U425">
        <v>4.7208683358552127E-2</v>
      </c>
      <c r="V425" t="s">
        <v>163</v>
      </c>
    </row>
    <row r="426" spans="19:22" x14ac:dyDescent="0.45">
      <c r="S426" t="s">
        <v>270</v>
      </c>
      <c r="T426" t="s">
        <v>345</v>
      </c>
      <c r="U426">
        <v>4.7500536382991156E-2</v>
      </c>
      <c r="V426" t="s">
        <v>163</v>
      </c>
    </row>
    <row r="427" spans="19:22" x14ac:dyDescent="0.45">
      <c r="S427" t="s">
        <v>270</v>
      </c>
      <c r="T427" t="s">
        <v>346</v>
      </c>
      <c r="U427">
        <v>8.1070465655602442E-3</v>
      </c>
      <c r="V427" t="s">
        <v>163</v>
      </c>
    </row>
    <row r="428" spans="19:22" x14ac:dyDescent="0.45">
      <c r="S428" t="s">
        <v>270</v>
      </c>
      <c r="T428" t="s">
        <v>347</v>
      </c>
      <c r="U428">
        <v>0.12152994724660135</v>
      </c>
      <c r="V428" t="s">
        <v>163</v>
      </c>
    </row>
    <row r="429" spans="19:22" x14ac:dyDescent="0.45">
      <c r="S429" t="s">
        <v>270</v>
      </c>
      <c r="T429" t="s">
        <v>348</v>
      </c>
      <c r="U429">
        <v>0.13010991070393102</v>
      </c>
      <c r="V429" t="s">
        <v>163</v>
      </c>
    </row>
    <row r="430" spans="19:22" x14ac:dyDescent="0.45">
      <c r="S430" t="s">
        <v>270</v>
      </c>
      <c r="T430" t="s">
        <v>349</v>
      </c>
      <c r="U430">
        <v>2.6003224654218948E-2</v>
      </c>
      <c r="V430" t="s">
        <v>163</v>
      </c>
    </row>
    <row r="431" spans="19:22" x14ac:dyDescent="0.45">
      <c r="S431" t="s">
        <v>271</v>
      </c>
      <c r="T431" t="s">
        <v>338</v>
      </c>
      <c r="U431">
        <v>0.1722734242025904</v>
      </c>
      <c r="V431" t="s">
        <v>163</v>
      </c>
    </row>
    <row r="432" spans="19:22" x14ac:dyDescent="0.45">
      <c r="S432" t="s">
        <v>271</v>
      </c>
      <c r="T432" t="s">
        <v>339</v>
      </c>
      <c r="U432">
        <v>0.16991909626401153</v>
      </c>
      <c r="V432" t="s">
        <v>163</v>
      </c>
    </row>
    <row r="433" spans="19:22" x14ac:dyDescent="0.45">
      <c r="S433" t="s">
        <v>271</v>
      </c>
      <c r="T433" t="s">
        <v>340</v>
      </c>
      <c r="U433">
        <v>3.3075178941565593E-2</v>
      </c>
      <c r="V433" t="s">
        <v>163</v>
      </c>
    </row>
    <row r="434" spans="19:22" x14ac:dyDescent="0.45">
      <c r="S434" t="s">
        <v>271</v>
      </c>
      <c r="T434" t="s">
        <v>341</v>
      </c>
      <c r="U434">
        <v>9.3659281500756558E-2</v>
      </c>
      <c r="V434" t="s">
        <v>163</v>
      </c>
    </row>
    <row r="435" spans="19:22" x14ac:dyDescent="0.45">
      <c r="S435" t="s">
        <v>271</v>
      </c>
      <c r="T435" t="s">
        <v>342</v>
      </c>
      <c r="U435">
        <v>9.4387123126705386E-2</v>
      </c>
      <c r="V435" t="s">
        <v>163</v>
      </c>
    </row>
    <row r="436" spans="19:22" x14ac:dyDescent="0.45">
      <c r="S436" t="s">
        <v>271</v>
      </c>
      <c r="T436" t="s">
        <v>343</v>
      </c>
      <c r="U436">
        <v>1.8858452822761936E-2</v>
      </c>
      <c r="V436" t="s">
        <v>163</v>
      </c>
    </row>
    <row r="437" spans="19:22" x14ac:dyDescent="0.45">
      <c r="S437" t="s">
        <v>271</v>
      </c>
      <c r="T437" t="s">
        <v>344</v>
      </c>
      <c r="U437">
        <v>4.4943972278948356E-2</v>
      </c>
      <c r="V437" t="s">
        <v>163</v>
      </c>
    </row>
    <row r="438" spans="19:22" x14ac:dyDescent="0.45">
      <c r="S438" t="s">
        <v>271</v>
      </c>
      <c r="T438" t="s">
        <v>345</v>
      </c>
      <c r="U438">
        <v>4.6406068948572111E-2</v>
      </c>
      <c r="V438" t="s">
        <v>163</v>
      </c>
    </row>
    <row r="439" spans="19:22" x14ac:dyDescent="0.45">
      <c r="S439" t="s">
        <v>271</v>
      </c>
      <c r="T439" t="s">
        <v>346</v>
      </c>
      <c r="U439">
        <v>7.5511362815085551E-3</v>
      </c>
      <c r="V439" t="s">
        <v>163</v>
      </c>
    </row>
    <row r="440" spans="19:22" x14ac:dyDescent="0.45">
      <c r="S440" t="s">
        <v>271</v>
      </c>
      <c r="T440" t="s">
        <v>347</v>
      </c>
      <c r="U440">
        <v>0.14019180085896124</v>
      </c>
      <c r="V440" t="s">
        <v>163</v>
      </c>
    </row>
    <row r="441" spans="19:22" x14ac:dyDescent="0.45">
      <c r="S441" t="s">
        <v>271</v>
      </c>
      <c r="T441" t="s">
        <v>348</v>
      </c>
      <c r="U441">
        <v>0.14996993036263692</v>
      </c>
      <c r="V441" t="s">
        <v>163</v>
      </c>
    </row>
    <row r="442" spans="19:22" x14ac:dyDescent="0.45">
      <c r="S442" t="s">
        <v>271</v>
      </c>
      <c r="T442" t="s">
        <v>349</v>
      </c>
      <c r="U442">
        <v>2.8764534410979967E-2</v>
      </c>
      <c r="V442" t="s">
        <v>163</v>
      </c>
    </row>
    <row r="443" spans="19:22" x14ac:dyDescent="0.45">
      <c r="S443" t="s">
        <v>272</v>
      </c>
      <c r="T443" t="s">
        <v>338</v>
      </c>
      <c r="U443">
        <v>0.1230289650284306</v>
      </c>
      <c r="V443" t="s">
        <v>163</v>
      </c>
    </row>
    <row r="444" spans="19:22" x14ac:dyDescent="0.45">
      <c r="S444" t="s">
        <v>272</v>
      </c>
      <c r="T444" t="s">
        <v>339</v>
      </c>
      <c r="U444">
        <v>0.12318758925860018</v>
      </c>
      <c r="V444" t="s">
        <v>163</v>
      </c>
    </row>
    <row r="445" spans="19:22" x14ac:dyDescent="0.45">
      <c r="S445" t="s">
        <v>272</v>
      </c>
      <c r="T445" t="s">
        <v>340</v>
      </c>
      <c r="U445">
        <v>2.2411584676362242E-2</v>
      </c>
      <c r="V445" t="s">
        <v>163</v>
      </c>
    </row>
    <row r="446" spans="19:22" x14ac:dyDescent="0.45">
      <c r="S446" t="s">
        <v>272</v>
      </c>
      <c r="T446" t="s">
        <v>341</v>
      </c>
      <c r="U446">
        <v>0.11455087463145165</v>
      </c>
      <c r="V446" t="s">
        <v>163</v>
      </c>
    </row>
    <row r="447" spans="19:22" x14ac:dyDescent="0.45">
      <c r="S447" t="s">
        <v>272</v>
      </c>
      <c r="T447" t="s">
        <v>342</v>
      </c>
      <c r="U447">
        <v>0.11595557744081791</v>
      </c>
      <c r="V447" t="s">
        <v>163</v>
      </c>
    </row>
    <row r="448" spans="19:22" x14ac:dyDescent="0.45">
      <c r="S448" t="s">
        <v>272</v>
      </c>
      <c r="T448" t="s">
        <v>343</v>
      </c>
      <c r="U448">
        <v>1.9640839657017958E-2</v>
      </c>
      <c r="V448" t="s">
        <v>163</v>
      </c>
    </row>
    <row r="449" spans="19:22" x14ac:dyDescent="0.45">
      <c r="S449" t="s">
        <v>272</v>
      </c>
      <c r="T449" t="s">
        <v>344</v>
      </c>
      <c r="U449">
        <v>8.0572607352785722E-2</v>
      </c>
      <c r="V449" t="s">
        <v>163</v>
      </c>
    </row>
    <row r="450" spans="19:22" x14ac:dyDescent="0.45">
      <c r="S450" t="s">
        <v>272</v>
      </c>
      <c r="T450" t="s">
        <v>345</v>
      </c>
      <c r="U450">
        <v>8.5409708801504322E-2</v>
      </c>
      <c r="V450" t="s">
        <v>163</v>
      </c>
    </row>
    <row r="451" spans="19:22" x14ac:dyDescent="0.45">
      <c r="S451" t="s">
        <v>272</v>
      </c>
      <c r="T451" t="s">
        <v>346</v>
      </c>
      <c r="U451">
        <v>1.4973897136129915E-2</v>
      </c>
      <c r="V451" t="s">
        <v>163</v>
      </c>
    </row>
    <row r="452" spans="19:22" x14ac:dyDescent="0.45">
      <c r="S452" t="s">
        <v>272</v>
      </c>
      <c r="T452" t="s">
        <v>347</v>
      </c>
      <c r="U452">
        <v>0.14008355572089712</v>
      </c>
      <c r="V452" t="s">
        <v>163</v>
      </c>
    </row>
    <row r="453" spans="19:22" x14ac:dyDescent="0.45">
      <c r="S453" t="s">
        <v>272</v>
      </c>
      <c r="T453" t="s">
        <v>348</v>
      </c>
      <c r="U453">
        <v>0.13628930904858491</v>
      </c>
      <c r="V453" t="s">
        <v>163</v>
      </c>
    </row>
    <row r="454" spans="19:22" x14ac:dyDescent="0.45">
      <c r="S454" t="s">
        <v>272</v>
      </c>
      <c r="T454" t="s">
        <v>349</v>
      </c>
      <c r="U454">
        <v>2.3895491247420311E-2</v>
      </c>
      <c r="V454" t="s">
        <v>163</v>
      </c>
    </row>
    <row r="455" spans="19:22" x14ac:dyDescent="0.45">
      <c r="S455" t="s">
        <v>273</v>
      </c>
      <c r="T455" t="s">
        <v>338</v>
      </c>
      <c r="U455">
        <v>0.12384527981490789</v>
      </c>
      <c r="V455" t="s">
        <v>163</v>
      </c>
    </row>
    <row r="456" spans="19:22" x14ac:dyDescent="0.45">
      <c r="S456" t="s">
        <v>273</v>
      </c>
      <c r="T456" t="s">
        <v>339</v>
      </c>
      <c r="U456">
        <v>0.1222321008139379</v>
      </c>
      <c r="V456" t="s">
        <v>163</v>
      </c>
    </row>
    <row r="457" spans="19:22" x14ac:dyDescent="0.45">
      <c r="S457" t="s">
        <v>273</v>
      </c>
      <c r="T457" t="s">
        <v>340</v>
      </c>
      <c r="U457">
        <v>2.238475676550607E-2</v>
      </c>
      <c r="V457" t="s">
        <v>163</v>
      </c>
    </row>
    <row r="458" spans="19:22" x14ac:dyDescent="0.45">
      <c r="S458" t="s">
        <v>273</v>
      </c>
      <c r="T458" t="s">
        <v>341</v>
      </c>
      <c r="U458">
        <v>0.11539932904060987</v>
      </c>
      <c r="V458" t="s">
        <v>163</v>
      </c>
    </row>
    <row r="459" spans="19:22" x14ac:dyDescent="0.45">
      <c r="S459" t="s">
        <v>273</v>
      </c>
      <c r="T459" t="s">
        <v>342</v>
      </c>
      <c r="U459">
        <v>0.11688949702493177</v>
      </c>
      <c r="V459" t="s">
        <v>163</v>
      </c>
    </row>
    <row r="460" spans="19:22" x14ac:dyDescent="0.45">
      <c r="S460" t="s">
        <v>273</v>
      </c>
      <c r="T460" t="s">
        <v>343</v>
      </c>
      <c r="U460">
        <v>1.9510145081087352E-2</v>
      </c>
      <c r="V460" t="s">
        <v>163</v>
      </c>
    </row>
    <row r="461" spans="19:22" x14ac:dyDescent="0.45">
      <c r="S461" t="s">
        <v>273</v>
      </c>
      <c r="T461" t="s">
        <v>344</v>
      </c>
      <c r="U461">
        <v>8.5633573196293708E-2</v>
      </c>
      <c r="V461" t="s">
        <v>163</v>
      </c>
    </row>
    <row r="462" spans="19:22" x14ac:dyDescent="0.45">
      <c r="S462" t="s">
        <v>273</v>
      </c>
      <c r="T462" t="s">
        <v>345</v>
      </c>
      <c r="U462">
        <v>8.6891738223839568E-2</v>
      </c>
      <c r="V462" t="s">
        <v>163</v>
      </c>
    </row>
    <row r="463" spans="19:22" x14ac:dyDescent="0.45">
      <c r="S463" t="s">
        <v>273</v>
      </c>
      <c r="T463" t="s">
        <v>346</v>
      </c>
      <c r="U463">
        <v>1.5628544466131333E-2</v>
      </c>
      <c r="V463" t="s">
        <v>163</v>
      </c>
    </row>
    <row r="464" spans="19:22" x14ac:dyDescent="0.45">
      <c r="S464" t="s">
        <v>273</v>
      </c>
      <c r="T464" t="s">
        <v>347</v>
      </c>
      <c r="U464">
        <v>0.1332700931491865</v>
      </c>
      <c r="V464" t="s">
        <v>163</v>
      </c>
    </row>
    <row r="465" spans="19:22" x14ac:dyDescent="0.45">
      <c r="S465" t="s">
        <v>273</v>
      </c>
      <c r="T465" t="s">
        <v>348</v>
      </c>
      <c r="U465">
        <v>0.13486431887099756</v>
      </c>
      <c r="V465" t="s">
        <v>163</v>
      </c>
    </row>
    <row r="466" spans="19:22" x14ac:dyDescent="0.45">
      <c r="S466" t="s">
        <v>273</v>
      </c>
      <c r="T466" t="s">
        <v>349</v>
      </c>
      <c r="U466">
        <v>2.3450623552574799E-2</v>
      </c>
      <c r="V466" t="s">
        <v>163</v>
      </c>
    </row>
    <row r="467" spans="19:22" x14ac:dyDescent="0.45">
      <c r="S467" t="s">
        <v>274</v>
      </c>
      <c r="T467" t="s">
        <v>338</v>
      </c>
      <c r="U467">
        <v>0.12327053300341913</v>
      </c>
      <c r="V467" t="s">
        <v>163</v>
      </c>
    </row>
    <row r="468" spans="19:22" x14ac:dyDescent="0.45">
      <c r="S468" t="s">
        <v>274</v>
      </c>
      <c r="T468" t="s">
        <v>339</v>
      </c>
      <c r="U468">
        <v>0.12282643758507218</v>
      </c>
      <c r="V468" t="s">
        <v>163</v>
      </c>
    </row>
    <row r="469" spans="19:22" x14ac:dyDescent="0.45">
      <c r="S469" t="s">
        <v>274</v>
      </c>
      <c r="T469" t="s">
        <v>340</v>
      </c>
      <c r="U469">
        <v>2.3161172454423225E-2</v>
      </c>
      <c r="V469" t="s">
        <v>163</v>
      </c>
    </row>
    <row r="470" spans="19:22" x14ac:dyDescent="0.45">
      <c r="S470" t="s">
        <v>274</v>
      </c>
      <c r="T470" t="s">
        <v>341</v>
      </c>
      <c r="U470">
        <v>0.11209594395579522</v>
      </c>
      <c r="V470" t="s">
        <v>163</v>
      </c>
    </row>
    <row r="471" spans="19:22" x14ac:dyDescent="0.45">
      <c r="S471" t="s">
        <v>274</v>
      </c>
      <c r="T471" t="s">
        <v>342</v>
      </c>
      <c r="U471">
        <v>0.11528247781697386</v>
      </c>
      <c r="V471" t="s">
        <v>163</v>
      </c>
    </row>
    <row r="472" spans="19:22" x14ac:dyDescent="0.45">
      <c r="S472" t="s">
        <v>274</v>
      </c>
      <c r="T472" t="s">
        <v>343</v>
      </c>
      <c r="U472">
        <v>2.1339264538228646E-2</v>
      </c>
      <c r="V472" t="s">
        <v>163</v>
      </c>
    </row>
    <row r="473" spans="19:22" x14ac:dyDescent="0.45">
      <c r="S473" t="s">
        <v>274</v>
      </c>
      <c r="T473" t="s">
        <v>344</v>
      </c>
      <c r="U473">
        <v>8.5971452096541084E-2</v>
      </c>
      <c r="V473" t="s">
        <v>163</v>
      </c>
    </row>
    <row r="474" spans="19:22" x14ac:dyDescent="0.45">
      <c r="S474" t="s">
        <v>274</v>
      </c>
      <c r="T474" t="s">
        <v>345</v>
      </c>
      <c r="U474">
        <v>8.6012368902486272E-2</v>
      </c>
      <c r="V474" t="s">
        <v>163</v>
      </c>
    </row>
    <row r="475" spans="19:22" x14ac:dyDescent="0.45">
      <c r="S475" t="s">
        <v>274</v>
      </c>
      <c r="T475" t="s">
        <v>346</v>
      </c>
      <c r="U475">
        <v>1.5938784093366385E-2</v>
      </c>
      <c r="V475" t="s">
        <v>163</v>
      </c>
    </row>
    <row r="476" spans="19:22" x14ac:dyDescent="0.45">
      <c r="S476" t="s">
        <v>274</v>
      </c>
      <c r="T476" t="s">
        <v>347</v>
      </c>
      <c r="U476">
        <v>0.13629175635046187</v>
      </c>
      <c r="V476" t="s">
        <v>163</v>
      </c>
    </row>
    <row r="477" spans="19:22" x14ac:dyDescent="0.45">
      <c r="S477" t="s">
        <v>274</v>
      </c>
      <c r="T477" t="s">
        <v>348</v>
      </c>
      <c r="U477">
        <v>0.13360302491818207</v>
      </c>
      <c r="V477" t="s">
        <v>163</v>
      </c>
    </row>
    <row r="478" spans="19:22" x14ac:dyDescent="0.45">
      <c r="S478" t="s">
        <v>274</v>
      </c>
      <c r="T478" t="s">
        <v>349</v>
      </c>
      <c r="U478">
        <v>2.4206784285050693E-2</v>
      </c>
      <c r="V478" t="s">
        <v>163</v>
      </c>
    </row>
    <row r="479" spans="19:22" x14ac:dyDescent="0.45">
      <c r="S479" t="s">
        <v>275</v>
      </c>
      <c r="T479" t="s">
        <v>338</v>
      </c>
      <c r="U479">
        <v>0.11276210044790334</v>
      </c>
      <c r="V479" t="s">
        <v>163</v>
      </c>
    </row>
    <row r="480" spans="19:22" x14ac:dyDescent="0.45">
      <c r="S480" t="s">
        <v>275</v>
      </c>
      <c r="T480" t="s">
        <v>339</v>
      </c>
      <c r="U480">
        <v>0.11395215962025201</v>
      </c>
      <c r="V480" t="s">
        <v>163</v>
      </c>
    </row>
    <row r="481" spans="19:22" x14ac:dyDescent="0.45">
      <c r="S481" t="s">
        <v>275</v>
      </c>
      <c r="T481" t="s">
        <v>340</v>
      </c>
      <c r="U481">
        <v>2.216005477329391E-2</v>
      </c>
      <c r="V481" t="s">
        <v>163</v>
      </c>
    </row>
    <row r="482" spans="19:22" x14ac:dyDescent="0.45">
      <c r="S482" t="s">
        <v>275</v>
      </c>
      <c r="T482" t="s">
        <v>341</v>
      </c>
      <c r="U482">
        <v>0.10885401797979155</v>
      </c>
      <c r="V482" t="s">
        <v>163</v>
      </c>
    </row>
    <row r="483" spans="19:22" x14ac:dyDescent="0.45">
      <c r="S483" t="s">
        <v>275</v>
      </c>
      <c r="T483" t="s">
        <v>342</v>
      </c>
      <c r="U483">
        <v>0.11684072553936807</v>
      </c>
      <c r="V483" t="s">
        <v>163</v>
      </c>
    </row>
    <row r="484" spans="19:22" x14ac:dyDescent="0.45">
      <c r="S484" t="s">
        <v>275</v>
      </c>
      <c r="T484" t="s">
        <v>343</v>
      </c>
      <c r="U484">
        <v>2.2006339454156774E-2</v>
      </c>
      <c r="V484" t="s">
        <v>163</v>
      </c>
    </row>
    <row r="485" spans="19:22" x14ac:dyDescent="0.45">
      <c r="S485" t="s">
        <v>275</v>
      </c>
      <c r="T485" t="s">
        <v>344</v>
      </c>
      <c r="U485">
        <v>7.1141019437529887E-2</v>
      </c>
      <c r="V485" t="s">
        <v>163</v>
      </c>
    </row>
    <row r="486" spans="19:22" x14ac:dyDescent="0.45">
      <c r="S486" t="s">
        <v>275</v>
      </c>
      <c r="T486" t="s">
        <v>345</v>
      </c>
      <c r="U486">
        <v>7.7711216165030433E-2</v>
      </c>
      <c r="V486" t="s">
        <v>163</v>
      </c>
    </row>
    <row r="487" spans="19:22" x14ac:dyDescent="0.45">
      <c r="S487" t="s">
        <v>275</v>
      </c>
      <c r="T487" t="s">
        <v>346</v>
      </c>
      <c r="U487">
        <v>1.6121334724981392E-2</v>
      </c>
      <c r="V487" t="s">
        <v>163</v>
      </c>
    </row>
    <row r="488" spans="19:22" x14ac:dyDescent="0.45">
      <c r="S488" t="s">
        <v>275</v>
      </c>
      <c r="T488" t="s">
        <v>347</v>
      </c>
      <c r="U488">
        <v>0.15087299713918295</v>
      </c>
      <c r="V488" t="s">
        <v>163</v>
      </c>
    </row>
    <row r="489" spans="19:22" x14ac:dyDescent="0.45">
      <c r="S489" t="s">
        <v>275</v>
      </c>
      <c r="T489" t="s">
        <v>348</v>
      </c>
      <c r="U489">
        <v>0.15921087341387635</v>
      </c>
      <c r="V489" t="s">
        <v>163</v>
      </c>
    </row>
    <row r="490" spans="19:22" x14ac:dyDescent="0.45">
      <c r="S490" t="s">
        <v>275</v>
      </c>
      <c r="T490" t="s">
        <v>349</v>
      </c>
      <c r="U490">
        <v>2.8367161304633112E-2</v>
      </c>
      <c r="V490" t="s">
        <v>163</v>
      </c>
    </row>
    <row r="491" spans="19:22" x14ac:dyDescent="0.45">
      <c r="S491" t="s">
        <v>276</v>
      </c>
      <c r="T491" t="s">
        <v>338</v>
      </c>
      <c r="U491">
        <v>9.7878943601873769E-2</v>
      </c>
      <c r="V491" t="s">
        <v>163</v>
      </c>
    </row>
    <row r="492" spans="19:22" x14ac:dyDescent="0.45">
      <c r="S492" t="s">
        <v>276</v>
      </c>
      <c r="T492" t="s">
        <v>339</v>
      </c>
      <c r="U492">
        <v>0.11342621572347407</v>
      </c>
      <c r="V492" t="s">
        <v>163</v>
      </c>
    </row>
    <row r="493" spans="19:22" x14ac:dyDescent="0.45">
      <c r="S493" t="s">
        <v>276</v>
      </c>
      <c r="T493" t="s">
        <v>340</v>
      </c>
      <c r="U493">
        <v>2.0279404190726016E-2</v>
      </c>
      <c r="V493" t="s">
        <v>163</v>
      </c>
    </row>
    <row r="494" spans="19:22" x14ac:dyDescent="0.45">
      <c r="S494" t="s">
        <v>276</v>
      </c>
      <c r="T494" t="s">
        <v>341</v>
      </c>
      <c r="U494">
        <v>0.12589774146784408</v>
      </c>
      <c r="V494" t="s">
        <v>163</v>
      </c>
    </row>
    <row r="495" spans="19:22" x14ac:dyDescent="0.45">
      <c r="S495" t="s">
        <v>276</v>
      </c>
      <c r="T495" t="s">
        <v>342</v>
      </c>
      <c r="U495">
        <v>0.13567770844563426</v>
      </c>
      <c r="V495" t="s">
        <v>163</v>
      </c>
    </row>
    <row r="496" spans="19:22" x14ac:dyDescent="0.45">
      <c r="S496" t="s">
        <v>276</v>
      </c>
      <c r="T496" t="s">
        <v>343</v>
      </c>
      <c r="U496">
        <v>2.6115581996635936E-2</v>
      </c>
      <c r="V496" t="s">
        <v>163</v>
      </c>
    </row>
    <row r="497" spans="19:22" x14ac:dyDescent="0.45">
      <c r="S497" t="s">
        <v>276</v>
      </c>
      <c r="T497" t="s">
        <v>344</v>
      </c>
      <c r="U497">
        <v>6.5760648385947515E-2</v>
      </c>
      <c r="V497" t="s">
        <v>163</v>
      </c>
    </row>
    <row r="498" spans="19:22" x14ac:dyDescent="0.45">
      <c r="S498" t="s">
        <v>276</v>
      </c>
      <c r="T498" t="s">
        <v>345</v>
      </c>
      <c r="U498">
        <v>6.4654986211815799E-2</v>
      </c>
      <c r="V498" t="s">
        <v>163</v>
      </c>
    </row>
    <row r="499" spans="19:22" x14ac:dyDescent="0.45">
      <c r="S499" t="s">
        <v>276</v>
      </c>
      <c r="T499" t="s">
        <v>346</v>
      </c>
      <c r="U499">
        <v>1.3075727724166509E-2</v>
      </c>
      <c r="V499" t="s">
        <v>163</v>
      </c>
    </row>
    <row r="500" spans="19:22" x14ac:dyDescent="0.45">
      <c r="S500" t="s">
        <v>276</v>
      </c>
      <c r="T500" t="s">
        <v>347</v>
      </c>
      <c r="U500">
        <v>0.15455845518237599</v>
      </c>
      <c r="V500" t="s">
        <v>163</v>
      </c>
    </row>
    <row r="501" spans="19:22" x14ac:dyDescent="0.45">
      <c r="S501" t="s">
        <v>276</v>
      </c>
      <c r="T501" t="s">
        <v>348</v>
      </c>
      <c r="U501">
        <v>0.15459754021804525</v>
      </c>
      <c r="V501" t="s">
        <v>163</v>
      </c>
    </row>
    <row r="502" spans="19:22" x14ac:dyDescent="0.45">
      <c r="S502" t="s">
        <v>276</v>
      </c>
      <c r="T502" t="s">
        <v>349</v>
      </c>
      <c r="U502">
        <v>2.8077046851463314E-2</v>
      </c>
      <c r="V502" t="s">
        <v>163</v>
      </c>
    </row>
    <row r="503" spans="19:22" x14ac:dyDescent="0.45">
      <c r="S503" t="s">
        <v>277</v>
      </c>
      <c r="T503" t="s">
        <v>338</v>
      </c>
      <c r="U503">
        <v>9.7393986775794056E-2</v>
      </c>
      <c r="V503" t="s">
        <v>163</v>
      </c>
    </row>
    <row r="504" spans="19:22" x14ac:dyDescent="0.45">
      <c r="S504" t="s">
        <v>277</v>
      </c>
      <c r="T504" t="s">
        <v>339</v>
      </c>
      <c r="U504">
        <v>0.1127874422857283</v>
      </c>
      <c r="V504" t="s">
        <v>163</v>
      </c>
    </row>
    <row r="505" spans="19:22" x14ac:dyDescent="0.45">
      <c r="S505" t="s">
        <v>277</v>
      </c>
      <c r="T505" t="s">
        <v>340</v>
      </c>
      <c r="U505">
        <v>2.1523945108018361E-2</v>
      </c>
      <c r="V505" t="s">
        <v>163</v>
      </c>
    </row>
    <row r="506" spans="19:22" x14ac:dyDescent="0.45">
      <c r="S506" t="s">
        <v>277</v>
      </c>
      <c r="T506" t="s">
        <v>341</v>
      </c>
      <c r="U506">
        <v>0.13517676197482389</v>
      </c>
      <c r="V506" t="s">
        <v>163</v>
      </c>
    </row>
    <row r="507" spans="19:22" x14ac:dyDescent="0.45">
      <c r="S507" t="s">
        <v>277</v>
      </c>
      <c r="T507" t="s">
        <v>342</v>
      </c>
      <c r="U507">
        <v>0.13300102891419269</v>
      </c>
      <c r="V507" t="s">
        <v>163</v>
      </c>
    </row>
    <row r="508" spans="19:22" x14ac:dyDescent="0.45">
      <c r="S508" t="s">
        <v>277</v>
      </c>
      <c r="T508" t="s">
        <v>343</v>
      </c>
      <c r="U508">
        <v>2.8274323724217745E-2</v>
      </c>
      <c r="V508" t="s">
        <v>163</v>
      </c>
    </row>
    <row r="509" spans="19:22" x14ac:dyDescent="0.45">
      <c r="S509" t="s">
        <v>277</v>
      </c>
      <c r="T509" t="s">
        <v>344</v>
      </c>
      <c r="U509">
        <v>6.293542696112743E-2</v>
      </c>
      <c r="V509" t="s">
        <v>163</v>
      </c>
    </row>
    <row r="510" spans="19:22" x14ac:dyDescent="0.45">
      <c r="S510" t="s">
        <v>277</v>
      </c>
      <c r="T510" t="s">
        <v>345</v>
      </c>
      <c r="U510">
        <v>5.8436946244492735E-2</v>
      </c>
      <c r="V510" t="s">
        <v>163</v>
      </c>
    </row>
    <row r="511" spans="19:22" x14ac:dyDescent="0.45">
      <c r="S511" t="s">
        <v>277</v>
      </c>
      <c r="T511" t="s">
        <v>346</v>
      </c>
      <c r="U511">
        <v>1.3332178831271191E-2</v>
      </c>
      <c r="V511" t="s">
        <v>163</v>
      </c>
    </row>
    <row r="512" spans="19:22" x14ac:dyDescent="0.45">
      <c r="S512" t="s">
        <v>277</v>
      </c>
      <c r="T512" t="s">
        <v>347</v>
      </c>
      <c r="U512">
        <v>0.15740086624135949</v>
      </c>
      <c r="V512" t="s">
        <v>163</v>
      </c>
    </row>
    <row r="513" spans="19:22" x14ac:dyDescent="0.45">
      <c r="S513" t="s">
        <v>277</v>
      </c>
      <c r="T513" t="s">
        <v>348</v>
      </c>
      <c r="U513">
        <v>0.15024310267865329</v>
      </c>
      <c r="V513" t="s">
        <v>163</v>
      </c>
    </row>
    <row r="514" spans="19:22" x14ac:dyDescent="0.45">
      <c r="S514" t="s">
        <v>277</v>
      </c>
      <c r="T514" t="s">
        <v>349</v>
      </c>
      <c r="U514">
        <v>2.9493990260321647E-2</v>
      </c>
      <c r="V514" t="s">
        <v>163</v>
      </c>
    </row>
    <row r="515" spans="19:22" x14ac:dyDescent="0.45">
      <c r="S515" t="s">
        <v>278</v>
      </c>
      <c r="T515" t="s">
        <v>338</v>
      </c>
      <c r="U515">
        <v>0.10254334902516475</v>
      </c>
      <c r="V515" t="s">
        <v>163</v>
      </c>
    </row>
    <row r="516" spans="19:22" x14ac:dyDescent="0.45">
      <c r="S516" t="s">
        <v>278</v>
      </c>
      <c r="T516" t="s">
        <v>339</v>
      </c>
      <c r="U516">
        <v>0.1165387804274883</v>
      </c>
      <c r="V516" t="s">
        <v>163</v>
      </c>
    </row>
    <row r="517" spans="19:22" x14ac:dyDescent="0.45">
      <c r="S517" t="s">
        <v>278</v>
      </c>
      <c r="T517" t="s">
        <v>340</v>
      </c>
      <c r="U517">
        <v>2.1975645617066105E-2</v>
      </c>
      <c r="V517" t="s">
        <v>163</v>
      </c>
    </row>
    <row r="518" spans="19:22" x14ac:dyDescent="0.45">
      <c r="S518" t="s">
        <v>278</v>
      </c>
      <c r="T518" t="s">
        <v>341</v>
      </c>
      <c r="U518">
        <v>0.12900071891273318</v>
      </c>
      <c r="V518" t="s">
        <v>163</v>
      </c>
    </row>
    <row r="519" spans="19:22" x14ac:dyDescent="0.45">
      <c r="S519" t="s">
        <v>278</v>
      </c>
      <c r="T519" t="s">
        <v>342</v>
      </c>
      <c r="U519">
        <v>0.14381028224603715</v>
      </c>
      <c r="V519" t="s">
        <v>163</v>
      </c>
    </row>
    <row r="520" spans="19:22" x14ac:dyDescent="0.45">
      <c r="S520" t="s">
        <v>278</v>
      </c>
      <c r="T520" t="s">
        <v>343</v>
      </c>
      <c r="U520">
        <v>2.8989551771105529E-2</v>
      </c>
      <c r="V520" t="s">
        <v>163</v>
      </c>
    </row>
    <row r="521" spans="19:22" x14ac:dyDescent="0.45">
      <c r="S521" t="s">
        <v>278</v>
      </c>
      <c r="T521" t="s">
        <v>344</v>
      </c>
      <c r="U521">
        <v>6.3489526976406835E-2</v>
      </c>
      <c r="V521" t="s">
        <v>163</v>
      </c>
    </row>
    <row r="522" spans="19:22" x14ac:dyDescent="0.45">
      <c r="S522" t="s">
        <v>278</v>
      </c>
      <c r="T522" t="s">
        <v>345</v>
      </c>
      <c r="U522">
        <v>6.6428774988081488E-2</v>
      </c>
      <c r="V522" t="s">
        <v>163</v>
      </c>
    </row>
    <row r="523" spans="19:22" x14ac:dyDescent="0.45">
      <c r="S523" t="s">
        <v>278</v>
      </c>
      <c r="T523" t="s">
        <v>346</v>
      </c>
      <c r="U523">
        <v>1.4899072888877056E-2</v>
      </c>
      <c r="V523" t="s">
        <v>163</v>
      </c>
    </row>
    <row r="524" spans="19:22" x14ac:dyDescent="0.45">
      <c r="S524" t="s">
        <v>278</v>
      </c>
      <c r="T524" t="s">
        <v>347</v>
      </c>
      <c r="U524">
        <v>0.13898808467359941</v>
      </c>
      <c r="V524" t="s">
        <v>163</v>
      </c>
    </row>
    <row r="525" spans="19:22" x14ac:dyDescent="0.45">
      <c r="S525" t="s">
        <v>278</v>
      </c>
      <c r="T525" t="s">
        <v>348</v>
      </c>
      <c r="U525">
        <v>0.14748652697452819</v>
      </c>
      <c r="V525" t="s">
        <v>163</v>
      </c>
    </row>
    <row r="526" spans="19:22" x14ac:dyDescent="0.45">
      <c r="S526" t="s">
        <v>278</v>
      </c>
      <c r="T526" t="s">
        <v>349</v>
      </c>
      <c r="U526">
        <v>2.5849685498911062E-2</v>
      </c>
      <c r="V526" t="s">
        <v>163</v>
      </c>
    </row>
    <row r="527" spans="19:22" x14ac:dyDescent="0.45">
      <c r="S527" t="s">
        <v>279</v>
      </c>
      <c r="T527" t="s">
        <v>338</v>
      </c>
      <c r="U527">
        <v>0.11377248828585944</v>
      </c>
      <c r="V527" t="s">
        <v>163</v>
      </c>
    </row>
    <row r="528" spans="19:22" x14ac:dyDescent="0.45">
      <c r="S528" t="s">
        <v>279</v>
      </c>
      <c r="T528" t="s">
        <v>339</v>
      </c>
      <c r="U528">
        <v>0.11933165826066419</v>
      </c>
      <c r="V528" t="s">
        <v>163</v>
      </c>
    </row>
    <row r="529" spans="19:22" x14ac:dyDescent="0.45">
      <c r="S529" t="s">
        <v>279</v>
      </c>
      <c r="T529" t="s">
        <v>340</v>
      </c>
      <c r="U529">
        <v>2.2510508712300693E-2</v>
      </c>
      <c r="V529" t="s">
        <v>163</v>
      </c>
    </row>
    <row r="530" spans="19:22" x14ac:dyDescent="0.45">
      <c r="S530" t="s">
        <v>279</v>
      </c>
      <c r="T530" t="s">
        <v>341</v>
      </c>
      <c r="U530">
        <v>0.12774304668360595</v>
      </c>
      <c r="V530" t="s">
        <v>163</v>
      </c>
    </row>
    <row r="531" spans="19:22" x14ac:dyDescent="0.45">
      <c r="S531" t="s">
        <v>279</v>
      </c>
      <c r="T531" t="s">
        <v>342</v>
      </c>
      <c r="U531">
        <v>0.14548939398361949</v>
      </c>
      <c r="V531" t="s">
        <v>163</v>
      </c>
    </row>
    <row r="532" spans="19:22" x14ac:dyDescent="0.45">
      <c r="S532" t="s">
        <v>279</v>
      </c>
      <c r="T532" t="s">
        <v>343</v>
      </c>
      <c r="U532">
        <v>2.729086944026804E-2</v>
      </c>
      <c r="V532" t="s">
        <v>163</v>
      </c>
    </row>
    <row r="533" spans="19:22" x14ac:dyDescent="0.45">
      <c r="S533" t="s">
        <v>279</v>
      </c>
      <c r="T533" t="s">
        <v>344</v>
      </c>
      <c r="U533">
        <v>7.5004935872952802E-2</v>
      </c>
      <c r="V533" t="s">
        <v>163</v>
      </c>
    </row>
    <row r="534" spans="19:22" x14ac:dyDescent="0.45">
      <c r="S534" t="s">
        <v>279</v>
      </c>
      <c r="T534" t="s">
        <v>345</v>
      </c>
      <c r="U534">
        <v>8.7803256633971233E-2</v>
      </c>
      <c r="V534" t="s">
        <v>163</v>
      </c>
    </row>
    <row r="535" spans="19:22" x14ac:dyDescent="0.45">
      <c r="S535" t="s">
        <v>279</v>
      </c>
      <c r="T535" t="s">
        <v>346</v>
      </c>
      <c r="U535">
        <v>1.6975603114454424E-2</v>
      </c>
      <c r="V535" t="s">
        <v>163</v>
      </c>
    </row>
    <row r="536" spans="19:22" x14ac:dyDescent="0.45">
      <c r="S536" t="s">
        <v>279</v>
      </c>
      <c r="T536" t="s">
        <v>347</v>
      </c>
      <c r="U536">
        <v>0.11782742289863946</v>
      </c>
      <c r="V536" t="s">
        <v>163</v>
      </c>
    </row>
    <row r="537" spans="19:22" x14ac:dyDescent="0.45">
      <c r="S537" t="s">
        <v>279</v>
      </c>
      <c r="T537" t="s">
        <v>348</v>
      </c>
      <c r="U537">
        <v>0.12602584772202133</v>
      </c>
      <c r="V537" t="s">
        <v>163</v>
      </c>
    </row>
    <row r="538" spans="19:22" x14ac:dyDescent="0.45">
      <c r="S538" t="s">
        <v>279</v>
      </c>
      <c r="T538" t="s">
        <v>349</v>
      </c>
      <c r="U538">
        <v>2.0224968391643939E-2</v>
      </c>
      <c r="V53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2025-09-20T18:54:21Z</dcterms:modified>
</cp:coreProperties>
</file>