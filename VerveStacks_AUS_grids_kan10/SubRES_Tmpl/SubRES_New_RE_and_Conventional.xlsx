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bRES_Tmpl\"/>
    </mc:Choice>
  </mc:AlternateContent>
  <xr:revisionPtr revIDLastSave="0" documentId="13_ncr:1_{0F8A0462-D248-4CC0-B649-9D09D0F7865A}" xr6:coauthVersionLast="47" xr6:coauthVersionMax="47" xr10:uidLastSave="{00000000-0000-0000-0000-000000000000}"/>
  <bookViews>
    <workbookView xWindow="-98" yWindow="-98" windowWidth="28996" windowHeight="17475" activeTab="5" xr2:uid="{00000000-000D-0000-FFFF-FFFF00000000}"/>
  </bookViews>
  <sheets>
    <sheet name="misc" sheetId="7" r:id="rId1"/>
    <sheet name="EV Battery" sheetId="10" r:id="rId2"/>
    <sheet name="H2 prod" sheetId="11" r:id="rId3"/>
    <sheet name="solar" sheetId="12" r:id="rId4"/>
    <sheet name="wind" sheetId="13" r:id="rId5"/>
    <sheet name="conventional" sheetId="14" r:id="rId6"/>
  </sheets>
  <externalReferences>
    <externalReference r:id="rId7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K29" i="7"/>
  <c r="L28" i="7"/>
  <c r="J25" i="7"/>
  <c r="J27" i="7"/>
  <c r="J26" i="7"/>
  <c r="J24" i="7"/>
  <c r="J21" i="7"/>
  <c r="O27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9" i="7" l="1"/>
  <c r="J28" i="7"/>
  <c r="S5" i="10"/>
  <c r="O26" i="7"/>
  <c r="O25" i="7"/>
  <c r="O20" i="7"/>
  <c r="O24" i="7"/>
  <c r="O22" i="7"/>
  <c r="O21" i="7"/>
  <c r="O19" i="7"/>
  <c r="O18" i="7"/>
  <c r="O23" i="7"/>
  <c r="J18" i="7"/>
  <c r="J15" i="7"/>
  <c r="J14" i="7"/>
  <c r="J13" i="7"/>
</calcChain>
</file>

<file path=xl/sharedStrings.xml><?xml version="1.0" encoding="utf-8"?>
<sst xmlns="http://schemas.openxmlformats.org/spreadsheetml/2006/main" count="5690" uniqueCount="1574">
  <si>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</si>
  <si>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</si>
  <si>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</si>
  <si>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</si>
  <si>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</si>
  <si>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</si>
  <si>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</si>
  <si>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</si>
  <si>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</si>
  <si>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</si>
  <si>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</si>
  <si>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</si>
  <si>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</si>
  <si>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</si>
  <si>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</si>
  <si>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</si>
  <si>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</si>
  <si>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</si>
  <si>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ELC</t>
  </si>
  <si>
    <t>DMD</t>
  </si>
  <si>
    <t>TWh</t>
  </si>
  <si>
    <t>elc_buildings,elc_industry,elc_transport</t>
  </si>
  <si>
    <t>~FI_Comm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</si>
  <si>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</si>
  <si>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</si>
  <si>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</si>
  <si>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</si>
  <si>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</si>
  <si>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</si>
  <si>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</si>
  <si>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</si>
  <si>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</si>
  <si>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</si>
  <si>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</si>
  <si>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</si>
  <si>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</si>
  <si>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</si>
  <si>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</si>
  <si>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</si>
  <si>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</si>
  <si>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</si>
  <si>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</si>
  <si>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</si>
  <si>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</si>
  <si>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</si>
  <si>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</si>
  <si>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AuxStoOUT</t>
  </si>
  <si>
    <t>Aux commodity for storage discharging</t>
  </si>
  <si>
    <t>Tact</t>
  </si>
  <si>
    <t>Tcap</t>
  </si>
  <si>
    <t>CommGrp</t>
  </si>
  <si>
    <t>Comm-OUT-A</t>
  </si>
  <si>
    <t>LIFE</t>
  </si>
  <si>
    <t>FLO_FUNC</t>
  </si>
  <si>
    <t>ACT</t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</si>
  <si>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</si>
  <si>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</si>
  <si>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</si>
  <si>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</si>
  <si>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</si>
  <si>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</si>
  <si>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</si>
  <si>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</si>
  <si>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</si>
  <si>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</si>
  <si>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</si>
  <si>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</si>
  <si>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</si>
  <si>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</si>
  <si>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</si>
  <si>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</si>
  <si>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</si>
  <si>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</si>
  <si>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</si>
  <si>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</si>
  <si>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</si>
  <si>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</si>
  <si>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</si>
  <si>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</si>
  <si>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</si>
  <si>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</si>
  <si>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</si>
  <si>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</si>
  <si>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</si>
  <si>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</si>
  <si>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</si>
  <si>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</si>
  <si>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</si>
  <si>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</si>
  <si>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</si>
  <si>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</si>
  <si>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</si>
  <si>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</si>
  <si>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</si>
  <si>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</si>
  <si>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</si>
  <si>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</si>
  <si>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</si>
  <si>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</si>
  <si>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</si>
  <si>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</si>
  <si>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</si>
  <si>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</si>
  <si>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</si>
  <si>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</si>
  <si>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</si>
  <si>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</si>
  <si>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</si>
  <si>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</si>
  <si>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</si>
  <si>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</si>
  <si>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</si>
  <si>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</si>
  <si>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</si>
  <si>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</si>
  <si>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</si>
  <si>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</si>
  <si>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</si>
  <si>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</si>
  <si>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</si>
  <si>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</si>
  <si>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</si>
  <si>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</si>
  <si>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</si>
  <si>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</si>
  <si>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</si>
  <si>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</si>
  <si>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</si>
  <si>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</si>
  <si>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</si>
  <si>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</si>
  <si>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</si>
  <si>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</si>
  <si>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~FI_T: USD25~FX~ACT_BND</t>
  </si>
  <si>
    <t>h2_demand</t>
  </si>
  <si>
    <t>Heat demand</t>
  </si>
  <si>
    <t>het_buildings,het_industry</t>
  </si>
  <si>
    <t>PJ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</si>
  <si>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</si>
  <si>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</si>
  <si>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</si>
  <si>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</si>
  <si>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</si>
  <si>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</si>
  <si>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</si>
  <si>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</si>
  <si>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</si>
  <si>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e_spv_AUS_001</t>
  </si>
  <si>
    <t>solar resource near Perth (cluster 1)</t>
  </si>
  <si>
    <t>annual</t>
  </si>
  <si>
    <t>no</t>
  </si>
  <si>
    <t>e_spv_AUS_002</t>
  </si>
  <si>
    <t>solar resource near Adelaide (cluster 2)</t>
  </si>
  <si>
    <t>e_spv_AUS_003</t>
  </si>
  <si>
    <t>solar resource near Adelaide (cluster 3)</t>
  </si>
  <si>
    <t>e_spv_AUS_004</t>
  </si>
  <si>
    <t>solar resource near Adelaide (cluster 4)</t>
  </si>
  <si>
    <t>e_spv_AUS_005</t>
  </si>
  <si>
    <t>solar resource near Adelaide (cluster 5)</t>
  </si>
  <si>
    <t>e_spv_AUS_006</t>
  </si>
  <si>
    <t>solar resource near Adelaide (cluster 6)</t>
  </si>
  <si>
    <t>e_spv_AUS_007</t>
  </si>
  <si>
    <t>solar resource near Adelaide (cluster 7)</t>
  </si>
  <si>
    <t>e_spv_AUS_008</t>
  </si>
  <si>
    <t>solar resource near Adelaide (cluster 8)</t>
  </si>
  <si>
    <t>e_spv_AUS_009</t>
  </si>
  <si>
    <t>solar resource near Adelaide (cluster 9)</t>
  </si>
  <si>
    <t>e_spv_AUS_010</t>
  </si>
  <si>
    <t>solar resource near Adelaide (cluster 10)</t>
  </si>
  <si>
    <t>e_spv_AUS_011</t>
  </si>
  <si>
    <t>solar resource near Adelaide (cluster 11)</t>
  </si>
  <si>
    <t>e_spv_AUS_012</t>
  </si>
  <si>
    <t>solar resource near Darwin (cluster 12)</t>
  </si>
  <si>
    <t>e_spv_AUS_013</t>
  </si>
  <si>
    <t>solar resource near Adelaide (cluster 13)</t>
  </si>
  <si>
    <t>e_spv_AUS_014</t>
  </si>
  <si>
    <t>solar resource near Adelaide (cluster 14)</t>
  </si>
  <si>
    <t>e_spv_AUS_015</t>
  </si>
  <si>
    <t>solar resource near Adelaide (cluster 15)</t>
  </si>
  <si>
    <t>e_spv_AUS_016</t>
  </si>
  <si>
    <t>solar resource near Darwin (cluster 16)</t>
  </si>
  <si>
    <t>e_spv_AUS_017</t>
  </si>
  <si>
    <t>solar resource near Darwin (cluster 17)</t>
  </si>
  <si>
    <t>e_spv_AUS_018</t>
  </si>
  <si>
    <t>solar resource near Cairns (cluster 18)</t>
  </si>
  <si>
    <t>e_spv_AUS_019</t>
  </si>
  <si>
    <t>solar resource near Darwin (cluster 19)</t>
  </si>
  <si>
    <t>e_spv_AUS_020</t>
  </si>
  <si>
    <t>solar resource near Darwin (cluster 20)</t>
  </si>
  <si>
    <t>e_spv_AUS_021</t>
  </si>
  <si>
    <t>solar resource near Darwin (cluster 21)</t>
  </si>
  <si>
    <t>e_spv_AUS_022</t>
  </si>
  <si>
    <t>solar resource near Darwin (cluster 22)</t>
  </si>
  <si>
    <t>e_spv_AUS_023</t>
  </si>
  <si>
    <t>solar resource near Darwin (cluster 23)</t>
  </si>
  <si>
    <t>e_spv_AUS_024</t>
  </si>
  <si>
    <t>solar resource near Cairns (cluster 24)</t>
  </si>
  <si>
    <t>e_spv_AUS_025</t>
  </si>
  <si>
    <t>solar resource near Cairns (cluster 25)</t>
  </si>
  <si>
    <t>e_spv_AUS_026</t>
  </si>
  <si>
    <t>solar resource near Cairns (cluster 26)</t>
  </si>
  <si>
    <t>e_spv_AUS_027</t>
  </si>
  <si>
    <t>solar resource near Townsville (cluster 27)</t>
  </si>
  <si>
    <t>e_spv_AUS_028</t>
  </si>
  <si>
    <t>solar resource near Townsville (cluster 28)</t>
  </si>
  <si>
    <t>e_spv_AUS_029</t>
  </si>
  <si>
    <t>solar resource near Townsville (cluster 29)</t>
  </si>
  <si>
    <t>e_spv_AUS_030</t>
  </si>
  <si>
    <t>solar resource near Townsville (cluster 30)</t>
  </si>
  <si>
    <t>e_spv_AUS_031</t>
  </si>
  <si>
    <t>solar resource near Cairns (cluster 31)</t>
  </si>
  <si>
    <t>e_spv_AUS_032</t>
  </si>
  <si>
    <t>solar resource near Townsville (cluster 32)</t>
  </si>
  <si>
    <t>e_spv_AUS_033</t>
  </si>
  <si>
    <t>solar resource near Darwin (cluster 33)</t>
  </si>
  <si>
    <t>e_spv_AUS_034</t>
  </si>
  <si>
    <t>solar resource near Darwin (cluster 34)</t>
  </si>
  <si>
    <t>e_spv_AUS_035</t>
  </si>
  <si>
    <t>solar resource near Darwin (cluster 35)</t>
  </si>
  <si>
    <t>e_spv_AUS_036</t>
  </si>
  <si>
    <t>solar resource near Darwin (cluster 36)</t>
  </si>
  <si>
    <t>e_spv_AUS_037</t>
  </si>
  <si>
    <t>solar resource near Darwin (cluster 37)</t>
  </si>
  <si>
    <t>e_spv_AUS_038</t>
  </si>
  <si>
    <t>solar resource near Perth (cluster 38)</t>
  </si>
  <si>
    <t>e_spv_AUS_039</t>
  </si>
  <si>
    <t>solar resource near Perth (cluster 39)</t>
  </si>
  <si>
    <t>e_spv_AUS_040</t>
  </si>
  <si>
    <t>solar resource near Perth (cluster 40)</t>
  </si>
  <si>
    <t>e_spv_AUS_041</t>
  </si>
  <si>
    <t>solar resource near Perth (cluster 41)</t>
  </si>
  <si>
    <t>e_spv_AUS_042</t>
  </si>
  <si>
    <t>solar resource near Perth (cluster 42)</t>
  </si>
  <si>
    <t>e_spv_AUS_043</t>
  </si>
  <si>
    <t>solar resource near Perth (cluster 43)</t>
  </si>
  <si>
    <t>e_spv_AUS_044</t>
  </si>
  <si>
    <t>solar resource near Perth (cluster 44)</t>
  </si>
  <si>
    <t>e_spv_AUS_045</t>
  </si>
  <si>
    <t>solar resource near Darwin (cluster 45)</t>
  </si>
  <si>
    <t>e_spv_AUS_046</t>
  </si>
  <si>
    <t>solar resource near Perth (cluster 46)</t>
  </si>
  <si>
    <t>e_spv_AUS_047</t>
  </si>
  <si>
    <t>solar resource near Perth (cluster 47)</t>
  </si>
  <si>
    <t>e_spv_AUS_048</t>
  </si>
  <si>
    <t>solar resource near Perth (cluster 48)</t>
  </si>
  <si>
    <t>e_spv_AUS_049</t>
  </si>
  <si>
    <t>solar resource near Perth (cluster 49)</t>
  </si>
  <si>
    <t>e_spv_AUS_050</t>
  </si>
  <si>
    <t>solar resource near Darwin (cluster 50)</t>
  </si>
  <si>
    <t>e_spv_AUS_051</t>
  </si>
  <si>
    <t>solar resource near Perth (cluster 51)</t>
  </si>
  <si>
    <t>e_spv_AUS_052</t>
  </si>
  <si>
    <t>solar resource near Perth (cluster 52)</t>
  </si>
  <si>
    <t>e_spv_AUS_053</t>
  </si>
  <si>
    <t>solar resource near Canberra (cluster 53)</t>
  </si>
  <si>
    <t>e_spv_AUS_054</t>
  </si>
  <si>
    <t>solar resource near Canberra (cluster 54)</t>
  </si>
  <si>
    <t>e_spv_AUS_055</t>
  </si>
  <si>
    <t>solar resource near Bendigo (cluster 55)</t>
  </si>
  <si>
    <t>e_spv_AUS_056</t>
  </si>
  <si>
    <t>solar resource near Canberra (cluster 56)</t>
  </si>
  <si>
    <t>e_spv_AUS_057</t>
  </si>
  <si>
    <t>solar resource near Adelaide (cluster 57)</t>
  </si>
  <si>
    <t>e_spv_AUS_058</t>
  </si>
  <si>
    <t>solar resource near Bendigo (cluster 58)</t>
  </si>
  <si>
    <t>e_spv_AUS_059</t>
  </si>
  <si>
    <t>solar resource near Melbourne (cluster 59)</t>
  </si>
  <si>
    <t>e_spv_AUS_060</t>
  </si>
  <si>
    <t>solar resource near Cranbourne (cluster 60)</t>
  </si>
  <si>
    <t>e_spv_AUS_061</t>
  </si>
  <si>
    <t>solar resource near Cranbourne (cluster 61)</t>
  </si>
  <si>
    <t>e_spv_AUS_062</t>
  </si>
  <si>
    <t>solar resource near Ballarat (cluster 62)</t>
  </si>
  <si>
    <t>e_spv_AUS_063</t>
  </si>
  <si>
    <t>solar resource near Geelong (cluster 63)</t>
  </si>
  <si>
    <t>e_spv_AUS_064</t>
  </si>
  <si>
    <t>solar resource near Adelaide (cluster 64)</t>
  </si>
  <si>
    <t>e_spv_AUS_065</t>
  </si>
  <si>
    <t>solar resource near Adelaide (cluster 65)</t>
  </si>
  <si>
    <t>e_spv_AUS_066</t>
  </si>
  <si>
    <t>solar resource near Launceston (cluster 66)</t>
  </si>
  <si>
    <t>e_spv_AUS_067</t>
  </si>
  <si>
    <t>solar resource near Launceston (cluster 67)</t>
  </si>
  <si>
    <t>e_spv_AUS_068</t>
  </si>
  <si>
    <t>solar resource near Hobart (cluster 68)</t>
  </si>
  <si>
    <t>e_spv_AUS_069</t>
  </si>
  <si>
    <t>solar resource near Perth (cluster 69)</t>
  </si>
  <si>
    <t>e_spv_AUS_070</t>
  </si>
  <si>
    <t>solar resource near Perth (cluster 70)</t>
  </si>
  <si>
    <t>e_spv_AUS_071</t>
  </si>
  <si>
    <t>solar resource near Bunbury (cluster 71)</t>
  </si>
  <si>
    <t>e_spv_AUS_072</t>
  </si>
  <si>
    <t>solar resource near Bunbury (cluster 72)</t>
  </si>
  <si>
    <t>e_spv_AUS_073</t>
  </si>
  <si>
    <t>solar resource near Perth (cluster 73)</t>
  </si>
  <si>
    <t>e_spv_AUS_074</t>
  </si>
  <si>
    <t>solar resource near Perth (cluster 74)</t>
  </si>
  <si>
    <t>e_spv_AUS_075</t>
  </si>
  <si>
    <t>solar resource near Perth (cluster 75)</t>
  </si>
  <si>
    <t>e_spv_AUS_076</t>
  </si>
  <si>
    <t>solar resource near Perth (cluster 76)</t>
  </si>
  <si>
    <t>e_spv_AUS_077</t>
  </si>
  <si>
    <t>solar resource near Perth (cluster 77)</t>
  </si>
  <si>
    <t>e_spv_AUS_078</t>
  </si>
  <si>
    <t>solar resource near Perth (cluster 78)</t>
  </si>
  <si>
    <t>e_spv_AUS_079</t>
  </si>
  <si>
    <t>solar resource near Bundaberg (cluster 79)</t>
  </si>
  <si>
    <t>e_spv_AUS_080</t>
  </si>
  <si>
    <t>solar resource near Mackay (cluster 80)</t>
  </si>
  <si>
    <t>e_spv_AUS_081</t>
  </si>
  <si>
    <t>solar resource near Mackay (cluster 81)</t>
  </si>
  <si>
    <t>e_spv_AUS_082</t>
  </si>
  <si>
    <t>solar resource near Ipswich (cluster 82)</t>
  </si>
  <si>
    <t>e_spv_AUS_083</t>
  </si>
  <si>
    <t>solar resource near Toowoomba (cluster 83)</t>
  </si>
  <si>
    <t>e_spv_AUS_084</t>
  </si>
  <si>
    <t>solar resource near Toowoomba (cluster 84)</t>
  </si>
  <si>
    <t>e_spv_AUS_085</t>
  </si>
  <si>
    <t>solar resource near Rockhampton (cluster 85)</t>
  </si>
  <si>
    <t>e_spv_AUS_086</t>
  </si>
  <si>
    <t>solar resource near Mackay (cluster 86)</t>
  </si>
  <si>
    <t>e_spv_AUS_087</t>
  </si>
  <si>
    <t>solar resource near Rockhampton (cluster 87)</t>
  </si>
  <si>
    <t>e_spv_AUS_088</t>
  </si>
  <si>
    <t>solar resource near Sydney (cluster 88)</t>
  </si>
  <si>
    <t>e_spv_AUS_089</t>
  </si>
  <si>
    <t>solar resource near Canberra (cluster 89)</t>
  </si>
  <si>
    <t>e_spv_AUS_090</t>
  </si>
  <si>
    <t>solar resource near Newcastle (cluster 90)</t>
  </si>
  <si>
    <t>e_spv_AUS_091</t>
  </si>
  <si>
    <t>solar resource near Central Coast (cluster 91)</t>
  </si>
  <si>
    <t>e_spv_AUS_092</t>
  </si>
  <si>
    <t>solar resource near Adelaide (cluster 92)</t>
  </si>
  <si>
    <t>e_spv_AUS_093</t>
  </si>
  <si>
    <t>solar resource near Toowoomba (cluster 93)</t>
  </si>
  <si>
    <t>e_spv_AUS_094</t>
  </si>
  <si>
    <t>solar resource near Mackay (cluster 94)</t>
  </si>
  <si>
    <t>e_spv_AUS_095</t>
  </si>
  <si>
    <t>solar resource near Central Coast (cluster 95)</t>
  </si>
  <si>
    <t>e_spv_AUS_096</t>
  </si>
  <si>
    <t>solar resource near Bendigo (cluster 96)</t>
  </si>
  <si>
    <t>e_spv_AUS_097</t>
  </si>
  <si>
    <t>solar resource near Canberra (cluster 97)</t>
  </si>
  <si>
    <t>~fi_t</t>
  </si>
  <si>
    <t>comm-out</t>
  </si>
  <si>
    <t>cap_bnd</t>
  </si>
  <si>
    <t>af~fx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</si>
  <si>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</si>
  <si>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</si>
  <si>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</si>
  <si>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</si>
  <si>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</si>
  <si>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</si>
  <si>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</si>
  <si>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</si>
  <si>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</si>
  <si>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</si>
  <si>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</si>
  <si>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</si>
  <si>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</si>
  <si>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</si>
  <si>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</si>
  <si>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</si>
  <si>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</si>
  <si>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</si>
  <si>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</si>
  <si>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</si>
  <si>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</si>
  <si>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</si>
  <si>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</si>
  <si>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</si>
  <si>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</si>
  <si>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</si>
  <si>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</si>
  <si>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</si>
  <si>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</si>
  <si>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</si>
  <si>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</si>
  <si>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</si>
  <si>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</si>
  <si>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</si>
  <si>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</si>
  <si>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</si>
  <si>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</si>
  <si>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</si>
  <si>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</si>
  <si>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</si>
  <si>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</si>
  <si>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</si>
  <si>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</si>
  <si>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</si>
  <si>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</si>
  <si>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</si>
  <si>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</si>
  <si>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</si>
  <si>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</si>
  <si>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</si>
  <si>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</si>
  <si>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</si>
  <si>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</si>
  <si>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</si>
  <si>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</si>
  <si>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</si>
  <si>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</si>
  <si>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</si>
  <si>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</si>
  <si>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</si>
  <si>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</si>
  <si>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</si>
  <si>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</si>
  <si>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</si>
  <si>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</si>
  <si>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</si>
  <si>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</si>
  <si>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</si>
  <si>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</si>
  <si>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</si>
  <si>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</si>
  <si>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</si>
  <si>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</si>
  <si>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</si>
  <si>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</si>
  <si>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</si>
  <si>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</si>
  <si>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</si>
  <si>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</si>
  <si>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</si>
  <si>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</si>
  <si>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</si>
  <si>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</si>
  <si>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</si>
  <si>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</si>
  <si>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</si>
  <si>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</si>
  <si>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</si>
  <si>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</si>
  <si>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</si>
  <si>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</si>
  <si>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</si>
  <si>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</si>
  <si>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</si>
  <si>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</si>
  <si>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</si>
  <si>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</si>
  <si>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primarycg</t>
  </si>
  <si>
    <t>pre</t>
  </si>
  <si>
    <t>distr_solelc_spv_AUS_048</t>
  </si>
  <si>
    <t>connecting solar to buses in cluster 48</t>
  </si>
  <si>
    <t>NRGI</t>
  </si>
  <si>
    <t>daynite</t>
  </si>
  <si>
    <t>distr_solelc_spv_AUS_035</t>
  </si>
  <si>
    <t>connecting solar to buses in cluster 35</t>
  </si>
  <si>
    <t>distr_solelc_spv_AUS_093</t>
  </si>
  <si>
    <t>connecting solar to buses in cluster 93</t>
  </si>
  <si>
    <t>distr_solelc_spv_AUS_050</t>
  </si>
  <si>
    <t>connecting solar to buses in cluster 50</t>
  </si>
  <si>
    <t>distr_solelc_spv_AUS_043</t>
  </si>
  <si>
    <t>connecting solar to buses in cluster 43</t>
  </si>
  <si>
    <t>distr_solelc_spv_AUS_029</t>
  </si>
  <si>
    <t>connecting solar to buses in cluster 29</t>
  </si>
  <si>
    <t>distr_solelc_spv_AUS_062</t>
  </si>
  <si>
    <t>connecting solar to buses in cluster 62</t>
  </si>
  <si>
    <t>distr_solelc_spv_AUS_058</t>
  </si>
  <si>
    <t>connecting solar to buses in cluster 58</t>
  </si>
  <si>
    <t>distr_solelc_spv_AUS_092</t>
  </si>
  <si>
    <t>connecting solar to buses in cluster 92</t>
  </si>
  <si>
    <t>distr_solelc_spv_AUS_084</t>
  </si>
  <si>
    <t>connecting solar to buses in cluster 84</t>
  </si>
  <si>
    <t>distr_solelc_spv_AUS_007</t>
  </si>
  <si>
    <t>connecting solar to buses in cluster 7</t>
  </si>
  <si>
    <t>distr_solelc_spv_AUS_087</t>
  </si>
  <si>
    <t>connecting solar to buses in cluster 87</t>
  </si>
  <si>
    <t>distr_solelc_spv_AUS_040</t>
  </si>
  <si>
    <t>connecting solar to buses in cluster 40</t>
  </si>
  <si>
    <t>distr_solelc_spv_AUS_037</t>
  </si>
  <si>
    <t>connecting solar to buses in cluster 37</t>
  </si>
  <si>
    <t>distr_solelc_spv_AUS_009</t>
  </si>
  <si>
    <t>connecting solar to buses in cluster 9</t>
  </si>
  <si>
    <t>distr_solelc_spv_AUS_026</t>
  </si>
  <si>
    <t>connecting solar to buses in cluster 26</t>
  </si>
  <si>
    <t>distr_solelc_spv_AUS_096</t>
  </si>
  <si>
    <t>connecting solar to buses in cluster 96</t>
  </si>
  <si>
    <t>distr_solelc_spv_AUS_072</t>
  </si>
  <si>
    <t>connecting solar to buses in cluster 72</t>
  </si>
  <si>
    <t>distr_solelc_spv_AUS_039</t>
  </si>
  <si>
    <t>connecting solar to buses in cluster 39</t>
  </si>
  <si>
    <t>distr_solelc_spv_AUS_045</t>
  </si>
  <si>
    <t>connecting solar to buses in cluster 45</t>
  </si>
  <si>
    <t>distr_solelc_spv_AUS_010</t>
  </si>
  <si>
    <t>connecting solar to buses in cluster 10</t>
  </si>
  <si>
    <t>distr_solelc_spv_AUS_032</t>
  </si>
  <si>
    <t>connecting solar to buses in cluster 32</t>
  </si>
  <si>
    <t>distr_solelc_spv_AUS_018</t>
  </si>
  <si>
    <t>connecting solar to buses in cluster 18</t>
  </si>
  <si>
    <t>distr_solelc_spv_AUS_025</t>
  </si>
  <si>
    <t>connecting solar to buses in cluster 25</t>
  </si>
  <si>
    <t>distr_solelc_spv_AUS_090</t>
  </si>
  <si>
    <t>connecting solar to buses in cluster 90</t>
  </si>
  <si>
    <t>distr_solelc_spv_AUS_074</t>
  </si>
  <si>
    <t>connecting solar to buses in cluster 74</t>
  </si>
  <si>
    <t>distr_solelc_spv_AUS_052</t>
  </si>
  <si>
    <t>connecting solar to buses in cluster 52</t>
  </si>
  <si>
    <t>distr_solelc_spv_AUS_041</t>
  </si>
  <si>
    <t>connecting solar to buses in cluster 41</t>
  </si>
  <si>
    <t>distr_solelc_spv_AUS_033</t>
  </si>
  <si>
    <t>connecting solar to buses in cluster 33</t>
  </si>
  <si>
    <t>distr_solelc_spv_AUS_003</t>
  </si>
  <si>
    <t>connecting solar to buses in cluster 3</t>
  </si>
  <si>
    <t>distr_solelc_spv_AUS_017</t>
  </si>
  <si>
    <t>connecting solar to buses in cluster 17</t>
  </si>
  <si>
    <t>distr_solelc_spv_AUS_063</t>
  </si>
  <si>
    <t>connecting solar to buses in cluster 63</t>
  </si>
  <si>
    <t>distr_solelc_spv_AUS_061</t>
  </si>
  <si>
    <t>connecting solar to buses in cluster 61</t>
  </si>
  <si>
    <t>distr_solelc_spv_AUS_055</t>
  </si>
  <si>
    <t>connecting solar to buses in cluster 55</t>
  </si>
  <si>
    <t>distr_solelc_spv_AUS_053</t>
  </si>
  <si>
    <t>connecting solar to buses in cluster 53</t>
  </si>
  <si>
    <t>distr_solelc_spv_AUS_047</t>
  </si>
  <si>
    <t>connecting solar to buses in cluster 47</t>
  </si>
  <si>
    <t>distr_solelc_spv_AUS_019</t>
  </si>
  <si>
    <t>connecting solar to buses in cluster 19</t>
  </si>
  <si>
    <t>distr_solelc_spv_AUS_094</t>
  </si>
  <si>
    <t>connecting solar to buses in cluster 94</t>
  </si>
  <si>
    <t>distr_solelc_spv_AUS_054</t>
  </si>
  <si>
    <t>connecting solar to buses in cluster 54</t>
  </si>
  <si>
    <t>distr_solelc_spv_AUS_051</t>
  </si>
  <si>
    <t>connecting solar to buses in cluster 51</t>
  </si>
  <si>
    <t>distr_solelc_spv_AUS_036</t>
  </si>
  <si>
    <t>connecting solar to buses in cluster 36</t>
  </si>
  <si>
    <t>distr_solelc_spv_AUS_008</t>
  </si>
  <si>
    <t>connecting solar to buses in cluster 8</t>
  </si>
  <si>
    <t>distr_solelc_spv_AUS_095</t>
  </si>
  <si>
    <t>connecting solar to buses in cluster 95</t>
  </si>
  <si>
    <t>distr_solelc_spv_AUS_071</t>
  </si>
  <si>
    <t>connecting solar to buses in cluster 71</t>
  </si>
  <si>
    <t>distr_solelc_spv_AUS_077</t>
  </si>
  <si>
    <t>connecting solar to buses in cluster 77</t>
  </si>
  <si>
    <t>distr_solelc_spv_AUS_046</t>
  </si>
  <si>
    <t>connecting solar to buses in cluster 46</t>
  </si>
  <si>
    <t>distr_solelc_spv_AUS_001</t>
  </si>
  <si>
    <t>connecting solar to buses in cluster 1</t>
  </si>
  <si>
    <t>distr_solelc_spv_AUS_012</t>
  </si>
  <si>
    <t>connecting solar to buses in cluster 12</t>
  </si>
  <si>
    <t>distr_solelc_spv_AUS_020</t>
  </si>
  <si>
    <t>connecting solar to buses in cluster 20</t>
  </si>
  <si>
    <t>distr_solelc_spv_AUS_023</t>
  </si>
  <si>
    <t>connecting solar to buses in cluster 23</t>
  </si>
  <si>
    <t>distr_solelc_spv_AUS_021</t>
  </si>
  <si>
    <t>connecting solar to buses in cluster 21</t>
  </si>
  <si>
    <t>distr_solelc_spv_AUS_002</t>
  </si>
  <si>
    <t>connecting solar to buses in cluster 2</t>
  </si>
  <si>
    <t>distr_solelc_spv_AUS_028</t>
  </si>
  <si>
    <t>connecting solar to buses in cluster 28</t>
  </si>
  <si>
    <t>distr_solelc_spv_AUS_088</t>
  </si>
  <si>
    <t>connecting solar to buses in cluster 88</t>
  </si>
  <si>
    <t>distr_solelc_spv_AUS_076</t>
  </si>
  <si>
    <t>connecting solar to buses in cluster 76</t>
  </si>
  <si>
    <t>distr_solelc_spv_AUS_078</t>
  </si>
  <si>
    <t>connecting solar to buses in cluster 78</t>
  </si>
  <si>
    <t>distr_solelc_spv_AUS_015</t>
  </si>
  <si>
    <t>connecting solar to buses in cluster 15</t>
  </si>
  <si>
    <t>distr_solelc_spv_AUS_060</t>
  </si>
  <si>
    <t>connecting solar to buses in cluster 60</t>
  </si>
  <si>
    <t>distr_solelc_spv_AUS_022</t>
  </si>
  <si>
    <t>connecting solar to buses in cluster 22</t>
  </si>
  <si>
    <t>distr_solelc_spv_AUS_014</t>
  </si>
  <si>
    <t>connecting solar to buses in cluster 14</t>
  </si>
  <si>
    <t>distr_solelc_spv_AUS_013</t>
  </si>
  <si>
    <t>connecting solar to buses in cluster 13</t>
  </si>
  <si>
    <t>distr_solelc_spv_AUS_065</t>
  </si>
  <si>
    <t>connecting solar to buses in cluster 65</t>
  </si>
  <si>
    <t>distr_solelc_spv_AUS_091</t>
  </si>
  <si>
    <t>connecting solar to buses in cluster 91</t>
  </si>
  <si>
    <t>distr_solelc_spv_AUS_016</t>
  </si>
  <si>
    <t>connecting solar to buses in cluster 16</t>
  </si>
  <si>
    <t>distr_solelc_spv_AUS_011</t>
  </si>
  <si>
    <t>connecting solar to buses in cluster 11</t>
  </si>
  <si>
    <t>distr_solelc_spv_AUS_004</t>
  </si>
  <si>
    <t>connecting solar to buses in cluster 4</t>
  </si>
  <si>
    <t>distr_solelc_spv_AUS_024</t>
  </si>
  <si>
    <t>connecting solar to buses in cluster 24</t>
  </si>
  <si>
    <t>distr_solelc_spv_AUS_066</t>
  </si>
  <si>
    <t>connecting solar to buses in cluster 66</t>
  </si>
  <si>
    <t>distr_solelc_spv_AUS_081</t>
  </si>
  <si>
    <t>connecting solar to buses in cluster 81</t>
  </si>
  <si>
    <t>distr_solelc_spv_AUS_056</t>
  </si>
  <si>
    <t>connecting solar to buses in cluster 56</t>
  </si>
  <si>
    <t>distr_solelc_spv_AUS_080</t>
  </si>
  <si>
    <t>connecting solar to buses in cluster 80</t>
  </si>
  <si>
    <t>distr_solelc_spv_AUS_082</t>
  </si>
  <si>
    <t>connecting solar to buses in cluster 82</t>
  </si>
  <si>
    <t>distr_solelc_spv_AUS_075</t>
  </si>
  <si>
    <t>connecting solar to buses in cluster 75</t>
  </si>
  <si>
    <t>distr_solelc_spv_AUS_073</t>
  </si>
  <si>
    <t>connecting solar to buses in cluster 73</t>
  </si>
  <si>
    <t>distr_solelc_spv_AUS_042</t>
  </si>
  <si>
    <t>connecting solar to buses in cluster 42</t>
  </si>
  <si>
    <t>distr_solelc_spv_AUS_005</t>
  </si>
  <si>
    <t>connecting solar to buses in cluster 5</t>
  </si>
  <si>
    <t>distr_solelc_spv_AUS_006</t>
  </si>
  <si>
    <t>connecting solar to buses in cluster 6</t>
  </si>
  <si>
    <t>distr_solelc_spv_AUS_031</t>
  </si>
  <si>
    <t>connecting solar to buses in cluster 31</t>
  </si>
  <si>
    <t>distr_solelc_spv_AUS_030</t>
  </si>
  <si>
    <t>connecting solar to buses in cluster 30</t>
  </si>
  <si>
    <t>distr_solelc_spv_AUS_059</t>
  </si>
  <si>
    <t>connecting solar to buses in cluster 59</t>
  </si>
  <si>
    <t>distr_solelc_spv_AUS_097</t>
  </si>
  <si>
    <t>connecting solar to buses in cluster 97</t>
  </si>
  <si>
    <t>distr_solelc_spv_AUS_067</t>
  </si>
  <si>
    <t>connecting solar to buses in cluster 67</t>
  </si>
  <si>
    <t>distr_solelc_spv_AUS_079</t>
  </si>
  <si>
    <t>connecting solar to buses in cluster 79</t>
  </si>
  <si>
    <t>distr_solelc_spv_AUS_070</t>
  </si>
  <si>
    <t>connecting solar to buses in cluster 70</t>
  </si>
  <si>
    <t>distr_solelc_spv_AUS_049</t>
  </si>
  <si>
    <t>connecting solar to buses in cluster 49</t>
  </si>
  <si>
    <t>distr_solelc_spv_AUS_064</t>
  </si>
  <si>
    <t>connecting solar to buses in cluster 64</t>
  </si>
  <si>
    <t>distr_solelc_spv_AUS_086</t>
  </si>
  <si>
    <t>connecting solar to buses in cluster 86</t>
  </si>
  <si>
    <t>distr_solelc_spv_AUS_068</t>
  </si>
  <si>
    <t>connecting solar to buses in cluster 68</t>
  </si>
  <si>
    <t>distr_solelc_spv_AUS_038</t>
  </si>
  <si>
    <t>connecting solar to buses in cluster 38</t>
  </si>
  <si>
    <t>distr_solelc_spv_AUS_069</t>
  </si>
  <si>
    <t>connecting solar to buses in cluster 69</t>
  </si>
  <si>
    <t>distr_solelc_spv_AUS_044</t>
  </si>
  <si>
    <t>connecting solar to buses in cluster 44</t>
  </si>
  <si>
    <t>distr_solelc_spv_AUS_034</t>
  </si>
  <si>
    <t>connecting solar to buses in cluster 34</t>
  </si>
  <si>
    <t>distr_solelc_spv_AUS_027</t>
  </si>
  <si>
    <t>connecting solar to buses in cluster 27</t>
  </si>
  <si>
    <t>distr_solelc_spv_AUS_057</t>
  </si>
  <si>
    <t>connecting solar to buses in cluster 57</t>
  </si>
  <si>
    <t>distr_solelc_spv_AUS_085</t>
  </si>
  <si>
    <t>connecting solar to buses in cluster 85</t>
  </si>
  <si>
    <t>distr_solelc_spv_AUS_083</t>
  </si>
  <si>
    <t>connecting solar to buses in cluster 83</t>
  </si>
  <si>
    <t>distr_solelc_spv_AUS_089</t>
  </si>
  <si>
    <t>connecting solar to buses in cluster 89</t>
  </si>
  <si>
    <t>comm-in</t>
  </si>
  <si>
    <t>ncap_cost~USD21_alt</t>
  </si>
  <si>
    <t>e_AUS22p9S118p7E_AUS,e_Kalgoorlie_AUS</t>
  </si>
  <si>
    <t>e_AUS22p9S118p7E_AUS,e_Chalumbin_AUS</t>
  </si>
  <si>
    <t>e_BrokenHill_AUS,e_WandoanSouth_AUS,e_MountPiper_AUS</t>
  </si>
  <si>
    <t>e_Karratha_AUS,e_AUS22p9S118p7E_AUS</t>
  </si>
  <si>
    <t>e_Kalgoorlie_AUS</t>
  </si>
  <si>
    <t>e_Chalumbin_AUS</t>
  </si>
  <si>
    <t>e_Tarrone_AUS,e_Horsham_AUS,e_Ballarat_AUS</t>
  </si>
  <si>
    <t>e_Balranald_AUS,e_SouthMorang_AUS,e_DarlingtonPoint_AUS</t>
  </si>
  <si>
    <t>e_BrokenHill_AUS</t>
  </si>
  <si>
    <t>e_WandoanSouth_AUS,e_BulliCreek_AUS</t>
  </si>
  <si>
    <t>e_OlympicDamWest_AUS</t>
  </si>
  <si>
    <t>e_Broadsound_AUS,e_WandoanSouth_AUS</t>
  </si>
  <si>
    <t>e_Morawa_AUS,e_Kalgoorlie_AUS</t>
  </si>
  <si>
    <t>e_Karratha_AUS,e_AUS22p9S118p7E_AUS,e_Chalumbin_AUS</t>
  </si>
  <si>
    <t>e_OlympicDamWest_AUS,e_Davenport_AUS</t>
  </si>
  <si>
    <t>e_DarlingtonPoint_AUS,e_Wagga_AUS,e_MountPiper_AUS</t>
  </si>
  <si>
    <t>e_Australind_AUS,e_Merredin_AUS</t>
  </si>
  <si>
    <t>e_AUS22p9S118p7E_AUS</t>
  </si>
  <si>
    <t>e_CentralCoast_AUS,e_Armidale_AUS</t>
  </si>
  <si>
    <t>e_Morawa_AUS,e_TomPriceMine_AUS,e_Karratha_AUS</t>
  </si>
  <si>
    <t>e_TomPriceMine_AUS,e_Karratha_AUS,e_AUS22p9S118p7E_AUS</t>
  </si>
  <si>
    <t>e_AUS22p9S118p7E_AUS,e_Karratha_AUS,e_Chalumbin_AUS</t>
  </si>
  <si>
    <t>e_Tarrone_AUS,e_Ballarat_AUS,e_SouthMorang_AUS</t>
  </si>
  <si>
    <t>e_Ballarat_AUS,e_Rowville_AUS,e_SouthMorang_AUS,e_Hazelwood_AUS</t>
  </si>
  <si>
    <t>e_SouthMorang_AUS,e_DarlingtonPoint_AUS,e_Wagga_AUS</t>
  </si>
  <si>
    <t>e_Murray_AUS,e_Canberra_AUS</t>
  </si>
  <si>
    <t>e_Chalumbin_AUS,e_BrokenHill_AUS,e_Broadsound_AUS,e_WandoanSouth_AUS</t>
  </si>
  <si>
    <t>e_Wagga_AUS,e_UpperTumut_AUS,e_Canberra_AUS,e_MountPiper_AUS</t>
  </si>
  <si>
    <t>e_Karratha_AUS,e_TomPriceMine_AUS,e_AUS22p9S118p7E_AUS</t>
  </si>
  <si>
    <t>e_MountPiper_AUS,e_Armidale_AUS</t>
  </si>
  <si>
    <t>e_Australind_AUS</t>
  </si>
  <si>
    <t>e_Morawa_AUS,e_Merredin_AUS,e_Kalgoorlie_AUS</t>
  </si>
  <si>
    <t>e_Kalgoorlie_AUS,e_AUS22p9S118p7E_AUS</t>
  </si>
  <si>
    <t>e_AUS22p9S118p7E_AUS,e_Chalumbin_AUS,e_OlympicDamWest_AUS</t>
  </si>
  <si>
    <t>e_Davenport_AUS,e_Robertstown_AUS,e_Para_AUS,e_Balranald_AUS,e_BrokenHill_AUS</t>
  </si>
  <si>
    <t>e_Chalumbin_AUS,e_Broadsound_AUS,e_Strathmore_AUS</t>
  </si>
  <si>
    <t>e_SydneyWest_AUS,e_MountPiper_AUS,e_CentralCoast_AUS</t>
  </si>
  <si>
    <t>e_Perth_AUS,e_Yandin_AUS,e_Australind_AUS</t>
  </si>
  <si>
    <t>e_Australind_AUS,e_Merredin_AUS,e_Morawa_AUS</t>
  </si>
  <si>
    <t>e_OlympicDamWest_AUS,e_Chalumbin_AUS,e_BrokenHill_AUS</t>
  </si>
  <si>
    <t>e_Hazelwood_AUS</t>
  </si>
  <si>
    <t>e_Davenport_AUS,e_OlympicDamWest_AUS,e_Robertstown_AUS,e_BrokenHill_AUS</t>
  </si>
  <si>
    <t>e_Tarrone_AUS,e_Para_AUS</t>
  </si>
  <si>
    <t>e_MountPiper_AUS,e_Armidale_AUS,e_BulliCreek_AUS,e_CentralCoast_AUS</t>
  </si>
  <si>
    <t>e_OlympicDamWest_AUS,e_Chalumbin_AUS</t>
  </si>
  <si>
    <t>e_Davenport_AUS,e_Robertstown_AUS,e_Para_AUS</t>
  </si>
  <si>
    <t>e_SouthMorang_AUS,e_Sheffield_AUS,e_Palmerston_AUS</t>
  </si>
  <si>
    <t>e_Strathmore_AUS,e_Nebo_AUS,e_Broadsound_AUS</t>
  </si>
  <si>
    <t>e_Murray_AUS,e_Wagga_AUS,e_UpperTumut_AUS</t>
  </si>
  <si>
    <t>e_Strathmore_AUS,e_Nebo_AUS,e_Broadsound_AUS,e_Bouldercombe_AUS</t>
  </si>
  <si>
    <t>e_BulliCreek_AUS,e_Tarong_AUS,e_Armidale_AUS,e_Blackwall_AUS</t>
  </si>
  <si>
    <t>e_Yandin_AUS,e_Morawa_AUS</t>
  </si>
  <si>
    <t>e_Morawa_AUS,e_TomPriceMine_AUS</t>
  </si>
  <si>
    <t>e_Horsham_AUS,e_Balranald_AUS,e_Ballarat_AUS,e_Rowville_AUS,e_SouthMorang_AUS,e_Hazelwood_AUS</t>
  </si>
  <si>
    <t>e_BrokenHill_AUS,e_Balranald_AUS,e_DarlingtonPoint_AUS,e_MountPiper_AUS</t>
  </si>
  <si>
    <t>e_Palmerston_AUS,e_Sheffield_AUS</t>
  </si>
  <si>
    <t>e_Broadsound_AUS,e_Calvale_AUS,e_Bouldercombe_AUS,e_Tarong_AUS,e_GinGin_AUS,e_CalliopeRiver_AUS,e_Blackwall_AUS</t>
  </si>
  <si>
    <t>e_Merredin_AUS,e_Kalgoorlie_AUS</t>
  </si>
  <si>
    <t>e_Para_AUS</t>
  </si>
  <si>
    <t>e_Broadsound_AUS</t>
  </si>
  <si>
    <t>e_Palmerston_AUS</t>
  </si>
  <si>
    <t>e_TomPriceMine_AUS,e_Morawa_AUS,e_AUS22p9S118p7E_AUS,e_Kalgoorlie_AUS</t>
  </si>
  <si>
    <t>e_Strathmore_AUS,e_Chalumbin_AUS</t>
  </si>
  <si>
    <t>e_Balranald_AUS,e_BrokenHill_AUS,e_DarlingtonPoint_AUS</t>
  </si>
  <si>
    <t>e_WandoanSouth_AUS,e_Broadsound_AUS,e_Calvale_AUS,e_Bouldercombe_AUS</t>
  </si>
  <si>
    <t>e_Canberra_AUS,e_MountPiper_AUS,e_SydneyWest_AUS</t>
  </si>
  <si>
    <t>distr_wonelc_won_AUS_071</t>
  </si>
  <si>
    <t>connecting wind onshore to buses in cluster 71</t>
  </si>
  <si>
    <t>distr_wonelc_won_AUS_029</t>
  </si>
  <si>
    <t>connecting wind onshore to buses in cluster 29</t>
  </si>
  <si>
    <t>distr_wonelc_won_AUS_016</t>
  </si>
  <si>
    <t>connecting wind onshore to buses in cluster 16</t>
  </si>
  <si>
    <t>distr_wonelc_won_AUS_014</t>
  </si>
  <si>
    <t>connecting wind onshore to buses in cluster 14</t>
  </si>
  <si>
    <t>distr_wonelc_won_AUS_021</t>
  </si>
  <si>
    <t>connecting wind onshore to buses in cluster 21</t>
  </si>
  <si>
    <t>distr_wonelc_won_AUS_011</t>
  </si>
  <si>
    <t>connecting wind onshore to buses in cluster 11</t>
  </si>
  <si>
    <t>distr_wonelc_won_AUS_041</t>
  </si>
  <si>
    <t>connecting wind onshore to buses in cluster 41</t>
  </si>
  <si>
    <t>distr_wonelc_won_AUS_066</t>
  </si>
  <si>
    <t>connecting wind onshore to buses in cluster 66</t>
  </si>
  <si>
    <t>distr_wonelc_won_AUS_056</t>
  </si>
  <si>
    <t>connecting wind onshore to buses in cluster 56</t>
  </si>
  <si>
    <t>distr_wonelc_won_AUS_069</t>
  </si>
  <si>
    <t>connecting wind onshore to buses in cluster 69</t>
  </si>
  <si>
    <t>distr_wonelc_won_AUS_082</t>
  </si>
  <si>
    <t>connecting wind onshore to buses in cluster 82</t>
  </si>
  <si>
    <t>distr_wonelc_won_AUS_087</t>
  </si>
  <si>
    <t>connecting wind onshore to buses in cluster 87</t>
  </si>
  <si>
    <t>distr_wonelc_won_AUS_028</t>
  </si>
  <si>
    <t>connecting wind onshore to buses in cluster 28</t>
  </si>
  <si>
    <t>distr_wonelc_won_AUS_044</t>
  </si>
  <si>
    <t>connecting wind onshore to buses in cluster 44</t>
  </si>
  <si>
    <t>distr_wonelc_won_AUS_035</t>
  </si>
  <si>
    <t>connecting wind onshore to buses in cluster 35</t>
  </si>
  <si>
    <t>distr_wonelc_won_AUS_036</t>
  </si>
  <si>
    <t>connecting wind onshore to buses in cluster 36</t>
  </si>
  <si>
    <t>distr_wonelc_won_AUS_033</t>
  </si>
  <si>
    <t>connecting wind onshore to buses in cluster 33</t>
  </si>
  <si>
    <t>distr_wonelc_won_AUS_065</t>
  </si>
  <si>
    <t>connecting wind onshore to buses in cluster 65</t>
  </si>
  <si>
    <t>distr_wonelc_won_AUS_097</t>
  </si>
  <si>
    <t>connecting wind onshore to buses in cluster 97</t>
  </si>
  <si>
    <t>distr_wonelc_won_AUS_070</t>
  </si>
  <si>
    <t>connecting wind onshore to buses in cluster 70</t>
  </si>
  <si>
    <t>distr_wonelc_won_AUS_017</t>
  </si>
  <si>
    <t>connecting wind onshore to buses in cluster 17</t>
  </si>
  <si>
    <t>distr_wonelc_won_AUS_088</t>
  </si>
  <si>
    <t>connecting wind onshore to buses in cluster 88</t>
  </si>
  <si>
    <t>distr_wonelc_won_AUS_052</t>
  </si>
  <si>
    <t>connecting wind onshore to buses in cluster 52</t>
  </si>
  <si>
    <t>distr_wonelc_won_AUS_037</t>
  </si>
  <si>
    <t>connecting wind onshore to buses in cluster 37</t>
  </si>
  <si>
    <t>distr_wonelc_won_AUS_002</t>
  </si>
  <si>
    <t>connecting wind onshore to buses in cluster 2</t>
  </si>
  <si>
    <t>distr_wonelc_won_AUS_006</t>
  </si>
  <si>
    <t>connecting wind onshore to buses in cluster 6</t>
  </si>
  <si>
    <t>distr_wonelc_won_AUS_067</t>
  </si>
  <si>
    <t>connecting wind onshore to buses in cluster 67</t>
  </si>
  <si>
    <t>distr_wonelc_won_AUS_095</t>
  </si>
  <si>
    <t>connecting wind onshore to buses in cluster 95</t>
  </si>
  <si>
    <t>distr_wonelc_won_AUS_073</t>
  </si>
  <si>
    <t>connecting wind onshore to buses in cluster 73</t>
  </si>
  <si>
    <t>distr_wonelc_won_AUS_089</t>
  </si>
  <si>
    <t>connecting wind onshore to buses in cluster 89</t>
  </si>
  <si>
    <t>distr_wonelc_won_AUS_064</t>
  </si>
  <si>
    <t>connecting wind onshore to buses in cluster 64</t>
  </si>
  <si>
    <t>distr_wonelc_won_AUS_060</t>
  </si>
  <si>
    <t>connecting wind onshore to buses in cluster 60</t>
  </si>
  <si>
    <t>distr_wonelc_won_AUS_078</t>
  </si>
  <si>
    <t>connecting wind onshore to buses in cluster 78</t>
  </si>
  <si>
    <t>distr_wonelc_won_AUS_090</t>
  </si>
  <si>
    <t>connecting wind onshore to buses in cluster 90</t>
  </si>
  <si>
    <t>distr_wonelc_won_AUS_020</t>
  </si>
  <si>
    <t>connecting wind onshore to buses in cluster 20</t>
  </si>
  <si>
    <t>distr_wonelc_won_AUS_045</t>
  </si>
  <si>
    <t>connecting wind onshore to buses in cluster 45</t>
  </si>
  <si>
    <t>distr_wonelc_won_AUS_012</t>
  </si>
  <si>
    <t>connecting wind onshore to buses in cluster 12</t>
  </si>
  <si>
    <t>distr_wonelc_won_AUS_034</t>
  </si>
  <si>
    <t>connecting wind onshore to buses in cluster 34</t>
  </si>
  <si>
    <t>distr_wonelc_won_AUS_010</t>
  </si>
  <si>
    <t>connecting wind onshore to buses in cluster 10</t>
  </si>
  <si>
    <t>distr_wonelc_won_AUS_003</t>
  </si>
  <si>
    <t>connecting wind onshore to buses in cluster 3</t>
  </si>
  <si>
    <t>distr_wonelc_won_AUS_055</t>
  </si>
  <si>
    <t>connecting wind onshore to buses in cluster 55</t>
  </si>
  <si>
    <t>distr_wonelc_won_AUS_062</t>
  </si>
  <si>
    <t>connecting wind onshore to buses in cluster 62</t>
  </si>
  <si>
    <t>distr_wonelc_won_AUS_096</t>
  </si>
  <si>
    <t>connecting wind onshore to buses in cluster 96</t>
  </si>
  <si>
    <t>distr_wonelc_won_AUS_079</t>
  </si>
  <si>
    <t>connecting wind onshore to buses in cluster 79</t>
  </si>
  <si>
    <t>distr_wonelc_won_AUS_076</t>
  </si>
  <si>
    <t>connecting wind onshore to buses in cluster 76</t>
  </si>
  <si>
    <t>distr_wonelc_won_AUS_024</t>
  </si>
  <si>
    <t>connecting wind onshore to buses in cluster 24</t>
  </si>
  <si>
    <t>distr_wonelc_won_AUS_004</t>
  </si>
  <si>
    <t>connecting wind onshore to buses in cluster 4</t>
  </si>
  <si>
    <t>distr_wonelc_won_AUS_075</t>
  </si>
  <si>
    <t>connecting wind onshore to buses in cluster 75</t>
  </si>
  <si>
    <t>distr_wonelc_won_AUS_091</t>
  </si>
  <si>
    <t>connecting wind onshore to buses in cluster 91</t>
  </si>
  <si>
    <t>distr_wonelc_won_AUS_085</t>
  </si>
  <si>
    <t>connecting wind onshore to buses in cluster 85</t>
  </si>
  <si>
    <t>distr_wonelc_won_AUS_077</t>
  </si>
  <si>
    <t>connecting wind onshore to buses in cluster 77</t>
  </si>
  <si>
    <t>distr_wonelc_won_AUS_050</t>
  </si>
  <si>
    <t>connecting wind onshore to buses in cluster 50</t>
  </si>
  <si>
    <t>distr_wonelc_won_AUS_051</t>
  </si>
  <si>
    <t>connecting wind onshore to buses in cluster 51</t>
  </si>
  <si>
    <t>distr_wonelc_won_AUS_030</t>
  </si>
  <si>
    <t>connecting wind onshore to buses in cluster 30</t>
  </si>
  <si>
    <t>distr_wonelc_won_AUS_068</t>
  </si>
  <si>
    <t>connecting wind onshore to buses in cluster 68</t>
  </si>
  <si>
    <t>distr_wonelc_won_AUS_094</t>
  </si>
  <si>
    <t>connecting wind onshore to buses in cluster 94</t>
  </si>
  <si>
    <t>distr_wonelc_won_AUS_092</t>
  </si>
  <si>
    <t>connecting wind onshore to buses in cluster 92</t>
  </si>
  <si>
    <t>distr_wonelc_won_AUS_038</t>
  </si>
  <si>
    <t>connecting wind onshore to buses in cluster 38</t>
  </si>
  <si>
    <t>distr_wonelc_won_AUS_032</t>
  </si>
  <si>
    <t>connecting wind onshore to buses in cluster 32</t>
  </si>
  <si>
    <t>distr_wonelc_won_AUS_054</t>
  </si>
  <si>
    <t>connecting wind onshore to buses in cluster 54</t>
  </si>
  <si>
    <t>distr_wonelc_won_AUS_084</t>
  </si>
  <si>
    <t>connecting wind onshore to buses in cluster 84</t>
  </si>
  <si>
    <t>distr_wonelc_won_AUS_013</t>
  </si>
  <si>
    <t>connecting wind onshore to buses in cluster 13</t>
  </si>
  <si>
    <t>distr_wonelc_won_AUS_046</t>
  </si>
  <si>
    <t>connecting wind onshore to buses in cluster 46</t>
  </si>
  <si>
    <t>distr_wonelc_won_AUS_080</t>
  </si>
  <si>
    <t>connecting wind onshore to buses in cluster 80</t>
  </si>
  <si>
    <t>distr_wonelc_won_AUS_027</t>
  </si>
  <si>
    <t>connecting wind onshore to buses in cluster 27</t>
  </si>
  <si>
    <t>distr_wonelc_won_AUS_086</t>
  </si>
  <si>
    <t>connecting wind onshore to buses in cluster 86</t>
  </si>
  <si>
    <t>distr_wonelc_won_AUS_048</t>
  </si>
  <si>
    <t>connecting wind onshore to buses in cluster 48</t>
  </si>
  <si>
    <t>distr_wonelc_won_AUS_019</t>
  </si>
  <si>
    <t>connecting wind onshore to buses in cluster 19</t>
  </si>
  <si>
    <t>distr_wonelc_won_AUS_040</t>
  </si>
  <si>
    <t>connecting wind onshore to buses in cluster 40</t>
  </si>
  <si>
    <t>distr_wonelc_won_AUS_039</t>
  </si>
  <si>
    <t>connecting wind onshore to buses in cluster 39</t>
  </si>
  <si>
    <t>distr_wonelc_won_AUS_043</t>
  </si>
  <si>
    <t>connecting wind onshore to buses in cluster 43</t>
  </si>
  <si>
    <t>distr_wonelc_won_AUS_031</t>
  </si>
  <si>
    <t>connecting wind onshore to buses in cluster 31</t>
  </si>
  <si>
    <t>distr_wonelc_won_AUS_061</t>
  </si>
  <si>
    <t>connecting wind onshore to buses in cluster 61</t>
  </si>
  <si>
    <t>distr_wonelc_won_AUS_072</t>
  </si>
  <si>
    <t>connecting wind onshore to buses in cluster 72</t>
  </si>
  <si>
    <t>distr_wonelc_won_AUS_049</t>
  </si>
  <si>
    <t>connecting wind onshore to buses in cluster 49</t>
  </si>
  <si>
    <t>distr_wonelc_won_AUS_008</t>
  </si>
  <si>
    <t>connecting wind onshore to buses in cluster 8</t>
  </si>
  <si>
    <t>distr_wonelc_won_AUS_057</t>
  </si>
  <si>
    <t>connecting wind onshore to buses in cluster 57</t>
  </si>
  <si>
    <t>distr_wonelc_won_AUS_053</t>
  </si>
  <si>
    <t>connecting wind onshore to buses in cluster 53</t>
  </si>
  <si>
    <t>distr_wonelc_won_AUS_042</t>
  </si>
  <si>
    <t>connecting wind onshore to buses in cluster 42</t>
  </si>
  <si>
    <t>distr_wonelc_won_AUS_001</t>
  </si>
  <si>
    <t>connecting wind onshore to buses in cluster 1</t>
  </si>
  <si>
    <t>distr_wonelc_won_AUS_005</t>
  </si>
  <si>
    <t>connecting wind onshore to buses in cluster 5</t>
  </si>
  <si>
    <t>distr_wonelc_won_AUS_059</t>
  </si>
  <si>
    <t>connecting wind onshore to buses in cluster 59</t>
  </si>
  <si>
    <t>distr_wonelc_won_AUS_093</t>
  </si>
  <si>
    <t>connecting wind onshore to buses in cluster 93</t>
  </si>
  <si>
    <t>distr_wonelc_won_AUS_081</t>
  </si>
  <si>
    <t>connecting wind onshore to buses in cluster 81</t>
  </si>
  <si>
    <t>distr_wonelc_won_AUS_026</t>
  </si>
  <si>
    <t>connecting wind onshore to buses in cluster 26</t>
  </si>
  <si>
    <t>distr_wonelc_won_AUS_015</t>
  </si>
  <si>
    <t>connecting wind onshore to buses in cluster 15</t>
  </si>
  <si>
    <t>distr_wonelc_won_AUS_007</t>
  </si>
  <si>
    <t>connecting wind onshore to buses in cluster 7</t>
  </si>
  <si>
    <t>distr_wonelc_won_AUS_074</t>
  </si>
  <si>
    <t>connecting wind onshore to buses in cluster 74</t>
  </si>
  <si>
    <t>distr_wonelc_won_AUS_018</t>
  </si>
  <si>
    <t>connecting wind onshore to buses in cluster 18</t>
  </si>
  <si>
    <t>distr_wonelc_won_AUS_025</t>
  </si>
  <si>
    <t>connecting wind onshore to buses in cluster 25</t>
  </si>
  <si>
    <t>distr_wonelc_won_AUS_023</t>
  </si>
  <si>
    <t>connecting wind onshore to buses in cluster 23</t>
  </si>
  <si>
    <t>distr_wonelc_won_AUS_047</t>
  </si>
  <si>
    <t>connecting wind onshore to buses in cluster 47</t>
  </si>
  <si>
    <t>distr_wonelc_won_AUS_083</t>
  </si>
  <si>
    <t>connecting wind onshore to buses in cluster 83</t>
  </si>
  <si>
    <t>distr_wonelc_won_AUS_022</t>
  </si>
  <si>
    <t>connecting wind onshore to buses in cluster 22</t>
  </si>
  <si>
    <t>distr_wonelc_won_AUS_009</t>
  </si>
  <si>
    <t>connecting wind onshore to buses in cluster 9</t>
  </si>
  <si>
    <t>distr_wonelc_won_AUS_058</t>
  </si>
  <si>
    <t>connecting wind onshore to buses in cluster 58</t>
  </si>
  <si>
    <t>distr_wonelc_won_AUS_063</t>
  </si>
  <si>
    <t>connecting wind onshore to buses in cluster 63</t>
  </si>
  <si>
    <t>elc_won_AUS_071</t>
  </si>
  <si>
    <t>e_Perth_AUS,e_Yandin_AUS,e_Morawa_AUS,e_Merredin_AUS</t>
  </si>
  <si>
    <t>elc_won_AUS_029</t>
  </si>
  <si>
    <t>elc_won_AUS_016</t>
  </si>
  <si>
    <t>elc_won_AUS_014</t>
  </si>
  <si>
    <t>elc_won_AUS_021</t>
  </si>
  <si>
    <t>elc_won_AUS_011</t>
  </si>
  <si>
    <t>elc_won_AUS_041</t>
  </si>
  <si>
    <t>elc_won_AUS_066</t>
  </si>
  <si>
    <t>e_WandoanSouth_AUS,e_MountPiper_AUS,e_BulliCreek_AUS,e_Armidale_AUS</t>
  </si>
  <si>
    <t>elc_won_AUS_056</t>
  </si>
  <si>
    <t>e_Armidale_AUS,e_BulliCreek_AUS,e_Tarong_AUS,e_Blackwall_AUS</t>
  </si>
  <si>
    <t>elc_won_AUS_069</t>
  </si>
  <si>
    <t>elc_won_AUS_082</t>
  </si>
  <si>
    <t>elc_won_AUS_087</t>
  </si>
  <si>
    <t>elc_won_AUS_028</t>
  </si>
  <si>
    <t>elc_won_AUS_044</t>
  </si>
  <si>
    <t>elc_won_AUS_035</t>
  </si>
  <si>
    <t>e_OlympicDamWest_AUS,e_Davenport_AUS,e_Robertstown_AUS,e_Para_AUS</t>
  </si>
  <si>
    <t>elc_won_AUS_036</t>
  </si>
  <si>
    <t>e_BrokenHill_AUS,e_Balranald_AUS,e_DarlingtonPoint_AUS</t>
  </si>
  <si>
    <t>elc_won_AUS_033</t>
  </si>
  <si>
    <t>e_SouthMorang_AUS,e_Sheffield_AUS,e_Rowville_AUS,e_Hazelwood_AUS,e_Palmerston_AUS,e_Murray_AUS,e_Canberra_AUS</t>
  </si>
  <si>
    <t>elc_won_AUS_065</t>
  </si>
  <si>
    <t>e_BrokenHill_AUS,e_DarlingtonPoint_AUS,e_MountPiper_AUS</t>
  </si>
  <si>
    <t>elc_won_AUS_097</t>
  </si>
  <si>
    <t>elc_won_AUS_070</t>
  </si>
  <si>
    <t>e_Morawa_AUS,e_Merredin_AUS</t>
  </si>
  <si>
    <t>elc_won_AUS_017</t>
  </si>
  <si>
    <t>elc_won_AUS_088</t>
  </si>
  <si>
    <t>e_OlympicDamWest_AUS,e_AUS22p9S118p7E_AUS,e_Chalumbin_AUS</t>
  </si>
  <si>
    <t>elc_won_AUS_052</t>
  </si>
  <si>
    <t>elc_won_AUS_037</t>
  </si>
  <si>
    <t>e_Balranald_AUS,e_Horsham_AUS,e_Ballarat_AUS,e_SouthMorang_AUS,e_DarlingtonPoint_AUS,e_Wagga_AUS</t>
  </si>
  <si>
    <t>elc_won_AUS_002</t>
  </si>
  <si>
    <t>elc_won_AUS_006</t>
  </si>
  <si>
    <t>e_Chalumbin_AUS,e_Strathmore_AUS,e_Broadsound_AUS</t>
  </si>
  <si>
    <t>elc_won_AUS_067</t>
  </si>
  <si>
    <t>elc_won_AUS_095</t>
  </si>
  <si>
    <t>elc_won_AUS_073</t>
  </si>
  <si>
    <t>elc_won_AUS_089</t>
  </si>
  <si>
    <t>e_Kalgoorlie_AUS,e_AUS22p9S118p7E_AUS,e_OlympicDamWest_AUS</t>
  </si>
  <si>
    <t>elc_won_AUS_064</t>
  </si>
  <si>
    <t>e_Canberra_AUS,e_SydneyWest_AUS,e_CentralCoast_AUS</t>
  </si>
  <si>
    <t>elc_won_AUS_060</t>
  </si>
  <si>
    <t>elc_won_AUS_078</t>
  </si>
  <si>
    <t>elc_won_AUS_090</t>
  </si>
  <si>
    <t>elc_won_AUS_020</t>
  </si>
  <si>
    <t>elc_won_AUS_045</t>
  </si>
  <si>
    <t>e_Chalumbin_AUS,e_OlympicDamWest_AUS</t>
  </si>
  <si>
    <t>elc_won_AUS_012</t>
  </si>
  <si>
    <t>elc_won_AUS_034</t>
  </si>
  <si>
    <t>e_Tarrone_AUS,e_Para_AUS,e_Horsham_AUS,e_Balranald_AUS,e_Ballarat_AUS,e_SouthMorang_AUS</t>
  </si>
  <si>
    <t>elc_won_AUS_010</t>
  </si>
  <si>
    <t>elc_won_AUS_003</t>
  </si>
  <si>
    <t>elc_won_AUS_055</t>
  </si>
  <si>
    <t>e_WandoanSouth_AUS,e_BulliCreek_AUS,e_Armidale_AUS</t>
  </si>
  <si>
    <t>elc_won_AUS_062</t>
  </si>
  <si>
    <t>e_Canberra_AUS,e_MountPiper_AUS,e_SydneyWest_AUS,e_CentralCoast_AUS</t>
  </si>
  <si>
    <t>elc_won_AUS_096</t>
  </si>
  <si>
    <t>e_Karratha_AUS,e_TomPriceMine_AUS</t>
  </si>
  <si>
    <t>elc_won_AUS_079</t>
  </si>
  <si>
    <t>e_Australind_AUS,e_Perth_AUS,e_Yandin_AUS,e_Merredin_AUS</t>
  </si>
  <si>
    <t>elc_won_AUS_076</t>
  </si>
  <si>
    <t>elc_won_AUS_024</t>
  </si>
  <si>
    <t>elc_won_AUS_004</t>
  </si>
  <si>
    <t>elc_won_AUS_075</t>
  </si>
  <si>
    <t>elc_won_AUS_091</t>
  </si>
  <si>
    <t>e_Karratha_AUS</t>
  </si>
  <si>
    <t>elc_won_AUS_085</t>
  </si>
  <si>
    <t>elc_won_AUS_077</t>
  </si>
  <si>
    <t>elc_won_AUS_050</t>
  </si>
  <si>
    <t>elc_won_AUS_051</t>
  </si>
  <si>
    <t>e_OlympicDamWest_AUS,e_BrokenHill_AUS</t>
  </si>
  <si>
    <t>elc_won_AUS_030</t>
  </si>
  <si>
    <t>e_Rowville_AUS,e_Hazelwood_AUS,e_SouthMorang_AUS,e_Murray_AUS</t>
  </si>
  <si>
    <t>elc_won_AUS_068</t>
  </si>
  <si>
    <t>e_MountPiper_AUS,e_UpperTumut_AUS,e_Wagga_AUS,e_Canberra_AUS</t>
  </si>
  <si>
    <t>elc_won_AUS_094</t>
  </si>
  <si>
    <t>e_TomPriceMine_AUS,e_AUS22p9S118p7E_AUS</t>
  </si>
  <si>
    <t>elc_won_AUS_092</t>
  </si>
  <si>
    <t>elc_won_AUS_038</t>
  </si>
  <si>
    <t>e_Para_AUS,e_Robertstown_AUS,e_Davenport_AUS,e_BrokenHill_AUS,e_Balranald_AUS</t>
  </si>
  <si>
    <t>elc_won_AUS_032</t>
  </si>
  <si>
    <t>e_Sheffield_AUS,e_Palmerston_AUS</t>
  </si>
  <si>
    <t>elc_won_AUS_054</t>
  </si>
  <si>
    <t>e_WandoanSouth_AUS,e_BulliCreek_AUS,e_Armidale_AUS,e_Tarong_AUS</t>
  </si>
  <si>
    <t>elc_won_AUS_084</t>
  </si>
  <si>
    <t>elc_won_AUS_013</t>
  </si>
  <si>
    <t>elc_won_AUS_046</t>
  </si>
  <si>
    <t>elc_won_AUS_080</t>
  </si>
  <si>
    <t>elc_won_AUS_027</t>
  </si>
  <si>
    <t>elc_won_AUS_086</t>
  </si>
  <si>
    <t>elc_won_AUS_048</t>
  </si>
  <si>
    <t>elc_won_AUS_019</t>
  </si>
  <si>
    <t>elc_won_AUS_040</t>
  </si>
  <si>
    <t>elc_won_AUS_039</t>
  </si>
  <si>
    <t>e_Davenport_AUS,e_OlympicDamWest_AUS,e_BrokenHill_AUS</t>
  </si>
  <si>
    <t>elc_won_AUS_043</t>
  </si>
  <si>
    <t>e_Chalumbin_AUS,e_Broadsound_AUS</t>
  </si>
  <si>
    <t>elc_won_AUS_031</t>
  </si>
  <si>
    <t>e_Murray_AUS,e_Wagga_AUS,e_UpperTumut_AUS,e_Canberra_AUS</t>
  </si>
  <si>
    <t>elc_won_AUS_061</t>
  </si>
  <si>
    <t>e_MountPiper_AUS,e_Armidale_AUS,e_CentralCoast_AUS</t>
  </si>
  <si>
    <t>elc_won_AUS_072</t>
  </si>
  <si>
    <t>elc_won_AUS_049</t>
  </si>
  <si>
    <t>elc_won_AUS_008</t>
  </si>
  <si>
    <t>e_Broadsound_AUS,e_Nebo_AUS,e_Strathmore_AUS,e_Bouldercombe_AUS</t>
  </si>
  <si>
    <t>elc_won_AUS_057</t>
  </si>
  <si>
    <t>e_Armidale_AUS,e_Blackwall_AUS</t>
  </si>
  <si>
    <t>elc_won_AUS_053</t>
  </si>
  <si>
    <t>elc_won_AUS_042</t>
  </si>
  <si>
    <t>elc_won_AUS_001</t>
  </si>
  <si>
    <t>elc_won_AUS_005</t>
  </si>
  <si>
    <t>e_Chalumbin_AUS,e_Strathmore_AUS,e_Nebo_AUS</t>
  </si>
  <si>
    <t>elc_won_AUS_059</t>
  </si>
  <si>
    <t>e_Broadsound_AUS,e_Bouldercombe_AUS,e_GinGin_AUS,e_CalliopeRiver_AUS,e_Tarong_AUS,e_Blackwall_AUS</t>
  </si>
  <si>
    <t>elc_won_AUS_093</t>
  </si>
  <si>
    <t>elc_won_AUS_081</t>
  </si>
  <si>
    <t>elc_won_AUS_026</t>
  </si>
  <si>
    <t>elc_won_AUS_015</t>
  </si>
  <si>
    <t>elc_won_AUS_007</t>
  </si>
  <si>
    <t>elc_won_AUS_074</t>
  </si>
  <si>
    <t>elc_won_AUS_018</t>
  </si>
  <si>
    <t>elc_won_AUS_025</t>
  </si>
  <si>
    <t>elc_won_AUS_023</t>
  </si>
  <si>
    <t>elc_won_AUS_047</t>
  </si>
  <si>
    <t>e_Chalumbin_AUS,e_OlympicDamWest_AUS,e_BrokenHill_AUS</t>
  </si>
  <si>
    <t>elc_won_AUS_083</t>
  </si>
  <si>
    <t>e_Morawa_AUS,e_AUS22p9S118p7E_AUS,e_Kalgoorlie_AUS</t>
  </si>
  <si>
    <t>elc_won_AUS_022</t>
  </si>
  <si>
    <t>elc_won_AUS_009</t>
  </si>
  <si>
    <t>elc_won_AUS_058</t>
  </si>
  <si>
    <t>e_WandoanSouth_AUS,e_Broadsound_AUS,e_Calvale_AUS,e_Bouldercombe_AUS,e_Tarong_AUS,e_GinGin_AUS</t>
  </si>
  <si>
    <t>elc_won_AUS_063</t>
  </si>
  <si>
    <t>distr_wofelc_wof_AUS_021</t>
  </si>
  <si>
    <t>connecting wind offshore to buses in cluster 21</t>
  </si>
  <si>
    <t>distr_wofelc_wof_AUS_026</t>
  </si>
  <si>
    <t>connecting wind offshore to buses in cluster 26</t>
  </si>
  <si>
    <t>distr_wofelc_wof_AUS_031</t>
  </si>
  <si>
    <t>connecting wind offshore to buses in cluster 31</t>
  </si>
  <si>
    <t>distr_wofelc_wof_AUS_030</t>
  </si>
  <si>
    <t>connecting wind offshore to buses in cluster 30</t>
  </si>
  <si>
    <t>distr_wofelc_wof_AUS_015</t>
  </si>
  <si>
    <t>connecting wind offshore to buses in cluster 15</t>
  </si>
  <si>
    <t>distr_wofelc_wof_AUS_040</t>
  </si>
  <si>
    <t>connecting wind offshore to buses in cluster 40</t>
  </si>
  <si>
    <t>distr_wofelc_wof_AUS_008</t>
  </si>
  <si>
    <t>connecting wind offshore to buses in cluster 8</t>
  </si>
  <si>
    <t>distr_wofelc_wof_AUS_025</t>
  </si>
  <si>
    <t>connecting wind offshore to buses in cluster 25</t>
  </si>
  <si>
    <t>distr_wofelc_wof_AUS_002</t>
  </si>
  <si>
    <t>connecting wind offshore to buses in cluster 2</t>
  </si>
  <si>
    <t>distr_wofelc_wof_AUS_038</t>
  </si>
  <si>
    <t>connecting wind offshore to buses in cluster 38</t>
  </si>
  <si>
    <t>distr_wofelc_wof_AUS_023</t>
  </si>
  <si>
    <t>connecting wind offshore to buses in cluster 23</t>
  </si>
  <si>
    <t>distr_wofelc_wof_AUS_044</t>
  </si>
  <si>
    <t>connecting wind offshore to buses in cluster 44</t>
  </si>
  <si>
    <t>distr_wofelc_wof_AUS_041</t>
  </si>
  <si>
    <t>connecting wind offshore to buses in cluster 41</t>
  </si>
  <si>
    <t>distr_wofelc_wof_AUS_027</t>
  </si>
  <si>
    <t>connecting wind offshore to buses in cluster 27</t>
  </si>
  <si>
    <t>distr_wofelc_wof_AUS_016</t>
  </si>
  <si>
    <t>connecting wind offshore to buses in cluster 16</t>
  </si>
  <si>
    <t>distr_wofelc_wof_AUS_014</t>
  </si>
  <si>
    <t>connecting wind offshore to buses in cluster 14</t>
  </si>
  <si>
    <t>distr_wofelc_wof_AUS_046</t>
  </si>
  <si>
    <t>connecting wind offshore to buses in cluster 46</t>
  </si>
  <si>
    <t>distr_wofelc_wof_AUS_011</t>
  </si>
  <si>
    <t>connecting wind offshore to buses in cluster 11</t>
  </si>
  <si>
    <t>distr_wofelc_wof_AUS_052</t>
  </si>
  <si>
    <t>connecting wind offshore to buses in cluster 52</t>
  </si>
  <si>
    <t>distr_wofelc_wof_AUS_007</t>
  </si>
  <si>
    <t>connecting wind offshore to buses in cluster 7</t>
  </si>
  <si>
    <t>distr_wofelc_wof_AUS_045</t>
  </si>
  <si>
    <t>connecting wind offshore to buses in cluster 45</t>
  </si>
  <si>
    <t>distr_wofelc_wof_AUS_006</t>
  </si>
  <si>
    <t>connecting wind offshore to buses in cluster 6</t>
  </si>
  <si>
    <t>distr_wofelc_wof_AUS_050</t>
  </si>
  <si>
    <t>connecting wind offshore to buses in cluster 50</t>
  </si>
  <si>
    <t>distr_wofelc_wof_AUS_051</t>
  </si>
  <si>
    <t>connecting wind offshore to buses in cluster 51</t>
  </si>
  <si>
    <t>distr_wofelc_wof_AUS_005</t>
  </si>
  <si>
    <t>connecting wind offshore to buses in cluster 5</t>
  </si>
  <si>
    <t>distr_wofelc_wof_AUS_013</t>
  </si>
  <si>
    <t>connecting wind offshore to buses in cluster 13</t>
  </si>
  <si>
    <t>distr_wofelc_wof_AUS_048</t>
  </si>
  <si>
    <t>connecting wind offshore to buses in cluster 48</t>
  </si>
  <si>
    <t>distr_wofelc_wof_AUS_033</t>
  </si>
  <si>
    <t>connecting wind offshore to buses in cluster 33</t>
  </si>
  <si>
    <t>distr_wofelc_wof_AUS_042</t>
  </si>
  <si>
    <t>connecting wind offshore to buses in cluster 42</t>
  </si>
  <si>
    <t>distr_wofelc_wof_AUS_010</t>
  </si>
  <si>
    <t>connecting wind offshore to buses in cluster 10</t>
  </si>
  <si>
    <t>distr_wofelc_wof_AUS_049</t>
  </si>
  <si>
    <t>connecting wind offshore to buses in cluster 49</t>
  </si>
  <si>
    <t>distr_wofelc_wof_AUS_047</t>
  </si>
  <si>
    <t>connecting wind offshore to buses in cluster 47</t>
  </si>
  <si>
    <t>distr_wofelc_wof_AUS_029</t>
  </si>
  <si>
    <t>connecting wind offshore to buses in cluster 29</t>
  </si>
  <si>
    <t>distr_wofelc_wof_AUS_004</t>
  </si>
  <si>
    <t>connecting wind offshore to buses in cluster 4</t>
  </si>
  <si>
    <t>distr_wofelc_wof_AUS_037</t>
  </si>
  <si>
    <t>connecting wind offshore to buses in cluster 37</t>
  </si>
  <si>
    <t>distr_wofelc_wof_AUS_039</t>
  </si>
  <si>
    <t>connecting wind offshore to buses in cluster 39</t>
  </si>
  <si>
    <t>distr_wofelc_wof_AUS_035</t>
  </si>
  <si>
    <t>connecting wind offshore to buses in cluster 35</t>
  </si>
  <si>
    <t>distr_wofelc_wof_AUS_001</t>
  </si>
  <si>
    <t>connecting wind offshore to buses in cluster 1</t>
  </si>
  <si>
    <t>distr_wofelc_wof_AUS_034</t>
  </si>
  <si>
    <t>connecting wind offshore to buses in cluster 34</t>
  </si>
  <si>
    <t>distr_wofelc_wof_AUS_017</t>
  </si>
  <si>
    <t>connecting wind offshore to buses in cluster 17</t>
  </si>
  <si>
    <t>distr_wofelc_wof_AUS_018</t>
  </si>
  <si>
    <t>connecting wind offshore to buses in cluster 18</t>
  </si>
  <si>
    <t>distr_wofelc_wof_AUS_022</t>
  </si>
  <si>
    <t>connecting wind offshore to buses in cluster 22</t>
  </si>
  <si>
    <t>distr_wofelc_wof_AUS_043</t>
  </si>
  <si>
    <t>connecting wind offshore to buses in cluster 43</t>
  </si>
  <si>
    <t>distr_wofelc_wof_AUS_009</t>
  </si>
  <si>
    <t>connecting wind offshore to buses in cluster 9</t>
  </si>
  <si>
    <t>distr_wofelc_wof_AUS_032</t>
  </si>
  <si>
    <t>connecting wind offshore to buses in cluster 32</t>
  </si>
  <si>
    <t>distr_wofelc_wof_AUS_012</t>
  </si>
  <si>
    <t>connecting wind offshore to buses in cluster 12</t>
  </si>
  <si>
    <t>distr_wofelc_wof_AUS_028</t>
  </si>
  <si>
    <t>connecting wind offshore to buses in cluster 28</t>
  </si>
  <si>
    <t>distr_wofelc_wof_AUS_003</t>
  </si>
  <si>
    <t>connecting wind offshore to buses in cluster 3</t>
  </si>
  <si>
    <t>distr_wofelc_wof_AUS_036</t>
  </si>
  <si>
    <t>connecting wind offshore to buses in cluster 36</t>
  </si>
  <si>
    <t>distr_wofelc_wof_AUS_024</t>
  </si>
  <si>
    <t>connecting wind offshore to buses in cluster 24</t>
  </si>
  <si>
    <t>distr_wofelc_wof_AUS_020</t>
  </si>
  <si>
    <t>connecting wind offshore to buses in cluster 20</t>
  </si>
  <si>
    <t>distr_wofelc_wof_AUS_019</t>
  </si>
  <si>
    <t>connecting wind offshore to buses in cluster 19</t>
  </si>
  <si>
    <t>elc_wof_AUS_021</t>
  </si>
  <si>
    <t>e_Kalgoorlie_AUS,e_OlympicDamWest_AUS</t>
  </si>
  <si>
    <t>elc_wof_AUS_026</t>
  </si>
  <si>
    <t>elc_wof_AUS_031</t>
  </si>
  <si>
    <t>e_GinGin_AUS,e_Blackwall_AUS,e_Tarong_AUS</t>
  </si>
  <si>
    <t>elc_wof_AUS_030</t>
  </si>
  <si>
    <t>elc_wof_AUS_015</t>
  </si>
  <si>
    <t>elc_wof_AUS_040</t>
  </si>
  <si>
    <t>elc_wof_AUS_008</t>
  </si>
  <si>
    <t>elc_wof_AUS_025</t>
  </si>
  <si>
    <t>e_Yandin_AUS</t>
  </si>
  <si>
    <t>elc_wof_AUS_002</t>
  </si>
  <si>
    <t>elc_wof_AUS_038</t>
  </si>
  <si>
    <t>e_Karratha_AUS,e_Chalumbin_AUS</t>
  </si>
  <si>
    <t>elc_wof_AUS_023</t>
  </si>
  <si>
    <t>e_Davenport_AUS</t>
  </si>
  <si>
    <t>elc_wof_AUS_044</t>
  </si>
  <si>
    <t>elc_wof_AUS_041</t>
  </si>
  <si>
    <t>elc_wof_AUS_027</t>
  </si>
  <si>
    <t>elc_wof_AUS_016</t>
  </si>
  <si>
    <t>e_Australind_AUS,e_Perth_AUS,e_Yandin_AUS</t>
  </si>
  <si>
    <t>elc_wof_AUS_014</t>
  </si>
  <si>
    <t>elc_wof_AUS_046</t>
  </si>
  <si>
    <t>elc_wof_AUS_011</t>
  </si>
  <si>
    <t>e_Tarrone_AUS,e_Ballarat_AUS,e_SouthMorang_AUS,e_Rowville_AUS,e_Hazelwood_AUS</t>
  </si>
  <si>
    <t>elc_wof_AUS_052</t>
  </si>
  <si>
    <t>elc_wof_AUS_007</t>
  </si>
  <si>
    <t>elc_wof_AUS_045</t>
  </si>
  <si>
    <t>elc_wof_AUS_006</t>
  </si>
  <si>
    <t>e_Hazelwood_AUS,e_Murray_AUS</t>
  </si>
  <si>
    <t>elc_wof_AUS_050</t>
  </si>
  <si>
    <t>elc_wof_AUS_051</t>
  </si>
  <si>
    <t>e_Chalumbin_AUS,e_Strathmore_AUS,e_CalliopeRiver_AUS</t>
  </si>
  <si>
    <t>elc_wof_AUS_005</t>
  </si>
  <si>
    <t>elc_wof_AUS_013</t>
  </si>
  <si>
    <t>e_Sheffield_AUS,e_Hazelwood_AUS</t>
  </si>
  <si>
    <t>elc_wof_AUS_048</t>
  </si>
  <si>
    <t>e_Nebo_AUS,e_Bouldercombe_AUS,e_Broadsound_AUS,e_CalliopeRiver_AUS,e_GinGin_AUS</t>
  </si>
  <si>
    <t>elc_wof_AUS_033</t>
  </si>
  <si>
    <t>e_Blackwall_AUS</t>
  </si>
  <si>
    <t>elc_wof_AUS_042</t>
  </si>
  <si>
    <t>elc_wof_AUS_010</t>
  </si>
  <si>
    <t>e_Tarrone_AUS</t>
  </si>
  <si>
    <t>elc_wof_AUS_049</t>
  </si>
  <si>
    <t>elc_wof_AUS_047</t>
  </si>
  <si>
    <t>e_Nebo_AUS,e_Broadsound_AUS,e_CalliopeRiver_AUS,e_Bouldercombe_AUS,e_GinGin_AUS</t>
  </si>
  <si>
    <t>elc_wof_AUS_029</t>
  </si>
  <si>
    <t>elc_wof_AUS_004</t>
  </si>
  <si>
    <t>elc_wof_AUS_037</t>
  </si>
  <si>
    <t>elc_wof_AUS_039</t>
  </si>
  <si>
    <t>elc_wof_AUS_035</t>
  </si>
  <si>
    <t>elc_wof_AUS_001</t>
  </si>
  <si>
    <t>elc_wof_AUS_034</t>
  </si>
  <si>
    <t>elc_wof_AUS_017</t>
  </si>
  <si>
    <t>elc_wof_AUS_018</t>
  </si>
  <si>
    <t>e_Australind_AUS,e_Merredin_AUS,e_Kalgoorlie_AUS</t>
  </si>
  <si>
    <t>elc_wof_AUS_022</t>
  </si>
  <si>
    <t>elc_wof_AUS_043</t>
  </si>
  <si>
    <t>elc_wof_AUS_009</t>
  </si>
  <si>
    <t>elc_wof_AUS_032</t>
  </si>
  <si>
    <t>elc_wof_AUS_012</t>
  </si>
  <si>
    <t>e_Sheffield_AUS,e_Tarrone_AUS,e_SouthMorang_AUS,e_Rowville_AUS,e_Hazelwood_AUS</t>
  </si>
  <si>
    <t>elc_wof_AUS_028</t>
  </si>
  <si>
    <t>elc_wof_AUS_003</t>
  </si>
  <si>
    <t>elc_wof_AUS_036</t>
  </si>
  <si>
    <t>elc_wof_AUS_024</t>
  </si>
  <si>
    <t>elc_wof_AUS_020</t>
  </si>
  <si>
    <t>e_Para_AUS,e_Robertstown_AUS,e_Tarrone_AUS</t>
  </si>
  <si>
    <t>elc_wof_AUS_019</t>
  </si>
  <si>
    <t>e_Davenport_AUS,e_Robertstown_AUS</t>
  </si>
  <si>
    <t>e_won_AUS_001</t>
  </si>
  <si>
    <t>wind onshore resource near Cairns (cluster 1)</t>
  </si>
  <si>
    <t>e_won_AUS_002</t>
  </si>
  <si>
    <t>wind onshore resource near Cairns (cluster 2)</t>
  </si>
  <si>
    <t>e_won_AUS_003</t>
  </si>
  <si>
    <t>wind onshore resource near Cairns (cluster 3)</t>
  </si>
  <si>
    <t>e_won_AUS_004</t>
  </si>
  <si>
    <t>wind onshore resource near Cairns (cluster 4)</t>
  </si>
  <si>
    <t>e_won_AUS_005</t>
  </si>
  <si>
    <t>wind onshore resource near Townsville (cluster 5)</t>
  </si>
  <si>
    <t>e_won_AUS_006</t>
  </si>
  <si>
    <t>wind onshore resource near Townsville (cluster 6)</t>
  </si>
  <si>
    <t>e_won_AUS_007</t>
  </si>
  <si>
    <t>wind onshore resource near Townsville (cluster 7)</t>
  </si>
  <si>
    <t>e_won_AUS_008</t>
  </si>
  <si>
    <t>wind onshore resource near Mackay (cluster 8)</t>
  </si>
  <si>
    <t>e_won_AUS_009</t>
  </si>
  <si>
    <t>wind onshore resource near Townsville (cluster 9)</t>
  </si>
  <si>
    <t>e_won_AUS_010</t>
  </si>
  <si>
    <t>wind onshore resource near Cairns (cluster 10)</t>
  </si>
  <si>
    <t>e_won_AUS_011</t>
  </si>
  <si>
    <t>wind onshore resource near Cairns (cluster 11)</t>
  </si>
  <si>
    <t>e_won_AUS_012</t>
  </si>
  <si>
    <t>wind onshore resource near Darwin (cluster 12)</t>
  </si>
  <si>
    <t>e_won_AUS_013</t>
  </si>
  <si>
    <t>wind onshore resource near Cairns (cluster 13)</t>
  </si>
  <si>
    <t>e_won_AUS_014</t>
  </si>
  <si>
    <t>wind onshore resource near Darwin (cluster 14)</t>
  </si>
  <si>
    <t>e_won_AUS_015</t>
  </si>
  <si>
    <t>wind onshore resource near Darwin (cluster 15)</t>
  </si>
  <si>
    <t>e_won_AUS_016</t>
  </si>
  <si>
    <t>wind onshore resource near Townsville (cluster 16)</t>
  </si>
  <si>
    <t>e_won_AUS_017</t>
  </si>
  <si>
    <t>wind onshore resource near Darwin (cluster 17)</t>
  </si>
  <si>
    <t>e_won_AUS_018</t>
  </si>
  <si>
    <t>wind onshore resource near Darwin (cluster 18)</t>
  </si>
  <si>
    <t>e_won_AUS_019</t>
  </si>
  <si>
    <t>wind onshore resource near Darwin (cluster 19)</t>
  </si>
  <si>
    <t>e_won_AUS_020</t>
  </si>
  <si>
    <t>wind onshore resource near Darwin (cluster 20)</t>
  </si>
  <si>
    <t>e_won_AUS_021</t>
  </si>
  <si>
    <t>wind onshore resource near Darwin (cluster 21)</t>
  </si>
  <si>
    <t>e_won_AUS_022</t>
  </si>
  <si>
    <t>wind onshore resource near Darwin (cluster 22)</t>
  </si>
  <si>
    <t>e_won_AUS_023</t>
  </si>
  <si>
    <t>wind onshore resource near Darwin (cluster 23)</t>
  </si>
  <si>
    <t>e_won_AUS_024</t>
  </si>
  <si>
    <t>wind onshore resource near Darwin (cluster 24)</t>
  </si>
  <si>
    <t>e_won_AUS_025</t>
  </si>
  <si>
    <t>wind onshore resource near Darwin (cluster 25)</t>
  </si>
  <si>
    <t>e_won_AUS_026</t>
  </si>
  <si>
    <t>wind onshore resource near Darwin (cluster 26)</t>
  </si>
  <si>
    <t>e_won_AUS_027</t>
  </si>
  <si>
    <t>wind onshore resource near Darwin (cluster 27)</t>
  </si>
  <si>
    <t>e_won_AUS_028</t>
  </si>
  <si>
    <t>wind onshore resource near Darwin (cluster 28)</t>
  </si>
  <si>
    <t>e_won_AUS_029</t>
  </si>
  <si>
    <t>wind onshore resource near Darwin (cluster 29)</t>
  </si>
  <si>
    <t>e_won_AUS_030</t>
  </si>
  <si>
    <t>wind onshore resource near Melbourne (cluster 30)</t>
  </si>
  <si>
    <t>e_won_AUS_031</t>
  </si>
  <si>
    <t>wind onshore resource near Canberra (cluster 31)</t>
  </si>
  <si>
    <t>e_won_AUS_032</t>
  </si>
  <si>
    <t>wind onshore resource near Hobart (cluster 32)</t>
  </si>
  <si>
    <t>e_won_AUS_033</t>
  </si>
  <si>
    <t>wind onshore resource near Cranbourne (cluster 33)</t>
  </si>
  <si>
    <t>e_won_AUS_034</t>
  </si>
  <si>
    <t>wind onshore resource near Ballarat (cluster 34)</t>
  </si>
  <si>
    <t>e_won_AUS_035</t>
  </si>
  <si>
    <t>wind onshore resource near Adelaide (cluster 35)</t>
  </si>
  <si>
    <t>e_won_AUS_036</t>
  </si>
  <si>
    <t>wind onshore resource near Adelaide (cluster 36)</t>
  </si>
  <si>
    <t>e_won_AUS_037</t>
  </si>
  <si>
    <t>wind onshore resource near Bendigo (cluster 37)</t>
  </si>
  <si>
    <t>e_won_AUS_038</t>
  </si>
  <si>
    <t>wind onshore resource near Adelaide (cluster 38)</t>
  </si>
  <si>
    <t>e_won_AUS_039</t>
  </si>
  <si>
    <t>wind onshore resource near Adelaide (cluster 39)</t>
  </si>
  <si>
    <t>e_won_AUS_040</t>
  </si>
  <si>
    <t>wind onshore resource near Adelaide (cluster 40)</t>
  </si>
  <si>
    <t>e_won_AUS_041</t>
  </si>
  <si>
    <t>wind onshore resource near Mackay (cluster 41)</t>
  </si>
  <si>
    <t>e_won_AUS_042</t>
  </si>
  <si>
    <t>wind onshore resource near Townsville (cluster 42)</t>
  </si>
  <si>
    <t>e_won_AUS_043</t>
  </si>
  <si>
    <t>wind onshore resource near Townsville (cluster 43)</t>
  </si>
  <si>
    <t>e_won_AUS_044</t>
  </si>
  <si>
    <t>wind onshore resource near Adelaide (cluster 44)</t>
  </si>
  <si>
    <t>e_won_AUS_045</t>
  </si>
  <si>
    <t>wind onshore resource near Adelaide (cluster 45)</t>
  </si>
  <si>
    <t>e_won_AUS_046</t>
  </si>
  <si>
    <t>wind onshore resource near Mackay (cluster 46)</t>
  </si>
  <si>
    <t>e_won_AUS_047</t>
  </si>
  <si>
    <t>wind onshore resource near Adelaide (cluster 47)</t>
  </si>
  <si>
    <t>e_won_AUS_048</t>
  </si>
  <si>
    <t>wind onshore resource near Adelaide (cluster 48)</t>
  </si>
  <si>
    <t>e_won_AUS_049</t>
  </si>
  <si>
    <t>wind onshore resource near Adelaide (cluster 49)</t>
  </si>
  <si>
    <t>e_won_AUS_050</t>
  </si>
  <si>
    <t>wind onshore resource near Adelaide (cluster 50)</t>
  </si>
  <si>
    <t>e_won_AUS_051</t>
  </si>
  <si>
    <t>wind onshore resource near Adelaide (cluster 51)</t>
  </si>
  <si>
    <t>e_won_AUS_052</t>
  </si>
  <si>
    <t>wind onshore resource near Adelaide (cluster 52)</t>
  </si>
  <si>
    <t>e_won_AUS_053</t>
  </si>
  <si>
    <t>wind onshore resource near Adelaide (cluster 53)</t>
  </si>
  <si>
    <t>e_won_AUS_054</t>
  </si>
  <si>
    <t>wind onshore resource near Toowoomba (cluster 54)</t>
  </si>
  <si>
    <t>e_won_AUS_055</t>
  </si>
  <si>
    <t>wind onshore resource near Toowoomba (cluster 55)</t>
  </si>
  <si>
    <t>e_won_AUS_056</t>
  </si>
  <si>
    <t>wind onshore resource near Ipswich (cluster 56)</t>
  </si>
  <si>
    <t>e_won_AUS_057</t>
  </si>
  <si>
    <t>wind onshore resource near Gold Coast (cluster 57)</t>
  </si>
  <si>
    <t>e_won_AUS_058</t>
  </si>
  <si>
    <t>wind onshore resource near Rockhampton (cluster 58)</t>
  </si>
  <si>
    <t>e_won_AUS_059</t>
  </si>
  <si>
    <t>wind onshore resource near Bundaberg (cluster 59)</t>
  </si>
  <si>
    <t>e_won_AUS_060</t>
  </si>
  <si>
    <t>wind onshore resource near Newcastle (cluster 60)</t>
  </si>
  <si>
    <t>e_won_AUS_061</t>
  </si>
  <si>
    <t>wind onshore resource near Central Coast (cluster 61)</t>
  </si>
  <si>
    <t>e_won_AUS_062</t>
  </si>
  <si>
    <t>wind onshore resource near Canberra (cluster 62)</t>
  </si>
  <si>
    <t>e_won_AUS_063</t>
  </si>
  <si>
    <t>wind onshore resource near Newcastle (cluster 63)</t>
  </si>
  <si>
    <t>e_won_AUS_064</t>
  </si>
  <si>
    <t>wind onshore resource near Newcastle (cluster 64)</t>
  </si>
  <si>
    <t>e_won_AUS_065</t>
  </si>
  <si>
    <t>wind onshore resource near Canberra (cluster 65)</t>
  </si>
  <si>
    <t>e_won_AUS_066</t>
  </si>
  <si>
    <t>wind onshore resource near Toowoomba (cluster 66)</t>
  </si>
  <si>
    <t>e_won_AUS_067</t>
  </si>
  <si>
    <t>wind onshore resource near Bendigo (cluster 67)</t>
  </si>
  <si>
    <t>e_won_AUS_068</t>
  </si>
  <si>
    <t>wind onshore resource near Sydney (cluster 68)</t>
  </si>
  <si>
    <t>e_won_AUS_069</t>
  </si>
  <si>
    <t>wind onshore resource near Perth (cluster 69)</t>
  </si>
  <si>
    <t>e_won_AUS_070</t>
  </si>
  <si>
    <t>wind onshore resource near Perth (cluster 70)</t>
  </si>
  <si>
    <t>e_won_AUS_071</t>
  </si>
  <si>
    <t>wind onshore resource near Perth (cluster 71)</t>
  </si>
  <si>
    <t>e_won_AUS_072</t>
  </si>
  <si>
    <t>wind onshore resource near Perth (cluster 72)</t>
  </si>
  <si>
    <t>e_won_AUS_073</t>
  </si>
  <si>
    <t>wind onshore resource near Perth (cluster 73)</t>
  </si>
  <si>
    <t>e_won_AUS_074</t>
  </si>
  <si>
    <t>wind onshore resource near Perth (cluster 74)</t>
  </si>
  <si>
    <t>e_won_AUS_075</t>
  </si>
  <si>
    <t>wind onshore resource near Perth (cluster 75)</t>
  </si>
  <si>
    <t>e_won_AUS_076</t>
  </si>
  <si>
    <t>wind onshore resource near Perth (cluster 76)</t>
  </si>
  <si>
    <t>e_won_AUS_077</t>
  </si>
  <si>
    <t>wind onshore resource near Perth (cluster 77)</t>
  </si>
  <si>
    <t>e_won_AUS_078</t>
  </si>
  <si>
    <t>wind onshore resource near Bunbury (cluster 78)</t>
  </si>
  <si>
    <t>e_won_AUS_079</t>
  </si>
  <si>
    <t>wind onshore resource near Perth (cluster 79)</t>
  </si>
  <si>
    <t>e_won_AUS_080</t>
  </si>
  <si>
    <t>wind onshore resource near Perth (cluster 80)</t>
  </si>
  <si>
    <t>e_won_AUS_081</t>
  </si>
  <si>
    <t>wind onshore resource near Perth (cluster 81)</t>
  </si>
  <si>
    <t>e_won_AUS_082</t>
  </si>
  <si>
    <t>wind onshore resource near Perth (cluster 82)</t>
  </si>
  <si>
    <t>e_won_AUS_083</t>
  </si>
  <si>
    <t>wind onshore resource near Perth (cluster 83)</t>
  </si>
  <si>
    <t>e_won_AUS_084</t>
  </si>
  <si>
    <t>wind onshore resource near Perth (cluster 84)</t>
  </si>
  <si>
    <t>e_won_AUS_085</t>
  </si>
  <si>
    <t>wind onshore resource near Perth (cluster 85)</t>
  </si>
  <si>
    <t>e_won_AUS_086</t>
  </si>
  <si>
    <t>wind onshore resource near Darwin (cluster 86)</t>
  </si>
  <si>
    <t>e_won_AUS_087</t>
  </si>
  <si>
    <t>wind onshore resource near Darwin (cluster 87)</t>
  </si>
  <si>
    <t>e_won_AUS_088</t>
  </si>
  <si>
    <t>wind onshore resource near Darwin (cluster 88)</t>
  </si>
  <si>
    <t>e_won_AUS_089</t>
  </si>
  <si>
    <t>wind onshore resource near Adelaide (cluster 89)</t>
  </si>
  <si>
    <t>e_won_AUS_090</t>
  </si>
  <si>
    <t>wind onshore resource near Perth (cluster 90)</t>
  </si>
  <si>
    <t>e_won_AUS_091</t>
  </si>
  <si>
    <t>wind onshore resource near Darwin (cluster 91)</t>
  </si>
  <si>
    <t>e_won_AUS_092</t>
  </si>
  <si>
    <t>wind onshore resource near Darwin (cluster 92)</t>
  </si>
  <si>
    <t>e_won_AUS_093</t>
  </si>
  <si>
    <t>wind onshore resource near Perth (cluster 93)</t>
  </si>
  <si>
    <t>e_won_AUS_094</t>
  </si>
  <si>
    <t>wind onshore resource near Perth (cluster 94)</t>
  </si>
  <si>
    <t>e_won_AUS_095</t>
  </si>
  <si>
    <t>wind onshore resource near Perth (cluster 95)</t>
  </si>
  <si>
    <t>e_won_AUS_096</t>
  </si>
  <si>
    <t>wind onshore resource near Perth (cluster 96)</t>
  </si>
  <si>
    <t>e_won_AUS_097</t>
  </si>
  <si>
    <t>wind onshore resource near Perth (cluster 97)</t>
  </si>
  <si>
    <t>e_wof_AUS_001</t>
  </si>
  <si>
    <t>wind offshore resource near Darwin (cluster 1)</t>
  </si>
  <si>
    <t>e_wof_AUS_002</t>
  </si>
  <si>
    <t>wind offshore resource near Perth (cluster 2)</t>
  </si>
  <si>
    <t>e_wof_AUS_003</t>
  </si>
  <si>
    <t>wind offshore resource near Darwin (cluster 3)</t>
  </si>
  <si>
    <t>e_wof_AUS_004</t>
  </si>
  <si>
    <t>wind offshore resource near Darwin (cluster 4)</t>
  </si>
  <si>
    <t>e_wof_AUS_005</t>
  </si>
  <si>
    <t>wind offshore resource near Darwin (cluster 5)</t>
  </si>
  <si>
    <t>e_wof_AUS_006</t>
  </si>
  <si>
    <t>wind offshore resource near Cranbourne (cluster 6)</t>
  </si>
  <si>
    <t>e_wof_AUS_007</t>
  </si>
  <si>
    <t>wind offshore resource near Canberra (cluster 7)</t>
  </si>
  <si>
    <t>e_wof_AUS_008</t>
  </si>
  <si>
    <t>wind offshore resource near Hobart (cluster 8)</t>
  </si>
  <si>
    <t>e_wof_AUS_009</t>
  </si>
  <si>
    <t>wind offshore resource near Hobart (cluster 9)</t>
  </si>
  <si>
    <t>e_wof_AUS_010</t>
  </si>
  <si>
    <t>wind offshore resource near Geelong (cluster 10)</t>
  </si>
  <si>
    <t>e_wof_AUS_011</t>
  </si>
  <si>
    <t>wind offshore resource near Geelong (cluster 11)</t>
  </si>
  <si>
    <t>e_wof_AUS_012</t>
  </si>
  <si>
    <t>wind offshore resource near Cranbourne (cluster 12)</t>
  </si>
  <si>
    <t>e_wof_AUS_013</t>
  </si>
  <si>
    <t>wind offshore resource near Launceston (cluster 13)</t>
  </si>
  <si>
    <t>e_wof_AUS_014</t>
  </si>
  <si>
    <t>wind offshore resource near Perth (cluster 14)</t>
  </si>
  <si>
    <t>e_wof_AUS_015</t>
  </si>
  <si>
    <t>wind offshore resource near Perth (cluster 15)</t>
  </si>
  <si>
    <t>e_wof_AUS_016</t>
  </si>
  <si>
    <t>wind offshore resource near Mandurah (cluster 16)</t>
  </si>
  <si>
    <t>e_wof_AUS_017</t>
  </si>
  <si>
    <t>wind offshore resource near Bunbury (cluster 17)</t>
  </si>
  <si>
    <t>e_wof_AUS_018</t>
  </si>
  <si>
    <t>wind offshore resource near Bunbury (cluster 18)</t>
  </si>
  <si>
    <t>e_wof_AUS_019</t>
  </si>
  <si>
    <t>wind offshore resource near Adelaide (cluster 19)</t>
  </si>
  <si>
    <t>e_wof_AUS_020</t>
  </si>
  <si>
    <t>wind offshore resource near Adelaide (cluster 20)</t>
  </si>
  <si>
    <t>e_wof_AUS_021</t>
  </si>
  <si>
    <t>wind offshore resource near Adelaide (cluster 21)</t>
  </si>
  <si>
    <t>e_wof_AUS_022</t>
  </si>
  <si>
    <t>wind offshore resource near Adelaide (cluster 22)</t>
  </si>
  <si>
    <t>e_wof_AUS_023</t>
  </si>
  <si>
    <t>wind offshore resource near Adelaide (cluster 23)</t>
  </si>
  <si>
    <t>e_wof_AUS_024</t>
  </si>
  <si>
    <t>wind offshore resource near Adelaide (cluster 24)</t>
  </si>
  <si>
    <t>e_wof_AUS_025</t>
  </si>
  <si>
    <t>wind offshore resource near Perth (cluster 25)</t>
  </si>
  <si>
    <t>e_wof_AUS_026</t>
  </si>
  <si>
    <t>wind offshore resource near Perth (cluster 26)</t>
  </si>
  <si>
    <t>e_wof_AUS_027</t>
  </si>
  <si>
    <t>wind offshore resource near Perth (cluster 27)</t>
  </si>
  <si>
    <t>e_wof_AUS_028</t>
  </si>
  <si>
    <t>wind offshore resource near Perth (cluster 28)</t>
  </si>
  <si>
    <t>e_wof_AUS_029</t>
  </si>
  <si>
    <t>wind offshore resource near Perth (cluster 29)</t>
  </si>
  <si>
    <t>e_wof_AUS_030</t>
  </si>
  <si>
    <t>wind offshore resource near Perth (cluster 30)</t>
  </si>
  <si>
    <t>e_wof_AUS_031</t>
  </si>
  <si>
    <t>wind offshore resource near Hervey Bay (cluster 31)</t>
  </si>
  <si>
    <t>e_wof_AUS_032</t>
  </si>
  <si>
    <t>wind offshore resource near Gold Coast (cluster 32)</t>
  </si>
  <si>
    <t>e_wof_AUS_033</t>
  </si>
  <si>
    <t>wind offshore resource near Brisbane (cluster 33)</t>
  </si>
  <si>
    <t>e_wof_AUS_034</t>
  </si>
  <si>
    <t>wind offshore resource near Sydney (cluster 34)</t>
  </si>
  <si>
    <t>e_wof_AUS_035</t>
  </si>
  <si>
    <t>wind offshore resource near Gold Coast (cluster 35)</t>
  </si>
  <si>
    <t>e_wof_AUS_036</t>
  </si>
  <si>
    <t>wind offshore resource near Newcastle (cluster 36)</t>
  </si>
  <si>
    <t>e_wof_AUS_037</t>
  </si>
  <si>
    <t>wind offshore resource near Darwin (cluster 37)</t>
  </si>
  <si>
    <t>e_wof_AUS_038</t>
  </si>
  <si>
    <t>wind offshore resource near Darwin (cluster 38)</t>
  </si>
  <si>
    <t>e_wof_AUS_039</t>
  </si>
  <si>
    <t>wind offshore resource near Darwin (cluster 39)</t>
  </si>
  <si>
    <t>e_wof_AUS_040</t>
  </si>
  <si>
    <t>wind offshore resource near Cairns (cluster 40)</t>
  </si>
  <si>
    <t>e_wof_AUS_041</t>
  </si>
  <si>
    <t>wind offshore resource near Cairns (cluster 41)</t>
  </si>
  <si>
    <t>e_wof_AUS_042</t>
  </si>
  <si>
    <t>wind offshore resource near Cairns (cluster 42)</t>
  </si>
  <si>
    <t>e_wof_AUS_043</t>
  </si>
  <si>
    <t>wind offshore resource near Darwin (cluster 43)</t>
  </si>
  <si>
    <t>e_wof_AUS_044</t>
  </si>
  <si>
    <t>wind offshore resource near Darwin (cluster 44)</t>
  </si>
  <si>
    <t>e_wof_AUS_045</t>
  </si>
  <si>
    <t>wind offshore resource near Darwin (cluster 45)</t>
  </si>
  <si>
    <t>e_wof_AUS_046</t>
  </si>
  <si>
    <t>wind offshore resource near Darwin (cluster 46)</t>
  </si>
  <si>
    <t>e_wof_AUS_047</t>
  </si>
  <si>
    <t>wind offshore resource near Bundaberg (cluster 47)</t>
  </si>
  <si>
    <t>e_wof_AUS_048</t>
  </si>
  <si>
    <t>wind offshore resource near Mackay (cluster 48)</t>
  </si>
  <si>
    <t>e_wof_AUS_049</t>
  </si>
  <si>
    <t>wind offshore resource near Cairns (cluster 49)</t>
  </si>
  <si>
    <t>e_wof_AUS_050</t>
  </si>
  <si>
    <t>wind offshore resource near Cairns (cluster 50)</t>
  </si>
  <si>
    <t>e_wof_AUS_051</t>
  </si>
  <si>
    <t>wind offshore resource near Townsville (cluster 51)</t>
  </si>
  <si>
    <t>e_wof_AUS_052</t>
  </si>
  <si>
    <t>wind offshore resource near Townsville (cluster 52)</t>
  </si>
  <si>
    <t>~fi_t: UP</t>
  </si>
  <si>
    <t>attribute</t>
  </si>
  <si>
    <t>other_indexes</t>
  </si>
  <si>
    <t>time_slice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</si>
  <si>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</si>
  <si>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</si>
  <si>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</si>
  <si>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</si>
  <si>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</si>
  <si>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</si>
  <si>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</si>
  <si>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en_chp_gas_cc_ext</t>
  </si>
  <si>
    <t>HET</t>
  </si>
  <si>
    <t>ncap_chpr</t>
  </si>
  <si>
    <t>ncap_ceh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</si>
  <si>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</si>
  <si>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</si>
  <si>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</si>
  <si>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</si>
  <si>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</si>
  <si>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</si>
  <si>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en_nuclear</t>
  </si>
  <si>
    <t>en_nuclear_smr</t>
  </si>
  <si>
    <t>en_biomass</t>
  </si>
  <si>
    <t>ncap_af</t>
  </si>
  <si>
    <t>en_chp_biomass_chips_ext</t>
  </si>
  <si>
    <t>en_hop_gas_boiler</t>
  </si>
  <si>
    <t>en_hop_biomass_chips</t>
  </si>
  <si>
    <t>en_hop_electric_boiler</t>
  </si>
  <si>
    <t>en_hp_air_10mw</t>
  </si>
  <si>
    <t>en_battery_4h</t>
  </si>
  <si>
    <t>stg_eff</t>
  </si>
  <si>
    <t>ncap_afc</t>
  </si>
  <si>
    <t>prc_capact</t>
  </si>
  <si>
    <t>ncap_pkcnt</t>
  </si>
  <si>
    <t>ANNUAL</t>
  </si>
  <si>
    <t>en_battery_8h</t>
  </si>
  <si>
    <t>en_chp_gas_cc_ext_ccs</t>
  </si>
  <si>
    <t>HET,CO2Cap</t>
  </si>
  <si>
    <t>pcg</t>
  </si>
  <si>
    <t>Natural gas combined cycle. IEA GEC</t>
  </si>
  <si>
    <t>yes</t>
  </si>
  <si>
    <t>Natural gas open-cycle combustion turbine. IEA GEC</t>
  </si>
  <si>
    <t>CHP</t>
  </si>
  <si>
    <t>Gas combined cycle CHP, steam extraction (large). DEA el&amp;dh 05</t>
  </si>
  <si>
    <t>Natural gas CCGT with post-combustion CCS. IEA GEC</t>
  </si>
  <si>
    <t>Coal subcritical steam cycle. IEA GEC</t>
  </si>
  <si>
    <t>Coal supercritical steam cycle. IEA GEC</t>
  </si>
  <si>
    <t>Coal ultra-supercritical steam cycle. IEA GEC</t>
  </si>
  <si>
    <t>Coal integrated gasification combined cycle. IEA GEC</t>
  </si>
  <si>
    <t>Nuclear large reactor (Gen III/III+). IEA GEC</t>
  </si>
  <si>
    <t>Nuclear small modular reactor. ATB</t>
  </si>
  <si>
    <t>Biomass dedicated large-scale. IEA GEC</t>
  </si>
  <si>
    <t>Wood-chips CHP, steam extraction (large). DEA el&amp;dh 09a</t>
  </si>
  <si>
    <t>HPL</t>
  </si>
  <si>
    <t>Natural gas DH boiler (medium). DEA el&amp;dh 44. Heat capacity basis</t>
  </si>
  <si>
    <t>season</t>
  </si>
  <si>
    <t>Wood-chips DH boiler (large). DEA el&amp;dh 09a. Heat capacity basis</t>
  </si>
  <si>
    <t>Electric DH boiler (large). DEA el&amp;dh 41. Heat capacity basis; region-uniform</t>
  </si>
  <si>
    <t>Utility heat pump, air source, 10 MW, 70/35C DH. DEA el&amp;dh 40. heat_efficiency = COP; component split preserved</t>
  </si>
  <si>
    <t>Utility-scale Li-ion battery, 4-hour duration. ATB</t>
  </si>
  <si>
    <t>Utility-scale Li-ion battery, 8-hour duration. ATB</t>
  </si>
  <si>
    <t>Gas combined cycle CHP with post-combustion CCS. Synthetic (DEA 05 + GEC gas CCS)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</si>
</sst>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Te\x\t"/>
    <numFmt numFmtId="165" formatCode="_-* #,##0.00_-;\-* #,##0.00_-;_-* &quot;-&quot;??_-;_-@_-"/>
    <numFmt numFmtId="166" formatCode="0.0"/>
    <numFmt numFmtId="167" formatCode="0.0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1" fillId="0" borderId="2" applyNumberFormat="0" applyFill="0" applyAlignment="0" applyProtection="0"/>
    <xf numFmtId="0" fontId="2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7" fillId="16" borderId="0" applyNumberFormat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0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4" fillId="5" borderId="0" xfId="0" applyFont="1" applyFill="1" applyAlignment="1">
      <alignment horizontal="center" vertical="center"/>
    </xf>
    <xf numFmtId="0" fontId="12" fillId="2" borderId="0" xfId="18" applyBorder="1" applyAlignment="1">
      <alignment horizontal="left" vertical="center"/>
    </xf>
    <xf numFmtId="0" fontId="14" fillId="5" borderId="0" xfId="0" applyFont="1" applyFill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4" fillId="5" borderId="8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left" vertical="center" wrapText="1"/>
    </xf>
    <xf numFmtId="0" fontId="14" fillId="5" borderId="10" xfId="0" applyFont="1" applyFill="1" applyBorder="1" applyAlignment="1">
      <alignment horizontal="left" vertical="center" wrapText="1"/>
    </xf>
    <xf numFmtId="0" fontId="15" fillId="6" borderId="0" xfId="0" applyFont="1" applyFill="1" applyAlignment="1">
      <alignment vertical="center"/>
    </xf>
    <xf numFmtId="166" fontId="15" fillId="6" borderId="7" xfId="0" applyNumberFormat="1" applyFont="1" applyFill="1" applyBorder="1" applyAlignment="1">
      <alignment vertical="center"/>
    </xf>
    <xf numFmtId="166" fontId="15" fillId="6" borderId="0" xfId="0" applyNumberFormat="1" applyFont="1" applyFill="1" applyAlignment="1">
      <alignment vertical="center"/>
    </xf>
    <xf numFmtId="166" fontId="15" fillId="6" borderId="8" xfId="0" applyNumberFormat="1" applyFont="1" applyFill="1" applyBorder="1" applyAlignment="1">
      <alignment vertical="center"/>
    </xf>
    <xf numFmtId="2" fontId="15" fillId="6" borderId="0" xfId="0" applyNumberFormat="1" applyFont="1" applyFill="1" applyAlignment="1">
      <alignment vertical="center"/>
    </xf>
    <xf numFmtId="2" fontId="15" fillId="6" borderId="9" xfId="0" applyNumberFormat="1" applyFont="1" applyFill="1" applyBorder="1" applyAlignment="1">
      <alignment vertical="center"/>
    </xf>
    <xf numFmtId="2" fontId="15" fillId="6" borderId="10" xfId="0" applyNumberFormat="1" applyFont="1" applyFill="1" applyBorder="1" applyAlignment="1">
      <alignment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0" xfId="0" applyFont="1" applyFill="1" applyAlignment="1">
      <alignment horizontal="left" vertical="center"/>
    </xf>
    <xf numFmtId="0" fontId="15" fillId="7" borderId="0" xfId="0" applyFont="1" applyFill="1" applyAlignment="1">
      <alignment vertical="center"/>
    </xf>
    <xf numFmtId="166" fontId="15" fillId="7" borderId="7" xfId="0" applyNumberFormat="1" applyFont="1" applyFill="1" applyBorder="1" applyAlignment="1">
      <alignment vertical="center"/>
    </xf>
    <xf numFmtId="166" fontId="15" fillId="7" borderId="0" xfId="0" applyNumberFormat="1" applyFont="1" applyFill="1" applyAlignment="1">
      <alignment vertical="center"/>
    </xf>
    <xf numFmtId="166" fontId="15" fillId="7" borderId="8" xfId="0" applyNumberFormat="1" applyFont="1" applyFill="1" applyBorder="1" applyAlignment="1">
      <alignment vertical="center"/>
    </xf>
    <xf numFmtId="2" fontId="15" fillId="7" borderId="0" xfId="0" applyNumberFormat="1" applyFont="1" applyFill="1" applyAlignment="1">
      <alignment vertical="center"/>
    </xf>
    <xf numFmtId="2" fontId="15" fillId="7" borderId="9" xfId="0" applyNumberFormat="1" applyFont="1" applyFill="1" applyBorder="1" applyAlignment="1">
      <alignment vertical="center"/>
    </xf>
    <xf numFmtId="2" fontId="15" fillId="7" borderId="10" xfId="0" applyNumberFormat="1" applyFont="1" applyFill="1" applyBorder="1" applyAlignment="1">
      <alignment vertical="center"/>
    </xf>
    <xf numFmtId="0" fontId="15" fillId="7" borderId="11" xfId="0" applyFont="1" applyFill="1" applyBorder="1" applyAlignment="1">
      <alignment horizontal="left" vertical="center"/>
    </xf>
    <xf numFmtId="0" fontId="15" fillId="7" borderId="0" xfId="0" applyFont="1" applyFill="1" applyAlignment="1">
      <alignment horizontal="left" vertical="center"/>
    </xf>
    <xf numFmtId="1" fontId="15" fillId="7" borderId="0" xfId="0" applyNumberFormat="1" applyFont="1" applyFill="1" applyAlignment="1">
      <alignment vertical="center"/>
    </xf>
    <xf numFmtId="1" fontId="15" fillId="6" borderId="0" xfId="0" applyNumberFormat="1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16" fillId="8" borderId="7" xfId="0" applyNumberFormat="1" applyFont="1" applyFill="1" applyBorder="1" applyAlignment="1">
      <alignment vertical="center"/>
    </xf>
    <xf numFmtId="166" fontId="16" fillId="8" borderId="0" xfId="0" applyNumberFormat="1" applyFont="1" applyFill="1" applyAlignment="1">
      <alignment vertical="center"/>
    </xf>
    <xf numFmtId="166" fontId="16" fillId="8" borderId="8" xfId="0" applyNumberFormat="1" applyFont="1" applyFill="1" applyBorder="1" applyAlignment="1">
      <alignment vertical="center"/>
    </xf>
    <xf numFmtId="167" fontId="16" fillId="8" borderId="7" xfId="0" applyNumberFormat="1" applyFont="1" applyFill="1" applyBorder="1" applyAlignment="1">
      <alignment vertical="center"/>
    </xf>
    <xf numFmtId="167" fontId="16" fillId="8" borderId="0" xfId="0" applyNumberFormat="1" applyFont="1" applyFill="1" applyAlignment="1">
      <alignment vertical="center"/>
    </xf>
    <xf numFmtId="167" fontId="16" fillId="8" borderId="9" xfId="0" applyNumberFormat="1" applyFont="1" applyFill="1" applyBorder="1" applyAlignment="1">
      <alignment vertical="center"/>
    </xf>
    <xf numFmtId="167" fontId="16" fillId="8" borderId="10" xfId="0" applyNumberFormat="1" applyFont="1" applyFill="1" applyBorder="1" applyAlignment="1">
      <alignment vertical="center"/>
    </xf>
    <xf numFmtId="0" fontId="16" fillId="8" borderId="11" xfId="0" applyFont="1" applyFill="1" applyBorder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0" fontId="15" fillId="9" borderId="0" xfId="0" applyFont="1" applyFill="1" applyAlignment="1">
      <alignment vertical="center"/>
    </xf>
    <xf numFmtId="166" fontId="15" fillId="9" borderId="7" xfId="0" applyNumberFormat="1" applyFont="1" applyFill="1" applyBorder="1" applyAlignment="1">
      <alignment vertical="center"/>
    </xf>
    <xf numFmtId="166" fontId="15" fillId="9" borderId="0" xfId="0" applyNumberFormat="1" applyFont="1" applyFill="1" applyAlignment="1">
      <alignment vertical="center"/>
    </xf>
    <xf numFmtId="166" fontId="15" fillId="9" borderId="8" xfId="0" applyNumberFormat="1" applyFont="1" applyFill="1" applyBorder="1" applyAlignment="1">
      <alignment vertical="center"/>
    </xf>
    <xf numFmtId="167" fontId="15" fillId="9" borderId="7" xfId="0" applyNumberFormat="1" applyFont="1" applyFill="1" applyBorder="1" applyAlignment="1">
      <alignment vertical="center"/>
    </xf>
    <xf numFmtId="167" fontId="15" fillId="9" borderId="0" xfId="0" applyNumberFormat="1" applyFont="1" applyFill="1" applyAlignment="1">
      <alignment vertical="center"/>
    </xf>
    <xf numFmtId="167" fontId="15" fillId="9" borderId="9" xfId="0" applyNumberFormat="1" applyFont="1" applyFill="1" applyBorder="1" applyAlignment="1">
      <alignment vertical="center"/>
    </xf>
    <xf numFmtId="167" fontId="15" fillId="9" borderId="10" xfId="0" applyNumberFormat="1" applyFont="1" applyFill="1" applyBorder="1" applyAlignment="1">
      <alignment vertical="center"/>
    </xf>
    <xf numFmtId="0" fontId="15" fillId="9" borderId="1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vertical="center"/>
    </xf>
    <xf numFmtId="166" fontId="15" fillId="10" borderId="7" xfId="0" applyNumberFormat="1" applyFont="1" applyFill="1" applyBorder="1" applyAlignment="1">
      <alignment vertical="center"/>
    </xf>
    <xf numFmtId="166" fontId="15" fillId="10" borderId="0" xfId="0" applyNumberFormat="1" applyFont="1" applyFill="1" applyAlignment="1">
      <alignment vertical="center"/>
    </xf>
    <xf numFmtId="166" fontId="15" fillId="10" borderId="8" xfId="0" applyNumberFormat="1" applyFont="1" applyFill="1" applyBorder="1" applyAlignment="1">
      <alignment vertical="center"/>
    </xf>
    <xf numFmtId="167" fontId="15" fillId="10" borderId="7" xfId="0" applyNumberFormat="1" applyFont="1" applyFill="1" applyBorder="1" applyAlignment="1">
      <alignment vertical="center"/>
    </xf>
    <xf numFmtId="167" fontId="15" fillId="10" borderId="0" xfId="0" applyNumberFormat="1" applyFont="1" applyFill="1" applyAlignment="1">
      <alignment vertical="center"/>
    </xf>
    <xf numFmtId="167" fontId="15" fillId="10" borderId="9" xfId="0" applyNumberFormat="1" applyFont="1" applyFill="1" applyBorder="1" applyAlignment="1">
      <alignment vertical="center"/>
    </xf>
    <xf numFmtId="167" fontId="15" fillId="10" borderId="10" xfId="0" applyNumberFormat="1" applyFont="1" applyFill="1" applyBorder="1" applyAlignment="1">
      <alignment vertical="center"/>
    </xf>
    <xf numFmtId="0" fontId="15" fillId="10" borderId="11" xfId="0" applyFont="1" applyFill="1" applyBorder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5" fillId="11" borderId="3" xfId="0" applyFont="1" applyFill="1" applyBorder="1" applyAlignment="1">
      <alignment vertical="center"/>
    </xf>
    <xf numFmtId="166" fontId="15" fillId="11" borderId="4" xfId="0" applyNumberFormat="1" applyFont="1" applyFill="1" applyBorder="1" applyAlignment="1">
      <alignment vertical="center"/>
    </xf>
    <xf numFmtId="166" fontId="15" fillId="11" borderId="3" xfId="0" applyNumberFormat="1" applyFont="1" applyFill="1" applyBorder="1" applyAlignment="1">
      <alignment vertical="center"/>
    </xf>
    <xf numFmtId="166" fontId="15" fillId="11" borderId="5" xfId="0" applyNumberFormat="1" applyFont="1" applyFill="1" applyBorder="1" applyAlignment="1">
      <alignment vertical="center"/>
    </xf>
    <xf numFmtId="167" fontId="16" fillId="11" borderId="4" xfId="0" applyNumberFormat="1" applyFont="1" applyFill="1" applyBorder="1" applyAlignment="1">
      <alignment vertical="center"/>
    </xf>
    <xf numFmtId="167" fontId="16" fillId="11" borderId="3" xfId="0" applyNumberFormat="1" applyFont="1" applyFill="1" applyBorder="1" applyAlignment="1">
      <alignment vertical="center"/>
    </xf>
    <xf numFmtId="167" fontId="16" fillId="11" borderId="12" xfId="0" applyNumberFormat="1" applyFont="1" applyFill="1" applyBorder="1" applyAlignment="1">
      <alignment vertical="center"/>
    </xf>
    <xf numFmtId="167" fontId="16" fillId="11" borderId="13" xfId="0" applyNumberFormat="1" applyFont="1" applyFill="1" applyBorder="1" applyAlignment="1">
      <alignment vertical="center"/>
    </xf>
    <xf numFmtId="0" fontId="15" fillId="11" borderId="6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left" vertical="center"/>
    </xf>
    <xf numFmtId="0" fontId="15" fillId="12" borderId="0" xfId="0" applyFont="1" applyFill="1" applyAlignment="1">
      <alignment vertical="center"/>
    </xf>
    <xf numFmtId="0" fontId="15" fillId="13" borderId="0" xfId="0" applyFont="1" applyFill="1" applyAlignment="1">
      <alignment vertical="center"/>
    </xf>
    <xf numFmtId="166" fontId="15" fillId="13" borderId="7" xfId="0" applyNumberFormat="1" applyFont="1" applyFill="1" applyBorder="1" applyAlignment="1">
      <alignment vertical="center"/>
    </xf>
    <xf numFmtId="166" fontId="15" fillId="13" borderId="0" xfId="0" applyNumberFormat="1" applyFont="1" applyFill="1" applyAlignment="1">
      <alignment vertical="center"/>
    </xf>
    <xf numFmtId="166" fontId="15" fillId="13" borderId="8" xfId="0" applyNumberFormat="1" applyFont="1" applyFill="1" applyBorder="1" applyAlignment="1">
      <alignment vertical="center"/>
    </xf>
    <xf numFmtId="167" fontId="16" fillId="13" borderId="7" xfId="0" applyNumberFormat="1" applyFont="1" applyFill="1" applyBorder="1" applyAlignment="1">
      <alignment vertical="center"/>
    </xf>
    <xf numFmtId="167" fontId="16" fillId="13" borderId="0" xfId="0" applyNumberFormat="1" applyFont="1" applyFill="1" applyAlignment="1">
      <alignment vertical="center"/>
    </xf>
    <xf numFmtId="167" fontId="16" fillId="13" borderId="9" xfId="0" applyNumberFormat="1" applyFont="1" applyFill="1" applyBorder="1" applyAlignment="1">
      <alignment vertical="center"/>
    </xf>
    <xf numFmtId="167" fontId="16" fillId="13" borderId="10" xfId="0" applyNumberFormat="1" applyFont="1" applyFill="1" applyBorder="1" applyAlignment="1">
      <alignment vertical="center"/>
    </xf>
    <xf numFmtId="0" fontId="15" fillId="12" borderId="11" xfId="0" applyFont="1" applyFill="1" applyBorder="1" applyAlignment="1">
      <alignment horizontal="left" vertical="center"/>
    </xf>
    <xf numFmtId="0" fontId="15" fillId="12" borderId="0" xfId="0" applyFont="1" applyFill="1" applyAlignment="1">
      <alignment horizontal="left" vertical="center"/>
    </xf>
    <xf numFmtId="0" fontId="15" fillId="11" borderId="14" xfId="0" applyFont="1" applyFill="1" applyBorder="1" applyAlignment="1">
      <alignment vertical="center"/>
    </xf>
    <xf numFmtId="166" fontId="15" fillId="11" borderId="15" xfId="0" applyNumberFormat="1" applyFont="1" applyFill="1" applyBorder="1" applyAlignment="1">
      <alignment vertical="center"/>
    </xf>
    <xf numFmtId="166" fontId="15" fillId="11" borderId="14" xfId="0" applyNumberFormat="1" applyFont="1" applyFill="1" applyBorder="1" applyAlignment="1">
      <alignment vertical="center"/>
    </xf>
    <xf numFmtId="166" fontId="15" fillId="11" borderId="16" xfId="0" applyNumberFormat="1" applyFont="1" applyFill="1" applyBorder="1" applyAlignment="1">
      <alignment vertical="center"/>
    </xf>
    <xf numFmtId="167" fontId="16" fillId="11" borderId="15" xfId="0" applyNumberFormat="1" applyFont="1" applyFill="1" applyBorder="1" applyAlignment="1">
      <alignment vertical="center"/>
    </xf>
    <xf numFmtId="167" fontId="16" fillId="11" borderId="14" xfId="0" applyNumberFormat="1" applyFont="1" applyFill="1" applyBorder="1" applyAlignment="1">
      <alignment vertical="center"/>
    </xf>
    <xf numFmtId="167" fontId="16" fillId="11" borderId="17" xfId="0" applyNumberFormat="1" applyFont="1" applyFill="1" applyBorder="1" applyAlignment="1">
      <alignment vertical="center"/>
    </xf>
    <xf numFmtId="167" fontId="16" fillId="11" borderId="18" xfId="0" applyNumberFormat="1" applyFont="1" applyFill="1" applyBorder="1" applyAlignment="1">
      <alignment vertical="center"/>
    </xf>
    <xf numFmtId="0" fontId="15" fillId="11" borderId="19" xfId="0" applyFont="1" applyFill="1" applyBorder="1" applyAlignment="1">
      <alignment horizontal="left" vertical="center"/>
    </xf>
    <xf numFmtId="1" fontId="15" fillId="14" borderId="0" xfId="0" applyNumberFormat="1" applyFont="1" applyFill="1" applyAlignment="1">
      <alignment vertical="center"/>
    </xf>
    <xf numFmtId="166" fontId="15" fillId="14" borderId="7" xfId="0" applyNumberFormat="1" applyFont="1" applyFill="1" applyBorder="1" applyAlignment="1">
      <alignment vertical="center"/>
    </xf>
    <xf numFmtId="166" fontId="15" fillId="14" borderId="0" xfId="0" applyNumberFormat="1" applyFont="1" applyFill="1" applyAlignment="1">
      <alignment vertical="center"/>
    </xf>
    <xf numFmtId="166" fontId="15" fillId="14" borderId="8" xfId="0" applyNumberFormat="1" applyFont="1" applyFill="1" applyBorder="1" applyAlignment="1">
      <alignment vertical="center"/>
    </xf>
    <xf numFmtId="167" fontId="15" fillId="14" borderId="7" xfId="0" applyNumberFormat="1" applyFont="1" applyFill="1" applyBorder="1" applyAlignment="1">
      <alignment vertical="center"/>
    </xf>
    <xf numFmtId="167" fontId="15" fillId="14" borderId="0" xfId="0" applyNumberFormat="1" applyFont="1" applyFill="1" applyAlignment="1">
      <alignment vertical="center"/>
    </xf>
    <xf numFmtId="167" fontId="15" fillId="14" borderId="9" xfId="0" applyNumberFormat="1" applyFont="1" applyFill="1" applyBorder="1" applyAlignment="1">
      <alignment vertical="center"/>
    </xf>
    <xf numFmtId="167" fontId="15" fillId="14" borderId="10" xfId="0" applyNumberFormat="1" applyFont="1" applyFill="1" applyBorder="1" applyAlignment="1">
      <alignment vertical="center"/>
    </xf>
    <xf numFmtId="0" fontId="15" fillId="14" borderId="11" xfId="0" applyFont="1" applyFill="1" applyBorder="1" applyAlignment="1">
      <alignment horizontal="left" vertical="center"/>
    </xf>
    <xf numFmtId="0" fontId="15" fillId="14" borderId="0" xfId="0" applyFont="1" applyFill="1" applyAlignment="1">
      <alignment horizontal="left" vertical="center"/>
    </xf>
    <xf numFmtId="1" fontId="15" fillId="15" borderId="0" xfId="0" applyNumberFormat="1" applyFont="1" applyFill="1" applyAlignment="1">
      <alignment vertical="center"/>
    </xf>
    <xf numFmtId="166" fontId="15" fillId="15" borderId="7" xfId="0" applyNumberFormat="1" applyFont="1" applyFill="1" applyBorder="1" applyAlignment="1">
      <alignment vertical="center"/>
    </xf>
    <xf numFmtId="166" fontId="15" fillId="15" borderId="0" xfId="0" applyNumberFormat="1" applyFont="1" applyFill="1" applyAlignment="1">
      <alignment vertical="center"/>
    </xf>
    <xf numFmtId="166" fontId="15" fillId="15" borderId="8" xfId="0" applyNumberFormat="1" applyFont="1" applyFill="1" applyBorder="1" applyAlignment="1">
      <alignment vertical="center"/>
    </xf>
    <xf numFmtId="167" fontId="15" fillId="15" borderId="7" xfId="0" applyNumberFormat="1" applyFont="1" applyFill="1" applyBorder="1" applyAlignment="1">
      <alignment vertical="center"/>
    </xf>
    <xf numFmtId="167" fontId="15" fillId="15" borderId="0" xfId="0" applyNumberFormat="1" applyFont="1" applyFill="1" applyAlignment="1">
      <alignment vertical="center"/>
    </xf>
    <xf numFmtId="167" fontId="15" fillId="15" borderId="9" xfId="0" applyNumberFormat="1" applyFont="1" applyFill="1" applyBorder="1" applyAlignment="1">
      <alignment vertical="center"/>
    </xf>
    <xf numFmtId="167" fontId="15" fillId="15" borderId="10" xfId="0" applyNumberFormat="1" applyFont="1" applyFill="1" applyBorder="1" applyAlignment="1">
      <alignment vertical="center"/>
    </xf>
    <xf numFmtId="0" fontId="15" fillId="15" borderId="11" xfId="0" applyFont="1" applyFill="1" applyBorder="1" applyAlignment="1">
      <alignment horizontal="left" vertical="center"/>
    </xf>
    <xf numFmtId="0" fontId="15" fillId="15" borderId="0" xfId="0" applyFont="1" applyFill="1" applyAlignment="1">
      <alignment horizontal="left" vertical="center"/>
    </xf>
    <xf numFmtId="0" fontId="15" fillId="14" borderId="14" xfId="0" applyFont="1" applyFill="1" applyBorder="1" applyAlignment="1">
      <alignment vertical="center"/>
    </xf>
    <xf numFmtId="166" fontId="15" fillId="14" borderId="15" xfId="0" applyNumberFormat="1" applyFont="1" applyFill="1" applyBorder="1" applyAlignment="1">
      <alignment vertical="center"/>
    </xf>
    <xf numFmtId="166" fontId="15" fillId="14" borderId="14" xfId="0" applyNumberFormat="1" applyFont="1" applyFill="1" applyBorder="1" applyAlignment="1">
      <alignment vertical="center"/>
    </xf>
    <xf numFmtId="166" fontId="15" fillId="14" borderId="16" xfId="0" applyNumberFormat="1" applyFont="1" applyFill="1" applyBorder="1" applyAlignment="1">
      <alignment vertical="center"/>
    </xf>
    <xf numFmtId="167" fontId="15" fillId="14" borderId="15" xfId="0" applyNumberFormat="1" applyFont="1" applyFill="1" applyBorder="1" applyAlignment="1">
      <alignment vertical="center"/>
    </xf>
    <xf numFmtId="167" fontId="15" fillId="14" borderId="14" xfId="0" applyNumberFormat="1" applyFont="1" applyFill="1" applyBorder="1" applyAlignment="1">
      <alignment vertical="center"/>
    </xf>
    <xf numFmtId="167" fontId="15" fillId="14" borderId="17" xfId="0" applyNumberFormat="1" applyFont="1" applyFill="1" applyBorder="1" applyAlignment="1">
      <alignment vertical="center"/>
    </xf>
    <xf numFmtId="167" fontId="15" fillId="14" borderId="18" xfId="0" applyNumberFormat="1" applyFont="1" applyFill="1" applyBorder="1" applyAlignment="1">
      <alignment vertical="center"/>
    </xf>
    <xf numFmtId="0" fontId="15" fillId="14" borderId="19" xfId="0" applyFont="1" applyFill="1" applyBorder="1" applyAlignment="1">
      <alignment horizontal="left" vertical="center"/>
    </xf>
    <xf numFmtId="0" fontId="11" fillId="0" borderId="2" xfId="16"/>
    <xf numFmtId="0" fontId="2" fillId="0" borderId="0" xfId="17"/>
    <xf numFmtId="1" fontId="0" fillId="0" borderId="0" xfId="0" applyNumberFormat="1"/>
    <xf numFmtId="1" fontId="13" fillId="0" borderId="0" xfId="0" applyNumberFormat="1" applyFont="1"/>
    <xf numFmtId="0" fontId="17" fillId="16" borderId="0" xfId="19"/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9"/>
  <sheetViews>
    <sheetView workbookViewId="0"/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29" t="s">
        <v>0</v>
      </c>
      <c r="L11" s="129" t="s">
        <v>133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28</v>
      </c>
      <c r="P12" s="2">
        <v>2022</v>
      </c>
      <c r="Q12" s="2">
        <v>0</v>
      </c>
      <c r="R12" s="2" t="s">
        <v>71</v>
      </c>
      <c r="S12" s="2" t="s">
        <v>74</v>
      </c>
    </row>
    <row r="13" spans="2:22">
      <c r="B13" s="1" t="s">
        <v>17</v>
      </c>
      <c r="C13" s="1" t="s">
        <v>13</v>
      </c>
      <c r="E13" s="1" t="s">
        <v>20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20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19</v>
      </c>
      <c r="C15" t="s">
        <v>73</v>
      </c>
      <c r="D15" s="1" t="s">
        <v>75</v>
      </c>
      <c r="E15" s="1" t="s">
        <v>20</v>
      </c>
      <c r="F15" t="s">
        <v>10</v>
      </c>
      <c r="G15" s="1"/>
      <c r="H15" s="1"/>
      <c r="I15" s="1"/>
      <c r="J15" s="1" t="str">
        <f>C15</f>
        <v>e_demand</v>
      </c>
      <c r="K15" s="1"/>
      <c r="L15" t="s">
        <v>21</v>
      </c>
      <c r="M15" s="1">
        <v>1</v>
      </c>
      <c r="N15" s="1">
        <v>8.76</v>
      </c>
      <c r="O15" s="1"/>
      <c r="P15" s="1"/>
      <c r="Q15" s="1"/>
      <c r="V15" t="s">
        <v>70</v>
      </c>
    </row>
    <row r="16" spans="2:22">
      <c r="B16" t="s">
        <v>19</v>
      </c>
      <c r="C16" t="s">
        <v>134</v>
      </c>
      <c r="D16" s="1" t="s">
        <v>117</v>
      </c>
      <c r="E16" s="1" t="s">
        <v>20</v>
      </c>
      <c r="F16" t="s">
        <v>10</v>
      </c>
      <c r="G16" s="1"/>
      <c r="H16" s="1"/>
      <c r="I16" s="1"/>
      <c r="J16" s="1" t="str">
        <f>C16</f>
        <v>h2_demand</v>
      </c>
      <c r="K16" s="1" t="s">
        <v>33</v>
      </c>
      <c r="L16" t="s">
        <v>118</v>
      </c>
      <c r="M16" s="1">
        <v>1</v>
      </c>
      <c r="N16" s="1">
        <v>8.76</v>
      </c>
      <c r="O16" s="1"/>
      <c r="P16" s="1"/>
      <c r="Q16" s="1"/>
    </row>
    <row r="17" spans="2:22">
      <c r="B17" t="s">
        <v>19</v>
      </c>
      <c r="C17" t="s">
        <v>116</v>
      </c>
      <c r="D17" t="s">
        <v>135</v>
      </c>
      <c r="E17" s="1" t="s">
        <v>20</v>
      </c>
      <c r="F17" t="s">
        <v>10</v>
      </c>
      <c r="G17" s="1"/>
      <c r="H17" s="1"/>
      <c r="I17" s="1"/>
      <c r="J17" t="str">
        <f>C17</f>
        <v>h_demand</v>
      </c>
      <c r="K17" s="1"/>
      <c r="L17" t="s">
        <v>136</v>
      </c>
      <c r="M17" s="1">
        <v>1</v>
      </c>
      <c r="N17" s="1">
        <v>8.76</v>
      </c>
      <c r="O17" s="1"/>
      <c r="P17" s="1"/>
      <c r="Q17" s="1"/>
    </row>
    <row r="18" spans="2:22">
      <c r="B18" t="s">
        <v>27</v>
      </c>
      <c r="C18" t="s">
        <v>68</v>
      </c>
      <c r="D18" s="1"/>
      <c r="E18" s="1" t="s">
        <v>20</v>
      </c>
      <c r="F18" t="s">
        <v>10</v>
      </c>
      <c r="G18" t="s">
        <v>14</v>
      </c>
      <c r="H18" s="1"/>
      <c r="I18" s="1"/>
      <c r="J18" s="1" t="str">
        <f>C20</f>
        <v>fossil_supply</v>
      </c>
      <c r="K18" s="1"/>
      <c r="L18" s="1" t="s">
        <v>30</v>
      </c>
      <c r="M18" s="1"/>
      <c r="N18" s="1"/>
      <c r="O18" s="1">
        <f t="shared" ref="O18:O22" si="0">V18*3.6</f>
        <v>7.2</v>
      </c>
      <c r="P18" s="1"/>
      <c r="V18" s="1">
        <v>2</v>
      </c>
    </row>
    <row r="19" spans="2:22">
      <c r="B19" t="s">
        <v>67</v>
      </c>
      <c r="C19" t="s">
        <v>69</v>
      </c>
      <c r="D19" s="1"/>
      <c r="E19" s="1" t="s">
        <v>20</v>
      </c>
      <c r="F19" t="s">
        <v>10</v>
      </c>
      <c r="G19" t="s">
        <v>14</v>
      </c>
      <c r="H19" s="1"/>
      <c r="I19" s="1"/>
      <c r="K19" s="1"/>
      <c r="L19" s="1" t="s">
        <v>31</v>
      </c>
      <c r="M19" s="1"/>
      <c r="N19" s="1"/>
      <c r="O19" s="1">
        <f t="shared" si="0"/>
        <v>18</v>
      </c>
      <c r="P19" s="1"/>
      <c r="V19" s="1">
        <v>5</v>
      </c>
    </row>
    <row r="20" spans="2:22">
      <c r="B20" s="1" t="s">
        <v>27</v>
      </c>
      <c r="C20" s="1" t="s">
        <v>121</v>
      </c>
      <c r="D20" s="1" t="s">
        <v>76</v>
      </c>
      <c r="E20" s="1" t="s">
        <v>20</v>
      </c>
      <c r="F20" t="s">
        <v>10</v>
      </c>
      <c r="G20" s="1"/>
      <c r="H20" s="1"/>
      <c r="I20" s="1"/>
      <c r="K20" s="1"/>
      <c r="L20" s="1" t="s">
        <v>35</v>
      </c>
      <c r="M20" s="1"/>
      <c r="N20" s="1"/>
      <c r="O20" s="1">
        <f>V20*3.6</f>
        <v>36</v>
      </c>
      <c r="P20" s="1"/>
      <c r="V20">
        <v>10</v>
      </c>
    </row>
    <row r="21" spans="2:22">
      <c r="B21" s="1" t="s">
        <v>27</v>
      </c>
      <c r="C21" s="1" t="s">
        <v>123</v>
      </c>
      <c r="D21" s="1" t="s">
        <v>122</v>
      </c>
      <c r="E21" s="1" t="s">
        <v>20</v>
      </c>
      <c r="F21" t="s">
        <v>10</v>
      </c>
      <c r="G21" s="1"/>
      <c r="H21" s="1"/>
      <c r="I21" s="1"/>
      <c r="J21" s="1" t="str">
        <f>C21</f>
        <v>renewable</v>
      </c>
      <c r="K21" s="1"/>
      <c r="L21" s="1" t="s">
        <v>32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27</v>
      </c>
      <c r="C22" s="1" t="s">
        <v>124</v>
      </c>
      <c r="D22" s="1" t="s">
        <v>125</v>
      </c>
      <c r="E22" s="1" t="s">
        <v>20</v>
      </c>
      <c r="F22" t="s">
        <v>10</v>
      </c>
      <c r="G22" s="1"/>
      <c r="H22" s="1"/>
      <c r="I22" s="1"/>
      <c r="K22" s="1"/>
      <c r="L22" s="1" t="s">
        <v>26</v>
      </c>
      <c r="M22" s="1"/>
      <c r="N22" s="1"/>
      <c r="O22" s="1">
        <f t="shared" si="0"/>
        <v>0.36000000000000004</v>
      </c>
      <c r="P22" s="1"/>
      <c r="V22">
        <v>0.1</v>
      </c>
    </row>
    <row r="23" spans="2:22">
      <c r="B23" s="1" t="s">
        <v>27</v>
      </c>
      <c r="C23" s="1" t="s">
        <v>126</v>
      </c>
      <c r="D23" s="1" t="s">
        <v>129</v>
      </c>
      <c r="E23" s="1" t="s">
        <v>20</v>
      </c>
      <c r="F23" t="s">
        <v>10</v>
      </c>
      <c r="G23" s="1"/>
      <c r="H23" s="1"/>
      <c r="I23" s="1"/>
      <c r="L23" s="1" t="s">
        <v>29</v>
      </c>
      <c r="M23" s="1"/>
      <c r="N23" s="1"/>
      <c r="O23" s="1">
        <f>V23*3.6</f>
        <v>25.2</v>
      </c>
      <c r="P23" s="1"/>
      <c r="V23" s="1">
        <v>7</v>
      </c>
    </row>
    <row r="24" spans="2:22">
      <c r="B24" s="1" t="s">
        <v>27</v>
      </c>
      <c r="C24" t="s">
        <v>127</v>
      </c>
      <c r="D24" t="s">
        <v>130</v>
      </c>
      <c r="E24" s="1" t="s">
        <v>20</v>
      </c>
      <c r="F24" t="s">
        <v>10</v>
      </c>
      <c r="G24" s="1"/>
      <c r="H24" s="1"/>
      <c r="I24" s="1"/>
      <c r="J24" s="1" t="str">
        <f>C22</f>
        <v>nuclear_fuel</v>
      </c>
      <c r="K24" s="1"/>
      <c r="L24" s="1" t="s">
        <v>34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 t="s">
        <v>27</v>
      </c>
      <c r="C25" t="s">
        <v>128</v>
      </c>
      <c r="D25" t="s">
        <v>131</v>
      </c>
      <c r="E25" s="1" t="s">
        <v>20</v>
      </c>
      <c r="F25" t="s">
        <v>10</v>
      </c>
      <c r="G25" s="1"/>
      <c r="H25" s="1"/>
      <c r="I25" s="1"/>
      <c r="J25" s="1" t="str">
        <f>C23</f>
        <v>solar_potential</v>
      </c>
      <c r="K25" s="1"/>
      <c r="L25" s="1" t="s">
        <v>25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winon_potential</v>
      </c>
      <c r="K26" s="1"/>
      <c r="L26" s="1" t="s">
        <v>119</v>
      </c>
      <c r="M26" s="1"/>
      <c r="N26" s="1"/>
      <c r="O26" s="1">
        <f>V26*3.6</f>
        <v>0.36000000000000004</v>
      </c>
      <c r="P26" s="1"/>
      <c r="V26">
        <v>0.1</v>
      </c>
    </row>
    <row r="27" spans="2:22">
      <c r="B27" s="1"/>
      <c r="C27" s="1"/>
      <c r="D27" s="1"/>
      <c r="E27" s="1"/>
      <c r="F27" s="1"/>
      <c r="G27" s="1"/>
      <c r="H27" s="1"/>
      <c r="I27" s="1"/>
      <c r="J27" s="1" t="str">
        <f>C25</f>
        <v>winoff_potential</v>
      </c>
      <c r="K27" s="1"/>
      <c r="L27" s="1" t="s">
        <v>120</v>
      </c>
      <c r="M27" s="1"/>
      <c r="N27" s="1"/>
      <c r="O27" s="1">
        <f t="shared" ref="O27" si="1">V27*3.6</f>
        <v>0.36000000000000004</v>
      </c>
      <c r="P27" s="1"/>
      <c r="V27">
        <v>0.1</v>
      </c>
    </row>
    <row r="28" spans="2:22">
      <c r="J28" t="str">
        <f>C18</f>
        <v>Trd_electricity import</v>
      </c>
      <c r="L28" t="str">
        <f>$V$29</f>
        <v>ELC</v>
      </c>
      <c r="P28">
        <v>0</v>
      </c>
      <c r="Q28">
        <v>3</v>
      </c>
      <c r="R28">
        <v>1000</v>
      </c>
      <c r="S28">
        <v>50</v>
      </c>
    </row>
    <row r="29" spans="2:22">
      <c r="J29" t="str">
        <f>C19</f>
        <v>Trd_electricity export</v>
      </c>
      <c r="K29" t="str">
        <f>$V$29</f>
        <v>ELC</v>
      </c>
      <c r="P29">
        <v>0</v>
      </c>
      <c r="Q29">
        <v>3</v>
      </c>
      <c r="R29">
        <v>1000</v>
      </c>
      <c r="S29">
        <v>50</v>
      </c>
      <c r="V29" s="13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14"/>
  <sheetViews>
    <sheetView workbookViewId="0">
      <selection activeCell="M21" sqref="M21"/>
    </sheetView>
  </sheetViews>
  <sheetFormatPr defaultRowHeight="14.25"/>
  <cols>
    <col min="2" max="2" width="9.19921875" bestFit="1" customWidth="1"/>
    <col min="3" max="3" width="10.46484375" bestFit="1" customWidth="1"/>
    <col min="4" max="4" width="31.86328125" bestFit="1" customWidth="1"/>
    <col min="5" max="5" width="11.59765625" bestFit="1" customWidth="1"/>
    <col min="6" max="6" width="8.6640625" bestFit="1" customWidth="1"/>
    <col min="7" max="7" width="9.59765625" bestFit="1" customWidth="1"/>
    <col min="8" max="8" width="9" bestFit="1" customWidth="1"/>
    <col min="9" max="9" width="5.19921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9.19921875" bestFit="1" customWidth="1"/>
    <col min="20" max="20" width="37.9296875" bestFit="1" customWidth="1"/>
    <col min="21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9"/>
      <c r="C3" s="9"/>
      <c r="D3" s="9"/>
      <c r="E3" s="9"/>
      <c r="F3" s="9"/>
      <c r="G3" s="9"/>
      <c r="H3" s="9" t="s">
        <v>55</v>
      </c>
      <c r="I3" s="9"/>
      <c r="J3" s="9"/>
      <c r="K3" s="9"/>
      <c r="L3" s="9"/>
      <c r="M3" s="9"/>
      <c r="N3" s="9"/>
      <c r="O3" s="9"/>
      <c r="P3" s="9"/>
      <c r="Q3" s="9"/>
      <c r="R3" s="9" t="s">
        <v>0</v>
      </c>
      <c r="S3" s="9"/>
      <c r="T3" s="9"/>
      <c r="U3" s="9"/>
      <c r="V3" s="9"/>
      <c r="W3" s="9"/>
      <c r="X3" s="9"/>
      <c r="Y3" s="9"/>
    </row>
    <row r="4" spans="2:25">
      <c r="B4" s="9" t="s">
        <v>1</v>
      </c>
      <c r="C4" t="s">
        <v>2</v>
      </c>
      <c r="D4" t="s">
        <v>3</v>
      </c>
      <c r="E4" t="s">
        <v>51</v>
      </c>
      <c r="F4" t="s">
        <v>50</v>
      </c>
      <c r="G4" t="s">
        <v>56</v>
      </c>
      <c r="H4" t="s">
        <v>57</v>
      </c>
      <c r="I4">
        <v>2030</v>
      </c>
      <c r="J4">
        <v>0</v>
      </c>
      <c r="K4" s="9" t="s">
        <v>58</v>
      </c>
      <c r="L4" s="9" t="s">
        <v>59</v>
      </c>
      <c r="M4" s="9" t="s">
        <v>52</v>
      </c>
      <c r="N4" s="9" t="s">
        <v>71</v>
      </c>
      <c r="O4" s="9" t="s">
        <v>60</v>
      </c>
      <c r="P4" s="9" t="s">
        <v>61</v>
      </c>
      <c r="Q4" s="9"/>
      <c r="R4" s="9" t="s">
        <v>6</v>
      </c>
      <c r="S4" s="9" t="s">
        <v>1</v>
      </c>
      <c r="T4" s="9" t="s">
        <v>7</v>
      </c>
      <c r="U4" s="9" t="s">
        <v>48</v>
      </c>
      <c r="V4" s="9" t="s">
        <v>49</v>
      </c>
      <c r="W4" s="9" t="s">
        <v>11</v>
      </c>
      <c r="X4" s="9" t="s">
        <v>62</v>
      </c>
      <c r="Y4" s="9" t="s">
        <v>63</v>
      </c>
    </row>
    <row r="5" spans="2:25">
      <c r="B5" t="s">
        <v>72</v>
      </c>
      <c r="C5" t="s">
        <v>18</v>
      </c>
      <c r="F5" t="s">
        <v>24</v>
      </c>
      <c r="K5" s="9">
        <v>0.90249999999999997</v>
      </c>
      <c r="L5" s="11">
        <f>24/6</f>
        <v>4</v>
      </c>
      <c r="M5" s="9">
        <v>10</v>
      </c>
      <c r="N5" s="9">
        <v>150</v>
      </c>
      <c r="O5" s="11">
        <v>1</v>
      </c>
      <c r="P5" s="9">
        <v>1</v>
      </c>
      <c r="Q5" s="9"/>
      <c r="R5" s="9" t="s">
        <v>66</v>
      </c>
      <c r="S5" s="9" t="str">
        <f>B5</f>
        <v>ev_battery</v>
      </c>
      <c r="T5" s="9" t="s">
        <v>64</v>
      </c>
      <c r="U5" s="9" t="s">
        <v>20</v>
      </c>
      <c r="V5" s="9" t="s">
        <v>20</v>
      </c>
      <c r="W5" s="9" t="s">
        <v>14</v>
      </c>
      <c r="X5" s="9"/>
      <c r="Y5" s="9"/>
    </row>
    <row r="6" spans="2:25">
      <c r="B6" s="9"/>
      <c r="F6" t="s">
        <v>54</v>
      </c>
      <c r="K6" s="9"/>
      <c r="L6" s="10">
        <v>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2:25">
      <c r="B7" s="9"/>
      <c r="D7" t="s">
        <v>65</v>
      </c>
      <c r="E7" t="s">
        <v>44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2:25" ht="17.649999999999999">
      <c r="B8" s="6"/>
      <c r="E8" s="12"/>
      <c r="F8" t="s">
        <v>132</v>
      </c>
      <c r="G8" t="str">
        <f>E7</f>
        <v>AuxStoIN</v>
      </c>
      <c r="H8" t="s">
        <v>53</v>
      </c>
      <c r="I8">
        <v>1</v>
      </c>
      <c r="J8">
        <v>3</v>
      </c>
      <c r="K8" s="7"/>
      <c r="L8" s="7"/>
      <c r="M8" s="7"/>
      <c r="N8" s="7"/>
      <c r="O8" s="7"/>
      <c r="P8" s="7"/>
      <c r="Q8" s="6"/>
      <c r="R8" s="6"/>
      <c r="S8" s="6"/>
      <c r="T8" s="6"/>
      <c r="U8" s="6"/>
      <c r="V8" s="6"/>
      <c r="W8" s="8"/>
      <c r="X8" s="8"/>
      <c r="Y8" s="8"/>
    </row>
    <row r="11" spans="2:25">
      <c r="B11" s="3" t="s">
        <v>22</v>
      </c>
      <c r="C11" s="3"/>
      <c r="D11" s="3"/>
      <c r="E11" s="3"/>
      <c r="F11" s="3"/>
      <c r="G11" s="3"/>
      <c r="H11" s="3"/>
      <c r="I11" s="3"/>
    </row>
    <row r="12" spans="2:25">
      <c r="B12" s="3" t="s">
        <v>36</v>
      </c>
      <c r="C12" s="3" t="s">
        <v>37</v>
      </c>
      <c r="D12" s="3" t="s">
        <v>38</v>
      </c>
      <c r="E12" s="3" t="s">
        <v>23</v>
      </c>
      <c r="F12" s="3" t="s">
        <v>39</v>
      </c>
      <c r="G12" s="3" t="s">
        <v>40</v>
      </c>
      <c r="H12" s="3" t="s">
        <v>41</v>
      </c>
      <c r="I12" s="3" t="s">
        <v>42</v>
      </c>
    </row>
    <row r="13" spans="2:25">
      <c r="B13" s="3" t="s">
        <v>43</v>
      </c>
      <c r="C13" s="3" t="s">
        <v>44</v>
      </c>
      <c r="D13" s="3" t="s">
        <v>45</v>
      </c>
      <c r="E13" s="3" t="s">
        <v>137</v>
      </c>
      <c r="F13" s="3"/>
      <c r="G13" s="5" t="s">
        <v>14</v>
      </c>
      <c r="H13" s="3"/>
      <c r="I13" s="3"/>
    </row>
    <row r="14" spans="2:25">
      <c r="C14" s="3" t="s">
        <v>46</v>
      </c>
      <c r="D14" s="3" t="s">
        <v>47</v>
      </c>
      <c r="E14" s="3" t="s">
        <v>137</v>
      </c>
      <c r="F14" s="3"/>
      <c r="G14" s="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77</v>
      </c>
      <c r="C1" s="134" t="s">
        <v>78</v>
      </c>
      <c r="D1" s="134"/>
      <c r="E1" s="134"/>
      <c r="F1" s="135" t="s">
        <v>79</v>
      </c>
      <c r="G1" s="134"/>
      <c r="H1" s="136"/>
      <c r="I1" s="134" t="s">
        <v>80</v>
      </c>
      <c r="J1" s="134"/>
      <c r="K1" s="134"/>
      <c r="L1" s="134"/>
      <c r="M1" s="134"/>
      <c r="N1" s="134"/>
      <c r="O1" s="137" t="s">
        <v>81</v>
      </c>
      <c r="P1" s="13"/>
      <c r="Q1" s="13"/>
      <c r="R1" s="13"/>
    </row>
    <row r="2" spans="1:18">
      <c r="C2" s="14" t="s">
        <v>71</v>
      </c>
      <c r="D2" s="14" t="s">
        <v>71</v>
      </c>
      <c r="E2" s="14" t="s">
        <v>71</v>
      </c>
      <c r="F2" s="14" t="s">
        <v>82</v>
      </c>
      <c r="G2" s="14" t="s">
        <v>82</v>
      </c>
      <c r="H2" s="14" t="s">
        <v>82</v>
      </c>
      <c r="I2" s="14" t="s">
        <v>83</v>
      </c>
      <c r="J2" s="14" t="s">
        <v>115</v>
      </c>
      <c r="K2" s="14" t="str">
        <f>I2</f>
        <v>input~GASNGA</v>
      </c>
      <c r="L2" s="14" t="s">
        <v>115</v>
      </c>
      <c r="M2" s="14" t="str">
        <f>K2</f>
        <v>input~GASNGA</v>
      </c>
      <c r="N2" s="14" t="s">
        <v>115</v>
      </c>
      <c r="O2" s="138"/>
      <c r="P2" s="13"/>
      <c r="Q2" s="13"/>
      <c r="R2" s="13"/>
    </row>
    <row r="3" spans="1:18">
      <c r="C3" s="14">
        <v>2020</v>
      </c>
      <c r="D3" s="14">
        <v>2030</v>
      </c>
      <c r="E3" s="14">
        <v>2050</v>
      </c>
      <c r="F3" s="14">
        <f>C3</f>
        <v>2020</v>
      </c>
      <c r="G3" s="14">
        <f t="shared" ref="G3:H3" si="0">D3</f>
        <v>2030</v>
      </c>
      <c r="H3" s="14">
        <f t="shared" si="0"/>
        <v>2050</v>
      </c>
      <c r="I3" s="14">
        <v>2015</v>
      </c>
      <c r="J3" s="14">
        <v>2015</v>
      </c>
      <c r="K3" s="14">
        <v>2030</v>
      </c>
      <c r="L3" s="14">
        <v>2030</v>
      </c>
      <c r="M3" s="14">
        <v>2050</v>
      </c>
      <c r="N3" s="14">
        <v>2050</v>
      </c>
      <c r="O3" s="138"/>
      <c r="P3" s="13"/>
      <c r="Q3" s="13"/>
      <c r="R3" s="13"/>
    </row>
    <row r="4" spans="1:18" ht="26.25">
      <c r="C4" s="15">
        <v>2020</v>
      </c>
      <c r="D4" s="15">
        <v>2030</v>
      </c>
      <c r="E4" s="15" t="s">
        <v>84</v>
      </c>
      <c r="F4" s="16">
        <v>2015</v>
      </c>
      <c r="G4" s="15">
        <v>2030</v>
      </c>
      <c r="H4" s="17" t="s">
        <v>84</v>
      </c>
      <c r="I4" s="15" t="s">
        <v>85</v>
      </c>
      <c r="J4" s="15" t="s">
        <v>86</v>
      </c>
      <c r="K4" s="18" t="s">
        <v>87</v>
      </c>
      <c r="L4" s="19" t="s">
        <v>88</v>
      </c>
      <c r="M4" s="15" t="s">
        <v>89</v>
      </c>
      <c r="N4" s="15" t="s">
        <v>90</v>
      </c>
      <c r="O4" s="139"/>
      <c r="P4" s="13"/>
      <c r="Q4" s="13"/>
      <c r="R4" s="13"/>
    </row>
    <row r="5" spans="1:18">
      <c r="C5" s="20">
        <v>550</v>
      </c>
      <c r="D5" s="20">
        <v>500</v>
      </c>
      <c r="E5" s="20">
        <v>450</v>
      </c>
      <c r="F5" s="21">
        <v>22</v>
      </c>
      <c r="G5" s="22">
        <v>20</v>
      </c>
      <c r="H5" s="23">
        <v>18</v>
      </c>
      <c r="I5" s="24">
        <v>1.33</v>
      </c>
      <c r="J5" s="24">
        <v>9.4E-2</v>
      </c>
      <c r="K5" s="25">
        <v>1.3</v>
      </c>
      <c r="L5" s="26">
        <v>9.4E-2</v>
      </c>
      <c r="M5" s="24">
        <v>1.28</v>
      </c>
      <c r="N5" s="24">
        <v>9.4E-2</v>
      </c>
      <c r="O5" s="27" t="s">
        <v>91</v>
      </c>
      <c r="P5" s="28"/>
      <c r="Q5" s="28"/>
      <c r="R5" s="28"/>
    </row>
    <row r="6" spans="1:18">
      <c r="C6" s="29">
        <v>900</v>
      </c>
      <c r="D6" s="29">
        <v>850</v>
      </c>
      <c r="E6" s="29">
        <v>800</v>
      </c>
      <c r="F6" s="30">
        <v>36</v>
      </c>
      <c r="G6" s="31">
        <v>34</v>
      </c>
      <c r="H6" s="32">
        <v>32</v>
      </c>
      <c r="I6" s="33">
        <v>1.33</v>
      </c>
      <c r="J6" s="33">
        <v>1.0940000000000001</v>
      </c>
      <c r="K6" s="34">
        <v>1.3</v>
      </c>
      <c r="L6" s="35">
        <v>1.0940000000000001</v>
      </c>
      <c r="M6" s="33">
        <v>1.28</v>
      </c>
      <c r="N6" s="33">
        <v>1.0940000000000001</v>
      </c>
      <c r="O6" s="36" t="s">
        <v>92</v>
      </c>
      <c r="P6" s="37"/>
      <c r="Q6" s="37"/>
      <c r="R6" s="37"/>
    </row>
    <row r="7" spans="1:18">
      <c r="C7" s="20">
        <v>1978</v>
      </c>
      <c r="D7" s="20">
        <v>1598</v>
      </c>
      <c r="E7" s="20">
        <v>1450</v>
      </c>
      <c r="F7" s="21">
        <v>57</v>
      </c>
      <c r="G7" s="22">
        <v>31</v>
      </c>
      <c r="H7" s="23">
        <v>28</v>
      </c>
      <c r="I7" s="24">
        <v>1.53</v>
      </c>
      <c r="J7" s="24">
        <v>9.4E-2</v>
      </c>
      <c r="K7" s="25">
        <v>1.47</v>
      </c>
      <c r="L7" s="26">
        <v>9.4E-2</v>
      </c>
      <c r="M7" s="24">
        <v>1.43</v>
      </c>
      <c r="N7" s="24">
        <v>9.4E-2</v>
      </c>
      <c r="O7" s="27" t="s">
        <v>93</v>
      </c>
      <c r="P7" s="28"/>
      <c r="Q7" s="28"/>
      <c r="R7" s="28"/>
    </row>
    <row r="8" spans="1:18">
      <c r="C8" s="38">
        <v>1609.9999999999998</v>
      </c>
      <c r="D8" s="38">
        <v>740</v>
      </c>
      <c r="E8" s="38">
        <v>200</v>
      </c>
      <c r="F8" s="30">
        <v>49.000000000000007</v>
      </c>
      <c r="G8" s="31">
        <v>15</v>
      </c>
      <c r="H8" s="32">
        <v>10</v>
      </c>
      <c r="I8" s="33">
        <v>0</v>
      </c>
      <c r="J8" s="33">
        <v>1.39</v>
      </c>
      <c r="K8" s="34">
        <v>0</v>
      </c>
      <c r="L8" s="35">
        <v>1.19</v>
      </c>
      <c r="M8" s="33">
        <v>0</v>
      </c>
      <c r="N8" s="33">
        <v>1.17</v>
      </c>
      <c r="O8" s="36" t="s">
        <v>94</v>
      </c>
      <c r="P8" s="37"/>
      <c r="Q8" s="37"/>
      <c r="R8" s="37"/>
    </row>
    <row r="9" spans="1:18">
      <c r="C9" s="39">
        <v>2530</v>
      </c>
      <c r="D9" s="39">
        <v>1175</v>
      </c>
      <c r="E9" s="39">
        <v>350</v>
      </c>
      <c r="F9" s="21">
        <v>77.000000000000014</v>
      </c>
      <c r="G9" s="22">
        <v>34</v>
      </c>
      <c r="H9" s="23">
        <v>18</v>
      </c>
      <c r="I9" s="24">
        <v>0</v>
      </c>
      <c r="J9" s="24">
        <v>1.5</v>
      </c>
      <c r="K9" s="25">
        <v>0</v>
      </c>
      <c r="L9" s="26">
        <v>1.25</v>
      </c>
      <c r="M9" s="24">
        <v>0</v>
      </c>
      <c r="N9" s="24">
        <v>1.19</v>
      </c>
      <c r="O9" s="27" t="s">
        <v>95</v>
      </c>
      <c r="P9" s="28"/>
      <c r="Q9" s="28"/>
      <c r="R9" s="28"/>
    </row>
    <row r="10" spans="1:18">
      <c r="C10" s="38">
        <v>1265</v>
      </c>
      <c r="D10" s="38">
        <v>600</v>
      </c>
      <c r="E10" s="38">
        <v>180</v>
      </c>
      <c r="F10" s="30">
        <v>28</v>
      </c>
      <c r="G10" s="31">
        <v>14</v>
      </c>
      <c r="H10" s="32">
        <v>9</v>
      </c>
      <c r="I10" s="33">
        <v>0</v>
      </c>
      <c r="J10" s="33">
        <v>1.3952</v>
      </c>
      <c r="K10" s="34">
        <v>0</v>
      </c>
      <c r="L10" s="35">
        <v>1.268</v>
      </c>
      <c r="M10" s="33">
        <v>0</v>
      </c>
      <c r="N10" s="33">
        <v>1.18</v>
      </c>
      <c r="O10" s="36" t="s">
        <v>96</v>
      </c>
      <c r="P10" s="37"/>
      <c r="Q10" s="37"/>
      <c r="R10" s="37"/>
    </row>
    <row r="11" spans="1:18">
      <c r="C11" s="39">
        <v>1897.4999999999998</v>
      </c>
      <c r="D11" s="39">
        <v>715</v>
      </c>
      <c r="E11" s="39">
        <v>300</v>
      </c>
      <c r="F11" s="21">
        <v>41</v>
      </c>
      <c r="G11" s="22">
        <v>17</v>
      </c>
      <c r="H11" s="23">
        <v>15</v>
      </c>
      <c r="I11" s="24">
        <v>0</v>
      </c>
      <c r="J11" s="24">
        <v>1.3952</v>
      </c>
      <c r="K11" s="25">
        <v>0</v>
      </c>
      <c r="L11" s="26">
        <v>1.268</v>
      </c>
      <c r="M11" s="24">
        <v>0</v>
      </c>
      <c r="N11" s="24">
        <v>1.2</v>
      </c>
      <c r="O11" s="27" t="s">
        <v>97</v>
      </c>
      <c r="P11" s="28"/>
      <c r="Q11" s="28"/>
      <c r="R11" s="28"/>
    </row>
    <row r="12" spans="1:18">
      <c r="C12" s="38">
        <v>3332.088235294118</v>
      </c>
      <c r="D12" s="38">
        <v>1421.3921568627452</v>
      </c>
      <c r="E12" s="38">
        <v>600</v>
      </c>
      <c r="F12" s="30">
        <v>55.825000000000003</v>
      </c>
      <c r="G12" s="31">
        <v>36.18</v>
      </c>
      <c r="H12" s="32">
        <v>39</v>
      </c>
      <c r="I12" s="33">
        <v>1.996667038759689</v>
      </c>
      <c r="J12" s="33">
        <v>0.83711999999999998</v>
      </c>
      <c r="K12" s="34">
        <v>1.4556272790939169</v>
      </c>
      <c r="L12" s="35">
        <v>0.76080000000000003</v>
      </c>
      <c r="M12" s="33">
        <v>0.33333333333333337</v>
      </c>
      <c r="N12" s="33">
        <v>0.70799999999999996</v>
      </c>
      <c r="O12" s="36" t="s">
        <v>98</v>
      </c>
      <c r="P12" s="37"/>
      <c r="Q12" s="37"/>
      <c r="R12" s="37"/>
    </row>
    <row r="13" spans="1:18">
      <c r="C13" s="39">
        <v>5331.3411764705888</v>
      </c>
      <c r="D13" s="39">
        <v>2920.8941176470589</v>
      </c>
      <c r="E13" s="39">
        <v>1100</v>
      </c>
      <c r="F13" s="21">
        <v>94.902500000000003</v>
      </c>
      <c r="G13" s="22">
        <v>63.314999999999998</v>
      </c>
      <c r="H13" s="23">
        <v>48.75</v>
      </c>
      <c r="I13" s="24">
        <v>1.996667038759689</v>
      </c>
      <c r="J13" s="24">
        <v>0.83711999999999998</v>
      </c>
      <c r="K13" s="25">
        <v>1.4556272790939169</v>
      </c>
      <c r="L13" s="26">
        <v>0.76080000000000003</v>
      </c>
      <c r="M13" s="24">
        <v>0.33333333333333337</v>
      </c>
      <c r="N13" s="24">
        <v>0.72</v>
      </c>
      <c r="O13" s="27" t="s">
        <v>99</v>
      </c>
      <c r="P13" s="28"/>
      <c r="Q13" s="28"/>
      <c r="R13" s="28"/>
    </row>
    <row r="14" spans="1:18">
      <c r="C14" s="40">
        <v>1200</v>
      </c>
      <c r="D14" s="40">
        <v>733</v>
      </c>
      <c r="E14" s="40">
        <v>263</v>
      </c>
      <c r="F14" s="41">
        <v>42</v>
      </c>
      <c r="G14" s="42">
        <v>22</v>
      </c>
      <c r="H14" s="43">
        <v>9</v>
      </c>
      <c r="I14" s="44">
        <v>0</v>
      </c>
      <c r="J14" s="45">
        <v>0.01</v>
      </c>
      <c r="K14" s="46">
        <v>0</v>
      </c>
      <c r="L14" s="47">
        <v>0.01</v>
      </c>
      <c r="M14" s="45">
        <v>0</v>
      </c>
      <c r="N14" s="45">
        <v>0.01</v>
      </c>
      <c r="O14" s="48" t="s">
        <v>100</v>
      </c>
      <c r="P14" s="49"/>
      <c r="Q14" s="49"/>
      <c r="R14" s="49"/>
    </row>
    <row r="15" spans="1:18">
      <c r="C15" s="50">
        <v>450</v>
      </c>
      <c r="D15" s="50">
        <v>450</v>
      </c>
      <c r="E15" s="50">
        <v>450</v>
      </c>
      <c r="F15" s="51">
        <v>18</v>
      </c>
      <c r="G15" s="52">
        <v>18</v>
      </c>
      <c r="H15" s="53">
        <v>18</v>
      </c>
      <c r="I15" s="54">
        <v>0.26582278481012644</v>
      </c>
      <c r="J15" s="55">
        <v>0.06</v>
      </c>
      <c r="K15" s="56">
        <v>0.26582278481012644</v>
      </c>
      <c r="L15" s="57">
        <v>0.06</v>
      </c>
      <c r="M15" s="55">
        <v>0.26582278481012644</v>
      </c>
      <c r="N15" s="55">
        <v>0.06</v>
      </c>
      <c r="O15" s="58" t="s">
        <v>101</v>
      </c>
      <c r="P15" s="59"/>
      <c r="Q15" s="59"/>
      <c r="R15" s="59"/>
    </row>
    <row r="16" spans="1:18">
      <c r="C16" s="60">
        <v>200</v>
      </c>
      <c r="D16" s="60">
        <v>200</v>
      </c>
      <c r="E16" s="60">
        <v>200</v>
      </c>
      <c r="F16" s="61">
        <v>20</v>
      </c>
      <c r="G16" s="62">
        <v>20</v>
      </c>
      <c r="H16" s="63">
        <v>20</v>
      </c>
      <c r="I16" s="64">
        <v>1.2999999999999999E-2</v>
      </c>
      <c r="J16" s="65">
        <v>3.5999999999999997E-2</v>
      </c>
      <c r="K16" s="66">
        <v>1.2999999999999999E-2</v>
      </c>
      <c r="L16" s="67">
        <v>3.5999999999999997E-2</v>
      </c>
      <c r="M16" s="65">
        <v>1.2999999999999999E-2</v>
      </c>
      <c r="N16" s="65">
        <v>3.5999999999999997E-2</v>
      </c>
      <c r="O16" s="68" t="s">
        <v>102</v>
      </c>
      <c r="P16" s="69"/>
      <c r="Q16" s="69"/>
      <c r="R16" s="69"/>
    </row>
    <row r="17" spans="1:26">
      <c r="C17" s="50">
        <v>175</v>
      </c>
      <c r="D17" s="50">
        <v>175</v>
      </c>
      <c r="E17" s="50">
        <v>175</v>
      </c>
      <c r="F17" s="51">
        <v>5</v>
      </c>
      <c r="G17" s="52">
        <v>5</v>
      </c>
      <c r="H17" s="53">
        <v>5</v>
      </c>
      <c r="I17" s="54">
        <v>1.4E-2</v>
      </c>
      <c r="J17" s="55">
        <v>0</v>
      </c>
      <c r="K17" s="56">
        <v>1.4E-2</v>
      </c>
      <c r="L17" s="57">
        <v>0</v>
      </c>
      <c r="M17" s="55">
        <v>1.4E-2</v>
      </c>
      <c r="N17" s="55">
        <v>0</v>
      </c>
      <c r="O17" s="58" t="s">
        <v>103</v>
      </c>
      <c r="P17" s="59"/>
      <c r="Q17" s="59"/>
      <c r="R17" s="59"/>
    </row>
    <row r="18" spans="1:26">
      <c r="C18" s="70">
        <v>1000</v>
      </c>
      <c r="D18" s="70">
        <v>720</v>
      </c>
      <c r="E18" s="70">
        <v>364</v>
      </c>
      <c r="F18" s="71">
        <v>50</v>
      </c>
      <c r="G18" s="72">
        <v>31</v>
      </c>
      <c r="H18" s="73">
        <v>18</v>
      </c>
      <c r="I18" s="74">
        <v>0.2389</v>
      </c>
      <c r="J18" s="75">
        <v>3.056E-2</v>
      </c>
      <c r="K18" s="76">
        <v>0.2389</v>
      </c>
      <c r="L18" s="77">
        <v>3.056E-2</v>
      </c>
      <c r="M18" s="75">
        <v>0.2389</v>
      </c>
      <c r="N18" s="75">
        <v>3.056E-2</v>
      </c>
      <c r="O18" s="78" t="s">
        <v>104</v>
      </c>
      <c r="P18" s="79"/>
      <c r="Q18" s="79"/>
      <c r="R18" s="79"/>
    </row>
    <row r="19" spans="1:26">
      <c r="C19" s="80">
        <v>1556</v>
      </c>
      <c r="D19" s="80">
        <v>1143</v>
      </c>
      <c r="E19" s="81">
        <v>673</v>
      </c>
      <c r="F19" s="82">
        <v>54</v>
      </c>
      <c r="G19" s="83">
        <v>40</v>
      </c>
      <c r="H19" s="84">
        <v>24</v>
      </c>
      <c r="I19" s="85">
        <v>3.5000000000000003E-2</v>
      </c>
      <c r="J19" s="86">
        <v>0.02</v>
      </c>
      <c r="K19" s="87">
        <v>3.5000000000000003E-2</v>
      </c>
      <c r="L19" s="88">
        <v>0.02</v>
      </c>
      <c r="M19" s="86">
        <v>3.5000000000000003E-2</v>
      </c>
      <c r="N19" s="86">
        <v>0.02</v>
      </c>
      <c r="O19" s="89" t="s">
        <v>105</v>
      </c>
      <c r="P19" s="90"/>
      <c r="Q19" s="90"/>
      <c r="R19" s="90"/>
    </row>
    <row r="20" spans="1:26">
      <c r="C20" s="91">
        <v>2332</v>
      </c>
      <c r="D20" s="91">
        <v>1511</v>
      </c>
      <c r="E20" s="91">
        <v>965</v>
      </c>
      <c r="F20" s="92">
        <v>163</v>
      </c>
      <c r="G20" s="93">
        <v>106</v>
      </c>
      <c r="H20" s="94">
        <v>68</v>
      </c>
      <c r="I20" s="95">
        <v>0.46326666666666666</v>
      </c>
      <c r="J20" s="96">
        <v>1.9188104089219331</v>
      </c>
      <c r="K20" s="97">
        <v>0.39244195142277988</v>
      </c>
      <c r="L20" s="98">
        <v>1.6009812088633062</v>
      </c>
      <c r="M20" s="96">
        <v>0.37890902062421039</v>
      </c>
      <c r="N20" s="96">
        <v>1.5694083453910281</v>
      </c>
      <c r="O20" s="99" t="s">
        <v>106</v>
      </c>
      <c r="P20" s="79"/>
      <c r="Q20" s="79"/>
      <c r="R20" s="79"/>
    </row>
    <row r="21" spans="1:26">
      <c r="C21" s="100">
        <v>769.8768197088466</v>
      </c>
      <c r="D21" s="100">
        <v>648.04446103438272</v>
      </c>
      <c r="E21" s="100">
        <v>518.29059243801294</v>
      </c>
      <c r="F21" s="101">
        <v>26.945688689809632</v>
      </c>
      <c r="G21" s="102">
        <v>22.681556136203398</v>
      </c>
      <c r="H21" s="103">
        <v>18.140170735330454</v>
      </c>
      <c r="I21" s="104">
        <v>2.7777777777777777</v>
      </c>
      <c r="J21" s="105">
        <v>2.2222222222222223</v>
      </c>
      <c r="K21" s="106">
        <v>1.6666666666666665</v>
      </c>
      <c r="L21" s="107">
        <v>1.3888888888888888</v>
      </c>
      <c r="M21" s="105">
        <v>1.1388888888888888</v>
      </c>
      <c r="N21" s="105">
        <v>0.3</v>
      </c>
      <c r="O21" s="108" t="s">
        <v>107</v>
      </c>
      <c r="P21" s="109"/>
      <c r="Q21" s="109"/>
      <c r="R21" s="109"/>
    </row>
    <row r="22" spans="1:26">
      <c r="C22" s="110">
        <v>1259.7984322508398</v>
      </c>
      <c r="D22" s="110">
        <v>894.30135622744808</v>
      </c>
      <c r="E22" s="110">
        <v>495</v>
      </c>
      <c r="F22" s="111">
        <v>44.092945128779398</v>
      </c>
      <c r="G22" s="112">
        <v>31.300547467960687</v>
      </c>
      <c r="H22" s="113">
        <v>17.325000000000003</v>
      </c>
      <c r="I22" s="114">
        <v>2</v>
      </c>
      <c r="J22" s="115">
        <v>0.3</v>
      </c>
      <c r="K22" s="116">
        <v>1.8055555555555556</v>
      </c>
      <c r="L22" s="117">
        <v>0.3</v>
      </c>
      <c r="M22" s="115">
        <v>1.5</v>
      </c>
      <c r="N22" s="115">
        <v>0.3</v>
      </c>
      <c r="O22" s="118" t="s">
        <v>108</v>
      </c>
      <c r="P22" s="119"/>
      <c r="Q22" s="119"/>
      <c r="R22" s="119"/>
    </row>
    <row r="23" spans="1:26">
      <c r="C23" s="120">
        <v>174</v>
      </c>
      <c r="D23" s="120">
        <v>174</v>
      </c>
      <c r="E23" s="120">
        <v>174</v>
      </c>
      <c r="F23" s="121">
        <v>3</v>
      </c>
      <c r="G23" s="122">
        <v>3</v>
      </c>
      <c r="H23" s="123">
        <v>3</v>
      </c>
      <c r="I23" s="124">
        <v>0</v>
      </c>
      <c r="J23" s="125">
        <v>0.20588235294117646</v>
      </c>
      <c r="K23" s="126">
        <v>0</v>
      </c>
      <c r="L23" s="127">
        <v>0.20588235294117646</v>
      </c>
      <c r="M23" s="125">
        <v>0</v>
      </c>
      <c r="N23" s="125">
        <v>0.20588235294117646</v>
      </c>
      <c r="O23" s="128" t="s">
        <v>109</v>
      </c>
      <c r="P23" s="109"/>
      <c r="Q23" s="109"/>
      <c r="R23" s="109"/>
    </row>
    <row r="26" spans="1:26" ht="17.25" thickBot="1">
      <c r="C26" s="129" t="s">
        <v>110</v>
      </c>
      <c r="T26" s="129" t="s">
        <v>0</v>
      </c>
    </row>
    <row r="27" spans="1:26" ht="14.65" thickTop="1">
      <c r="A27" s="130" t="s">
        <v>3</v>
      </c>
      <c r="B27" s="130" t="s">
        <v>2</v>
      </c>
      <c r="C27" s="130" t="str">
        <f>C2&amp;"~"&amp;C3</f>
        <v>invcost~2020</v>
      </c>
      <c r="D27" s="130" t="str">
        <f t="shared" ref="D27:N27" si="1">D2&amp;"~"&amp;D3</f>
        <v>invcost~2030</v>
      </c>
      <c r="E27" s="130" t="str">
        <f t="shared" si="1"/>
        <v>invcost~2050</v>
      </c>
      <c r="F27" s="130" t="str">
        <f t="shared" si="1"/>
        <v>fixom~2020</v>
      </c>
      <c r="G27" s="130" t="str">
        <f t="shared" si="1"/>
        <v>fixom~2030</v>
      </c>
      <c r="H27" s="130" t="str">
        <f t="shared" si="1"/>
        <v>fixom~2050</v>
      </c>
      <c r="I27" s="130" t="str">
        <f t="shared" si="1"/>
        <v>input~GASNGA~2015</v>
      </c>
      <c r="J27" s="130" t="s">
        <v>115</v>
      </c>
      <c r="K27" s="130" t="str">
        <f t="shared" si="1"/>
        <v>input~GASNGA~2030</v>
      </c>
      <c r="L27" s="130" t="str">
        <f t="shared" si="1"/>
        <v>efficiency~2030</v>
      </c>
      <c r="M27" s="130" t="str">
        <f t="shared" si="1"/>
        <v>input~GASNGA~2050</v>
      </c>
      <c r="N27" s="130" t="str">
        <f t="shared" si="1"/>
        <v>efficiency~2050</v>
      </c>
      <c r="O27" s="130" t="s">
        <v>1</v>
      </c>
      <c r="P27" s="130" t="s">
        <v>52</v>
      </c>
      <c r="Q27" s="130" t="s">
        <v>111</v>
      </c>
      <c r="T27" s="130" t="s">
        <v>6</v>
      </c>
      <c r="U27" s="130" t="s">
        <v>1</v>
      </c>
      <c r="V27" s="130" t="s">
        <v>7</v>
      </c>
      <c r="W27" s="130" t="s">
        <v>49</v>
      </c>
      <c r="X27" s="130" t="s">
        <v>48</v>
      </c>
      <c r="Y27" s="130" t="s">
        <v>11</v>
      </c>
      <c r="Z27" s="130" t="s">
        <v>63</v>
      </c>
    </row>
    <row r="28" spans="1:26">
      <c r="A28" t="s">
        <v>33</v>
      </c>
      <c r="B28" t="s">
        <v>15</v>
      </c>
      <c r="C28" s="131">
        <f>C8</f>
        <v>1609.9999999999998</v>
      </c>
      <c r="D28" s="131">
        <f>D8</f>
        <v>740</v>
      </c>
      <c r="E28" s="132">
        <v>450</v>
      </c>
      <c r="F28" s="131">
        <f>F8</f>
        <v>49.000000000000007</v>
      </c>
      <c r="G28" s="131">
        <f>G8</f>
        <v>15</v>
      </c>
      <c r="H28" s="131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113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20</v>
      </c>
      <c r="Y28" t="s">
        <v>14</v>
      </c>
      <c r="Z28" t="s">
        <v>112</v>
      </c>
    </row>
    <row r="29" spans="1:26">
      <c r="A29" t="s">
        <v>33</v>
      </c>
      <c r="B29" t="s">
        <v>15</v>
      </c>
      <c r="C29" s="131">
        <f>C10</f>
        <v>1265</v>
      </c>
      <c r="D29" s="131">
        <f>D10</f>
        <v>600</v>
      </c>
      <c r="E29" s="132">
        <v>350</v>
      </c>
      <c r="F29" s="131">
        <f>F10</f>
        <v>28</v>
      </c>
      <c r="G29" s="131">
        <f>G10</f>
        <v>14</v>
      </c>
      <c r="H29" s="131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114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20</v>
      </c>
      <c r="Y29" t="s">
        <v>14</v>
      </c>
      <c r="Z29" t="s">
        <v>112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82B1E-80C1-4F1F-AF6A-C262F6F24E07}">
  <dimension ref="B9:BD107"/>
  <sheetViews>
    <sheetView workbookViewId="0"/>
  </sheetViews>
  <sheetFormatPr defaultRowHeight="14.25"/>
  <sheetData>
    <row r="9" spans="2:56">
      <c r="B9" t="s">
        <v>138</v>
      </c>
      <c r="J9" t="s">
        <v>343</v>
      </c>
      <c r="O9" t="s">
        <v>138</v>
      </c>
      <c r="X9" t="s">
        <v>343</v>
      </c>
      <c r="AD9" t="s">
        <v>138</v>
      </c>
      <c r="AL9" t="s">
        <v>343</v>
      </c>
      <c r="AR9" t="s">
        <v>138</v>
      </c>
      <c r="AZ9" t="s">
        <v>343</v>
      </c>
    </row>
    <row r="10" spans="2:5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344</v>
      </c>
      <c r="L10" t="s">
        <v>345</v>
      </c>
      <c r="M10" t="s">
        <v>346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444</v>
      </c>
      <c r="U10" t="s">
        <v>144</v>
      </c>
      <c r="V10" t="s">
        <v>145</v>
      </c>
      <c r="X10" t="s">
        <v>140</v>
      </c>
      <c r="Y10" t="s">
        <v>642</v>
      </c>
      <c r="Z10" t="s">
        <v>344</v>
      </c>
      <c r="AA10" t="s">
        <v>115</v>
      </c>
      <c r="AB10" t="s">
        <v>643</v>
      </c>
      <c r="AD10" t="s">
        <v>139</v>
      </c>
      <c r="AE10" t="s">
        <v>140</v>
      </c>
      <c r="AF10" t="s">
        <v>141</v>
      </c>
      <c r="AG10" t="s">
        <v>142</v>
      </c>
      <c r="AH10" t="s">
        <v>143</v>
      </c>
      <c r="AI10" t="s">
        <v>144</v>
      </c>
      <c r="AJ10" t="s">
        <v>145</v>
      </c>
      <c r="AL10" t="s">
        <v>140</v>
      </c>
      <c r="AM10" t="s">
        <v>642</v>
      </c>
      <c r="AN10" t="s">
        <v>344</v>
      </c>
      <c r="AO10" t="s">
        <v>115</v>
      </c>
      <c r="AP10" t="s">
        <v>643</v>
      </c>
      <c r="AR10" t="s">
        <v>139</v>
      </c>
      <c r="AS10" t="s">
        <v>140</v>
      </c>
      <c r="AT10" t="s">
        <v>141</v>
      </c>
      <c r="AU10" t="s">
        <v>142</v>
      </c>
      <c r="AV10" t="s">
        <v>143</v>
      </c>
      <c r="AW10" t="s">
        <v>144</v>
      </c>
      <c r="AX10" t="s">
        <v>145</v>
      </c>
      <c r="AZ10" t="s">
        <v>140</v>
      </c>
      <c r="BA10" t="s">
        <v>642</v>
      </c>
      <c r="BB10" t="s">
        <v>344</v>
      </c>
      <c r="BC10" t="s">
        <v>115</v>
      </c>
      <c r="BD10" t="s">
        <v>643</v>
      </c>
    </row>
    <row r="11" spans="2:56">
      <c r="B11" t="s">
        <v>146</v>
      </c>
      <c r="C11" t="s">
        <v>147</v>
      </c>
      <c r="D11" t="s">
        <v>148</v>
      </c>
      <c r="E11" t="s">
        <v>10</v>
      </c>
      <c r="F11" t="s">
        <v>20</v>
      </c>
      <c r="G11" t="s">
        <v>149</v>
      </c>
      <c r="H11" t="s">
        <v>150</v>
      </c>
      <c r="J11" t="s">
        <v>147</v>
      </c>
      <c r="K11" t="s">
        <v>347</v>
      </c>
      <c r="L11">
        <v>20.636612226915709</v>
      </c>
      <c r="M11">
        <v>0.1835207708028265</v>
      </c>
      <c r="O11" t="s">
        <v>445</v>
      </c>
      <c r="P11" t="s">
        <v>446</v>
      </c>
      <c r="Q11" t="s">
        <v>447</v>
      </c>
      <c r="R11" t="s">
        <v>10</v>
      </c>
      <c r="S11" t="s">
        <v>20</v>
      </c>
      <c r="T11" t="s">
        <v>448</v>
      </c>
      <c r="U11" t="s">
        <v>449</v>
      </c>
      <c r="V11" t="s">
        <v>150</v>
      </c>
      <c r="X11" t="s">
        <v>446</v>
      </c>
      <c r="Y11" t="s">
        <v>394</v>
      </c>
      <c r="Z11" t="s">
        <v>644</v>
      </c>
      <c r="AA11">
        <v>0.98466621786657815</v>
      </c>
      <c r="AB11">
        <v>281.11933911273309</v>
      </c>
      <c r="AD11" t="s">
        <v>445</v>
      </c>
      <c r="AE11" t="s">
        <v>710</v>
      </c>
      <c r="AF11" t="s">
        <v>711</v>
      </c>
      <c r="AG11" t="s">
        <v>10</v>
      </c>
      <c r="AH11" t="s">
        <v>20</v>
      </c>
      <c r="AI11" t="s">
        <v>449</v>
      </c>
      <c r="AJ11" t="s">
        <v>150</v>
      </c>
      <c r="AL11" t="s">
        <v>710</v>
      </c>
      <c r="AM11" t="s">
        <v>904</v>
      </c>
      <c r="AN11" t="s">
        <v>905</v>
      </c>
      <c r="AO11">
        <v>0.99573205734141002</v>
      </c>
      <c r="AP11">
        <v>78.245615407483584</v>
      </c>
      <c r="AR11" t="s">
        <v>445</v>
      </c>
      <c r="AS11" t="s">
        <v>1039</v>
      </c>
      <c r="AT11" t="s">
        <v>1040</v>
      </c>
      <c r="AU11" t="s">
        <v>10</v>
      </c>
      <c r="AV11" t="s">
        <v>20</v>
      </c>
      <c r="AW11" t="s">
        <v>449</v>
      </c>
      <c r="AX11" t="s">
        <v>150</v>
      </c>
      <c r="AZ11" t="s">
        <v>1039</v>
      </c>
      <c r="BA11" t="s">
        <v>1143</v>
      </c>
      <c r="BB11" t="s">
        <v>1144</v>
      </c>
      <c r="BC11">
        <v>0.95124834316022966</v>
      </c>
      <c r="BD11">
        <v>1338.5576858312013</v>
      </c>
    </row>
    <row r="12" spans="2:56">
      <c r="B12" t="s">
        <v>146</v>
      </c>
      <c r="C12" t="s">
        <v>151</v>
      </c>
      <c r="D12" t="s">
        <v>152</v>
      </c>
      <c r="E12" t="s">
        <v>10</v>
      </c>
      <c r="F12" t="s">
        <v>20</v>
      </c>
      <c r="G12" t="s">
        <v>149</v>
      </c>
      <c r="H12" t="s">
        <v>150</v>
      </c>
      <c r="J12" t="s">
        <v>151</v>
      </c>
      <c r="K12" t="s">
        <v>348</v>
      </c>
      <c r="L12">
        <v>22.419297388353417</v>
      </c>
      <c r="M12">
        <v>0.18945901323210759</v>
      </c>
      <c r="O12" t="s">
        <v>445</v>
      </c>
      <c r="P12" t="s">
        <v>450</v>
      </c>
      <c r="Q12" t="s">
        <v>451</v>
      </c>
      <c r="R12" t="s">
        <v>10</v>
      </c>
      <c r="S12" t="s">
        <v>20</v>
      </c>
      <c r="T12" t="s">
        <v>448</v>
      </c>
      <c r="U12" t="s">
        <v>449</v>
      </c>
      <c r="V12" t="s">
        <v>150</v>
      </c>
      <c r="X12" t="s">
        <v>450</v>
      </c>
      <c r="Y12" t="s">
        <v>381</v>
      </c>
      <c r="Z12" t="s">
        <v>645</v>
      </c>
      <c r="AA12">
        <v>0.94191717639101813</v>
      </c>
      <c r="AB12">
        <v>1064.8517661646679</v>
      </c>
      <c r="AD12" t="s">
        <v>445</v>
      </c>
      <c r="AE12" t="s">
        <v>712</v>
      </c>
      <c r="AF12" t="s">
        <v>713</v>
      </c>
      <c r="AG12" t="s">
        <v>10</v>
      </c>
      <c r="AH12" t="s">
        <v>20</v>
      </c>
      <c r="AI12" t="s">
        <v>449</v>
      </c>
      <c r="AJ12" t="s">
        <v>150</v>
      </c>
      <c r="AL12" t="s">
        <v>712</v>
      </c>
      <c r="AM12" t="s">
        <v>906</v>
      </c>
      <c r="AN12" t="s">
        <v>645</v>
      </c>
      <c r="AO12">
        <v>0.93728012376790604</v>
      </c>
      <c r="AP12">
        <v>1149.8643975883897</v>
      </c>
      <c r="AR12" t="s">
        <v>445</v>
      </c>
      <c r="AS12" t="s">
        <v>1041</v>
      </c>
      <c r="AT12" t="s">
        <v>1042</v>
      </c>
      <c r="AU12" t="s">
        <v>10</v>
      </c>
      <c r="AV12" t="s">
        <v>20</v>
      </c>
      <c r="AW12" t="s">
        <v>449</v>
      </c>
      <c r="AX12" t="s">
        <v>150</v>
      </c>
      <c r="AZ12" t="s">
        <v>1041</v>
      </c>
      <c r="BA12" t="s">
        <v>1145</v>
      </c>
      <c r="BB12" t="s">
        <v>695</v>
      </c>
      <c r="BC12">
        <v>0.97261625181972589</v>
      </c>
      <c r="BD12">
        <v>1078.2253319963402</v>
      </c>
    </row>
    <row r="13" spans="2:56">
      <c r="B13" t="s">
        <v>146</v>
      </c>
      <c r="C13" t="s">
        <v>153</v>
      </c>
      <c r="D13" t="s">
        <v>154</v>
      </c>
      <c r="E13" t="s">
        <v>10</v>
      </c>
      <c r="F13" t="s">
        <v>20</v>
      </c>
      <c r="G13" t="s">
        <v>149</v>
      </c>
      <c r="H13" t="s">
        <v>150</v>
      </c>
      <c r="J13" t="s">
        <v>153</v>
      </c>
      <c r="K13" t="s">
        <v>349</v>
      </c>
      <c r="L13">
        <v>16.204234212493315</v>
      </c>
      <c r="M13">
        <v>0.1860437516236231</v>
      </c>
      <c r="O13" t="s">
        <v>445</v>
      </c>
      <c r="P13" t="s">
        <v>452</v>
      </c>
      <c r="Q13" t="s">
        <v>453</v>
      </c>
      <c r="R13" t="s">
        <v>10</v>
      </c>
      <c r="S13" t="s">
        <v>20</v>
      </c>
      <c r="T13" t="s">
        <v>448</v>
      </c>
      <c r="U13" t="s">
        <v>449</v>
      </c>
      <c r="V13" t="s">
        <v>150</v>
      </c>
      <c r="X13" t="s">
        <v>452</v>
      </c>
      <c r="Y13" t="s">
        <v>439</v>
      </c>
      <c r="Z13" t="s">
        <v>646</v>
      </c>
      <c r="AA13">
        <v>0.96994910016476243</v>
      </c>
      <c r="AB13">
        <v>550.93316364602254</v>
      </c>
      <c r="AD13" t="s">
        <v>445</v>
      </c>
      <c r="AE13" t="s">
        <v>714</v>
      </c>
      <c r="AF13" t="s">
        <v>715</v>
      </c>
      <c r="AG13" t="s">
        <v>10</v>
      </c>
      <c r="AH13" t="s">
        <v>20</v>
      </c>
      <c r="AI13" t="s">
        <v>449</v>
      </c>
      <c r="AJ13" t="s">
        <v>150</v>
      </c>
      <c r="AL13" t="s">
        <v>714</v>
      </c>
      <c r="AM13" t="s">
        <v>907</v>
      </c>
      <c r="AN13" t="s">
        <v>649</v>
      </c>
      <c r="AO13">
        <v>0.97740985609297437</v>
      </c>
      <c r="AP13">
        <v>414.15263829547018</v>
      </c>
      <c r="AR13" t="s">
        <v>445</v>
      </c>
      <c r="AS13" t="s">
        <v>1043</v>
      </c>
      <c r="AT13" t="s">
        <v>1044</v>
      </c>
      <c r="AU13" t="s">
        <v>10</v>
      </c>
      <c r="AV13" t="s">
        <v>20</v>
      </c>
      <c r="AW13" t="s">
        <v>449</v>
      </c>
      <c r="AX13" t="s">
        <v>150</v>
      </c>
      <c r="AZ13" t="s">
        <v>1043</v>
      </c>
      <c r="BA13" t="s">
        <v>1146</v>
      </c>
      <c r="BB13" t="s">
        <v>1147</v>
      </c>
      <c r="BC13">
        <v>0.99257145555712289</v>
      </c>
      <c r="BD13">
        <v>724.76495397460064</v>
      </c>
    </row>
    <row r="14" spans="2:56">
      <c r="B14" t="s">
        <v>146</v>
      </c>
      <c r="C14" t="s">
        <v>155</v>
      </c>
      <c r="D14" t="s">
        <v>156</v>
      </c>
      <c r="E14" t="s">
        <v>10</v>
      </c>
      <c r="F14" t="s">
        <v>20</v>
      </c>
      <c r="G14" t="s">
        <v>149</v>
      </c>
      <c r="H14" t="s">
        <v>150</v>
      </c>
      <c r="J14" t="s">
        <v>155</v>
      </c>
      <c r="K14" t="s">
        <v>350</v>
      </c>
      <c r="L14">
        <v>2.1076066628870871</v>
      </c>
      <c r="M14">
        <v>0.17758390904794141</v>
      </c>
      <c r="O14" t="s">
        <v>445</v>
      </c>
      <c r="P14" t="s">
        <v>454</v>
      </c>
      <c r="Q14" t="s">
        <v>455</v>
      </c>
      <c r="R14" t="s">
        <v>10</v>
      </c>
      <c r="S14" t="s">
        <v>20</v>
      </c>
      <c r="T14" t="s">
        <v>448</v>
      </c>
      <c r="U14" t="s">
        <v>449</v>
      </c>
      <c r="V14" t="s">
        <v>150</v>
      </c>
      <c r="X14" t="s">
        <v>454</v>
      </c>
      <c r="Y14" t="s">
        <v>396</v>
      </c>
      <c r="Z14" t="s">
        <v>647</v>
      </c>
      <c r="AA14">
        <v>0.98201413073603905</v>
      </c>
      <c r="AB14">
        <v>329.74093650595114</v>
      </c>
      <c r="AD14" t="s">
        <v>445</v>
      </c>
      <c r="AE14" t="s">
        <v>716</v>
      </c>
      <c r="AF14" t="s">
        <v>717</v>
      </c>
      <c r="AG14" t="s">
        <v>10</v>
      </c>
      <c r="AH14" t="s">
        <v>20</v>
      </c>
      <c r="AI14" t="s">
        <v>449</v>
      </c>
      <c r="AJ14" t="s">
        <v>150</v>
      </c>
      <c r="AL14" t="s">
        <v>716</v>
      </c>
      <c r="AM14" t="s">
        <v>908</v>
      </c>
      <c r="AN14" t="s">
        <v>649</v>
      </c>
      <c r="AO14">
        <v>0.97918864997471655</v>
      </c>
      <c r="AP14">
        <v>381.5414171301972</v>
      </c>
      <c r="AR14" t="s">
        <v>445</v>
      </c>
      <c r="AS14" t="s">
        <v>1045</v>
      </c>
      <c r="AT14" t="s">
        <v>1046</v>
      </c>
      <c r="AU14" t="s">
        <v>10</v>
      </c>
      <c r="AV14" t="s">
        <v>20</v>
      </c>
      <c r="AW14" t="s">
        <v>449</v>
      </c>
      <c r="AX14" t="s">
        <v>150</v>
      </c>
      <c r="AZ14" t="s">
        <v>1045</v>
      </c>
      <c r="BA14" t="s">
        <v>1148</v>
      </c>
      <c r="BB14" t="s">
        <v>972</v>
      </c>
      <c r="BC14">
        <v>0.98610600453861563</v>
      </c>
      <c r="BD14">
        <v>913.8751780378667</v>
      </c>
    </row>
    <row r="15" spans="2:56">
      <c r="B15" t="s">
        <v>146</v>
      </c>
      <c r="C15" t="s">
        <v>157</v>
      </c>
      <c r="D15" t="s">
        <v>158</v>
      </c>
      <c r="E15" t="s">
        <v>10</v>
      </c>
      <c r="F15" t="s">
        <v>20</v>
      </c>
      <c r="G15" t="s">
        <v>149</v>
      </c>
      <c r="H15" t="s">
        <v>150</v>
      </c>
      <c r="J15" t="s">
        <v>157</v>
      </c>
      <c r="K15" t="s">
        <v>351</v>
      </c>
      <c r="L15">
        <v>100.23792680097552</v>
      </c>
      <c r="M15">
        <v>0.2016402967110828</v>
      </c>
      <c r="O15" t="s">
        <v>445</v>
      </c>
      <c r="P15" t="s">
        <v>456</v>
      </c>
      <c r="Q15" t="s">
        <v>457</v>
      </c>
      <c r="R15" t="s">
        <v>10</v>
      </c>
      <c r="S15" t="s">
        <v>20</v>
      </c>
      <c r="T15" t="s">
        <v>448</v>
      </c>
      <c r="U15" t="s">
        <v>449</v>
      </c>
      <c r="V15" t="s">
        <v>150</v>
      </c>
      <c r="X15" t="s">
        <v>456</v>
      </c>
      <c r="Y15" t="s">
        <v>389</v>
      </c>
      <c r="Z15" t="s">
        <v>648</v>
      </c>
      <c r="AA15">
        <v>0.97808127216802332</v>
      </c>
      <c r="AB15">
        <v>401.84334358623994</v>
      </c>
      <c r="AD15" t="s">
        <v>445</v>
      </c>
      <c r="AE15" t="s">
        <v>718</v>
      </c>
      <c r="AF15" t="s">
        <v>719</v>
      </c>
      <c r="AG15" t="s">
        <v>10</v>
      </c>
      <c r="AH15" t="s">
        <v>20</v>
      </c>
      <c r="AI15" t="s">
        <v>449</v>
      </c>
      <c r="AJ15" t="s">
        <v>150</v>
      </c>
      <c r="AL15" t="s">
        <v>718</v>
      </c>
      <c r="AM15" t="s">
        <v>909</v>
      </c>
      <c r="AN15" t="s">
        <v>649</v>
      </c>
      <c r="AO15">
        <v>0.96550702044259584</v>
      </c>
      <c r="AP15">
        <v>632.37129188574295</v>
      </c>
      <c r="AR15" t="s">
        <v>445</v>
      </c>
      <c r="AS15" t="s">
        <v>1047</v>
      </c>
      <c r="AT15" t="s">
        <v>1048</v>
      </c>
      <c r="AU15" t="s">
        <v>10</v>
      </c>
      <c r="AV15" t="s">
        <v>20</v>
      </c>
      <c r="AW15" t="s">
        <v>449</v>
      </c>
      <c r="AX15" t="s">
        <v>150</v>
      </c>
      <c r="AZ15" t="s">
        <v>1047</v>
      </c>
      <c r="BA15" t="s">
        <v>1149</v>
      </c>
      <c r="BB15" t="s">
        <v>648</v>
      </c>
      <c r="BC15">
        <v>0.972593868603152</v>
      </c>
      <c r="BD15">
        <v>1078.4980341849312</v>
      </c>
    </row>
    <row r="16" spans="2:56">
      <c r="B16" t="s">
        <v>146</v>
      </c>
      <c r="C16" t="s">
        <v>159</v>
      </c>
      <c r="D16" t="s">
        <v>160</v>
      </c>
      <c r="E16" t="s">
        <v>10</v>
      </c>
      <c r="F16" t="s">
        <v>20</v>
      </c>
      <c r="G16" t="s">
        <v>149</v>
      </c>
      <c r="H16" t="s">
        <v>150</v>
      </c>
      <c r="J16" t="s">
        <v>159</v>
      </c>
      <c r="K16" t="s">
        <v>352</v>
      </c>
      <c r="L16">
        <v>61.39708714786601</v>
      </c>
      <c r="M16">
        <v>0.19890174433120161</v>
      </c>
      <c r="O16" t="s">
        <v>445</v>
      </c>
      <c r="P16" t="s">
        <v>458</v>
      </c>
      <c r="Q16" t="s">
        <v>459</v>
      </c>
      <c r="R16" t="s">
        <v>10</v>
      </c>
      <c r="S16" t="s">
        <v>20</v>
      </c>
      <c r="T16" t="s">
        <v>448</v>
      </c>
      <c r="U16" t="s">
        <v>449</v>
      </c>
      <c r="V16" t="s">
        <v>150</v>
      </c>
      <c r="X16" t="s">
        <v>458</v>
      </c>
      <c r="Y16" t="s">
        <v>375</v>
      </c>
      <c r="Z16" t="s">
        <v>649</v>
      </c>
      <c r="AA16">
        <v>0.98589110095524246</v>
      </c>
      <c r="AB16">
        <v>258.66314915388926</v>
      </c>
      <c r="AD16" t="s">
        <v>445</v>
      </c>
      <c r="AE16" t="s">
        <v>720</v>
      </c>
      <c r="AF16" t="s">
        <v>721</v>
      </c>
      <c r="AG16" t="s">
        <v>10</v>
      </c>
      <c r="AH16" t="s">
        <v>20</v>
      </c>
      <c r="AI16" t="s">
        <v>449</v>
      </c>
      <c r="AJ16" t="s">
        <v>150</v>
      </c>
      <c r="AL16" t="s">
        <v>720</v>
      </c>
      <c r="AM16" t="s">
        <v>910</v>
      </c>
      <c r="AN16" t="s">
        <v>649</v>
      </c>
      <c r="AO16">
        <v>0.99191812933076651</v>
      </c>
      <c r="AP16">
        <v>148.16762893594731</v>
      </c>
      <c r="AR16" t="s">
        <v>445</v>
      </c>
      <c r="AS16" t="s">
        <v>1049</v>
      </c>
      <c r="AT16" t="s">
        <v>1050</v>
      </c>
      <c r="AU16" t="s">
        <v>10</v>
      </c>
      <c r="AV16" t="s">
        <v>20</v>
      </c>
      <c r="AW16" t="s">
        <v>449</v>
      </c>
      <c r="AX16" t="s">
        <v>150</v>
      </c>
      <c r="AZ16" t="s">
        <v>1049</v>
      </c>
      <c r="BA16" t="s">
        <v>1150</v>
      </c>
      <c r="BB16" t="s">
        <v>649</v>
      </c>
      <c r="BC16">
        <v>0.97474114937745526</v>
      </c>
      <c r="BD16">
        <v>1052.3369967513365</v>
      </c>
    </row>
    <row r="17" spans="2:56">
      <c r="B17" t="s">
        <v>146</v>
      </c>
      <c r="C17" t="s">
        <v>161</v>
      </c>
      <c r="D17" t="s">
        <v>162</v>
      </c>
      <c r="E17" t="s">
        <v>10</v>
      </c>
      <c r="F17" t="s">
        <v>20</v>
      </c>
      <c r="G17" t="s">
        <v>149</v>
      </c>
      <c r="H17" t="s">
        <v>150</v>
      </c>
      <c r="J17" t="s">
        <v>161</v>
      </c>
      <c r="K17" t="s">
        <v>353</v>
      </c>
      <c r="L17">
        <v>76.21142673303217</v>
      </c>
      <c r="M17">
        <v>0.19633336669092871</v>
      </c>
      <c r="O17" t="s">
        <v>445</v>
      </c>
      <c r="P17" t="s">
        <v>460</v>
      </c>
      <c r="Q17" t="s">
        <v>461</v>
      </c>
      <c r="R17" t="s">
        <v>10</v>
      </c>
      <c r="S17" t="s">
        <v>20</v>
      </c>
      <c r="T17" t="s">
        <v>448</v>
      </c>
      <c r="U17" t="s">
        <v>449</v>
      </c>
      <c r="V17" t="s">
        <v>150</v>
      </c>
      <c r="X17" t="s">
        <v>460</v>
      </c>
      <c r="Y17" t="s">
        <v>408</v>
      </c>
      <c r="Z17" t="s">
        <v>650</v>
      </c>
      <c r="AA17">
        <v>0.99646010176925304</v>
      </c>
      <c r="AB17">
        <v>64.89813423036172</v>
      </c>
      <c r="AD17" t="s">
        <v>445</v>
      </c>
      <c r="AE17" t="s">
        <v>722</v>
      </c>
      <c r="AF17" t="s">
        <v>723</v>
      </c>
      <c r="AG17" t="s">
        <v>10</v>
      </c>
      <c r="AH17" t="s">
        <v>20</v>
      </c>
      <c r="AI17" t="s">
        <v>449</v>
      </c>
      <c r="AJ17" t="s">
        <v>150</v>
      </c>
      <c r="AL17" t="s">
        <v>722</v>
      </c>
      <c r="AM17" t="s">
        <v>911</v>
      </c>
      <c r="AN17" t="s">
        <v>655</v>
      </c>
      <c r="AO17">
        <v>0.97851296575183921</v>
      </c>
      <c r="AP17">
        <v>393.92896121628166</v>
      </c>
      <c r="AR17" t="s">
        <v>445</v>
      </c>
      <c r="AS17" t="s">
        <v>1051</v>
      </c>
      <c r="AT17" t="s">
        <v>1052</v>
      </c>
      <c r="AU17" t="s">
        <v>10</v>
      </c>
      <c r="AV17" t="s">
        <v>20</v>
      </c>
      <c r="AW17" t="s">
        <v>449</v>
      </c>
      <c r="AX17" t="s">
        <v>150</v>
      </c>
      <c r="AZ17" t="s">
        <v>1051</v>
      </c>
      <c r="BA17" t="s">
        <v>1151</v>
      </c>
      <c r="BB17" t="s">
        <v>704</v>
      </c>
      <c r="BC17">
        <v>0.99204121948401935</v>
      </c>
      <c r="BD17">
        <v>758.41727008090197</v>
      </c>
    </row>
    <row r="18" spans="2:56">
      <c r="B18" t="s">
        <v>146</v>
      </c>
      <c r="C18" t="s">
        <v>163</v>
      </c>
      <c r="D18" t="s">
        <v>164</v>
      </c>
      <c r="E18" t="s">
        <v>10</v>
      </c>
      <c r="F18" t="s">
        <v>20</v>
      </c>
      <c r="G18" t="s">
        <v>149</v>
      </c>
      <c r="H18" t="s">
        <v>150</v>
      </c>
      <c r="J18" t="s">
        <v>163</v>
      </c>
      <c r="K18" t="s">
        <v>354</v>
      </c>
      <c r="L18">
        <v>77.419310208629199</v>
      </c>
      <c r="M18">
        <v>0.18844457367322229</v>
      </c>
      <c r="O18" t="s">
        <v>445</v>
      </c>
      <c r="P18" t="s">
        <v>462</v>
      </c>
      <c r="Q18" t="s">
        <v>463</v>
      </c>
      <c r="R18" t="s">
        <v>10</v>
      </c>
      <c r="S18" t="s">
        <v>20</v>
      </c>
      <c r="T18" t="s">
        <v>448</v>
      </c>
      <c r="U18" t="s">
        <v>449</v>
      </c>
      <c r="V18" t="s">
        <v>150</v>
      </c>
      <c r="X18" t="s">
        <v>462</v>
      </c>
      <c r="Y18" t="s">
        <v>404</v>
      </c>
      <c r="Z18" t="s">
        <v>651</v>
      </c>
      <c r="AA18">
        <v>0.99487962039691491</v>
      </c>
      <c r="AB18">
        <v>93.8736260565599</v>
      </c>
      <c r="AD18" t="s">
        <v>445</v>
      </c>
      <c r="AE18" t="s">
        <v>724</v>
      </c>
      <c r="AF18" t="s">
        <v>725</v>
      </c>
      <c r="AG18" t="s">
        <v>10</v>
      </c>
      <c r="AH18" t="s">
        <v>20</v>
      </c>
      <c r="AI18" t="s">
        <v>449</v>
      </c>
      <c r="AJ18" t="s">
        <v>150</v>
      </c>
      <c r="AL18" t="s">
        <v>724</v>
      </c>
      <c r="AM18" t="s">
        <v>912</v>
      </c>
      <c r="AN18" t="s">
        <v>913</v>
      </c>
      <c r="AO18">
        <v>0.97693095508317673</v>
      </c>
      <c r="AP18">
        <v>422.93249014176001</v>
      </c>
      <c r="AR18" t="s">
        <v>445</v>
      </c>
      <c r="AS18" t="s">
        <v>1053</v>
      </c>
      <c r="AT18" t="s">
        <v>1054</v>
      </c>
      <c r="AU18" t="s">
        <v>10</v>
      </c>
      <c r="AV18" t="s">
        <v>20</v>
      </c>
      <c r="AW18" t="s">
        <v>449</v>
      </c>
      <c r="AX18" t="s">
        <v>150</v>
      </c>
      <c r="AZ18" t="s">
        <v>1053</v>
      </c>
      <c r="BA18" t="s">
        <v>1152</v>
      </c>
      <c r="BB18" t="s">
        <v>1153</v>
      </c>
      <c r="BC18">
        <v>0.98725104910668715</v>
      </c>
      <c r="BD18">
        <v>899.92471838352765</v>
      </c>
    </row>
    <row r="19" spans="2:56">
      <c r="B19" t="s">
        <v>146</v>
      </c>
      <c r="C19" t="s">
        <v>165</v>
      </c>
      <c r="D19" t="s">
        <v>166</v>
      </c>
      <c r="E19" t="s">
        <v>10</v>
      </c>
      <c r="F19" t="s">
        <v>20</v>
      </c>
      <c r="G19" t="s">
        <v>149</v>
      </c>
      <c r="H19" t="s">
        <v>150</v>
      </c>
      <c r="J19" t="s">
        <v>165</v>
      </c>
      <c r="K19" t="s">
        <v>355</v>
      </c>
      <c r="L19">
        <v>49.587703864904171</v>
      </c>
      <c r="M19">
        <v>0.19875487831282379</v>
      </c>
      <c r="O19" t="s">
        <v>445</v>
      </c>
      <c r="P19" t="s">
        <v>464</v>
      </c>
      <c r="Q19" t="s">
        <v>465</v>
      </c>
      <c r="R19" t="s">
        <v>10</v>
      </c>
      <c r="S19" t="s">
        <v>20</v>
      </c>
      <c r="T19" t="s">
        <v>448</v>
      </c>
      <c r="U19" t="s">
        <v>449</v>
      </c>
      <c r="V19" t="s">
        <v>150</v>
      </c>
      <c r="X19" t="s">
        <v>464</v>
      </c>
      <c r="Y19" t="s">
        <v>438</v>
      </c>
      <c r="Z19" t="s">
        <v>652</v>
      </c>
      <c r="AA19">
        <v>0.97458216258452024</v>
      </c>
      <c r="AB19">
        <v>465.99368595046235</v>
      </c>
      <c r="AD19" t="s">
        <v>445</v>
      </c>
      <c r="AE19" t="s">
        <v>726</v>
      </c>
      <c r="AF19" t="s">
        <v>727</v>
      </c>
      <c r="AG19" t="s">
        <v>10</v>
      </c>
      <c r="AH19" t="s">
        <v>20</v>
      </c>
      <c r="AI19" t="s">
        <v>449</v>
      </c>
      <c r="AJ19" t="s">
        <v>150</v>
      </c>
      <c r="AL19" t="s">
        <v>726</v>
      </c>
      <c r="AM19" t="s">
        <v>914</v>
      </c>
      <c r="AN19" t="s">
        <v>915</v>
      </c>
      <c r="AO19">
        <v>0.9972902611932265</v>
      </c>
      <c r="AP19">
        <v>49.678544790847084</v>
      </c>
      <c r="AR19" t="s">
        <v>445</v>
      </c>
      <c r="AS19" t="s">
        <v>1055</v>
      </c>
      <c r="AT19" t="s">
        <v>1056</v>
      </c>
      <c r="AU19" t="s">
        <v>10</v>
      </c>
      <c r="AV19" t="s">
        <v>20</v>
      </c>
      <c r="AW19" t="s">
        <v>449</v>
      </c>
      <c r="AX19" t="s">
        <v>150</v>
      </c>
      <c r="AZ19" t="s">
        <v>1055</v>
      </c>
      <c r="BA19" t="s">
        <v>1154</v>
      </c>
      <c r="BB19" t="s">
        <v>972</v>
      </c>
      <c r="BC19">
        <v>0.98942049804970167</v>
      </c>
      <c r="BD19">
        <v>873.49359876113442</v>
      </c>
    </row>
    <row r="20" spans="2:56">
      <c r="B20" t="s">
        <v>146</v>
      </c>
      <c r="C20" t="s">
        <v>167</v>
      </c>
      <c r="D20" t="s">
        <v>168</v>
      </c>
      <c r="E20" t="s">
        <v>10</v>
      </c>
      <c r="F20" t="s">
        <v>20</v>
      </c>
      <c r="G20" t="s">
        <v>149</v>
      </c>
      <c r="H20" t="s">
        <v>150</v>
      </c>
      <c r="J20" t="s">
        <v>167</v>
      </c>
      <c r="K20" t="s">
        <v>356</v>
      </c>
      <c r="L20">
        <v>65.397991210154146</v>
      </c>
      <c r="M20">
        <v>0.19248611524982931</v>
      </c>
      <c r="O20" t="s">
        <v>445</v>
      </c>
      <c r="P20" t="s">
        <v>466</v>
      </c>
      <c r="Q20" t="s">
        <v>467</v>
      </c>
      <c r="R20" t="s">
        <v>10</v>
      </c>
      <c r="S20" t="s">
        <v>20</v>
      </c>
      <c r="T20" t="s">
        <v>448</v>
      </c>
      <c r="U20" t="s">
        <v>449</v>
      </c>
      <c r="V20" t="s">
        <v>150</v>
      </c>
      <c r="X20" t="s">
        <v>466</v>
      </c>
      <c r="Y20" t="s">
        <v>430</v>
      </c>
      <c r="Z20" t="s">
        <v>653</v>
      </c>
      <c r="AA20">
        <v>0.98303972846671772</v>
      </c>
      <c r="AB20">
        <v>310.93831144350901</v>
      </c>
      <c r="AD20" t="s">
        <v>445</v>
      </c>
      <c r="AE20" t="s">
        <v>728</v>
      </c>
      <c r="AF20" t="s">
        <v>729</v>
      </c>
      <c r="AG20" t="s">
        <v>10</v>
      </c>
      <c r="AH20" t="s">
        <v>20</v>
      </c>
      <c r="AI20" t="s">
        <v>449</v>
      </c>
      <c r="AJ20" t="s">
        <v>150</v>
      </c>
      <c r="AL20" t="s">
        <v>728</v>
      </c>
      <c r="AM20" t="s">
        <v>916</v>
      </c>
      <c r="AN20" t="s">
        <v>695</v>
      </c>
      <c r="AO20">
        <v>0.98586375931635961</v>
      </c>
      <c r="AP20">
        <v>259.16441253340616</v>
      </c>
      <c r="AR20" t="s">
        <v>445</v>
      </c>
      <c r="AS20" t="s">
        <v>1057</v>
      </c>
      <c r="AT20" t="s">
        <v>1058</v>
      </c>
      <c r="AU20" t="s">
        <v>10</v>
      </c>
      <c r="AV20" t="s">
        <v>20</v>
      </c>
      <c r="AW20" t="s">
        <v>449</v>
      </c>
      <c r="AX20" t="s">
        <v>150</v>
      </c>
      <c r="AZ20" t="s">
        <v>1057</v>
      </c>
      <c r="BA20" t="s">
        <v>1155</v>
      </c>
      <c r="BB20" t="s">
        <v>1156</v>
      </c>
      <c r="BC20">
        <v>0.92540139052362402</v>
      </c>
      <c r="BD20">
        <v>1653.4597254538478</v>
      </c>
    </row>
    <row r="21" spans="2:56">
      <c r="B21" t="s">
        <v>146</v>
      </c>
      <c r="C21" t="s">
        <v>169</v>
      </c>
      <c r="D21" t="s">
        <v>170</v>
      </c>
      <c r="E21" t="s">
        <v>10</v>
      </c>
      <c r="F21" t="s">
        <v>20</v>
      </c>
      <c r="G21" t="s">
        <v>149</v>
      </c>
      <c r="H21" t="s">
        <v>150</v>
      </c>
      <c r="J21" t="s">
        <v>169</v>
      </c>
      <c r="K21" t="s">
        <v>357</v>
      </c>
      <c r="L21">
        <v>119.56588746838597</v>
      </c>
      <c r="M21">
        <v>0.20757143628917291</v>
      </c>
      <c r="O21" t="s">
        <v>445</v>
      </c>
      <c r="P21" t="s">
        <v>468</v>
      </c>
      <c r="Q21" t="s">
        <v>469</v>
      </c>
      <c r="R21" t="s">
        <v>10</v>
      </c>
      <c r="S21" t="s">
        <v>20</v>
      </c>
      <c r="T21" t="s">
        <v>448</v>
      </c>
      <c r="U21" t="s">
        <v>449</v>
      </c>
      <c r="V21" t="s">
        <v>150</v>
      </c>
      <c r="X21" t="s">
        <v>468</v>
      </c>
      <c r="Y21" t="s">
        <v>353</v>
      </c>
      <c r="Z21" t="s">
        <v>654</v>
      </c>
      <c r="AA21">
        <v>0.95915670695527311</v>
      </c>
      <c r="AB21">
        <v>748.79370581999342</v>
      </c>
      <c r="AD21" t="s">
        <v>445</v>
      </c>
      <c r="AE21" t="s">
        <v>730</v>
      </c>
      <c r="AF21" t="s">
        <v>731</v>
      </c>
      <c r="AG21" t="s">
        <v>10</v>
      </c>
      <c r="AH21" t="s">
        <v>20</v>
      </c>
      <c r="AI21" t="s">
        <v>449</v>
      </c>
      <c r="AJ21" t="s">
        <v>150</v>
      </c>
      <c r="AL21" t="s">
        <v>730</v>
      </c>
      <c r="AM21" t="s">
        <v>917</v>
      </c>
      <c r="AN21" t="s">
        <v>661</v>
      </c>
      <c r="AO21">
        <v>0.98753047073573874</v>
      </c>
      <c r="AP21">
        <v>228.60803651145704</v>
      </c>
      <c r="AR21" t="s">
        <v>445</v>
      </c>
      <c r="AS21" t="s">
        <v>1059</v>
      </c>
      <c r="AT21" t="s">
        <v>1060</v>
      </c>
      <c r="AU21" t="s">
        <v>10</v>
      </c>
      <c r="AV21" t="s">
        <v>20</v>
      </c>
      <c r="AW21" t="s">
        <v>449</v>
      </c>
      <c r="AX21" t="s">
        <v>150</v>
      </c>
      <c r="AZ21" t="s">
        <v>1059</v>
      </c>
      <c r="BA21" t="s">
        <v>1157</v>
      </c>
      <c r="BB21" t="s">
        <v>1158</v>
      </c>
      <c r="BC21">
        <v>0.97283922785685117</v>
      </c>
      <c r="BD21">
        <v>1075.5087406106959</v>
      </c>
    </row>
    <row r="22" spans="2:56">
      <c r="B22" t="s">
        <v>146</v>
      </c>
      <c r="C22" t="s">
        <v>171</v>
      </c>
      <c r="D22" t="s">
        <v>172</v>
      </c>
      <c r="E22" t="s">
        <v>10</v>
      </c>
      <c r="F22" t="s">
        <v>20</v>
      </c>
      <c r="G22" t="s">
        <v>149</v>
      </c>
      <c r="H22" t="s">
        <v>150</v>
      </c>
      <c r="J22" t="s">
        <v>171</v>
      </c>
      <c r="K22" t="s">
        <v>358</v>
      </c>
      <c r="L22">
        <v>112.16238137262647</v>
      </c>
      <c r="M22">
        <v>0.201413814276308</v>
      </c>
      <c r="O22" t="s">
        <v>445</v>
      </c>
      <c r="P22" t="s">
        <v>470</v>
      </c>
      <c r="Q22" t="s">
        <v>471</v>
      </c>
      <c r="R22" t="s">
        <v>10</v>
      </c>
      <c r="S22" t="s">
        <v>20</v>
      </c>
      <c r="T22" t="s">
        <v>448</v>
      </c>
      <c r="U22" t="s">
        <v>449</v>
      </c>
      <c r="V22" t="s">
        <v>150</v>
      </c>
      <c r="X22" t="s">
        <v>470</v>
      </c>
      <c r="Y22" t="s">
        <v>433</v>
      </c>
      <c r="Z22" t="s">
        <v>655</v>
      </c>
      <c r="AA22">
        <v>0.98266638110143478</v>
      </c>
      <c r="AB22">
        <v>317.78301314036179</v>
      </c>
      <c r="AD22" t="s">
        <v>445</v>
      </c>
      <c r="AE22" t="s">
        <v>732</v>
      </c>
      <c r="AF22" t="s">
        <v>733</v>
      </c>
      <c r="AG22" t="s">
        <v>10</v>
      </c>
      <c r="AH22" t="s">
        <v>20</v>
      </c>
      <c r="AI22" t="s">
        <v>449</v>
      </c>
      <c r="AJ22" t="s">
        <v>150</v>
      </c>
      <c r="AL22" t="s">
        <v>732</v>
      </c>
      <c r="AM22" t="s">
        <v>918</v>
      </c>
      <c r="AN22" t="s">
        <v>661</v>
      </c>
      <c r="AO22">
        <v>0.96497483135850137</v>
      </c>
      <c r="AP22">
        <v>642.12809176080782</v>
      </c>
      <c r="AR22" t="s">
        <v>445</v>
      </c>
      <c r="AS22" t="s">
        <v>1061</v>
      </c>
      <c r="AT22" t="s">
        <v>1062</v>
      </c>
      <c r="AU22" t="s">
        <v>10</v>
      </c>
      <c r="AV22" t="s">
        <v>20</v>
      </c>
      <c r="AW22" t="s">
        <v>449</v>
      </c>
      <c r="AX22" t="s">
        <v>150</v>
      </c>
      <c r="AZ22" t="s">
        <v>1061</v>
      </c>
      <c r="BA22" t="s">
        <v>1159</v>
      </c>
      <c r="BB22" t="s">
        <v>649</v>
      </c>
      <c r="BC22">
        <v>0.95074557504943547</v>
      </c>
      <c r="BD22">
        <v>1344.6830773143784</v>
      </c>
    </row>
    <row r="23" spans="2:56">
      <c r="B23" t="s">
        <v>146</v>
      </c>
      <c r="C23" t="s">
        <v>173</v>
      </c>
      <c r="D23" t="s">
        <v>174</v>
      </c>
      <c r="E23" t="s">
        <v>10</v>
      </c>
      <c r="F23" t="s">
        <v>20</v>
      </c>
      <c r="G23" t="s">
        <v>149</v>
      </c>
      <c r="H23" t="s">
        <v>150</v>
      </c>
      <c r="J23" t="s">
        <v>173</v>
      </c>
      <c r="K23" t="s">
        <v>359</v>
      </c>
      <c r="L23">
        <v>105.16875068973312</v>
      </c>
      <c r="M23">
        <v>0.20297880480481861</v>
      </c>
      <c r="O23" t="s">
        <v>445</v>
      </c>
      <c r="P23" t="s">
        <v>472</v>
      </c>
      <c r="Q23" t="s">
        <v>473</v>
      </c>
      <c r="R23" t="s">
        <v>10</v>
      </c>
      <c r="S23" t="s">
        <v>20</v>
      </c>
      <c r="T23" t="s">
        <v>448</v>
      </c>
      <c r="U23" t="s">
        <v>449</v>
      </c>
      <c r="V23" t="s">
        <v>150</v>
      </c>
      <c r="X23" t="s">
        <v>472</v>
      </c>
      <c r="Y23" t="s">
        <v>386</v>
      </c>
      <c r="Z23" t="s">
        <v>656</v>
      </c>
      <c r="AA23">
        <v>0.98507000954579316</v>
      </c>
      <c r="AB23">
        <v>273.71649166045961</v>
      </c>
      <c r="AD23" t="s">
        <v>445</v>
      </c>
      <c r="AE23" t="s">
        <v>734</v>
      </c>
      <c r="AF23" t="s">
        <v>735</v>
      </c>
      <c r="AG23" t="s">
        <v>10</v>
      </c>
      <c r="AH23" t="s">
        <v>20</v>
      </c>
      <c r="AI23" t="s">
        <v>449</v>
      </c>
      <c r="AJ23" t="s">
        <v>150</v>
      </c>
      <c r="AL23" t="s">
        <v>734</v>
      </c>
      <c r="AM23" t="s">
        <v>919</v>
      </c>
      <c r="AN23" t="s">
        <v>649</v>
      </c>
      <c r="AO23">
        <v>0.953110606460702</v>
      </c>
      <c r="AP23">
        <v>859.63888155379732</v>
      </c>
      <c r="AR23" t="s">
        <v>445</v>
      </c>
      <c r="AS23" t="s">
        <v>1063</v>
      </c>
      <c r="AT23" t="s">
        <v>1064</v>
      </c>
      <c r="AU23" t="s">
        <v>10</v>
      </c>
      <c r="AV23" t="s">
        <v>20</v>
      </c>
      <c r="AW23" t="s">
        <v>449</v>
      </c>
      <c r="AX23" t="s">
        <v>150</v>
      </c>
      <c r="AZ23" t="s">
        <v>1063</v>
      </c>
      <c r="BA23" t="s">
        <v>1160</v>
      </c>
      <c r="BB23" t="s">
        <v>649</v>
      </c>
      <c r="BC23">
        <v>0.9534536251465805</v>
      </c>
      <c r="BD23">
        <v>1311.6900002974942</v>
      </c>
    </row>
    <row r="24" spans="2:56">
      <c r="B24" t="s">
        <v>146</v>
      </c>
      <c r="C24" t="s">
        <v>175</v>
      </c>
      <c r="D24" t="s">
        <v>176</v>
      </c>
      <c r="E24" t="s">
        <v>10</v>
      </c>
      <c r="F24" t="s">
        <v>20</v>
      </c>
      <c r="G24" t="s">
        <v>149</v>
      </c>
      <c r="H24" t="s">
        <v>150</v>
      </c>
      <c r="J24" t="s">
        <v>175</v>
      </c>
      <c r="K24" t="s">
        <v>360</v>
      </c>
      <c r="L24">
        <v>99.538061653297973</v>
      </c>
      <c r="M24">
        <v>0.2039295276795986</v>
      </c>
      <c r="O24" t="s">
        <v>445</v>
      </c>
      <c r="P24" t="s">
        <v>474</v>
      </c>
      <c r="Q24" t="s">
        <v>475</v>
      </c>
      <c r="R24" t="s">
        <v>10</v>
      </c>
      <c r="S24" t="s">
        <v>20</v>
      </c>
      <c r="T24" t="s">
        <v>448</v>
      </c>
      <c r="U24" t="s">
        <v>449</v>
      </c>
      <c r="V24" t="s">
        <v>150</v>
      </c>
      <c r="X24" t="s">
        <v>474</v>
      </c>
      <c r="Y24" t="s">
        <v>383</v>
      </c>
      <c r="Z24" t="s">
        <v>657</v>
      </c>
      <c r="AA24">
        <v>0.95257490531108058</v>
      </c>
      <c r="AB24">
        <v>869.46006929685575</v>
      </c>
      <c r="AD24" t="s">
        <v>445</v>
      </c>
      <c r="AE24" t="s">
        <v>736</v>
      </c>
      <c r="AF24" t="s">
        <v>737</v>
      </c>
      <c r="AG24" t="s">
        <v>10</v>
      </c>
      <c r="AH24" t="s">
        <v>20</v>
      </c>
      <c r="AI24" t="s">
        <v>449</v>
      </c>
      <c r="AJ24" t="s">
        <v>150</v>
      </c>
      <c r="AL24" t="s">
        <v>736</v>
      </c>
      <c r="AM24" t="s">
        <v>920</v>
      </c>
      <c r="AN24" t="s">
        <v>688</v>
      </c>
      <c r="AO24">
        <v>0.95955011836243909</v>
      </c>
      <c r="AP24">
        <v>741.58116335528291</v>
      </c>
      <c r="AR24" t="s">
        <v>445</v>
      </c>
      <c r="AS24" t="s">
        <v>1065</v>
      </c>
      <c r="AT24" t="s">
        <v>1066</v>
      </c>
      <c r="AU24" t="s">
        <v>10</v>
      </c>
      <c r="AV24" t="s">
        <v>20</v>
      </c>
      <c r="AW24" t="s">
        <v>449</v>
      </c>
      <c r="AX24" t="s">
        <v>150</v>
      </c>
      <c r="AZ24" t="s">
        <v>1065</v>
      </c>
      <c r="BA24" t="s">
        <v>1161</v>
      </c>
      <c r="BB24" t="s">
        <v>696</v>
      </c>
      <c r="BC24">
        <v>0.96645436477691782</v>
      </c>
      <c r="BD24">
        <v>1153.2976558012185</v>
      </c>
    </row>
    <row r="25" spans="2:56">
      <c r="B25" t="s">
        <v>146</v>
      </c>
      <c r="C25" t="s">
        <v>177</v>
      </c>
      <c r="D25" t="s">
        <v>178</v>
      </c>
      <c r="E25" t="s">
        <v>10</v>
      </c>
      <c r="F25" t="s">
        <v>20</v>
      </c>
      <c r="G25" t="s">
        <v>149</v>
      </c>
      <c r="H25" t="s">
        <v>150</v>
      </c>
      <c r="J25" t="s">
        <v>177</v>
      </c>
      <c r="K25" t="s">
        <v>361</v>
      </c>
      <c r="L25">
        <v>126.88913087773011</v>
      </c>
      <c r="M25">
        <v>0.20825295313809369</v>
      </c>
      <c r="O25" t="s">
        <v>445</v>
      </c>
      <c r="P25" t="s">
        <v>476</v>
      </c>
      <c r="Q25" t="s">
        <v>477</v>
      </c>
      <c r="R25" t="s">
        <v>10</v>
      </c>
      <c r="S25" t="s">
        <v>20</v>
      </c>
      <c r="T25" t="s">
        <v>448</v>
      </c>
      <c r="U25" t="s">
        <v>449</v>
      </c>
      <c r="V25" t="s">
        <v>150</v>
      </c>
      <c r="X25" t="s">
        <v>476</v>
      </c>
      <c r="Y25" t="s">
        <v>355</v>
      </c>
      <c r="Z25" t="s">
        <v>658</v>
      </c>
      <c r="AA25">
        <v>0.9934232231965805</v>
      </c>
      <c r="AB25">
        <v>120.5742413960235</v>
      </c>
      <c r="AD25" t="s">
        <v>445</v>
      </c>
      <c r="AE25" t="s">
        <v>738</v>
      </c>
      <c r="AF25" t="s">
        <v>739</v>
      </c>
      <c r="AG25" t="s">
        <v>10</v>
      </c>
      <c r="AH25" t="s">
        <v>20</v>
      </c>
      <c r="AI25" t="s">
        <v>449</v>
      </c>
      <c r="AJ25" t="s">
        <v>150</v>
      </c>
      <c r="AL25" t="s">
        <v>738</v>
      </c>
      <c r="AM25" t="s">
        <v>921</v>
      </c>
      <c r="AN25" t="s">
        <v>922</v>
      </c>
      <c r="AO25">
        <v>0.99160044224340704</v>
      </c>
      <c r="AP25">
        <v>153.99189220420479</v>
      </c>
      <c r="AR25" t="s">
        <v>445</v>
      </c>
      <c r="AS25" t="s">
        <v>1067</v>
      </c>
      <c r="AT25" t="s">
        <v>1068</v>
      </c>
      <c r="AU25" t="s">
        <v>10</v>
      </c>
      <c r="AV25" t="s">
        <v>20</v>
      </c>
      <c r="AW25" t="s">
        <v>449</v>
      </c>
      <c r="AX25" t="s">
        <v>150</v>
      </c>
      <c r="AZ25" t="s">
        <v>1067</v>
      </c>
      <c r="BA25" t="s">
        <v>1162</v>
      </c>
      <c r="BB25" t="s">
        <v>1163</v>
      </c>
      <c r="BC25">
        <v>0.99312868008939148</v>
      </c>
      <c r="BD25">
        <v>689.39977032661727</v>
      </c>
    </row>
    <row r="26" spans="2:56">
      <c r="B26" t="s">
        <v>146</v>
      </c>
      <c r="C26" t="s">
        <v>179</v>
      </c>
      <c r="D26" t="s">
        <v>180</v>
      </c>
      <c r="E26" t="s">
        <v>10</v>
      </c>
      <c r="F26" t="s">
        <v>20</v>
      </c>
      <c r="G26" t="s">
        <v>149</v>
      </c>
      <c r="H26" t="s">
        <v>150</v>
      </c>
      <c r="J26" t="s">
        <v>179</v>
      </c>
      <c r="K26" t="s">
        <v>362</v>
      </c>
      <c r="L26">
        <v>4.4183595042822299</v>
      </c>
      <c r="M26">
        <v>0.18881968999994761</v>
      </c>
      <c r="O26" t="s">
        <v>445</v>
      </c>
      <c r="P26" t="s">
        <v>478</v>
      </c>
      <c r="Q26" t="s">
        <v>479</v>
      </c>
      <c r="R26" t="s">
        <v>10</v>
      </c>
      <c r="S26" t="s">
        <v>20</v>
      </c>
      <c r="T26" t="s">
        <v>448</v>
      </c>
      <c r="U26" t="s">
        <v>449</v>
      </c>
      <c r="V26" t="s">
        <v>150</v>
      </c>
      <c r="X26" t="s">
        <v>478</v>
      </c>
      <c r="Y26" t="s">
        <v>372</v>
      </c>
      <c r="Z26" t="s">
        <v>649</v>
      </c>
      <c r="AA26">
        <v>0.98371921732749934</v>
      </c>
      <c r="AB26">
        <v>298.48101566251137</v>
      </c>
      <c r="AD26" t="s">
        <v>445</v>
      </c>
      <c r="AE26" t="s">
        <v>740</v>
      </c>
      <c r="AF26" t="s">
        <v>741</v>
      </c>
      <c r="AG26" t="s">
        <v>10</v>
      </c>
      <c r="AH26" t="s">
        <v>20</v>
      </c>
      <c r="AI26" t="s">
        <v>449</v>
      </c>
      <c r="AJ26" t="s">
        <v>150</v>
      </c>
      <c r="AL26" t="s">
        <v>740</v>
      </c>
      <c r="AM26" t="s">
        <v>923</v>
      </c>
      <c r="AN26" t="s">
        <v>924</v>
      </c>
      <c r="AO26">
        <v>0.98943214953804659</v>
      </c>
      <c r="AP26">
        <v>193.7439251358123</v>
      </c>
      <c r="AR26" t="s">
        <v>445</v>
      </c>
      <c r="AS26" t="s">
        <v>1069</v>
      </c>
      <c r="AT26" t="s">
        <v>1070</v>
      </c>
      <c r="AU26" t="s">
        <v>10</v>
      </c>
      <c r="AV26" t="s">
        <v>20</v>
      </c>
      <c r="AW26" t="s">
        <v>449</v>
      </c>
      <c r="AX26" t="s">
        <v>150</v>
      </c>
      <c r="AZ26" t="s">
        <v>1069</v>
      </c>
      <c r="BA26" t="s">
        <v>1164</v>
      </c>
      <c r="BB26" t="s">
        <v>648</v>
      </c>
      <c r="BC26">
        <v>0.96520145465062446</v>
      </c>
      <c r="BD26">
        <v>1168.5622775065585</v>
      </c>
    </row>
    <row r="27" spans="2:56">
      <c r="B27" t="s">
        <v>146</v>
      </c>
      <c r="C27" t="s">
        <v>181</v>
      </c>
      <c r="D27" t="s">
        <v>182</v>
      </c>
      <c r="E27" t="s">
        <v>10</v>
      </c>
      <c r="F27" t="s">
        <v>20</v>
      </c>
      <c r="G27" t="s">
        <v>149</v>
      </c>
      <c r="H27" t="s">
        <v>150</v>
      </c>
      <c r="J27" t="s">
        <v>181</v>
      </c>
      <c r="K27" t="s">
        <v>363</v>
      </c>
      <c r="L27">
        <v>6.5756242133267211</v>
      </c>
      <c r="M27">
        <v>0.1970926721688151</v>
      </c>
      <c r="O27" t="s">
        <v>445</v>
      </c>
      <c r="P27" t="s">
        <v>480</v>
      </c>
      <c r="Q27" t="s">
        <v>481</v>
      </c>
      <c r="R27" t="s">
        <v>10</v>
      </c>
      <c r="S27" t="s">
        <v>20</v>
      </c>
      <c r="T27" t="s">
        <v>448</v>
      </c>
      <c r="U27" t="s">
        <v>449</v>
      </c>
      <c r="V27" t="s">
        <v>150</v>
      </c>
      <c r="X27" t="s">
        <v>480</v>
      </c>
      <c r="Y27" t="s">
        <v>442</v>
      </c>
      <c r="Z27" t="s">
        <v>659</v>
      </c>
      <c r="AA27">
        <v>0.98946891329754838</v>
      </c>
      <c r="AB27">
        <v>193.0699228782787</v>
      </c>
      <c r="AD27" t="s">
        <v>445</v>
      </c>
      <c r="AE27" t="s">
        <v>742</v>
      </c>
      <c r="AF27" t="s">
        <v>743</v>
      </c>
      <c r="AG27" t="s">
        <v>10</v>
      </c>
      <c r="AH27" t="s">
        <v>20</v>
      </c>
      <c r="AI27" t="s">
        <v>449</v>
      </c>
      <c r="AJ27" t="s">
        <v>150</v>
      </c>
      <c r="AL27" t="s">
        <v>742</v>
      </c>
      <c r="AM27" t="s">
        <v>925</v>
      </c>
      <c r="AN27" t="s">
        <v>926</v>
      </c>
      <c r="AO27">
        <v>0.99751889144721539</v>
      </c>
      <c r="AP27">
        <v>45.486990134384541</v>
      </c>
      <c r="AR27" t="s">
        <v>445</v>
      </c>
      <c r="AS27" t="s">
        <v>1071</v>
      </c>
      <c r="AT27" t="s">
        <v>1072</v>
      </c>
      <c r="AU27" t="s">
        <v>10</v>
      </c>
      <c r="AV27" t="s">
        <v>20</v>
      </c>
      <c r="AW27" t="s">
        <v>449</v>
      </c>
      <c r="AX27" t="s">
        <v>150</v>
      </c>
      <c r="AZ27" t="s">
        <v>1071</v>
      </c>
      <c r="BA27" t="s">
        <v>1165</v>
      </c>
      <c r="BB27" t="s">
        <v>649</v>
      </c>
      <c r="BC27">
        <v>0.92803055709901694</v>
      </c>
      <c r="BD27">
        <v>1621.4277126769766</v>
      </c>
    </row>
    <row r="28" spans="2:56">
      <c r="B28" t="s">
        <v>146</v>
      </c>
      <c r="C28" t="s">
        <v>183</v>
      </c>
      <c r="D28" t="s">
        <v>184</v>
      </c>
      <c r="E28" t="s">
        <v>10</v>
      </c>
      <c r="F28" t="s">
        <v>20</v>
      </c>
      <c r="G28" t="s">
        <v>149</v>
      </c>
      <c r="H28" t="s">
        <v>150</v>
      </c>
      <c r="J28" t="s">
        <v>183</v>
      </c>
      <c r="K28" t="s">
        <v>364</v>
      </c>
      <c r="L28">
        <v>36.767483991035213</v>
      </c>
      <c r="M28">
        <v>0.2045944040434301</v>
      </c>
      <c r="O28" t="s">
        <v>445</v>
      </c>
      <c r="P28" t="s">
        <v>482</v>
      </c>
      <c r="Q28" t="s">
        <v>483</v>
      </c>
      <c r="R28" t="s">
        <v>10</v>
      </c>
      <c r="S28" t="s">
        <v>20</v>
      </c>
      <c r="T28" t="s">
        <v>448</v>
      </c>
      <c r="U28" t="s">
        <v>449</v>
      </c>
      <c r="V28" t="s">
        <v>150</v>
      </c>
      <c r="X28" t="s">
        <v>482</v>
      </c>
      <c r="Y28" t="s">
        <v>418</v>
      </c>
      <c r="Z28" t="s">
        <v>660</v>
      </c>
      <c r="AA28">
        <v>0.98777287103353073</v>
      </c>
      <c r="AB28">
        <v>224.16403105193586</v>
      </c>
      <c r="AD28" t="s">
        <v>445</v>
      </c>
      <c r="AE28" t="s">
        <v>744</v>
      </c>
      <c r="AF28" t="s">
        <v>745</v>
      </c>
      <c r="AG28" t="s">
        <v>10</v>
      </c>
      <c r="AH28" t="s">
        <v>20</v>
      </c>
      <c r="AI28" t="s">
        <v>449</v>
      </c>
      <c r="AJ28" t="s">
        <v>150</v>
      </c>
      <c r="AL28" t="s">
        <v>744</v>
      </c>
      <c r="AM28" t="s">
        <v>927</v>
      </c>
      <c r="AN28" t="s">
        <v>928</v>
      </c>
      <c r="AO28">
        <v>0.97572899399979196</v>
      </c>
      <c r="AP28">
        <v>444.96844333714796</v>
      </c>
      <c r="AR28" t="s">
        <v>445</v>
      </c>
      <c r="AS28" t="s">
        <v>1073</v>
      </c>
      <c r="AT28" t="s">
        <v>1074</v>
      </c>
      <c r="AU28" t="s">
        <v>10</v>
      </c>
      <c r="AV28" t="s">
        <v>20</v>
      </c>
      <c r="AW28" t="s">
        <v>449</v>
      </c>
      <c r="AX28" t="s">
        <v>150</v>
      </c>
      <c r="AZ28" t="s">
        <v>1073</v>
      </c>
      <c r="BA28" t="s">
        <v>1166</v>
      </c>
      <c r="BB28" t="s">
        <v>1167</v>
      </c>
      <c r="BC28">
        <v>0.99716443001648403</v>
      </c>
      <c r="BD28">
        <v>433.2641749538127</v>
      </c>
    </row>
    <row r="29" spans="2:56">
      <c r="B29" t="s">
        <v>146</v>
      </c>
      <c r="C29" t="s">
        <v>185</v>
      </c>
      <c r="D29" t="s">
        <v>186</v>
      </c>
      <c r="E29" t="s">
        <v>10</v>
      </c>
      <c r="F29" t="s">
        <v>20</v>
      </c>
      <c r="G29" t="s">
        <v>149</v>
      </c>
      <c r="H29" t="s">
        <v>150</v>
      </c>
      <c r="J29" t="s">
        <v>185</v>
      </c>
      <c r="K29" t="s">
        <v>365</v>
      </c>
      <c r="L29">
        <v>68.651626740012603</v>
      </c>
      <c r="M29">
        <v>0.19965022581518349</v>
      </c>
      <c r="O29" t="s">
        <v>445</v>
      </c>
      <c r="P29" t="s">
        <v>484</v>
      </c>
      <c r="Q29" t="s">
        <v>485</v>
      </c>
      <c r="R29" t="s">
        <v>10</v>
      </c>
      <c r="S29" t="s">
        <v>20</v>
      </c>
      <c r="T29" t="s">
        <v>448</v>
      </c>
      <c r="U29" t="s">
        <v>449</v>
      </c>
      <c r="V29" t="s">
        <v>150</v>
      </c>
      <c r="X29" t="s">
        <v>484</v>
      </c>
      <c r="Y29" t="s">
        <v>385</v>
      </c>
      <c r="Z29" t="s">
        <v>648</v>
      </c>
      <c r="AA29">
        <v>0.97754100001622091</v>
      </c>
      <c r="AB29">
        <v>411.74833303595017</v>
      </c>
      <c r="AD29" t="s">
        <v>445</v>
      </c>
      <c r="AE29" t="s">
        <v>746</v>
      </c>
      <c r="AF29" t="s">
        <v>747</v>
      </c>
      <c r="AG29" t="s">
        <v>10</v>
      </c>
      <c r="AH29" t="s">
        <v>20</v>
      </c>
      <c r="AI29" t="s">
        <v>449</v>
      </c>
      <c r="AJ29" t="s">
        <v>150</v>
      </c>
      <c r="AL29" t="s">
        <v>746</v>
      </c>
      <c r="AM29" t="s">
        <v>929</v>
      </c>
      <c r="AN29" t="s">
        <v>663</v>
      </c>
      <c r="AO29">
        <v>0.97620022609803814</v>
      </c>
      <c r="AP29">
        <v>436.32918820263421</v>
      </c>
      <c r="AR29" t="s">
        <v>445</v>
      </c>
      <c r="AS29" t="s">
        <v>1075</v>
      </c>
      <c r="AT29" t="s">
        <v>1076</v>
      </c>
      <c r="AU29" t="s">
        <v>10</v>
      </c>
      <c r="AV29" t="s">
        <v>20</v>
      </c>
      <c r="AW29" t="s">
        <v>449</v>
      </c>
      <c r="AX29" t="s">
        <v>150</v>
      </c>
      <c r="AZ29" t="s">
        <v>1075</v>
      </c>
      <c r="BA29" t="s">
        <v>1168</v>
      </c>
      <c r="BB29" t="s">
        <v>1018</v>
      </c>
      <c r="BC29">
        <v>0.98701879075230647</v>
      </c>
      <c r="BD29">
        <v>902.75439933439907</v>
      </c>
    </row>
    <row r="30" spans="2:56">
      <c r="B30" t="s">
        <v>146</v>
      </c>
      <c r="C30" t="s">
        <v>187</v>
      </c>
      <c r="D30" t="s">
        <v>188</v>
      </c>
      <c r="E30" t="s">
        <v>10</v>
      </c>
      <c r="F30" t="s">
        <v>20</v>
      </c>
      <c r="G30" t="s">
        <v>149</v>
      </c>
      <c r="H30" t="s">
        <v>150</v>
      </c>
      <c r="J30" t="s">
        <v>187</v>
      </c>
      <c r="K30" t="s">
        <v>366</v>
      </c>
      <c r="L30">
        <v>134.82739310332508</v>
      </c>
      <c r="M30">
        <v>0.20206856573817919</v>
      </c>
      <c r="O30" t="s">
        <v>445</v>
      </c>
      <c r="P30" t="s">
        <v>486</v>
      </c>
      <c r="Q30" t="s">
        <v>487</v>
      </c>
      <c r="R30" t="s">
        <v>10</v>
      </c>
      <c r="S30" t="s">
        <v>20</v>
      </c>
      <c r="T30" t="s">
        <v>448</v>
      </c>
      <c r="U30" t="s">
        <v>449</v>
      </c>
      <c r="V30" t="s">
        <v>150</v>
      </c>
      <c r="X30" t="s">
        <v>486</v>
      </c>
      <c r="Y30" t="s">
        <v>391</v>
      </c>
      <c r="Z30" t="s">
        <v>661</v>
      </c>
      <c r="AA30">
        <v>0.95401962289287812</v>
      </c>
      <c r="AB30">
        <v>842.97358029723534</v>
      </c>
      <c r="AD30" t="s">
        <v>445</v>
      </c>
      <c r="AE30" t="s">
        <v>748</v>
      </c>
      <c r="AF30" t="s">
        <v>749</v>
      </c>
      <c r="AG30" t="s">
        <v>10</v>
      </c>
      <c r="AH30" t="s">
        <v>20</v>
      </c>
      <c r="AI30" t="s">
        <v>449</v>
      </c>
      <c r="AJ30" t="s">
        <v>150</v>
      </c>
      <c r="AL30" t="s">
        <v>748</v>
      </c>
      <c r="AM30" t="s">
        <v>930</v>
      </c>
      <c r="AN30" t="s">
        <v>931</v>
      </c>
      <c r="AO30">
        <v>0.98607591956620455</v>
      </c>
      <c r="AP30">
        <v>255.27480795291643</v>
      </c>
      <c r="AR30" t="s">
        <v>445</v>
      </c>
      <c r="AS30" t="s">
        <v>1077</v>
      </c>
      <c r="AT30" t="s">
        <v>1078</v>
      </c>
      <c r="AU30" t="s">
        <v>10</v>
      </c>
      <c r="AV30" t="s">
        <v>20</v>
      </c>
      <c r="AW30" t="s">
        <v>449</v>
      </c>
      <c r="AX30" t="s">
        <v>150</v>
      </c>
      <c r="AZ30" t="s">
        <v>1077</v>
      </c>
      <c r="BA30" t="s">
        <v>1169</v>
      </c>
      <c r="BB30" t="s">
        <v>669</v>
      </c>
      <c r="BC30">
        <v>0.98556353666457686</v>
      </c>
      <c r="BD30">
        <v>920.4842449699056</v>
      </c>
    </row>
    <row r="31" spans="2:56">
      <c r="B31" t="s">
        <v>146</v>
      </c>
      <c r="C31" t="s">
        <v>189</v>
      </c>
      <c r="D31" t="s">
        <v>190</v>
      </c>
      <c r="E31" t="s">
        <v>10</v>
      </c>
      <c r="F31" t="s">
        <v>20</v>
      </c>
      <c r="G31" t="s">
        <v>149</v>
      </c>
      <c r="H31" t="s">
        <v>150</v>
      </c>
      <c r="J31" t="s">
        <v>189</v>
      </c>
      <c r="K31" t="s">
        <v>367</v>
      </c>
      <c r="L31">
        <v>17.503939949388922</v>
      </c>
      <c r="M31">
        <v>0.19946029375547419</v>
      </c>
      <c r="O31" t="s">
        <v>445</v>
      </c>
      <c r="P31" t="s">
        <v>488</v>
      </c>
      <c r="Q31" t="s">
        <v>489</v>
      </c>
      <c r="R31" t="s">
        <v>10</v>
      </c>
      <c r="S31" t="s">
        <v>20</v>
      </c>
      <c r="T31" t="s">
        <v>448</v>
      </c>
      <c r="U31" t="s">
        <v>449</v>
      </c>
      <c r="V31" t="s">
        <v>150</v>
      </c>
      <c r="X31" t="s">
        <v>488</v>
      </c>
      <c r="Y31" t="s">
        <v>356</v>
      </c>
      <c r="Z31" t="s">
        <v>654</v>
      </c>
      <c r="AA31">
        <v>0.98495178422440233</v>
      </c>
      <c r="AB31">
        <v>275.88395588595779</v>
      </c>
      <c r="AD31" t="s">
        <v>445</v>
      </c>
      <c r="AE31" t="s">
        <v>750</v>
      </c>
      <c r="AF31" t="s">
        <v>751</v>
      </c>
      <c r="AG31" t="s">
        <v>10</v>
      </c>
      <c r="AH31" t="s">
        <v>20</v>
      </c>
      <c r="AI31" t="s">
        <v>449</v>
      </c>
      <c r="AJ31" t="s">
        <v>150</v>
      </c>
      <c r="AL31" t="s">
        <v>750</v>
      </c>
      <c r="AM31" t="s">
        <v>932</v>
      </c>
      <c r="AN31" t="s">
        <v>661</v>
      </c>
      <c r="AO31">
        <v>0.94516861039769784</v>
      </c>
      <c r="AP31">
        <v>1005.2421427088731</v>
      </c>
      <c r="AR31" t="s">
        <v>445</v>
      </c>
      <c r="AS31" t="s">
        <v>1079</v>
      </c>
      <c r="AT31" t="s">
        <v>1080</v>
      </c>
      <c r="AU31" t="s">
        <v>10</v>
      </c>
      <c r="AV31" t="s">
        <v>20</v>
      </c>
      <c r="AW31" t="s">
        <v>449</v>
      </c>
      <c r="AX31" t="s">
        <v>150</v>
      </c>
      <c r="AZ31" t="s">
        <v>1079</v>
      </c>
      <c r="BA31" t="s">
        <v>1170</v>
      </c>
      <c r="BB31" t="s">
        <v>649</v>
      </c>
      <c r="BC31">
        <v>0.91754501241076647</v>
      </c>
      <c r="BD31">
        <v>1749.1765987954952</v>
      </c>
    </row>
    <row r="32" spans="2:56">
      <c r="B32" t="s">
        <v>146</v>
      </c>
      <c r="C32" t="s">
        <v>191</v>
      </c>
      <c r="D32" t="s">
        <v>192</v>
      </c>
      <c r="E32" t="s">
        <v>10</v>
      </c>
      <c r="F32" t="s">
        <v>20</v>
      </c>
      <c r="G32" t="s">
        <v>149</v>
      </c>
      <c r="H32" t="s">
        <v>150</v>
      </c>
      <c r="J32" t="s">
        <v>191</v>
      </c>
      <c r="K32" t="s">
        <v>368</v>
      </c>
      <c r="L32">
        <v>4.5381790929990515</v>
      </c>
      <c r="M32">
        <v>0.19306204949364231</v>
      </c>
      <c r="O32" t="s">
        <v>445</v>
      </c>
      <c r="P32" t="s">
        <v>490</v>
      </c>
      <c r="Q32" t="s">
        <v>491</v>
      </c>
      <c r="R32" t="s">
        <v>10</v>
      </c>
      <c r="S32" t="s">
        <v>20</v>
      </c>
      <c r="T32" t="s">
        <v>448</v>
      </c>
      <c r="U32" t="s">
        <v>449</v>
      </c>
      <c r="V32" t="s">
        <v>150</v>
      </c>
      <c r="X32" t="s">
        <v>490</v>
      </c>
      <c r="Y32" t="s">
        <v>378</v>
      </c>
      <c r="Z32" t="s">
        <v>649</v>
      </c>
      <c r="AA32">
        <v>0.97886062539501351</v>
      </c>
      <c r="AB32">
        <v>387.55520109141952</v>
      </c>
      <c r="AD32" t="s">
        <v>445</v>
      </c>
      <c r="AE32" t="s">
        <v>752</v>
      </c>
      <c r="AF32" t="s">
        <v>753</v>
      </c>
      <c r="AG32" t="s">
        <v>10</v>
      </c>
      <c r="AH32" t="s">
        <v>20</v>
      </c>
      <c r="AI32" t="s">
        <v>449</v>
      </c>
      <c r="AJ32" t="s">
        <v>150</v>
      </c>
      <c r="AL32" t="s">
        <v>752</v>
      </c>
      <c r="AM32" t="s">
        <v>933</v>
      </c>
      <c r="AN32" t="s">
        <v>934</v>
      </c>
      <c r="AO32">
        <v>0.94231963623506931</v>
      </c>
      <c r="AP32">
        <v>1057.4733356903953</v>
      </c>
      <c r="AR32" t="s">
        <v>445</v>
      </c>
      <c r="AS32" t="s">
        <v>1081</v>
      </c>
      <c r="AT32" t="s">
        <v>1082</v>
      </c>
      <c r="AU32" t="s">
        <v>10</v>
      </c>
      <c r="AV32" t="s">
        <v>20</v>
      </c>
      <c r="AW32" t="s">
        <v>449</v>
      </c>
      <c r="AX32" t="s">
        <v>150</v>
      </c>
      <c r="AZ32" t="s">
        <v>1081</v>
      </c>
      <c r="BA32" t="s">
        <v>1171</v>
      </c>
      <c r="BB32" t="s">
        <v>1172</v>
      </c>
      <c r="BC32">
        <v>0.98908658389363524</v>
      </c>
      <c r="BD32">
        <v>877.56178622921061</v>
      </c>
    </row>
    <row r="33" spans="2:56">
      <c r="B33" t="s">
        <v>146</v>
      </c>
      <c r="C33" t="s">
        <v>193</v>
      </c>
      <c r="D33" t="s">
        <v>194</v>
      </c>
      <c r="E33" t="s">
        <v>10</v>
      </c>
      <c r="F33" t="s">
        <v>20</v>
      </c>
      <c r="G33" t="s">
        <v>149</v>
      </c>
      <c r="H33" t="s">
        <v>150</v>
      </c>
      <c r="J33" t="s">
        <v>193</v>
      </c>
      <c r="K33" t="s">
        <v>369</v>
      </c>
      <c r="L33">
        <v>2.6195265995667101</v>
      </c>
      <c r="M33">
        <v>0.1901431968716854</v>
      </c>
      <c r="O33" t="s">
        <v>445</v>
      </c>
      <c r="P33" t="s">
        <v>492</v>
      </c>
      <c r="Q33" t="s">
        <v>493</v>
      </c>
      <c r="R33" t="s">
        <v>10</v>
      </c>
      <c r="S33" t="s">
        <v>20</v>
      </c>
      <c r="T33" t="s">
        <v>448</v>
      </c>
      <c r="U33" t="s">
        <v>449</v>
      </c>
      <c r="V33" t="s">
        <v>150</v>
      </c>
      <c r="X33" t="s">
        <v>492</v>
      </c>
      <c r="Y33" t="s">
        <v>364</v>
      </c>
      <c r="Z33" t="s">
        <v>649</v>
      </c>
      <c r="AA33">
        <v>0.99386727950885501</v>
      </c>
      <c r="AB33">
        <v>112.43320900432452</v>
      </c>
      <c r="AD33" t="s">
        <v>445</v>
      </c>
      <c r="AE33" t="s">
        <v>754</v>
      </c>
      <c r="AF33" t="s">
        <v>755</v>
      </c>
      <c r="AG33" t="s">
        <v>10</v>
      </c>
      <c r="AH33" t="s">
        <v>20</v>
      </c>
      <c r="AI33" t="s">
        <v>449</v>
      </c>
      <c r="AJ33" t="s">
        <v>150</v>
      </c>
      <c r="AL33" t="s">
        <v>754</v>
      </c>
      <c r="AM33" t="s">
        <v>935</v>
      </c>
      <c r="AN33" t="s">
        <v>654</v>
      </c>
      <c r="AO33">
        <v>0.97832027217029349</v>
      </c>
      <c r="AP33">
        <v>397.46167687795332</v>
      </c>
      <c r="AR33" t="s">
        <v>445</v>
      </c>
      <c r="AS33" t="s">
        <v>1083</v>
      </c>
      <c r="AT33" t="s">
        <v>1084</v>
      </c>
      <c r="AU33" t="s">
        <v>10</v>
      </c>
      <c r="AV33" t="s">
        <v>20</v>
      </c>
      <c r="AW33" t="s">
        <v>449</v>
      </c>
      <c r="AX33" t="s">
        <v>150</v>
      </c>
      <c r="AZ33" t="s">
        <v>1083</v>
      </c>
      <c r="BA33" t="s">
        <v>1173</v>
      </c>
      <c r="BB33" t="s">
        <v>649</v>
      </c>
      <c r="BC33">
        <v>0.96835427347694081</v>
      </c>
      <c r="BD33">
        <v>1130.1504348059382</v>
      </c>
    </row>
    <row r="34" spans="2:56">
      <c r="B34" t="s">
        <v>146</v>
      </c>
      <c r="C34" t="s">
        <v>195</v>
      </c>
      <c r="D34" t="s">
        <v>196</v>
      </c>
      <c r="E34" t="s">
        <v>10</v>
      </c>
      <c r="F34" t="s">
        <v>20</v>
      </c>
      <c r="G34" t="s">
        <v>149</v>
      </c>
      <c r="H34" t="s">
        <v>150</v>
      </c>
      <c r="J34" t="s">
        <v>195</v>
      </c>
      <c r="K34" t="s">
        <v>370</v>
      </c>
      <c r="L34">
        <v>0.29241200488793218</v>
      </c>
      <c r="M34">
        <v>0.18954500849586739</v>
      </c>
      <c r="O34" t="s">
        <v>445</v>
      </c>
      <c r="P34" t="s">
        <v>494</v>
      </c>
      <c r="Q34" t="s">
        <v>495</v>
      </c>
      <c r="R34" t="s">
        <v>10</v>
      </c>
      <c r="S34" t="s">
        <v>20</v>
      </c>
      <c r="T34" t="s">
        <v>448</v>
      </c>
      <c r="U34" t="s">
        <v>449</v>
      </c>
      <c r="V34" t="s">
        <v>150</v>
      </c>
      <c r="X34" t="s">
        <v>494</v>
      </c>
      <c r="Y34" t="s">
        <v>371</v>
      </c>
      <c r="Z34" t="s">
        <v>649</v>
      </c>
      <c r="AA34">
        <v>0.96488803122020605</v>
      </c>
      <c r="AB34">
        <v>643.71942762955541</v>
      </c>
      <c r="AD34" t="s">
        <v>445</v>
      </c>
      <c r="AE34" t="s">
        <v>756</v>
      </c>
      <c r="AF34" t="s">
        <v>757</v>
      </c>
      <c r="AG34" t="s">
        <v>10</v>
      </c>
      <c r="AH34" t="s">
        <v>20</v>
      </c>
      <c r="AI34" t="s">
        <v>449</v>
      </c>
      <c r="AJ34" t="s">
        <v>150</v>
      </c>
      <c r="AL34" t="s">
        <v>756</v>
      </c>
      <c r="AM34" t="s">
        <v>936</v>
      </c>
      <c r="AN34" t="s">
        <v>937</v>
      </c>
      <c r="AO34">
        <v>0.99484431329617862</v>
      </c>
      <c r="AP34">
        <v>94.520922903391252</v>
      </c>
      <c r="AR34" t="s">
        <v>445</v>
      </c>
      <c r="AS34" t="s">
        <v>1085</v>
      </c>
      <c r="AT34" t="s">
        <v>1086</v>
      </c>
      <c r="AU34" t="s">
        <v>10</v>
      </c>
      <c r="AV34" t="s">
        <v>20</v>
      </c>
      <c r="AW34" t="s">
        <v>449</v>
      </c>
      <c r="AX34" t="s">
        <v>150</v>
      </c>
      <c r="AZ34" t="s">
        <v>1085</v>
      </c>
      <c r="BA34" t="s">
        <v>1174</v>
      </c>
      <c r="BB34" t="s">
        <v>1175</v>
      </c>
      <c r="BC34">
        <v>0.97396073370136893</v>
      </c>
      <c r="BD34">
        <v>1061.8450610716552</v>
      </c>
    </row>
    <row r="35" spans="2:56">
      <c r="B35" t="s">
        <v>146</v>
      </c>
      <c r="C35" t="s">
        <v>197</v>
      </c>
      <c r="D35" t="s">
        <v>198</v>
      </c>
      <c r="E35" t="s">
        <v>10</v>
      </c>
      <c r="F35" t="s">
        <v>20</v>
      </c>
      <c r="G35" t="s">
        <v>149</v>
      </c>
      <c r="H35" t="s">
        <v>150</v>
      </c>
      <c r="J35" t="s">
        <v>197</v>
      </c>
      <c r="K35" t="s">
        <v>371</v>
      </c>
      <c r="L35">
        <v>0.25731116427317402</v>
      </c>
      <c r="M35">
        <v>0.17464835115408289</v>
      </c>
      <c r="O35" t="s">
        <v>445</v>
      </c>
      <c r="P35" t="s">
        <v>496</v>
      </c>
      <c r="Q35" t="s">
        <v>497</v>
      </c>
      <c r="R35" t="s">
        <v>10</v>
      </c>
      <c r="S35" t="s">
        <v>20</v>
      </c>
      <c r="T35" t="s">
        <v>448</v>
      </c>
      <c r="U35" t="s">
        <v>449</v>
      </c>
      <c r="V35" t="s">
        <v>150</v>
      </c>
      <c r="X35" t="s">
        <v>496</v>
      </c>
      <c r="Y35" t="s">
        <v>436</v>
      </c>
      <c r="Z35" t="s">
        <v>662</v>
      </c>
      <c r="AA35">
        <v>0.99588620223113744</v>
      </c>
      <c r="AB35">
        <v>75.419625762480621</v>
      </c>
      <c r="AD35" t="s">
        <v>445</v>
      </c>
      <c r="AE35" t="s">
        <v>758</v>
      </c>
      <c r="AF35" t="s">
        <v>759</v>
      </c>
      <c r="AG35" t="s">
        <v>10</v>
      </c>
      <c r="AH35" t="s">
        <v>20</v>
      </c>
      <c r="AI35" t="s">
        <v>449</v>
      </c>
      <c r="AJ35" t="s">
        <v>150</v>
      </c>
      <c r="AL35" t="s">
        <v>758</v>
      </c>
      <c r="AM35" t="s">
        <v>938</v>
      </c>
      <c r="AN35" t="s">
        <v>649</v>
      </c>
      <c r="AO35">
        <v>0.97273741219297172</v>
      </c>
      <c r="AP35">
        <v>499.8141097955185</v>
      </c>
      <c r="AR35" t="s">
        <v>445</v>
      </c>
      <c r="AS35" t="s">
        <v>1087</v>
      </c>
      <c r="AT35" t="s">
        <v>1088</v>
      </c>
      <c r="AU35" t="s">
        <v>10</v>
      </c>
      <c r="AV35" t="s">
        <v>20</v>
      </c>
      <c r="AW35" t="s">
        <v>449</v>
      </c>
      <c r="AX35" t="s">
        <v>150</v>
      </c>
      <c r="AZ35" t="s">
        <v>1087</v>
      </c>
      <c r="BA35" t="s">
        <v>1176</v>
      </c>
      <c r="BB35" t="s">
        <v>972</v>
      </c>
      <c r="BC35">
        <v>0.97654176188453468</v>
      </c>
      <c r="BD35">
        <v>1030.3995343734193</v>
      </c>
    </row>
    <row r="36" spans="2:56">
      <c r="B36" t="s">
        <v>146</v>
      </c>
      <c r="C36" t="s">
        <v>199</v>
      </c>
      <c r="D36" t="s">
        <v>200</v>
      </c>
      <c r="E36" t="s">
        <v>10</v>
      </c>
      <c r="F36" t="s">
        <v>20</v>
      </c>
      <c r="G36" t="s">
        <v>149</v>
      </c>
      <c r="H36" t="s">
        <v>150</v>
      </c>
      <c r="J36" t="s">
        <v>199</v>
      </c>
      <c r="K36" t="s">
        <v>372</v>
      </c>
      <c r="L36">
        <v>12.499283397828936</v>
      </c>
      <c r="M36">
        <v>0.2026446525273683</v>
      </c>
      <c r="O36" t="s">
        <v>445</v>
      </c>
      <c r="P36" t="s">
        <v>498</v>
      </c>
      <c r="Q36" t="s">
        <v>499</v>
      </c>
      <c r="R36" t="s">
        <v>10</v>
      </c>
      <c r="S36" t="s">
        <v>20</v>
      </c>
      <c r="T36" t="s">
        <v>448</v>
      </c>
      <c r="U36" t="s">
        <v>449</v>
      </c>
      <c r="V36" t="s">
        <v>150</v>
      </c>
      <c r="X36" t="s">
        <v>498</v>
      </c>
      <c r="Y36" t="s">
        <v>420</v>
      </c>
      <c r="Z36" t="s">
        <v>663</v>
      </c>
      <c r="AA36">
        <v>0.97971956708030139</v>
      </c>
      <c r="AB36">
        <v>371.80793686114123</v>
      </c>
      <c r="AD36" t="s">
        <v>445</v>
      </c>
      <c r="AE36" t="s">
        <v>760</v>
      </c>
      <c r="AF36" t="s">
        <v>761</v>
      </c>
      <c r="AG36" t="s">
        <v>10</v>
      </c>
      <c r="AH36" t="s">
        <v>20</v>
      </c>
      <c r="AI36" t="s">
        <v>449</v>
      </c>
      <c r="AJ36" t="s">
        <v>150</v>
      </c>
      <c r="AL36" t="s">
        <v>760</v>
      </c>
      <c r="AM36" t="s">
        <v>939</v>
      </c>
      <c r="AN36" t="s">
        <v>940</v>
      </c>
      <c r="AO36">
        <v>0.97984247759827614</v>
      </c>
      <c r="AP36">
        <v>369.55457736493832</v>
      </c>
      <c r="AR36" t="s">
        <v>445</v>
      </c>
      <c r="AS36" t="s">
        <v>1089</v>
      </c>
      <c r="AT36" t="s">
        <v>1090</v>
      </c>
      <c r="AU36" t="s">
        <v>10</v>
      </c>
      <c r="AV36" t="s">
        <v>20</v>
      </c>
      <c r="AW36" t="s">
        <v>449</v>
      </c>
      <c r="AX36" t="s">
        <v>150</v>
      </c>
      <c r="AZ36" t="s">
        <v>1089</v>
      </c>
      <c r="BA36" t="s">
        <v>1177</v>
      </c>
      <c r="BB36" t="s">
        <v>1178</v>
      </c>
      <c r="BC36">
        <v>0.99180629119732955</v>
      </c>
      <c r="BD36">
        <v>773.32738534281725</v>
      </c>
    </row>
    <row r="37" spans="2:56">
      <c r="B37" t="s">
        <v>146</v>
      </c>
      <c r="C37" t="s">
        <v>201</v>
      </c>
      <c r="D37" t="s">
        <v>202</v>
      </c>
      <c r="E37" t="s">
        <v>10</v>
      </c>
      <c r="F37" t="s">
        <v>20</v>
      </c>
      <c r="G37" t="s">
        <v>149</v>
      </c>
      <c r="H37" t="s">
        <v>150</v>
      </c>
      <c r="J37" t="s">
        <v>201</v>
      </c>
      <c r="K37" t="s">
        <v>373</v>
      </c>
      <c r="L37">
        <v>17.716684180330407</v>
      </c>
      <c r="M37">
        <v>0.19093845711778989</v>
      </c>
      <c r="O37" t="s">
        <v>445</v>
      </c>
      <c r="P37" t="s">
        <v>500</v>
      </c>
      <c r="Q37" t="s">
        <v>501</v>
      </c>
      <c r="R37" t="s">
        <v>10</v>
      </c>
      <c r="S37" t="s">
        <v>20</v>
      </c>
      <c r="T37" t="s">
        <v>448</v>
      </c>
      <c r="U37" t="s">
        <v>449</v>
      </c>
      <c r="V37" t="s">
        <v>150</v>
      </c>
      <c r="X37" t="s">
        <v>500</v>
      </c>
      <c r="Y37" t="s">
        <v>398</v>
      </c>
      <c r="Z37" t="s">
        <v>664</v>
      </c>
      <c r="AA37">
        <v>0.98980411719589489</v>
      </c>
      <c r="AB37">
        <v>186.92451807526095</v>
      </c>
      <c r="AD37" t="s">
        <v>445</v>
      </c>
      <c r="AE37" t="s">
        <v>762</v>
      </c>
      <c r="AF37" t="s">
        <v>763</v>
      </c>
      <c r="AG37" t="s">
        <v>10</v>
      </c>
      <c r="AH37" t="s">
        <v>20</v>
      </c>
      <c r="AI37" t="s">
        <v>449</v>
      </c>
      <c r="AJ37" t="s">
        <v>150</v>
      </c>
      <c r="AL37" t="s">
        <v>762</v>
      </c>
      <c r="AM37" t="s">
        <v>941</v>
      </c>
      <c r="AN37" t="s">
        <v>659</v>
      </c>
      <c r="AO37">
        <v>0.99109308381957362</v>
      </c>
      <c r="AP37">
        <v>163.29346330781715</v>
      </c>
      <c r="AR37" t="s">
        <v>445</v>
      </c>
      <c r="AS37" t="s">
        <v>1091</v>
      </c>
      <c r="AT37" t="s">
        <v>1092</v>
      </c>
      <c r="AU37" t="s">
        <v>10</v>
      </c>
      <c r="AV37" t="s">
        <v>20</v>
      </c>
      <c r="AW37" t="s">
        <v>449</v>
      </c>
      <c r="AX37" t="s">
        <v>150</v>
      </c>
      <c r="AZ37" t="s">
        <v>1091</v>
      </c>
      <c r="BA37" t="s">
        <v>1179</v>
      </c>
      <c r="BB37" t="s">
        <v>1180</v>
      </c>
      <c r="BC37">
        <v>0.9784511409772424</v>
      </c>
      <c r="BD37">
        <v>1007.136932427263</v>
      </c>
    </row>
    <row r="38" spans="2:56">
      <c r="B38" t="s">
        <v>146</v>
      </c>
      <c r="C38" t="s">
        <v>203</v>
      </c>
      <c r="D38" t="s">
        <v>204</v>
      </c>
      <c r="E38" t="s">
        <v>10</v>
      </c>
      <c r="F38" t="s">
        <v>20</v>
      </c>
      <c r="G38" t="s">
        <v>149</v>
      </c>
      <c r="H38" t="s">
        <v>150</v>
      </c>
      <c r="J38" t="s">
        <v>203</v>
      </c>
      <c r="K38" t="s">
        <v>374</v>
      </c>
      <c r="L38">
        <v>109.50947552878132</v>
      </c>
      <c r="M38">
        <v>0.20802934154887401</v>
      </c>
      <c r="O38" t="s">
        <v>445</v>
      </c>
      <c r="P38" t="s">
        <v>502</v>
      </c>
      <c r="Q38" t="s">
        <v>503</v>
      </c>
      <c r="R38" t="s">
        <v>10</v>
      </c>
      <c r="S38" t="s">
        <v>20</v>
      </c>
      <c r="T38" t="s">
        <v>448</v>
      </c>
      <c r="U38" t="s">
        <v>449</v>
      </c>
      <c r="V38" t="s">
        <v>150</v>
      </c>
      <c r="X38" t="s">
        <v>502</v>
      </c>
      <c r="Y38" t="s">
        <v>387</v>
      </c>
      <c r="Z38" t="s">
        <v>648</v>
      </c>
      <c r="AA38">
        <v>0.95872760140098945</v>
      </c>
      <c r="AB38">
        <v>756.66064098185961</v>
      </c>
      <c r="AD38" t="s">
        <v>445</v>
      </c>
      <c r="AE38" t="s">
        <v>764</v>
      </c>
      <c r="AF38" t="s">
        <v>765</v>
      </c>
      <c r="AG38" t="s">
        <v>10</v>
      </c>
      <c r="AH38" t="s">
        <v>20</v>
      </c>
      <c r="AI38" t="s">
        <v>449</v>
      </c>
      <c r="AJ38" t="s">
        <v>150</v>
      </c>
      <c r="AL38" t="s">
        <v>764</v>
      </c>
      <c r="AM38" t="s">
        <v>942</v>
      </c>
      <c r="AN38" t="s">
        <v>696</v>
      </c>
      <c r="AO38">
        <v>0.98256179218990303</v>
      </c>
      <c r="AP38">
        <v>319.70047651844521</v>
      </c>
      <c r="AR38" t="s">
        <v>445</v>
      </c>
      <c r="AS38" t="s">
        <v>1093</v>
      </c>
      <c r="AT38" t="s">
        <v>1094</v>
      </c>
      <c r="AU38" t="s">
        <v>10</v>
      </c>
      <c r="AV38" t="s">
        <v>20</v>
      </c>
      <c r="AW38" t="s">
        <v>449</v>
      </c>
      <c r="AX38" t="s">
        <v>150</v>
      </c>
      <c r="AZ38" t="s">
        <v>1093</v>
      </c>
      <c r="BA38" t="s">
        <v>1181</v>
      </c>
      <c r="BB38" t="s">
        <v>1182</v>
      </c>
      <c r="BC38">
        <v>0.9955677970684097</v>
      </c>
      <c r="BD38">
        <v>534.59714605826571</v>
      </c>
    </row>
    <row r="39" spans="2:56">
      <c r="B39" t="s">
        <v>146</v>
      </c>
      <c r="C39" t="s">
        <v>205</v>
      </c>
      <c r="D39" t="s">
        <v>206</v>
      </c>
      <c r="E39" t="s">
        <v>10</v>
      </c>
      <c r="F39" t="s">
        <v>20</v>
      </c>
      <c r="G39" t="s">
        <v>149</v>
      </c>
      <c r="H39" t="s">
        <v>150</v>
      </c>
      <c r="J39" t="s">
        <v>205</v>
      </c>
      <c r="K39" t="s">
        <v>375</v>
      </c>
      <c r="L39">
        <v>97.210933230949223</v>
      </c>
      <c r="M39">
        <v>0.20763471223472121</v>
      </c>
      <c r="O39" t="s">
        <v>445</v>
      </c>
      <c r="P39" t="s">
        <v>504</v>
      </c>
      <c r="Q39" t="s">
        <v>505</v>
      </c>
      <c r="R39" t="s">
        <v>10</v>
      </c>
      <c r="S39" t="s">
        <v>20</v>
      </c>
      <c r="T39" t="s">
        <v>448</v>
      </c>
      <c r="U39" t="s">
        <v>449</v>
      </c>
      <c r="V39" t="s">
        <v>150</v>
      </c>
      <c r="X39" t="s">
        <v>504</v>
      </c>
      <c r="Y39" t="s">
        <v>379</v>
      </c>
      <c r="Z39" t="s">
        <v>665</v>
      </c>
      <c r="AA39">
        <v>0.93423394789967462</v>
      </c>
      <c r="AB39">
        <v>1205.7109551726326</v>
      </c>
      <c r="AD39" t="s">
        <v>445</v>
      </c>
      <c r="AE39" t="s">
        <v>766</v>
      </c>
      <c r="AF39" t="s">
        <v>767</v>
      </c>
      <c r="AG39" t="s">
        <v>10</v>
      </c>
      <c r="AH39" t="s">
        <v>20</v>
      </c>
      <c r="AI39" t="s">
        <v>449</v>
      </c>
      <c r="AJ39" t="s">
        <v>150</v>
      </c>
      <c r="AL39" t="s">
        <v>766</v>
      </c>
      <c r="AM39" t="s">
        <v>943</v>
      </c>
      <c r="AN39" t="s">
        <v>648</v>
      </c>
      <c r="AO39">
        <v>0.97344873028830825</v>
      </c>
      <c r="AP39">
        <v>486.77327804768265</v>
      </c>
      <c r="AR39" t="s">
        <v>445</v>
      </c>
      <c r="AS39" t="s">
        <v>1095</v>
      </c>
      <c r="AT39" t="s">
        <v>1096</v>
      </c>
      <c r="AU39" t="s">
        <v>10</v>
      </c>
      <c r="AV39" t="s">
        <v>20</v>
      </c>
      <c r="AW39" t="s">
        <v>449</v>
      </c>
      <c r="AX39" t="s">
        <v>150</v>
      </c>
      <c r="AZ39" t="s">
        <v>1095</v>
      </c>
      <c r="BA39" t="s">
        <v>1183</v>
      </c>
      <c r="BB39" t="s">
        <v>649</v>
      </c>
      <c r="BC39">
        <v>0.96412973603590302</v>
      </c>
      <c r="BD39">
        <v>1181.6193826292476</v>
      </c>
    </row>
    <row r="40" spans="2:56">
      <c r="B40" t="s">
        <v>146</v>
      </c>
      <c r="C40" t="s">
        <v>207</v>
      </c>
      <c r="D40" t="s">
        <v>208</v>
      </c>
      <c r="E40" t="s">
        <v>10</v>
      </c>
      <c r="F40" t="s">
        <v>20</v>
      </c>
      <c r="G40" t="s">
        <v>149</v>
      </c>
      <c r="H40" t="s">
        <v>150</v>
      </c>
      <c r="J40" t="s">
        <v>207</v>
      </c>
      <c r="K40" t="s">
        <v>376</v>
      </c>
      <c r="L40">
        <v>143.83457601620506</v>
      </c>
      <c r="M40">
        <v>0.21011567242227719</v>
      </c>
      <c r="O40" t="s">
        <v>445</v>
      </c>
      <c r="P40" t="s">
        <v>506</v>
      </c>
      <c r="Q40" t="s">
        <v>507</v>
      </c>
      <c r="R40" t="s">
        <v>10</v>
      </c>
      <c r="S40" t="s">
        <v>20</v>
      </c>
      <c r="T40" t="s">
        <v>448</v>
      </c>
      <c r="U40" t="s">
        <v>449</v>
      </c>
      <c r="V40" t="s">
        <v>150</v>
      </c>
      <c r="X40" t="s">
        <v>506</v>
      </c>
      <c r="Y40" t="s">
        <v>349</v>
      </c>
      <c r="Z40" t="s">
        <v>658</v>
      </c>
      <c r="AA40">
        <v>0.97861539621410798</v>
      </c>
      <c r="AB40">
        <v>392.05106940802045</v>
      </c>
      <c r="AD40" t="s">
        <v>445</v>
      </c>
      <c r="AE40" t="s">
        <v>768</v>
      </c>
      <c r="AF40" t="s">
        <v>769</v>
      </c>
      <c r="AG40" t="s">
        <v>10</v>
      </c>
      <c r="AH40" t="s">
        <v>20</v>
      </c>
      <c r="AI40" t="s">
        <v>449</v>
      </c>
      <c r="AJ40" t="s">
        <v>150</v>
      </c>
      <c r="AL40" t="s">
        <v>768</v>
      </c>
      <c r="AM40" t="s">
        <v>944</v>
      </c>
      <c r="AN40" t="s">
        <v>945</v>
      </c>
      <c r="AO40">
        <v>0.94726945791757955</v>
      </c>
      <c r="AP40">
        <v>966.72660484437438</v>
      </c>
      <c r="AR40" t="s">
        <v>445</v>
      </c>
      <c r="AS40" t="s">
        <v>1097</v>
      </c>
      <c r="AT40" t="s">
        <v>1098</v>
      </c>
      <c r="AU40" t="s">
        <v>10</v>
      </c>
      <c r="AV40" t="s">
        <v>20</v>
      </c>
      <c r="AW40" t="s">
        <v>449</v>
      </c>
      <c r="AX40" t="s">
        <v>150</v>
      </c>
      <c r="AZ40" t="s">
        <v>1097</v>
      </c>
      <c r="BA40" t="s">
        <v>1184</v>
      </c>
      <c r="BB40" t="s">
        <v>1185</v>
      </c>
      <c r="BC40">
        <v>0.99566455794863251</v>
      </c>
      <c r="BD40">
        <v>528.4560555267874</v>
      </c>
    </row>
    <row r="41" spans="2:56">
      <c r="B41" t="s">
        <v>146</v>
      </c>
      <c r="C41" t="s">
        <v>209</v>
      </c>
      <c r="D41" t="s">
        <v>210</v>
      </c>
      <c r="E41" t="s">
        <v>10</v>
      </c>
      <c r="F41" t="s">
        <v>20</v>
      </c>
      <c r="G41" t="s">
        <v>149</v>
      </c>
      <c r="H41" t="s">
        <v>150</v>
      </c>
      <c r="J41" t="s">
        <v>209</v>
      </c>
      <c r="K41" t="s">
        <v>377</v>
      </c>
      <c r="L41">
        <v>96.49792127444951</v>
      </c>
      <c r="M41">
        <v>0.20444752849952891</v>
      </c>
      <c r="O41" t="s">
        <v>445</v>
      </c>
      <c r="P41" t="s">
        <v>508</v>
      </c>
      <c r="Q41" t="s">
        <v>509</v>
      </c>
      <c r="R41" t="s">
        <v>10</v>
      </c>
      <c r="S41" t="s">
        <v>20</v>
      </c>
      <c r="T41" t="s">
        <v>448</v>
      </c>
      <c r="U41" t="s">
        <v>449</v>
      </c>
      <c r="V41" t="s">
        <v>150</v>
      </c>
      <c r="X41" t="s">
        <v>508</v>
      </c>
      <c r="Y41" t="s">
        <v>363</v>
      </c>
      <c r="Z41" t="s">
        <v>649</v>
      </c>
      <c r="AA41">
        <v>0.97896212777707714</v>
      </c>
      <c r="AB41">
        <v>385.69432408691944</v>
      </c>
      <c r="AD41" t="s">
        <v>445</v>
      </c>
      <c r="AE41" t="s">
        <v>770</v>
      </c>
      <c r="AF41" t="s">
        <v>771</v>
      </c>
      <c r="AG41" t="s">
        <v>10</v>
      </c>
      <c r="AH41" t="s">
        <v>20</v>
      </c>
      <c r="AI41" t="s">
        <v>449</v>
      </c>
      <c r="AJ41" t="s">
        <v>150</v>
      </c>
      <c r="AL41" t="s">
        <v>770</v>
      </c>
      <c r="AM41" t="s">
        <v>946</v>
      </c>
      <c r="AN41" t="s">
        <v>947</v>
      </c>
      <c r="AO41">
        <v>0.99721814870334879</v>
      </c>
      <c r="AP41">
        <v>51.000607105273012</v>
      </c>
      <c r="AR41" t="s">
        <v>445</v>
      </c>
      <c r="AS41" t="s">
        <v>1099</v>
      </c>
      <c r="AT41" t="s">
        <v>1100</v>
      </c>
      <c r="AU41" t="s">
        <v>10</v>
      </c>
      <c r="AV41" t="s">
        <v>20</v>
      </c>
      <c r="AW41" t="s">
        <v>449</v>
      </c>
      <c r="AX41" t="s">
        <v>150</v>
      </c>
      <c r="AZ41" t="s">
        <v>1099</v>
      </c>
      <c r="BA41" t="s">
        <v>1186</v>
      </c>
      <c r="BB41" t="s">
        <v>649</v>
      </c>
      <c r="BC41">
        <v>0.9524344319526965</v>
      </c>
      <c r="BD41">
        <v>1324.1071707096473</v>
      </c>
    </row>
    <row r="42" spans="2:56">
      <c r="B42" t="s">
        <v>146</v>
      </c>
      <c r="C42" t="s">
        <v>211</v>
      </c>
      <c r="D42" t="s">
        <v>212</v>
      </c>
      <c r="E42" t="s">
        <v>10</v>
      </c>
      <c r="F42" t="s">
        <v>20</v>
      </c>
      <c r="G42" t="s">
        <v>149</v>
      </c>
      <c r="H42" t="s">
        <v>150</v>
      </c>
      <c r="J42" t="s">
        <v>211</v>
      </c>
      <c r="K42" t="s">
        <v>378</v>
      </c>
      <c r="L42">
        <v>85.962305592507619</v>
      </c>
      <c r="M42">
        <v>0.20620723872226579</v>
      </c>
      <c r="O42" t="s">
        <v>445</v>
      </c>
      <c r="P42" t="s">
        <v>510</v>
      </c>
      <c r="Q42" t="s">
        <v>511</v>
      </c>
      <c r="R42" t="s">
        <v>10</v>
      </c>
      <c r="S42" t="s">
        <v>20</v>
      </c>
      <c r="T42" t="s">
        <v>448</v>
      </c>
      <c r="U42" t="s">
        <v>449</v>
      </c>
      <c r="V42" t="s">
        <v>150</v>
      </c>
      <c r="X42" t="s">
        <v>510</v>
      </c>
      <c r="Y42" t="s">
        <v>409</v>
      </c>
      <c r="Z42" t="s">
        <v>666</v>
      </c>
      <c r="AA42">
        <v>0.99805781879500122</v>
      </c>
      <c r="AB42">
        <v>35.60665542497717</v>
      </c>
      <c r="AD42" t="s">
        <v>445</v>
      </c>
      <c r="AE42" t="s">
        <v>772</v>
      </c>
      <c r="AF42" t="s">
        <v>773</v>
      </c>
      <c r="AG42" t="s">
        <v>10</v>
      </c>
      <c r="AH42" t="s">
        <v>20</v>
      </c>
      <c r="AI42" t="s">
        <v>449</v>
      </c>
      <c r="AJ42" t="s">
        <v>150</v>
      </c>
      <c r="AL42" t="s">
        <v>772</v>
      </c>
      <c r="AM42" t="s">
        <v>948</v>
      </c>
      <c r="AN42" t="s">
        <v>662</v>
      </c>
      <c r="AO42">
        <v>0.9965750017909164</v>
      </c>
      <c r="AP42">
        <v>62.791633833199988</v>
      </c>
      <c r="AR42" t="s">
        <v>445</v>
      </c>
      <c r="AS42" t="s">
        <v>1101</v>
      </c>
      <c r="AT42" t="s">
        <v>1102</v>
      </c>
      <c r="AU42" t="s">
        <v>10</v>
      </c>
      <c r="AV42" t="s">
        <v>20</v>
      </c>
      <c r="AW42" t="s">
        <v>449</v>
      </c>
      <c r="AX42" t="s">
        <v>150</v>
      </c>
      <c r="AZ42" t="s">
        <v>1101</v>
      </c>
      <c r="BA42" t="s">
        <v>1187</v>
      </c>
      <c r="BB42" t="s">
        <v>1188</v>
      </c>
      <c r="BC42">
        <v>0.98797961821726321</v>
      </c>
      <c r="BD42">
        <v>891.04831805300933</v>
      </c>
    </row>
    <row r="43" spans="2:56">
      <c r="B43" t="s">
        <v>146</v>
      </c>
      <c r="C43" t="s">
        <v>213</v>
      </c>
      <c r="D43" t="s">
        <v>214</v>
      </c>
      <c r="E43" t="s">
        <v>10</v>
      </c>
      <c r="F43" t="s">
        <v>20</v>
      </c>
      <c r="G43" t="s">
        <v>149</v>
      </c>
      <c r="H43" t="s">
        <v>150</v>
      </c>
      <c r="J43" t="s">
        <v>213</v>
      </c>
      <c r="K43" t="s">
        <v>379</v>
      </c>
      <c r="L43">
        <v>6.9441689475072312</v>
      </c>
      <c r="M43">
        <v>0.1944973235505596</v>
      </c>
      <c r="O43" t="s">
        <v>445</v>
      </c>
      <c r="P43" t="s">
        <v>512</v>
      </c>
      <c r="Q43" t="s">
        <v>513</v>
      </c>
      <c r="R43" t="s">
        <v>10</v>
      </c>
      <c r="S43" t="s">
        <v>20</v>
      </c>
      <c r="T43" t="s">
        <v>448</v>
      </c>
      <c r="U43" t="s">
        <v>449</v>
      </c>
      <c r="V43" t="s">
        <v>150</v>
      </c>
      <c r="X43" t="s">
        <v>512</v>
      </c>
      <c r="Y43" t="s">
        <v>407</v>
      </c>
      <c r="Z43" t="s">
        <v>667</v>
      </c>
      <c r="AA43">
        <v>0.99892391441583261</v>
      </c>
      <c r="AB43">
        <v>19.728235709736104</v>
      </c>
      <c r="AD43" t="s">
        <v>445</v>
      </c>
      <c r="AE43" t="s">
        <v>774</v>
      </c>
      <c r="AF43" t="s">
        <v>775</v>
      </c>
      <c r="AG43" t="s">
        <v>10</v>
      </c>
      <c r="AH43" t="s">
        <v>20</v>
      </c>
      <c r="AI43" t="s">
        <v>449</v>
      </c>
      <c r="AJ43" t="s">
        <v>150</v>
      </c>
      <c r="AL43" t="s">
        <v>774</v>
      </c>
      <c r="AM43" t="s">
        <v>949</v>
      </c>
      <c r="AN43" t="s">
        <v>660</v>
      </c>
      <c r="AO43">
        <v>0.98900028996553313</v>
      </c>
      <c r="AP43">
        <v>201.66135063189321</v>
      </c>
      <c r="AR43" t="s">
        <v>445</v>
      </c>
      <c r="AS43" t="s">
        <v>1103</v>
      </c>
      <c r="AT43" t="s">
        <v>1104</v>
      </c>
      <c r="AU43" t="s">
        <v>10</v>
      </c>
      <c r="AV43" t="s">
        <v>20</v>
      </c>
      <c r="AW43" t="s">
        <v>449</v>
      </c>
      <c r="AX43" t="s">
        <v>150</v>
      </c>
      <c r="AZ43" t="s">
        <v>1103</v>
      </c>
      <c r="BA43" t="s">
        <v>1189</v>
      </c>
      <c r="BB43" t="s">
        <v>972</v>
      </c>
      <c r="BC43">
        <v>0.99059368543056114</v>
      </c>
      <c r="BD43">
        <v>850.28743134038859</v>
      </c>
    </row>
    <row r="44" spans="2:56">
      <c r="B44" t="s">
        <v>146</v>
      </c>
      <c r="C44" t="s">
        <v>215</v>
      </c>
      <c r="D44" t="s">
        <v>216</v>
      </c>
      <c r="E44" t="s">
        <v>10</v>
      </c>
      <c r="F44" t="s">
        <v>20</v>
      </c>
      <c r="G44" t="s">
        <v>149</v>
      </c>
      <c r="H44" t="s">
        <v>150</v>
      </c>
      <c r="J44" t="s">
        <v>215</v>
      </c>
      <c r="K44" t="s">
        <v>380</v>
      </c>
      <c r="L44">
        <v>77.119978943832393</v>
      </c>
      <c r="M44">
        <v>0.19833067394250101</v>
      </c>
      <c r="O44" t="s">
        <v>445</v>
      </c>
      <c r="P44" t="s">
        <v>514</v>
      </c>
      <c r="Q44" t="s">
        <v>515</v>
      </c>
      <c r="R44" t="s">
        <v>10</v>
      </c>
      <c r="S44" t="s">
        <v>20</v>
      </c>
      <c r="T44" t="s">
        <v>448</v>
      </c>
      <c r="U44" t="s">
        <v>449</v>
      </c>
      <c r="V44" t="s">
        <v>150</v>
      </c>
      <c r="X44" t="s">
        <v>514</v>
      </c>
      <c r="Y44" t="s">
        <v>401</v>
      </c>
      <c r="Z44" t="s">
        <v>668</v>
      </c>
      <c r="AA44">
        <v>0.99646875354725362</v>
      </c>
      <c r="AB44">
        <v>64.739518300349658</v>
      </c>
      <c r="AD44" t="s">
        <v>445</v>
      </c>
      <c r="AE44" t="s">
        <v>776</v>
      </c>
      <c r="AF44" t="s">
        <v>777</v>
      </c>
      <c r="AG44" t="s">
        <v>10</v>
      </c>
      <c r="AH44" t="s">
        <v>20</v>
      </c>
      <c r="AI44" t="s">
        <v>449</v>
      </c>
      <c r="AJ44" t="s">
        <v>150</v>
      </c>
      <c r="AL44" t="s">
        <v>776</v>
      </c>
      <c r="AM44" t="s">
        <v>950</v>
      </c>
      <c r="AN44" t="s">
        <v>664</v>
      </c>
      <c r="AO44">
        <v>0.98539636691491217</v>
      </c>
      <c r="AP44">
        <v>267.73327322661089</v>
      </c>
      <c r="AR44" t="s">
        <v>445</v>
      </c>
      <c r="AS44" t="s">
        <v>1105</v>
      </c>
      <c r="AT44" t="s">
        <v>1106</v>
      </c>
      <c r="AU44" t="s">
        <v>10</v>
      </c>
      <c r="AV44" t="s">
        <v>20</v>
      </c>
      <c r="AW44" t="s">
        <v>449</v>
      </c>
      <c r="AX44" t="s">
        <v>150</v>
      </c>
      <c r="AZ44" t="s">
        <v>1105</v>
      </c>
      <c r="BA44" t="s">
        <v>1190</v>
      </c>
      <c r="BB44" t="s">
        <v>972</v>
      </c>
      <c r="BC44">
        <v>0.97057573829724286</v>
      </c>
      <c r="BD44">
        <v>1103.0855884119239</v>
      </c>
    </row>
    <row r="45" spans="2:56">
      <c r="B45" t="s">
        <v>146</v>
      </c>
      <c r="C45" t="s">
        <v>217</v>
      </c>
      <c r="D45" t="s">
        <v>218</v>
      </c>
      <c r="E45" t="s">
        <v>10</v>
      </c>
      <c r="F45" t="s">
        <v>20</v>
      </c>
      <c r="G45" t="s">
        <v>149</v>
      </c>
      <c r="H45" t="s">
        <v>150</v>
      </c>
      <c r="J45" t="s">
        <v>217</v>
      </c>
      <c r="K45" t="s">
        <v>381</v>
      </c>
      <c r="L45">
        <v>59.54305289904805</v>
      </c>
      <c r="M45">
        <v>0.19817737598691279</v>
      </c>
      <c r="O45" t="s">
        <v>445</v>
      </c>
      <c r="P45" t="s">
        <v>516</v>
      </c>
      <c r="Q45" t="s">
        <v>517</v>
      </c>
      <c r="R45" t="s">
        <v>10</v>
      </c>
      <c r="S45" t="s">
        <v>20</v>
      </c>
      <c r="T45" t="s">
        <v>448</v>
      </c>
      <c r="U45" t="s">
        <v>449</v>
      </c>
      <c r="V45" t="s">
        <v>150</v>
      </c>
      <c r="X45" t="s">
        <v>516</v>
      </c>
      <c r="Y45" t="s">
        <v>399</v>
      </c>
      <c r="Z45" t="s">
        <v>669</v>
      </c>
      <c r="AA45">
        <v>0.9922209073807341</v>
      </c>
      <c r="AB45">
        <v>142.61669801987438</v>
      </c>
      <c r="AD45" t="s">
        <v>445</v>
      </c>
      <c r="AE45" t="s">
        <v>778</v>
      </c>
      <c r="AF45" t="s">
        <v>779</v>
      </c>
      <c r="AG45" t="s">
        <v>10</v>
      </c>
      <c r="AH45" t="s">
        <v>20</v>
      </c>
      <c r="AI45" t="s">
        <v>449</v>
      </c>
      <c r="AJ45" t="s">
        <v>150</v>
      </c>
      <c r="AL45" t="s">
        <v>778</v>
      </c>
      <c r="AM45" t="s">
        <v>951</v>
      </c>
      <c r="AN45" t="s">
        <v>649</v>
      </c>
      <c r="AO45">
        <v>0.95721921641733843</v>
      </c>
      <c r="AP45">
        <v>784.31436568212814</v>
      </c>
      <c r="AR45" t="s">
        <v>445</v>
      </c>
      <c r="AS45" t="s">
        <v>1107</v>
      </c>
      <c r="AT45" t="s">
        <v>1108</v>
      </c>
      <c r="AU45" t="s">
        <v>10</v>
      </c>
      <c r="AV45" t="s">
        <v>20</v>
      </c>
      <c r="AW45" t="s">
        <v>449</v>
      </c>
      <c r="AX45" t="s">
        <v>150</v>
      </c>
      <c r="AZ45" t="s">
        <v>1107</v>
      </c>
      <c r="BA45" t="s">
        <v>1191</v>
      </c>
      <c r="BB45" t="s">
        <v>972</v>
      </c>
      <c r="BC45">
        <v>0.93603050407099908</v>
      </c>
      <c r="BD45">
        <v>1523.9616920683277</v>
      </c>
    </row>
    <row r="46" spans="2:56">
      <c r="B46" t="s">
        <v>146</v>
      </c>
      <c r="C46" t="s">
        <v>219</v>
      </c>
      <c r="D46" t="s">
        <v>220</v>
      </c>
      <c r="E46" t="s">
        <v>10</v>
      </c>
      <c r="F46" t="s">
        <v>20</v>
      </c>
      <c r="G46" t="s">
        <v>149</v>
      </c>
      <c r="H46" t="s">
        <v>150</v>
      </c>
      <c r="J46" t="s">
        <v>219</v>
      </c>
      <c r="K46" t="s">
        <v>382</v>
      </c>
      <c r="L46">
        <v>133.04151211317861</v>
      </c>
      <c r="M46">
        <v>0.1986496770563336</v>
      </c>
      <c r="O46" t="s">
        <v>445</v>
      </c>
      <c r="P46" t="s">
        <v>518</v>
      </c>
      <c r="Q46" t="s">
        <v>519</v>
      </c>
      <c r="R46" t="s">
        <v>10</v>
      </c>
      <c r="S46" t="s">
        <v>20</v>
      </c>
      <c r="T46" t="s">
        <v>448</v>
      </c>
      <c r="U46" t="s">
        <v>449</v>
      </c>
      <c r="V46" t="s">
        <v>150</v>
      </c>
      <c r="X46" t="s">
        <v>518</v>
      </c>
      <c r="Y46" t="s">
        <v>393</v>
      </c>
      <c r="Z46" t="s">
        <v>644</v>
      </c>
      <c r="AA46">
        <v>0.94904572806075094</v>
      </c>
      <c r="AB46">
        <v>934.16165221956703</v>
      </c>
      <c r="AD46" t="s">
        <v>445</v>
      </c>
      <c r="AE46" t="s">
        <v>780</v>
      </c>
      <c r="AF46" t="s">
        <v>781</v>
      </c>
      <c r="AG46" t="s">
        <v>10</v>
      </c>
      <c r="AH46" t="s">
        <v>20</v>
      </c>
      <c r="AI46" t="s">
        <v>449</v>
      </c>
      <c r="AJ46" t="s">
        <v>150</v>
      </c>
      <c r="AL46" t="s">
        <v>780</v>
      </c>
      <c r="AM46" t="s">
        <v>952</v>
      </c>
      <c r="AN46" t="s">
        <v>953</v>
      </c>
      <c r="AO46">
        <v>0.97128923400988465</v>
      </c>
      <c r="AP46">
        <v>526.36404315211564</v>
      </c>
      <c r="AR46" t="s">
        <v>445</v>
      </c>
      <c r="AS46" t="s">
        <v>1109</v>
      </c>
      <c r="AT46" t="s">
        <v>1110</v>
      </c>
      <c r="AU46" t="s">
        <v>10</v>
      </c>
      <c r="AV46" t="s">
        <v>20</v>
      </c>
      <c r="AW46" t="s">
        <v>449</v>
      </c>
      <c r="AX46" t="s">
        <v>150</v>
      </c>
      <c r="AZ46" t="s">
        <v>1109</v>
      </c>
      <c r="BA46" t="s">
        <v>1192</v>
      </c>
      <c r="BB46" t="s">
        <v>649</v>
      </c>
      <c r="BC46">
        <v>0.96501627240771926</v>
      </c>
      <c r="BD46">
        <v>1170.8184144992874</v>
      </c>
    </row>
    <row r="47" spans="2:56">
      <c r="B47" t="s">
        <v>146</v>
      </c>
      <c r="C47" t="s">
        <v>221</v>
      </c>
      <c r="D47" t="s">
        <v>222</v>
      </c>
      <c r="E47" t="s">
        <v>10</v>
      </c>
      <c r="F47" t="s">
        <v>20</v>
      </c>
      <c r="G47" t="s">
        <v>149</v>
      </c>
      <c r="H47" t="s">
        <v>150</v>
      </c>
      <c r="J47" t="s">
        <v>221</v>
      </c>
      <c r="K47" t="s">
        <v>383</v>
      </c>
      <c r="L47">
        <v>23.201050483911235</v>
      </c>
      <c r="M47">
        <v>0.1954259543845539</v>
      </c>
      <c r="O47" t="s">
        <v>445</v>
      </c>
      <c r="P47" t="s">
        <v>520</v>
      </c>
      <c r="Q47" t="s">
        <v>521</v>
      </c>
      <c r="R47" t="s">
        <v>10</v>
      </c>
      <c r="S47" t="s">
        <v>20</v>
      </c>
      <c r="T47" t="s">
        <v>448</v>
      </c>
      <c r="U47" t="s">
        <v>449</v>
      </c>
      <c r="V47" t="s">
        <v>150</v>
      </c>
      <c r="X47" t="s">
        <v>520</v>
      </c>
      <c r="Y47" t="s">
        <v>365</v>
      </c>
      <c r="Z47" t="s">
        <v>649</v>
      </c>
      <c r="AA47">
        <v>0.94779673241739959</v>
      </c>
      <c r="AB47">
        <v>957.05990568100776</v>
      </c>
      <c r="AD47" t="s">
        <v>445</v>
      </c>
      <c r="AE47" t="s">
        <v>782</v>
      </c>
      <c r="AF47" t="s">
        <v>783</v>
      </c>
      <c r="AG47" t="s">
        <v>10</v>
      </c>
      <c r="AH47" t="s">
        <v>20</v>
      </c>
      <c r="AI47" t="s">
        <v>449</v>
      </c>
      <c r="AJ47" t="s">
        <v>150</v>
      </c>
      <c r="AL47" t="s">
        <v>782</v>
      </c>
      <c r="AM47" t="s">
        <v>954</v>
      </c>
      <c r="AN47" t="s">
        <v>649</v>
      </c>
      <c r="AO47">
        <v>0.98140230930972394</v>
      </c>
      <c r="AP47">
        <v>340.95766265506029</v>
      </c>
      <c r="AR47" t="s">
        <v>445</v>
      </c>
      <c r="AS47" t="s">
        <v>1111</v>
      </c>
      <c r="AT47" t="s">
        <v>1112</v>
      </c>
      <c r="AU47" t="s">
        <v>10</v>
      </c>
      <c r="AV47" t="s">
        <v>20</v>
      </c>
      <c r="AW47" t="s">
        <v>449</v>
      </c>
      <c r="AX47" t="s">
        <v>150</v>
      </c>
      <c r="AZ47" t="s">
        <v>1111</v>
      </c>
      <c r="BA47" t="s">
        <v>1193</v>
      </c>
      <c r="BB47" t="s">
        <v>1013</v>
      </c>
      <c r="BC47">
        <v>0.99624960324149381</v>
      </c>
      <c r="BD47">
        <v>491.32518093986187</v>
      </c>
    </row>
    <row r="48" spans="2:56">
      <c r="B48" t="s">
        <v>146</v>
      </c>
      <c r="C48" t="s">
        <v>223</v>
      </c>
      <c r="D48" t="s">
        <v>224</v>
      </c>
      <c r="E48" t="s">
        <v>10</v>
      </c>
      <c r="F48" t="s">
        <v>20</v>
      </c>
      <c r="G48" t="s">
        <v>149</v>
      </c>
      <c r="H48" t="s">
        <v>150</v>
      </c>
      <c r="J48" t="s">
        <v>223</v>
      </c>
      <c r="K48" t="s">
        <v>384</v>
      </c>
      <c r="L48">
        <v>66.339240318712768</v>
      </c>
      <c r="M48">
        <v>0.20229701060432639</v>
      </c>
      <c r="O48" t="s">
        <v>445</v>
      </c>
      <c r="P48" t="s">
        <v>522</v>
      </c>
      <c r="Q48" t="s">
        <v>523</v>
      </c>
      <c r="R48" t="s">
        <v>10</v>
      </c>
      <c r="S48" t="s">
        <v>20</v>
      </c>
      <c r="T48" t="s">
        <v>448</v>
      </c>
      <c r="U48" t="s">
        <v>449</v>
      </c>
      <c r="V48" t="s">
        <v>150</v>
      </c>
      <c r="X48" t="s">
        <v>522</v>
      </c>
      <c r="Y48" t="s">
        <v>440</v>
      </c>
      <c r="Z48" t="s">
        <v>670</v>
      </c>
      <c r="AA48">
        <v>0.96846296248311359</v>
      </c>
      <c r="AB48">
        <v>578.17902114291837</v>
      </c>
      <c r="AD48" t="s">
        <v>445</v>
      </c>
      <c r="AE48" t="s">
        <v>784</v>
      </c>
      <c r="AF48" t="s">
        <v>785</v>
      </c>
      <c r="AG48" t="s">
        <v>10</v>
      </c>
      <c r="AH48" t="s">
        <v>20</v>
      </c>
      <c r="AI48" t="s">
        <v>449</v>
      </c>
      <c r="AJ48" t="s">
        <v>150</v>
      </c>
      <c r="AL48" t="s">
        <v>784</v>
      </c>
      <c r="AM48" t="s">
        <v>955</v>
      </c>
      <c r="AN48" t="s">
        <v>956</v>
      </c>
      <c r="AO48">
        <v>0.99585787867207576</v>
      </c>
      <c r="AP48">
        <v>75.938891011944406</v>
      </c>
      <c r="AR48" t="s">
        <v>445</v>
      </c>
      <c r="AS48" t="s">
        <v>1113</v>
      </c>
      <c r="AT48" t="s">
        <v>1114</v>
      </c>
      <c r="AU48" t="s">
        <v>10</v>
      </c>
      <c r="AV48" t="s">
        <v>20</v>
      </c>
      <c r="AW48" t="s">
        <v>449</v>
      </c>
      <c r="AX48" t="s">
        <v>150</v>
      </c>
      <c r="AZ48" t="s">
        <v>1113</v>
      </c>
      <c r="BA48" t="s">
        <v>1194</v>
      </c>
      <c r="BB48" t="s">
        <v>972</v>
      </c>
      <c r="BC48">
        <v>0.98542037014322215</v>
      </c>
      <c r="BD48">
        <v>922.22849042174391</v>
      </c>
    </row>
    <row r="49" spans="2:56">
      <c r="B49" t="s">
        <v>146</v>
      </c>
      <c r="C49" t="s">
        <v>225</v>
      </c>
      <c r="D49" t="s">
        <v>226</v>
      </c>
      <c r="E49" t="s">
        <v>10</v>
      </c>
      <c r="F49" t="s">
        <v>20</v>
      </c>
      <c r="G49" t="s">
        <v>149</v>
      </c>
      <c r="H49" t="s">
        <v>150</v>
      </c>
      <c r="J49" t="s">
        <v>225</v>
      </c>
      <c r="K49" t="s">
        <v>385</v>
      </c>
      <c r="L49">
        <v>22.570042924569151</v>
      </c>
      <c r="M49">
        <v>0.19878924117580341</v>
      </c>
      <c r="O49" t="s">
        <v>445</v>
      </c>
      <c r="P49" t="s">
        <v>524</v>
      </c>
      <c r="Q49" t="s">
        <v>525</v>
      </c>
      <c r="R49" t="s">
        <v>10</v>
      </c>
      <c r="S49" t="s">
        <v>20</v>
      </c>
      <c r="T49" t="s">
        <v>448</v>
      </c>
      <c r="U49" t="s">
        <v>449</v>
      </c>
      <c r="V49" t="s">
        <v>150</v>
      </c>
      <c r="X49" t="s">
        <v>524</v>
      </c>
      <c r="Y49" t="s">
        <v>400</v>
      </c>
      <c r="Z49" t="s">
        <v>671</v>
      </c>
      <c r="AA49">
        <v>0.99564253113732704</v>
      </c>
      <c r="AB49">
        <v>79.886929149003976</v>
      </c>
      <c r="AD49" t="s">
        <v>445</v>
      </c>
      <c r="AE49" t="s">
        <v>786</v>
      </c>
      <c r="AF49" t="s">
        <v>787</v>
      </c>
      <c r="AG49" t="s">
        <v>10</v>
      </c>
      <c r="AH49" t="s">
        <v>20</v>
      </c>
      <c r="AI49" t="s">
        <v>449</v>
      </c>
      <c r="AJ49" t="s">
        <v>150</v>
      </c>
      <c r="AL49" t="s">
        <v>786</v>
      </c>
      <c r="AM49" t="s">
        <v>957</v>
      </c>
      <c r="AN49" t="s">
        <v>649</v>
      </c>
      <c r="AO49">
        <v>0.98152722015516447</v>
      </c>
      <c r="AP49">
        <v>338.66763048865067</v>
      </c>
      <c r="AR49" t="s">
        <v>445</v>
      </c>
      <c r="AS49" t="s">
        <v>1115</v>
      </c>
      <c r="AT49" t="s">
        <v>1116</v>
      </c>
      <c r="AU49" t="s">
        <v>10</v>
      </c>
      <c r="AV49" t="s">
        <v>20</v>
      </c>
      <c r="AW49" t="s">
        <v>449</v>
      </c>
      <c r="AX49" t="s">
        <v>150</v>
      </c>
      <c r="AZ49" t="s">
        <v>1115</v>
      </c>
      <c r="BA49" t="s">
        <v>1195</v>
      </c>
      <c r="BB49" t="s">
        <v>947</v>
      </c>
      <c r="BC49">
        <v>0.99613275225602693</v>
      </c>
      <c r="BD49">
        <v>498.74132348416083</v>
      </c>
    </row>
    <row r="50" spans="2:56">
      <c r="B50" t="s">
        <v>146</v>
      </c>
      <c r="C50" t="s">
        <v>227</v>
      </c>
      <c r="D50" t="s">
        <v>228</v>
      </c>
      <c r="E50" t="s">
        <v>10</v>
      </c>
      <c r="F50" t="s">
        <v>20</v>
      </c>
      <c r="G50" t="s">
        <v>149</v>
      </c>
      <c r="H50" t="s">
        <v>150</v>
      </c>
      <c r="J50" t="s">
        <v>227</v>
      </c>
      <c r="K50" t="s">
        <v>386</v>
      </c>
      <c r="L50">
        <v>42.387500142360516</v>
      </c>
      <c r="M50">
        <v>0.1991689755283079</v>
      </c>
      <c r="O50" t="s">
        <v>445</v>
      </c>
      <c r="P50" t="s">
        <v>526</v>
      </c>
      <c r="Q50" t="s">
        <v>527</v>
      </c>
      <c r="R50" t="s">
        <v>10</v>
      </c>
      <c r="S50" t="s">
        <v>20</v>
      </c>
      <c r="T50" t="s">
        <v>448</v>
      </c>
      <c r="U50" t="s">
        <v>449</v>
      </c>
      <c r="V50" t="s">
        <v>150</v>
      </c>
      <c r="X50" t="s">
        <v>526</v>
      </c>
      <c r="Y50" t="s">
        <v>397</v>
      </c>
      <c r="Z50" t="s">
        <v>672</v>
      </c>
      <c r="AA50">
        <v>0.99515580458889907</v>
      </c>
      <c r="AB50">
        <v>88.81024920351615</v>
      </c>
      <c r="AD50" t="s">
        <v>445</v>
      </c>
      <c r="AE50" t="s">
        <v>788</v>
      </c>
      <c r="AF50" t="s">
        <v>789</v>
      </c>
      <c r="AG50" t="s">
        <v>10</v>
      </c>
      <c r="AH50" t="s">
        <v>20</v>
      </c>
      <c r="AI50" t="s">
        <v>449</v>
      </c>
      <c r="AJ50" t="s">
        <v>150</v>
      </c>
      <c r="AL50" t="s">
        <v>788</v>
      </c>
      <c r="AM50" t="s">
        <v>958</v>
      </c>
      <c r="AN50" t="s">
        <v>649</v>
      </c>
      <c r="AO50">
        <v>0.98827869617428776</v>
      </c>
      <c r="AP50">
        <v>214.89057013805822</v>
      </c>
      <c r="AR50" t="s">
        <v>445</v>
      </c>
      <c r="AS50" t="s">
        <v>1117</v>
      </c>
      <c r="AT50" t="s">
        <v>1118</v>
      </c>
      <c r="AU50" t="s">
        <v>10</v>
      </c>
      <c r="AV50" t="s">
        <v>20</v>
      </c>
      <c r="AW50" t="s">
        <v>449</v>
      </c>
      <c r="AX50" t="s">
        <v>150</v>
      </c>
      <c r="AZ50" t="s">
        <v>1117</v>
      </c>
      <c r="BA50" t="s">
        <v>1196</v>
      </c>
      <c r="BB50" t="s">
        <v>674</v>
      </c>
      <c r="BC50">
        <v>0.98752340562932261</v>
      </c>
      <c r="BD50">
        <v>896.60650808275307</v>
      </c>
    </row>
    <row r="51" spans="2:56">
      <c r="B51" t="s">
        <v>146</v>
      </c>
      <c r="C51" t="s">
        <v>229</v>
      </c>
      <c r="D51" t="s">
        <v>230</v>
      </c>
      <c r="E51" t="s">
        <v>10</v>
      </c>
      <c r="F51" t="s">
        <v>20</v>
      </c>
      <c r="G51" t="s">
        <v>149</v>
      </c>
      <c r="H51" t="s">
        <v>150</v>
      </c>
      <c r="J51" t="s">
        <v>229</v>
      </c>
      <c r="K51" t="s">
        <v>387</v>
      </c>
      <c r="L51">
        <v>94.605298957279359</v>
      </c>
      <c r="M51">
        <v>0.19309891213354929</v>
      </c>
      <c r="O51" t="s">
        <v>445</v>
      </c>
      <c r="P51" t="s">
        <v>528</v>
      </c>
      <c r="Q51" t="s">
        <v>529</v>
      </c>
      <c r="R51" t="s">
        <v>10</v>
      </c>
      <c r="S51" t="s">
        <v>20</v>
      </c>
      <c r="T51" t="s">
        <v>448</v>
      </c>
      <c r="U51" t="s">
        <v>449</v>
      </c>
      <c r="V51" t="s">
        <v>150</v>
      </c>
      <c r="X51" t="s">
        <v>528</v>
      </c>
      <c r="Y51" t="s">
        <v>382</v>
      </c>
      <c r="Z51" t="s">
        <v>647</v>
      </c>
      <c r="AA51">
        <v>0.96473247588547761</v>
      </c>
      <c r="AB51">
        <v>646.57127543291119</v>
      </c>
      <c r="AD51" t="s">
        <v>445</v>
      </c>
      <c r="AE51" t="s">
        <v>790</v>
      </c>
      <c r="AF51" t="s">
        <v>791</v>
      </c>
      <c r="AG51" t="s">
        <v>10</v>
      </c>
      <c r="AH51" t="s">
        <v>20</v>
      </c>
      <c r="AI51" t="s">
        <v>449</v>
      </c>
      <c r="AJ51" t="s">
        <v>150</v>
      </c>
      <c r="AL51" t="s">
        <v>790</v>
      </c>
      <c r="AM51" t="s">
        <v>959</v>
      </c>
      <c r="AN51" t="s">
        <v>960</v>
      </c>
      <c r="AO51">
        <v>0.98732492064736277</v>
      </c>
      <c r="AP51">
        <v>232.37645479834956</v>
      </c>
      <c r="AR51" t="s">
        <v>445</v>
      </c>
      <c r="AS51" t="s">
        <v>1119</v>
      </c>
      <c r="AT51" t="s">
        <v>1120</v>
      </c>
      <c r="AU51" t="s">
        <v>10</v>
      </c>
      <c r="AV51" t="s">
        <v>20</v>
      </c>
      <c r="AW51" t="s">
        <v>449</v>
      </c>
      <c r="AX51" t="s">
        <v>150</v>
      </c>
      <c r="AZ51" t="s">
        <v>1119</v>
      </c>
      <c r="BA51" t="s">
        <v>1197</v>
      </c>
      <c r="BB51" t="s">
        <v>1198</v>
      </c>
      <c r="BC51">
        <v>0.98117820630330521</v>
      </c>
      <c r="BD51">
        <v>973.9121865380647</v>
      </c>
    </row>
    <row r="52" spans="2:56">
      <c r="B52" t="s">
        <v>146</v>
      </c>
      <c r="C52" t="s">
        <v>231</v>
      </c>
      <c r="D52" t="s">
        <v>232</v>
      </c>
      <c r="E52" t="s">
        <v>10</v>
      </c>
      <c r="F52" t="s">
        <v>20</v>
      </c>
      <c r="G52" t="s">
        <v>149</v>
      </c>
      <c r="H52" t="s">
        <v>150</v>
      </c>
      <c r="J52" t="s">
        <v>231</v>
      </c>
      <c r="K52" t="s">
        <v>388</v>
      </c>
      <c r="L52">
        <v>35.593402946375491</v>
      </c>
      <c r="M52">
        <v>0.1918124378207258</v>
      </c>
      <c r="O52" t="s">
        <v>445</v>
      </c>
      <c r="P52" t="s">
        <v>530</v>
      </c>
      <c r="Q52" t="s">
        <v>531</v>
      </c>
      <c r="R52" t="s">
        <v>10</v>
      </c>
      <c r="S52" t="s">
        <v>20</v>
      </c>
      <c r="T52" t="s">
        <v>448</v>
      </c>
      <c r="U52" t="s">
        <v>449</v>
      </c>
      <c r="V52" t="s">
        <v>150</v>
      </c>
      <c r="X52" t="s">
        <v>530</v>
      </c>
      <c r="Y52" t="s">
        <v>354</v>
      </c>
      <c r="Z52" t="s">
        <v>654</v>
      </c>
      <c r="AA52">
        <v>0.9580334555499519</v>
      </c>
      <c r="AB52">
        <v>769.38664825088097</v>
      </c>
      <c r="AD52" t="s">
        <v>445</v>
      </c>
      <c r="AE52" t="s">
        <v>792</v>
      </c>
      <c r="AF52" t="s">
        <v>793</v>
      </c>
      <c r="AG52" t="s">
        <v>10</v>
      </c>
      <c r="AH52" t="s">
        <v>20</v>
      </c>
      <c r="AI52" t="s">
        <v>449</v>
      </c>
      <c r="AJ52" t="s">
        <v>150</v>
      </c>
      <c r="AL52" t="s">
        <v>792</v>
      </c>
      <c r="AM52" t="s">
        <v>961</v>
      </c>
      <c r="AN52" t="s">
        <v>962</v>
      </c>
      <c r="AO52">
        <v>0.99846088793014054</v>
      </c>
      <c r="AP52">
        <v>28.217054614091012</v>
      </c>
      <c r="AR52" t="s">
        <v>445</v>
      </c>
      <c r="AS52" t="s">
        <v>1121</v>
      </c>
      <c r="AT52" t="s">
        <v>1122</v>
      </c>
      <c r="AU52" t="s">
        <v>10</v>
      </c>
      <c r="AV52" t="s">
        <v>20</v>
      </c>
      <c r="AW52" t="s">
        <v>449</v>
      </c>
      <c r="AX52" t="s">
        <v>150</v>
      </c>
      <c r="AZ52" t="s">
        <v>1121</v>
      </c>
      <c r="BA52" t="s">
        <v>1199</v>
      </c>
      <c r="BB52" t="s">
        <v>658</v>
      </c>
      <c r="BC52">
        <v>0.96413043109717189</v>
      </c>
      <c r="BD52">
        <v>1181.6109144661225</v>
      </c>
    </row>
    <row r="53" spans="2:56">
      <c r="B53" t="s">
        <v>146</v>
      </c>
      <c r="C53" t="s">
        <v>233</v>
      </c>
      <c r="D53" t="s">
        <v>234</v>
      </c>
      <c r="E53" t="s">
        <v>10</v>
      </c>
      <c r="F53" t="s">
        <v>20</v>
      </c>
      <c r="G53" t="s">
        <v>149</v>
      </c>
      <c r="H53" t="s">
        <v>150</v>
      </c>
      <c r="J53" t="s">
        <v>233</v>
      </c>
      <c r="K53" t="s">
        <v>389</v>
      </c>
      <c r="L53">
        <v>11.603533881311733</v>
      </c>
      <c r="M53">
        <v>0.18359970950192331</v>
      </c>
      <c r="O53" t="s">
        <v>445</v>
      </c>
      <c r="P53" t="s">
        <v>532</v>
      </c>
      <c r="Q53" t="s">
        <v>533</v>
      </c>
      <c r="R53" t="s">
        <v>10</v>
      </c>
      <c r="S53" t="s">
        <v>20</v>
      </c>
      <c r="T53" t="s">
        <v>448</v>
      </c>
      <c r="U53" t="s">
        <v>449</v>
      </c>
      <c r="V53" t="s">
        <v>150</v>
      </c>
      <c r="X53" t="s">
        <v>532</v>
      </c>
      <c r="Y53" t="s">
        <v>441</v>
      </c>
      <c r="Z53" t="s">
        <v>673</v>
      </c>
      <c r="AA53">
        <v>0.98447946182885371</v>
      </c>
      <c r="AB53">
        <v>284.54319980434889</v>
      </c>
      <c r="AD53" t="s">
        <v>445</v>
      </c>
      <c r="AE53" t="s">
        <v>794</v>
      </c>
      <c r="AF53" t="s">
        <v>795</v>
      </c>
      <c r="AG53" t="s">
        <v>10</v>
      </c>
      <c r="AH53" t="s">
        <v>20</v>
      </c>
      <c r="AI53" t="s">
        <v>449</v>
      </c>
      <c r="AJ53" t="s">
        <v>150</v>
      </c>
      <c r="AL53" t="s">
        <v>794</v>
      </c>
      <c r="AM53" t="s">
        <v>963</v>
      </c>
      <c r="AN53" t="s">
        <v>964</v>
      </c>
      <c r="AO53">
        <v>0.98764154770136958</v>
      </c>
      <c r="AP53">
        <v>226.57162547489074</v>
      </c>
      <c r="AR53" t="s">
        <v>445</v>
      </c>
      <c r="AS53" t="s">
        <v>1123</v>
      </c>
      <c r="AT53" t="s">
        <v>1124</v>
      </c>
      <c r="AU53" t="s">
        <v>10</v>
      </c>
      <c r="AV53" t="s">
        <v>20</v>
      </c>
      <c r="AW53" t="s">
        <v>449</v>
      </c>
      <c r="AX53" t="s">
        <v>150</v>
      </c>
      <c r="AZ53" t="s">
        <v>1123</v>
      </c>
      <c r="BA53" t="s">
        <v>1200</v>
      </c>
      <c r="BB53" t="s">
        <v>649</v>
      </c>
      <c r="BC53">
        <v>0.93824334088191808</v>
      </c>
      <c r="BD53">
        <v>1497.001963588631</v>
      </c>
    </row>
    <row r="54" spans="2:56">
      <c r="B54" t="s">
        <v>146</v>
      </c>
      <c r="C54" t="s">
        <v>235</v>
      </c>
      <c r="D54" t="s">
        <v>236</v>
      </c>
      <c r="E54" t="s">
        <v>10</v>
      </c>
      <c r="F54" t="s">
        <v>20</v>
      </c>
      <c r="G54" t="s">
        <v>149</v>
      </c>
      <c r="H54" t="s">
        <v>150</v>
      </c>
      <c r="J54" t="s">
        <v>235</v>
      </c>
      <c r="K54" t="s">
        <v>390</v>
      </c>
      <c r="L54">
        <v>5.6822611864023749</v>
      </c>
      <c r="M54">
        <v>0.1916265923398508</v>
      </c>
      <c r="O54" t="s">
        <v>445</v>
      </c>
      <c r="P54" t="s">
        <v>534</v>
      </c>
      <c r="Q54" t="s">
        <v>535</v>
      </c>
      <c r="R54" t="s">
        <v>10</v>
      </c>
      <c r="S54" t="s">
        <v>20</v>
      </c>
      <c r="T54" t="s">
        <v>448</v>
      </c>
      <c r="U54" t="s">
        <v>449</v>
      </c>
      <c r="V54" t="s">
        <v>150</v>
      </c>
      <c r="X54" t="s">
        <v>534</v>
      </c>
      <c r="Y54" t="s">
        <v>417</v>
      </c>
      <c r="Z54" t="s">
        <v>674</v>
      </c>
      <c r="AA54">
        <v>0.99406720218050904</v>
      </c>
      <c r="AB54">
        <v>108.76796002400131</v>
      </c>
      <c r="AD54" t="s">
        <v>445</v>
      </c>
      <c r="AE54" t="s">
        <v>796</v>
      </c>
      <c r="AF54" t="s">
        <v>797</v>
      </c>
      <c r="AG54" t="s">
        <v>10</v>
      </c>
      <c r="AH54" t="s">
        <v>20</v>
      </c>
      <c r="AI54" t="s">
        <v>449</v>
      </c>
      <c r="AJ54" t="s">
        <v>150</v>
      </c>
      <c r="AL54" t="s">
        <v>796</v>
      </c>
      <c r="AM54" t="s">
        <v>965</v>
      </c>
      <c r="AN54" t="s">
        <v>966</v>
      </c>
      <c r="AO54">
        <v>0.9977216312452537</v>
      </c>
      <c r="AP54">
        <v>41.77009383701548</v>
      </c>
      <c r="AR54" t="s">
        <v>445</v>
      </c>
      <c r="AS54" t="s">
        <v>1125</v>
      </c>
      <c r="AT54" t="s">
        <v>1126</v>
      </c>
      <c r="AU54" t="s">
        <v>10</v>
      </c>
      <c r="AV54" t="s">
        <v>20</v>
      </c>
      <c r="AW54" t="s">
        <v>449</v>
      </c>
      <c r="AX54" t="s">
        <v>150</v>
      </c>
      <c r="AZ54" t="s">
        <v>1125</v>
      </c>
      <c r="BA54" t="s">
        <v>1201</v>
      </c>
      <c r="BB54" t="s">
        <v>988</v>
      </c>
      <c r="BC54">
        <v>0.99465492794345478</v>
      </c>
      <c r="BD54">
        <v>592.53390652206974</v>
      </c>
    </row>
    <row r="55" spans="2:56">
      <c r="B55" t="s">
        <v>146</v>
      </c>
      <c r="C55" t="s">
        <v>237</v>
      </c>
      <c r="D55" t="s">
        <v>238</v>
      </c>
      <c r="E55" t="s">
        <v>10</v>
      </c>
      <c r="F55" t="s">
        <v>20</v>
      </c>
      <c r="G55" t="s">
        <v>149</v>
      </c>
      <c r="H55" t="s">
        <v>150</v>
      </c>
      <c r="J55" t="s">
        <v>237</v>
      </c>
      <c r="K55" t="s">
        <v>391</v>
      </c>
      <c r="L55">
        <v>127.21421521675414</v>
      </c>
      <c r="M55">
        <v>0.19835549960720061</v>
      </c>
      <c r="O55" t="s">
        <v>445</v>
      </c>
      <c r="P55" t="s">
        <v>536</v>
      </c>
      <c r="Q55" t="s">
        <v>537</v>
      </c>
      <c r="R55" t="s">
        <v>10</v>
      </c>
      <c r="S55" t="s">
        <v>20</v>
      </c>
      <c r="T55" t="s">
        <v>448</v>
      </c>
      <c r="U55" t="s">
        <v>449</v>
      </c>
      <c r="V55" t="s">
        <v>150</v>
      </c>
      <c r="X55" t="s">
        <v>536</v>
      </c>
      <c r="Y55" t="s">
        <v>423</v>
      </c>
      <c r="Z55" t="s">
        <v>675</v>
      </c>
      <c r="AA55">
        <v>0.99132119972938326</v>
      </c>
      <c r="AB55">
        <v>159.11133829463989</v>
      </c>
      <c r="AD55" t="s">
        <v>445</v>
      </c>
      <c r="AE55" t="s">
        <v>798</v>
      </c>
      <c r="AF55" t="s">
        <v>799</v>
      </c>
      <c r="AG55" t="s">
        <v>10</v>
      </c>
      <c r="AH55" t="s">
        <v>20</v>
      </c>
      <c r="AI55" t="s">
        <v>449</v>
      </c>
      <c r="AJ55" t="s">
        <v>150</v>
      </c>
      <c r="AL55" t="s">
        <v>798</v>
      </c>
      <c r="AM55" t="s">
        <v>967</v>
      </c>
      <c r="AN55" t="s">
        <v>648</v>
      </c>
      <c r="AO55">
        <v>0.97985884005408208</v>
      </c>
      <c r="AP55">
        <v>369.25459900849603</v>
      </c>
      <c r="AR55" t="s">
        <v>445</v>
      </c>
      <c r="AS55" t="s">
        <v>1127</v>
      </c>
      <c r="AT55" t="s">
        <v>1128</v>
      </c>
      <c r="AU55" t="s">
        <v>10</v>
      </c>
      <c r="AV55" t="s">
        <v>20</v>
      </c>
      <c r="AW55" t="s">
        <v>449</v>
      </c>
      <c r="AX55" t="s">
        <v>150</v>
      </c>
      <c r="AZ55" t="s">
        <v>1127</v>
      </c>
      <c r="BA55" t="s">
        <v>1202</v>
      </c>
      <c r="BB55" t="s">
        <v>1013</v>
      </c>
      <c r="BC55">
        <v>0.9580046500205861</v>
      </c>
      <c r="BD55">
        <v>1256.2433472491919</v>
      </c>
    </row>
    <row r="56" spans="2:56">
      <c r="B56" t="s">
        <v>146</v>
      </c>
      <c r="C56" t="s">
        <v>239</v>
      </c>
      <c r="D56" t="s">
        <v>240</v>
      </c>
      <c r="E56" t="s">
        <v>10</v>
      </c>
      <c r="F56" t="s">
        <v>20</v>
      </c>
      <c r="G56" t="s">
        <v>149</v>
      </c>
      <c r="H56" t="s">
        <v>150</v>
      </c>
      <c r="J56" t="s">
        <v>239</v>
      </c>
      <c r="K56" t="s">
        <v>392</v>
      </c>
      <c r="L56">
        <v>82.661546099533041</v>
      </c>
      <c r="M56">
        <v>0.20063498597052759</v>
      </c>
      <c r="O56" t="s">
        <v>445</v>
      </c>
      <c r="P56" t="s">
        <v>538</v>
      </c>
      <c r="Q56" t="s">
        <v>539</v>
      </c>
      <c r="R56" t="s">
        <v>10</v>
      </c>
      <c r="S56" t="s">
        <v>20</v>
      </c>
      <c r="T56" t="s">
        <v>448</v>
      </c>
      <c r="U56" t="s">
        <v>449</v>
      </c>
      <c r="V56" t="s">
        <v>150</v>
      </c>
      <c r="X56" t="s">
        <v>538</v>
      </c>
      <c r="Y56" t="s">
        <v>392</v>
      </c>
      <c r="Z56" t="s">
        <v>676</v>
      </c>
      <c r="AA56">
        <v>0.9643190988261251</v>
      </c>
      <c r="AB56">
        <v>654.14985485437251</v>
      </c>
      <c r="AD56" t="s">
        <v>445</v>
      </c>
      <c r="AE56" t="s">
        <v>800</v>
      </c>
      <c r="AF56" t="s">
        <v>801</v>
      </c>
      <c r="AG56" t="s">
        <v>10</v>
      </c>
      <c r="AH56" t="s">
        <v>20</v>
      </c>
      <c r="AI56" t="s">
        <v>449</v>
      </c>
      <c r="AJ56" t="s">
        <v>150</v>
      </c>
      <c r="AL56" t="s">
        <v>800</v>
      </c>
      <c r="AM56" t="s">
        <v>968</v>
      </c>
      <c r="AN56" t="s">
        <v>649</v>
      </c>
      <c r="AO56">
        <v>0.93800436607424875</v>
      </c>
      <c r="AP56">
        <v>1136.5866219721056</v>
      </c>
      <c r="AR56" t="s">
        <v>445</v>
      </c>
      <c r="AS56" t="s">
        <v>1129</v>
      </c>
      <c r="AT56" t="s">
        <v>1130</v>
      </c>
      <c r="AU56" t="s">
        <v>10</v>
      </c>
      <c r="AV56" t="s">
        <v>20</v>
      </c>
      <c r="AW56" t="s">
        <v>449</v>
      </c>
      <c r="AX56" t="s">
        <v>150</v>
      </c>
      <c r="AZ56" t="s">
        <v>1129</v>
      </c>
      <c r="BA56" t="s">
        <v>1203</v>
      </c>
      <c r="BB56" t="s">
        <v>1204</v>
      </c>
      <c r="BC56">
        <v>0.99209673382744978</v>
      </c>
      <c r="BD56">
        <v>754.89395975118964</v>
      </c>
    </row>
    <row r="57" spans="2:56">
      <c r="B57" t="s">
        <v>146</v>
      </c>
      <c r="C57" t="s">
        <v>241</v>
      </c>
      <c r="D57" t="s">
        <v>242</v>
      </c>
      <c r="E57" t="s">
        <v>10</v>
      </c>
      <c r="F57" t="s">
        <v>20</v>
      </c>
      <c r="G57" t="s">
        <v>149</v>
      </c>
      <c r="H57" t="s">
        <v>150</v>
      </c>
      <c r="J57" t="s">
        <v>241</v>
      </c>
      <c r="K57" t="s">
        <v>393</v>
      </c>
      <c r="L57">
        <v>76.810116362586498</v>
      </c>
      <c r="M57">
        <v>0.1974562457685054</v>
      </c>
      <c r="O57" t="s">
        <v>445</v>
      </c>
      <c r="P57" t="s">
        <v>540</v>
      </c>
      <c r="Q57" t="s">
        <v>541</v>
      </c>
      <c r="R57" t="s">
        <v>10</v>
      </c>
      <c r="S57" t="s">
        <v>20</v>
      </c>
      <c r="T57" t="s">
        <v>448</v>
      </c>
      <c r="U57" t="s">
        <v>449</v>
      </c>
      <c r="V57" t="s">
        <v>150</v>
      </c>
      <c r="X57" t="s">
        <v>540</v>
      </c>
      <c r="Y57" t="s">
        <v>347</v>
      </c>
      <c r="Z57" t="s">
        <v>648</v>
      </c>
      <c r="AA57">
        <v>0.96307923215762514</v>
      </c>
      <c r="AB57">
        <v>676.88074377687337</v>
      </c>
      <c r="AD57" t="s">
        <v>445</v>
      </c>
      <c r="AE57" t="s">
        <v>802</v>
      </c>
      <c r="AF57" t="s">
        <v>803</v>
      </c>
      <c r="AG57" t="s">
        <v>10</v>
      </c>
      <c r="AH57" t="s">
        <v>20</v>
      </c>
      <c r="AI57" t="s">
        <v>449</v>
      </c>
      <c r="AJ57" t="s">
        <v>150</v>
      </c>
      <c r="AL57" t="s">
        <v>802</v>
      </c>
      <c r="AM57" t="s">
        <v>969</v>
      </c>
      <c r="AN57" t="s">
        <v>649</v>
      </c>
      <c r="AO57">
        <v>0.96962859242416655</v>
      </c>
      <c r="AP57">
        <v>556.80913889028056</v>
      </c>
      <c r="AR57" t="s">
        <v>445</v>
      </c>
      <c r="AS57" t="s">
        <v>1131</v>
      </c>
      <c r="AT57" t="s">
        <v>1132</v>
      </c>
      <c r="AU57" t="s">
        <v>10</v>
      </c>
      <c r="AV57" t="s">
        <v>20</v>
      </c>
      <c r="AW57" t="s">
        <v>449</v>
      </c>
      <c r="AX57" t="s">
        <v>150</v>
      </c>
      <c r="AZ57" t="s">
        <v>1131</v>
      </c>
      <c r="BA57" t="s">
        <v>1205</v>
      </c>
      <c r="BB57" t="s">
        <v>964</v>
      </c>
      <c r="BC57">
        <v>0.97834276564858003</v>
      </c>
      <c r="BD57">
        <v>1008.4573051814666</v>
      </c>
    </row>
    <row r="58" spans="2:56">
      <c r="B58" t="s">
        <v>146</v>
      </c>
      <c r="C58" t="s">
        <v>243</v>
      </c>
      <c r="D58" t="s">
        <v>244</v>
      </c>
      <c r="E58" t="s">
        <v>10</v>
      </c>
      <c r="F58" t="s">
        <v>20</v>
      </c>
      <c r="G58" t="s">
        <v>149</v>
      </c>
      <c r="H58" t="s">
        <v>150</v>
      </c>
      <c r="J58" t="s">
        <v>243</v>
      </c>
      <c r="K58" t="s">
        <v>394</v>
      </c>
      <c r="L58">
        <v>82.036682250183318</v>
      </c>
      <c r="M58">
        <v>0.20242312811736191</v>
      </c>
      <c r="O58" t="s">
        <v>445</v>
      </c>
      <c r="P58" t="s">
        <v>542</v>
      </c>
      <c r="Q58" t="s">
        <v>543</v>
      </c>
      <c r="R58" t="s">
        <v>10</v>
      </c>
      <c r="S58" t="s">
        <v>20</v>
      </c>
      <c r="T58" t="s">
        <v>448</v>
      </c>
      <c r="U58" t="s">
        <v>449</v>
      </c>
      <c r="V58" t="s">
        <v>150</v>
      </c>
      <c r="X58" t="s">
        <v>542</v>
      </c>
      <c r="Y58" t="s">
        <v>358</v>
      </c>
      <c r="Z58" t="s">
        <v>677</v>
      </c>
      <c r="AA58">
        <v>0.94315950804663551</v>
      </c>
      <c r="AB58">
        <v>1042.0756858116829</v>
      </c>
      <c r="AD58" t="s">
        <v>445</v>
      </c>
      <c r="AE58" t="s">
        <v>804</v>
      </c>
      <c r="AF58" t="s">
        <v>805</v>
      </c>
      <c r="AG58" t="s">
        <v>10</v>
      </c>
      <c r="AH58" t="s">
        <v>20</v>
      </c>
      <c r="AI58" t="s">
        <v>449</v>
      </c>
      <c r="AJ58" t="s">
        <v>150</v>
      </c>
      <c r="AL58" t="s">
        <v>804</v>
      </c>
      <c r="AM58" t="s">
        <v>970</v>
      </c>
      <c r="AN58" t="s">
        <v>701</v>
      </c>
      <c r="AO58">
        <v>0.97818029957439945</v>
      </c>
      <c r="AP58">
        <v>400.02784113601069</v>
      </c>
      <c r="AR58" t="s">
        <v>445</v>
      </c>
      <c r="AS58" t="s">
        <v>1133</v>
      </c>
      <c r="AT58" t="s">
        <v>1134</v>
      </c>
      <c r="AU58" t="s">
        <v>10</v>
      </c>
      <c r="AV58" t="s">
        <v>20</v>
      </c>
      <c r="AW58" t="s">
        <v>449</v>
      </c>
      <c r="AX58" t="s">
        <v>150</v>
      </c>
      <c r="AZ58" t="s">
        <v>1133</v>
      </c>
      <c r="BA58" t="s">
        <v>1206</v>
      </c>
      <c r="BB58" t="s">
        <v>972</v>
      </c>
      <c r="BC58">
        <v>0.97810798081469907</v>
      </c>
      <c r="BD58">
        <v>1011.3177670742492</v>
      </c>
    </row>
    <row r="59" spans="2:56">
      <c r="B59" t="s">
        <v>146</v>
      </c>
      <c r="C59" t="s">
        <v>245</v>
      </c>
      <c r="D59" t="s">
        <v>246</v>
      </c>
      <c r="E59" t="s">
        <v>10</v>
      </c>
      <c r="F59" t="s">
        <v>20</v>
      </c>
      <c r="G59" t="s">
        <v>149</v>
      </c>
      <c r="H59" t="s">
        <v>150</v>
      </c>
      <c r="J59" t="s">
        <v>245</v>
      </c>
      <c r="K59" t="s">
        <v>395</v>
      </c>
      <c r="L59">
        <v>90.121307465725124</v>
      </c>
      <c r="M59">
        <v>0.19894462227293661</v>
      </c>
      <c r="O59" t="s">
        <v>445</v>
      </c>
      <c r="P59" t="s">
        <v>544</v>
      </c>
      <c r="Q59" t="s">
        <v>545</v>
      </c>
      <c r="R59" t="s">
        <v>10</v>
      </c>
      <c r="S59" t="s">
        <v>20</v>
      </c>
      <c r="T59" t="s">
        <v>448</v>
      </c>
      <c r="U59" t="s">
        <v>449</v>
      </c>
      <c r="V59" t="s">
        <v>150</v>
      </c>
      <c r="X59" t="s">
        <v>544</v>
      </c>
      <c r="Y59" t="s">
        <v>366</v>
      </c>
      <c r="Z59" t="s">
        <v>649</v>
      </c>
      <c r="AA59">
        <v>0.96140892845075643</v>
      </c>
      <c r="AB59">
        <v>707.50297840279961</v>
      </c>
      <c r="AD59" t="s">
        <v>445</v>
      </c>
      <c r="AE59" t="s">
        <v>806</v>
      </c>
      <c r="AF59" t="s">
        <v>807</v>
      </c>
      <c r="AG59" t="s">
        <v>10</v>
      </c>
      <c r="AH59" t="s">
        <v>20</v>
      </c>
      <c r="AI59" t="s">
        <v>449</v>
      </c>
      <c r="AJ59" t="s">
        <v>150</v>
      </c>
      <c r="AL59" t="s">
        <v>806</v>
      </c>
      <c r="AM59" t="s">
        <v>971</v>
      </c>
      <c r="AN59" t="s">
        <v>972</v>
      </c>
      <c r="AO59">
        <v>0.95946658042945154</v>
      </c>
      <c r="AP59">
        <v>743.11269212672175</v>
      </c>
      <c r="AR59" t="s">
        <v>445</v>
      </c>
      <c r="AS59" t="s">
        <v>1135</v>
      </c>
      <c r="AT59" t="s">
        <v>1136</v>
      </c>
      <c r="AU59" t="s">
        <v>10</v>
      </c>
      <c r="AV59" t="s">
        <v>20</v>
      </c>
      <c r="AW59" t="s">
        <v>449</v>
      </c>
      <c r="AX59" t="s">
        <v>150</v>
      </c>
      <c r="AZ59" t="s">
        <v>1135</v>
      </c>
      <c r="BA59" t="s">
        <v>1207</v>
      </c>
      <c r="BB59" t="s">
        <v>662</v>
      </c>
      <c r="BC59">
        <v>0.99215965418440455</v>
      </c>
      <c r="BD59">
        <v>750.90061442978902</v>
      </c>
    </row>
    <row r="60" spans="2:56">
      <c r="B60" t="s">
        <v>146</v>
      </c>
      <c r="C60" t="s">
        <v>247</v>
      </c>
      <c r="D60" t="s">
        <v>248</v>
      </c>
      <c r="E60" t="s">
        <v>10</v>
      </c>
      <c r="F60" t="s">
        <v>20</v>
      </c>
      <c r="G60" t="s">
        <v>149</v>
      </c>
      <c r="H60" t="s">
        <v>150</v>
      </c>
      <c r="J60" t="s">
        <v>247</v>
      </c>
      <c r="K60" t="s">
        <v>396</v>
      </c>
      <c r="L60">
        <v>77.385063965069818</v>
      </c>
      <c r="M60">
        <v>0.1981978901379558</v>
      </c>
      <c r="O60" t="s">
        <v>445</v>
      </c>
      <c r="P60" t="s">
        <v>546</v>
      </c>
      <c r="Q60" t="s">
        <v>547</v>
      </c>
      <c r="R60" t="s">
        <v>10</v>
      </c>
      <c r="S60" t="s">
        <v>20</v>
      </c>
      <c r="T60" t="s">
        <v>448</v>
      </c>
      <c r="U60" t="s">
        <v>449</v>
      </c>
      <c r="V60" t="s">
        <v>150</v>
      </c>
      <c r="X60" t="s">
        <v>546</v>
      </c>
      <c r="Y60" t="s">
        <v>369</v>
      </c>
      <c r="Z60" t="s">
        <v>649</v>
      </c>
      <c r="AA60">
        <v>0.93763052839116845</v>
      </c>
      <c r="AB60">
        <v>1143.4403128285794</v>
      </c>
      <c r="AD60" t="s">
        <v>445</v>
      </c>
      <c r="AE60" t="s">
        <v>808</v>
      </c>
      <c r="AF60" t="s">
        <v>809</v>
      </c>
      <c r="AG60" t="s">
        <v>10</v>
      </c>
      <c r="AH60" t="s">
        <v>20</v>
      </c>
      <c r="AI60" t="s">
        <v>449</v>
      </c>
      <c r="AJ60" t="s">
        <v>150</v>
      </c>
      <c r="AL60" t="s">
        <v>808</v>
      </c>
      <c r="AM60" t="s">
        <v>973</v>
      </c>
      <c r="AN60" t="s">
        <v>644</v>
      </c>
      <c r="AO60">
        <v>0.96103827796400987</v>
      </c>
      <c r="AP60">
        <v>714.29823732648526</v>
      </c>
      <c r="AR60" t="s">
        <v>445</v>
      </c>
      <c r="AS60" t="s">
        <v>1137</v>
      </c>
      <c r="AT60" t="s">
        <v>1138</v>
      </c>
      <c r="AU60" t="s">
        <v>10</v>
      </c>
      <c r="AV60" t="s">
        <v>20</v>
      </c>
      <c r="AW60" t="s">
        <v>449</v>
      </c>
      <c r="AX60" t="s">
        <v>150</v>
      </c>
      <c r="AZ60" t="s">
        <v>1137</v>
      </c>
      <c r="BA60" t="s">
        <v>1208</v>
      </c>
      <c r="BB60" t="s">
        <v>658</v>
      </c>
      <c r="BC60">
        <v>0.9762650633688883</v>
      </c>
      <c r="BD60">
        <v>1033.7706446223781</v>
      </c>
    </row>
    <row r="61" spans="2:56">
      <c r="B61" t="s">
        <v>146</v>
      </c>
      <c r="C61" t="s">
        <v>249</v>
      </c>
      <c r="D61" t="s">
        <v>250</v>
      </c>
      <c r="E61" t="s">
        <v>10</v>
      </c>
      <c r="F61" t="s">
        <v>20</v>
      </c>
      <c r="G61" t="s">
        <v>149</v>
      </c>
      <c r="H61" t="s">
        <v>150</v>
      </c>
      <c r="J61" t="s">
        <v>249</v>
      </c>
      <c r="K61" t="s">
        <v>397</v>
      </c>
      <c r="L61">
        <v>96.738080848373485</v>
      </c>
      <c r="M61">
        <v>0.20016083501833251</v>
      </c>
      <c r="O61" t="s">
        <v>445</v>
      </c>
      <c r="P61" t="s">
        <v>548</v>
      </c>
      <c r="Q61" t="s">
        <v>549</v>
      </c>
      <c r="R61" t="s">
        <v>10</v>
      </c>
      <c r="S61" t="s">
        <v>20</v>
      </c>
      <c r="T61" t="s">
        <v>448</v>
      </c>
      <c r="U61" t="s">
        <v>449</v>
      </c>
      <c r="V61" t="s">
        <v>150</v>
      </c>
      <c r="X61" t="s">
        <v>548</v>
      </c>
      <c r="Y61" t="s">
        <v>367</v>
      </c>
      <c r="Z61" t="s">
        <v>649</v>
      </c>
      <c r="AA61">
        <v>0.96169171176041801</v>
      </c>
      <c r="AB61">
        <v>702.3186177256697</v>
      </c>
      <c r="AD61" t="s">
        <v>445</v>
      </c>
      <c r="AE61" t="s">
        <v>810</v>
      </c>
      <c r="AF61" t="s">
        <v>811</v>
      </c>
      <c r="AG61" t="s">
        <v>10</v>
      </c>
      <c r="AH61" t="s">
        <v>20</v>
      </c>
      <c r="AI61" t="s">
        <v>449</v>
      </c>
      <c r="AJ61" t="s">
        <v>150</v>
      </c>
      <c r="AL61" t="s">
        <v>810</v>
      </c>
      <c r="AM61" t="s">
        <v>974</v>
      </c>
      <c r="AN61" t="s">
        <v>648</v>
      </c>
      <c r="AO61">
        <v>0.96185713019776531</v>
      </c>
      <c r="AP61">
        <v>699.28594637430331</v>
      </c>
      <c r="AR61" t="s">
        <v>445</v>
      </c>
      <c r="AS61" t="s">
        <v>1139</v>
      </c>
      <c r="AT61" t="s">
        <v>1140</v>
      </c>
      <c r="AU61" t="s">
        <v>10</v>
      </c>
      <c r="AV61" t="s">
        <v>20</v>
      </c>
      <c r="AW61" t="s">
        <v>449</v>
      </c>
      <c r="AX61" t="s">
        <v>150</v>
      </c>
      <c r="AZ61" t="s">
        <v>1139</v>
      </c>
      <c r="BA61" t="s">
        <v>1209</v>
      </c>
      <c r="BB61" t="s">
        <v>1210</v>
      </c>
      <c r="BC61">
        <v>0.9859478284089821</v>
      </c>
      <c r="BD61">
        <v>915.80229055056782</v>
      </c>
    </row>
    <row r="62" spans="2:56">
      <c r="B62" t="s">
        <v>146</v>
      </c>
      <c r="C62" t="s">
        <v>251</v>
      </c>
      <c r="D62" t="s">
        <v>252</v>
      </c>
      <c r="E62" t="s">
        <v>10</v>
      </c>
      <c r="F62" t="s">
        <v>20</v>
      </c>
      <c r="G62" t="s">
        <v>149</v>
      </c>
      <c r="H62" t="s">
        <v>150</v>
      </c>
      <c r="J62" t="s">
        <v>251</v>
      </c>
      <c r="K62" t="s">
        <v>398</v>
      </c>
      <c r="L62">
        <v>92.902810196273165</v>
      </c>
      <c r="M62">
        <v>0.2032628073127225</v>
      </c>
      <c r="O62" t="s">
        <v>445</v>
      </c>
      <c r="P62" t="s">
        <v>550</v>
      </c>
      <c r="Q62" t="s">
        <v>551</v>
      </c>
      <c r="R62" t="s">
        <v>10</v>
      </c>
      <c r="S62" t="s">
        <v>20</v>
      </c>
      <c r="T62" t="s">
        <v>448</v>
      </c>
      <c r="U62" t="s">
        <v>449</v>
      </c>
      <c r="V62" t="s">
        <v>150</v>
      </c>
      <c r="X62" t="s">
        <v>550</v>
      </c>
      <c r="Y62" t="s">
        <v>348</v>
      </c>
      <c r="Z62" t="s">
        <v>678</v>
      </c>
      <c r="AA62">
        <v>0.99511617332099966</v>
      </c>
      <c r="AB62">
        <v>89.536822448339535</v>
      </c>
      <c r="AD62" t="s">
        <v>445</v>
      </c>
      <c r="AE62" t="s">
        <v>812</v>
      </c>
      <c r="AF62" t="s">
        <v>813</v>
      </c>
      <c r="AG62" t="s">
        <v>10</v>
      </c>
      <c r="AH62" t="s">
        <v>20</v>
      </c>
      <c r="AI62" t="s">
        <v>449</v>
      </c>
      <c r="AJ62" t="s">
        <v>150</v>
      </c>
      <c r="AL62" t="s">
        <v>812</v>
      </c>
      <c r="AM62" t="s">
        <v>975</v>
      </c>
      <c r="AN62" t="s">
        <v>654</v>
      </c>
      <c r="AO62">
        <v>0.95931345925264233</v>
      </c>
      <c r="AP62">
        <v>745.91991370155699</v>
      </c>
      <c r="AR62" t="s">
        <v>445</v>
      </c>
      <c r="AS62" t="s">
        <v>1141</v>
      </c>
      <c r="AT62" t="s">
        <v>1142</v>
      </c>
      <c r="AU62" t="s">
        <v>10</v>
      </c>
      <c r="AV62" t="s">
        <v>20</v>
      </c>
      <c r="AW62" t="s">
        <v>449</v>
      </c>
      <c r="AX62" t="s">
        <v>150</v>
      </c>
      <c r="AZ62" t="s">
        <v>1141</v>
      </c>
      <c r="BA62" t="s">
        <v>1211</v>
      </c>
      <c r="BB62" t="s">
        <v>1212</v>
      </c>
      <c r="BC62">
        <v>0.99844627758702942</v>
      </c>
      <c r="BD62">
        <v>351.90958247653504</v>
      </c>
    </row>
    <row r="63" spans="2:56">
      <c r="B63" t="s">
        <v>146</v>
      </c>
      <c r="C63" t="s">
        <v>253</v>
      </c>
      <c r="D63" t="s">
        <v>254</v>
      </c>
      <c r="E63" t="s">
        <v>10</v>
      </c>
      <c r="F63" t="s">
        <v>20</v>
      </c>
      <c r="G63" t="s">
        <v>149</v>
      </c>
      <c r="H63" t="s">
        <v>150</v>
      </c>
      <c r="J63" t="s">
        <v>253</v>
      </c>
      <c r="K63" t="s">
        <v>399</v>
      </c>
      <c r="L63">
        <v>1.0301041837818437</v>
      </c>
      <c r="M63">
        <v>0.1783831105328271</v>
      </c>
      <c r="O63" t="s">
        <v>445</v>
      </c>
      <c r="P63" t="s">
        <v>552</v>
      </c>
      <c r="Q63" t="s">
        <v>553</v>
      </c>
      <c r="R63" t="s">
        <v>10</v>
      </c>
      <c r="S63" t="s">
        <v>20</v>
      </c>
      <c r="T63" t="s">
        <v>448</v>
      </c>
      <c r="U63" t="s">
        <v>449</v>
      </c>
      <c r="V63" t="s">
        <v>150</v>
      </c>
      <c r="X63" t="s">
        <v>552</v>
      </c>
      <c r="Y63" t="s">
        <v>374</v>
      </c>
      <c r="Z63" t="s">
        <v>679</v>
      </c>
      <c r="AA63">
        <v>0.98218461904404952</v>
      </c>
      <c r="AB63">
        <v>326.61531752575877</v>
      </c>
      <c r="AD63" t="s">
        <v>445</v>
      </c>
      <c r="AE63" t="s">
        <v>814</v>
      </c>
      <c r="AF63" t="s">
        <v>815</v>
      </c>
      <c r="AG63" t="s">
        <v>10</v>
      </c>
      <c r="AH63" t="s">
        <v>20</v>
      </c>
      <c r="AI63" t="s">
        <v>449</v>
      </c>
      <c r="AJ63" t="s">
        <v>150</v>
      </c>
      <c r="AL63" t="s">
        <v>814</v>
      </c>
      <c r="AM63" t="s">
        <v>976</v>
      </c>
      <c r="AN63" t="s">
        <v>977</v>
      </c>
      <c r="AO63">
        <v>0.98333626289132436</v>
      </c>
      <c r="AP63">
        <v>305.50184699238736</v>
      </c>
    </row>
    <row r="64" spans="2:56">
      <c r="B64" t="s">
        <v>146</v>
      </c>
      <c r="C64" t="s">
        <v>255</v>
      </c>
      <c r="D64" t="s">
        <v>256</v>
      </c>
      <c r="E64" t="s">
        <v>10</v>
      </c>
      <c r="F64" t="s">
        <v>20</v>
      </c>
      <c r="G64" t="s">
        <v>149</v>
      </c>
      <c r="H64" t="s">
        <v>150</v>
      </c>
      <c r="J64" t="s">
        <v>255</v>
      </c>
      <c r="K64" t="s">
        <v>400</v>
      </c>
      <c r="L64">
        <v>4.7784210445493329</v>
      </c>
      <c r="M64">
        <v>0.19055394972808909</v>
      </c>
      <c r="O64" t="s">
        <v>445</v>
      </c>
      <c r="P64" t="s">
        <v>554</v>
      </c>
      <c r="Q64" t="s">
        <v>555</v>
      </c>
      <c r="R64" t="s">
        <v>10</v>
      </c>
      <c r="S64" t="s">
        <v>20</v>
      </c>
      <c r="T64" t="s">
        <v>448</v>
      </c>
      <c r="U64" t="s">
        <v>449</v>
      </c>
      <c r="V64" t="s">
        <v>150</v>
      </c>
      <c r="X64" t="s">
        <v>554</v>
      </c>
      <c r="Y64" t="s">
        <v>434</v>
      </c>
      <c r="Z64" t="s">
        <v>680</v>
      </c>
      <c r="AA64">
        <v>0.99847910710774135</v>
      </c>
      <c r="AB64">
        <v>27.883036358075909</v>
      </c>
      <c r="AD64" t="s">
        <v>445</v>
      </c>
      <c r="AE64" t="s">
        <v>816</v>
      </c>
      <c r="AF64" t="s">
        <v>817</v>
      </c>
      <c r="AG64" t="s">
        <v>10</v>
      </c>
      <c r="AH64" t="s">
        <v>20</v>
      </c>
      <c r="AI64" t="s">
        <v>449</v>
      </c>
      <c r="AJ64" t="s">
        <v>150</v>
      </c>
      <c r="AL64" t="s">
        <v>816</v>
      </c>
      <c r="AM64" t="s">
        <v>978</v>
      </c>
      <c r="AN64" t="s">
        <v>979</v>
      </c>
      <c r="AO64">
        <v>0.99580424242160948</v>
      </c>
      <c r="AP64">
        <v>76.922222270493648</v>
      </c>
    </row>
    <row r="65" spans="2:42">
      <c r="B65" t="s">
        <v>146</v>
      </c>
      <c r="C65" t="s">
        <v>257</v>
      </c>
      <c r="D65" t="s">
        <v>258</v>
      </c>
      <c r="E65" t="s">
        <v>10</v>
      </c>
      <c r="F65" t="s">
        <v>20</v>
      </c>
      <c r="G65" t="s">
        <v>149</v>
      </c>
      <c r="H65" t="s">
        <v>150</v>
      </c>
      <c r="J65" t="s">
        <v>257</v>
      </c>
      <c r="K65" t="s">
        <v>401</v>
      </c>
      <c r="L65">
        <v>5.8582525275311239</v>
      </c>
      <c r="M65">
        <v>0.18961451549268399</v>
      </c>
      <c r="O65" t="s">
        <v>445</v>
      </c>
      <c r="P65" t="s">
        <v>556</v>
      </c>
      <c r="Q65" t="s">
        <v>557</v>
      </c>
      <c r="R65" t="s">
        <v>10</v>
      </c>
      <c r="S65" t="s">
        <v>20</v>
      </c>
      <c r="T65" t="s">
        <v>448</v>
      </c>
      <c r="U65" t="s">
        <v>449</v>
      </c>
      <c r="V65" t="s">
        <v>150</v>
      </c>
      <c r="X65" t="s">
        <v>556</v>
      </c>
      <c r="Y65" t="s">
        <v>422</v>
      </c>
      <c r="Z65" t="s">
        <v>681</v>
      </c>
      <c r="AA65">
        <v>0.99830013108627691</v>
      </c>
      <c r="AB65">
        <v>31.164263418257661</v>
      </c>
      <c r="AD65" t="s">
        <v>445</v>
      </c>
      <c r="AE65" t="s">
        <v>818</v>
      </c>
      <c r="AF65" t="s">
        <v>819</v>
      </c>
      <c r="AG65" t="s">
        <v>10</v>
      </c>
      <c r="AH65" t="s">
        <v>20</v>
      </c>
      <c r="AI65" t="s">
        <v>449</v>
      </c>
      <c r="AJ65" t="s">
        <v>150</v>
      </c>
      <c r="AL65" t="s">
        <v>818</v>
      </c>
      <c r="AM65" t="s">
        <v>980</v>
      </c>
      <c r="AN65" t="s">
        <v>981</v>
      </c>
      <c r="AO65">
        <v>0.99143965884476559</v>
      </c>
      <c r="AP65">
        <v>156.93958784596441</v>
      </c>
    </row>
    <row r="66" spans="2:42">
      <c r="B66" t="s">
        <v>146</v>
      </c>
      <c r="C66" t="s">
        <v>259</v>
      </c>
      <c r="D66" t="s">
        <v>260</v>
      </c>
      <c r="E66" t="s">
        <v>10</v>
      </c>
      <c r="F66" t="s">
        <v>20</v>
      </c>
      <c r="G66" t="s">
        <v>149</v>
      </c>
      <c r="H66" t="s">
        <v>150</v>
      </c>
      <c r="J66" t="s">
        <v>259</v>
      </c>
      <c r="K66" t="s">
        <v>402</v>
      </c>
      <c r="L66">
        <v>2.0482662578553947</v>
      </c>
      <c r="M66">
        <v>0.18085090824803571</v>
      </c>
      <c r="O66" t="s">
        <v>445</v>
      </c>
      <c r="P66" t="s">
        <v>558</v>
      </c>
      <c r="Q66" t="s">
        <v>559</v>
      </c>
      <c r="R66" t="s">
        <v>10</v>
      </c>
      <c r="S66" t="s">
        <v>20</v>
      </c>
      <c r="T66" t="s">
        <v>448</v>
      </c>
      <c r="U66" t="s">
        <v>449</v>
      </c>
      <c r="V66" t="s">
        <v>150</v>
      </c>
      <c r="X66" t="s">
        <v>558</v>
      </c>
      <c r="Y66" t="s">
        <v>424</v>
      </c>
      <c r="Z66" t="s">
        <v>682</v>
      </c>
      <c r="AA66">
        <v>0.99408275357961784</v>
      </c>
      <c r="AB66">
        <v>108.48285104034026</v>
      </c>
      <c r="AD66" t="s">
        <v>445</v>
      </c>
      <c r="AE66" t="s">
        <v>820</v>
      </c>
      <c r="AF66" t="s">
        <v>821</v>
      </c>
      <c r="AG66" t="s">
        <v>10</v>
      </c>
      <c r="AH66" t="s">
        <v>20</v>
      </c>
      <c r="AI66" t="s">
        <v>449</v>
      </c>
      <c r="AJ66" t="s">
        <v>150</v>
      </c>
      <c r="AL66" t="s">
        <v>820</v>
      </c>
      <c r="AM66" t="s">
        <v>982</v>
      </c>
      <c r="AN66" t="s">
        <v>983</v>
      </c>
      <c r="AO66">
        <v>0.99423423237135644</v>
      </c>
      <c r="AP66">
        <v>105.70573985846545</v>
      </c>
    </row>
    <row r="67" spans="2:42">
      <c r="B67" t="s">
        <v>146</v>
      </c>
      <c r="C67" t="s">
        <v>261</v>
      </c>
      <c r="D67" t="s">
        <v>262</v>
      </c>
      <c r="E67" t="s">
        <v>10</v>
      </c>
      <c r="F67" t="s">
        <v>20</v>
      </c>
      <c r="G67" t="s">
        <v>149</v>
      </c>
      <c r="H67" t="s">
        <v>150</v>
      </c>
      <c r="J67" t="s">
        <v>261</v>
      </c>
      <c r="K67" t="s">
        <v>403</v>
      </c>
      <c r="L67">
        <v>34.956081684251856</v>
      </c>
      <c r="M67">
        <v>0.1979686218007094</v>
      </c>
      <c r="O67" t="s">
        <v>445</v>
      </c>
      <c r="P67" t="s">
        <v>560</v>
      </c>
      <c r="Q67" t="s">
        <v>561</v>
      </c>
      <c r="R67" t="s">
        <v>10</v>
      </c>
      <c r="S67" t="s">
        <v>20</v>
      </c>
      <c r="T67" t="s">
        <v>448</v>
      </c>
      <c r="U67" t="s">
        <v>449</v>
      </c>
      <c r="V67" t="s">
        <v>150</v>
      </c>
      <c r="X67" t="s">
        <v>560</v>
      </c>
      <c r="Y67" t="s">
        <v>361</v>
      </c>
      <c r="Z67" t="s">
        <v>683</v>
      </c>
      <c r="AA67">
        <v>0.9719447908127189</v>
      </c>
      <c r="AB67">
        <v>514.34550176681955</v>
      </c>
      <c r="AD67" t="s">
        <v>445</v>
      </c>
      <c r="AE67" t="s">
        <v>822</v>
      </c>
      <c r="AF67" t="s">
        <v>823</v>
      </c>
      <c r="AG67" t="s">
        <v>10</v>
      </c>
      <c r="AH67" t="s">
        <v>20</v>
      </c>
      <c r="AI67" t="s">
        <v>449</v>
      </c>
      <c r="AJ67" t="s">
        <v>150</v>
      </c>
      <c r="AL67" t="s">
        <v>822</v>
      </c>
      <c r="AM67" t="s">
        <v>984</v>
      </c>
      <c r="AN67" t="s">
        <v>647</v>
      </c>
      <c r="AO67">
        <v>0.96634981065643422</v>
      </c>
      <c r="AP67">
        <v>616.9201379653731</v>
      </c>
    </row>
    <row r="68" spans="2:42">
      <c r="B68" t="s">
        <v>146</v>
      </c>
      <c r="C68" t="s">
        <v>263</v>
      </c>
      <c r="D68" t="s">
        <v>264</v>
      </c>
      <c r="E68" t="s">
        <v>10</v>
      </c>
      <c r="F68" t="s">
        <v>20</v>
      </c>
      <c r="G68" t="s">
        <v>149</v>
      </c>
      <c r="H68" t="s">
        <v>150</v>
      </c>
      <c r="J68" t="s">
        <v>263</v>
      </c>
      <c r="K68" t="s">
        <v>404</v>
      </c>
      <c r="L68">
        <v>11.443466910776891</v>
      </c>
      <c r="M68">
        <v>0.1887989218876652</v>
      </c>
      <c r="O68" t="s">
        <v>445</v>
      </c>
      <c r="P68" t="s">
        <v>562</v>
      </c>
      <c r="Q68" t="s">
        <v>563</v>
      </c>
      <c r="R68" t="s">
        <v>10</v>
      </c>
      <c r="S68" t="s">
        <v>20</v>
      </c>
      <c r="T68" t="s">
        <v>448</v>
      </c>
      <c r="U68" t="s">
        <v>449</v>
      </c>
      <c r="V68" t="s">
        <v>150</v>
      </c>
      <c r="X68" t="s">
        <v>562</v>
      </c>
      <c r="Y68" t="s">
        <v>406</v>
      </c>
      <c r="Z68" t="s">
        <v>684</v>
      </c>
      <c r="AA68">
        <v>0.99655071603273171</v>
      </c>
      <c r="AB68">
        <v>63.236872733251452</v>
      </c>
      <c r="AD68" t="s">
        <v>445</v>
      </c>
      <c r="AE68" t="s">
        <v>824</v>
      </c>
      <c r="AF68" t="s">
        <v>825</v>
      </c>
      <c r="AG68" t="s">
        <v>10</v>
      </c>
      <c r="AH68" t="s">
        <v>20</v>
      </c>
      <c r="AI68" t="s">
        <v>449</v>
      </c>
      <c r="AJ68" t="s">
        <v>150</v>
      </c>
      <c r="AL68" t="s">
        <v>824</v>
      </c>
      <c r="AM68" t="s">
        <v>985</v>
      </c>
      <c r="AN68" t="s">
        <v>986</v>
      </c>
      <c r="AO68">
        <v>0.99393164723700467</v>
      </c>
      <c r="AP68">
        <v>111.25313398824829</v>
      </c>
    </row>
    <row r="69" spans="2:42">
      <c r="B69" t="s">
        <v>146</v>
      </c>
      <c r="C69" t="s">
        <v>265</v>
      </c>
      <c r="D69" t="s">
        <v>266</v>
      </c>
      <c r="E69" t="s">
        <v>10</v>
      </c>
      <c r="F69" t="s">
        <v>20</v>
      </c>
      <c r="G69" t="s">
        <v>149</v>
      </c>
      <c r="H69" t="s">
        <v>150</v>
      </c>
      <c r="J69" t="s">
        <v>265</v>
      </c>
      <c r="K69" t="s">
        <v>405</v>
      </c>
      <c r="L69">
        <v>5.4072061297585625</v>
      </c>
      <c r="M69">
        <v>0.1756016323987076</v>
      </c>
      <c r="O69" t="s">
        <v>445</v>
      </c>
      <c r="P69" t="s">
        <v>564</v>
      </c>
      <c r="Q69" t="s">
        <v>565</v>
      </c>
      <c r="R69" t="s">
        <v>10</v>
      </c>
      <c r="S69" t="s">
        <v>20</v>
      </c>
      <c r="T69" t="s">
        <v>448</v>
      </c>
      <c r="U69" t="s">
        <v>449</v>
      </c>
      <c r="V69" t="s">
        <v>150</v>
      </c>
      <c r="X69" t="s">
        <v>564</v>
      </c>
      <c r="Y69" t="s">
        <v>368</v>
      </c>
      <c r="Z69" t="s">
        <v>649</v>
      </c>
      <c r="AA69">
        <v>0.94017535716671519</v>
      </c>
      <c r="AB69">
        <v>1096.7851186102214</v>
      </c>
      <c r="AD69" t="s">
        <v>445</v>
      </c>
      <c r="AE69" t="s">
        <v>826</v>
      </c>
      <c r="AF69" t="s">
        <v>827</v>
      </c>
      <c r="AG69" t="s">
        <v>10</v>
      </c>
      <c r="AH69" t="s">
        <v>20</v>
      </c>
      <c r="AI69" t="s">
        <v>449</v>
      </c>
      <c r="AJ69" t="s">
        <v>150</v>
      </c>
      <c r="AL69" t="s">
        <v>826</v>
      </c>
      <c r="AM69" t="s">
        <v>987</v>
      </c>
      <c r="AN69" t="s">
        <v>988</v>
      </c>
      <c r="AO69">
        <v>0.99746342019371192</v>
      </c>
      <c r="AP69">
        <v>46.503963115281117</v>
      </c>
    </row>
    <row r="70" spans="2:42">
      <c r="B70" t="s">
        <v>146</v>
      </c>
      <c r="C70" t="s">
        <v>267</v>
      </c>
      <c r="D70" t="s">
        <v>268</v>
      </c>
      <c r="E70" t="s">
        <v>10</v>
      </c>
      <c r="F70" t="s">
        <v>20</v>
      </c>
      <c r="G70" t="s">
        <v>149</v>
      </c>
      <c r="H70" t="s">
        <v>150</v>
      </c>
      <c r="J70" t="s">
        <v>267</v>
      </c>
      <c r="K70" t="s">
        <v>406</v>
      </c>
      <c r="L70">
        <v>1.8070951754802005</v>
      </c>
      <c r="M70">
        <v>0.1702280436219471</v>
      </c>
      <c r="O70" t="s">
        <v>445</v>
      </c>
      <c r="P70" t="s">
        <v>566</v>
      </c>
      <c r="Q70" t="s">
        <v>567</v>
      </c>
      <c r="R70" t="s">
        <v>10</v>
      </c>
      <c r="S70" t="s">
        <v>20</v>
      </c>
      <c r="T70" t="s">
        <v>448</v>
      </c>
      <c r="U70" t="s">
        <v>449</v>
      </c>
      <c r="V70" t="s">
        <v>150</v>
      </c>
      <c r="X70" t="s">
        <v>566</v>
      </c>
      <c r="Y70" t="s">
        <v>360</v>
      </c>
      <c r="Z70" t="s">
        <v>654</v>
      </c>
      <c r="AA70">
        <v>0.98182986571182285</v>
      </c>
      <c r="AB70">
        <v>333.11912861658175</v>
      </c>
      <c r="AD70" t="s">
        <v>445</v>
      </c>
      <c r="AE70" t="s">
        <v>828</v>
      </c>
      <c r="AF70" t="s">
        <v>829</v>
      </c>
      <c r="AG70" t="s">
        <v>10</v>
      </c>
      <c r="AH70" t="s">
        <v>20</v>
      </c>
      <c r="AI70" t="s">
        <v>449</v>
      </c>
      <c r="AJ70" t="s">
        <v>150</v>
      </c>
      <c r="AL70" t="s">
        <v>828</v>
      </c>
      <c r="AM70" t="s">
        <v>989</v>
      </c>
      <c r="AN70" t="s">
        <v>990</v>
      </c>
      <c r="AO70">
        <v>0.99690141662376341</v>
      </c>
      <c r="AP70">
        <v>56.80736189767017</v>
      </c>
    </row>
    <row r="71" spans="2:42">
      <c r="B71" t="s">
        <v>146</v>
      </c>
      <c r="C71" t="s">
        <v>269</v>
      </c>
      <c r="D71" t="s">
        <v>270</v>
      </c>
      <c r="E71" t="s">
        <v>10</v>
      </c>
      <c r="F71" t="s">
        <v>20</v>
      </c>
      <c r="G71" t="s">
        <v>149</v>
      </c>
      <c r="H71" t="s">
        <v>150</v>
      </c>
      <c r="J71" t="s">
        <v>269</v>
      </c>
      <c r="K71" t="s">
        <v>407</v>
      </c>
      <c r="L71">
        <v>3.8130848718319239</v>
      </c>
      <c r="M71">
        <v>0.166444034500602</v>
      </c>
      <c r="O71" t="s">
        <v>445</v>
      </c>
      <c r="P71" t="s">
        <v>568</v>
      </c>
      <c r="Q71" t="s">
        <v>569</v>
      </c>
      <c r="R71" t="s">
        <v>10</v>
      </c>
      <c r="S71" t="s">
        <v>20</v>
      </c>
      <c r="T71" t="s">
        <v>448</v>
      </c>
      <c r="U71" t="s">
        <v>449</v>
      </c>
      <c r="V71" t="s">
        <v>150</v>
      </c>
      <c r="X71" t="s">
        <v>568</v>
      </c>
      <c r="Y71" t="s">
        <v>359</v>
      </c>
      <c r="Z71" t="s">
        <v>685</v>
      </c>
      <c r="AA71">
        <v>0.99024931522063975</v>
      </c>
      <c r="AB71">
        <v>178.76255428827085</v>
      </c>
      <c r="AD71" t="s">
        <v>445</v>
      </c>
      <c r="AE71" t="s">
        <v>830</v>
      </c>
      <c r="AF71" t="s">
        <v>831</v>
      </c>
      <c r="AG71" t="s">
        <v>10</v>
      </c>
      <c r="AH71" t="s">
        <v>20</v>
      </c>
      <c r="AI71" t="s">
        <v>449</v>
      </c>
      <c r="AJ71" t="s">
        <v>150</v>
      </c>
      <c r="AL71" t="s">
        <v>830</v>
      </c>
      <c r="AM71" t="s">
        <v>991</v>
      </c>
      <c r="AN71" t="s">
        <v>661</v>
      </c>
      <c r="AO71">
        <v>0.9643711256064017</v>
      </c>
      <c r="AP71">
        <v>653.19603054930235</v>
      </c>
    </row>
    <row r="72" spans="2:42">
      <c r="B72" t="s">
        <v>146</v>
      </c>
      <c r="C72" t="s">
        <v>271</v>
      </c>
      <c r="D72" t="s">
        <v>272</v>
      </c>
      <c r="E72" t="s">
        <v>10</v>
      </c>
      <c r="F72" t="s">
        <v>20</v>
      </c>
      <c r="G72" t="s">
        <v>149</v>
      </c>
      <c r="H72" t="s">
        <v>150</v>
      </c>
      <c r="J72" t="s">
        <v>271</v>
      </c>
      <c r="K72" t="s">
        <v>408</v>
      </c>
      <c r="L72">
        <v>3.8938223796214806</v>
      </c>
      <c r="M72">
        <v>0.1633005104661886</v>
      </c>
      <c r="O72" t="s">
        <v>445</v>
      </c>
      <c r="P72" t="s">
        <v>570</v>
      </c>
      <c r="Q72" t="s">
        <v>571</v>
      </c>
      <c r="R72" t="s">
        <v>10</v>
      </c>
      <c r="S72" t="s">
        <v>20</v>
      </c>
      <c r="T72" t="s">
        <v>448</v>
      </c>
      <c r="U72" t="s">
        <v>449</v>
      </c>
      <c r="V72" t="s">
        <v>150</v>
      </c>
      <c r="X72" t="s">
        <v>570</v>
      </c>
      <c r="Y72" t="s">
        <v>411</v>
      </c>
      <c r="Z72" t="s">
        <v>686</v>
      </c>
      <c r="AA72">
        <v>0.99501647162473339</v>
      </c>
      <c r="AB72">
        <v>91.364686879888396</v>
      </c>
      <c r="AD72" t="s">
        <v>445</v>
      </c>
      <c r="AE72" t="s">
        <v>832</v>
      </c>
      <c r="AF72" t="s">
        <v>833</v>
      </c>
      <c r="AG72" t="s">
        <v>10</v>
      </c>
      <c r="AH72" t="s">
        <v>20</v>
      </c>
      <c r="AI72" t="s">
        <v>449</v>
      </c>
      <c r="AJ72" t="s">
        <v>150</v>
      </c>
      <c r="AL72" t="s">
        <v>832</v>
      </c>
      <c r="AM72" t="s">
        <v>992</v>
      </c>
      <c r="AN72" t="s">
        <v>649</v>
      </c>
      <c r="AO72">
        <v>0.99099266826252508</v>
      </c>
      <c r="AP72">
        <v>165.13441518704016</v>
      </c>
    </row>
    <row r="73" spans="2:42">
      <c r="B73" t="s">
        <v>146</v>
      </c>
      <c r="C73" t="s">
        <v>273</v>
      </c>
      <c r="D73" t="s">
        <v>274</v>
      </c>
      <c r="E73" t="s">
        <v>10</v>
      </c>
      <c r="F73" t="s">
        <v>20</v>
      </c>
      <c r="G73" t="s">
        <v>149</v>
      </c>
      <c r="H73" t="s">
        <v>150</v>
      </c>
      <c r="J73" t="s">
        <v>273</v>
      </c>
      <c r="K73" t="s">
        <v>409</v>
      </c>
      <c r="L73">
        <v>1.6666652266794497</v>
      </c>
      <c r="M73">
        <v>0.1588725128002747</v>
      </c>
      <c r="O73" t="s">
        <v>445</v>
      </c>
      <c r="P73" t="s">
        <v>572</v>
      </c>
      <c r="Q73" t="s">
        <v>573</v>
      </c>
      <c r="R73" t="s">
        <v>10</v>
      </c>
      <c r="S73" t="s">
        <v>20</v>
      </c>
      <c r="T73" t="s">
        <v>448</v>
      </c>
      <c r="U73" t="s">
        <v>449</v>
      </c>
      <c r="V73" t="s">
        <v>150</v>
      </c>
      <c r="X73" t="s">
        <v>572</v>
      </c>
      <c r="Y73" t="s">
        <v>437</v>
      </c>
      <c r="Z73" t="s">
        <v>687</v>
      </c>
      <c r="AA73">
        <v>0.99545036495775863</v>
      </c>
      <c r="AB73">
        <v>83.409975774425632</v>
      </c>
      <c r="AD73" t="s">
        <v>445</v>
      </c>
      <c r="AE73" t="s">
        <v>834</v>
      </c>
      <c r="AF73" t="s">
        <v>835</v>
      </c>
      <c r="AG73" t="s">
        <v>10</v>
      </c>
      <c r="AH73" t="s">
        <v>20</v>
      </c>
      <c r="AI73" t="s">
        <v>449</v>
      </c>
      <c r="AJ73" t="s">
        <v>150</v>
      </c>
      <c r="AL73" t="s">
        <v>834</v>
      </c>
      <c r="AM73" t="s">
        <v>993</v>
      </c>
      <c r="AN73" t="s">
        <v>670</v>
      </c>
      <c r="AO73">
        <v>0.96623363784081273</v>
      </c>
      <c r="AP73">
        <v>619.04997291843438</v>
      </c>
    </row>
    <row r="74" spans="2:42">
      <c r="B74" t="s">
        <v>146</v>
      </c>
      <c r="C74" t="s">
        <v>275</v>
      </c>
      <c r="D74" t="s">
        <v>276</v>
      </c>
      <c r="E74" t="s">
        <v>10</v>
      </c>
      <c r="F74" t="s">
        <v>20</v>
      </c>
      <c r="G74" t="s">
        <v>149</v>
      </c>
      <c r="H74" t="s">
        <v>150</v>
      </c>
      <c r="J74" t="s">
        <v>275</v>
      </c>
      <c r="K74" t="s">
        <v>410</v>
      </c>
      <c r="L74">
        <v>2.0110321167225704</v>
      </c>
      <c r="M74">
        <v>0.1745691736675839</v>
      </c>
      <c r="O74" t="s">
        <v>445</v>
      </c>
      <c r="P74" t="s">
        <v>574</v>
      </c>
      <c r="Q74" t="s">
        <v>575</v>
      </c>
      <c r="R74" t="s">
        <v>10</v>
      </c>
      <c r="S74" t="s">
        <v>20</v>
      </c>
      <c r="T74" t="s">
        <v>448</v>
      </c>
      <c r="U74" t="s">
        <v>449</v>
      </c>
      <c r="V74" t="s">
        <v>150</v>
      </c>
      <c r="X74" t="s">
        <v>574</v>
      </c>
      <c r="Y74" t="s">
        <v>362</v>
      </c>
      <c r="Z74" t="s">
        <v>649</v>
      </c>
      <c r="AA74">
        <v>0.95110913617470227</v>
      </c>
      <c r="AB74">
        <v>896.33250346379077</v>
      </c>
      <c r="AD74" t="s">
        <v>445</v>
      </c>
      <c r="AE74" t="s">
        <v>836</v>
      </c>
      <c r="AF74" t="s">
        <v>837</v>
      </c>
      <c r="AG74" t="s">
        <v>10</v>
      </c>
      <c r="AH74" t="s">
        <v>20</v>
      </c>
      <c r="AI74" t="s">
        <v>449</v>
      </c>
      <c r="AJ74" t="s">
        <v>150</v>
      </c>
      <c r="AL74" t="s">
        <v>836</v>
      </c>
      <c r="AM74" t="s">
        <v>994</v>
      </c>
      <c r="AN74" t="s">
        <v>701</v>
      </c>
      <c r="AO74">
        <v>0.9937244183974584</v>
      </c>
      <c r="AP74">
        <v>115.0523293799298</v>
      </c>
    </row>
    <row r="75" spans="2:42">
      <c r="B75" t="s">
        <v>146</v>
      </c>
      <c r="C75" t="s">
        <v>277</v>
      </c>
      <c r="D75" t="s">
        <v>278</v>
      </c>
      <c r="E75" t="s">
        <v>10</v>
      </c>
      <c r="F75" t="s">
        <v>20</v>
      </c>
      <c r="G75" t="s">
        <v>149</v>
      </c>
      <c r="H75" t="s">
        <v>150</v>
      </c>
      <c r="J75" t="s">
        <v>277</v>
      </c>
      <c r="K75" t="s">
        <v>411</v>
      </c>
      <c r="L75">
        <v>4.47915718141547</v>
      </c>
      <c r="M75">
        <v>0.1649864364289631</v>
      </c>
      <c r="O75" t="s">
        <v>445</v>
      </c>
      <c r="P75" t="s">
        <v>576</v>
      </c>
      <c r="Q75" t="s">
        <v>577</v>
      </c>
      <c r="R75" t="s">
        <v>10</v>
      </c>
      <c r="S75" t="s">
        <v>20</v>
      </c>
      <c r="T75" t="s">
        <v>448</v>
      </c>
      <c r="U75" t="s">
        <v>449</v>
      </c>
      <c r="V75" t="s">
        <v>150</v>
      </c>
      <c r="X75" t="s">
        <v>576</v>
      </c>
      <c r="Y75" t="s">
        <v>357</v>
      </c>
      <c r="Z75" t="s">
        <v>688</v>
      </c>
      <c r="AA75">
        <v>0.96488357195289265</v>
      </c>
      <c r="AB75">
        <v>643.80118086363541</v>
      </c>
      <c r="AD75" t="s">
        <v>445</v>
      </c>
      <c r="AE75" t="s">
        <v>838</v>
      </c>
      <c r="AF75" t="s">
        <v>839</v>
      </c>
      <c r="AG75" t="s">
        <v>10</v>
      </c>
      <c r="AH75" t="s">
        <v>20</v>
      </c>
      <c r="AI75" t="s">
        <v>449</v>
      </c>
      <c r="AJ75" t="s">
        <v>150</v>
      </c>
      <c r="AL75" t="s">
        <v>838</v>
      </c>
      <c r="AM75" t="s">
        <v>995</v>
      </c>
      <c r="AN75" t="s">
        <v>657</v>
      </c>
      <c r="AO75">
        <v>0.93186769579006068</v>
      </c>
      <c r="AP75">
        <v>1249.0922438488865</v>
      </c>
    </row>
    <row r="76" spans="2:42">
      <c r="B76" t="s">
        <v>146</v>
      </c>
      <c r="C76" t="s">
        <v>279</v>
      </c>
      <c r="D76" t="s">
        <v>280</v>
      </c>
      <c r="E76" t="s">
        <v>10</v>
      </c>
      <c r="F76" t="s">
        <v>20</v>
      </c>
      <c r="G76" t="s">
        <v>149</v>
      </c>
      <c r="H76" t="s">
        <v>150</v>
      </c>
      <c r="J76" t="s">
        <v>279</v>
      </c>
      <c r="K76" t="s">
        <v>412</v>
      </c>
      <c r="L76">
        <v>0.52208445627544664</v>
      </c>
      <c r="M76">
        <v>0.15714892809532949</v>
      </c>
      <c r="O76" t="s">
        <v>445</v>
      </c>
      <c r="P76" t="s">
        <v>578</v>
      </c>
      <c r="Q76" t="s">
        <v>579</v>
      </c>
      <c r="R76" t="s">
        <v>10</v>
      </c>
      <c r="S76" t="s">
        <v>20</v>
      </c>
      <c r="T76" t="s">
        <v>448</v>
      </c>
      <c r="U76" t="s">
        <v>449</v>
      </c>
      <c r="V76" t="s">
        <v>150</v>
      </c>
      <c r="X76" t="s">
        <v>578</v>
      </c>
      <c r="Y76" t="s">
        <v>350</v>
      </c>
      <c r="Z76" t="s">
        <v>689</v>
      </c>
      <c r="AA76">
        <v>0.99397024960358282</v>
      </c>
      <c r="AB76">
        <v>110.54542393431565</v>
      </c>
      <c r="AD76" t="s">
        <v>445</v>
      </c>
      <c r="AE76" t="s">
        <v>840</v>
      </c>
      <c r="AF76" t="s">
        <v>841</v>
      </c>
      <c r="AG76" t="s">
        <v>10</v>
      </c>
      <c r="AH76" t="s">
        <v>20</v>
      </c>
      <c r="AI76" t="s">
        <v>449</v>
      </c>
      <c r="AJ76" t="s">
        <v>150</v>
      </c>
      <c r="AL76" t="s">
        <v>840</v>
      </c>
      <c r="AM76" t="s">
        <v>996</v>
      </c>
      <c r="AN76" t="s">
        <v>661</v>
      </c>
      <c r="AO76">
        <v>0.94664324606770156</v>
      </c>
      <c r="AP76">
        <v>978.20715542547146</v>
      </c>
    </row>
    <row r="77" spans="2:42">
      <c r="B77" t="s">
        <v>146</v>
      </c>
      <c r="C77" t="s">
        <v>281</v>
      </c>
      <c r="D77" t="s">
        <v>282</v>
      </c>
      <c r="E77" t="s">
        <v>10</v>
      </c>
      <c r="F77" t="s">
        <v>20</v>
      </c>
      <c r="G77" t="s">
        <v>149</v>
      </c>
      <c r="H77" t="s">
        <v>150</v>
      </c>
      <c r="J77" t="s">
        <v>281</v>
      </c>
      <c r="K77" t="s">
        <v>413</v>
      </c>
      <c r="L77">
        <v>0.29715042314966145</v>
      </c>
      <c r="M77">
        <v>0.16911784233582761</v>
      </c>
      <c r="O77" t="s">
        <v>445</v>
      </c>
      <c r="P77" t="s">
        <v>580</v>
      </c>
      <c r="Q77" t="s">
        <v>581</v>
      </c>
      <c r="R77" t="s">
        <v>10</v>
      </c>
      <c r="S77" t="s">
        <v>20</v>
      </c>
      <c r="T77" t="s">
        <v>448</v>
      </c>
      <c r="U77" t="s">
        <v>449</v>
      </c>
      <c r="V77" t="s">
        <v>150</v>
      </c>
      <c r="X77" t="s">
        <v>580</v>
      </c>
      <c r="Y77" t="s">
        <v>370</v>
      </c>
      <c r="Z77" t="s">
        <v>649</v>
      </c>
      <c r="AA77">
        <v>0.98138635372944616</v>
      </c>
      <c r="AB77">
        <v>341.25018162681971</v>
      </c>
      <c r="AD77" t="s">
        <v>445</v>
      </c>
      <c r="AE77" t="s">
        <v>842</v>
      </c>
      <c r="AF77" t="s">
        <v>843</v>
      </c>
      <c r="AG77" t="s">
        <v>10</v>
      </c>
      <c r="AH77" t="s">
        <v>20</v>
      </c>
      <c r="AI77" t="s">
        <v>449</v>
      </c>
      <c r="AJ77" t="s">
        <v>150</v>
      </c>
      <c r="AL77" t="s">
        <v>842</v>
      </c>
      <c r="AM77" t="s">
        <v>997</v>
      </c>
      <c r="AN77" t="s">
        <v>654</v>
      </c>
      <c r="AO77">
        <v>0.96085367337953664</v>
      </c>
      <c r="AP77">
        <v>717.68265470849451</v>
      </c>
    </row>
    <row r="78" spans="2:42">
      <c r="B78" t="s">
        <v>146</v>
      </c>
      <c r="C78" t="s">
        <v>283</v>
      </c>
      <c r="D78" t="s">
        <v>284</v>
      </c>
      <c r="E78" t="s">
        <v>10</v>
      </c>
      <c r="F78" t="s">
        <v>20</v>
      </c>
      <c r="G78" t="s">
        <v>149</v>
      </c>
      <c r="H78" t="s">
        <v>150</v>
      </c>
      <c r="J78" t="s">
        <v>283</v>
      </c>
      <c r="K78" t="s">
        <v>414</v>
      </c>
      <c r="L78">
        <v>0.51072149615225937</v>
      </c>
      <c r="M78">
        <v>0.15789864560035649</v>
      </c>
      <c r="O78" t="s">
        <v>445</v>
      </c>
      <c r="P78" t="s">
        <v>582</v>
      </c>
      <c r="Q78" t="s">
        <v>583</v>
      </c>
      <c r="R78" t="s">
        <v>10</v>
      </c>
      <c r="S78" t="s">
        <v>20</v>
      </c>
      <c r="T78" t="s">
        <v>448</v>
      </c>
      <c r="U78" t="s">
        <v>449</v>
      </c>
      <c r="V78" t="s">
        <v>150</v>
      </c>
      <c r="X78" t="s">
        <v>582</v>
      </c>
      <c r="Y78" t="s">
        <v>412</v>
      </c>
      <c r="Z78" t="s">
        <v>690</v>
      </c>
      <c r="AA78">
        <v>0.99502756316390695</v>
      </c>
      <c r="AB78">
        <v>91.161341995039152</v>
      </c>
      <c r="AD78" t="s">
        <v>445</v>
      </c>
      <c r="AE78" t="s">
        <v>844</v>
      </c>
      <c r="AF78" t="s">
        <v>845</v>
      </c>
      <c r="AG78" t="s">
        <v>10</v>
      </c>
      <c r="AH78" t="s">
        <v>20</v>
      </c>
      <c r="AI78" t="s">
        <v>449</v>
      </c>
      <c r="AJ78" t="s">
        <v>150</v>
      </c>
      <c r="AL78" t="s">
        <v>844</v>
      </c>
      <c r="AM78" t="s">
        <v>998</v>
      </c>
      <c r="AN78" t="s">
        <v>649</v>
      </c>
      <c r="AO78">
        <v>0.94667937507615152</v>
      </c>
      <c r="AP78">
        <v>977.54479027055595</v>
      </c>
    </row>
    <row r="79" spans="2:42">
      <c r="B79" t="s">
        <v>146</v>
      </c>
      <c r="C79" t="s">
        <v>285</v>
      </c>
      <c r="D79" t="s">
        <v>286</v>
      </c>
      <c r="E79" t="s">
        <v>10</v>
      </c>
      <c r="F79" t="s">
        <v>20</v>
      </c>
      <c r="G79" t="s">
        <v>149</v>
      </c>
      <c r="H79" t="s">
        <v>150</v>
      </c>
      <c r="J79" t="s">
        <v>285</v>
      </c>
      <c r="K79" t="s">
        <v>415</v>
      </c>
      <c r="L79">
        <v>1.2883135491709132</v>
      </c>
      <c r="M79">
        <v>0.1748249574406868</v>
      </c>
      <c r="O79" t="s">
        <v>445</v>
      </c>
      <c r="P79" t="s">
        <v>584</v>
      </c>
      <c r="Q79" t="s">
        <v>585</v>
      </c>
      <c r="R79" t="s">
        <v>10</v>
      </c>
      <c r="S79" t="s">
        <v>20</v>
      </c>
      <c r="T79" t="s">
        <v>448</v>
      </c>
      <c r="U79" t="s">
        <v>449</v>
      </c>
      <c r="V79" t="s">
        <v>150</v>
      </c>
      <c r="X79" t="s">
        <v>584</v>
      </c>
      <c r="Y79" t="s">
        <v>427</v>
      </c>
      <c r="Z79" t="s">
        <v>691</v>
      </c>
      <c r="AA79">
        <v>0.99219726142231079</v>
      </c>
      <c r="AB79">
        <v>143.05020725763492</v>
      </c>
      <c r="AD79" t="s">
        <v>445</v>
      </c>
      <c r="AE79" t="s">
        <v>846</v>
      </c>
      <c r="AF79" t="s">
        <v>847</v>
      </c>
      <c r="AG79" t="s">
        <v>10</v>
      </c>
      <c r="AH79" t="s">
        <v>20</v>
      </c>
      <c r="AI79" t="s">
        <v>449</v>
      </c>
      <c r="AJ79" t="s">
        <v>150</v>
      </c>
      <c r="AL79" t="s">
        <v>846</v>
      </c>
      <c r="AM79" t="s">
        <v>999</v>
      </c>
      <c r="AN79" t="s">
        <v>658</v>
      </c>
      <c r="AO79">
        <v>0.99485429484434884</v>
      </c>
      <c r="AP79">
        <v>94.33792785360508</v>
      </c>
    </row>
    <row r="80" spans="2:42">
      <c r="B80" t="s">
        <v>146</v>
      </c>
      <c r="C80" t="s">
        <v>287</v>
      </c>
      <c r="D80" t="s">
        <v>288</v>
      </c>
      <c r="E80" t="s">
        <v>10</v>
      </c>
      <c r="F80" t="s">
        <v>20</v>
      </c>
      <c r="G80" t="s">
        <v>149</v>
      </c>
      <c r="H80" t="s">
        <v>150</v>
      </c>
      <c r="J80" t="s">
        <v>287</v>
      </c>
      <c r="K80" t="s">
        <v>416</v>
      </c>
      <c r="L80">
        <v>1.902673948246115</v>
      </c>
      <c r="M80">
        <v>0.1779448071564288</v>
      </c>
      <c r="O80" t="s">
        <v>445</v>
      </c>
      <c r="P80" t="s">
        <v>586</v>
      </c>
      <c r="Q80" t="s">
        <v>587</v>
      </c>
      <c r="R80" t="s">
        <v>10</v>
      </c>
      <c r="S80" t="s">
        <v>20</v>
      </c>
      <c r="T80" t="s">
        <v>448</v>
      </c>
      <c r="U80" t="s">
        <v>449</v>
      </c>
      <c r="V80" t="s">
        <v>150</v>
      </c>
      <c r="X80" t="s">
        <v>586</v>
      </c>
      <c r="Y80" t="s">
        <v>402</v>
      </c>
      <c r="Z80" t="s">
        <v>692</v>
      </c>
      <c r="AA80">
        <v>0.99809443707900702</v>
      </c>
      <c r="AB80">
        <v>34.93532021820478</v>
      </c>
      <c r="AD80" t="s">
        <v>445</v>
      </c>
      <c r="AE80" t="s">
        <v>848</v>
      </c>
      <c r="AF80" t="s">
        <v>849</v>
      </c>
      <c r="AG80" t="s">
        <v>10</v>
      </c>
      <c r="AH80" t="s">
        <v>20</v>
      </c>
      <c r="AI80" t="s">
        <v>449</v>
      </c>
      <c r="AJ80" t="s">
        <v>150</v>
      </c>
      <c r="AL80" t="s">
        <v>848</v>
      </c>
      <c r="AM80" t="s">
        <v>1000</v>
      </c>
      <c r="AN80" t="s">
        <v>1001</v>
      </c>
      <c r="AO80">
        <v>0.99104002253663459</v>
      </c>
      <c r="AP80">
        <v>164.26625349503158</v>
      </c>
    </row>
    <row r="81" spans="2:42">
      <c r="B81" t="s">
        <v>146</v>
      </c>
      <c r="C81" t="s">
        <v>289</v>
      </c>
      <c r="D81" t="s">
        <v>290</v>
      </c>
      <c r="E81" t="s">
        <v>10</v>
      </c>
      <c r="F81" t="s">
        <v>20</v>
      </c>
      <c r="G81" t="s">
        <v>149</v>
      </c>
      <c r="H81" t="s">
        <v>150</v>
      </c>
      <c r="J81" t="s">
        <v>289</v>
      </c>
      <c r="K81" t="s">
        <v>417</v>
      </c>
      <c r="L81">
        <v>0.40214093154336372</v>
      </c>
      <c r="M81">
        <v>0.1693223772410534</v>
      </c>
      <c r="O81" t="s">
        <v>445</v>
      </c>
      <c r="P81" t="s">
        <v>588</v>
      </c>
      <c r="Q81" t="s">
        <v>589</v>
      </c>
      <c r="R81" t="s">
        <v>10</v>
      </c>
      <c r="S81" t="s">
        <v>20</v>
      </c>
      <c r="T81" t="s">
        <v>448</v>
      </c>
      <c r="U81" t="s">
        <v>449</v>
      </c>
      <c r="V81" t="s">
        <v>150</v>
      </c>
      <c r="X81" t="s">
        <v>588</v>
      </c>
      <c r="Y81" t="s">
        <v>426</v>
      </c>
      <c r="Z81" t="s">
        <v>693</v>
      </c>
      <c r="AA81">
        <v>0.99741667924532684</v>
      </c>
      <c r="AB81">
        <v>47.360880502342191</v>
      </c>
      <c r="AD81" t="s">
        <v>445</v>
      </c>
      <c r="AE81" t="s">
        <v>850</v>
      </c>
      <c r="AF81" t="s">
        <v>851</v>
      </c>
      <c r="AG81" t="s">
        <v>10</v>
      </c>
      <c r="AH81" t="s">
        <v>20</v>
      </c>
      <c r="AI81" t="s">
        <v>449</v>
      </c>
      <c r="AJ81" t="s">
        <v>150</v>
      </c>
      <c r="AL81" t="s">
        <v>850</v>
      </c>
      <c r="AM81" t="s">
        <v>1002</v>
      </c>
      <c r="AN81" t="s">
        <v>1003</v>
      </c>
      <c r="AO81">
        <v>0.98218033156447682</v>
      </c>
      <c r="AP81">
        <v>326.69392131792426</v>
      </c>
    </row>
    <row r="82" spans="2:42">
      <c r="B82" t="s">
        <v>146</v>
      </c>
      <c r="C82" t="s">
        <v>291</v>
      </c>
      <c r="D82" t="s">
        <v>292</v>
      </c>
      <c r="E82" t="s">
        <v>10</v>
      </c>
      <c r="F82" t="s">
        <v>20</v>
      </c>
      <c r="G82" t="s">
        <v>149</v>
      </c>
      <c r="H82" t="s">
        <v>150</v>
      </c>
      <c r="J82" t="s">
        <v>291</v>
      </c>
      <c r="K82" t="s">
        <v>418</v>
      </c>
      <c r="L82">
        <v>0.99356631928796924</v>
      </c>
      <c r="M82">
        <v>0.1666512514167505</v>
      </c>
      <c r="O82" t="s">
        <v>445</v>
      </c>
      <c r="P82" t="s">
        <v>590</v>
      </c>
      <c r="Q82" t="s">
        <v>591</v>
      </c>
      <c r="R82" t="s">
        <v>10</v>
      </c>
      <c r="S82" t="s">
        <v>20</v>
      </c>
      <c r="T82" t="s">
        <v>448</v>
      </c>
      <c r="U82" t="s">
        <v>449</v>
      </c>
      <c r="V82" t="s">
        <v>150</v>
      </c>
      <c r="X82" t="s">
        <v>590</v>
      </c>
      <c r="Y82" t="s">
        <v>428</v>
      </c>
      <c r="Z82" t="s">
        <v>694</v>
      </c>
      <c r="AA82">
        <v>0.99782027918606175</v>
      </c>
      <c r="AB82">
        <v>39.961548255533756</v>
      </c>
      <c r="AD82" t="s">
        <v>445</v>
      </c>
      <c r="AE82" t="s">
        <v>852</v>
      </c>
      <c r="AF82" t="s">
        <v>853</v>
      </c>
      <c r="AG82" t="s">
        <v>10</v>
      </c>
      <c r="AH82" t="s">
        <v>20</v>
      </c>
      <c r="AI82" t="s">
        <v>449</v>
      </c>
      <c r="AJ82" t="s">
        <v>150</v>
      </c>
      <c r="AL82" t="s">
        <v>852</v>
      </c>
      <c r="AM82" t="s">
        <v>1004</v>
      </c>
      <c r="AN82" t="s">
        <v>1005</v>
      </c>
      <c r="AO82">
        <v>0.99585887269839302</v>
      </c>
      <c r="AP82">
        <v>75.920667196127695</v>
      </c>
    </row>
    <row r="83" spans="2:42">
      <c r="B83" t="s">
        <v>146</v>
      </c>
      <c r="C83" t="s">
        <v>293</v>
      </c>
      <c r="D83" t="s">
        <v>294</v>
      </c>
      <c r="E83" t="s">
        <v>10</v>
      </c>
      <c r="F83" t="s">
        <v>20</v>
      </c>
      <c r="G83" t="s">
        <v>149</v>
      </c>
      <c r="H83" t="s">
        <v>150</v>
      </c>
      <c r="J83" t="s">
        <v>293</v>
      </c>
      <c r="K83" t="s">
        <v>419</v>
      </c>
      <c r="L83">
        <v>80.532960824906482</v>
      </c>
      <c r="M83">
        <v>0.206265901870545</v>
      </c>
      <c r="O83" t="s">
        <v>445</v>
      </c>
      <c r="P83" t="s">
        <v>592</v>
      </c>
      <c r="Q83" t="s">
        <v>593</v>
      </c>
      <c r="R83" t="s">
        <v>10</v>
      </c>
      <c r="S83" t="s">
        <v>20</v>
      </c>
      <c r="T83" t="s">
        <v>448</v>
      </c>
      <c r="U83" t="s">
        <v>449</v>
      </c>
      <c r="V83" t="s">
        <v>150</v>
      </c>
      <c r="X83" t="s">
        <v>592</v>
      </c>
      <c r="Y83" t="s">
        <v>421</v>
      </c>
      <c r="Z83" t="s">
        <v>695</v>
      </c>
      <c r="AA83">
        <v>0.99042712787144371</v>
      </c>
      <c r="AB83">
        <v>175.50265569019879</v>
      </c>
      <c r="AD83" t="s">
        <v>445</v>
      </c>
      <c r="AE83" t="s">
        <v>854</v>
      </c>
      <c r="AF83" t="s">
        <v>855</v>
      </c>
      <c r="AG83" t="s">
        <v>10</v>
      </c>
      <c r="AH83" t="s">
        <v>20</v>
      </c>
      <c r="AI83" t="s">
        <v>449</v>
      </c>
      <c r="AJ83" t="s">
        <v>150</v>
      </c>
      <c r="AL83" t="s">
        <v>854</v>
      </c>
      <c r="AM83" t="s">
        <v>1006</v>
      </c>
      <c r="AN83" t="s">
        <v>1007</v>
      </c>
      <c r="AO83">
        <v>0.99612820180322659</v>
      </c>
      <c r="AP83">
        <v>70.982966940846623</v>
      </c>
    </row>
    <row r="84" spans="2:42">
      <c r="B84" t="s">
        <v>146</v>
      </c>
      <c r="C84" t="s">
        <v>295</v>
      </c>
      <c r="D84" t="s">
        <v>296</v>
      </c>
      <c r="E84" t="s">
        <v>10</v>
      </c>
      <c r="F84" t="s">
        <v>20</v>
      </c>
      <c r="G84" t="s">
        <v>149</v>
      </c>
      <c r="H84" t="s">
        <v>150</v>
      </c>
      <c r="J84" t="s">
        <v>295</v>
      </c>
      <c r="K84" t="s">
        <v>420</v>
      </c>
      <c r="L84">
        <v>85.664623370919813</v>
      </c>
      <c r="M84">
        <v>0.2080399881935355</v>
      </c>
      <c r="O84" t="s">
        <v>445</v>
      </c>
      <c r="P84" t="s">
        <v>594</v>
      </c>
      <c r="Q84" t="s">
        <v>595</v>
      </c>
      <c r="R84" t="s">
        <v>10</v>
      </c>
      <c r="S84" t="s">
        <v>20</v>
      </c>
      <c r="T84" t="s">
        <v>448</v>
      </c>
      <c r="U84" t="s">
        <v>449</v>
      </c>
      <c r="V84" t="s">
        <v>150</v>
      </c>
      <c r="X84" t="s">
        <v>594</v>
      </c>
      <c r="Y84" t="s">
        <v>419</v>
      </c>
      <c r="Z84" t="s">
        <v>696</v>
      </c>
      <c r="AA84">
        <v>0.98458760722006711</v>
      </c>
      <c r="AB84">
        <v>282.56053429877028</v>
      </c>
      <c r="AD84" t="s">
        <v>445</v>
      </c>
      <c r="AE84" t="s">
        <v>856</v>
      </c>
      <c r="AF84" t="s">
        <v>857</v>
      </c>
      <c r="AG84" t="s">
        <v>10</v>
      </c>
      <c r="AH84" t="s">
        <v>20</v>
      </c>
      <c r="AI84" t="s">
        <v>449</v>
      </c>
      <c r="AJ84" t="s">
        <v>150</v>
      </c>
      <c r="AL84" t="s">
        <v>856</v>
      </c>
      <c r="AM84" t="s">
        <v>1008</v>
      </c>
      <c r="AN84" t="s">
        <v>648</v>
      </c>
      <c r="AO84">
        <v>0.95226889215734378</v>
      </c>
      <c r="AP84">
        <v>875.07031044869723</v>
      </c>
    </row>
    <row r="85" spans="2:42">
      <c r="B85" t="s">
        <v>146</v>
      </c>
      <c r="C85" t="s">
        <v>297</v>
      </c>
      <c r="D85" t="s">
        <v>298</v>
      </c>
      <c r="E85" t="s">
        <v>10</v>
      </c>
      <c r="F85" t="s">
        <v>20</v>
      </c>
      <c r="G85" t="s">
        <v>149</v>
      </c>
      <c r="H85" t="s">
        <v>150</v>
      </c>
      <c r="J85" t="s">
        <v>297</v>
      </c>
      <c r="K85" t="s">
        <v>421</v>
      </c>
      <c r="L85">
        <v>11.495793677187963</v>
      </c>
      <c r="M85">
        <v>0.20405980991555919</v>
      </c>
      <c r="O85" t="s">
        <v>445</v>
      </c>
      <c r="P85" t="s">
        <v>596</v>
      </c>
      <c r="Q85" t="s">
        <v>597</v>
      </c>
      <c r="R85" t="s">
        <v>10</v>
      </c>
      <c r="S85" t="s">
        <v>20</v>
      </c>
      <c r="T85" t="s">
        <v>448</v>
      </c>
      <c r="U85" t="s">
        <v>449</v>
      </c>
      <c r="V85" t="s">
        <v>150</v>
      </c>
      <c r="X85" t="s">
        <v>596</v>
      </c>
      <c r="Y85" t="s">
        <v>388</v>
      </c>
      <c r="Z85" t="s">
        <v>648</v>
      </c>
      <c r="AA85">
        <v>0.97454833391525864</v>
      </c>
      <c r="AB85">
        <v>466.6138782202575</v>
      </c>
      <c r="AD85" t="s">
        <v>445</v>
      </c>
      <c r="AE85" t="s">
        <v>858</v>
      </c>
      <c r="AF85" t="s">
        <v>859</v>
      </c>
      <c r="AG85" t="s">
        <v>10</v>
      </c>
      <c r="AH85" t="s">
        <v>20</v>
      </c>
      <c r="AI85" t="s">
        <v>449</v>
      </c>
      <c r="AJ85" t="s">
        <v>150</v>
      </c>
      <c r="AL85" t="s">
        <v>858</v>
      </c>
      <c r="AM85" t="s">
        <v>1009</v>
      </c>
      <c r="AN85" t="s">
        <v>654</v>
      </c>
      <c r="AO85">
        <v>0.98244678792215867</v>
      </c>
      <c r="AP85">
        <v>321.80888809375716</v>
      </c>
    </row>
    <row r="86" spans="2:42">
      <c r="B86" t="s">
        <v>146</v>
      </c>
      <c r="C86" t="s">
        <v>299</v>
      </c>
      <c r="D86" t="s">
        <v>300</v>
      </c>
      <c r="E86" t="s">
        <v>10</v>
      </c>
      <c r="F86" t="s">
        <v>20</v>
      </c>
      <c r="G86" t="s">
        <v>149</v>
      </c>
      <c r="H86" t="s">
        <v>150</v>
      </c>
      <c r="J86" t="s">
        <v>299</v>
      </c>
      <c r="K86" t="s">
        <v>422</v>
      </c>
      <c r="L86">
        <v>1.1628584803128807</v>
      </c>
      <c r="M86">
        <v>0.1935300212077776</v>
      </c>
      <c r="O86" t="s">
        <v>445</v>
      </c>
      <c r="P86" t="s">
        <v>598</v>
      </c>
      <c r="Q86" t="s">
        <v>599</v>
      </c>
      <c r="R86" t="s">
        <v>10</v>
      </c>
      <c r="S86" t="s">
        <v>20</v>
      </c>
      <c r="T86" t="s">
        <v>448</v>
      </c>
      <c r="U86" t="s">
        <v>449</v>
      </c>
      <c r="V86" t="s">
        <v>150</v>
      </c>
      <c r="X86" t="s">
        <v>598</v>
      </c>
      <c r="Y86" t="s">
        <v>351</v>
      </c>
      <c r="Z86" t="s">
        <v>654</v>
      </c>
      <c r="AA86">
        <v>0.95322333844045537</v>
      </c>
      <c r="AB86">
        <v>857.57212859165099</v>
      </c>
      <c r="AD86" t="s">
        <v>445</v>
      </c>
      <c r="AE86" t="s">
        <v>860</v>
      </c>
      <c r="AF86" t="s">
        <v>861</v>
      </c>
      <c r="AG86" t="s">
        <v>10</v>
      </c>
      <c r="AH86" t="s">
        <v>20</v>
      </c>
      <c r="AI86" t="s">
        <v>449</v>
      </c>
      <c r="AJ86" t="s">
        <v>150</v>
      </c>
      <c r="AL86" t="s">
        <v>860</v>
      </c>
      <c r="AM86" t="s">
        <v>1010</v>
      </c>
      <c r="AN86" t="s">
        <v>1011</v>
      </c>
      <c r="AO86">
        <v>0.99244907456015963</v>
      </c>
      <c r="AP86">
        <v>138.43363306374022</v>
      </c>
    </row>
    <row r="87" spans="2:42">
      <c r="B87" t="s">
        <v>146</v>
      </c>
      <c r="C87" t="s">
        <v>301</v>
      </c>
      <c r="D87" t="s">
        <v>302</v>
      </c>
      <c r="E87" t="s">
        <v>10</v>
      </c>
      <c r="F87" t="s">
        <v>20</v>
      </c>
      <c r="G87" t="s">
        <v>149</v>
      </c>
      <c r="H87" t="s">
        <v>150</v>
      </c>
      <c r="J87" t="s">
        <v>301</v>
      </c>
      <c r="K87" t="s">
        <v>423</v>
      </c>
      <c r="L87">
        <v>19.436509920984214</v>
      </c>
      <c r="M87">
        <v>0.19840269566785779</v>
      </c>
      <c r="O87" t="s">
        <v>445</v>
      </c>
      <c r="P87" t="s">
        <v>600</v>
      </c>
      <c r="Q87" t="s">
        <v>601</v>
      </c>
      <c r="R87" t="s">
        <v>10</v>
      </c>
      <c r="S87" t="s">
        <v>20</v>
      </c>
      <c r="T87" t="s">
        <v>448</v>
      </c>
      <c r="U87" t="s">
        <v>449</v>
      </c>
      <c r="V87" t="s">
        <v>150</v>
      </c>
      <c r="X87" t="s">
        <v>600</v>
      </c>
      <c r="Y87" t="s">
        <v>352</v>
      </c>
      <c r="Z87" t="s">
        <v>654</v>
      </c>
      <c r="AA87">
        <v>0.97321507838078658</v>
      </c>
      <c r="AB87">
        <v>491.05689635224547</v>
      </c>
      <c r="AD87" t="s">
        <v>445</v>
      </c>
      <c r="AE87" t="s">
        <v>862</v>
      </c>
      <c r="AF87" t="s">
        <v>863</v>
      </c>
      <c r="AG87" t="s">
        <v>10</v>
      </c>
      <c r="AH87" t="s">
        <v>20</v>
      </c>
      <c r="AI87" t="s">
        <v>449</v>
      </c>
      <c r="AJ87" t="s">
        <v>150</v>
      </c>
      <c r="AL87" t="s">
        <v>862</v>
      </c>
      <c r="AM87" t="s">
        <v>1012</v>
      </c>
      <c r="AN87" t="s">
        <v>1013</v>
      </c>
      <c r="AO87">
        <v>0.99706791078062507</v>
      </c>
      <c r="AP87">
        <v>53.754969021872945</v>
      </c>
    </row>
    <row r="88" spans="2:42">
      <c r="B88" t="s">
        <v>146</v>
      </c>
      <c r="C88" t="s">
        <v>303</v>
      </c>
      <c r="D88" t="s">
        <v>304</v>
      </c>
      <c r="E88" t="s">
        <v>10</v>
      </c>
      <c r="F88" t="s">
        <v>20</v>
      </c>
      <c r="G88" t="s">
        <v>149</v>
      </c>
      <c r="H88" t="s">
        <v>150</v>
      </c>
      <c r="J88" t="s">
        <v>303</v>
      </c>
      <c r="K88" t="s">
        <v>424</v>
      </c>
      <c r="L88">
        <v>1.7337782638232206</v>
      </c>
      <c r="M88">
        <v>0.19305983260293411</v>
      </c>
      <c r="O88" t="s">
        <v>445</v>
      </c>
      <c r="P88" t="s">
        <v>602</v>
      </c>
      <c r="Q88" t="s">
        <v>603</v>
      </c>
      <c r="R88" t="s">
        <v>10</v>
      </c>
      <c r="S88" t="s">
        <v>20</v>
      </c>
      <c r="T88" t="s">
        <v>448</v>
      </c>
      <c r="U88" t="s">
        <v>449</v>
      </c>
      <c r="V88" t="s">
        <v>150</v>
      </c>
      <c r="X88" t="s">
        <v>602</v>
      </c>
      <c r="Y88" t="s">
        <v>377</v>
      </c>
      <c r="Z88" t="s">
        <v>649</v>
      </c>
      <c r="AA88">
        <v>0.98581703135158405</v>
      </c>
      <c r="AB88">
        <v>260.02109188762591</v>
      </c>
      <c r="AD88" t="s">
        <v>445</v>
      </c>
      <c r="AE88" t="s">
        <v>864</v>
      </c>
      <c r="AF88" t="s">
        <v>865</v>
      </c>
      <c r="AG88" t="s">
        <v>10</v>
      </c>
      <c r="AH88" t="s">
        <v>20</v>
      </c>
      <c r="AI88" t="s">
        <v>449</v>
      </c>
      <c r="AJ88" t="s">
        <v>150</v>
      </c>
      <c r="AL88" t="s">
        <v>864</v>
      </c>
      <c r="AM88" t="s">
        <v>1014</v>
      </c>
      <c r="AN88" t="s">
        <v>654</v>
      </c>
      <c r="AO88">
        <v>0.97935848497620392</v>
      </c>
      <c r="AP88">
        <v>378.42777543626062</v>
      </c>
    </row>
    <row r="89" spans="2:42">
      <c r="B89" t="s">
        <v>146</v>
      </c>
      <c r="C89" t="s">
        <v>305</v>
      </c>
      <c r="D89" t="s">
        <v>306</v>
      </c>
      <c r="E89" t="s">
        <v>10</v>
      </c>
      <c r="F89" t="s">
        <v>20</v>
      </c>
      <c r="G89" t="s">
        <v>149</v>
      </c>
      <c r="H89" t="s">
        <v>150</v>
      </c>
      <c r="J89" t="s">
        <v>305</v>
      </c>
      <c r="K89" t="s">
        <v>425</v>
      </c>
      <c r="L89">
        <v>6.9502160565351021</v>
      </c>
      <c r="M89">
        <v>0.182969887422223</v>
      </c>
      <c r="O89" t="s">
        <v>445</v>
      </c>
      <c r="P89" t="s">
        <v>604</v>
      </c>
      <c r="Q89" t="s">
        <v>605</v>
      </c>
      <c r="R89" t="s">
        <v>10</v>
      </c>
      <c r="S89" t="s">
        <v>20</v>
      </c>
      <c r="T89" t="s">
        <v>448</v>
      </c>
      <c r="U89" t="s">
        <v>449</v>
      </c>
      <c r="V89" t="s">
        <v>150</v>
      </c>
      <c r="X89" t="s">
        <v>604</v>
      </c>
      <c r="Y89" t="s">
        <v>376</v>
      </c>
      <c r="Z89" t="s">
        <v>649</v>
      </c>
      <c r="AA89">
        <v>0.97542624087094398</v>
      </c>
      <c r="AB89">
        <v>450.51891736602602</v>
      </c>
      <c r="AD89" t="s">
        <v>445</v>
      </c>
      <c r="AE89" t="s">
        <v>866</v>
      </c>
      <c r="AF89" t="s">
        <v>867</v>
      </c>
      <c r="AG89" t="s">
        <v>10</v>
      </c>
      <c r="AH89" t="s">
        <v>20</v>
      </c>
      <c r="AI89" t="s">
        <v>449</v>
      </c>
      <c r="AJ89" t="s">
        <v>150</v>
      </c>
      <c r="AL89" t="s">
        <v>866</v>
      </c>
      <c r="AM89" t="s">
        <v>1015</v>
      </c>
      <c r="AN89" t="s">
        <v>649</v>
      </c>
      <c r="AO89">
        <v>0.97738569554252064</v>
      </c>
      <c r="AP89">
        <v>414.59558172045399</v>
      </c>
    </row>
    <row r="90" spans="2:42">
      <c r="B90" t="s">
        <v>146</v>
      </c>
      <c r="C90" t="s">
        <v>307</v>
      </c>
      <c r="D90" t="s">
        <v>308</v>
      </c>
      <c r="E90" t="s">
        <v>10</v>
      </c>
      <c r="F90" t="s">
        <v>20</v>
      </c>
      <c r="G90" t="s">
        <v>149</v>
      </c>
      <c r="H90" t="s">
        <v>150</v>
      </c>
      <c r="J90" t="s">
        <v>307</v>
      </c>
      <c r="K90" t="s">
        <v>426</v>
      </c>
      <c r="L90">
        <v>7.3717697925123566</v>
      </c>
      <c r="M90">
        <v>0.18593448213218511</v>
      </c>
      <c r="O90" t="s">
        <v>445</v>
      </c>
      <c r="P90" t="s">
        <v>606</v>
      </c>
      <c r="Q90" t="s">
        <v>607</v>
      </c>
      <c r="R90" t="s">
        <v>10</v>
      </c>
      <c r="S90" t="s">
        <v>20</v>
      </c>
      <c r="T90" t="s">
        <v>448</v>
      </c>
      <c r="U90" t="s">
        <v>449</v>
      </c>
      <c r="V90" t="s">
        <v>150</v>
      </c>
      <c r="X90" t="s">
        <v>606</v>
      </c>
      <c r="Y90" t="s">
        <v>405</v>
      </c>
      <c r="Z90" t="s">
        <v>697</v>
      </c>
      <c r="AA90">
        <v>0.99745350130137034</v>
      </c>
      <c r="AB90">
        <v>46.685809474876969</v>
      </c>
      <c r="AD90" t="s">
        <v>445</v>
      </c>
      <c r="AE90" t="s">
        <v>868</v>
      </c>
      <c r="AF90" t="s">
        <v>869</v>
      </c>
      <c r="AG90" t="s">
        <v>10</v>
      </c>
      <c r="AH90" t="s">
        <v>20</v>
      </c>
      <c r="AI90" t="s">
        <v>449</v>
      </c>
      <c r="AJ90" t="s">
        <v>150</v>
      </c>
      <c r="AL90" t="s">
        <v>868</v>
      </c>
      <c r="AM90" t="s">
        <v>1016</v>
      </c>
      <c r="AN90" t="s">
        <v>649</v>
      </c>
      <c r="AO90">
        <v>0.98739702445646216</v>
      </c>
      <c r="AP90">
        <v>231.05455163152675</v>
      </c>
    </row>
    <row r="91" spans="2:42">
      <c r="B91" t="s">
        <v>146</v>
      </c>
      <c r="C91" t="s">
        <v>309</v>
      </c>
      <c r="D91" t="s">
        <v>310</v>
      </c>
      <c r="E91" t="s">
        <v>10</v>
      </c>
      <c r="F91" t="s">
        <v>20</v>
      </c>
      <c r="G91" t="s">
        <v>149</v>
      </c>
      <c r="H91" t="s">
        <v>150</v>
      </c>
      <c r="J91" t="s">
        <v>309</v>
      </c>
      <c r="K91" t="s">
        <v>427</v>
      </c>
      <c r="L91">
        <v>20.865989194712466</v>
      </c>
      <c r="M91">
        <v>0.19193014591027879</v>
      </c>
      <c r="O91" t="s">
        <v>445</v>
      </c>
      <c r="P91" t="s">
        <v>608</v>
      </c>
      <c r="Q91" t="s">
        <v>609</v>
      </c>
      <c r="R91" t="s">
        <v>10</v>
      </c>
      <c r="S91" t="s">
        <v>20</v>
      </c>
      <c r="T91" t="s">
        <v>448</v>
      </c>
      <c r="U91" t="s">
        <v>449</v>
      </c>
      <c r="V91" t="s">
        <v>150</v>
      </c>
      <c r="X91" t="s">
        <v>608</v>
      </c>
      <c r="Y91" t="s">
        <v>443</v>
      </c>
      <c r="Z91" t="s">
        <v>698</v>
      </c>
      <c r="AA91">
        <v>0.98101450166571025</v>
      </c>
      <c r="AB91">
        <v>348.06746946197933</v>
      </c>
      <c r="AD91" t="s">
        <v>445</v>
      </c>
      <c r="AE91" t="s">
        <v>870</v>
      </c>
      <c r="AF91" t="s">
        <v>871</v>
      </c>
      <c r="AG91" t="s">
        <v>10</v>
      </c>
      <c r="AH91" t="s">
        <v>20</v>
      </c>
      <c r="AI91" t="s">
        <v>449</v>
      </c>
      <c r="AJ91" t="s">
        <v>150</v>
      </c>
      <c r="AL91" t="s">
        <v>870</v>
      </c>
      <c r="AM91" t="s">
        <v>1017</v>
      </c>
      <c r="AN91" t="s">
        <v>1018</v>
      </c>
      <c r="AO91">
        <v>0.99755801237420683</v>
      </c>
      <c r="AP91">
        <v>44.769773139540511</v>
      </c>
    </row>
    <row r="92" spans="2:42">
      <c r="B92" t="s">
        <v>146</v>
      </c>
      <c r="C92" t="s">
        <v>311</v>
      </c>
      <c r="D92" t="s">
        <v>312</v>
      </c>
      <c r="E92" t="s">
        <v>10</v>
      </c>
      <c r="F92" t="s">
        <v>20</v>
      </c>
      <c r="G92" t="s">
        <v>149</v>
      </c>
      <c r="H92" t="s">
        <v>150</v>
      </c>
      <c r="J92" t="s">
        <v>311</v>
      </c>
      <c r="K92" t="s">
        <v>428</v>
      </c>
      <c r="L92">
        <v>5.7472697386512879</v>
      </c>
      <c r="M92">
        <v>0.1842400917325053</v>
      </c>
      <c r="O92" t="s">
        <v>445</v>
      </c>
      <c r="P92" t="s">
        <v>610</v>
      </c>
      <c r="Q92" t="s">
        <v>611</v>
      </c>
      <c r="R92" t="s">
        <v>10</v>
      </c>
      <c r="S92" t="s">
        <v>20</v>
      </c>
      <c r="T92" t="s">
        <v>448</v>
      </c>
      <c r="U92" t="s">
        <v>449</v>
      </c>
      <c r="V92" t="s">
        <v>150</v>
      </c>
      <c r="X92" t="s">
        <v>610</v>
      </c>
      <c r="Y92" t="s">
        <v>413</v>
      </c>
      <c r="Z92" t="s">
        <v>699</v>
      </c>
      <c r="AA92">
        <v>0.99489296223435719</v>
      </c>
      <c r="AB92">
        <v>93.629025703450537</v>
      </c>
      <c r="AD92" t="s">
        <v>445</v>
      </c>
      <c r="AE92" t="s">
        <v>872</v>
      </c>
      <c r="AF92" t="s">
        <v>873</v>
      </c>
      <c r="AG92" t="s">
        <v>10</v>
      </c>
      <c r="AH92" t="s">
        <v>20</v>
      </c>
      <c r="AI92" t="s">
        <v>449</v>
      </c>
      <c r="AJ92" t="s">
        <v>150</v>
      </c>
      <c r="AL92" t="s">
        <v>872</v>
      </c>
      <c r="AM92" t="s">
        <v>1019</v>
      </c>
      <c r="AN92" t="s">
        <v>1020</v>
      </c>
      <c r="AO92">
        <v>0.99770486090207411</v>
      </c>
      <c r="AP92">
        <v>42.077550128640524</v>
      </c>
    </row>
    <row r="93" spans="2:42">
      <c r="B93" t="s">
        <v>146</v>
      </c>
      <c r="C93" t="s">
        <v>313</v>
      </c>
      <c r="D93" t="s">
        <v>314</v>
      </c>
      <c r="E93" t="s">
        <v>10</v>
      </c>
      <c r="F93" t="s">
        <v>20</v>
      </c>
      <c r="G93" t="s">
        <v>149</v>
      </c>
      <c r="H93" t="s">
        <v>150</v>
      </c>
      <c r="J93" t="s">
        <v>313</v>
      </c>
      <c r="K93" t="s">
        <v>429</v>
      </c>
      <c r="L93">
        <v>9.2261594724034079</v>
      </c>
      <c r="M93">
        <v>0.19721900908341339</v>
      </c>
      <c r="O93" t="s">
        <v>445</v>
      </c>
      <c r="P93" t="s">
        <v>612</v>
      </c>
      <c r="Q93" t="s">
        <v>613</v>
      </c>
      <c r="R93" t="s">
        <v>10</v>
      </c>
      <c r="S93" t="s">
        <v>20</v>
      </c>
      <c r="T93" t="s">
        <v>448</v>
      </c>
      <c r="U93" t="s">
        <v>449</v>
      </c>
      <c r="V93" t="s">
        <v>150</v>
      </c>
      <c r="X93" t="s">
        <v>612</v>
      </c>
      <c r="Y93" t="s">
        <v>425</v>
      </c>
      <c r="Z93" t="s">
        <v>700</v>
      </c>
      <c r="AA93">
        <v>0.99705259621301434</v>
      </c>
      <c r="AB93">
        <v>54.035736094736372</v>
      </c>
      <c r="AD93" t="s">
        <v>445</v>
      </c>
      <c r="AE93" t="s">
        <v>874</v>
      </c>
      <c r="AF93" t="s">
        <v>875</v>
      </c>
      <c r="AG93" t="s">
        <v>10</v>
      </c>
      <c r="AH93" t="s">
        <v>20</v>
      </c>
      <c r="AI93" t="s">
        <v>449</v>
      </c>
      <c r="AJ93" t="s">
        <v>150</v>
      </c>
      <c r="AL93" t="s">
        <v>874</v>
      </c>
      <c r="AM93" t="s">
        <v>1021</v>
      </c>
      <c r="AN93" t="s">
        <v>964</v>
      </c>
      <c r="AO93">
        <v>0.9966806183812299</v>
      </c>
      <c r="AP93">
        <v>60.855329677452332</v>
      </c>
    </row>
    <row r="94" spans="2:42">
      <c r="B94" t="s">
        <v>146</v>
      </c>
      <c r="C94" t="s">
        <v>315</v>
      </c>
      <c r="D94" t="s">
        <v>316</v>
      </c>
      <c r="E94" t="s">
        <v>10</v>
      </c>
      <c r="F94" t="s">
        <v>20</v>
      </c>
      <c r="G94" t="s">
        <v>149</v>
      </c>
      <c r="H94" t="s">
        <v>150</v>
      </c>
      <c r="J94" t="s">
        <v>315</v>
      </c>
      <c r="K94" t="s">
        <v>430</v>
      </c>
      <c r="L94">
        <v>20.691162250743812</v>
      </c>
      <c r="M94">
        <v>0.2021174831313223</v>
      </c>
      <c r="O94" t="s">
        <v>445</v>
      </c>
      <c r="P94" t="s">
        <v>614</v>
      </c>
      <c r="Q94" t="s">
        <v>615</v>
      </c>
      <c r="R94" t="s">
        <v>10</v>
      </c>
      <c r="S94" t="s">
        <v>20</v>
      </c>
      <c r="T94" t="s">
        <v>448</v>
      </c>
      <c r="U94" t="s">
        <v>449</v>
      </c>
      <c r="V94" t="s">
        <v>150</v>
      </c>
      <c r="X94" t="s">
        <v>614</v>
      </c>
      <c r="Y94" t="s">
        <v>416</v>
      </c>
      <c r="Z94" t="s">
        <v>701</v>
      </c>
      <c r="AA94">
        <v>0.98826693080891115</v>
      </c>
      <c r="AB94">
        <v>215.10626850329641</v>
      </c>
      <c r="AD94" t="s">
        <v>445</v>
      </c>
      <c r="AE94" t="s">
        <v>876</v>
      </c>
      <c r="AF94" t="s">
        <v>877</v>
      </c>
      <c r="AG94" t="s">
        <v>10</v>
      </c>
      <c r="AH94" t="s">
        <v>20</v>
      </c>
      <c r="AI94" t="s">
        <v>449</v>
      </c>
      <c r="AJ94" t="s">
        <v>150</v>
      </c>
      <c r="AL94" t="s">
        <v>876</v>
      </c>
      <c r="AM94" t="s">
        <v>1022</v>
      </c>
      <c r="AN94" t="s">
        <v>701</v>
      </c>
      <c r="AO94">
        <v>0.99215245657219142</v>
      </c>
      <c r="AP94">
        <v>143.87162950982398</v>
      </c>
    </row>
    <row r="95" spans="2:42">
      <c r="B95" t="s">
        <v>146</v>
      </c>
      <c r="C95" t="s">
        <v>317</v>
      </c>
      <c r="D95" t="s">
        <v>318</v>
      </c>
      <c r="E95" t="s">
        <v>10</v>
      </c>
      <c r="F95" t="s">
        <v>20</v>
      </c>
      <c r="G95" t="s">
        <v>149</v>
      </c>
      <c r="H95" t="s">
        <v>150</v>
      </c>
      <c r="J95" t="s">
        <v>317</v>
      </c>
      <c r="K95" t="s">
        <v>431</v>
      </c>
      <c r="L95">
        <v>19.104266321036292</v>
      </c>
      <c r="M95">
        <v>0.19232186034209861</v>
      </c>
      <c r="O95" t="s">
        <v>445</v>
      </c>
      <c r="P95" t="s">
        <v>616</v>
      </c>
      <c r="Q95" t="s">
        <v>617</v>
      </c>
      <c r="R95" t="s">
        <v>10</v>
      </c>
      <c r="S95" t="s">
        <v>20</v>
      </c>
      <c r="T95" t="s">
        <v>448</v>
      </c>
      <c r="U95" t="s">
        <v>449</v>
      </c>
      <c r="V95" t="s">
        <v>150</v>
      </c>
      <c r="X95" t="s">
        <v>616</v>
      </c>
      <c r="Y95" t="s">
        <v>395</v>
      </c>
      <c r="Z95" t="s">
        <v>661</v>
      </c>
      <c r="AA95">
        <v>0.97618980314151516</v>
      </c>
      <c r="AB95">
        <v>436.52027573888904</v>
      </c>
      <c r="AD95" t="s">
        <v>445</v>
      </c>
      <c r="AE95" t="s">
        <v>878</v>
      </c>
      <c r="AF95" t="s">
        <v>879</v>
      </c>
      <c r="AG95" t="s">
        <v>10</v>
      </c>
      <c r="AH95" t="s">
        <v>20</v>
      </c>
      <c r="AI95" t="s">
        <v>449</v>
      </c>
      <c r="AJ95" t="s">
        <v>150</v>
      </c>
      <c r="AL95" t="s">
        <v>878</v>
      </c>
      <c r="AM95" t="s">
        <v>1023</v>
      </c>
      <c r="AN95" t="s">
        <v>647</v>
      </c>
      <c r="AO95">
        <v>0.9485944422668402</v>
      </c>
      <c r="AP95">
        <v>942.43522510793025</v>
      </c>
    </row>
    <row r="96" spans="2:42">
      <c r="B96" t="s">
        <v>146</v>
      </c>
      <c r="C96" t="s">
        <v>319</v>
      </c>
      <c r="D96" t="s">
        <v>320</v>
      </c>
      <c r="E96" t="s">
        <v>10</v>
      </c>
      <c r="F96" t="s">
        <v>20</v>
      </c>
      <c r="G96" t="s">
        <v>149</v>
      </c>
      <c r="H96" t="s">
        <v>150</v>
      </c>
      <c r="J96" t="s">
        <v>319</v>
      </c>
      <c r="K96" t="s">
        <v>432</v>
      </c>
      <c r="L96">
        <v>19.307459990642855</v>
      </c>
      <c r="M96">
        <v>0.1989197271907249</v>
      </c>
      <c r="O96" t="s">
        <v>445</v>
      </c>
      <c r="P96" t="s">
        <v>618</v>
      </c>
      <c r="Q96" t="s">
        <v>619</v>
      </c>
      <c r="R96" t="s">
        <v>10</v>
      </c>
      <c r="S96" t="s">
        <v>20</v>
      </c>
      <c r="T96" t="s">
        <v>448</v>
      </c>
      <c r="U96" t="s">
        <v>449</v>
      </c>
      <c r="V96" t="s">
        <v>150</v>
      </c>
      <c r="X96" t="s">
        <v>618</v>
      </c>
      <c r="Y96" t="s">
        <v>410</v>
      </c>
      <c r="Z96" t="s">
        <v>702</v>
      </c>
      <c r="AA96">
        <v>0.99263667372558639</v>
      </c>
      <c r="AB96">
        <v>134.9943150309158</v>
      </c>
      <c r="AD96" t="s">
        <v>445</v>
      </c>
      <c r="AE96" t="s">
        <v>880</v>
      </c>
      <c r="AF96" t="s">
        <v>881</v>
      </c>
      <c r="AG96" t="s">
        <v>10</v>
      </c>
      <c r="AH96" t="s">
        <v>20</v>
      </c>
      <c r="AI96" t="s">
        <v>449</v>
      </c>
      <c r="AJ96" t="s">
        <v>150</v>
      </c>
      <c r="AL96" t="s">
        <v>880</v>
      </c>
      <c r="AM96" t="s">
        <v>1024</v>
      </c>
      <c r="AN96" t="s">
        <v>649</v>
      </c>
      <c r="AO96">
        <v>0.97043152360247686</v>
      </c>
      <c r="AP96">
        <v>542.08873395459034</v>
      </c>
    </row>
    <row r="97" spans="2:42">
      <c r="B97" t="s">
        <v>146</v>
      </c>
      <c r="C97" t="s">
        <v>321</v>
      </c>
      <c r="D97" t="s">
        <v>322</v>
      </c>
      <c r="E97" t="s">
        <v>10</v>
      </c>
      <c r="F97" t="s">
        <v>20</v>
      </c>
      <c r="G97" t="s">
        <v>149</v>
      </c>
      <c r="H97" t="s">
        <v>150</v>
      </c>
      <c r="J97" t="s">
        <v>321</v>
      </c>
      <c r="K97" t="s">
        <v>433</v>
      </c>
      <c r="L97">
        <v>19.475680489219723</v>
      </c>
      <c r="M97">
        <v>0.202478371741449</v>
      </c>
      <c r="O97" t="s">
        <v>445</v>
      </c>
      <c r="P97" t="s">
        <v>620</v>
      </c>
      <c r="Q97" t="s">
        <v>621</v>
      </c>
      <c r="R97" t="s">
        <v>10</v>
      </c>
      <c r="S97" t="s">
        <v>20</v>
      </c>
      <c r="T97" t="s">
        <v>448</v>
      </c>
      <c r="U97" t="s">
        <v>449</v>
      </c>
      <c r="V97" t="s">
        <v>150</v>
      </c>
      <c r="X97" t="s">
        <v>620</v>
      </c>
      <c r="Y97" t="s">
        <v>432</v>
      </c>
      <c r="Z97" t="s">
        <v>703</v>
      </c>
      <c r="AA97">
        <v>0.98665714478881894</v>
      </c>
      <c r="AB97">
        <v>244.61901220498595</v>
      </c>
      <c r="AD97" t="s">
        <v>445</v>
      </c>
      <c r="AE97" t="s">
        <v>882</v>
      </c>
      <c r="AF97" t="s">
        <v>883</v>
      </c>
      <c r="AG97" t="s">
        <v>10</v>
      </c>
      <c r="AH97" t="s">
        <v>20</v>
      </c>
      <c r="AI97" t="s">
        <v>449</v>
      </c>
      <c r="AJ97" t="s">
        <v>150</v>
      </c>
      <c r="AL97" t="s">
        <v>882</v>
      </c>
      <c r="AM97" t="s">
        <v>1025</v>
      </c>
      <c r="AN97" t="s">
        <v>706</v>
      </c>
      <c r="AO97">
        <v>0.9922676414012731</v>
      </c>
      <c r="AP97">
        <v>141.75990764332545</v>
      </c>
    </row>
    <row r="98" spans="2:42">
      <c r="B98" t="s">
        <v>146</v>
      </c>
      <c r="C98" t="s">
        <v>323</v>
      </c>
      <c r="D98" t="s">
        <v>324</v>
      </c>
      <c r="E98" t="s">
        <v>10</v>
      </c>
      <c r="F98" t="s">
        <v>20</v>
      </c>
      <c r="G98" t="s">
        <v>149</v>
      </c>
      <c r="H98" t="s">
        <v>150</v>
      </c>
      <c r="J98" t="s">
        <v>323</v>
      </c>
      <c r="K98" t="s">
        <v>434</v>
      </c>
      <c r="L98">
        <v>0.79669247858423387</v>
      </c>
      <c r="M98">
        <v>0.18241491523669029</v>
      </c>
      <c r="O98" t="s">
        <v>445</v>
      </c>
      <c r="P98" t="s">
        <v>622</v>
      </c>
      <c r="Q98" t="s">
        <v>623</v>
      </c>
      <c r="R98" t="s">
        <v>10</v>
      </c>
      <c r="S98" t="s">
        <v>20</v>
      </c>
      <c r="T98" t="s">
        <v>448</v>
      </c>
      <c r="U98" t="s">
        <v>449</v>
      </c>
      <c r="V98" t="s">
        <v>150</v>
      </c>
      <c r="X98" t="s">
        <v>622</v>
      </c>
      <c r="Y98" t="s">
        <v>414</v>
      </c>
      <c r="Z98" t="s">
        <v>704</v>
      </c>
      <c r="AA98">
        <v>0.99671990332447369</v>
      </c>
      <c r="AB98">
        <v>60.135105717982277</v>
      </c>
      <c r="AD98" t="s">
        <v>445</v>
      </c>
      <c r="AE98" t="s">
        <v>884</v>
      </c>
      <c r="AF98" t="s">
        <v>885</v>
      </c>
      <c r="AG98" t="s">
        <v>10</v>
      </c>
      <c r="AH98" t="s">
        <v>20</v>
      </c>
      <c r="AI98" t="s">
        <v>449</v>
      </c>
      <c r="AJ98" t="s">
        <v>150</v>
      </c>
      <c r="AL98" t="s">
        <v>884</v>
      </c>
      <c r="AM98" t="s">
        <v>1026</v>
      </c>
      <c r="AN98" t="s">
        <v>701</v>
      </c>
      <c r="AO98">
        <v>0.98250131854428446</v>
      </c>
      <c r="AP98">
        <v>320.80916002145239</v>
      </c>
    </row>
    <row r="99" spans="2:42">
      <c r="B99" t="s">
        <v>146</v>
      </c>
      <c r="C99" t="s">
        <v>325</v>
      </c>
      <c r="D99" t="s">
        <v>326</v>
      </c>
      <c r="E99" t="s">
        <v>10</v>
      </c>
      <c r="F99" t="s">
        <v>20</v>
      </c>
      <c r="G99" t="s">
        <v>149</v>
      </c>
      <c r="H99" t="s">
        <v>150</v>
      </c>
      <c r="J99" t="s">
        <v>325</v>
      </c>
      <c r="K99" t="s">
        <v>435</v>
      </c>
      <c r="L99">
        <v>4.1238030428487376</v>
      </c>
      <c r="M99">
        <v>0.18793265308837559</v>
      </c>
      <c r="O99" t="s">
        <v>445</v>
      </c>
      <c r="P99" t="s">
        <v>624</v>
      </c>
      <c r="Q99" t="s">
        <v>625</v>
      </c>
      <c r="R99" t="s">
        <v>10</v>
      </c>
      <c r="S99" t="s">
        <v>20</v>
      </c>
      <c r="T99" t="s">
        <v>448</v>
      </c>
      <c r="U99" t="s">
        <v>449</v>
      </c>
      <c r="V99" t="s">
        <v>150</v>
      </c>
      <c r="X99" t="s">
        <v>624</v>
      </c>
      <c r="Y99" t="s">
        <v>384</v>
      </c>
      <c r="Z99" t="s">
        <v>705</v>
      </c>
      <c r="AA99">
        <v>0.97969590283269214</v>
      </c>
      <c r="AB99">
        <v>372.24178140064373</v>
      </c>
      <c r="AD99" t="s">
        <v>445</v>
      </c>
      <c r="AE99" t="s">
        <v>886</v>
      </c>
      <c r="AF99" t="s">
        <v>887</v>
      </c>
      <c r="AG99" t="s">
        <v>10</v>
      </c>
      <c r="AH99" t="s">
        <v>20</v>
      </c>
      <c r="AI99" t="s">
        <v>449</v>
      </c>
      <c r="AJ99" t="s">
        <v>150</v>
      </c>
      <c r="AL99" t="s">
        <v>886</v>
      </c>
      <c r="AM99" t="s">
        <v>1027</v>
      </c>
      <c r="AN99" t="s">
        <v>645</v>
      </c>
      <c r="AO99">
        <v>0.94941329297783439</v>
      </c>
      <c r="AP99">
        <v>927.42296207303548</v>
      </c>
    </row>
    <row r="100" spans="2:42">
      <c r="B100" t="s">
        <v>146</v>
      </c>
      <c r="C100" t="s">
        <v>327</v>
      </c>
      <c r="D100" t="s">
        <v>328</v>
      </c>
      <c r="E100" t="s">
        <v>10</v>
      </c>
      <c r="F100" t="s">
        <v>20</v>
      </c>
      <c r="G100" t="s">
        <v>149</v>
      </c>
      <c r="H100" t="s">
        <v>150</v>
      </c>
      <c r="J100" t="s">
        <v>327</v>
      </c>
      <c r="K100" t="s">
        <v>436</v>
      </c>
      <c r="L100">
        <v>1.8040219515802072</v>
      </c>
      <c r="M100">
        <v>0.18257334185194321</v>
      </c>
      <c r="O100" t="s">
        <v>445</v>
      </c>
      <c r="P100" t="s">
        <v>626</v>
      </c>
      <c r="Q100" t="s">
        <v>627</v>
      </c>
      <c r="R100" t="s">
        <v>10</v>
      </c>
      <c r="S100" t="s">
        <v>20</v>
      </c>
      <c r="T100" t="s">
        <v>448</v>
      </c>
      <c r="U100" t="s">
        <v>449</v>
      </c>
      <c r="V100" t="s">
        <v>150</v>
      </c>
      <c r="X100" t="s">
        <v>626</v>
      </c>
      <c r="Y100" t="s">
        <v>415</v>
      </c>
      <c r="Z100" t="s">
        <v>648</v>
      </c>
      <c r="AA100">
        <v>0.98086220977655469</v>
      </c>
      <c r="AB100">
        <v>350.85948742983044</v>
      </c>
      <c r="AD100" t="s">
        <v>445</v>
      </c>
      <c r="AE100" t="s">
        <v>888</v>
      </c>
      <c r="AF100" t="s">
        <v>889</v>
      </c>
      <c r="AG100" t="s">
        <v>10</v>
      </c>
      <c r="AH100" t="s">
        <v>20</v>
      </c>
      <c r="AI100" t="s">
        <v>449</v>
      </c>
      <c r="AJ100" t="s">
        <v>150</v>
      </c>
      <c r="AL100" t="s">
        <v>888</v>
      </c>
      <c r="AM100" t="s">
        <v>1028</v>
      </c>
      <c r="AN100" t="s">
        <v>649</v>
      </c>
      <c r="AO100">
        <v>0.94697941545710573</v>
      </c>
      <c r="AP100">
        <v>972.0440499530622</v>
      </c>
    </row>
    <row r="101" spans="2:42">
      <c r="B101" t="s">
        <v>146</v>
      </c>
      <c r="C101" t="s">
        <v>329</v>
      </c>
      <c r="D101" t="s">
        <v>330</v>
      </c>
      <c r="E101" t="s">
        <v>10</v>
      </c>
      <c r="F101" t="s">
        <v>20</v>
      </c>
      <c r="G101" t="s">
        <v>149</v>
      </c>
      <c r="H101" t="s">
        <v>150</v>
      </c>
      <c r="J101" t="s">
        <v>329</v>
      </c>
      <c r="K101" t="s">
        <v>437</v>
      </c>
      <c r="L101">
        <v>5.7688060736477214</v>
      </c>
      <c r="M101">
        <v>0.1964532656167004</v>
      </c>
      <c r="O101" t="s">
        <v>445</v>
      </c>
      <c r="P101" t="s">
        <v>628</v>
      </c>
      <c r="Q101" t="s">
        <v>629</v>
      </c>
      <c r="R101" t="s">
        <v>10</v>
      </c>
      <c r="S101" t="s">
        <v>20</v>
      </c>
      <c r="T101" t="s">
        <v>448</v>
      </c>
      <c r="U101" t="s">
        <v>449</v>
      </c>
      <c r="V101" t="s">
        <v>150</v>
      </c>
      <c r="X101" t="s">
        <v>628</v>
      </c>
      <c r="Y101" t="s">
        <v>390</v>
      </c>
      <c r="Z101" t="s">
        <v>648</v>
      </c>
      <c r="AA101">
        <v>0.99377506386421921</v>
      </c>
      <c r="AB101">
        <v>114.12382915598114</v>
      </c>
      <c r="AD101" t="s">
        <v>445</v>
      </c>
      <c r="AE101" t="s">
        <v>890</v>
      </c>
      <c r="AF101" t="s">
        <v>891</v>
      </c>
      <c r="AG101" t="s">
        <v>10</v>
      </c>
      <c r="AH101" t="s">
        <v>20</v>
      </c>
      <c r="AI101" t="s">
        <v>449</v>
      </c>
      <c r="AJ101" t="s">
        <v>150</v>
      </c>
      <c r="AL101" t="s">
        <v>890</v>
      </c>
      <c r="AM101" t="s">
        <v>1029</v>
      </c>
      <c r="AN101" t="s">
        <v>649</v>
      </c>
      <c r="AO101">
        <v>0.96335236529265011</v>
      </c>
      <c r="AP101">
        <v>671.87330296808034</v>
      </c>
    </row>
    <row r="102" spans="2:42">
      <c r="B102" t="s">
        <v>146</v>
      </c>
      <c r="C102" t="s">
        <v>331</v>
      </c>
      <c r="D102" t="s">
        <v>332</v>
      </c>
      <c r="E102" t="s">
        <v>10</v>
      </c>
      <c r="F102" t="s">
        <v>20</v>
      </c>
      <c r="G102" t="s">
        <v>149</v>
      </c>
      <c r="H102" t="s">
        <v>150</v>
      </c>
      <c r="J102" t="s">
        <v>331</v>
      </c>
      <c r="K102" t="s">
        <v>438</v>
      </c>
      <c r="L102">
        <v>99.996460249071518</v>
      </c>
      <c r="M102">
        <v>0.20732096101909631</v>
      </c>
      <c r="O102" t="s">
        <v>445</v>
      </c>
      <c r="P102" t="s">
        <v>630</v>
      </c>
      <c r="Q102" t="s">
        <v>631</v>
      </c>
      <c r="R102" t="s">
        <v>10</v>
      </c>
      <c r="S102" t="s">
        <v>20</v>
      </c>
      <c r="T102" t="s">
        <v>448</v>
      </c>
      <c r="U102" t="s">
        <v>449</v>
      </c>
      <c r="V102" t="s">
        <v>150</v>
      </c>
      <c r="X102" t="s">
        <v>630</v>
      </c>
      <c r="Y102" t="s">
        <v>380</v>
      </c>
      <c r="Z102" t="s">
        <v>661</v>
      </c>
      <c r="AA102">
        <v>0.95105540198711702</v>
      </c>
      <c r="AB102">
        <v>897.31763023618794</v>
      </c>
      <c r="AD102" t="s">
        <v>445</v>
      </c>
      <c r="AE102" t="s">
        <v>892</v>
      </c>
      <c r="AF102" t="s">
        <v>893</v>
      </c>
      <c r="AG102" t="s">
        <v>10</v>
      </c>
      <c r="AH102" t="s">
        <v>20</v>
      </c>
      <c r="AI102" t="s">
        <v>449</v>
      </c>
      <c r="AJ102" t="s">
        <v>150</v>
      </c>
      <c r="AL102" t="s">
        <v>892</v>
      </c>
      <c r="AM102" t="s">
        <v>1030</v>
      </c>
      <c r="AN102" t="s">
        <v>1031</v>
      </c>
      <c r="AO102">
        <v>0.97070223771032205</v>
      </c>
      <c r="AP102">
        <v>537.12564197742824</v>
      </c>
    </row>
    <row r="103" spans="2:42">
      <c r="B103" t="s">
        <v>146</v>
      </c>
      <c r="C103" t="s">
        <v>333</v>
      </c>
      <c r="D103" t="s">
        <v>334</v>
      </c>
      <c r="E103" t="s">
        <v>10</v>
      </c>
      <c r="F103" t="s">
        <v>20</v>
      </c>
      <c r="G103" t="s">
        <v>149</v>
      </c>
      <c r="H103" t="s">
        <v>150</v>
      </c>
      <c r="J103" t="s">
        <v>333</v>
      </c>
      <c r="K103" t="s">
        <v>439</v>
      </c>
      <c r="L103">
        <v>27.544207179370741</v>
      </c>
      <c r="M103">
        <v>0.2059774820106581</v>
      </c>
      <c r="O103" t="s">
        <v>445</v>
      </c>
      <c r="P103" t="s">
        <v>632</v>
      </c>
      <c r="Q103" t="s">
        <v>633</v>
      </c>
      <c r="R103" t="s">
        <v>10</v>
      </c>
      <c r="S103" t="s">
        <v>20</v>
      </c>
      <c r="T103" t="s">
        <v>448</v>
      </c>
      <c r="U103" t="s">
        <v>449</v>
      </c>
      <c r="V103" t="s">
        <v>150</v>
      </c>
      <c r="X103" t="s">
        <v>632</v>
      </c>
      <c r="Y103" t="s">
        <v>373</v>
      </c>
      <c r="Z103" t="s">
        <v>706</v>
      </c>
      <c r="AA103">
        <v>0.99131962187405476</v>
      </c>
      <c r="AB103">
        <v>159.14026564233004</v>
      </c>
      <c r="AD103" t="s">
        <v>445</v>
      </c>
      <c r="AE103" t="s">
        <v>894</v>
      </c>
      <c r="AF103" t="s">
        <v>895</v>
      </c>
      <c r="AG103" t="s">
        <v>10</v>
      </c>
      <c r="AH103" t="s">
        <v>20</v>
      </c>
      <c r="AI103" t="s">
        <v>449</v>
      </c>
      <c r="AJ103" t="s">
        <v>150</v>
      </c>
      <c r="AL103" t="s">
        <v>894</v>
      </c>
      <c r="AM103" t="s">
        <v>1032</v>
      </c>
      <c r="AN103" t="s">
        <v>1033</v>
      </c>
      <c r="AO103">
        <v>0.97950961971620221</v>
      </c>
      <c r="AP103">
        <v>375.65697186962575</v>
      </c>
    </row>
    <row r="104" spans="2:42">
      <c r="B104" t="s">
        <v>146</v>
      </c>
      <c r="C104" t="s">
        <v>335</v>
      </c>
      <c r="D104" t="s">
        <v>336</v>
      </c>
      <c r="E104" t="s">
        <v>10</v>
      </c>
      <c r="F104" t="s">
        <v>20</v>
      </c>
      <c r="G104" t="s">
        <v>149</v>
      </c>
      <c r="H104" t="s">
        <v>150</v>
      </c>
      <c r="J104" t="s">
        <v>335</v>
      </c>
      <c r="K104" t="s">
        <v>440</v>
      </c>
      <c r="L104">
        <v>88.457077036419179</v>
      </c>
      <c r="M104">
        <v>0.206760775246913</v>
      </c>
      <c r="O104" t="s">
        <v>445</v>
      </c>
      <c r="P104" t="s">
        <v>634</v>
      </c>
      <c r="Q104" t="s">
        <v>635</v>
      </c>
      <c r="R104" t="s">
        <v>10</v>
      </c>
      <c r="S104" t="s">
        <v>20</v>
      </c>
      <c r="T104" t="s">
        <v>448</v>
      </c>
      <c r="U104" t="s">
        <v>449</v>
      </c>
      <c r="V104" t="s">
        <v>150</v>
      </c>
      <c r="X104" t="s">
        <v>634</v>
      </c>
      <c r="Y104" t="s">
        <v>403</v>
      </c>
      <c r="Z104" t="s">
        <v>707</v>
      </c>
      <c r="AA104">
        <v>0.99273760630626895</v>
      </c>
      <c r="AB104">
        <v>133.14388438506904</v>
      </c>
      <c r="AD104" t="s">
        <v>445</v>
      </c>
      <c r="AE104" t="s">
        <v>896</v>
      </c>
      <c r="AF104" t="s">
        <v>897</v>
      </c>
      <c r="AG104" t="s">
        <v>10</v>
      </c>
      <c r="AH104" t="s">
        <v>20</v>
      </c>
      <c r="AI104" t="s">
        <v>449</v>
      </c>
      <c r="AJ104" t="s">
        <v>150</v>
      </c>
      <c r="AL104" t="s">
        <v>896</v>
      </c>
      <c r="AM104" t="s">
        <v>1034</v>
      </c>
      <c r="AN104" t="s">
        <v>649</v>
      </c>
      <c r="AO104">
        <v>0.94721908575810376</v>
      </c>
      <c r="AP104">
        <v>967.65009443476538</v>
      </c>
    </row>
    <row r="105" spans="2:42">
      <c r="B105" t="s">
        <v>146</v>
      </c>
      <c r="C105" t="s">
        <v>337</v>
      </c>
      <c r="D105" t="s">
        <v>338</v>
      </c>
      <c r="E105" t="s">
        <v>10</v>
      </c>
      <c r="F105" t="s">
        <v>20</v>
      </c>
      <c r="G105" t="s">
        <v>149</v>
      </c>
      <c r="H105" t="s">
        <v>150</v>
      </c>
      <c r="J105" t="s">
        <v>337</v>
      </c>
      <c r="K105" t="s">
        <v>441</v>
      </c>
      <c r="L105">
        <v>13.263416813941802</v>
      </c>
      <c r="M105">
        <v>0.2014617728558451</v>
      </c>
      <c r="O105" t="s">
        <v>445</v>
      </c>
      <c r="P105" t="s">
        <v>636</v>
      </c>
      <c r="Q105" t="s">
        <v>637</v>
      </c>
      <c r="R105" t="s">
        <v>10</v>
      </c>
      <c r="S105" t="s">
        <v>20</v>
      </c>
      <c r="T105" t="s">
        <v>448</v>
      </c>
      <c r="U105" t="s">
        <v>449</v>
      </c>
      <c r="V105" t="s">
        <v>150</v>
      </c>
      <c r="X105" t="s">
        <v>636</v>
      </c>
      <c r="Y105" t="s">
        <v>431</v>
      </c>
      <c r="Z105" t="s">
        <v>708</v>
      </c>
      <c r="AA105">
        <v>0.99564857688473862</v>
      </c>
      <c r="AB105">
        <v>79.77609044645817</v>
      </c>
      <c r="AD105" t="s">
        <v>445</v>
      </c>
      <c r="AE105" t="s">
        <v>898</v>
      </c>
      <c r="AF105" t="s">
        <v>899</v>
      </c>
      <c r="AG105" t="s">
        <v>10</v>
      </c>
      <c r="AH105" t="s">
        <v>20</v>
      </c>
      <c r="AI105" t="s">
        <v>449</v>
      </c>
      <c r="AJ105" t="s">
        <v>150</v>
      </c>
      <c r="AL105" t="s">
        <v>898</v>
      </c>
      <c r="AM105" t="s">
        <v>1035</v>
      </c>
      <c r="AN105" t="s">
        <v>649</v>
      </c>
      <c r="AO105">
        <v>0.98898335230625201</v>
      </c>
      <c r="AP105">
        <v>201.97187438538015</v>
      </c>
    </row>
    <row r="106" spans="2:42">
      <c r="B106" t="s">
        <v>146</v>
      </c>
      <c r="C106" t="s">
        <v>339</v>
      </c>
      <c r="D106" t="s">
        <v>340</v>
      </c>
      <c r="E106" t="s">
        <v>10</v>
      </c>
      <c r="F106" t="s">
        <v>20</v>
      </c>
      <c r="G106" t="s">
        <v>149</v>
      </c>
      <c r="H106" t="s">
        <v>150</v>
      </c>
      <c r="J106" t="s">
        <v>339</v>
      </c>
      <c r="K106" t="s">
        <v>442</v>
      </c>
      <c r="L106">
        <v>12.366988757195982</v>
      </c>
      <c r="M106">
        <v>0.1974023704651896</v>
      </c>
      <c r="O106" t="s">
        <v>445</v>
      </c>
      <c r="P106" t="s">
        <v>638</v>
      </c>
      <c r="Q106" t="s">
        <v>639</v>
      </c>
      <c r="R106" t="s">
        <v>10</v>
      </c>
      <c r="S106" t="s">
        <v>20</v>
      </c>
      <c r="T106" t="s">
        <v>448</v>
      </c>
      <c r="U106" t="s">
        <v>449</v>
      </c>
      <c r="V106" t="s">
        <v>150</v>
      </c>
      <c r="X106" t="s">
        <v>638</v>
      </c>
      <c r="Y106" t="s">
        <v>429</v>
      </c>
      <c r="Z106" t="s">
        <v>653</v>
      </c>
      <c r="AA106">
        <v>0.99351242433990716</v>
      </c>
      <c r="AB106">
        <v>118.93888710170195</v>
      </c>
      <c r="AD106" t="s">
        <v>445</v>
      </c>
      <c r="AE106" t="s">
        <v>900</v>
      </c>
      <c r="AF106" t="s">
        <v>901</v>
      </c>
      <c r="AG106" t="s">
        <v>10</v>
      </c>
      <c r="AH106" t="s">
        <v>20</v>
      </c>
      <c r="AI106" t="s">
        <v>449</v>
      </c>
      <c r="AJ106" t="s">
        <v>150</v>
      </c>
      <c r="AL106" t="s">
        <v>900</v>
      </c>
      <c r="AM106" t="s">
        <v>1036</v>
      </c>
      <c r="AN106" t="s">
        <v>1037</v>
      </c>
      <c r="AO106">
        <v>0.99506178999496608</v>
      </c>
      <c r="AP106">
        <v>90.533850092289356</v>
      </c>
    </row>
    <row r="107" spans="2:42">
      <c r="B107" t="s">
        <v>146</v>
      </c>
      <c r="C107" t="s">
        <v>341</v>
      </c>
      <c r="D107" t="s">
        <v>342</v>
      </c>
      <c r="E107" t="s">
        <v>10</v>
      </c>
      <c r="F107" t="s">
        <v>20</v>
      </c>
      <c r="G107" t="s">
        <v>149</v>
      </c>
      <c r="H107" t="s">
        <v>150</v>
      </c>
      <c r="J107" t="s">
        <v>341</v>
      </c>
      <c r="K107" t="s">
        <v>443</v>
      </c>
      <c r="L107">
        <v>54.041293980825984</v>
      </c>
      <c r="M107">
        <v>0.2024509378428192</v>
      </c>
      <c r="O107" t="s">
        <v>445</v>
      </c>
      <c r="P107" t="s">
        <v>640</v>
      </c>
      <c r="Q107" t="s">
        <v>641</v>
      </c>
      <c r="R107" t="s">
        <v>10</v>
      </c>
      <c r="S107" t="s">
        <v>20</v>
      </c>
      <c r="T107" t="s">
        <v>448</v>
      </c>
      <c r="U107" t="s">
        <v>449</v>
      </c>
      <c r="V107" t="s">
        <v>150</v>
      </c>
      <c r="X107" t="s">
        <v>640</v>
      </c>
      <c r="Y107" t="s">
        <v>435</v>
      </c>
      <c r="Z107" t="s">
        <v>709</v>
      </c>
      <c r="AA107">
        <v>0.99821138151964162</v>
      </c>
      <c r="AB107">
        <v>32.791338806570671</v>
      </c>
      <c r="AD107" t="s">
        <v>445</v>
      </c>
      <c r="AE107" t="s">
        <v>902</v>
      </c>
      <c r="AF107" t="s">
        <v>903</v>
      </c>
      <c r="AG107" t="s">
        <v>10</v>
      </c>
      <c r="AH107" t="s">
        <v>20</v>
      </c>
      <c r="AI107" t="s">
        <v>449</v>
      </c>
      <c r="AJ107" t="s">
        <v>150</v>
      </c>
      <c r="AL107" t="s">
        <v>902</v>
      </c>
      <c r="AM107" t="s">
        <v>1038</v>
      </c>
      <c r="AN107" t="s">
        <v>662</v>
      </c>
      <c r="AO107">
        <v>0.99493880624410824</v>
      </c>
      <c r="AP107">
        <v>92.7885521913487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D0A2-40DB-4C4C-A1F1-0FE3E235A0C3}">
  <dimension ref="B9:Z107"/>
  <sheetViews>
    <sheetView workbookViewId="0"/>
  </sheetViews>
  <sheetFormatPr defaultRowHeight="14.25"/>
  <sheetData>
    <row r="9" spans="2:26">
      <c r="B9" t="s">
        <v>138</v>
      </c>
      <c r="J9" t="s">
        <v>343</v>
      </c>
      <c r="O9" t="s">
        <v>138</v>
      </c>
      <c r="W9" t="s">
        <v>343</v>
      </c>
    </row>
    <row r="10" spans="2:26">
      <c r="B10" t="s">
        <v>139</v>
      </c>
      <c r="C10" t="s">
        <v>140</v>
      </c>
      <c r="D10" t="s">
        <v>141</v>
      </c>
      <c r="E10" t="s">
        <v>142</v>
      </c>
      <c r="F10" t="s">
        <v>143</v>
      </c>
      <c r="G10" t="s">
        <v>144</v>
      </c>
      <c r="H10" t="s">
        <v>145</v>
      </c>
      <c r="J10" t="s">
        <v>140</v>
      </c>
      <c r="K10" t="s">
        <v>344</v>
      </c>
      <c r="L10" t="s">
        <v>345</v>
      </c>
      <c r="M10" t="s">
        <v>346</v>
      </c>
      <c r="O10" t="s">
        <v>139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 t="s">
        <v>145</v>
      </c>
      <c r="W10" t="s">
        <v>140</v>
      </c>
      <c r="X10" t="s">
        <v>344</v>
      </c>
      <c r="Y10" t="s">
        <v>345</v>
      </c>
      <c r="Z10" t="s">
        <v>346</v>
      </c>
    </row>
    <row r="11" spans="2:26">
      <c r="B11" t="s">
        <v>146</v>
      </c>
      <c r="C11" t="s">
        <v>1213</v>
      </c>
      <c r="D11" t="s">
        <v>1214</v>
      </c>
      <c r="E11" t="s">
        <v>10</v>
      </c>
      <c r="F11" t="s">
        <v>20</v>
      </c>
      <c r="G11" t="s">
        <v>149</v>
      </c>
      <c r="H11" t="s">
        <v>150</v>
      </c>
      <c r="J11" t="s">
        <v>1213</v>
      </c>
      <c r="K11" t="s">
        <v>1016</v>
      </c>
      <c r="L11">
        <v>0.17596388835381646</v>
      </c>
      <c r="M11">
        <v>0.19363034086168129</v>
      </c>
      <c r="O11" t="s">
        <v>146</v>
      </c>
      <c r="P11" t="s">
        <v>1407</v>
      </c>
      <c r="Q11" t="s">
        <v>1408</v>
      </c>
      <c r="R11" t="s">
        <v>10</v>
      </c>
      <c r="S11" t="s">
        <v>20</v>
      </c>
      <c r="T11" t="s">
        <v>149</v>
      </c>
      <c r="U11" t="s">
        <v>150</v>
      </c>
      <c r="W11" t="s">
        <v>1407</v>
      </c>
      <c r="X11" t="s">
        <v>1194</v>
      </c>
      <c r="Y11">
        <v>45.567749999999997</v>
      </c>
      <c r="Z11">
        <v>0.29161555417134533</v>
      </c>
    </row>
    <row r="12" spans="2:26">
      <c r="B12" t="s">
        <v>146</v>
      </c>
      <c r="C12" t="s">
        <v>1215</v>
      </c>
      <c r="D12" t="s">
        <v>1216</v>
      </c>
      <c r="E12" t="s">
        <v>10</v>
      </c>
      <c r="F12" t="s">
        <v>20</v>
      </c>
      <c r="G12" t="s">
        <v>149</v>
      </c>
      <c r="H12" t="s">
        <v>150</v>
      </c>
      <c r="J12" t="s">
        <v>1215</v>
      </c>
      <c r="K12" t="s">
        <v>938</v>
      </c>
      <c r="L12">
        <v>0.5998563972685973</v>
      </c>
      <c r="M12">
        <v>0.38035026070329792</v>
      </c>
      <c r="O12" t="s">
        <v>146</v>
      </c>
      <c r="P12" t="s">
        <v>1409</v>
      </c>
      <c r="Q12" t="s">
        <v>1410</v>
      </c>
      <c r="R12" t="s">
        <v>10</v>
      </c>
      <c r="S12" t="s">
        <v>20</v>
      </c>
      <c r="T12" t="s">
        <v>149</v>
      </c>
      <c r="U12" t="s">
        <v>150</v>
      </c>
      <c r="W12" t="s">
        <v>1409</v>
      </c>
      <c r="X12" t="s">
        <v>1154</v>
      </c>
      <c r="Y12">
        <v>102.99525</v>
      </c>
      <c r="Z12">
        <v>0.28672463296511441</v>
      </c>
    </row>
    <row r="13" spans="2:26">
      <c r="B13" t="s">
        <v>146</v>
      </c>
      <c r="C13" t="s">
        <v>1217</v>
      </c>
      <c r="D13" t="s">
        <v>1218</v>
      </c>
      <c r="E13" t="s">
        <v>10</v>
      </c>
      <c r="F13" t="s">
        <v>20</v>
      </c>
      <c r="G13" t="s">
        <v>149</v>
      </c>
      <c r="H13" t="s">
        <v>150</v>
      </c>
      <c r="J13" t="s">
        <v>1217</v>
      </c>
      <c r="K13" t="s">
        <v>958</v>
      </c>
      <c r="L13">
        <v>4.2823239792782193</v>
      </c>
      <c r="M13">
        <v>0.2302971514113232</v>
      </c>
      <c r="O13" t="s">
        <v>146</v>
      </c>
      <c r="P13" t="s">
        <v>1411</v>
      </c>
      <c r="Q13" t="s">
        <v>1412</v>
      </c>
      <c r="R13" t="s">
        <v>10</v>
      </c>
      <c r="S13" t="s">
        <v>20</v>
      </c>
      <c r="T13" t="s">
        <v>149</v>
      </c>
      <c r="U13" t="s">
        <v>150</v>
      </c>
      <c r="W13" t="s">
        <v>1411</v>
      </c>
      <c r="X13" t="s">
        <v>1206</v>
      </c>
      <c r="Y13">
        <v>77.929500000000004</v>
      </c>
      <c r="Z13">
        <v>0.24296263266851209</v>
      </c>
    </row>
    <row r="14" spans="2:26">
      <c r="B14" t="s">
        <v>146</v>
      </c>
      <c r="C14" t="s">
        <v>1219</v>
      </c>
      <c r="D14" t="s">
        <v>1220</v>
      </c>
      <c r="E14" t="s">
        <v>10</v>
      </c>
      <c r="F14" t="s">
        <v>20</v>
      </c>
      <c r="G14" t="s">
        <v>149</v>
      </c>
      <c r="H14" t="s">
        <v>150</v>
      </c>
      <c r="J14" t="s">
        <v>1219</v>
      </c>
      <c r="K14" t="s">
        <v>969</v>
      </c>
      <c r="L14">
        <v>9.5215803844936261E-2</v>
      </c>
      <c r="M14">
        <v>0.205526691236736</v>
      </c>
      <c r="O14" t="s">
        <v>146</v>
      </c>
      <c r="P14" t="s">
        <v>1413</v>
      </c>
      <c r="Q14" t="s">
        <v>1414</v>
      </c>
      <c r="R14" t="s">
        <v>10</v>
      </c>
      <c r="S14" t="s">
        <v>20</v>
      </c>
      <c r="T14" t="s">
        <v>149</v>
      </c>
      <c r="U14" t="s">
        <v>150</v>
      </c>
      <c r="W14" t="s">
        <v>1413</v>
      </c>
      <c r="X14" t="s">
        <v>1190</v>
      </c>
      <c r="Y14">
        <v>34.414499999999997</v>
      </c>
      <c r="Z14">
        <v>0.2143650368347686</v>
      </c>
    </row>
    <row r="15" spans="2:26">
      <c r="B15" t="s">
        <v>146</v>
      </c>
      <c r="C15" t="s">
        <v>1221</v>
      </c>
      <c r="D15" t="s">
        <v>1222</v>
      </c>
      <c r="E15" t="s">
        <v>10</v>
      </c>
      <c r="F15" t="s">
        <v>20</v>
      </c>
      <c r="G15" t="s">
        <v>149</v>
      </c>
      <c r="H15" t="s">
        <v>150</v>
      </c>
      <c r="J15" t="s">
        <v>1221</v>
      </c>
      <c r="K15" t="s">
        <v>1017</v>
      </c>
      <c r="L15">
        <v>3.6287474003893196</v>
      </c>
      <c r="M15">
        <v>0.19679612928757381</v>
      </c>
      <c r="O15" t="s">
        <v>146</v>
      </c>
      <c r="P15" t="s">
        <v>1415</v>
      </c>
      <c r="Q15" t="s">
        <v>1416</v>
      </c>
      <c r="R15" t="s">
        <v>10</v>
      </c>
      <c r="S15" t="s">
        <v>20</v>
      </c>
      <c r="T15" t="s">
        <v>149</v>
      </c>
      <c r="U15" t="s">
        <v>150</v>
      </c>
      <c r="W15" t="s">
        <v>1415</v>
      </c>
      <c r="X15" t="s">
        <v>1176</v>
      </c>
      <c r="Y15">
        <v>48.263249999999999</v>
      </c>
      <c r="Z15">
        <v>0.26267023072751461</v>
      </c>
    </row>
    <row r="16" spans="2:26">
      <c r="B16" t="s">
        <v>146</v>
      </c>
      <c r="C16" t="s">
        <v>1223</v>
      </c>
      <c r="D16" t="s">
        <v>1224</v>
      </c>
      <c r="E16" t="s">
        <v>10</v>
      </c>
      <c r="F16" t="s">
        <v>20</v>
      </c>
      <c r="G16" t="s">
        <v>149</v>
      </c>
      <c r="H16" t="s">
        <v>150</v>
      </c>
      <c r="J16" t="s">
        <v>1223</v>
      </c>
      <c r="K16" t="s">
        <v>939</v>
      </c>
      <c r="L16">
        <v>43.604071708920948</v>
      </c>
      <c r="M16">
        <v>0.3123601242613247</v>
      </c>
      <c r="O16" t="s">
        <v>146</v>
      </c>
      <c r="P16" t="s">
        <v>1417</v>
      </c>
      <c r="Q16" t="s">
        <v>1418</v>
      </c>
      <c r="R16" t="s">
        <v>10</v>
      </c>
      <c r="S16" t="s">
        <v>20</v>
      </c>
      <c r="T16" t="s">
        <v>149</v>
      </c>
      <c r="U16" t="s">
        <v>150</v>
      </c>
      <c r="W16" t="s">
        <v>1417</v>
      </c>
      <c r="X16" t="s">
        <v>1171</v>
      </c>
      <c r="Y16">
        <v>27.429749999999999</v>
      </c>
      <c r="Z16">
        <v>0.4591672311834421</v>
      </c>
    </row>
    <row r="17" spans="2:26">
      <c r="B17" t="s">
        <v>146</v>
      </c>
      <c r="C17" t="s">
        <v>1225</v>
      </c>
      <c r="D17" t="s">
        <v>1226</v>
      </c>
      <c r="E17" t="s">
        <v>10</v>
      </c>
      <c r="F17" t="s">
        <v>20</v>
      </c>
      <c r="G17" t="s">
        <v>149</v>
      </c>
      <c r="H17" t="s">
        <v>150</v>
      </c>
      <c r="J17" t="s">
        <v>1225</v>
      </c>
      <c r="K17" t="s">
        <v>1025</v>
      </c>
      <c r="L17">
        <v>9.6809271032388455</v>
      </c>
      <c r="M17">
        <v>0.1800258144955941</v>
      </c>
      <c r="O17" t="s">
        <v>146</v>
      </c>
      <c r="P17" t="s">
        <v>1419</v>
      </c>
      <c r="Q17" t="s">
        <v>1420</v>
      </c>
      <c r="R17" t="s">
        <v>10</v>
      </c>
      <c r="S17" t="s">
        <v>20</v>
      </c>
      <c r="T17" t="s">
        <v>149</v>
      </c>
      <c r="U17" t="s">
        <v>150</v>
      </c>
      <c r="W17" t="s">
        <v>1419</v>
      </c>
      <c r="X17" t="s">
        <v>1169</v>
      </c>
      <c r="Y17">
        <v>29.697749999999999</v>
      </c>
      <c r="Z17">
        <v>0.48352996267435339</v>
      </c>
    </row>
    <row r="18" spans="2:26">
      <c r="B18" t="s">
        <v>146</v>
      </c>
      <c r="C18" t="s">
        <v>1227</v>
      </c>
      <c r="D18" t="s">
        <v>1228</v>
      </c>
      <c r="E18" t="s">
        <v>10</v>
      </c>
      <c r="F18" t="s">
        <v>20</v>
      </c>
      <c r="G18" t="s">
        <v>149</v>
      </c>
      <c r="H18" t="s">
        <v>150</v>
      </c>
      <c r="J18" t="s">
        <v>1227</v>
      </c>
      <c r="K18" t="s">
        <v>1010</v>
      </c>
      <c r="L18">
        <v>19.57643322237125</v>
      </c>
      <c r="M18">
        <v>0.19942931827365709</v>
      </c>
      <c r="O18" t="s">
        <v>146</v>
      </c>
      <c r="P18" t="s">
        <v>1421</v>
      </c>
      <c r="Q18" t="s">
        <v>1422</v>
      </c>
      <c r="R18" t="s">
        <v>10</v>
      </c>
      <c r="S18" t="s">
        <v>20</v>
      </c>
      <c r="T18" t="s">
        <v>149</v>
      </c>
      <c r="U18" t="s">
        <v>150</v>
      </c>
      <c r="W18" t="s">
        <v>1421</v>
      </c>
      <c r="X18" t="s">
        <v>1151</v>
      </c>
      <c r="Y18">
        <v>39.247500000000002</v>
      </c>
      <c r="Z18">
        <v>0.51990454137473363</v>
      </c>
    </row>
    <row r="19" spans="2:26">
      <c r="B19" t="s">
        <v>146</v>
      </c>
      <c r="C19" t="s">
        <v>1229</v>
      </c>
      <c r="D19" t="s">
        <v>1230</v>
      </c>
      <c r="E19" t="s">
        <v>10</v>
      </c>
      <c r="F19" t="s">
        <v>20</v>
      </c>
      <c r="G19" t="s">
        <v>149</v>
      </c>
      <c r="H19" t="s">
        <v>150</v>
      </c>
      <c r="J19" t="s">
        <v>1229</v>
      </c>
      <c r="K19" t="s">
        <v>1035</v>
      </c>
      <c r="L19">
        <v>55.638210824668811</v>
      </c>
      <c r="M19">
        <v>0.29045865766876638</v>
      </c>
      <c r="O19" t="s">
        <v>146</v>
      </c>
      <c r="P19" t="s">
        <v>1423</v>
      </c>
      <c r="Q19" t="s">
        <v>1424</v>
      </c>
      <c r="R19" t="s">
        <v>10</v>
      </c>
      <c r="S19" t="s">
        <v>20</v>
      </c>
      <c r="T19" t="s">
        <v>149</v>
      </c>
      <c r="U19" t="s">
        <v>150</v>
      </c>
      <c r="W19" t="s">
        <v>1423</v>
      </c>
      <c r="X19" t="s">
        <v>1201</v>
      </c>
      <c r="Y19">
        <v>54.114750000000001</v>
      </c>
      <c r="Z19">
        <v>0.56311891978119732</v>
      </c>
    </row>
    <row r="20" spans="2:26">
      <c r="B20" t="s">
        <v>146</v>
      </c>
      <c r="C20" t="s">
        <v>1231</v>
      </c>
      <c r="D20" t="s">
        <v>1232</v>
      </c>
      <c r="E20" t="s">
        <v>10</v>
      </c>
      <c r="F20" t="s">
        <v>20</v>
      </c>
      <c r="G20" t="s">
        <v>149</v>
      </c>
      <c r="H20" t="s">
        <v>150</v>
      </c>
      <c r="J20" t="s">
        <v>1231</v>
      </c>
      <c r="K20" t="s">
        <v>957</v>
      </c>
      <c r="L20">
        <v>4.3112694152725819</v>
      </c>
      <c r="M20">
        <v>0.19865299983049831</v>
      </c>
      <c r="O20" t="s">
        <v>146</v>
      </c>
      <c r="P20" t="s">
        <v>1425</v>
      </c>
      <c r="Q20" t="s">
        <v>1426</v>
      </c>
      <c r="R20" t="s">
        <v>10</v>
      </c>
      <c r="S20" t="s">
        <v>20</v>
      </c>
      <c r="T20" t="s">
        <v>149</v>
      </c>
      <c r="U20" t="s">
        <v>150</v>
      </c>
      <c r="W20" t="s">
        <v>1425</v>
      </c>
      <c r="X20" t="s">
        <v>1184</v>
      </c>
      <c r="Y20">
        <v>46.38</v>
      </c>
      <c r="Z20">
        <v>0.53242097398528843</v>
      </c>
    </row>
    <row r="21" spans="2:26">
      <c r="B21" t="s">
        <v>146</v>
      </c>
      <c r="C21" t="s">
        <v>1233</v>
      </c>
      <c r="D21" t="s">
        <v>1234</v>
      </c>
      <c r="E21" t="s">
        <v>10</v>
      </c>
      <c r="F21" t="s">
        <v>20</v>
      </c>
      <c r="G21" t="s">
        <v>149</v>
      </c>
      <c r="H21" t="s">
        <v>150</v>
      </c>
      <c r="J21" t="s">
        <v>1233</v>
      </c>
      <c r="K21" t="s">
        <v>910</v>
      </c>
      <c r="L21">
        <v>11.295459465941514</v>
      </c>
      <c r="M21">
        <v>0.258651976039662</v>
      </c>
      <c r="O21" t="s">
        <v>146</v>
      </c>
      <c r="P21" t="s">
        <v>1427</v>
      </c>
      <c r="Q21" t="s">
        <v>1428</v>
      </c>
      <c r="R21" t="s">
        <v>10</v>
      </c>
      <c r="S21" t="s">
        <v>20</v>
      </c>
      <c r="T21" t="s">
        <v>149</v>
      </c>
      <c r="U21" t="s">
        <v>150</v>
      </c>
      <c r="W21" t="s">
        <v>1427</v>
      </c>
      <c r="X21" t="s">
        <v>1166</v>
      </c>
      <c r="Y21">
        <v>11.891999999999999</v>
      </c>
      <c r="Z21">
        <v>0.39522404260519889</v>
      </c>
    </row>
    <row r="22" spans="2:26">
      <c r="B22" t="s">
        <v>146</v>
      </c>
      <c r="C22" t="s">
        <v>1235</v>
      </c>
      <c r="D22" t="s">
        <v>1236</v>
      </c>
      <c r="E22" t="s">
        <v>10</v>
      </c>
      <c r="F22" t="s">
        <v>20</v>
      </c>
      <c r="G22" t="s">
        <v>149</v>
      </c>
      <c r="H22" t="s">
        <v>150</v>
      </c>
      <c r="J22" t="s">
        <v>1235</v>
      </c>
      <c r="K22" t="s">
        <v>954</v>
      </c>
      <c r="L22">
        <v>3.350731358569373</v>
      </c>
      <c r="M22">
        <v>0.19072492959782239</v>
      </c>
      <c r="O22" t="s">
        <v>146</v>
      </c>
      <c r="P22" t="s">
        <v>1429</v>
      </c>
      <c r="Q22" t="s">
        <v>1430</v>
      </c>
      <c r="R22" t="s">
        <v>10</v>
      </c>
      <c r="S22" t="s">
        <v>20</v>
      </c>
      <c r="T22" t="s">
        <v>149</v>
      </c>
      <c r="U22" t="s">
        <v>150</v>
      </c>
      <c r="W22" t="s">
        <v>1429</v>
      </c>
      <c r="X22" t="s">
        <v>1203</v>
      </c>
      <c r="Y22">
        <v>163.69575</v>
      </c>
      <c r="Z22">
        <v>0.57797871174883475</v>
      </c>
    </row>
    <row r="23" spans="2:26">
      <c r="B23" t="s">
        <v>146</v>
      </c>
      <c r="C23" t="s">
        <v>1237</v>
      </c>
      <c r="D23" t="s">
        <v>1238</v>
      </c>
      <c r="E23" t="s">
        <v>10</v>
      </c>
      <c r="F23" t="s">
        <v>20</v>
      </c>
      <c r="G23" t="s">
        <v>149</v>
      </c>
      <c r="H23" t="s">
        <v>150</v>
      </c>
      <c r="J23" t="s">
        <v>1237</v>
      </c>
      <c r="K23" t="s">
        <v>992</v>
      </c>
      <c r="L23">
        <v>89.260194648908481</v>
      </c>
      <c r="M23">
        <v>0.32939275550579211</v>
      </c>
      <c r="O23" t="s">
        <v>146</v>
      </c>
      <c r="P23" t="s">
        <v>1431</v>
      </c>
      <c r="Q23" t="s">
        <v>1432</v>
      </c>
      <c r="R23" t="s">
        <v>10</v>
      </c>
      <c r="S23" t="s">
        <v>20</v>
      </c>
      <c r="T23" t="s">
        <v>149</v>
      </c>
      <c r="U23" t="s">
        <v>150</v>
      </c>
      <c r="W23" t="s">
        <v>1431</v>
      </c>
      <c r="X23" t="s">
        <v>1177</v>
      </c>
      <c r="Y23">
        <v>98.379000000000005</v>
      </c>
      <c r="Z23">
        <v>0.56166891282778142</v>
      </c>
    </row>
    <row r="24" spans="2:26">
      <c r="B24" t="s">
        <v>146</v>
      </c>
      <c r="C24" t="s">
        <v>1239</v>
      </c>
      <c r="D24" t="s">
        <v>1240</v>
      </c>
      <c r="E24" t="s">
        <v>10</v>
      </c>
      <c r="F24" t="s">
        <v>20</v>
      </c>
      <c r="G24" t="s">
        <v>149</v>
      </c>
      <c r="H24" t="s">
        <v>150</v>
      </c>
      <c r="J24" t="s">
        <v>1239</v>
      </c>
      <c r="K24" t="s">
        <v>908</v>
      </c>
      <c r="L24">
        <v>54.288016768663745</v>
      </c>
      <c r="M24">
        <v>0.27991751473397891</v>
      </c>
      <c r="O24" t="s">
        <v>146</v>
      </c>
      <c r="P24" t="s">
        <v>1433</v>
      </c>
      <c r="Q24" t="s">
        <v>1434</v>
      </c>
      <c r="R24" t="s">
        <v>10</v>
      </c>
      <c r="S24" t="s">
        <v>20</v>
      </c>
      <c r="T24" t="s">
        <v>149</v>
      </c>
      <c r="U24" t="s">
        <v>150</v>
      </c>
      <c r="W24" t="s">
        <v>1433</v>
      </c>
      <c r="X24" t="s">
        <v>1164</v>
      </c>
      <c r="Y24">
        <v>89.855999999999995</v>
      </c>
      <c r="Z24">
        <v>0.4638680285444825</v>
      </c>
    </row>
    <row r="25" spans="2:26">
      <c r="B25" t="s">
        <v>146</v>
      </c>
      <c r="C25" t="s">
        <v>1241</v>
      </c>
      <c r="D25" t="s">
        <v>1242</v>
      </c>
      <c r="E25" t="s">
        <v>10</v>
      </c>
      <c r="F25" t="s">
        <v>20</v>
      </c>
      <c r="G25" t="s">
        <v>149</v>
      </c>
      <c r="H25" t="s">
        <v>150</v>
      </c>
      <c r="J25" t="s">
        <v>1241</v>
      </c>
      <c r="K25" t="s">
        <v>1024</v>
      </c>
      <c r="L25">
        <v>76.46332597527315</v>
      </c>
      <c r="M25">
        <v>0.35116844902334388</v>
      </c>
      <c r="O25" t="s">
        <v>146</v>
      </c>
      <c r="P25" t="s">
        <v>1435</v>
      </c>
      <c r="Q25" t="s">
        <v>1436</v>
      </c>
      <c r="R25" t="s">
        <v>10</v>
      </c>
      <c r="S25" t="s">
        <v>20</v>
      </c>
      <c r="T25" t="s">
        <v>149</v>
      </c>
      <c r="U25" t="s">
        <v>150</v>
      </c>
      <c r="W25" t="s">
        <v>1435</v>
      </c>
      <c r="X25" t="s">
        <v>1149</v>
      </c>
      <c r="Y25">
        <v>46.682250000000003</v>
      </c>
      <c r="Z25">
        <v>0.48744482256660882</v>
      </c>
    </row>
    <row r="26" spans="2:26">
      <c r="B26" t="s">
        <v>146</v>
      </c>
      <c r="C26" t="s">
        <v>1243</v>
      </c>
      <c r="D26" t="s">
        <v>1244</v>
      </c>
      <c r="E26" t="s">
        <v>10</v>
      </c>
      <c r="F26" t="s">
        <v>20</v>
      </c>
      <c r="G26" t="s">
        <v>149</v>
      </c>
      <c r="H26" t="s">
        <v>150</v>
      </c>
      <c r="J26" t="s">
        <v>1243</v>
      </c>
      <c r="K26" t="s">
        <v>907</v>
      </c>
      <c r="L26">
        <v>127.51605886676012</v>
      </c>
      <c r="M26">
        <v>0.3370432469214274</v>
      </c>
      <c r="O26" t="s">
        <v>146</v>
      </c>
      <c r="P26" t="s">
        <v>1437</v>
      </c>
      <c r="Q26" t="s">
        <v>1438</v>
      </c>
      <c r="R26" t="s">
        <v>10</v>
      </c>
      <c r="S26" t="s">
        <v>20</v>
      </c>
      <c r="T26" t="s">
        <v>149</v>
      </c>
      <c r="U26" t="s">
        <v>150</v>
      </c>
      <c r="W26" t="s">
        <v>1437</v>
      </c>
      <c r="X26" t="s">
        <v>1162</v>
      </c>
      <c r="Y26">
        <v>54.84825</v>
      </c>
      <c r="Z26">
        <v>0.4882488629513822</v>
      </c>
    </row>
    <row r="27" spans="2:26">
      <c r="B27" t="s">
        <v>146</v>
      </c>
      <c r="C27" t="s">
        <v>1245</v>
      </c>
      <c r="D27" t="s">
        <v>1246</v>
      </c>
      <c r="E27" t="s">
        <v>10</v>
      </c>
      <c r="F27" t="s">
        <v>20</v>
      </c>
      <c r="G27" t="s">
        <v>149</v>
      </c>
      <c r="H27" t="s">
        <v>150</v>
      </c>
      <c r="J27" t="s">
        <v>1245</v>
      </c>
      <c r="K27" t="s">
        <v>932</v>
      </c>
      <c r="L27">
        <v>46.793063320317437</v>
      </c>
      <c r="M27">
        <v>0.291567010487221</v>
      </c>
      <c r="O27" t="s">
        <v>146</v>
      </c>
      <c r="P27" t="s">
        <v>1439</v>
      </c>
      <c r="Q27" t="s">
        <v>1440</v>
      </c>
      <c r="R27" t="s">
        <v>10</v>
      </c>
      <c r="S27" t="s">
        <v>20</v>
      </c>
      <c r="T27" t="s">
        <v>149</v>
      </c>
      <c r="U27" t="s">
        <v>150</v>
      </c>
      <c r="W27" t="s">
        <v>1439</v>
      </c>
      <c r="X27" t="s">
        <v>1196</v>
      </c>
      <c r="Y27">
        <v>44.145000000000003</v>
      </c>
      <c r="Z27">
        <v>0.52009630757825454</v>
      </c>
    </row>
    <row r="28" spans="2:26">
      <c r="B28" t="s">
        <v>146</v>
      </c>
      <c r="C28" t="s">
        <v>1247</v>
      </c>
      <c r="D28" t="s">
        <v>1248</v>
      </c>
      <c r="E28" t="s">
        <v>10</v>
      </c>
      <c r="F28" t="s">
        <v>20</v>
      </c>
      <c r="G28" t="s">
        <v>149</v>
      </c>
      <c r="H28" t="s">
        <v>150</v>
      </c>
      <c r="J28" t="s">
        <v>1247</v>
      </c>
      <c r="K28" t="s">
        <v>1027</v>
      </c>
      <c r="L28">
        <v>82.443327158392236</v>
      </c>
      <c r="M28">
        <v>0.28130764164489508</v>
      </c>
      <c r="O28" t="s">
        <v>146</v>
      </c>
      <c r="P28" t="s">
        <v>1441</v>
      </c>
      <c r="Q28" t="s">
        <v>1442</v>
      </c>
      <c r="R28" t="s">
        <v>10</v>
      </c>
      <c r="S28" t="s">
        <v>20</v>
      </c>
      <c r="T28" t="s">
        <v>149</v>
      </c>
      <c r="U28" t="s">
        <v>150</v>
      </c>
      <c r="W28" t="s">
        <v>1441</v>
      </c>
      <c r="X28" t="s">
        <v>1197</v>
      </c>
      <c r="Y28">
        <v>62.381250000000001</v>
      </c>
      <c r="Z28">
        <v>0.45387901651060247</v>
      </c>
    </row>
    <row r="29" spans="2:26">
      <c r="B29" t="s">
        <v>146</v>
      </c>
      <c r="C29" t="s">
        <v>1249</v>
      </c>
      <c r="D29" t="s">
        <v>1250</v>
      </c>
      <c r="E29" t="s">
        <v>10</v>
      </c>
      <c r="F29" t="s">
        <v>20</v>
      </c>
      <c r="G29" t="s">
        <v>149</v>
      </c>
      <c r="H29" t="s">
        <v>150</v>
      </c>
      <c r="J29" t="s">
        <v>1249</v>
      </c>
      <c r="K29" t="s">
        <v>998</v>
      </c>
      <c r="L29">
        <v>97.980091042432477</v>
      </c>
      <c r="M29">
        <v>0.3161751519157549</v>
      </c>
      <c r="O29" t="s">
        <v>146</v>
      </c>
      <c r="P29" t="s">
        <v>1443</v>
      </c>
      <c r="Q29" t="s">
        <v>1444</v>
      </c>
      <c r="R29" t="s">
        <v>10</v>
      </c>
      <c r="S29" t="s">
        <v>20</v>
      </c>
      <c r="T29" t="s">
        <v>149</v>
      </c>
      <c r="U29" t="s">
        <v>150</v>
      </c>
      <c r="W29" t="s">
        <v>1443</v>
      </c>
      <c r="X29" t="s">
        <v>1211</v>
      </c>
      <c r="Y29">
        <v>8.1000000000000003E-2</v>
      </c>
      <c r="Z29">
        <v>0.24683604720565999</v>
      </c>
    </row>
    <row r="30" spans="2:26">
      <c r="B30" t="s">
        <v>146</v>
      </c>
      <c r="C30" t="s">
        <v>1251</v>
      </c>
      <c r="D30" t="s">
        <v>1252</v>
      </c>
      <c r="E30" t="s">
        <v>10</v>
      </c>
      <c r="F30" t="s">
        <v>20</v>
      </c>
      <c r="G30" t="s">
        <v>149</v>
      </c>
      <c r="H30" t="s">
        <v>150</v>
      </c>
      <c r="J30" t="s">
        <v>1251</v>
      </c>
      <c r="K30" t="s">
        <v>951</v>
      </c>
      <c r="L30">
        <v>110.94074818055437</v>
      </c>
      <c r="M30">
        <v>0.31413365953001399</v>
      </c>
      <c r="O30" t="s">
        <v>146</v>
      </c>
      <c r="P30" t="s">
        <v>1445</v>
      </c>
      <c r="Q30" t="s">
        <v>1446</v>
      </c>
      <c r="R30" t="s">
        <v>10</v>
      </c>
      <c r="S30" t="s">
        <v>20</v>
      </c>
      <c r="T30" t="s">
        <v>149</v>
      </c>
      <c r="U30" t="s">
        <v>150</v>
      </c>
      <c r="W30" t="s">
        <v>1445</v>
      </c>
      <c r="X30" t="s">
        <v>1209</v>
      </c>
      <c r="Y30">
        <v>133.70025000000001</v>
      </c>
      <c r="Z30">
        <v>0.5055814483087876</v>
      </c>
    </row>
    <row r="31" spans="2:26">
      <c r="B31" t="s">
        <v>146</v>
      </c>
      <c r="C31" t="s">
        <v>1253</v>
      </c>
      <c r="D31" t="s">
        <v>1254</v>
      </c>
      <c r="E31" t="s">
        <v>10</v>
      </c>
      <c r="F31" t="s">
        <v>20</v>
      </c>
      <c r="G31" t="s">
        <v>149</v>
      </c>
      <c r="H31" t="s">
        <v>150</v>
      </c>
      <c r="J31" t="s">
        <v>1253</v>
      </c>
      <c r="K31" t="s">
        <v>909</v>
      </c>
      <c r="L31">
        <v>2.4273016266691929</v>
      </c>
      <c r="M31">
        <v>0.1808202768733691</v>
      </c>
      <c r="O31" t="s">
        <v>146</v>
      </c>
      <c r="P31" t="s">
        <v>1447</v>
      </c>
      <c r="Q31" t="s">
        <v>1448</v>
      </c>
      <c r="R31" t="s">
        <v>10</v>
      </c>
      <c r="S31" t="s">
        <v>20</v>
      </c>
      <c r="T31" t="s">
        <v>149</v>
      </c>
      <c r="U31" t="s">
        <v>150</v>
      </c>
      <c r="W31" t="s">
        <v>1447</v>
      </c>
      <c r="X31" t="s">
        <v>1143</v>
      </c>
      <c r="Y31">
        <v>102.82425000000001</v>
      </c>
      <c r="Z31">
        <v>0.46527769393218821</v>
      </c>
    </row>
    <row r="32" spans="2:26">
      <c r="B32" t="s">
        <v>146</v>
      </c>
      <c r="C32" t="s">
        <v>1255</v>
      </c>
      <c r="D32" t="s">
        <v>1256</v>
      </c>
      <c r="E32" t="s">
        <v>10</v>
      </c>
      <c r="F32" t="s">
        <v>20</v>
      </c>
      <c r="G32" t="s">
        <v>149</v>
      </c>
      <c r="H32" t="s">
        <v>150</v>
      </c>
      <c r="J32" t="s">
        <v>1255</v>
      </c>
      <c r="K32" t="s">
        <v>1034</v>
      </c>
      <c r="L32">
        <v>0.49128575065453367</v>
      </c>
      <c r="M32">
        <v>0.26935685557440447</v>
      </c>
      <c r="O32" t="s">
        <v>146</v>
      </c>
      <c r="P32" t="s">
        <v>1449</v>
      </c>
      <c r="Q32" t="s">
        <v>1450</v>
      </c>
      <c r="R32" t="s">
        <v>10</v>
      </c>
      <c r="S32" t="s">
        <v>20</v>
      </c>
      <c r="T32" t="s">
        <v>149</v>
      </c>
      <c r="U32" t="s">
        <v>150</v>
      </c>
      <c r="W32" t="s">
        <v>1449</v>
      </c>
      <c r="X32" t="s">
        <v>1199</v>
      </c>
      <c r="Y32">
        <v>170.13075000000001</v>
      </c>
      <c r="Z32">
        <v>0.47918868243333529</v>
      </c>
    </row>
    <row r="33" spans="2:26">
      <c r="B33" t="s">
        <v>146</v>
      </c>
      <c r="C33" t="s">
        <v>1257</v>
      </c>
      <c r="D33" t="s">
        <v>1258</v>
      </c>
      <c r="E33" t="s">
        <v>10</v>
      </c>
      <c r="F33" t="s">
        <v>20</v>
      </c>
      <c r="G33" t="s">
        <v>149</v>
      </c>
      <c r="H33" t="s">
        <v>150</v>
      </c>
      <c r="J33" t="s">
        <v>1257</v>
      </c>
      <c r="K33" t="s">
        <v>1029</v>
      </c>
      <c r="L33">
        <v>1.2848345469829228</v>
      </c>
      <c r="M33">
        <v>0.16646842142648061</v>
      </c>
      <c r="O33" t="s">
        <v>146</v>
      </c>
      <c r="P33" t="s">
        <v>1451</v>
      </c>
      <c r="Q33" t="s">
        <v>1452</v>
      </c>
      <c r="R33" t="s">
        <v>10</v>
      </c>
      <c r="S33" t="s">
        <v>20</v>
      </c>
      <c r="T33" t="s">
        <v>149</v>
      </c>
      <c r="U33" t="s">
        <v>150</v>
      </c>
      <c r="W33" t="s">
        <v>1451</v>
      </c>
      <c r="X33" t="s">
        <v>1157</v>
      </c>
      <c r="Y33">
        <v>65.342250000000007</v>
      </c>
      <c r="Z33">
        <v>0.49568139876750728</v>
      </c>
    </row>
    <row r="34" spans="2:26">
      <c r="B34" t="s">
        <v>146</v>
      </c>
      <c r="C34" t="s">
        <v>1259</v>
      </c>
      <c r="D34" t="s">
        <v>1260</v>
      </c>
      <c r="E34" t="s">
        <v>10</v>
      </c>
      <c r="F34" t="s">
        <v>20</v>
      </c>
      <c r="G34" t="s">
        <v>149</v>
      </c>
      <c r="H34" t="s">
        <v>150</v>
      </c>
      <c r="J34" t="s">
        <v>1259</v>
      </c>
      <c r="K34" t="s">
        <v>968</v>
      </c>
      <c r="L34">
        <v>0.18935486724764602</v>
      </c>
      <c r="M34">
        <v>0.1193195473994057</v>
      </c>
      <c r="O34" t="s">
        <v>146</v>
      </c>
      <c r="P34" t="s">
        <v>1453</v>
      </c>
      <c r="Q34" t="s">
        <v>1454</v>
      </c>
      <c r="R34" t="s">
        <v>10</v>
      </c>
      <c r="S34" t="s">
        <v>20</v>
      </c>
      <c r="T34" t="s">
        <v>149</v>
      </c>
      <c r="U34" t="s">
        <v>150</v>
      </c>
      <c r="W34" t="s">
        <v>1453</v>
      </c>
      <c r="X34" t="s">
        <v>1208</v>
      </c>
      <c r="Y34">
        <v>53.101500000000001</v>
      </c>
      <c r="Z34">
        <v>0.4532538979609152</v>
      </c>
    </row>
    <row r="35" spans="2:26">
      <c r="B35" t="s">
        <v>146</v>
      </c>
      <c r="C35" t="s">
        <v>1261</v>
      </c>
      <c r="D35" t="s">
        <v>1262</v>
      </c>
      <c r="E35" t="s">
        <v>10</v>
      </c>
      <c r="F35" t="s">
        <v>20</v>
      </c>
      <c r="G35" t="s">
        <v>149</v>
      </c>
      <c r="H35" t="s">
        <v>150</v>
      </c>
      <c r="J35" t="s">
        <v>1261</v>
      </c>
      <c r="K35" t="s">
        <v>1028</v>
      </c>
      <c r="L35">
        <v>0.58118601062718378</v>
      </c>
      <c r="M35">
        <v>0.13972251011603901</v>
      </c>
      <c r="O35" t="s">
        <v>146</v>
      </c>
      <c r="P35" t="s">
        <v>1455</v>
      </c>
      <c r="Q35" t="s">
        <v>1456</v>
      </c>
      <c r="R35" t="s">
        <v>10</v>
      </c>
      <c r="S35" t="s">
        <v>20</v>
      </c>
      <c r="T35" t="s">
        <v>149</v>
      </c>
      <c r="U35" t="s">
        <v>150</v>
      </c>
      <c r="W35" t="s">
        <v>1455</v>
      </c>
      <c r="X35" t="s">
        <v>1152</v>
      </c>
      <c r="Y35">
        <v>49.923749999999998</v>
      </c>
      <c r="Z35">
        <v>0.49240153546463328</v>
      </c>
    </row>
    <row r="36" spans="2:26">
      <c r="B36" t="s">
        <v>146</v>
      </c>
      <c r="C36" t="s">
        <v>1263</v>
      </c>
      <c r="D36" t="s">
        <v>1264</v>
      </c>
      <c r="E36" t="s">
        <v>10</v>
      </c>
      <c r="F36" t="s">
        <v>20</v>
      </c>
      <c r="G36" t="s">
        <v>149</v>
      </c>
      <c r="H36" t="s">
        <v>150</v>
      </c>
      <c r="J36" t="s">
        <v>1263</v>
      </c>
      <c r="K36" t="s">
        <v>1023</v>
      </c>
      <c r="L36">
        <v>3.6717551314203591</v>
      </c>
      <c r="M36">
        <v>0.1933518449735149</v>
      </c>
      <c r="O36" t="s">
        <v>146</v>
      </c>
      <c r="P36" t="s">
        <v>1457</v>
      </c>
      <c r="Q36" t="s">
        <v>1458</v>
      </c>
      <c r="R36" t="s">
        <v>10</v>
      </c>
      <c r="S36" t="s">
        <v>20</v>
      </c>
      <c r="T36" t="s">
        <v>149</v>
      </c>
      <c r="U36" t="s">
        <v>150</v>
      </c>
      <c r="W36" t="s">
        <v>1457</v>
      </c>
      <c r="X36" t="s">
        <v>1145</v>
      </c>
      <c r="Y36">
        <v>98.321250000000006</v>
      </c>
      <c r="Z36">
        <v>0.53374973720451024</v>
      </c>
    </row>
    <row r="37" spans="2:26">
      <c r="B37" t="s">
        <v>146</v>
      </c>
      <c r="C37" t="s">
        <v>1265</v>
      </c>
      <c r="D37" t="s">
        <v>1266</v>
      </c>
      <c r="E37" t="s">
        <v>10</v>
      </c>
      <c r="F37" t="s">
        <v>20</v>
      </c>
      <c r="G37" t="s">
        <v>149</v>
      </c>
      <c r="H37" t="s">
        <v>150</v>
      </c>
      <c r="J37" t="s">
        <v>1265</v>
      </c>
      <c r="K37" t="s">
        <v>995</v>
      </c>
      <c r="L37">
        <v>0.9445236469650512</v>
      </c>
      <c r="M37">
        <v>0.15819215109787679</v>
      </c>
      <c r="O37" t="s">
        <v>146</v>
      </c>
      <c r="P37" t="s">
        <v>1459</v>
      </c>
      <c r="Q37" t="s">
        <v>1460</v>
      </c>
      <c r="R37" t="s">
        <v>10</v>
      </c>
      <c r="S37" t="s">
        <v>20</v>
      </c>
      <c r="T37" t="s">
        <v>149</v>
      </c>
      <c r="U37" t="s">
        <v>150</v>
      </c>
      <c r="W37" t="s">
        <v>1459</v>
      </c>
      <c r="X37" t="s">
        <v>1161</v>
      </c>
      <c r="Y37">
        <v>99.285749999999993</v>
      </c>
      <c r="Z37">
        <v>0.52659275963631313</v>
      </c>
    </row>
    <row r="38" spans="2:26">
      <c r="B38" t="s">
        <v>146</v>
      </c>
      <c r="C38" t="s">
        <v>1267</v>
      </c>
      <c r="D38" t="s">
        <v>1268</v>
      </c>
      <c r="E38" t="s">
        <v>10</v>
      </c>
      <c r="F38" t="s">
        <v>20</v>
      </c>
      <c r="G38" t="s">
        <v>149</v>
      </c>
      <c r="H38" t="s">
        <v>150</v>
      </c>
      <c r="J38" t="s">
        <v>1267</v>
      </c>
      <c r="K38" t="s">
        <v>919</v>
      </c>
      <c r="L38">
        <v>5.8689650080792175</v>
      </c>
      <c r="M38">
        <v>0.2206591925129327</v>
      </c>
      <c r="O38" t="s">
        <v>146</v>
      </c>
      <c r="P38" t="s">
        <v>1461</v>
      </c>
      <c r="Q38" t="s">
        <v>1462</v>
      </c>
      <c r="R38" t="s">
        <v>10</v>
      </c>
      <c r="S38" t="s">
        <v>20</v>
      </c>
      <c r="T38" t="s">
        <v>149</v>
      </c>
      <c r="U38" t="s">
        <v>150</v>
      </c>
      <c r="W38" t="s">
        <v>1461</v>
      </c>
      <c r="X38" t="s">
        <v>1205</v>
      </c>
      <c r="Y38">
        <v>35.836500000000001</v>
      </c>
      <c r="Z38">
        <v>0.40938568770508738</v>
      </c>
    </row>
    <row r="39" spans="2:26">
      <c r="B39" t="s">
        <v>146</v>
      </c>
      <c r="C39" t="s">
        <v>1269</v>
      </c>
      <c r="D39" t="s">
        <v>1270</v>
      </c>
      <c r="E39" t="s">
        <v>10</v>
      </c>
      <c r="F39" t="s">
        <v>20</v>
      </c>
      <c r="G39" t="s">
        <v>149</v>
      </c>
      <c r="H39" t="s">
        <v>150</v>
      </c>
      <c r="J39" t="s">
        <v>1269</v>
      </c>
      <c r="K39" t="s">
        <v>906</v>
      </c>
      <c r="L39">
        <v>2.928657185415191</v>
      </c>
      <c r="M39">
        <v>0.18645072659421061</v>
      </c>
      <c r="O39" t="s">
        <v>146</v>
      </c>
      <c r="P39" t="s">
        <v>1463</v>
      </c>
      <c r="Q39" t="s">
        <v>1464</v>
      </c>
      <c r="R39" t="s">
        <v>10</v>
      </c>
      <c r="S39" t="s">
        <v>20</v>
      </c>
      <c r="T39" t="s">
        <v>149</v>
      </c>
      <c r="U39" t="s">
        <v>150</v>
      </c>
      <c r="W39" t="s">
        <v>1463</v>
      </c>
      <c r="X39" t="s">
        <v>1189</v>
      </c>
      <c r="Y39">
        <v>62.210999999999999</v>
      </c>
      <c r="Z39">
        <v>0.30351334724566481</v>
      </c>
    </row>
    <row r="40" spans="2:26">
      <c r="B40" t="s">
        <v>146</v>
      </c>
      <c r="C40" t="s">
        <v>1271</v>
      </c>
      <c r="D40" t="s">
        <v>1272</v>
      </c>
      <c r="E40" t="s">
        <v>10</v>
      </c>
      <c r="F40" t="s">
        <v>20</v>
      </c>
      <c r="G40" t="s">
        <v>149</v>
      </c>
      <c r="H40" t="s">
        <v>150</v>
      </c>
      <c r="J40" t="s">
        <v>1271</v>
      </c>
      <c r="K40" t="s">
        <v>978</v>
      </c>
      <c r="L40">
        <v>1.2558278274148955</v>
      </c>
      <c r="M40">
        <v>0.18692282320150561</v>
      </c>
      <c r="O40" t="s">
        <v>146</v>
      </c>
      <c r="P40" t="s">
        <v>1465</v>
      </c>
      <c r="Q40" t="s">
        <v>1466</v>
      </c>
      <c r="R40" t="s">
        <v>10</v>
      </c>
      <c r="S40" t="s">
        <v>20</v>
      </c>
      <c r="T40" t="s">
        <v>149</v>
      </c>
      <c r="U40" t="s">
        <v>150</v>
      </c>
      <c r="W40" t="s">
        <v>1465</v>
      </c>
      <c r="X40" t="s">
        <v>1148</v>
      </c>
      <c r="Y40">
        <v>31.096499999999999</v>
      </c>
      <c r="Z40">
        <v>0.35719410339652941</v>
      </c>
    </row>
    <row r="41" spans="2:26">
      <c r="B41" t="s">
        <v>146</v>
      </c>
      <c r="C41" t="s">
        <v>1273</v>
      </c>
      <c r="D41" t="s">
        <v>1274</v>
      </c>
      <c r="E41" t="s">
        <v>10</v>
      </c>
      <c r="F41" t="s">
        <v>20</v>
      </c>
      <c r="G41" t="s">
        <v>149</v>
      </c>
      <c r="H41" t="s">
        <v>150</v>
      </c>
      <c r="J41" t="s">
        <v>1273</v>
      </c>
      <c r="K41" t="s">
        <v>1004</v>
      </c>
      <c r="L41">
        <v>2.2433982976323423</v>
      </c>
      <c r="M41">
        <v>0.16759151509347539</v>
      </c>
      <c r="O41" t="s">
        <v>146</v>
      </c>
      <c r="P41" t="s">
        <v>1467</v>
      </c>
      <c r="Q41" t="s">
        <v>1468</v>
      </c>
      <c r="R41" t="s">
        <v>10</v>
      </c>
      <c r="S41" t="s">
        <v>20</v>
      </c>
      <c r="T41" t="s">
        <v>149</v>
      </c>
      <c r="U41" t="s">
        <v>150</v>
      </c>
      <c r="W41" t="s">
        <v>1467</v>
      </c>
      <c r="X41" t="s">
        <v>1146</v>
      </c>
      <c r="Y41">
        <v>34.518749999999997</v>
      </c>
      <c r="Z41">
        <v>0.39885884717713871</v>
      </c>
    </row>
    <row r="42" spans="2:26">
      <c r="B42" t="s">
        <v>146</v>
      </c>
      <c r="C42" t="s">
        <v>1275</v>
      </c>
      <c r="D42" t="s">
        <v>1276</v>
      </c>
      <c r="E42" t="s">
        <v>10</v>
      </c>
      <c r="F42" t="s">
        <v>20</v>
      </c>
      <c r="G42" t="s">
        <v>149</v>
      </c>
      <c r="H42" t="s">
        <v>150</v>
      </c>
      <c r="J42" t="s">
        <v>1275</v>
      </c>
      <c r="K42" t="s">
        <v>987</v>
      </c>
      <c r="L42">
        <v>1.4423728327070269</v>
      </c>
      <c r="M42">
        <v>0.26752139700341948</v>
      </c>
      <c r="O42" t="s">
        <v>146</v>
      </c>
      <c r="P42" t="s">
        <v>1469</v>
      </c>
      <c r="Q42" t="s">
        <v>1470</v>
      </c>
      <c r="R42" t="s">
        <v>10</v>
      </c>
      <c r="S42" t="s">
        <v>20</v>
      </c>
      <c r="T42" t="s">
        <v>149</v>
      </c>
      <c r="U42" t="s">
        <v>150</v>
      </c>
      <c r="W42" t="s">
        <v>1469</v>
      </c>
      <c r="X42" t="s">
        <v>1202</v>
      </c>
      <c r="Y42">
        <v>2.74125</v>
      </c>
      <c r="Z42">
        <v>0.46686039365593612</v>
      </c>
    </row>
    <row r="43" spans="2:26">
      <c r="B43" t="s">
        <v>146</v>
      </c>
      <c r="C43" t="s">
        <v>1277</v>
      </c>
      <c r="D43" t="s">
        <v>1278</v>
      </c>
      <c r="E43" t="s">
        <v>10</v>
      </c>
      <c r="F43" t="s">
        <v>20</v>
      </c>
      <c r="G43" t="s">
        <v>149</v>
      </c>
      <c r="H43" t="s">
        <v>150</v>
      </c>
      <c r="J43" t="s">
        <v>1277</v>
      </c>
      <c r="K43" t="s">
        <v>925</v>
      </c>
      <c r="L43">
        <v>8.0555754971063411</v>
      </c>
      <c r="M43">
        <v>0.36941526098769611</v>
      </c>
      <c r="O43" t="s">
        <v>146</v>
      </c>
      <c r="P43" t="s">
        <v>1471</v>
      </c>
      <c r="Q43" t="s">
        <v>1472</v>
      </c>
      <c r="R43" t="s">
        <v>10</v>
      </c>
      <c r="S43" t="s">
        <v>20</v>
      </c>
      <c r="T43" t="s">
        <v>149</v>
      </c>
      <c r="U43" t="s">
        <v>150</v>
      </c>
      <c r="W43" t="s">
        <v>1471</v>
      </c>
      <c r="X43" t="s">
        <v>1181</v>
      </c>
      <c r="Y43">
        <v>24.691500000000001</v>
      </c>
      <c r="Z43">
        <v>0.34875862872145758</v>
      </c>
    </row>
    <row r="44" spans="2:26">
      <c r="B44" t="s">
        <v>146</v>
      </c>
      <c r="C44" t="s">
        <v>1279</v>
      </c>
      <c r="D44" t="s">
        <v>1280</v>
      </c>
      <c r="E44" t="s">
        <v>10</v>
      </c>
      <c r="F44" t="s">
        <v>20</v>
      </c>
      <c r="G44" t="s">
        <v>149</v>
      </c>
      <c r="H44" t="s">
        <v>150</v>
      </c>
      <c r="J44" t="s">
        <v>1279</v>
      </c>
      <c r="K44" t="s">
        <v>955</v>
      </c>
      <c r="L44">
        <v>20.016919488105035</v>
      </c>
      <c r="M44">
        <v>0.34952834182825188</v>
      </c>
      <c r="O44" t="s">
        <v>146</v>
      </c>
      <c r="P44" t="s">
        <v>1473</v>
      </c>
      <c r="Q44" t="s">
        <v>1474</v>
      </c>
      <c r="R44" t="s">
        <v>10</v>
      </c>
      <c r="S44" t="s">
        <v>20</v>
      </c>
      <c r="T44" t="s">
        <v>149</v>
      </c>
      <c r="U44" t="s">
        <v>150</v>
      </c>
      <c r="W44" t="s">
        <v>1473</v>
      </c>
      <c r="X44" t="s">
        <v>1195</v>
      </c>
      <c r="Y44">
        <v>47.016750000000002</v>
      </c>
      <c r="Z44">
        <v>0.35352671976678129</v>
      </c>
    </row>
    <row r="45" spans="2:26">
      <c r="B45" t="s">
        <v>146</v>
      </c>
      <c r="C45" t="s">
        <v>1281</v>
      </c>
      <c r="D45" t="s">
        <v>1282</v>
      </c>
      <c r="E45" t="s">
        <v>10</v>
      </c>
      <c r="F45" t="s">
        <v>20</v>
      </c>
      <c r="G45" t="s">
        <v>149</v>
      </c>
      <c r="H45" t="s">
        <v>150</v>
      </c>
      <c r="J45" t="s">
        <v>1281</v>
      </c>
      <c r="K45" t="s">
        <v>921</v>
      </c>
      <c r="L45">
        <v>20.987410272533506</v>
      </c>
      <c r="M45">
        <v>0.33956606218902269</v>
      </c>
      <c r="O45" t="s">
        <v>146</v>
      </c>
      <c r="P45" t="s">
        <v>1475</v>
      </c>
      <c r="Q45" t="s">
        <v>1476</v>
      </c>
      <c r="R45" t="s">
        <v>10</v>
      </c>
      <c r="S45" t="s">
        <v>20</v>
      </c>
      <c r="T45" t="s">
        <v>149</v>
      </c>
      <c r="U45" t="s">
        <v>150</v>
      </c>
      <c r="W45" t="s">
        <v>1475</v>
      </c>
      <c r="X45" t="s">
        <v>1193</v>
      </c>
      <c r="Y45">
        <v>19.535250000000001</v>
      </c>
      <c r="Z45">
        <v>0.31070539674159547</v>
      </c>
    </row>
    <row r="46" spans="2:26">
      <c r="B46" t="s">
        <v>146</v>
      </c>
      <c r="C46" t="s">
        <v>1283</v>
      </c>
      <c r="D46" t="s">
        <v>1284</v>
      </c>
      <c r="E46" t="s">
        <v>10</v>
      </c>
      <c r="F46" t="s">
        <v>20</v>
      </c>
      <c r="G46" t="s">
        <v>149</v>
      </c>
      <c r="H46" t="s">
        <v>150</v>
      </c>
      <c r="J46" t="s">
        <v>1283</v>
      </c>
      <c r="K46" t="s">
        <v>923</v>
      </c>
      <c r="L46">
        <v>55.435583296031403</v>
      </c>
      <c r="M46">
        <v>0.32585628778938808</v>
      </c>
      <c r="O46" t="s">
        <v>146</v>
      </c>
      <c r="P46" t="s">
        <v>1477</v>
      </c>
      <c r="Q46" t="s">
        <v>1478</v>
      </c>
      <c r="R46" t="s">
        <v>10</v>
      </c>
      <c r="S46" t="s">
        <v>20</v>
      </c>
      <c r="T46" t="s">
        <v>149</v>
      </c>
      <c r="U46" t="s">
        <v>150</v>
      </c>
      <c r="W46" t="s">
        <v>1477</v>
      </c>
      <c r="X46" t="s">
        <v>1207</v>
      </c>
      <c r="Y46">
        <v>25.143000000000001</v>
      </c>
      <c r="Z46">
        <v>0.39056940461123218</v>
      </c>
    </row>
    <row r="47" spans="2:26">
      <c r="B47" t="s">
        <v>146</v>
      </c>
      <c r="C47" t="s">
        <v>1285</v>
      </c>
      <c r="D47" t="s">
        <v>1286</v>
      </c>
      <c r="E47" t="s">
        <v>10</v>
      </c>
      <c r="F47" t="s">
        <v>20</v>
      </c>
      <c r="G47" t="s">
        <v>149</v>
      </c>
      <c r="H47" t="s">
        <v>150</v>
      </c>
      <c r="J47" t="s">
        <v>1285</v>
      </c>
      <c r="K47" t="s">
        <v>936</v>
      </c>
      <c r="L47">
        <v>32.999903868338116</v>
      </c>
      <c r="M47">
        <v>0.2891563013064174</v>
      </c>
      <c r="O47" t="s">
        <v>146</v>
      </c>
      <c r="P47" t="s">
        <v>1479</v>
      </c>
      <c r="Q47" t="s">
        <v>1480</v>
      </c>
      <c r="R47" t="s">
        <v>10</v>
      </c>
      <c r="S47" t="s">
        <v>20</v>
      </c>
      <c r="T47" t="s">
        <v>149</v>
      </c>
      <c r="U47" t="s">
        <v>150</v>
      </c>
      <c r="W47" t="s">
        <v>1479</v>
      </c>
      <c r="X47" t="s">
        <v>1191</v>
      </c>
      <c r="Y47">
        <v>67.352999999999994</v>
      </c>
      <c r="Z47">
        <v>0.2130219630948815</v>
      </c>
    </row>
    <row r="48" spans="2:26">
      <c r="B48" t="s">
        <v>146</v>
      </c>
      <c r="C48" t="s">
        <v>1287</v>
      </c>
      <c r="D48" t="s">
        <v>1288</v>
      </c>
      <c r="E48" t="s">
        <v>10</v>
      </c>
      <c r="F48" t="s">
        <v>20</v>
      </c>
      <c r="G48" t="s">
        <v>149</v>
      </c>
      <c r="H48" t="s">
        <v>150</v>
      </c>
      <c r="J48" t="s">
        <v>1287</v>
      </c>
      <c r="K48" t="s">
        <v>985</v>
      </c>
      <c r="L48">
        <v>49.696797018491381</v>
      </c>
      <c r="M48">
        <v>0.32465523368300953</v>
      </c>
      <c r="O48" t="s">
        <v>146</v>
      </c>
      <c r="P48" t="s">
        <v>1481</v>
      </c>
      <c r="Q48" t="s">
        <v>1482</v>
      </c>
      <c r="R48" t="s">
        <v>10</v>
      </c>
      <c r="S48" t="s">
        <v>20</v>
      </c>
      <c r="T48" t="s">
        <v>149</v>
      </c>
      <c r="U48" t="s">
        <v>150</v>
      </c>
      <c r="W48" t="s">
        <v>1481</v>
      </c>
      <c r="X48" t="s">
        <v>1155</v>
      </c>
      <c r="Y48">
        <v>34.546500000000002</v>
      </c>
      <c r="Z48">
        <v>0.20668584500631501</v>
      </c>
    </row>
    <row r="49" spans="2:26">
      <c r="B49" t="s">
        <v>146</v>
      </c>
      <c r="C49" t="s">
        <v>1289</v>
      </c>
      <c r="D49" t="s">
        <v>1290</v>
      </c>
      <c r="E49" t="s">
        <v>10</v>
      </c>
      <c r="F49" t="s">
        <v>20</v>
      </c>
      <c r="G49" t="s">
        <v>149</v>
      </c>
      <c r="H49" t="s">
        <v>150</v>
      </c>
      <c r="J49" t="s">
        <v>1289</v>
      </c>
      <c r="K49" t="s">
        <v>1000</v>
      </c>
      <c r="L49">
        <v>32.640247665750501</v>
      </c>
      <c r="M49">
        <v>0.30714915759949779</v>
      </c>
      <c r="O49" t="s">
        <v>146</v>
      </c>
      <c r="P49" t="s">
        <v>1483</v>
      </c>
      <c r="Q49" t="s">
        <v>1484</v>
      </c>
      <c r="R49" t="s">
        <v>10</v>
      </c>
      <c r="S49" t="s">
        <v>20</v>
      </c>
      <c r="T49" t="s">
        <v>149</v>
      </c>
      <c r="U49" t="s">
        <v>150</v>
      </c>
      <c r="W49" t="s">
        <v>1483</v>
      </c>
      <c r="X49" t="s">
        <v>1192</v>
      </c>
      <c r="Y49">
        <v>77.410499999999999</v>
      </c>
      <c r="Z49">
        <v>0.26630784565367072</v>
      </c>
    </row>
    <row r="50" spans="2:26">
      <c r="B50" t="s">
        <v>146</v>
      </c>
      <c r="C50" t="s">
        <v>1291</v>
      </c>
      <c r="D50" t="s">
        <v>1292</v>
      </c>
      <c r="E50" t="s">
        <v>10</v>
      </c>
      <c r="F50" t="s">
        <v>20</v>
      </c>
      <c r="G50" t="s">
        <v>149</v>
      </c>
      <c r="H50" t="s">
        <v>150</v>
      </c>
      <c r="J50" t="s">
        <v>1291</v>
      </c>
      <c r="K50" t="s">
        <v>999</v>
      </c>
      <c r="L50">
        <v>65.219358423551554</v>
      </c>
      <c r="M50">
        <v>0.32542407138898422</v>
      </c>
      <c r="O50" t="s">
        <v>146</v>
      </c>
      <c r="P50" t="s">
        <v>1485</v>
      </c>
      <c r="Q50" t="s">
        <v>1486</v>
      </c>
      <c r="R50" t="s">
        <v>10</v>
      </c>
      <c r="S50" t="s">
        <v>20</v>
      </c>
      <c r="T50" t="s">
        <v>149</v>
      </c>
      <c r="U50" t="s">
        <v>150</v>
      </c>
      <c r="W50" t="s">
        <v>1485</v>
      </c>
      <c r="X50" t="s">
        <v>1150</v>
      </c>
      <c r="Y50">
        <v>63.802500000000002</v>
      </c>
      <c r="Z50">
        <v>0.25402342809715178</v>
      </c>
    </row>
    <row r="51" spans="2:26">
      <c r="B51" t="s">
        <v>146</v>
      </c>
      <c r="C51" t="s">
        <v>1293</v>
      </c>
      <c r="D51" t="s">
        <v>1294</v>
      </c>
      <c r="E51" t="s">
        <v>10</v>
      </c>
      <c r="F51" t="s">
        <v>20</v>
      </c>
      <c r="G51" t="s">
        <v>149</v>
      </c>
      <c r="H51" t="s">
        <v>150</v>
      </c>
      <c r="J51" t="s">
        <v>1293</v>
      </c>
      <c r="K51" t="s">
        <v>911</v>
      </c>
      <c r="L51">
        <v>52.726851063159351</v>
      </c>
      <c r="M51">
        <v>0.26351138922930822</v>
      </c>
      <c r="O51" t="s">
        <v>146</v>
      </c>
      <c r="P51" t="s">
        <v>1487</v>
      </c>
      <c r="Q51" t="s">
        <v>1488</v>
      </c>
      <c r="R51" t="s">
        <v>10</v>
      </c>
      <c r="S51" t="s">
        <v>20</v>
      </c>
      <c r="T51" t="s">
        <v>149</v>
      </c>
      <c r="U51" t="s">
        <v>150</v>
      </c>
      <c r="W51" t="s">
        <v>1487</v>
      </c>
      <c r="X51" t="s">
        <v>1160</v>
      </c>
      <c r="Y51">
        <v>53.966999999999999</v>
      </c>
      <c r="Z51">
        <v>0.3034404772233622</v>
      </c>
    </row>
    <row r="52" spans="2:26">
      <c r="B52" t="s">
        <v>146</v>
      </c>
      <c r="C52" t="s">
        <v>1295</v>
      </c>
      <c r="D52" t="s">
        <v>1296</v>
      </c>
      <c r="E52" t="s">
        <v>10</v>
      </c>
      <c r="F52" t="s">
        <v>20</v>
      </c>
      <c r="G52" t="s">
        <v>149</v>
      </c>
      <c r="H52" t="s">
        <v>150</v>
      </c>
      <c r="J52" t="s">
        <v>1295</v>
      </c>
      <c r="K52" t="s">
        <v>1015</v>
      </c>
      <c r="L52">
        <v>48.062334008658908</v>
      </c>
      <c r="M52">
        <v>0.30965710550204789</v>
      </c>
      <c r="O52" t="s">
        <v>146</v>
      </c>
      <c r="P52" t="s">
        <v>1489</v>
      </c>
      <c r="Q52" t="s">
        <v>1490</v>
      </c>
      <c r="R52" t="s">
        <v>10</v>
      </c>
      <c r="S52" t="s">
        <v>20</v>
      </c>
      <c r="T52" t="s">
        <v>149</v>
      </c>
      <c r="U52" t="s">
        <v>150</v>
      </c>
      <c r="W52" t="s">
        <v>1489</v>
      </c>
      <c r="X52" t="s">
        <v>1183</v>
      </c>
      <c r="Y52">
        <v>83.250749999999996</v>
      </c>
      <c r="Z52">
        <v>0.2603208691663294</v>
      </c>
    </row>
    <row r="53" spans="2:26">
      <c r="B53" t="s">
        <v>146</v>
      </c>
      <c r="C53" t="s">
        <v>1297</v>
      </c>
      <c r="D53" t="s">
        <v>1298</v>
      </c>
      <c r="E53" t="s">
        <v>10</v>
      </c>
      <c r="F53" t="s">
        <v>20</v>
      </c>
      <c r="G53" t="s">
        <v>149</v>
      </c>
      <c r="H53" t="s">
        <v>150</v>
      </c>
      <c r="J53" t="s">
        <v>1297</v>
      </c>
      <c r="K53" t="s">
        <v>1002</v>
      </c>
      <c r="L53">
        <v>115.35264042679813</v>
      </c>
      <c r="M53">
        <v>0.3232239007248342</v>
      </c>
      <c r="O53" t="s">
        <v>146</v>
      </c>
      <c r="P53" t="s">
        <v>1491</v>
      </c>
      <c r="Q53" t="s">
        <v>1492</v>
      </c>
      <c r="R53" t="s">
        <v>10</v>
      </c>
      <c r="S53" t="s">
        <v>20</v>
      </c>
      <c r="T53" t="s">
        <v>149</v>
      </c>
      <c r="U53" t="s">
        <v>150</v>
      </c>
      <c r="W53" t="s">
        <v>1491</v>
      </c>
      <c r="X53" t="s">
        <v>1200</v>
      </c>
      <c r="Y53">
        <v>188.35499999999999</v>
      </c>
      <c r="Z53">
        <v>0.3958623029997112</v>
      </c>
    </row>
    <row r="54" spans="2:26">
      <c r="B54" t="s">
        <v>146</v>
      </c>
      <c r="C54" t="s">
        <v>1299</v>
      </c>
      <c r="D54" t="s">
        <v>1300</v>
      </c>
      <c r="E54" t="s">
        <v>10</v>
      </c>
      <c r="F54" t="s">
        <v>20</v>
      </c>
      <c r="G54" t="s">
        <v>149</v>
      </c>
      <c r="H54" t="s">
        <v>150</v>
      </c>
      <c r="J54" t="s">
        <v>1299</v>
      </c>
      <c r="K54" t="s">
        <v>920</v>
      </c>
      <c r="L54">
        <v>66.906827934341507</v>
      </c>
      <c r="M54">
        <v>0.2984581104114829</v>
      </c>
      <c r="O54" t="s">
        <v>146</v>
      </c>
      <c r="P54" t="s">
        <v>1493</v>
      </c>
      <c r="Q54" t="s">
        <v>1494</v>
      </c>
      <c r="R54" t="s">
        <v>10</v>
      </c>
      <c r="S54" t="s">
        <v>20</v>
      </c>
      <c r="T54" t="s">
        <v>149</v>
      </c>
      <c r="U54" t="s">
        <v>150</v>
      </c>
      <c r="W54" t="s">
        <v>1493</v>
      </c>
      <c r="X54" t="s">
        <v>1159</v>
      </c>
      <c r="Y54">
        <v>114.67274999999999</v>
      </c>
      <c r="Z54">
        <v>0.3442509822235616</v>
      </c>
    </row>
    <row r="55" spans="2:26">
      <c r="B55" t="s">
        <v>146</v>
      </c>
      <c r="C55" t="s">
        <v>1301</v>
      </c>
      <c r="D55" t="s">
        <v>1302</v>
      </c>
      <c r="E55" t="s">
        <v>10</v>
      </c>
      <c r="F55" t="s">
        <v>20</v>
      </c>
      <c r="G55" t="s">
        <v>149</v>
      </c>
      <c r="H55" t="s">
        <v>150</v>
      </c>
      <c r="J55" t="s">
        <v>1301</v>
      </c>
      <c r="K55" t="s">
        <v>952</v>
      </c>
      <c r="L55">
        <v>134.24925626793836</v>
      </c>
      <c r="M55">
        <v>0.34021945314577312</v>
      </c>
      <c r="O55" t="s">
        <v>146</v>
      </c>
      <c r="P55" t="s">
        <v>1495</v>
      </c>
      <c r="Q55" t="s">
        <v>1496</v>
      </c>
      <c r="R55" t="s">
        <v>10</v>
      </c>
      <c r="S55" t="s">
        <v>20</v>
      </c>
      <c r="T55" t="s">
        <v>149</v>
      </c>
      <c r="U55" t="s">
        <v>150</v>
      </c>
      <c r="W55" t="s">
        <v>1495</v>
      </c>
      <c r="X55" t="s">
        <v>1170</v>
      </c>
      <c r="Y55">
        <v>53.234250000000003</v>
      </c>
      <c r="Z55">
        <v>0.2550921419260912</v>
      </c>
    </row>
    <row r="56" spans="2:26">
      <c r="B56" t="s">
        <v>146</v>
      </c>
      <c r="C56" t="s">
        <v>1303</v>
      </c>
      <c r="D56" t="s">
        <v>1304</v>
      </c>
      <c r="E56" t="s">
        <v>10</v>
      </c>
      <c r="F56" t="s">
        <v>20</v>
      </c>
      <c r="G56" t="s">
        <v>149</v>
      </c>
      <c r="H56" t="s">
        <v>150</v>
      </c>
      <c r="J56" t="s">
        <v>1303</v>
      </c>
      <c r="K56" t="s">
        <v>993</v>
      </c>
      <c r="L56">
        <v>93.313759881118116</v>
      </c>
      <c r="M56">
        <v>0.31453419389785342</v>
      </c>
      <c r="O56" t="s">
        <v>146</v>
      </c>
      <c r="P56" t="s">
        <v>1497</v>
      </c>
      <c r="Q56" t="s">
        <v>1498</v>
      </c>
      <c r="R56" t="s">
        <v>10</v>
      </c>
      <c r="S56" t="s">
        <v>20</v>
      </c>
      <c r="T56" t="s">
        <v>149</v>
      </c>
      <c r="U56" t="s">
        <v>150</v>
      </c>
      <c r="W56" t="s">
        <v>1497</v>
      </c>
      <c r="X56" t="s">
        <v>1165</v>
      </c>
      <c r="Y56">
        <v>159.49875</v>
      </c>
      <c r="Z56">
        <v>0.3344846602713305</v>
      </c>
    </row>
    <row r="57" spans="2:26">
      <c r="B57" t="s">
        <v>146</v>
      </c>
      <c r="C57" t="s">
        <v>1305</v>
      </c>
      <c r="D57" t="s">
        <v>1306</v>
      </c>
      <c r="E57" t="s">
        <v>10</v>
      </c>
      <c r="F57" t="s">
        <v>20</v>
      </c>
      <c r="G57" t="s">
        <v>149</v>
      </c>
      <c r="H57" t="s">
        <v>150</v>
      </c>
      <c r="J57" t="s">
        <v>1305</v>
      </c>
      <c r="K57" t="s">
        <v>1030</v>
      </c>
      <c r="L57">
        <v>145.76340565827428</v>
      </c>
      <c r="M57">
        <v>0.31377717127510779</v>
      </c>
      <c r="O57" t="s">
        <v>146</v>
      </c>
      <c r="P57" t="s">
        <v>1499</v>
      </c>
      <c r="Q57" t="s">
        <v>1500</v>
      </c>
      <c r="R57" t="s">
        <v>10</v>
      </c>
      <c r="S57" t="s">
        <v>20</v>
      </c>
      <c r="T57" t="s">
        <v>149</v>
      </c>
      <c r="U57" t="s">
        <v>150</v>
      </c>
      <c r="W57" t="s">
        <v>1499</v>
      </c>
      <c r="X57" t="s">
        <v>1187</v>
      </c>
      <c r="Y57">
        <v>134.5095</v>
      </c>
      <c r="Z57">
        <v>0.41530120621565259</v>
      </c>
    </row>
    <row r="58" spans="2:26">
      <c r="B58" t="s">
        <v>146</v>
      </c>
      <c r="C58" t="s">
        <v>1307</v>
      </c>
      <c r="D58" t="s">
        <v>1308</v>
      </c>
      <c r="E58" t="s">
        <v>10</v>
      </c>
      <c r="F58" t="s">
        <v>20</v>
      </c>
      <c r="G58" t="s">
        <v>149</v>
      </c>
      <c r="H58" t="s">
        <v>150</v>
      </c>
      <c r="J58" t="s">
        <v>1307</v>
      </c>
      <c r="K58" t="s">
        <v>997</v>
      </c>
      <c r="L58">
        <v>148.48080229460197</v>
      </c>
      <c r="M58">
        <v>0.3254209051396173</v>
      </c>
      <c r="O58" t="s">
        <v>146</v>
      </c>
      <c r="P58" t="s">
        <v>1501</v>
      </c>
      <c r="Q58" t="s">
        <v>1502</v>
      </c>
      <c r="R58" t="s">
        <v>10</v>
      </c>
      <c r="S58" t="s">
        <v>20</v>
      </c>
      <c r="T58" t="s">
        <v>149</v>
      </c>
      <c r="U58" t="s">
        <v>150</v>
      </c>
      <c r="W58" t="s">
        <v>1501</v>
      </c>
      <c r="X58" t="s">
        <v>1179</v>
      </c>
      <c r="Y58">
        <v>183.47624999999999</v>
      </c>
      <c r="Z58">
        <v>0.41898691018834211</v>
      </c>
    </row>
    <row r="59" spans="2:26">
      <c r="B59" t="s">
        <v>146</v>
      </c>
      <c r="C59" t="s">
        <v>1309</v>
      </c>
      <c r="D59" t="s">
        <v>1310</v>
      </c>
      <c r="E59" t="s">
        <v>10</v>
      </c>
      <c r="F59" t="s">
        <v>20</v>
      </c>
      <c r="G59" t="s">
        <v>149</v>
      </c>
      <c r="H59" t="s">
        <v>150</v>
      </c>
      <c r="J59" t="s">
        <v>1309</v>
      </c>
      <c r="K59" t="s">
        <v>1009</v>
      </c>
      <c r="L59">
        <v>71.838937782979016</v>
      </c>
      <c r="M59">
        <v>0.36160181568981581</v>
      </c>
      <c r="O59" t="s">
        <v>146</v>
      </c>
      <c r="P59" t="s">
        <v>1503</v>
      </c>
      <c r="Q59" t="s">
        <v>1504</v>
      </c>
      <c r="R59" t="s">
        <v>10</v>
      </c>
      <c r="S59" t="s">
        <v>20</v>
      </c>
      <c r="T59" t="s">
        <v>149</v>
      </c>
      <c r="U59" t="s">
        <v>150</v>
      </c>
      <c r="W59" t="s">
        <v>1503</v>
      </c>
      <c r="X59" t="s">
        <v>1186</v>
      </c>
      <c r="Y59">
        <v>27.345749999999999</v>
      </c>
      <c r="Z59">
        <v>0.51166157952923952</v>
      </c>
    </row>
    <row r="60" spans="2:26">
      <c r="B60" t="s">
        <v>146</v>
      </c>
      <c r="C60" t="s">
        <v>1311</v>
      </c>
      <c r="D60" t="s">
        <v>1312</v>
      </c>
      <c r="E60" t="s">
        <v>10</v>
      </c>
      <c r="F60" t="s">
        <v>20</v>
      </c>
      <c r="G60" t="s">
        <v>149</v>
      </c>
      <c r="H60" t="s">
        <v>150</v>
      </c>
      <c r="J60" t="s">
        <v>1311</v>
      </c>
      <c r="K60" t="s">
        <v>975</v>
      </c>
      <c r="L60">
        <v>80.257558228094155</v>
      </c>
      <c r="M60">
        <v>0.40413607635809601</v>
      </c>
      <c r="O60" t="s">
        <v>146</v>
      </c>
      <c r="P60" t="s">
        <v>1505</v>
      </c>
      <c r="Q60" t="s">
        <v>1506</v>
      </c>
      <c r="R60" t="s">
        <v>10</v>
      </c>
      <c r="S60" t="s">
        <v>20</v>
      </c>
      <c r="T60" t="s">
        <v>149</v>
      </c>
      <c r="U60" t="s">
        <v>150</v>
      </c>
      <c r="W60" t="s">
        <v>1505</v>
      </c>
      <c r="X60" t="s">
        <v>1173</v>
      </c>
      <c r="Y60">
        <v>11.7315</v>
      </c>
      <c r="Z60">
        <v>0.5489524489735691</v>
      </c>
    </row>
    <row r="61" spans="2:26">
      <c r="B61" t="s">
        <v>146</v>
      </c>
      <c r="C61" t="s">
        <v>1313</v>
      </c>
      <c r="D61" t="s">
        <v>1314</v>
      </c>
      <c r="E61" t="s">
        <v>10</v>
      </c>
      <c r="F61" t="s">
        <v>20</v>
      </c>
      <c r="G61" t="s">
        <v>149</v>
      </c>
      <c r="H61" t="s">
        <v>150</v>
      </c>
      <c r="J61" t="s">
        <v>1313</v>
      </c>
      <c r="K61" t="s">
        <v>976</v>
      </c>
      <c r="L61">
        <v>146.07778098481995</v>
      </c>
      <c r="M61">
        <v>0.32639072780733552</v>
      </c>
      <c r="O61" t="s">
        <v>146</v>
      </c>
      <c r="P61" t="s">
        <v>1507</v>
      </c>
      <c r="Q61" t="s">
        <v>1508</v>
      </c>
      <c r="R61" t="s">
        <v>10</v>
      </c>
      <c r="S61" t="s">
        <v>20</v>
      </c>
      <c r="T61" t="s">
        <v>149</v>
      </c>
      <c r="U61" t="s">
        <v>150</v>
      </c>
      <c r="W61" t="s">
        <v>1507</v>
      </c>
      <c r="X61" t="s">
        <v>1174</v>
      </c>
      <c r="Y61">
        <v>195.03299999999999</v>
      </c>
      <c r="Z61">
        <v>0.45746568771019958</v>
      </c>
    </row>
    <row r="62" spans="2:26">
      <c r="B62" t="s">
        <v>146</v>
      </c>
      <c r="C62" t="s">
        <v>1315</v>
      </c>
      <c r="D62" t="s">
        <v>1316</v>
      </c>
      <c r="E62" t="s">
        <v>10</v>
      </c>
      <c r="F62" t="s">
        <v>20</v>
      </c>
      <c r="G62" t="s">
        <v>149</v>
      </c>
      <c r="H62" t="s">
        <v>150</v>
      </c>
      <c r="J62" t="s">
        <v>1315</v>
      </c>
      <c r="K62" t="s">
        <v>935</v>
      </c>
      <c r="L62">
        <v>106.1298736355218</v>
      </c>
      <c r="M62">
        <v>0.32657895811238841</v>
      </c>
      <c r="O62" t="s">
        <v>146</v>
      </c>
      <c r="P62" t="s">
        <v>1509</v>
      </c>
      <c r="Q62" t="s">
        <v>1510</v>
      </c>
      <c r="R62" t="s">
        <v>10</v>
      </c>
      <c r="S62" t="s">
        <v>20</v>
      </c>
      <c r="T62" t="s">
        <v>149</v>
      </c>
      <c r="U62" t="s">
        <v>150</v>
      </c>
      <c r="W62" t="s">
        <v>1509</v>
      </c>
      <c r="X62" t="s">
        <v>1168</v>
      </c>
      <c r="Y62">
        <v>154.16175000000001</v>
      </c>
      <c r="Z62">
        <v>0.40812696163262879</v>
      </c>
    </row>
    <row r="63" spans="2:26">
      <c r="B63" t="s">
        <v>146</v>
      </c>
      <c r="C63" t="s">
        <v>1317</v>
      </c>
      <c r="D63" t="s">
        <v>1318</v>
      </c>
      <c r="E63" t="s">
        <v>10</v>
      </c>
      <c r="F63" t="s">
        <v>20</v>
      </c>
      <c r="G63" t="s">
        <v>149</v>
      </c>
      <c r="H63" t="s">
        <v>150</v>
      </c>
      <c r="J63" t="s">
        <v>1317</v>
      </c>
      <c r="K63" t="s">
        <v>1014</v>
      </c>
      <c r="L63">
        <v>124.94443081089416</v>
      </c>
      <c r="M63">
        <v>0.30822143982394351</v>
      </c>
    </row>
    <row r="64" spans="2:26">
      <c r="B64" t="s">
        <v>146</v>
      </c>
      <c r="C64" t="s">
        <v>1319</v>
      </c>
      <c r="D64" t="s">
        <v>1320</v>
      </c>
      <c r="E64" t="s">
        <v>10</v>
      </c>
      <c r="F64" t="s">
        <v>20</v>
      </c>
      <c r="G64" t="s">
        <v>149</v>
      </c>
      <c r="H64" t="s">
        <v>150</v>
      </c>
      <c r="J64" t="s">
        <v>1319</v>
      </c>
      <c r="K64" t="s">
        <v>989</v>
      </c>
      <c r="L64">
        <v>12.652627740935781</v>
      </c>
      <c r="M64">
        <v>0.1861793038725891</v>
      </c>
    </row>
    <row r="65" spans="2:13">
      <c r="B65" t="s">
        <v>146</v>
      </c>
      <c r="C65" t="s">
        <v>1321</v>
      </c>
      <c r="D65" t="s">
        <v>1322</v>
      </c>
      <c r="E65" t="s">
        <v>10</v>
      </c>
      <c r="F65" t="s">
        <v>20</v>
      </c>
      <c r="G65" t="s">
        <v>149</v>
      </c>
      <c r="H65" t="s">
        <v>150</v>
      </c>
      <c r="J65" t="s">
        <v>1321</v>
      </c>
      <c r="K65" t="s">
        <v>959</v>
      </c>
      <c r="L65">
        <v>22.889688294443275</v>
      </c>
      <c r="M65">
        <v>0.22479135197842889</v>
      </c>
    </row>
    <row r="66" spans="2:13">
      <c r="B66" t="s">
        <v>146</v>
      </c>
      <c r="C66" t="s">
        <v>1323</v>
      </c>
      <c r="D66" t="s">
        <v>1324</v>
      </c>
      <c r="E66" t="s">
        <v>10</v>
      </c>
      <c r="F66" t="s">
        <v>20</v>
      </c>
      <c r="G66" t="s">
        <v>149</v>
      </c>
      <c r="H66" t="s">
        <v>150</v>
      </c>
      <c r="J66" t="s">
        <v>1323</v>
      </c>
      <c r="K66" t="s">
        <v>914</v>
      </c>
      <c r="L66">
        <v>1.5318794868726651</v>
      </c>
      <c r="M66">
        <v>0.15253985732570169</v>
      </c>
    </row>
    <row r="67" spans="2:13">
      <c r="B67" t="s">
        <v>146</v>
      </c>
      <c r="C67" t="s">
        <v>1325</v>
      </c>
      <c r="D67" t="s">
        <v>1326</v>
      </c>
      <c r="E67" t="s">
        <v>10</v>
      </c>
      <c r="F67" t="s">
        <v>20</v>
      </c>
      <c r="G67" t="s">
        <v>149</v>
      </c>
      <c r="H67" t="s">
        <v>150</v>
      </c>
      <c r="J67" t="s">
        <v>1325</v>
      </c>
      <c r="K67" t="s">
        <v>1012</v>
      </c>
      <c r="L67">
        <v>0.59942290733321824</v>
      </c>
      <c r="M67">
        <v>0.2134335177317005</v>
      </c>
    </row>
    <row r="68" spans="2:13">
      <c r="B68" t="s">
        <v>146</v>
      </c>
      <c r="C68" t="s">
        <v>1327</v>
      </c>
      <c r="D68" t="s">
        <v>1328</v>
      </c>
      <c r="E68" t="s">
        <v>10</v>
      </c>
      <c r="F68" t="s">
        <v>20</v>
      </c>
      <c r="G68" t="s">
        <v>149</v>
      </c>
      <c r="H68" t="s">
        <v>150</v>
      </c>
      <c r="J68" t="s">
        <v>1327</v>
      </c>
      <c r="K68" t="s">
        <v>1036</v>
      </c>
      <c r="L68">
        <v>11.453222815679586</v>
      </c>
      <c r="M68">
        <v>0.15955154510556241</v>
      </c>
    </row>
    <row r="69" spans="2:13">
      <c r="B69" t="s">
        <v>146</v>
      </c>
      <c r="C69" t="s">
        <v>1329</v>
      </c>
      <c r="D69" t="s">
        <v>1330</v>
      </c>
      <c r="E69" t="s">
        <v>10</v>
      </c>
      <c r="F69" t="s">
        <v>20</v>
      </c>
      <c r="G69" t="s">
        <v>149</v>
      </c>
      <c r="H69" t="s">
        <v>150</v>
      </c>
      <c r="J69" t="s">
        <v>1329</v>
      </c>
      <c r="K69" t="s">
        <v>1019</v>
      </c>
      <c r="L69">
        <v>2.2803547354553286</v>
      </c>
      <c r="M69">
        <v>0.19774114135507589</v>
      </c>
    </row>
    <row r="70" spans="2:13">
      <c r="B70" t="s">
        <v>146</v>
      </c>
      <c r="C70" t="s">
        <v>1331</v>
      </c>
      <c r="D70" t="s">
        <v>1332</v>
      </c>
      <c r="E70" t="s">
        <v>10</v>
      </c>
      <c r="F70" t="s">
        <v>20</v>
      </c>
      <c r="G70" t="s">
        <v>149</v>
      </c>
      <c r="H70" t="s">
        <v>150</v>
      </c>
      <c r="J70" t="s">
        <v>1331</v>
      </c>
      <c r="K70" t="s">
        <v>948</v>
      </c>
      <c r="L70">
        <v>1.6411981852360265</v>
      </c>
      <c r="M70">
        <v>0.1232460250684915</v>
      </c>
    </row>
    <row r="71" spans="2:13">
      <c r="B71" t="s">
        <v>146</v>
      </c>
      <c r="C71" t="s">
        <v>1333</v>
      </c>
      <c r="D71" t="s">
        <v>1334</v>
      </c>
      <c r="E71" t="s">
        <v>10</v>
      </c>
      <c r="F71" t="s">
        <v>20</v>
      </c>
      <c r="G71" t="s">
        <v>149</v>
      </c>
      <c r="H71" t="s">
        <v>150</v>
      </c>
      <c r="J71" t="s">
        <v>1333</v>
      </c>
      <c r="K71" t="s">
        <v>1006</v>
      </c>
      <c r="L71">
        <v>3.6294095116605649</v>
      </c>
      <c r="M71">
        <v>0.17744457383125081</v>
      </c>
    </row>
    <row r="72" spans="2:13">
      <c r="B72" t="s">
        <v>146</v>
      </c>
      <c r="C72" t="s">
        <v>1335</v>
      </c>
      <c r="D72" t="s">
        <v>1336</v>
      </c>
      <c r="E72" t="s">
        <v>10</v>
      </c>
      <c r="F72" t="s">
        <v>20</v>
      </c>
      <c r="G72" t="s">
        <v>149</v>
      </c>
      <c r="H72" t="s">
        <v>150</v>
      </c>
      <c r="J72" t="s">
        <v>1335</v>
      </c>
      <c r="K72" t="s">
        <v>961</v>
      </c>
      <c r="L72">
        <v>4.463691536387925</v>
      </c>
      <c r="M72">
        <v>0.23724909107397421</v>
      </c>
    </row>
    <row r="73" spans="2:13">
      <c r="B73" t="s">
        <v>146</v>
      </c>
      <c r="C73" t="s">
        <v>1337</v>
      </c>
      <c r="D73" t="s">
        <v>1338</v>
      </c>
      <c r="E73" t="s">
        <v>10</v>
      </c>
      <c r="F73" t="s">
        <v>20</v>
      </c>
      <c r="G73" t="s">
        <v>149</v>
      </c>
      <c r="H73" t="s">
        <v>150</v>
      </c>
      <c r="J73" t="s">
        <v>1337</v>
      </c>
      <c r="K73" t="s">
        <v>1038</v>
      </c>
      <c r="L73">
        <v>0.15904812550112069</v>
      </c>
      <c r="M73">
        <v>0.20165153722365409</v>
      </c>
    </row>
    <row r="74" spans="2:13">
      <c r="B74" t="s">
        <v>146</v>
      </c>
      <c r="C74" t="s">
        <v>1339</v>
      </c>
      <c r="D74" t="s">
        <v>1340</v>
      </c>
      <c r="E74" t="s">
        <v>10</v>
      </c>
      <c r="F74" t="s">
        <v>20</v>
      </c>
      <c r="G74" t="s">
        <v>149</v>
      </c>
      <c r="H74" t="s">
        <v>150</v>
      </c>
      <c r="J74" t="s">
        <v>1339</v>
      </c>
      <c r="K74" t="s">
        <v>946</v>
      </c>
      <c r="L74">
        <v>0.38231455598608644</v>
      </c>
      <c r="M74">
        <v>0.27709641518882178</v>
      </c>
    </row>
    <row r="75" spans="2:13">
      <c r="B75" t="s">
        <v>146</v>
      </c>
      <c r="C75" t="s">
        <v>1341</v>
      </c>
      <c r="D75" t="s">
        <v>1342</v>
      </c>
      <c r="E75" t="s">
        <v>10</v>
      </c>
      <c r="F75" t="s">
        <v>20</v>
      </c>
      <c r="G75" t="s">
        <v>149</v>
      </c>
      <c r="H75" t="s">
        <v>150</v>
      </c>
      <c r="J75" t="s">
        <v>1341</v>
      </c>
      <c r="K75" t="s">
        <v>927</v>
      </c>
      <c r="L75">
        <v>48.459263659244627</v>
      </c>
      <c r="M75">
        <v>0.28112561040675998</v>
      </c>
    </row>
    <row r="76" spans="2:13">
      <c r="B76" t="s">
        <v>146</v>
      </c>
      <c r="C76" t="s">
        <v>1343</v>
      </c>
      <c r="D76" t="s">
        <v>1344</v>
      </c>
      <c r="E76" t="s">
        <v>10</v>
      </c>
      <c r="F76" t="s">
        <v>20</v>
      </c>
      <c r="G76" t="s">
        <v>149</v>
      </c>
      <c r="H76" t="s">
        <v>150</v>
      </c>
      <c r="J76" t="s">
        <v>1343</v>
      </c>
      <c r="K76" t="s">
        <v>912</v>
      </c>
      <c r="L76">
        <v>31.18047373096908</v>
      </c>
      <c r="M76">
        <v>0.25789813798046818</v>
      </c>
    </row>
    <row r="77" spans="2:13">
      <c r="B77" t="s">
        <v>146</v>
      </c>
      <c r="C77" t="s">
        <v>1345</v>
      </c>
      <c r="D77" t="s">
        <v>1346</v>
      </c>
      <c r="E77" t="s">
        <v>10</v>
      </c>
      <c r="F77" t="s">
        <v>20</v>
      </c>
      <c r="G77" t="s">
        <v>149</v>
      </c>
      <c r="H77" t="s">
        <v>150</v>
      </c>
      <c r="J77" t="s">
        <v>1345</v>
      </c>
      <c r="K77" t="s">
        <v>941</v>
      </c>
      <c r="L77">
        <v>21.737639110123883</v>
      </c>
      <c r="M77">
        <v>0.28378704370290891</v>
      </c>
    </row>
    <row r="78" spans="2:13">
      <c r="B78" t="s">
        <v>146</v>
      </c>
      <c r="C78" t="s">
        <v>1347</v>
      </c>
      <c r="D78" t="s">
        <v>1348</v>
      </c>
      <c r="E78" t="s">
        <v>10</v>
      </c>
      <c r="F78" t="s">
        <v>20</v>
      </c>
      <c r="G78" t="s">
        <v>149</v>
      </c>
      <c r="H78" t="s">
        <v>150</v>
      </c>
      <c r="J78" t="s">
        <v>1347</v>
      </c>
      <c r="K78" t="s">
        <v>980</v>
      </c>
      <c r="L78">
        <v>7.7564715726947338</v>
      </c>
      <c r="M78">
        <v>0.22625863571552729</v>
      </c>
    </row>
    <row r="79" spans="2:13">
      <c r="B79" t="s">
        <v>146</v>
      </c>
      <c r="C79" t="s">
        <v>1349</v>
      </c>
      <c r="D79" t="s">
        <v>1350</v>
      </c>
      <c r="E79" t="s">
        <v>10</v>
      </c>
      <c r="F79" t="s">
        <v>20</v>
      </c>
      <c r="G79" t="s">
        <v>149</v>
      </c>
      <c r="H79" t="s">
        <v>150</v>
      </c>
      <c r="J79" t="s">
        <v>1349</v>
      </c>
      <c r="K79" t="s">
        <v>916</v>
      </c>
      <c r="L79">
        <v>59.663991486822887</v>
      </c>
      <c r="M79">
        <v>0.40740899465354208</v>
      </c>
    </row>
    <row r="80" spans="2:13">
      <c r="B80" t="s">
        <v>146</v>
      </c>
      <c r="C80" t="s">
        <v>1351</v>
      </c>
      <c r="D80" t="s">
        <v>1352</v>
      </c>
      <c r="E80" t="s">
        <v>10</v>
      </c>
      <c r="F80" t="s">
        <v>20</v>
      </c>
      <c r="G80" t="s">
        <v>149</v>
      </c>
      <c r="H80" t="s">
        <v>150</v>
      </c>
      <c r="J80" t="s">
        <v>1351</v>
      </c>
      <c r="K80" t="s">
        <v>930</v>
      </c>
      <c r="L80">
        <v>67.484986191080594</v>
      </c>
      <c r="M80">
        <v>0.39054540796045412</v>
      </c>
    </row>
    <row r="81" spans="2:13">
      <c r="B81" t="s">
        <v>146</v>
      </c>
      <c r="C81" t="s">
        <v>1353</v>
      </c>
      <c r="D81" t="s">
        <v>1354</v>
      </c>
      <c r="E81" t="s">
        <v>10</v>
      </c>
      <c r="F81" t="s">
        <v>20</v>
      </c>
      <c r="G81" t="s">
        <v>149</v>
      </c>
      <c r="H81" t="s">
        <v>150</v>
      </c>
      <c r="J81" t="s">
        <v>1353</v>
      </c>
      <c r="K81" t="s">
        <v>904</v>
      </c>
      <c r="L81">
        <v>8.9831631319223497</v>
      </c>
      <c r="M81">
        <v>0.36911258116024759</v>
      </c>
    </row>
    <row r="82" spans="2:13">
      <c r="B82" t="s">
        <v>146</v>
      </c>
      <c r="C82" t="s">
        <v>1355</v>
      </c>
      <c r="D82" t="s">
        <v>1356</v>
      </c>
      <c r="E82" t="s">
        <v>10</v>
      </c>
      <c r="F82" t="s">
        <v>20</v>
      </c>
      <c r="G82" t="s">
        <v>149</v>
      </c>
      <c r="H82" t="s">
        <v>150</v>
      </c>
      <c r="J82" t="s">
        <v>1355</v>
      </c>
      <c r="K82" t="s">
        <v>1008</v>
      </c>
      <c r="L82">
        <v>74.407838302658988</v>
      </c>
      <c r="M82">
        <v>0.2879741925472874</v>
      </c>
    </row>
    <row r="83" spans="2:13">
      <c r="B83" t="s">
        <v>146</v>
      </c>
      <c r="C83" t="s">
        <v>1357</v>
      </c>
      <c r="D83" t="s">
        <v>1358</v>
      </c>
      <c r="E83" t="s">
        <v>10</v>
      </c>
      <c r="F83" t="s">
        <v>20</v>
      </c>
      <c r="G83" t="s">
        <v>149</v>
      </c>
      <c r="H83" t="s">
        <v>150</v>
      </c>
      <c r="J83" t="s">
        <v>1357</v>
      </c>
      <c r="K83" t="s">
        <v>943</v>
      </c>
      <c r="L83">
        <v>66.237243466162568</v>
      </c>
      <c r="M83">
        <v>0.30583995321535418</v>
      </c>
    </row>
    <row r="84" spans="2:13">
      <c r="B84" t="s">
        <v>146</v>
      </c>
      <c r="C84" t="s">
        <v>1359</v>
      </c>
      <c r="D84" t="s">
        <v>1360</v>
      </c>
      <c r="E84" t="s">
        <v>10</v>
      </c>
      <c r="F84" t="s">
        <v>20</v>
      </c>
      <c r="G84" t="s">
        <v>149</v>
      </c>
      <c r="H84" t="s">
        <v>150</v>
      </c>
      <c r="J84" t="s">
        <v>1359</v>
      </c>
      <c r="K84" t="s">
        <v>1026</v>
      </c>
      <c r="L84">
        <v>87.803826101842702</v>
      </c>
      <c r="M84">
        <v>0.3692980491855648</v>
      </c>
    </row>
    <row r="85" spans="2:13">
      <c r="B85" t="s">
        <v>146</v>
      </c>
      <c r="C85" t="s">
        <v>1361</v>
      </c>
      <c r="D85" t="s">
        <v>1362</v>
      </c>
      <c r="E85" t="s">
        <v>10</v>
      </c>
      <c r="F85" t="s">
        <v>20</v>
      </c>
      <c r="G85" t="s">
        <v>149</v>
      </c>
      <c r="H85" t="s">
        <v>150</v>
      </c>
      <c r="J85" t="s">
        <v>1361</v>
      </c>
      <c r="K85" t="s">
        <v>970</v>
      </c>
      <c r="L85">
        <v>13.111660750581855</v>
      </c>
      <c r="M85">
        <v>0.37646378420380111</v>
      </c>
    </row>
    <row r="86" spans="2:13">
      <c r="B86" t="s">
        <v>146</v>
      </c>
      <c r="C86" t="s">
        <v>1363</v>
      </c>
      <c r="D86" t="s">
        <v>1364</v>
      </c>
      <c r="E86" t="s">
        <v>10</v>
      </c>
      <c r="F86" t="s">
        <v>20</v>
      </c>
      <c r="G86" t="s">
        <v>149</v>
      </c>
      <c r="H86" t="s">
        <v>150</v>
      </c>
      <c r="J86" t="s">
        <v>1363</v>
      </c>
      <c r="K86" t="s">
        <v>967</v>
      </c>
      <c r="L86">
        <v>28.441848841140754</v>
      </c>
      <c r="M86">
        <v>0.34317277592736212</v>
      </c>
    </row>
    <row r="87" spans="2:13">
      <c r="B87" t="s">
        <v>146</v>
      </c>
      <c r="C87" t="s">
        <v>1365</v>
      </c>
      <c r="D87" t="s">
        <v>1366</v>
      </c>
      <c r="E87" t="s">
        <v>10</v>
      </c>
      <c r="F87" t="s">
        <v>20</v>
      </c>
      <c r="G87" t="s">
        <v>149</v>
      </c>
      <c r="H87" t="s">
        <v>150</v>
      </c>
      <c r="J87" t="s">
        <v>1365</v>
      </c>
      <c r="K87" t="s">
        <v>974</v>
      </c>
      <c r="L87">
        <v>143.86519004409737</v>
      </c>
      <c r="M87">
        <v>0.39289181925170891</v>
      </c>
    </row>
    <row r="88" spans="2:13">
      <c r="B88" t="s">
        <v>146</v>
      </c>
      <c r="C88" t="s">
        <v>1367</v>
      </c>
      <c r="D88" t="s">
        <v>1368</v>
      </c>
      <c r="E88" t="s">
        <v>10</v>
      </c>
      <c r="F88" t="s">
        <v>20</v>
      </c>
      <c r="G88" t="s">
        <v>149</v>
      </c>
      <c r="H88" t="s">
        <v>150</v>
      </c>
      <c r="J88" t="s">
        <v>1367</v>
      </c>
      <c r="K88" t="s">
        <v>949</v>
      </c>
      <c r="L88">
        <v>2.4247911368184991</v>
      </c>
      <c r="M88">
        <v>0.36927037397435569</v>
      </c>
    </row>
    <row r="89" spans="2:13">
      <c r="B89" t="s">
        <v>146</v>
      </c>
      <c r="C89" t="s">
        <v>1369</v>
      </c>
      <c r="D89" t="s">
        <v>1370</v>
      </c>
      <c r="E89" t="s">
        <v>10</v>
      </c>
      <c r="F89" t="s">
        <v>20</v>
      </c>
      <c r="G89" t="s">
        <v>149</v>
      </c>
      <c r="H89" t="s">
        <v>150</v>
      </c>
      <c r="J89" t="s">
        <v>1369</v>
      </c>
      <c r="K89" t="s">
        <v>965</v>
      </c>
      <c r="L89">
        <v>1.2775502846450904</v>
      </c>
      <c r="M89">
        <v>0.31551781748591501</v>
      </c>
    </row>
    <row r="90" spans="2:13">
      <c r="B90" t="s">
        <v>146</v>
      </c>
      <c r="C90" t="s">
        <v>1371</v>
      </c>
      <c r="D90" t="s">
        <v>1372</v>
      </c>
      <c r="E90" t="s">
        <v>10</v>
      </c>
      <c r="F90" t="s">
        <v>20</v>
      </c>
      <c r="G90" t="s">
        <v>149</v>
      </c>
      <c r="H90" t="s">
        <v>150</v>
      </c>
      <c r="J90" t="s">
        <v>1371</v>
      </c>
      <c r="K90" t="s">
        <v>994</v>
      </c>
      <c r="L90">
        <v>13.425882161067216</v>
      </c>
      <c r="M90">
        <v>0.35189737951956879</v>
      </c>
    </row>
    <row r="91" spans="2:13">
      <c r="B91" t="s">
        <v>146</v>
      </c>
      <c r="C91" t="s">
        <v>1373</v>
      </c>
      <c r="D91" t="s">
        <v>1374</v>
      </c>
      <c r="E91" t="s">
        <v>10</v>
      </c>
      <c r="F91" t="s">
        <v>20</v>
      </c>
      <c r="G91" t="s">
        <v>149</v>
      </c>
      <c r="H91" t="s">
        <v>150</v>
      </c>
      <c r="J91" t="s">
        <v>1373</v>
      </c>
      <c r="K91" t="s">
        <v>1022</v>
      </c>
      <c r="L91">
        <v>2.4640928691199862</v>
      </c>
      <c r="M91">
        <v>0.2810191848175051</v>
      </c>
    </row>
    <row r="92" spans="2:13">
      <c r="B92" t="s">
        <v>146</v>
      </c>
      <c r="C92" t="s">
        <v>1375</v>
      </c>
      <c r="D92" t="s">
        <v>1376</v>
      </c>
      <c r="E92" t="s">
        <v>10</v>
      </c>
      <c r="F92" t="s">
        <v>20</v>
      </c>
      <c r="G92" t="s">
        <v>149</v>
      </c>
      <c r="H92" t="s">
        <v>150</v>
      </c>
      <c r="J92" t="s">
        <v>1375</v>
      </c>
      <c r="K92" t="s">
        <v>917</v>
      </c>
      <c r="L92">
        <v>121.00853795417976</v>
      </c>
      <c r="M92">
        <v>0.3458643997373963</v>
      </c>
    </row>
    <row r="93" spans="2:13">
      <c r="B93" t="s">
        <v>146</v>
      </c>
      <c r="C93" t="s">
        <v>1377</v>
      </c>
      <c r="D93" t="s">
        <v>1378</v>
      </c>
      <c r="E93" t="s">
        <v>10</v>
      </c>
      <c r="F93" t="s">
        <v>20</v>
      </c>
      <c r="G93" t="s">
        <v>149</v>
      </c>
      <c r="H93" t="s">
        <v>150</v>
      </c>
      <c r="J93" t="s">
        <v>1377</v>
      </c>
      <c r="K93" t="s">
        <v>1032</v>
      </c>
      <c r="L93">
        <v>124.790495670129</v>
      </c>
      <c r="M93">
        <v>0.37558379742122511</v>
      </c>
    </row>
    <row r="94" spans="2:13">
      <c r="B94" t="s">
        <v>146</v>
      </c>
      <c r="C94" t="s">
        <v>1379</v>
      </c>
      <c r="D94" t="s">
        <v>1380</v>
      </c>
      <c r="E94" t="s">
        <v>10</v>
      </c>
      <c r="F94" t="s">
        <v>20</v>
      </c>
      <c r="G94" t="s">
        <v>149</v>
      </c>
      <c r="H94" t="s">
        <v>150</v>
      </c>
      <c r="J94" t="s">
        <v>1379</v>
      </c>
      <c r="K94" t="s">
        <v>991</v>
      </c>
      <c r="L94">
        <v>76.573281453558408</v>
      </c>
      <c r="M94">
        <v>0.3724145153051821</v>
      </c>
    </row>
    <row r="95" spans="2:13">
      <c r="B95" t="s">
        <v>146</v>
      </c>
      <c r="C95" t="s">
        <v>1381</v>
      </c>
      <c r="D95" t="s">
        <v>1382</v>
      </c>
      <c r="E95" t="s">
        <v>10</v>
      </c>
      <c r="F95" t="s">
        <v>20</v>
      </c>
      <c r="G95" t="s">
        <v>149</v>
      </c>
      <c r="H95" t="s">
        <v>150</v>
      </c>
      <c r="J95" t="s">
        <v>1381</v>
      </c>
      <c r="K95" t="s">
        <v>973</v>
      </c>
      <c r="L95">
        <v>83.622813239085914</v>
      </c>
      <c r="M95">
        <v>0.36211565563053821</v>
      </c>
    </row>
    <row r="96" spans="2:13">
      <c r="B96" t="s">
        <v>146</v>
      </c>
      <c r="C96" t="s">
        <v>1383</v>
      </c>
      <c r="D96" t="s">
        <v>1384</v>
      </c>
      <c r="E96" t="s">
        <v>10</v>
      </c>
      <c r="F96" t="s">
        <v>20</v>
      </c>
      <c r="G96" t="s">
        <v>149</v>
      </c>
      <c r="H96" t="s">
        <v>150</v>
      </c>
      <c r="J96" t="s">
        <v>1383</v>
      </c>
      <c r="K96" t="s">
        <v>996</v>
      </c>
      <c r="L96">
        <v>98.771916583186524</v>
      </c>
      <c r="M96">
        <v>0.33032791274526219</v>
      </c>
    </row>
    <row r="97" spans="2:13">
      <c r="B97" t="s">
        <v>146</v>
      </c>
      <c r="C97" t="s">
        <v>1385</v>
      </c>
      <c r="D97" t="s">
        <v>1386</v>
      </c>
      <c r="E97" t="s">
        <v>10</v>
      </c>
      <c r="F97" t="s">
        <v>20</v>
      </c>
      <c r="G97" t="s">
        <v>149</v>
      </c>
      <c r="H97" t="s">
        <v>150</v>
      </c>
      <c r="J97" t="s">
        <v>1385</v>
      </c>
      <c r="K97" t="s">
        <v>918</v>
      </c>
      <c r="L97">
        <v>113.7602367199374</v>
      </c>
      <c r="M97">
        <v>0.3204608298552386</v>
      </c>
    </row>
    <row r="98" spans="2:13">
      <c r="B98" t="s">
        <v>146</v>
      </c>
      <c r="C98" t="s">
        <v>1387</v>
      </c>
      <c r="D98" t="s">
        <v>1388</v>
      </c>
      <c r="E98" t="s">
        <v>10</v>
      </c>
      <c r="F98" t="s">
        <v>20</v>
      </c>
      <c r="G98" t="s">
        <v>149</v>
      </c>
      <c r="H98" t="s">
        <v>150</v>
      </c>
      <c r="J98" t="s">
        <v>1387</v>
      </c>
      <c r="K98" t="s">
        <v>933</v>
      </c>
      <c r="L98">
        <v>106.58940043603886</v>
      </c>
      <c r="M98">
        <v>0.33231882609073149</v>
      </c>
    </row>
    <row r="99" spans="2:13">
      <c r="B99" t="s">
        <v>146</v>
      </c>
      <c r="C99" t="s">
        <v>1389</v>
      </c>
      <c r="D99" t="s">
        <v>1390</v>
      </c>
      <c r="E99" t="s">
        <v>10</v>
      </c>
      <c r="F99" t="s">
        <v>20</v>
      </c>
      <c r="G99" t="s">
        <v>149</v>
      </c>
      <c r="H99" t="s">
        <v>150</v>
      </c>
      <c r="J99" t="s">
        <v>1389</v>
      </c>
      <c r="K99" t="s">
        <v>944</v>
      </c>
      <c r="L99">
        <v>82.155437931771587</v>
      </c>
      <c r="M99">
        <v>0.3241590941473621</v>
      </c>
    </row>
    <row r="100" spans="2:13">
      <c r="B100" t="s">
        <v>146</v>
      </c>
      <c r="C100" t="s">
        <v>1391</v>
      </c>
      <c r="D100" t="s">
        <v>1392</v>
      </c>
      <c r="E100" t="s">
        <v>10</v>
      </c>
      <c r="F100" t="s">
        <v>20</v>
      </c>
      <c r="G100" t="s">
        <v>149</v>
      </c>
      <c r="H100" t="s">
        <v>150</v>
      </c>
      <c r="J100" t="s">
        <v>1391</v>
      </c>
      <c r="K100" t="s">
        <v>950</v>
      </c>
      <c r="L100">
        <v>129.44215482043572</v>
      </c>
      <c r="M100">
        <v>0.30172836610397241</v>
      </c>
    </row>
    <row r="101" spans="2:13">
      <c r="B101" t="s">
        <v>146</v>
      </c>
      <c r="C101" t="s">
        <v>1393</v>
      </c>
      <c r="D101" t="s">
        <v>1394</v>
      </c>
      <c r="E101" t="s">
        <v>10</v>
      </c>
      <c r="F101" t="s">
        <v>20</v>
      </c>
      <c r="G101" t="s">
        <v>149</v>
      </c>
      <c r="H101" t="s">
        <v>150</v>
      </c>
      <c r="J101" t="s">
        <v>1393</v>
      </c>
      <c r="K101" t="s">
        <v>971</v>
      </c>
      <c r="L101">
        <v>0.89144958684441589</v>
      </c>
      <c r="M101">
        <v>0.2209538967839525</v>
      </c>
    </row>
    <row r="102" spans="2:13">
      <c r="B102" t="s">
        <v>146</v>
      </c>
      <c r="C102" t="s">
        <v>1395</v>
      </c>
      <c r="D102" t="s">
        <v>1396</v>
      </c>
      <c r="E102" t="s">
        <v>10</v>
      </c>
      <c r="F102" t="s">
        <v>20</v>
      </c>
      <c r="G102" t="s">
        <v>149</v>
      </c>
      <c r="H102" t="s">
        <v>150</v>
      </c>
      <c r="J102" t="s">
        <v>1395</v>
      </c>
      <c r="K102" t="s">
        <v>984</v>
      </c>
      <c r="L102">
        <v>75.325753274416684</v>
      </c>
      <c r="M102">
        <v>0.28930544652503631</v>
      </c>
    </row>
    <row r="103" spans="2:13">
      <c r="B103" t="s">
        <v>146</v>
      </c>
      <c r="C103" t="s">
        <v>1397</v>
      </c>
      <c r="D103" t="s">
        <v>1398</v>
      </c>
      <c r="E103" t="s">
        <v>10</v>
      </c>
      <c r="F103" t="s">
        <v>20</v>
      </c>
      <c r="G103" t="s">
        <v>149</v>
      </c>
      <c r="H103" t="s">
        <v>150</v>
      </c>
      <c r="J103" t="s">
        <v>1397</v>
      </c>
      <c r="K103" t="s">
        <v>1021</v>
      </c>
      <c r="L103">
        <v>22.126012715065421</v>
      </c>
      <c r="M103">
        <v>0.30729805271999472</v>
      </c>
    </row>
    <row r="104" spans="2:13">
      <c r="B104" t="s">
        <v>146</v>
      </c>
      <c r="C104" t="s">
        <v>1399</v>
      </c>
      <c r="D104" t="s">
        <v>1400</v>
      </c>
      <c r="E104" t="s">
        <v>10</v>
      </c>
      <c r="F104" t="s">
        <v>20</v>
      </c>
      <c r="G104" t="s">
        <v>149</v>
      </c>
      <c r="H104" t="s">
        <v>150</v>
      </c>
      <c r="J104" t="s">
        <v>1399</v>
      </c>
      <c r="K104" t="s">
        <v>982</v>
      </c>
      <c r="L104">
        <v>65.153596720209478</v>
      </c>
      <c r="M104">
        <v>0.3066186138277337</v>
      </c>
    </row>
    <row r="105" spans="2:13">
      <c r="B105" t="s">
        <v>146</v>
      </c>
      <c r="C105" t="s">
        <v>1401</v>
      </c>
      <c r="D105" t="s">
        <v>1402</v>
      </c>
      <c r="E105" t="s">
        <v>10</v>
      </c>
      <c r="F105" t="s">
        <v>20</v>
      </c>
      <c r="G105" t="s">
        <v>149</v>
      </c>
      <c r="H105" t="s">
        <v>150</v>
      </c>
      <c r="J105" t="s">
        <v>1401</v>
      </c>
      <c r="K105" t="s">
        <v>942</v>
      </c>
      <c r="L105">
        <v>111.2273781855134</v>
      </c>
      <c r="M105">
        <v>0.3739858030397018</v>
      </c>
    </row>
    <row r="106" spans="2:13">
      <c r="B106" t="s">
        <v>146</v>
      </c>
      <c r="C106" t="s">
        <v>1403</v>
      </c>
      <c r="D106" t="s">
        <v>1404</v>
      </c>
      <c r="E106" t="s">
        <v>10</v>
      </c>
      <c r="F106" t="s">
        <v>20</v>
      </c>
      <c r="G106" t="s">
        <v>149</v>
      </c>
      <c r="H106" t="s">
        <v>150</v>
      </c>
      <c r="J106" t="s">
        <v>1403</v>
      </c>
      <c r="K106" t="s">
        <v>963</v>
      </c>
      <c r="L106">
        <v>16.632205399674447</v>
      </c>
      <c r="M106">
        <v>0.3126563771152911</v>
      </c>
    </row>
    <row r="107" spans="2:13">
      <c r="B107" t="s">
        <v>146</v>
      </c>
      <c r="C107" t="s">
        <v>1405</v>
      </c>
      <c r="D107" t="s">
        <v>1406</v>
      </c>
      <c r="E107" t="s">
        <v>10</v>
      </c>
      <c r="F107" t="s">
        <v>20</v>
      </c>
      <c r="G107" t="s">
        <v>149</v>
      </c>
      <c r="H107" t="s">
        <v>150</v>
      </c>
      <c r="J107" t="s">
        <v>1405</v>
      </c>
      <c r="K107" t="s">
        <v>929</v>
      </c>
      <c r="L107">
        <v>47.109387092480588</v>
      </c>
      <c r="M107">
        <v>0.42722929729505937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742D-9687-4CCD-9037-20B4064CD233}">
  <dimension ref="B9:Y136"/>
  <sheetViews>
    <sheetView tabSelected="1" workbookViewId="0"/>
  </sheetViews>
  <sheetFormatPr defaultRowHeight="14.25"/>
  <sheetData>
    <row r="9" spans="2:25">
      <c r="B9" t="s">
        <v>1511</v>
      </c>
      <c r="R9" t="s">
        <v>138</v>
      </c>
    </row>
    <row r="10" spans="2:25">
      <c r="B10" t="s">
        <v>140</v>
      </c>
      <c r="C10" t="s">
        <v>642</v>
      </c>
      <c r="D10" t="s">
        <v>344</v>
      </c>
      <c r="E10">
        <v>2020</v>
      </c>
      <c r="F10">
        <v>2022</v>
      </c>
      <c r="G10">
        <v>2024</v>
      </c>
      <c r="H10">
        <v>2025</v>
      </c>
      <c r="I10">
        <v>2030</v>
      </c>
      <c r="J10">
        <v>2035</v>
      </c>
      <c r="K10">
        <v>2040</v>
      </c>
      <c r="L10">
        <v>2045</v>
      </c>
      <c r="M10">
        <v>2050</v>
      </c>
      <c r="N10" t="s">
        <v>1512</v>
      </c>
      <c r="O10" t="s">
        <v>1513</v>
      </c>
      <c r="P10" t="s">
        <v>1514</v>
      </c>
      <c r="R10" t="s">
        <v>139</v>
      </c>
      <c r="S10" t="s">
        <v>140</v>
      </c>
      <c r="T10" t="s">
        <v>141</v>
      </c>
      <c r="U10" t="s">
        <v>142</v>
      </c>
      <c r="V10" t="s">
        <v>143</v>
      </c>
      <c r="W10" t="s">
        <v>144</v>
      </c>
      <c r="X10" t="s">
        <v>145</v>
      </c>
      <c r="Y10" t="s">
        <v>1550</v>
      </c>
    </row>
    <row r="11" spans="2:25">
      <c r="B11" t="s">
        <v>1515</v>
      </c>
      <c r="C11" t="s">
        <v>31</v>
      </c>
      <c r="D11" t="s">
        <v>18</v>
      </c>
      <c r="G11">
        <v>941</v>
      </c>
      <c r="J11">
        <v>1035.0999999999999</v>
      </c>
      <c r="M11">
        <v>1035.0999999999999</v>
      </c>
      <c r="N11" t="s">
        <v>1516</v>
      </c>
      <c r="R11" t="s">
        <v>146</v>
      </c>
      <c r="S11" t="s">
        <v>1515</v>
      </c>
      <c r="T11" t="s">
        <v>1551</v>
      </c>
      <c r="U11" t="s">
        <v>10</v>
      </c>
      <c r="V11" t="s">
        <v>20</v>
      </c>
      <c r="W11" t="s">
        <v>449</v>
      </c>
      <c r="X11" t="s">
        <v>1552</v>
      </c>
    </row>
    <row r="12" spans="2:25">
      <c r="B12" t="s">
        <v>1515</v>
      </c>
      <c r="C12" t="s">
        <v>31</v>
      </c>
      <c r="D12" t="s">
        <v>18</v>
      </c>
      <c r="G12">
        <v>23.5</v>
      </c>
      <c r="J12">
        <v>28.2</v>
      </c>
      <c r="M12">
        <v>28.2</v>
      </c>
      <c r="N12" t="s">
        <v>1517</v>
      </c>
      <c r="R12" t="s">
        <v>146</v>
      </c>
      <c r="S12" t="s">
        <v>1521</v>
      </c>
      <c r="T12" t="s">
        <v>1553</v>
      </c>
      <c r="U12" t="s">
        <v>10</v>
      </c>
      <c r="V12" t="s">
        <v>20</v>
      </c>
      <c r="W12" t="s">
        <v>449</v>
      </c>
      <c r="X12" t="s">
        <v>1552</v>
      </c>
    </row>
    <row r="13" spans="2:25">
      <c r="B13" t="s">
        <v>1515</v>
      </c>
      <c r="C13" t="s">
        <v>31</v>
      </c>
      <c r="D13" t="s">
        <v>18</v>
      </c>
      <c r="G13">
        <v>2.1204000000000001</v>
      </c>
      <c r="J13">
        <v>1.9583999999999999</v>
      </c>
      <c r="M13">
        <v>1.7891999999999999</v>
      </c>
      <c r="N13" t="s">
        <v>1518</v>
      </c>
      <c r="R13" t="s">
        <v>1554</v>
      </c>
      <c r="S13" t="s">
        <v>1522</v>
      </c>
      <c r="T13" t="s">
        <v>1555</v>
      </c>
      <c r="U13" t="s">
        <v>10</v>
      </c>
      <c r="V13" t="s">
        <v>20</v>
      </c>
      <c r="W13" t="s">
        <v>449</v>
      </c>
      <c r="X13" t="s">
        <v>1552</v>
      </c>
    </row>
    <row r="14" spans="2:25">
      <c r="B14" t="s">
        <v>1515</v>
      </c>
      <c r="C14" t="s">
        <v>31</v>
      </c>
      <c r="D14" t="s">
        <v>18</v>
      </c>
      <c r="G14">
        <v>0.59</v>
      </c>
      <c r="J14">
        <v>0.61</v>
      </c>
      <c r="M14">
        <v>0.61</v>
      </c>
      <c r="N14" t="s">
        <v>115</v>
      </c>
      <c r="R14" t="s">
        <v>146</v>
      </c>
      <c r="S14" t="s">
        <v>1526</v>
      </c>
      <c r="T14" t="s">
        <v>1556</v>
      </c>
      <c r="U14" t="s">
        <v>10</v>
      </c>
      <c r="V14" t="s">
        <v>20</v>
      </c>
      <c r="W14" t="s">
        <v>449</v>
      </c>
      <c r="X14" t="s">
        <v>1552</v>
      </c>
    </row>
    <row r="15" spans="2:25">
      <c r="B15" t="s">
        <v>1515</v>
      </c>
      <c r="C15" t="s">
        <v>31</v>
      </c>
      <c r="D15" t="s">
        <v>18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>
        <v>30</v>
      </c>
      <c r="L15">
        <v>30</v>
      </c>
      <c r="M15">
        <v>30</v>
      </c>
      <c r="N15" t="s">
        <v>1519</v>
      </c>
      <c r="R15" t="s">
        <v>146</v>
      </c>
      <c r="S15" t="s">
        <v>1528</v>
      </c>
      <c r="T15" t="s">
        <v>1557</v>
      </c>
      <c r="U15" t="s">
        <v>10</v>
      </c>
      <c r="V15" t="s">
        <v>20</v>
      </c>
      <c r="W15" t="s">
        <v>449</v>
      </c>
      <c r="X15" t="s">
        <v>1552</v>
      </c>
    </row>
    <row r="16" spans="2:25">
      <c r="B16" t="s">
        <v>1515</v>
      </c>
      <c r="C16" t="s">
        <v>31</v>
      </c>
      <c r="D16" t="s">
        <v>18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 t="s">
        <v>1520</v>
      </c>
      <c r="R16" t="s">
        <v>146</v>
      </c>
      <c r="S16" t="s">
        <v>1529</v>
      </c>
      <c r="T16" t="s">
        <v>1558</v>
      </c>
      <c r="U16" t="s">
        <v>10</v>
      </c>
      <c r="V16" t="s">
        <v>20</v>
      </c>
      <c r="W16" t="s">
        <v>449</v>
      </c>
      <c r="X16" t="s">
        <v>1552</v>
      </c>
    </row>
    <row r="17" spans="2:25">
      <c r="B17" t="s">
        <v>1521</v>
      </c>
      <c r="C17" t="s">
        <v>31</v>
      </c>
      <c r="D17" t="s">
        <v>18</v>
      </c>
      <c r="G17">
        <v>470.5</v>
      </c>
      <c r="J17">
        <v>470.5</v>
      </c>
      <c r="M17">
        <v>470.5</v>
      </c>
      <c r="N17" t="s">
        <v>1516</v>
      </c>
      <c r="R17" t="s">
        <v>146</v>
      </c>
      <c r="S17" t="s">
        <v>1530</v>
      </c>
      <c r="T17" t="s">
        <v>1559</v>
      </c>
      <c r="U17" t="s">
        <v>10</v>
      </c>
      <c r="V17" t="s">
        <v>20</v>
      </c>
      <c r="W17" t="s">
        <v>449</v>
      </c>
      <c r="X17" t="s">
        <v>1552</v>
      </c>
    </row>
    <row r="18" spans="2:25">
      <c r="B18" t="s">
        <v>1521</v>
      </c>
      <c r="C18" t="s">
        <v>31</v>
      </c>
      <c r="D18" t="s">
        <v>18</v>
      </c>
      <c r="G18">
        <v>18.8</v>
      </c>
      <c r="J18">
        <v>18.8</v>
      </c>
      <c r="M18">
        <v>18.8</v>
      </c>
      <c r="N18" t="s">
        <v>1517</v>
      </c>
      <c r="R18" t="s">
        <v>146</v>
      </c>
      <c r="S18" t="s">
        <v>1531</v>
      </c>
      <c r="T18" t="s">
        <v>1560</v>
      </c>
      <c r="U18" t="s">
        <v>10</v>
      </c>
      <c r="V18" t="s">
        <v>20</v>
      </c>
      <c r="W18" t="s">
        <v>449</v>
      </c>
      <c r="X18" t="s">
        <v>1552</v>
      </c>
    </row>
    <row r="19" spans="2:25">
      <c r="B19" t="s">
        <v>1521</v>
      </c>
      <c r="C19" t="s">
        <v>31</v>
      </c>
      <c r="D19" t="s">
        <v>18</v>
      </c>
      <c r="G19">
        <v>6.9408000000000003</v>
      </c>
      <c r="J19">
        <v>6.9408000000000003</v>
      </c>
      <c r="M19">
        <v>6.9408000000000003</v>
      </c>
      <c r="N19" t="s">
        <v>1518</v>
      </c>
      <c r="R19" t="s">
        <v>146</v>
      </c>
      <c r="S19" t="s">
        <v>1532</v>
      </c>
      <c r="T19" t="s">
        <v>1561</v>
      </c>
      <c r="U19" t="s">
        <v>10</v>
      </c>
      <c r="V19" t="s">
        <v>20</v>
      </c>
      <c r="W19" t="s">
        <v>449</v>
      </c>
      <c r="X19" t="s">
        <v>1552</v>
      </c>
    </row>
    <row r="20" spans="2:25">
      <c r="B20" t="s">
        <v>1521</v>
      </c>
      <c r="C20" t="s">
        <v>31</v>
      </c>
      <c r="D20" t="s">
        <v>18</v>
      </c>
      <c r="G20">
        <v>0.41</v>
      </c>
      <c r="J20">
        <v>0.42</v>
      </c>
      <c r="M20">
        <v>0.42</v>
      </c>
      <c r="N20" t="s">
        <v>115</v>
      </c>
      <c r="R20" t="s">
        <v>146</v>
      </c>
      <c r="S20" t="s">
        <v>1533</v>
      </c>
      <c r="T20" t="s">
        <v>1562</v>
      </c>
      <c r="U20" t="s">
        <v>10</v>
      </c>
      <c r="V20" t="s">
        <v>20</v>
      </c>
      <c r="W20" t="s">
        <v>449</v>
      </c>
      <c r="X20" t="s">
        <v>1552</v>
      </c>
    </row>
    <row r="21" spans="2:25">
      <c r="B21" t="s">
        <v>1521</v>
      </c>
      <c r="C21" t="s">
        <v>31</v>
      </c>
      <c r="D21" t="s">
        <v>18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>
        <v>30</v>
      </c>
      <c r="L21">
        <v>30</v>
      </c>
      <c r="M21">
        <v>30</v>
      </c>
      <c r="N21" t="s">
        <v>1519</v>
      </c>
      <c r="R21" t="s">
        <v>146</v>
      </c>
      <c r="S21" t="s">
        <v>1534</v>
      </c>
      <c r="T21" t="s">
        <v>1563</v>
      </c>
      <c r="U21" t="s">
        <v>10</v>
      </c>
      <c r="V21" t="s">
        <v>20</v>
      </c>
      <c r="W21" t="s">
        <v>449</v>
      </c>
      <c r="X21" t="s">
        <v>1552</v>
      </c>
    </row>
    <row r="22" spans="2:25">
      <c r="B22" t="s">
        <v>1521</v>
      </c>
      <c r="C22" t="s">
        <v>31</v>
      </c>
      <c r="D22" t="s">
        <v>18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2</v>
      </c>
      <c r="N22" t="s">
        <v>1520</v>
      </c>
      <c r="R22" t="s">
        <v>1554</v>
      </c>
      <c r="S22" t="s">
        <v>1536</v>
      </c>
      <c r="T22" t="s">
        <v>1564</v>
      </c>
      <c r="U22" t="s">
        <v>10</v>
      </c>
      <c r="V22" t="s">
        <v>20</v>
      </c>
      <c r="W22" t="s">
        <v>449</v>
      </c>
      <c r="X22" t="s">
        <v>1552</v>
      </c>
    </row>
    <row r="23" spans="2:25">
      <c r="B23" t="s">
        <v>1522</v>
      </c>
      <c r="C23" t="s">
        <v>31</v>
      </c>
      <c r="D23" t="s">
        <v>1523</v>
      </c>
      <c r="E23">
        <v>967.6</v>
      </c>
      <c r="I23">
        <v>912.6</v>
      </c>
      <c r="M23">
        <v>879.6</v>
      </c>
      <c r="N23" t="s">
        <v>1516</v>
      </c>
      <c r="R23" t="s">
        <v>1565</v>
      </c>
      <c r="S23" t="s">
        <v>1537</v>
      </c>
      <c r="T23" t="s">
        <v>1566</v>
      </c>
      <c r="U23" t="s">
        <v>10</v>
      </c>
      <c r="V23" t="s">
        <v>20</v>
      </c>
      <c r="W23" t="s">
        <v>1567</v>
      </c>
      <c r="X23" t="s">
        <v>1552</v>
      </c>
    </row>
    <row r="24" spans="2:25">
      <c r="B24" t="s">
        <v>1522</v>
      </c>
      <c r="C24" t="s">
        <v>31</v>
      </c>
      <c r="D24" t="s">
        <v>1523</v>
      </c>
      <c r="E24">
        <v>32.200000000000003</v>
      </c>
      <c r="I24">
        <v>30.6</v>
      </c>
      <c r="M24">
        <v>28.6</v>
      </c>
      <c r="N24" t="s">
        <v>1517</v>
      </c>
      <c r="R24" t="s">
        <v>1565</v>
      </c>
      <c r="S24" t="s">
        <v>1538</v>
      </c>
      <c r="T24" t="s">
        <v>1568</v>
      </c>
      <c r="U24" t="s">
        <v>10</v>
      </c>
      <c r="V24" t="s">
        <v>20</v>
      </c>
      <c r="W24" t="s">
        <v>1567</v>
      </c>
      <c r="X24" t="s">
        <v>1552</v>
      </c>
    </row>
    <row r="25" spans="2:25">
      <c r="B25" t="s">
        <v>1522</v>
      </c>
      <c r="C25" t="s">
        <v>31</v>
      </c>
      <c r="D25" t="s">
        <v>1523</v>
      </c>
      <c r="E25">
        <v>4.68</v>
      </c>
      <c r="I25">
        <v>4.68</v>
      </c>
      <c r="M25">
        <v>4.32</v>
      </c>
      <c r="N25" t="s">
        <v>1518</v>
      </c>
      <c r="R25" t="s">
        <v>1565</v>
      </c>
      <c r="S25" t="s">
        <v>1539</v>
      </c>
      <c r="T25" t="s">
        <v>1569</v>
      </c>
      <c r="U25" t="s">
        <v>10</v>
      </c>
      <c r="V25" t="s">
        <v>20</v>
      </c>
      <c r="W25" t="s">
        <v>1567</v>
      </c>
      <c r="X25" t="s">
        <v>1552</v>
      </c>
    </row>
    <row r="26" spans="2:25">
      <c r="B26" t="s">
        <v>1522</v>
      </c>
      <c r="C26" t="s">
        <v>31</v>
      </c>
      <c r="D26" t="s">
        <v>1523</v>
      </c>
      <c r="E26">
        <v>0.56000000000000005</v>
      </c>
      <c r="I26">
        <v>0.57999999999999996</v>
      </c>
      <c r="M26">
        <v>0.6</v>
      </c>
      <c r="N26" t="s">
        <v>115</v>
      </c>
      <c r="R26" t="s">
        <v>1565</v>
      </c>
      <c r="S26" t="s">
        <v>1540</v>
      </c>
      <c r="T26" t="s">
        <v>1570</v>
      </c>
      <c r="U26" t="s">
        <v>10</v>
      </c>
      <c r="V26" t="s">
        <v>20</v>
      </c>
      <c r="W26" t="s">
        <v>1567</v>
      </c>
      <c r="X26" t="s">
        <v>1552</v>
      </c>
    </row>
    <row r="27" spans="2:25">
      <c r="B27" t="s">
        <v>1522</v>
      </c>
      <c r="C27" t="s">
        <v>31</v>
      </c>
      <c r="D27" t="s">
        <v>1523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25</v>
      </c>
      <c r="N27" t="s">
        <v>1519</v>
      </c>
      <c r="R27" t="s">
        <v>66</v>
      </c>
      <c r="S27" t="s">
        <v>1541</v>
      </c>
      <c r="T27" t="s">
        <v>1571</v>
      </c>
      <c r="U27" t="s">
        <v>10</v>
      </c>
      <c r="V27" t="s">
        <v>20</v>
      </c>
      <c r="W27" t="s">
        <v>449</v>
      </c>
      <c r="X27" t="s">
        <v>1552</v>
      </c>
      <c r="Y27" t="s">
        <v>448</v>
      </c>
    </row>
    <row r="28" spans="2:25">
      <c r="B28" t="s">
        <v>1522</v>
      </c>
      <c r="C28" t="s">
        <v>31</v>
      </c>
      <c r="D28" t="s">
        <v>1523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 t="s">
        <v>1520</v>
      </c>
      <c r="R28" t="s">
        <v>66</v>
      </c>
      <c r="S28" t="s">
        <v>1547</v>
      </c>
      <c r="T28" t="s">
        <v>1572</v>
      </c>
      <c r="U28" t="s">
        <v>10</v>
      </c>
      <c r="V28" t="s">
        <v>20</v>
      </c>
      <c r="W28" t="s">
        <v>449</v>
      </c>
      <c r="X28" t="s">
        <v>1552</v>
      </c>
      <c r="Y28" t="s">
        <v>448</v>
      </c>
    </row>
    <row r="29" spans="2:25">
      <c r="B29" t="s">
        <v>1522</v>
      </c>
      <c r="C29" t="s">
        <v>31</v>
      </c>
      <c r="D29" t="s">
        <v>1523</v>
      </c>
      <c r="E29">
        <v>0.55559999999999998</v>
      </c>
      <c r="I29">
        <v>0.5</v>
      </c>
      <c r="M29">
        <v>0.45450000000000002</v>
      </c>
      <c r="N29" t="s">
        <v>1524</v>
      </c>
      <c r="R29" t="s">
        <v>1554</v>
      </c>
      <c r="S29" t="s">
        <v>1548</v>
      </c>
      <c r="T29" t="s">
        <v>1573</v>
      </c>
      <c r="U29" t="s">
        <v>10</v>
      </c>
      <c r="V29" t="s">
        <v>20</v>
      </c>
      <c r="W29" t="s">
        <v>449</v>
      </c>
      <c r="X29" t="s">
        <v>1552</v>
      </c>
    </row>
    <row r="30" spans="2:25">
      <c r="B30" t="s">
        <v>1522</v>
      </c>
      <c r="C30" t="s">
        <v>31</v>
      </c>
      <c r="D30" t="s">
        <v>1523</v>
      </c>
      <c r="E30">
        <v>0.15</v>
      </c>
      <c r="I30">
        <v>0.15</v>
      </c>
      <c r="M30">
        <v>0.15</v>
      </c>
      <c r="N30" t="s">
        <v>1525</v>
      </c>
    </row>
    <row r="31" spans="2:25">
      <c r="B31" t="s">
        <v>1526</v>
      </c>
      <c r="C31" t="s">
        <v>31</v>
      </c>
      <c r="D31" t="s">
        <v>1527</v>
      </c>
      <c r="G31">
        <v>2917</v>
      </c>
      <c r="J31">
        <v>2681.7</v>
      </c>
      <c r="M31">
        <v>2399.5</v>
      </c>
      <c r="N31" t="s">
        <v>1516</v>
      </c>
    </row>
    <row r="32" spans="2:25">
      <c r="B32" t="s">
        <v>1526</v>
      </c>
      <c r="C32" t="s">
        <v>31</v>
      </c>
      <c r="D32" t="s">
        <v>1527</v>
      </c>
      <c r="G32">
        <v>70.599999999999994</v>
      </c>
      <c r="J32">
        <v>65.900000000000006</v>
      </c>
      <c r="M32">
        <v>61.2</v>
      </c>
      <c r="N32" t="s">
        <v>1517</v>
      </c>
    </row>
    <row r="33" spans="2:14">
      <c r="B33" t="s">
        <v>1526</v>
      </c>
      <c r="C33" t="s">
        <v>31</v>
      </c>
      <c r="D33" t="s">
        <v>1527</v>
      </c>
      <c r="G33">
        <v>4.6584000000000003</v>
      </c>
      <c r="J33">
        <v>3.9815999999999998</v>
      </c>
      <c r="M33">
        <v>3.5604</v>
      </c>
      <c r="N33" t="s">
        <v>1518</v>
      </c>
    </row>
    <row r="34" spans="2:14">
      <c r="B34" t="s">
        <v>1526</v>
      </c>
      <c r="C34" t="s">
        <v>31</v>
      </c>
      <c r="D34" t="s">
        <v>1527</v>
      </c>
      <c r="G34">
        <v>0.52</v>
      </c>
      <c r="J34">
        <v>0.54</v>
      </c>
      <c r="M34">
        <v>0.54</v>
      </c>
      <c r="N34" t="s">
        <v>115</v>
      </c>
    </row>
    <row r="35" spans="2:14">
      <c r="B35" t="s">
        <v>1526</v>
      </c>
      <c r="C35" t="s">
        <v>31</v>
      </c>
      <c r="D35" t="s">
        <v>1527</v>
      </c>
      <c r="E35">
        <v>30</v>
      </c>
      <c r="F35">
        <v>30</v>
      </c>
      <c r="G35">
        <v>30</v>
      </c>
      <c r="H35">
        <v>30</v>
      </c>
      <c r="I35">
        <v>30</v>
      </c>
      <c r="J35">
        <v>30</v>
      </c>
      <c r="K35">
        <v>30</v>
      </c>
      <c r="L35">
        <v>30</v>
      </c>
      <c r="M35">
        <v>30</v>
      </c>
      <c r="N35" t="s">
        <v>1519</v>
      </c>
    </row>
    <row r="36" spans="2:14">
      <c r="B36" t="s">
        <v>1526</v>
      </c>
      <c r="C36" t="s">
        <v>31</v>
      </c>
      <c r="D36" t="s">
        <v>1527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 t="s">
        <v>1520</v>
      </c>
    </row>
    <row r="37" spans="2:14">
      <c r="B37" t="s">
        <v>1528</v>
      </c>
      <c r="C37" t="s">
        <v>30</v>
      </c>
      <c r="D37" t="s">
        <v>18</v>
      </c>
      <c r="G37">
        <v>1693.7</v>
      </c>
      <c r="J37">
        <v>1693.7</v>
      </c>
      <c r="M37">
        <v>1693.7</v>
      </c>
      <c r="N37" t="s">
        <v>1516</v>
      </c>
    </row>
    <row r="38" spans="2:14">
      <c r="B38" t="s">
        <v>1528</v>
      </c>
      <c r="C38" t="s">
        <v>30</v>
      </c>
      <c r="D38" t="s">
        <v>18</v>
      </c>
      <c r="G38">
        <v>42.3</v>
      </c>
      <c r="J38">
        <v>42.3</v>
      </c>
      <c r="M38">
        <v>42.3</v>
      </c>
      <c r="N38" t="s">
        <v>1517</v>
      </c>
    </row>
    <row r="39" spans="2:14">
      <c r="B39" t="s">
        <v>1528</v>
      </c>
      <c r="C39" t="s">
        <v>30</v>
      </c>
      <c r="D39" t="s">
        <v>18</v>
      </c>
      <c r="G39">
        <v>8.4995999999999992</v>
      </c>
      <c r="J39">
        <v>8.4995999999999992</v>
      </c>
      <c r="M39">
        <v>8.4995999999999992</v>
      </c>
      <c r="N39" t="s">
        <v>1518</v>
      </c>
    </row>
    <row r="40" spans="2:14">
      <c r="B40" t="s">
        <v>1528</v>
      </c>
      <c r="C40" t="s">
        <v>30</v>
      </c>
      <c r="D40" t="s">
        <v>18</v>
      </c>
      <c r="G40">
        <v>0.39</v>
      </c>
      <c r="J40">
        <v>0.39</v>
      </c>
      <c r="M40">
        <v>0.39</v>
      </c>
      <c r="N40" t="s">
        <v>115</v>
      </c>
    </row>
    <row r="41" spans="2:14">
      <c r="B41" t="s">
        <v>1528</v>
      </c>
      <c r="C41" t="s">
        <v>30</v>
      </c>
      <c r="D41" t="s">
        <v>18</v>
      </c>
      <c r="E41">
        <v>40</v>
      </c>
      <c r="F41">
        <v>40</v>
      </c>
      <c r="G41">
        <v>40</v>
      </c>
      <c r="H41">
        <v>40</v>
      </c>
      <c r="I41">
        <v>40</v>
      </c>
      <c r="J41">
        <v>40</v>
      </c>
      <c r="K41">
        <v>40</v>
      </c>
      <c r="L41">
        <v>40</v>
      </c>
      <c r="M41">
        <v>40</v>
      </c>
      <c r="N41" t="s">
        <v>1519</v>
      </c>
    </row>
    <row r="42" spans="2:14">
      <c r="B42" t="s">
        <v>1528</v>
      </c>
      <c r="C42" t="s">
        <v>30</v>
      </c>
      <c r="D42" t="s">
        <v>18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 t="s">
        <v>1520</v>
      </c>
    </row>
    <row r="43" spans="2:14">
      <c r="B43" t="s">
        <v>1529</v>
      </c>
      <c r="C43" t="s">
        <v>30</v>
      </c>
      <c r="D43" t="s">
        <v>18</v>
      </c>
      <c r="G43">
        <v>1976</v>
      </c>
      <c r="J43">
        <v>1976</v>
      </c>
      <c r="M43">
        <v>1976</v>
      </c>
      <c r="N43" t="s">
        <v>1516</v>
      </c>
    </row>
    <row r="44" spans="2:14">
      <c r="B44" t="s">
        <v>1529</v>
      </c>
      <c r="C44" t="s">
        <v>30</v>
      </c>
      <c r="D44" t="s">
        <v>18</v>
      </c>
      <c r="G44">
        <v>61.2</v>
      </c>
      <c r="J44">
        <v>61.2</v>
      </c>
      <c r="M44">
        <v>61.2</v>
      </c>
      <c r="N44" t="s">
        <v>1517</v>
      </c>
    </row>
    <row r="45" spans="2:14">
      <c r="B45" t="s">
        <v>1529</v>
      </c>
      <c r="C45" t="s">
        <v>30</v>
      </c>
      <c r="D45" t="s">
        <v>18</v>
      </c>
      <c r="G45">
        <v>9.18</v>
      </c>
      <c r="J45">
        <v>8.7911999999999999</v>
      </c>
      <c r="M45">
        <v>8.3412000000000006</v>
      </c>
      <c r="N45" t="s">
        <v>1518</v>
      </c>
    </row>
    <row r="46" spans="2:14">
      <c r="B46" t="s">
        <v>1529</v>
      </c>
      <c r="C46" t="s">
        <v>30</v>
      </c>
      <c r="D46" t="s">
        <v>18</v>
      </c>
      <c r="G46">
        <v>0.43</v>
      </c>
      <c r="J46">
        <v>0.43</v>
      </c>
      <c r="M46">
        <v>0.43</v>
      </c>
      <c r="N46" t="s">
        <v>115</v>
      </c>
    </row>
    <row r="47" spans="2:14">
      <c r="B47" t="s">
        <v>1529</v>
      </c>
      <c r="C47" t="s">
        <v>30</v>
      </c>
      <c r="D47" t="s">
        <v>18</v>
      </c>
      <c r="E47">
        <v>40</v>
      </c>
      <c r="F47">
        <v>40</v>
      </c>
      <c r="G47">
        <v>40</v>
      </c>
      <c r="H47">
        <v>40</v>
      </c>
      <c r="I47">
        <v>40</v>
      </c>
      <c r="J47">
        <v>40</v>
      </c>
      <c r="K47">
        <v>40</v>
      </c>
      <c r="L47">
        <v>40</v>
      </c>
      <c r="M47">
        <v>40</v>
      </c>
      <c r="N47" t="s">
        <v>1519</v>
      </c>
    </row>
    <row r="48" spans="2:14">
      <c r="B48" t="s">
        <v>1529</v>
      </c>
      <c r="C48" t="s">
        <v>30</v>
      </c>
      <c r="D48" t="s">
        <v>18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 t="s">
        <v>1520</v>
      </c>
    </row>
    <row r="49" spans="2:14">
      <c r="B49" t="s">
        <v>1530</v>
      </c>
      <c r="C49" t="s">
        <v>30</v>
      </c>
      <c r="D49" t="s">
        <v>18</v>
      </c>
      <c r="G49">
        <v>2164.1999999999998</v>
      </c>
      <c r="J49">
        <v>2164.1999999999998</v>
      </c>
      <c r="M49">
        <v>2164.1999999999998</v>
      </c>
      <c r="N49" t="s">
        <v>1516</v>
      </c>
    </row>
    <row r="50" spans="2:14">
      <c r="B50" t="s">
        <v>1530</v>
      </c>
      <c r="C50" t="s">
        <v>30</v>
      </c>
      <c r="D50" t="s">
        <v>18</v>
      </c>
      <c r="G50">
        <v>65.900000000000006</v>
      </c>
      <c r="J50">
        <v>65.900000000000006</v>
      </c>
      <c r="M50">
        <v>65.900000000000006</v>
      </c>
      <c r="N50" t="s">
        <v>1517</v>
      </c>
    </row>
    <row r="51" spans="2:14">
      <c r="B51" t="s">
        <v>1530</v>
      </c>
      <c r="C51" t="s">
        <v>30</v>
      </c>
      <c r="D51" t="s">
        <v>18</v>
      </c>
      <c r="G51">
        <v>9.5004000000000008</v>
      </c>
      <c r="J51">
        <v>9.5004000000000008</v>
      </c>
      <c r="M51">
        <v>9.5004000000000008</v>
      </c>
      <c r="N51" t="s">
        <v>1518</v>
      </c>
    </row>
    <row r="52" spans="2:14">
      <c r="B52" t="s">
        <v>1530</v>
      </c>
      <c r="C52" t="s">
        <v>30</v>
      </c>
      <c r="D52" t="s">
        <v>18</v>
      </c>
      <c r="G52">
        <v>0.46</v>
      </c>
      <c r="J52">
        <v>0.47</v>
      </c>
      <c r="M52">
        <v>0.48</v>
      </c>
      <c r="N52" t="s">
        <v>115</v>
      </c>
    </row>
    <row r="53" spans="2:14">
      <c r="B53" t="s">
        <v>1530</v>
      </c>
      <c r="C53" t="s">
        <v>30</v>
      </c>
      <c r="D53" t="s">
        <v>18</v>
      </c>
      <c r="E53">
        <v>40</v>
      </c>
      <c r="F53">
        <v>40</v>
      </c>
      <c r="G53">
        <v>40</v>
      </c>
      <c r="H53">
        <v>40</v>
      </c>
      <c r="I53">
        <v>40</v>
      </c>
      <c r="J53">
        <v>40</v>
      </c>
      <c r="K53">
        <v>40</v>
      </c>
      <c r="L53">
        <v>40</v>
      </c>
      <c r="M53">
        <v>40</v>
      </c>
      <c r="N53" t="s">
        <v>1519</v>
      </c>
    </row>
    <row r="54" spans="2:14">
      <c r="B54" t="s">
        <v>1530</v>
      </c>
      <c r="C54" t="s">
        <v>30</v>
      </c>
      <c r="D54" t="s">
        <v>18</v>
      </c>
      <c r="E54">
        <v>4</v>
      </c>
      <c r="F54">
        <v>4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 t="s">
        <v>1520</v>
      </c>
    </row>
    <row r="55" spans="2:14">
      <c r="B55" t="s">
        <v>1531</v>
      </c>
      <c r="C55" t="s">
        <v>30</v>
      </c>
      <c r="D55" t="s">
        <v>18</v>
      </c>
      <c r="G55">
        <v>2446.5</v>
      </c>
      <c r="J55">
        <v>2258.3000000000002</v>
      </c>
      <c r="M55">
        <v>2258.3000000000002</v>
      </c>
      <c r="N55" t="s">
        <v>1516</v>
      </c>
    </row>
    <row r="56" spans="2:14">
      <c r="B56" t="s">
        <v>1531</v>
      </c>
      <c r="C56" t="s">
        <v>30</v>
      </c>
      <c r="D56" t="s">
        <v>18</v>
      </c>
      <c r="G56">
        <v>84.7</v>
      </c>
      <c r="J56">
        <v>80</v>
      </c>
      <c r="M56">
        <v>80</v>
      </c>
      <c r="N56" t="s">
        <v>1517</v>
      </c>
    </row>
    <row r="57" spans="2:14">
      <c r="B57" t="s">
        <v>1531</v>
      </c>
      <c r="C57" t="s">
        <v>30</v>
      </c>
      <c r="D57" t="s">
        <v>18</v>
      </c>
      <c r="G57">
        <v>0.46</v>
      </c>
      <c r="J57">
        <v>0.49</v>
      </c>
      <c r="M57">
        <v>0.5</v>
      </c>
      <c r="N57" t="s">
        <v>115</v>
      </c>
    </row>
    <row r="58" spans="2:14">
      <c r="B58" t="s">
        <v>1531</v>
      </c>
      <c r="C58" t="s">
        <v>30</v>
      </c>
      <c r="D58" t="s">
        <v>18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>
        <v>40</v>
      </c>
      <c r="L58">
        <v>40</v>
      </c>
      <c r="M58">
        <v>40</v>
      </c>
      <c r="N58" t="s">
        <v>1519</v>
      </c>
    </row>
    <row r="59" spans="2:14">
      <c r="B59" t="s">
        <v>1531</v>
      </c>
      <c r="C59" t="s">
        <v>30</v>
      </c>
      <c r="D59" t="s">
        <v>18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>
        <v>4</v>
      </c>
      <c r="L59">
        <v>4</v>
      </c>
      <c r="M59">
        <v>4</v>
      </c>
      <c r="N59" t="s">
        <v>1520</v>
      </c>
    </row>
    <row r="60" spans="2:14">
      <c r="B60" t="s">
        <v>1532</v>
      </c>
      <c r="C60" t="s">
        <v>34</v>
      </c>
      <c r="D60" t="s">
        <v>18</v>
      </c>
      <c r="G60">
        <v>4704.8</v>
      </c>
      <c r="J60">
        <v>4422.5</v>
      </c>
      <c r="M60">
        <v>4234.3</v>
      </c>
      <c r="N60" t="s">
        <v>1516</v>
      </c>
    </row>
    <row r="61" spans="2:14">
      <c r="B61" t="s">
        <v>1532</v>
      </c>
      <c r="C61" t="s">
        <v>34</v>
      </c>
      <c r="D61" t="s">
        <v>18</v>
      </c>
      <c r="G61">
        <v>164.7</v>
      </c>
      <c r="J61">
        <v>164.7</v>
      </c>
      <c r="M61">
        <v>164.7</v>
      </c>
      <c r="N61" t="s">
        <v>1517</v>
      </c>
    </row>
    <row r="62" spans="2:14">
      <c r="B62" t="s">
        <v>1532</v>
      </c>
      <c r="C62" t="s">
        <v>34</v>
      </c>
      <c r="D62" t="s">
        <v>18</v>
      </c>
      <c r="J62">
        <v>2.8008000000000002</v>
      </c>
      <c r="M62">
        <v>2.8008000000000002</v>
      </c>
      <c r="N62" t="s">
        <v>1518</v>
      </c>
    </row>
    <row r="63" spans="2:14">
      <c r="B63" t="s">
        <v>1532</v>
      </c>
      <c r="C63" t="s">
        <v>34</v>
      </c>
      <c r="D63" t="s">
        <v>18</v>
      </c>
      <c r="E63">
        <v>60</v>
      </c>
      <c r="F63">
        <v>60</v>
      </c>
      <c r="G63">
        <v>60</v>
      </c>
      <c r="H63">
        <v>60</v>
      </c>
      <c r="I63">
        <v>60</v>
      </c>
      <c r="J63">
        <v>60</v>
      </c>
      <c r="K63">
        <v>60</v>
      </c>
      <c r="L63">
        <v>60</v>
      </c>
      <c r="M63">
        <v>60</v>
      </c>
      <c r="N63" t="s">
        <v>1519</v>
      </c>
    </row>
    <row r="64" spans="2:14">
      <c r="B64" t="s">
        <v>1532</v>
      </c>
      <c r="C64" t="s">
        <v>34</v>
      </c>
      <c r="D64" t="s">
        <v>18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 t="s">
        <v>1520</v>
      </c>
    </row>
    <row r="65" spans="2:14">
      <c r="B65" t="s">
        <v>1533</v>
      </c>
      <c r="C65" t="s">
        <v>34</v>
      </c>
      <c r="D65" t="s">
        <v>18</v>
      </c>
      <c r="I65">
        <v>9650</v>
      </c>
      <c r="J65">
        <v>7863</v>
      </c>
      <c r="K65">
        <v>6373.8</v>
      </c>
      <c r="L65">
        <v>5480.2</v>
      </c>
      <c r="M65">
        <v>4884.6000000000004</v>
      </c>
      <c r="N65" t="s">
        <v>1516</v>
      </c>
    </row>
    <row r="66" spans="2:14">
      <c r="B66" t="s">
        <v>1533</v>
      </c>
      <c r="C66" t="s">
        <v>34</v>
      </c>
      <c r="D66" t="s">
        <v>18</v>
      </c>
      <c r="I66">
        <v>136</v>
      </c>
      <c r="J66">
        <v>136</v>
      </c>
      <c r="K66">
        <v>136</v>
      </c>
      <c r="L66">
        <v>136</v>
      </c>
      <c r="M66">
        <v>136</v>
      </c>
      <c r="N66" t="s">
        <v>1517</v>
      </c>
    </row>
    <row r="67" spans="2:14">
      <c r="B67" t="s">
        <v>1533</v>
      </c>
      <c r="C67" t="s">
        <v>34</v>
      </c>
      <c r="D67" t="s">
        <v>18</v>
      </c>
      <c r="I67">
        <v>2.5992000000000002</v>
      </c>
      <c r="J67">
        <v>2.5992000000000002</v>
      </c>
      <c r="K67">
        <v>2.5992000000000002</v>
      </c>
      <c r="L67">
        <v>2.5992000000000002</v>
      </c>
      <c r="M67">
        <v>2.5992000000000002</v>
      </c>
      <c r="N67" t="s">
        <v>1518</v>
      </c>
    </row>
    <row r="68" spans="2:14">
      <c r="B68" t="s">
        <v>1533</v>
      </c>
      <c r="C68" t="s">
        <v>34</v>
      </c>
      <c r="D68" t="s">
        <v>18</v>
      </c>
      <c r="E68">
        <v>40</v>
      </c>
      <c r="F68">
        <v>40</v>
      </c>
      <c r="G68">
        <v>40</v>
      </c>
      <c r="H68">
        <v>40</v>
      </c>
      <c r="I68">
        <v>40</v>
      </c>
      <c r="J68">
        <v>40</v>
      </c>
      <c r="K68">
        <v>40</v>
      </c>
      <c r="L68">
        <v>40</v>
      </c>
      <c r="M68">
        <v>40</v>
      </c>
      <c r="N68" t="s">
        <v>1519</v>
      </c>
    </row>
    <row r="69" spans="2:14">
      <c r="B69" t="s">
        <v>1533</v>
      </c>
      <c r="C69" t="s">
        <v>34</v>
      </c>
      <c r="D69" t="s">
        <v>18</v>
      </c>
      <c r="E69">
        <v>3</v>
      </c>
      <c r="F69">
        <v>3</v>
      </c>
      <c r="G69">
        <v>3</v>
      </c>
      <c r="H69">
        <v>3</v>
      </c>
      <c r="I69">
        <v>3</v>
      </c>
      <c r="J69">
        <v>3</v>
      </c>
      <c r="K69">
        <v>3</v>
      </c>
      <c r="L69">
        <v>3</v>
      </c>
      <c r="M69">
        <v>3</v>
      </c>
      <c r="N69" t="s">
        <v>1520</v>
      </c>
    </row>
    <row r="70" spans="2:14">
      <c r="B70" t="s">
        <v>1534</v>
      </c>
      <c r="C70" t="s">
        <v>29</v>
      </c>
      <c r="D70" t="s">
        <v>18</v>
      </c>
      <c r="G70">
        <v>2352.4</v>
      </c>
      <c r="J70">
        <v>2305.4</v>
      </c>
      <c r="M70">
        <v>2258.3000000000002</v>
      </c>
      <c r="N70" t="s">
        <v>1516</v>
      </c>
    </row>
    <row r="71" spans="2:14">
      <c r="B71" t="s">
        <v>1534</v>
      </c>
      <c r="C71" t="s">
        <v>29</v>
      </c>
      <c r="D71" t="s">
        <v>18</v>
      </c>
      <c r="G71">
        <v>84.7</v>
      </c>
      <c r="J71">
        <v>80</v>
      </c>
      <c r="M71">
        <v>80</v>
      </c>
      <c r="N71" t="s">
        <v>1517</v>
      </c>
    </row>
    <row r="72" spans="2:14">
      <c r="B72" t="s">
        <v>1534</v>
      </c>
      <c r="C72" t="s">
        <v>29</v>
      </c>
      <c r="D72" t="s">
        <v>18</v>
      </c>
      <c r="G72">
        <v>5.2451999999999996</v>
      </c>
      <c r="J72">
        <v>5.2451999999999996</v>
      </c>
      <c r="M72">
        <v>5.2451999999999996</v>
      </c>
      <c r="N72" t="s">
        <v>1518</v>
      </c>
    </row>
    <row r="73" spans="2:14">
      <c r="B73" t="s">
        <v>1534</v>
      </c>
      <c r="C73" t="s">
        <v>29</v>
      </c>
      <c r="D73" t="s">
        <v>18</v>
      </c>
      <c r="G73">
        <v>0.35</v>
      </c>
      <c r="J73">
        <v>0.35</v>
      </c>
      <c r="M73">
        <v>0.35</v>
      </c>
      <c r="N73" t="s">
        <v>115</v>
      </c>
    </row>
    <row r="74" spans="2:14">
      <c r="B74" t="s">
        <v>1534</v>
      </c>
      <c r="C74" t="s">
        <v>29</v>
      </c>
      <c r="D74" t="s">
        <v>18</v>
      </c>
      <c r="G74">
        <v>0.5</v>
      </c>
      <c r="J74">
        <v>0.5</v>
      </c>
      <c r="M74">
        <v>0.5</v>
      </c>
      <c r="N74" t="s">
        <v>1535</v>
      </c>
    </row>
    <row r="75" spans="2:14">
      <c r="B75" t="s">
        <v>1534</v>
      </c>
      <c r="C75" t="s">
        <v>29</v>
      </c>
      <c r="D75" t="s">
        <v>18</v>
      </c>
      <c r="E75">
        <v>45</v>
      </c>
      <c r="F75">
        <v>45</v>
      </c>
      <c r="G75">
        <v>45</v>
      </c>
      <c r="H75">
        <v>45</v>
      </c>
      <c r="I75">
        <v>45</v>
      </c>
      <c r="J75">
        <v>45</v>
      </c>
      <c r="K75">
        <v>45</v>
      </c>
      <c r="L75">
        <v>45</v>
      </c>
      <c r="M75">
        <v>45</v>
      </c>
      <c r="N75" t="s">
        <v>1519</v>
      </c>
    </row>
    <row r="76" spans="2:14">
      <c r="B76" t="s">
        <v>1534</v>
      </c>
      <c r="C76" t="s">
        <v>29</v>
      </c>
      <c r="D76" t="s">
        <v>18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  <c r="K76">
        <v>3</v>
      </c>
      <c r="L76">
        <v>3</v>
      </c>
      <c r="M76">
        <v>3</v>
      </c>
      <c r="N76" t="s">
        <v>1520</v>
      </c>
    </row>
    <row r="77" spans="2:14">
      <c r="B77" t="s">
        <v>1536</v>
      </c>
      <c r="C77" t="s">
        <v>29</v>
      </c>
      <c r="D77" t="s">
        <v>1523</v>
      </c>
      <c r="E77">
        <v>2968.8</v>
      </c>
      <c r="I77">
        <v>2852.9</v>
      </c>
      <c r="M77">
        <v>2702.2</v>
      </c>
      <c r="N77" t="s">
        <v>1516</v>
      </c>
    </row>
    <row r="78" spans="2:14">
      <c r="B78" t="s">
        <v>1536</v>
      </c>
      <c r="C78" t="s">
        <v>29</v>
      </c>
      <c r="D78" t="s">
        <v>1523</v>
      </c>
      <c r="E78">
        <v>81.900000000000006</v>
      </c>
      <c r="I78">
        <v>76.099999999999994</v>
      </c>
      <c r="M78">
        <v>72.8</v>
      </c>
      <c r="N78" t="s">
        <v>1517</v>
      </c>
    </row>
    <row r="79" spans="2:14">
      <c r="B79" t="s">
        <v>1536</v>
      </c>
      <c r="C79" t="s">
        <v>29</v>
      </c>
      <c r="D79" t="s">
        <v>1523</v>
      </c>
      <c r="E79">
        <v>3.24</v>
      </c>
      <c r="I79">
        <v>3.24</v>
      </c>
      <c r="M79">
        <v>3.24</v>
      </c>
      <c r="N79" t="s">
        <v>1518</v>
      </c>
    </row>
    <row r="80" spans="2:14">
      <c r="B80" t="s">
        <v>1536</v>
      </c>
      <c r="C80" t="s">
        <v>29</v>
      </c>
      <c r="D80" t="s">
        <v>1523</v>
      </c>
      <c r="E80">
        <v>0.40899999999999997</v>
      </c>
      <c r="I80">
        <v>0.41</v>
      </c>
      <c r="M80">
        <v>0.39400000000000002</v>
      </c>
      <c r="N80" t="s">
        <v>115</v>
      </c>
    </row>
    <row r="81" spans="2:14">
      <c r="B81" t="s">
        <v>1536</v>
      </c>
      <c r="C81" t="s">
        <v>29</v>
      </c>
      <c r="D81" t="s">
        <v>1523</v>
      </c>
      <c r="E81">
        <v>25</v>
      </c>
      <c r="F81">
        <v>25</v>
      </c>
      <c r="G81">
        <v>25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</v>
      </c>
      <c r="N81" t="s">
        <v>1519</v>
      </c>
    </row>
    <row r="82" spans="2:14">
      <c r="B82" t="s">
        <v>1536</v>
      </c>
      <c r="C82" t="s">
        <v>29</v>
      </c>
      <c r="D82" t="s">
        <v>1523</v>
      </c>
      <c r="E82">
        <v>2</v>
      </c>
      <c r="F82">
        <v>2</v>
      </c>
      <c r="G82">
        <v>2</v>
      </c>
      <c r="H82">
        <v>2</v>
      </c>
      <c r="I82">
        <v>2</v>
      </c>
      <c r="J82">
        <v>2</v>
      </c>
      <c r="K82">
        <v>2</v>
      </c>
      <c r="L82">
        <v>2</v>
      </c>
      <c r="M82">
        <v>2</v>
      </c>
      <c r="N82" t="s">
        <v>1520</v>
      </c>
    </row>
    <row r="83" spans="2:14">
      <c r="B83" t="s">
        <v>1536</v>
      </c>
      <c r="C83" t="s">
        <v>29</v>
      </c>
      <c r="D83" t="s">
        <v>1523</v>
      </c>
      <c r="E83">
        <v>1.8237000000000001</v>
      </c>
      <c r="I83">
        <v>1.8137000000000001</v>
      </c>
      <c r="M83">
        <v>1.9169</v>
      </c>
      <c r="N83" t="s">
        <v>1524</v>
      </c>
    </row>
    <row r="84" spans="2:14">
      <c r="B84" t="s">
        <v>1536</v>
      </c>
      <c r="C84" t="s">
        <v>29</v>
      </c>
      <c r="D84" t="s">
        <v>1523</v>
      </c>
      <c r="E84">
        <v>0.14000000000000001</v>
      </c>
      <c r="I84">
        <v>0.14000000000000001</v>
      </c>
      <c r="M84">
        <v>0.13</v>
      </c>
      <c r="N84" t="s">
        <v>1525</v>
      </c>
    </row>
    <row r="85" spans="2:14">
      <c r="B85" t="s">
        <v>1537</v>
      </c>
      <c r="C85" t="s">
        <v>31</v>
      </c>
      <c r="D85" t="s">
        <v>1523</v>
      </c>
      <c r="E85">
        <v>66</v>
      </c>
      <c r="I85">
        <v>60.5</v>
      </c>
      <c r="M85">
        <v>60.5</v>
      </c>
      <c r="N85" t="s">
        <v>1516</v>
      </c>
    </row>
    <row r="86" spans="2:14">
      <c r="B86" t="s">
        <v>1537</v>
      </c>
      <c r="C86" t="s">
        <v>31</v>
      </c>
      <c r="D86" t="s">
        <v>1523</v>
      </c>
      <c r="E86">
        <v>2.1</v>
      </c>
      <c r="I86">
        <v>2.2999999999999998</v>
      </c>
      <c r="M86">
        <v>2.1</v>
      </c>
      <c r="N86" t="s">
        <v>1517</v>
      </c>
    </row>
    <row r="87" spans="2:14">
      <c r="B87" t="s">
        <v>1537</v>
      </c>
      <c r="C87" t="s">
        <v>31</v>
      </c>
      <c r="D87" t="s">
        <v>1523</v>
      </c>
      <c r="E87">
        <v>1.08</v>
      </c>
      <c r="I87">
        <v>1.08</v>
      </c>
      <c r="M87">
        <v>1.08</v>
      </c>
      <c r="N87" t="s">
        <v>1518</v>
      </c>
    </row>
    <row r="88" spans="2:14">
      <c r="B88" t="s">
        <v>1537</v>
      </c>
      <c r="C88" t="s">
        <v>31</v>
      </c>
      <c r="D88" t="s">
        <v>1523</v>
      </c>
      <c r="E88">
        <v>1.03</v>
      </c>
      <c r="I88">
        <v>1.04</v>
      </c>
      <c r="M88">
        <v>1.04</v>
      </c>
      <c r="N88" t="s">
        <v>115</v>
      </c>
    </row>
    <row r="89" spans="2:14">
      <c r="B89" t="s">
        <v>1537</v>
      </c>
      <c r="C89" t="s">
        <v>31</v>
      </c>
      <c r="D89" t="s">
        <v>1523</v>
      </c>
      <c r="E89">
        <v>25</v>
      </c>
      <c r="F89">
        <v>25</v>
      </c>
      <c r="G89">
        <v>25</v>
      </c>
      <c r="H89">
        <v>25</v>
      </c>
      <c r="I89">
        <v>25</v>
      </c>
      <c r="J89">
        <v>25</v>
      </c>
      <c r="K89">
        <v>25</v>
      </c>
      <c r="L89">
        <v>25</v>
      </c>
      <c r="M89">
        <v>25</v>
      </c>
      <c r="N89" t="s">
        <v>1519</v>
      </c>
    </row>
    <row r="90" spans="2:14">
      <c r="B90" t="s">
        <v>1537</v>
      </c>
      <c r="C90" t="s">
        <v>31</v>
      </c>
      <c r="D90" t="s">
        <v>1523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 t="s">
        <v>1520</v>
      </c>
    </row>
    <row r="91" spans="2:14">
      <c r="B91" t="s">
        <v>1538</v>
      </c>
      <c r="C91" t="s">
        <v>29</v>
      </c>
      <c r="D91" t="s">
        <v>1523</v>
      </c>
      <c r="E91">
        <v>522.5</v>
      </c>
      <c r="I91">
        <v>499.3</v>
      </c>
      <c r="M91">
        <v>469.9</v>
      </c>
      <c r="N91" t="s">
        <v>1516</v>
      </c>
    </row>
    <row r="92" spans="2:14">
      <c r="B92" t="s">
        <v>1538</v>
      </c>
      <c r="C92" t="s">
        <v>29</v>
      </c>
      <c r="D92" t="s">
        <v>1523</v>
      </c>
      <c r="E92">
        <v>41.1</v>
      </c>
      <c r="I92">
        <v>39.6</v>
      </c>
      <c r="M92">
        <v>36.9</v>
      </c>
      <c r="N92" t="s">
        <v>1517</v>
      </c>
    </row>
    <row r="93" spans="2:14">
      <c r="B93" t="s">
        <v>1538</v>
      </c>
      <c r="C93" t="s">
        <v>29</v>
      </c>
      <c r="D93" t="s">
        <v>1523</v>
      </c>
      <c r="E93">
        <v>1.44</v>
      </c>
      <c r="I93">
        <v>1.44</v>
      </c>
      <c r="M93">
        <v>1.44</v>
      </c>
      <c r="N93" t="s">
        <v>1518</v>
      </c>
    </row>
    <row r="94" spans="2:14">
      <c r="B94" t="s">
        <v>1538</v>
      </c>
      <c r="C94" t="s">
        <v>29</v>
      </c>
      <c r="D94" t="s">
        <v>1523</v>
      </c>
      <c r="E94">
        <v>1.149</v>
      </c>
      <c r="I94">
        <v>1.149</v>
      </c>
      <c r="M94">
        <v>1.149</v>
      </c>
      <c r="N94" t="s">
        <v>115</v>
      </c>
    </row>
    <row r="95" spans="2:14">
      <c r="B95" t="s">
        <v>1538</v>
      </c>
      <c r="C95" t="s">
        <v>29</v>
      </c>
      <c r="D95" t="s">
        <v>1523</v>
      </c>
      <c r="E95">
        <v>25</v>
      </c>
      <c r="F95">
        <v>25</v>
      </c>
      <c r="G95">
        <v>25</v>
      </c>
      <c r="H95">
        <v>25</v>
      </c>
      <c r="I95">
        <v>25</v>
      </c>
      <c r="J95">
        <v>25</v>
      </c>
      <c r="K95">
        <v>25</v>
      </c>
      <c r="L95">
        <v>25</v>
      </c>
      <c r="M95">
        <v>25</v>
      </c>
      <c r="N95" t="s">
        <v>1519</v>
      </c>
    </row>
    <row r="96" spans="2:14">
      <c r="B96" t="s">
        <v>1538</v>
      </c>
      <c r="C96" t="s">
        <v>29</v>
      </c>
      <c r="D96" t="s">
        <v>1523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>
        <v>3</v>
      </c>
      <c r="M96">
        <v>3</v>
      </c>
      <c r="N96" t="s">
        <v>1520</v>
      </c>
    </row>
    <row r="97" spans="2:14">
      <c r="B97" t="s">
        <v>1539</v>
      </c>
      <c r="D97" t="s">
        <v>1523</v>
      </c>
      <c r="H97">
        <v>72.400000000000006</v>
      </c>
      <c r="I97">
        <v>72.400000000000006</v>
      </c>
      <c r="J97">
        <v>72.400000000000006</v>
      </c>
      <c r="K97">
        <v>72.400000000000006</v>
      </c>
      <c r="M97">
        <v>72.400000000000006</v>
      </c>
      <c r="N97" t="s">
        <v>1516</v>
      </c>
    </row>
    <row r="98" spans="2:14">
      <c r="B98" t="s">
        <v>1539</v>
      </c>
      <c r="D98" t="s">
        <v>1523</v>
      </c>
      <c r="H98">
        <v>1.2</v>
      </c>
      <c r="I98">
        <v>1.2</v>
      </c>
      <c r="J98">
        <v>1.2</v>
      </c>
      <c r="K98">
        <v>1.2</v>
      </c>
      <c r="M98">
        <v>1.2</v>
      </c>
      <c r="N98" t="s">
        <v>1517</v>
      </c>
    </row>
    <row r="99" spans="2:14">
      <c r="B99" t="s">
        <v>1539</v>
      </c>
      <c r="D99" t="s">
        <v>1523</v>
      </c>
      <c r="H99">
        <v>0.72</v>
      </c>
      <c r="I99">
        <v>0.72</v>
      </c>
      <c r="J99">
        <v>0.72</v>
      </c>
      <c r="K99">
        <v>0.72</v>
      </c>
      <c r="M99">
        <v>0.72</v>
      </c>
      <c r="N99" t="s">
        <v>1518</v>
      </c>
    </row>
    <row r="100" spans="2:14">
      <c r="B100" t="s">
        <v>1539</v>
      </c>
      <c r="D100" t="s">
        <v>1523</v>
      </c>
      <c r="H100">
        <v>0.99</v>
      </c>
      <c r="I100">
        <v>0.99</v>
      </c>
      <c r="J100">
        <v>0.99</v>
      </c>
      <c r="K100">
        <v>0.99</v>
      </c>
      <c r="M100">
        <v>0.99</v>
      </c>
      <c r="N100" t="s">
        <v>115</v>
      </c>
    </row>
    <row r="101" spans="2:14">
      <c r="B101" t="s">
        <v>1539</v>
      </c>
      <c r="D101" t="s">
        <v>1523</v>
      </c>
      <c r="E101">
        <v>20</v>
      </c>
      <c r="F101">
        <v>20</v>
      </c>
      <c r="G101">
        <v>20</v>
      </c>
      <c r="H101">
        <v>20</v>
      </c>
      <c r="I101">
        <v>20</v>
      </c>
      <c r="J101">
        <v>20</v>
      </c>
      <c r="K101">
        <v>20</v>
      </c>
      <c r="L101">
        <v>20</v>
      </c>
      <c r="M101">
        <v>20</v>
      </c>
      <c r="N101" t="s">
        <v>1519</v>
      </c>
    </row>
    <row r="102" spans="2:14">
      <c r="B102" t="s">
        <v>1539</v>
      </c>
      <c r="D102" t="s">
        <v>1523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 t="s">
        <v>1520</v>
      </c>
    </row>
    <row r="103" spans="2:14">
      <c r="B103" t="s">
        <v>1540</v>
      </c>
      <c r="D103" t="s">
        <v>1523</v>
      </c>
      <c r="H103">
        <v>1054.7</v>
      </c>
      <c r="I103">
        <v>1028.3</v>
      </c>
      <c r="J103">
        <v>1002</v>
      </c>
      <c r="K103">
        <v>976.9</v>
      </c>
      <c r="M103">
        <v>951.9</v>
      </c>
      <c r="N103" t="s">
        <v>1516</v>
      </c>
    </row>
    <row r="104" spans="2:14">
      <c r="B104" t="s">
        <v>1540</v>
      </c>
      <c r="D104" t="s">
        <v>1523</v>
      </c>
      <c r="H104">
        <v>2.2000000000000002</v>
      </c>
      <c r="I104">
        <v>2.1</v>
      </c>
      <c r="J104">
        <v>2.1</v>
      </c>
      <c r="K104">
        <v>2</v>
      </c>
      <c r="M104">
        <v>2</v>
      </c>
      <c r="N104" t="s">
        <v>1517</v>
      </c>
    </row>
    <row r="105" spans="2:14">
      <c r="B105" t="s">
        <v>1540</v>
      </c>
      <c r="D105" t="s">
        <v>1523</v>
      </c>
      <c r="H105">
        <v>0.72</v>
      </c>
      <c r="I105">
        <v>0.72</v>
      </c>
      <c r="J105">
        <v>0.72</v>
      </c>
      <c r="K105">
        <v>0.72</v>
      </c>
      <c r="M105">
        <v>0.72</v>
      </c>
      <c r="N105" t="s">
        <v>1518</v>
      </c>
    </row>
    <row r="106" spans="2:14">
      <c r="B106" t="s">
        <v>1540</v>
      </c>
      <c r="D106" t="s">
        <v>1523</v>
      </c>
      <c r="H106">
        <v>2.8</v>
      </c>
      <c r="I106">
        <v>2.8</v>
      </c>
      <c r="J106">
        <v>2.8</v>
      </c>
      <c r="K106">
        <v>2.8</v>
      </c>
      <c r="M106">
        <v>2.9169999999999998</v>
      </c>
      <c r="N106" t="s">
        <v>115</v>
      </c>
    </row>
    <row r="107" spans="2:14">
      <c r="B107" t="s">
        <v>1540</v>
      </c>
      <c r="D107" t="s">
        <v>1523</v>
      </c>
      <c r="E107">
        <v>25</v>
      </c>
      <c r="F107">
        <v>25</v>
      </c>
      <c r="G107">
        <v>25</v>
      </c>
      <c r="H107">
        <v>25</v>
      </c>
      <c r="I107">
        <v>25</v>
      </c>
      <c r="J107">
        <v>25</v>
      </c>
      <c r="K107">
        <v>25</v>
      </c>
      <c r="L107">
        <v>25</v>
      </c>
      <c r="M107">
        <v>25</v>
      </c>
      <c r="N107" t="s">
        <v>1519</v>
      </c>
    </row>
    <row r="108" spans="2:14">
      <c r="B108" t="s">
        <v>1540</v>
      </c>
      <c r="D108" t="s">
        <v>1523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 t="s">
        <v>1520</v>
      </c>
    </row>
    <row r="109" spans="2:14">
      <c r="B109" t="s">
        <v>1541</v>
      </c>
      <c r="F109">
        <v>2100.8000000000002</v>
      </c>
      <c r="H109">
        <v>1390.7</v>
      </c>
      <c r="I109">
        <v>1117.5999999999999</v>
      </c>
      <c r="J109">
        <v>1028.7</v>
      </c>
      <c r="K109">
        <v>939.8</v>
      </c>
      <c r="L109">
        <v>850.9</v>
      </c>
      <c r="M109">
        <v>762</v>
      </c>
      <c r="N109" t="s">
        <v>1516</v>
      </c>
    </row>
    <row r="110" spans="2:14">
      <c r="B110" t="s">
        <v>1541</v>
      </c>
      <c r="F110">
        <v>48.2</v>
      </c>
      <c r="H110">
        <v>31</v>
      </c>
      <c r="I110">
        <v>24.5</v>
      </c>
      <c r="J110">
        <v>22.3</v>
      </c>
      <c r="K110">
        <v>20.2</v>
      </c>
      <c r="L110">
        <v>18</v>
      </c>
      <c r="M110">
        <v>15.9</v>
      </c>
      <c r="N110" t="s">
        <v>1517</v>
      </c>
    </row>
    <row r="111" spans="2:14">
      <c r="B111" t="s">
        <v>1541</v>
      </c>
      <c r="F111">
        <v>0.50039999999999996</v>
      </c>
      <c r="H111">
        <v>0.50039999999999996</v>
      </c>
      <c r="I111">
        <v>0.50039999999999996</v>
      </c>
      <c r="J111">
        <v>0.50039999999999996</v>
      </c>
      <c r="K111">
        <v>0.50039999999999996</v>
      </c>
      <c r="L111">
        <v>0.50039999999999996</v>
      </c>
      <c r="M111">
        <v>0.50039999999999996</v>
      </c>
      <c r="N111" t="s">
        <v>1518</v>
      </c>
    </row>
    <row r="112" spans="2:14">
      <c r="B112" t="s">
        <v>1541</v>
      </c>
      <c r="F112">
        <v>0.86</v>
      </c>
      <c r="H112">
        <v>0.86</v>
      </c>
      <c r="I112">
        <v>0.86</v>
      </c>
      <c r="J112">
        <v>0.86</v>
      </c>
      <c r="K112">
        <v>0.86</v>
      </c>
      <c r="L112">
        <v>0.86</v>
      </c>
      <c r="M112">
        <v>0.86</v>
      </c>
      <c r="N112" t="s">
        <v>1542</v>
      </c>
    </row>
    <row r="113" spans="2:16">
      <c r="B113" t="s">
        <v>1541</v>
      </c>
      <c r="E113">
        <v>20</v>
      </c>
      <c r="F113">
        <v>20</v>
      </c>
      <c r="G113">
        <v>20</v>
      </c>
      <c r="H113">
        <v>20</v>
      </c>
      <c r="I113">
        <v>20</v>
      </c>
      <c r="J113">
        <v>20</v>
      </c>
      <c r="K113">
        <v>20</v>
      </c>
      <c r="L113">
        <v>20</v>
      </c>
      <c r="M113">
        <v>20</v>
      </c>
      <c r="N113" t="s">
        <v>1519</v>
      </c>
    </row>
    <row r="114" spans="2:16">
      <c r="B114" t="s">
        <v>1541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 t="s">
        <v>1520</v>
      </c>
    </row>
    <row r="115" spans="2:16">
      <c r="B115" t="s">
        <v>1541</v>
      </c>
      <c r="E115">
        <v>0.16666700000000001</v>
      </c>
      <c r="F115">
        <v>0.16666700000000001</v>
      </c>
      <c r="G115">
        <v>0.16666700000000001</v>
      </c>
      <c r="H115">
        <v>0.16666700000000001</v>
      </c>
      <c r="I115">
        <v>0.16666700000000001</v>
      </c>
      <c r="J115">
        <v>0.16666700000000001</v>
      </c>
      <c r="K115">
        <v>0.16666700000000001</v>
      </c>
      <c r="L115">
        <v>0.16666700000000001</v>
      </c>
      <c r="M115">
        <v>0.16666700000000001</v>
      </c>
      <c r="N115" t="s">
        <v>1543</v>
      </c>
      <c r="O115" t="s">
        <v>54</v>
      </c>
      <c r="P115" t="s">
        <v>14</v>
      </c>
    </row>
    <row r="116" spans="2:16">
      <c r="B116" t="s">
        <v>1541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 t="s">
        <v>1543</v>
      </c>
      <c r="O116" t="s">
        <v>24</v>
      </c>
      <c r="P116" t="s">
        <v>14</v>
      </c>
    </row>
    <row r="117" spans="2:16">
      <c r="B117" t="s">
        <v>1541</v>
      </c>
      <c r="E117">
        <v>8.76</v>
      </c>
      <c r="F117">
        <v>8.76</v>
      </c>
      <c r="G117">
        <v>8.76</v>
      </c>
      <c r="H117">
        <v>8.76</v>
      </c>
      <c r="I117">
        <v>8.76</v>
      </c>
      <c r="J117">
        <v>8.76</v>
      </c>
      <c r="K117">
        <v>8.76</v>
      </c>
      <c r="L117">
        <v>8.76</v>
      </c>
      <c r="M117">
        <v>8.76</v>
      </c>
      <c r="N117" t="s">
        <v>1544</v>
      </c>
    </row>
    <row r="118" spans="2:16">
      <c r="B118" t="s">
        <v>1541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 t="s">
        <v>1545</v>
      </c>
      <c r="P118" t="s">
        <v>1546</v>
      </c>
    </row>
    <row r="119" spans="2:16">
      <c r="B119" t="s">
        <v>1547</v>
      </c>
      <c r="F119">
        <v>3721.6</v>
      </c>
      <c r="H119">
        <v>2436.3000000000002</v>
      </c>
      <c r="I119">
        <v>1940.6</v>
      </c>
      <c r="J119">
        <v>1780.6</v>
      </c>
      <c r="K119">
        <v>1617.6</v>
      </c>
      <c r="L119">
        <v>1457.5</v>
      </c>
      <c r="M119">
        <v>1297.5</v>
      </c>
      <c r="N119" t="s">
        <v>1516</v>
      </c>
    </row>
    <row r="120" spans="2:16">
      <c r="B120" t="s">
        <v>1547</v>
      </c>
      <c r="F120">
        <v>87.3</v>
      </c>
      <c r="H120">
        <v>56.3</v>
      </c>
      <c r="I120">
        <v>44.3</v>
      </c>
      <c r="J120">
        <v>40.4</v>
      </c>
      <c r="K120">
        <v>36.5</v>
      </c>
      <c r="L120">
        <v>32.700000000000003</v>
      </c>
      <c r="M120">
        <v>28.8</v>
      </c>
      <c r="N120" t="s">
        <v>1517</v>
      </c>
    </row>
    <row r="121" spans="2:16">
      <c r="B121" t="s">
        <v>1547</v>
      </c>
      <c r="F121">
        <v>0.50039999999999996</v>
      </c>
      <c r="H121">
        <v>0.50039999999999996</v>
      </c>
      <c r="I121">
        <v>0.50039999999999996</v>
      </c>
      <c r="J121">
        <v>0.50039999999999996</v>
      </c>
      <c r="K121">
        <v>0.50039999999999996</v>
      </c>
      <c r="L121">
        <v>0.50039999999999996</v>
      </c>
      <c r="M121">
        <v>0.50039999999999996</v>
      </c>
      <c r="N121" t="s">
        <v>1518</v>
      </c>
    </row>
    <row r="122" spans="2:16">
      <c r="B122" t="s">
        <v>1547</v>
      </c>
      <c r="F122">
        <v>0.86</v>
      </c>
      <c r="H122">
        <v>0.86</v>
      </c>
      <c r="I122">
        <v>0.86</v>
      </c>
      <c r="J122">
        <v>0.86</v>
      </c>
      <c r="K122">
        <v>0.86</v>
      </c>
      <c r="L122">
        <v>0.86</v>
      </c>
      <c r="M122">
        <v>0.86</v>
      </c>
      <c r="N122" t="s">
        <v>1542</v>
      </c>
    </row>
    <row r="123" spans="2:16">
      <c r="B123" t="s">
        <v>1547</v>
      </c>
      <c r="E123">
        <v>20</v>
      </c>
      <c r="F123">
        <v>20</v>
      </c>
      <c r="G123">
        <v>20</v>
      </c>
      <c r="H123">
        <v>20</v>
      </c>
      <c r="I123">
        <v>20</v>
      </c>
      <c r="J123">
        <v>20</v>
      </c>
      <c r="K123">
        <v>20</v>
      </c>
      <c r="L123">
        <v>20</v>
      </c>
      <c r="M123">
        <v>20</v>
      </c>
      <c r="N123" t="s">
        <v>1519</v>
      </c>
    </row>
    <row r="124" spans="2:16">
      <c r="B124" t="s">
        <v>1547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 t="s">
        <v>1520</v>
      </c>
    </row>
    <row r="125" spans="2:16">
      <c r="B125" t="s">
        <v>1547</v>
      </c>
      <c r="E125">
        <v>0.33333299999999999</v>
      </c>
      <c r="F125">
        <v>0.33333299999999999</v>
      </c>
      <c r="G125">
        <v>0.33333299999999999</v>
      </c>
      <c r="H125">
        <v>0.33333299999999999</v>
      </c>
      <c r="I125">
        <v>0.33333299999999999</v>
      </c>
      <c r="J125">
        <v>0.33333299999999999</v>
      </c>
      <c r="K125">
        <v>0.33333299999999999</v>
      </c>
      <c r="L125">
        <v>0.33333299999999999</v>
      </c>
      <c r="M125">
        <v>0.33333299999999999</v>
      </c>
      <c r="N125" t="s">
        <v>1543</v>
      </c>
      <c r="O125" t="s">
        <v>54</v>
      </c>
      <c r="P125" t="s">
        <v>14</v>
      </c>
    </row>
    <row r="126" spans="2:16">
      <c r="B126" t="s">
        <v>1547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 t="s">
        <v>1543</v>
      </c>
      <c r="O126" t="s">
        <v>24</v>
      </c>
      <c r="P126" t="s">
        <v>14</v>
      </c>
    </row>
    <row r="127" spans="2:16">
      <c r="B127" t="s">
        <v>1547</v>
      </c>
      <c r="E127">
        <v>8.76</v>
      </c>
      <c r="F127">
        <v>8.76</v>
      </c>
      <c r="G127">
        <v>8.76</v>
      </c>
      <c r="H127">
        <v>8.76</v>
      </c>
      <c r="I127">
        <v>8.76</v>
      </c>
      <c r="J127">
        <v>8.76</v>
      </c>
      <c r="K127">
        <v>8.76</v>
      </c>
      <c r="L127">
        <v>8.76</v>
      </c>
      <c r="M127">
        <v>8.76</v>
      </c>
      <c r="N127" t="s">
        <v>1544</v>
      </c>
    </row>
    <row r="128" spans="2:16">
      <c r="B128" t="s">
        <v>1547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 t="s">
        <v>1545</v>
      </c>
      <c r="P128" t="s">
        <v>1546</v>
      </c>
    </row>
    <row r="129" spans="2:14">
      <c r="B129" t="s">
        <v>1548</v>
      </c>
      <c r="C129" t="s">
        <v>31</v>
      </c>
      <c r="D129" t="s">
        <v>1549</v>
      </c>
      <c r="E129">
        <v>0.52</v>
      </c>
      <c r="F129">
        <v>0.52</v>
      </c>
      <c r="G129">
        <v>0.52</v>
      </c>
      <c r="H129">
        <v>0.52</v>
      </c>
      <c r="I129">
        <v>0.52</v>
      </c>
      <c r="J129">
        <v>0.52</v>
      </c>
      <c r="K129">
        <v>0.52</v>
      </c>
      <c r="L129">
        <v>0.52</v>
      </c>
      <c r="M129">
        <v>0.52</v>
      </c>
      <c r="N129" t="s">
        <v>115</v>
      </c>
    </row>
    <row r="130" spans="2:14">
      <c r="B130" t="s">
        <v>1548</v>
      </c>
      <c r="C130" t="s">
        <v>31</v>
      </c>
      <c r="D130" t="s">
        <v>1549</v>
      </c>
      <c r="E130">
        <v>2917</v>
      </c>
      <c r="F130">
        <v>2917</v>
      </c>
      <c r="G130">
        <v>2917</v>
      </c>
      <c r="H130">
        <v>2917</v>
      </c>
      <c r="I130">
        <v>2917</v>
      </c>
      <c r="J130">
        <v>2917</v>
      </c>
      <c r="K130">
        <v>2917</v>
      </c>
      <c r="L130">
        <v>2917</v>
      </c>
      <c r="M130">
        <v>2917</v>
      </c>
      <c r="N130" t="s">
        <v>1516</v>
      </c>
    </row>
    <row r="131" spans="2:14">
      <c r="B131" t="s">
        <v>1548</v>
      </c>
      <c r="C131" t="s">
        <v>31</v>
      </c>
      <c r="D131" t="s">
        <v>1549</v>
      </c>
      <c r="E131">
        <v>70.599999999999994</v>
      </c>
      <c r="F131">
        <v>70.599999999999994</v>
      </c>
      <c r="G131">
        <v>70.599999999999994</v>
      </c>
      <c r="H131">
        <v>70.599999999999994</v>
      </c>
      <c r="I131">
        <v>70.599999999999994</v>
      </c>
      <c r="J131">
        <v>70.599999999999994</v>
      </c>
      <c r="K131">
        <v>70.599999999999994</v>
      </c>
      <c r="L131">
        <v>70.599999999999994</v>
      </c>
      <c r="M131">
        <v>70.599999999999994</v>
      </c>
      <c r="N131" t="s">
        <v>1517</v>
      </c>
    </row>
    <row r="132" spans="2:14">
      <c r="B132" t="s">
        <v>1548</v>
      </c>
      <c r="C132" t="s">
        <v>31</v>
      </c>
      <c r="D132" t="s">
        <v>1549</v>
      </c>
      <c r="E132">
        <v>4.68</v>
      </c>
      <c r="F132">
        <v>4.68</v>
      </c>
      <c r="G132">
        <v>4.68</v>
      </c>
      <c r="H132">
        <v>4.68</v>
      </c>
      <c r="I132">
        <v>4.68</v>
      </c>
      <c r="J132">
        <v>4.68</v>
      </c>
      <c r="K132">
        <v>4.68</v>
      </c>
      <c r="L132">
        <v>4.68</v>
      </c>
      <c r="M132">
        <v>4.68</v>
      </c>
      <c r="N132" t="s">
        <v>1518</v>
      </c>
    </row>
    <row r="133" spans="2:14">
      <c r="B133" t="s">
        <v>1548</v>
      </c>
      <c r="C133" t="s">
        <v>31</v>
      </c>
      <c r="D133" t="s">
        <v>1549</v>
      </c>
      <c r="E133">
        <v>0.55559999999999998</v>
      </c>
      <c r="F133">
        <v>0.55559999999999998</v>
      </c>
      <c r="G133">
        <v>0.55559999999999998</v>
      </c>
      <c r="H133">
        <v>0.55559999999999998</v>
      </c>
      <c r="I133">
        <v>0.55559999999999998</v>
      </c>
      <c r="J133">
        <v>0.55559999999999998</v>
      </c>
      <c r="K133">
        <v>0.55559999999999998</v>
      </c>
      <c r="L133">
        <v>0.55559999999999998</v>
      </c>
      <c r="M133">
        <v>0.55559999999999998</v>
      </c>
      <c r="N133" t="s">
        <v>1524</v>
      </c>
    </row>
    <row r="134" spans="2:14">
      <c r="B134" t="s">
        <v>1548</v>
      </c>
      <c r="C134" t="s">
        <v>31</v>
      </c>
      <c r="D134" t="s">
        <v>1549</v>
      </c>
      <c r="E134">
        <v>0.15</v>
      </c>
      <c r="F134">
        <v>0.15</v>
      </c>
      <c r="G134">
        <v>0.15</v>
      </c>
      <c r="H134">
        <v>0.15</v>
      </c>
      <c r="I134">
        <v>0.15</v>
      </c>
      <c r="J134">
        <v>0.15</v>
      </c>
      <c r="K134">
        <v>0.15</v>
      </c>
      <c r="L134">
        <v>0.15</v>
      </c>
      <c r="M134">
        <v>0.15</v>
      </c>
      <c r="N134" t="s">
        <v>1525</v>
      </c>
    </row>
    <row r="135" spans="2:14">
      <c r="B135" t="s">
        <v>1548</v>
      </c>
      <c r="C135" t="s">
        <v>31</v>
      </c>
      <c r="D135" t="s">
        <v>1549</v>
      </c>
      <c r="E135">
        <v>25</v>
      </c>
      <c r="F135">
        <v>25</v>
      </c>
      <c r="G135">
        <v>25</v>
      </c>
      <c r="H135">
        <v>25</v>
      </c>
      <c r="I135">
        <v>25</v>
      </c>
      <c r="J135">
        <v>25</v>
      </c>
      <c r="K135">
        <v>25</v>
      </c>
      <c r="L135">
        <v>25</v>
      </c>
      <c r="M135">
        <v>25</v>
      </c>
      <c r="N135" t="s">
        <v>1519</v>
      </c>
    </row>
    <row r="136" spans="2:14">
      <c r="B136" t="s">
        <v>1548</v>
      </c>
      <c r="C136" t="s">
        <v>31</v>
      </c>
      <c r="D136" t="s">
        <v>1549</v>
      </c>
      <c r="E136">
        <v>4</v>
      </c>
      <c r="F136">
        <v>4</v>
      </c>
      <c r="G136">
        <v>4</v>
      </c>
      <c r="H136">
        <v>4</v>
      </c>
      <c r="I136">
        <v>4</v>
      </c>
      <c r="J136">
        <v>4</v>
      </c>
      <c r="K136">
        <v>4</v>
      </c>
      <c r="L136">
        <v>4</v>
      </c>
      <c r="M136">
        <v>4</v>
      </c>
      <c r="N136" t="s">
        <v>1520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misc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2026-09-06T15:16:39Z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